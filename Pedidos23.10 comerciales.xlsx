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87" documentId="8_{4C004BF6-44F9-42ED-B901-C5A5F007E52A}" xr6:coauthVersionLast="47" xr6:coauthVersionMax="47" xr10:uidLastSave="{586516DE-DA1A-425A-AA80-A366A38111C3}"/>
  <bookViews>
    <workbookView xWindow="-25710" yWindow="-110" windowWidth="25820" windowHeight="13900" xr2:uid="{98158736-BF56-4FFC-90E7-0D5AFB7C782B}"/>
  </bookViews>
  <sheets>
    <sheet name="LineasPedidoCliente" sheetId="1" r:id="rId1"/>
  </sheets>
  <definedNames>
    <definedName name="DatosExternos_1" localSheetId="0" hidden="1">LineasPedidoCliente!$A$1:$P$156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9" i="1" l="1"/>
  <c r="N150" i="1"/>
  <c r="N151" i="1"/>
  <c r="N152" i="1"/>
  <c r="N153" i="1"/>
  <c r="N154" i="1"/>
  <c r="N155" i="1"/>
  <c r="N156" i="1"/>
  <c r="N148" i="1"/>
  <c r="N143" i="1"/>
  <c r="N144" i="1"/>
  <c r="N145" i="1"/>
  <c r="N146" i="1"/>
  <c r="N147" i="1"/>
  <c r="N142" i="1"/>
  <c r="N141" i="1"/>
  <c r="N140" i="1"/>
  <c r="O139" i="1"/>
  <c r="N139" i="1"/>
  <c r="N134" i="1"/>
  <c r="N135" i="1"/>
  <c r="N136" i="1"/>
  <c r="N137" i="1"/>
  <c r="N138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10" i="1"/>
  <c r="N111" i="1"/>
  <c r="N112" i="1"/>
  <c r="N109" i="1"/>
  <c r="N105" i="1"/>
  <c r="N106" i="1"/>
  <c r="N107" i="1"/>
  <c r="N108" i="1"/>
  <c r="N104" i="1"/>
  <c r="N103" i="1"/>
  <c r="O103" i="1" s="1"/>
  <c r="N101" i="1"/>
  <c r="N102" i="1"/>
  <c r="N100" i="1"/>
  <c r="O100" i="1" s="1"/>
  <c r="N97" i="1"/>
  <c r="N98" i="1"/>
  <c r="N99" i="1"/>
  <c r="N96" i="1"/>
  <c r="N95" i="1"/>
  <c r="N94" i="1"/>
  <c r="N9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3C5701-4270-4E01-927D-3C75BC21F8BA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<sst xmlns="http://schemas.openxmlformats.org/spreadsheetml/2006/main" count="712" uniqueCount="251">
  <si>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</si>
  <si>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</si>
  <si>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</si>
  <si>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</si>
  <si>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</si>
  <si>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</si>
  <si>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</si>
  <si>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</si>
  <si>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</si>
  <si>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</si>
  <si>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</si>
  <si>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</si>
  <si>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</si>
  <si>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</si>
  <si>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</si>
  <si>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</si>
  <si>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</si>
  <si>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</si>
  <si>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</si>
  <si>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</si>
  <si>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</si>
  <si>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</si>
  <si>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</si>
  <si>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</si>
  <si>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</si>
  <si>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</si>
  <si>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</si>
  <si>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</si>
  <si>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</si>
  <si>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</si>
  <si>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</si>
  <si>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</si>
  <si>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</si>
  <si>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</si>
  <si>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</si>
  <si>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</si>
  <si>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</si>
  <si>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</si>
  <si>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</si>
  <si>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</si>
  <si>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</si>
  <si>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</si>
  <si>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</si>
  <si>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</si>
  <si>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</si>
  <si>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</si>
  <si>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</si>
  <si>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</si>
  <si>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</si>
  <si>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</si>
  <si>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</si>
  <si>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</si>
  <si>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</si>
  <si>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</si>
  <si>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</si>
  <si>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</si>
  <si>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</si>
  <si>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</si>
  <si>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</si>
  <si>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</si>
  <si>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</si>
  <si>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</si>
  <si>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</si>
  <si>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</si>
  <si>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</si>
  <si>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</si>
  <si>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</si>
  <si>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</si>
  <si>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</si>
  <si>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</si>
  <si>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</si>
  <si>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</si>
  <si>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</si>
  <si>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</si>
  <si>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</si>
  <si>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</si>
  <si>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</si>
  <si>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</si>
  <si>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</si>
  <si>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</si>
  <si>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</si>
  <si>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</si>
  <si>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</si>
  <si>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</si>
  <si>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</si>
  <si>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</si>
  <si>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</si>
  <si>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</si>
  <si>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</si>
  <si>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</si>
  <si>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</si>
  <si>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</si>
  <si>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</si>
  <si>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</si>
  <si>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</si>
  <si>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</si>
  <si>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</si>
  <si>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</si>
  <si>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</si>
  <si>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</si>
  <si>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</si>
  <si>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</si>
  <si>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</si>
  <si>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</si>
  <si>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</si>
  <si>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</si>
  <si>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</si>
  <si>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</si>
  <si>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</si>
  <si>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</si>
  <si>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</si>
  <si>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</si>
  <si>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</si>
  <si>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</si>
  <si>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</si>
  <si>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</si>
  <si>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AGROXILATO-K, 5 L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</si>
  <si>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</si>
  <si>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</si>
  <si>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</si>
  <si>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</si>
  <si>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</si>
  <si>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</si>
  <si>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</si>
  <si>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</si>
  <si>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</si>
  <si>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</si>
  <si>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</si>
  <si>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</si>
  <si>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</si>
  <si>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</si>
  <si>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</si>
  <si>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</si>
  <si>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</si>
  <si>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</si>
  <si>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</si>
  <si>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</si>
  <si>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</si>
  <si>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</si>
  <si>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</si>
  <si>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</si>
  <si>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</si>
  <si>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</si>
  <si>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 xml:space="preserve">A-500020     </t>
  </si>
  <si>
    <t>CODIORGAN-A50, 20 KG</t>
  </si>
  <si>
    <t xml:space="preserve">PT0020       </t>
  </si>
  <si>
    <t xml:space="preserve">C-CU0005     </t>
  </si>
  <si>
    <t>CODICOBRE, 5 L</t>
  </si>
  <si>
    <t xml:space="preserve">PHD0020      </t>
  </si>
  <si>
    <t xml:space="preserve">PH-DOWNER, 20 L   </t>
  </si>
  <si>
    <t xml:space="preserve">SS0020       </t>
  </si>
  <si>
    <t>BR-590005</t>
  </si>
  <si>
    <t>BR-59, 5 KG</t>
  </si>
  <si>
    <t xml:space="preserve">AGXK0020     </t>
  </si>
  <si>
    <t>SSEG0005EG</t>
  </si>
  <si>
    <t>SALWAX CALCIO EGIPTO, 5 KG</t>
  </si>
  <si>
    <t>SPCE2B0001</t>
  </si>
  <si>
    <t>NEW SPRINTENE,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</si>
  <si>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</si>
  <si>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</si>
  <si>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</si>
  <si>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</si>
  <si>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</si>
  <si>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</si>
  <si>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</si>
  <si>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</si>
  <si>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</si>
  <si>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</si>
  <si>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</si>
  <si>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</si>
  <si>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</si>
  <si>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</si>
  <si>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</si>
  <si>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</si>
  <si>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</si>
  <si>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</si>
  <si>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</si>
  <si>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</si>
  <si>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</si>
  <si>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CABRERA MORALES FRANCISCO</t>
  </si>
  <si>
    <t>430000015</t>
  </si>
  <si>
    <t>SS0005</t>
  </si>
  <si>
    <t>BIO0005</t>
  </si>
  <si>
    <t>ANAE0005</t>
  </si>
  <si>
    <t>SALWAX-CA, 5 KG</t>
  </si>
  <si>
    <t>BIORAD-20, 5L</t>
  </si>
  <si>
    <t>ALCAPLANT NEW AE, 5 KG</t>
  </si>
  <si>
    <t>FTK0005</t>
  </si>
  <si>
    <t>FITOKONTROL CA FLOW, 5 KG</t>
  </si>
  <si>
    <t>430000054</t>
  </si>
  <si>
    <t>JUAN JIMENEZ, SRL</t>
  </si>
  <si>
    <t xml:space="preserve">AGXK0001     </t>
  </si>
  <si>
    <t>BEY0001</t>
  </si>
  <si>
    <t>BIO0001</t>
  </si>
  <si>
    <t xml:space="preserve">B0001        </t>
  </si>
  <si>
    <t xml:space="preserve">C-L0001      </t>
  </si>
  <si>
    <t xml:space="preserve">C-CU0001     </t>
  </si>
  <si>
    <t>A-50(2)0001</t>
  </si>
  <si>
    <t xml:space="preserve">F-A0005      </t>
  </si>
  <si>
    <t xml:space="preserve">F-A0001      </t>
  </si>
  <si>
    <t xml:space="preserve">LP0005       </t>
  </si>
  <si>
    <t xml:space="preserve">LP0001       </t>
  </si>
  <si>
    <t xml:space="preserve">PT0005       </t>
  </si>
  <si>
    <t xml:space="preserve">PT0001       </t>
  </si>
  <si>
    <t>START20001</t>
  </si>
  <si>
    <t>SS0001</t>
  </si>
  <si>
    <t>FLOR0001</t>
  </si>
  <si>
    <t>AGROXILATO-K, 1 L</t>
  </si>
  <si>
    <t>BERRY-FLOR, 1 L</t>
  </si>
  <si>
    <t>BIORAD-20, 1L</t>
  </si>
  <si>
    <t>BOROCAL,1 L</t>
  </si>
  <si>
    <t>CODIBOR-L, 1 L</t>
  </si>
  <si>
    <t>CODICOBRE, 1 L</t>
  </si>
  <si>
    <t>CODIORGAN-A50, 1 KG</t>
  </si>
  <si>
    <t>FITOLIN-AGRO, 5 L</t>
  </si>
  <si>
    <t>FITOLIN-AGRO, 1 L</t>
  </si>
  <si>
    <t>LAVAPLANT, 5 L</t>
  </si>
  <si>
    <t>LAVAPLANT, 1 L</t>
  </si>
  <si>
    <t>RADISOL STARTER, 1 L</t>
  </si>
  <si>
    <t>SALWAX-CA, 1 KG</t>
  </si>
  <si>
    <t>SPRINTENE CON BORO, 1 L</t>
  </si>
  <si>
    <t>FLORAMEC, 1 LTR.</t>
  </si>
  <si>
    <t>AGNF0001</t>
  </si>
  <si>
    <t>START0001</t>
  </si>
  <si>
    <t>BC0020</t>
  </si>
  <si>
    <t>CODIGREEN, 1L</t>
  </si>
  <si>
    <t>BITTER-CAL, 20 KG</t>
  </si>
  <si>
    <t>JF0005</t>
  </si>
  <si>
    <t>CODIGIN-FOS, 5 L</t>
  </si>
  <si>
    <t>430000037</t>
  </si>
  <si>
    <t xml:space="preserve">EUROFERTIL, S.A.    </t>
  </si>
  <si>
    <t>AGXCR1000</t>
  </si>
  <si>
    <t xml:space="preserve">PT1000       </t>
  </si>
  <si>
    <t>DECA0005</t>
  </si>
  <si>
    <t>FLORCR1000</t>
  </si>
  <si>
    <t>NB1000</t>
  </si>
  <si>
    <t>AGROXILATO-K, 1000 L</t>
  </si>
  <si>
    <t>POTASION PLUS, 1000 L</t>
  </si>
  <si>
    <t>DEFENS-CA-AE, 5 KG</t>
  </si>
  <si>
    <t>FLORAMEC, 1000 L</t>
  </si>
  <si>
    <t>NITROBALANCE, 1000 L</t>
  </si>
  <si>
    <t>ALCAPLANT, 20 KG</t>
  </si>
  <si>
    <t xml:space="preserve">C-CU1000     </t>
  </si>
  <si>
    <t>CODIR1000</t>
  </si>
  <si>
    <t xml:space="preserve">B1000        </t>
  </si>
  <si>
    <t xml:space="preserve">G1000        </t>
  </si>
  <si>
    <t>CODICOBRE, 1000 L</t>
  </si>
  <si>
    <t>CODIRESIST, 1000 L</t>
  </si>
  <si>
    <t>FORTALEZA, 1000 L</t>
  </si>
  <si>
    <t>SAL WAX MAX, 20 KG</t>
  </si>
  <si>
    <t>TRANSLOCADOR, 1000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</si>
</sst>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41BEB63-F55C-4AB6-A386-A276D3F7899E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A60ACA-9758-4E2F-8714-43288D8F7891}" name="LineasPedidoCliente" displayName="LineasPedidoCliente" ref="A1:P156" tableType="queryTable" totalsRowShown="0">
  <autoFilter ref="A1:P156" xr:uid="{6292CA43-A9C0-4280-B40A-9DD133760E8A}"/>
  <sortState xmlns:xlrd2="http://schemas.microsoft.com/office/spreadsheetml/2017/richdata2" ref="A2:P92">
    <sortCondition ref="A1:A92"/>
  </sortState>
  <tableColumns count="16">
    <tableColumn id="1" xr3:uid="{79FFDC31-DA67-4C1C-BF5A-16A44C08086A}" uniqueName="1" name="FechaPedido" queryTableFieldId="1" dataDxfId="5"/>
    <tableColumn id="2" xr3:uid="{B7A5BD2F-A0AA-4D2A-AD36-68A160353B28}" uniqueName="2" name="Ejercicio" queryTableFieldId="2"/>
    <tableColumn id="3" xr3:uid="{26952493-0B9E-4422-B66B-6E40E050CBF9}" uniqueName="3" name="Serie" queryTableFieldId="3" dataDxfId="4"/>
    <tableColumn id="4" xr3:uid="{10B4CFE4-809C-42C6-B2D5-9983FC62B930}" uniqueName="4" name="Pedido" queryTableFieldId="4"/>
    <tableColumn id="5" xr3:uid="{E2FFA7F6-5091-4D5A-8A15-7B6B0DD7A244}" uniqueName="5" name="CodigoCliente" queryTableFieldId="5" dataDxfId="3"/>
    <tableColumn id="6" xr3:uid="{BED21177-8E3E-4721-88F0-0FE6F8D4E245}" uniqueName="6" name="Cliente" queryTableFieldId="6" dataDxfId="2"/>
    <tableColumn id="7" xr3:uid="{32594C1A-7418-4B58-8F9A-36634B58AFFC}" uniqueName="7" name="CodigoArticulo" queryTableFieldId="7" dataDxfId="1"/>
    <tableColumn id="8" xr3:uid="{1F7F79D5-CC59-4DF9-BB7D-158F1ABA8184}" uniqueName="8" name="Articulo" queryTableFieldId="8" dataDxfId="0"/>
    <tableColumn id="9" xr3:uid="{63FB6AB6-C078-4B20-B394-D439DB3BC7E9}" uniqueName="9" name="Pedidas" queryTableFieldId="9"/>
    <tableColumn id="10" xr3:uid="{EBACB453-ECDA-4A66-B124-BA30C6F33D8E}" uniqueName="10" name="Servidas" queryTableFieldId="10"/>
    <tableColumn id="11" xr3:uid="{7499DAFD-C12E-4ADE-8A95-08E6656FD3CD}" uniqueName="11" name="Pendientes" queryTableFieldId="11"/>
    <tableColumn id="12" xr3:uid="{5F706293-EF08-4E30-A6F4-04814AF54AB7}" uniqueName="12" name="Precio" queryTableFieldId="12"/>
    <tableColumn id="13" xr3:uid="{718320C5-4C54-4306-B414-A5595AD3472D}" uniqueName="13" name="Descuento" queryTableFieldId="13"/>
    <tableColumn id="14" xr3:uid="{406B55BD-57EB-4F00-B2D1-2EF85BE05968}" uniqueName="14" name="ImporteNeto" queryTableFieldId="14"/>
    <tableColumn id="15" xr3:uid="{952AE950-1418-485E-A67A-632E0425BF3C}" uniqueName="15" name="ImporteNetoPendiente" queryTableFieldId="15"/>
    <tableColumn id="16" xr3:uid="{B75C0E86-67B8-4820-BB58-9789149D0CB9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BF8C7-4EF9-4D9B-A009-B6059F02B37C}">
  <dimension ref="A1:P156"/>
  <sheetViews>
    <sheetView tabSelected="1" topLeftCell="D1" workbookViewId="0">
      <pane ySplit="1" topLeftCell="A133" activePane="bottomLeft" state="frozen"/>
      <selection activeCell="D1" sqref="D1"/>
      <selection pane="bottomLeft" activeCell="P157" sqref="P157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0</v>
      </c>
      <c r="K20">
        <v>20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0</v>
      </c>
      <c r="K33">
        <v>1000</v>
      </c>
      <c r="L33">
        <v>2.12</v>
      </c>
      <c r="M33">
        <v>0</v>
      </c>
      <c r="N33">
        <v>2120</v>
      </c>
      <c r="O33">
        <v>2120</v>
      </c>
      <c r="P33">
        <v>0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20</v>
      </c>
      <c r="K52">
        <v>20</v>
      </c>
      <c r="L52">
        <v>3.72</v>
      </c>
      <c r="M52">
        <v>0</v>
      </c>
      <c r="N52">
        <v>148.80000000000001</v>
      </c>
      <c r="O52">
        <v>74.400000000000006</v>
      </c>
      <c r="P52">
        <v>0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116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117</v>
      </c>
      <c r="H54" t="s">
        <v>118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119</v>
      </c>
      <c r="H56" t="s">
        <v>120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119</v>
      </c>
      <c r="H57" t="s">
        <v>120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121</v>
      </c>
      <c r="F59" t="s">
        <v>122</v>
      </c>
      <c r="G59" t="s">
        <v>123</v>
      </c>
      <c r="H59" t="s">
        <v>124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125</v>
      </c>
      <c r="F60" t="s">
        <v>126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125</v>
      </c>
      <c r="F61" t="s">
        <v>126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125</v>
      </c>
      <c r="F62" t="s">
        <v>126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125</v>
      </c>
      <c r="F63" t="s">
        <v>126</v>
      </c>
      <c r="G63" t="s">
        <v>127</v>
      </c>
      <c r="H63" t="s">
        <v>128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125</v>
      </c>
      <c r="F64" t="s">
        <v>126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125</v>
      </c>
      <c r="F65" t="s">
        <v>126</v>
      </c>
      <c r="G65" t="s">
        <v>129</v>
      </c>
      <c r="H65" t="s">
        <v>130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131</v>
      </c>
      <c r="F66" t="s">
        <v>132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133</v>
      </c>
      <c r="F67" t="s">
        <v>134</v>
      </c>
      <c r="G67" t="s">
        <v>123</v>
      </c>
      <c r="H67" t="s">
        <v>124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135</v>
      </c>
      <c r="F68" t="s">
        <v>136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137</v>
      </c>
      <c r="F69" t="s">
        <v>138</v>
      </c>
      <c r="G69" t="s">
        <v>139</v>
      </c>
      <c r="H69" t="s">
        <v>140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141</v>
      </c>
      <c r="F70" t="s">
        <v>142</v>
      </c>
      <c r="G70" t="s">
        <v>107</v>
      </c>
      <c r="H70" t="s">
        <v>108</v>
      </c>
      <c r="I70">
        <v>2000</v>
      </c>
      <c r="J70">
        <v>0</v>
      </c>
      <c r="K70">
        <v>2000</v>
      </c>
      <c r="L70">
        <v>4.3099999999999996</v>
      </c>
      <c r="M70">
        <v>0</v>
      </c>
      <c r="N70">
        <v>8620</v>
      </c>
      <c r="O70">
        <v>8620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141</v>
      </c>
      <c r="F71" t="s">
        <v>142</v>
      </c>
      <c r="G71" t="s">
        <v>143</v>
      </c>
      <c r="H71" t="s">
        <v>144</v>
      </c>
      <c r="I71">
        <v>1500</v>
      </c>
      <c r="J71">
        <v>0</v>
      </c>
      <c r="K71">
        <v>1500</v>
      </c>
      <c r="L71">
        <v>4.1399999999999997</v>
      </c>
      <c r="M71">
        <v>0</v>
      </c>
      <c r="N71">
        <v>6210</v>
      </c>
      <c r="O71">
        <v>6210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141</v>
      </c>
      <c r="F72" t="s">
        <v>142</v>
      </c>
      <c r="G72" t="s">
        <v>145</v>
      </c>
      <c r="H72" t="s">
        <v>74</v>
      </c>
      <c r="I72">
        <v>3000</v>
      </c>
      <c r="J72">
        <v>0</v>
      </c>
      <c r="K72">
        <v>3000</v>
      </c>
      <c r="L72">
        <v>3.05</v>
      </c>
      <c r="M72">
        <v>0</v>
      </c>
      <c r="N72">
        <v>9150</v>
      </c>
      <c r="O72">
        <v>9150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141</v>
      </c>
      <c r="F73" t="s">
        <v>142</v>
      </c>
      <c r="G73" t="s">
        <v>146</v>
      </c>
      <c r="H73" t="s">
        <v>147</v>
      </c>
      <c r="I73">
        <v>1000</v>
      </c>
      <c r="J73">
        <v>0</v>
      </c>
      <c r="K73">
        <v>1000</v>
      </c>
      <c r="L73">
        <v>3.57</v>
      </c>
      <c r="M73">
        <v>0</v>
      </c>
      <c r="N73">
        <v>3570</v>
      </c>
      <c r="O73">
        <v>3570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141</v>
      </c>
      <c r="F74" t="s">
        <v>142</v>
      </c>
      <c r="G74" t="s">
        <v>148</v>
      </c>
      <c r="H74" t="s">
        <v>149</v>
      </c>
      <c r="I74">
        <v>600</v>
      </c>
      <c r="J74">
        <v>0</v>
      </c>
      <c r="K74">
        <v>600</v>
      </c>
      <c r="L74">
        <v>3.13</v>
      </c>
      <c r="M74">
        <v>0</v>
      </c>
      <c r="N74">
        <v>1878</v>
      </c>
      <c r="O74">
        <v>1878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141</v>
      </c>
      <c r="F75" t="s">
        <v>142</v>
      </c>
      <c r="G75" t="s">
        <v>150</v>
      </c>
      <c r="H75" t="s">
        <v>50</v>
      </c>
      <c r="I75">
        <v>2000</v>
      </c>
      <c r="J75">
        <v>0</v>
      </c>
      <c r="K75">
        <v>2000</v>
      </c>
      <c r="L75">
        <v>3.55</v>
      </c>
      <c r="M75">
        <v>0</v>
      </c>
      <c r="N75">
        <v>7100</v>
      </c>
      <c r="O75">
        <v>7100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141</v>
      </c>
      <c r="F76" t="s">
        <v>142</v>
      </c>
      <c r="G76" t="s">
        <v>151</v>
      </c>
      <c r="H76" t="s">
        <v>152</v>
      </c>
      <c r="I76">
        <v>800</v>
      </c>
      <c r="J76">
        <v>0</v>
      </c>
      <c r="K76">
        <v>800</v>
      </c>
      <c r="L76">
        <v>2.12</v>
      </c>
      <c r="M76">
        <v>0</v>
      </c>
      <c r="N76">
        <v>1696</v>
      </c>
      <c r="O76">
        <v>1696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141</v>
      </c>
      <c r="F77" t="s">
        <v>142</v>
      </c>
      <c r="G77" t="s">
        <v>153</v>
      </c>
      <c r="H77" t="s">
        <v>58</v>
      </c>
      <c r="I77">
        <v>7000</v>
      </c>
      <c r="J77">
        <v>0</v>
      </c>
      <c r="K77">
        <v>7000</v>
      </c>
      <c r="L77">
        <v>2.76</v>
      </c>
      <c r="M77">
        <v>0</v>
      </c>
      <c r="N77">
        <v>19320</v>
      </c>
      <c r="O77">
        <v>19320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146</v>
      </c>
      <c r="E78" t="s">
        <v>77</v>
      </c>
      <c r="F78" t="s">
        <v>78</v>
      </c>
      <c r="G78" t="s">
        <v>154</v>
      </c>
      <c r="H78" t="s">
        <v>155</v>
      </c>
      <c r="I78">
        <v>8000</v>
      </c>
      <c r="J78">
        <v>0</v>
      </c>
      <c r="K78">
        <v>8000</v>
      </c>
      <c r="L78">
        <v>3.87</v>
      </c>
      <c r="M78">
        <v>0</v>
      </c>
      <c r="N78">
        <v>30960</v>
      </c>
      <c r="O78">
        <v>30960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146</v>
      </c>
      <c r="E79" t="s">
        <v>77</v>
      </c>
      <c r="F79" t="s">
        <v>78</v>
      </c>
      <c r="G79" t="s">
        <v>156</v>
      </c>
      <c r="H79" t="s">
        <v>157</v>
      </c>
      <c r="I79">
        <v>10296</v>
      </c>
      <c r="J79">
        <v>0</v>
      </c>
      <c r="K79">
        <v>10296</v>
      </c>
      <c r="L79">
        <v>12.55</v>
      </c>
      <c r="M79">
        <v>0</v>
      </c>
      <c r="N79">
        <v>129214.8</v>
      </c>
      <c r="O79">
        <v>129214.8</v>
      </c>
      <c r="P79">
        <v>0</v>
      </c>
    </row>
    <row r="80" spans="1:16" x14ac:dyDescent="0.35">
      <c r="A80" s="1">
        <v>46310</v>
      </c>
      <c r="B80">
        <v>2026</v>
      </c>
      <c r="C80" t="s">
        <v>16</v>
      </c>
      <c r="D80">
        <v>880</v>
      </c>
      <c r="E80" t="s">
        <v>158</v>
      </c>
      <c r="F80" t="s">
        <v>159</v>
      </c>
      <c r="G80" t="s">
        <v>160</v>
      </c>
      <c r="H80" t="s">
        <v>161</v>
      </c>
      <c r="I80">
        <v>12</v>
      </c>
      <c r="J80">
        <v>12</v>
      </c>
      <c r="K80">
        <v>0</v>
      </c>
      <c r="L80">
        <v>4.58</v>
      </c>
      <c r="M80">
        <v>0</v>
      </c>
      <c r="N80">
        <v>54.96</v>
      </c>
      <c r="O80">
        <v>0</v>
      </c>
      <c r="P80">
        <v>2</v>
      </c>
    </row>
    <row r="81" spans="1:16" x14ac:dyDescent="0.35">
      <c r="A81" s="1">
        <v>46310</v>
      </c>
      <c r="B81">
        <v>2026</v>
      </c>
      <c r="C81" t="s">
        <v>16</v>
      </c>
      <c r="D81">
        <v>880</v>
      </c>
      <c r="E81" t="s">
        <v>158</v>
      </c>
      <c r="F81" t="s">
        <v>159</v>
      </c>
      <c r="G81" t="s">
        <v>162</v>
      </c>
      <c r="H81" t="s">
        <v>163</v>
      </c>
      <c r="I81">
        <v>200</v>
      </c>
      <c r="J81">
        <v>200</v>
      </c>
      <c r="K81">
        <v>0</v>
      </c>
      <c r="L81">
        <v>4.09</v>
      </c>
      <c r="M81">
        <v>0</v>
      </c>
      <c r="N81">
        <v>818</v>
      </c>
      <c r="O81">
        <v>0</v>
      </c>
      <c r="P81">
        <v>2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158</v>
      </c>
      <c r="F82" t="s">
        <v>159</v>
      </c>
      <c r="G82" t="s">
        <v>73</v>
      </c>
      <c r="H82" t="s">
        <v>74</v>
      </c>
      <c r="I82">
        <v>100</v>
      </c>
      <c r="J82">
        <v>100</v>
      </c>
      <c r="K82">
        <v>0</v>
      </c>
      <c r="L82">
        <v>3.25</v>
      </c>
      <c r="M82">
        <v>0</v>
      </c>
      <c r="N82">
        <v>325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158</v>
      </c>
      <c r="F83" t="s">
        <v>159</v>
      </c>
      <c r="G83" t="s">
        <v>164</v>
      </c>
      <c r="H83" t="s">
        <v>165</v>
      </c>
      <c r="I83">
        <v>140</v>
      </c>
      <c r="J83">
        <v>140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158</v>
      </c>
      <c r="F84" t="s">
        <v>159</v>
      </c>
      <c r="G84" t="s">
        <v>53</v>
      </c>
      <c r="H84" t="s">
        <v>54</v>
      </c>
      <c r="I84">
        <v>100</v>
      </c>
      <c r="J84">
        <v>100</v>
      </c>
      <c r="K84">
        <v>0</v>
      </c>
      <c r="L84">
        <v>3.52</v>
      </c>
      <c r="M84">
        <v>0</v>
      </c>
      <c r="N84">
        <v>352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158</v>
      </c>
      <c r="F85" t="s">
        <v>159</v>
      </c>
      <c r="G85" t="s">
        <v>160</v>
      </c>
      <c r="H85" t="s">
        <v>161</v>
      </c>
      <c r="I85">
        <v>12</v>
      </c>
      <c r="J85">
        <v>12</v>
      </c>
      <c r="K85">
        <v>0</v>
      </c>
      <c r="L85">
        <v>4.58</v>
      </c>
      <c r="M85">
        <v>0</v>
      </c>
      <c r="N85">
        <v>54.96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158</v>
      </c>
      <c r="F86" t="s">
        <v>159</v>
      </c>
      <c r="G86" t="s">
        <v>166</v>
      </c>
      <c r="H86" t="s">
        <v>167</v>
      </c>
      <c r="I86">
        <v>40</v>
      </c>
      <c r="J86">
        <v>40</v>
      </c>
      <c r="K86">
        <v>0</v>
      </c>
      <c r="L86">
        <v>11.6</v>
      </c>
      <c r="M86">
        <v>0</v>
      </c>
      <c r="N86">
        <v>464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881</v>
      </c>
      <c r="E87" t="s">
        <v>125</v>
      </c>
      <c r="F87" t="s">
        <v>126</v>
      </c>
      <c r="G87" t="s">
        <v>57</v>
      </c>
      <c r="H87" t="s">
        <v>58</v>
      </c>
      <c r="I87">
        <v>640</v>
      </c>
      <c r="J87">
        <v>640</v>
      </c>
      <c r="K87">
        <v>0</v>
      </c>
      <c r="L87">
        <v>3.48</v>
      </c>
      <c r="M87">
        <v>0</v>
      </c>
      <c r="N87">
        <v>2227.1999999999998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881</v>
      </c>
      <c r="E88" t="s">
        <v>125</v>
      </c>
      <c r="F88" t="s">
        <v>126</v>
      </c>
      <c r="G88" t="s">
        <v>168</v>
      </c>
      <c r="H88" t="s">
        <v>169</v>
      </c>
      <c r="I88">
        <v>100</v>
      </c>
      <c r="J88">
        <v>100</v>
      </c>
      <c r="K88">
        <v>0</v>
      </c>
      <c r="L88">
        <v>4.5</v>
      </c>
      <c r="M88">
        <v>0</v>
      </c>
      <c r="N88">
        <v>450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125</v>
      </c>
      <c r="F89" t="s">
        <v>126</v>
      </c>
      <c r="G89" t="s">
        <v>170</v>
      </c>
      <c r="H89" t="s">
        <v>171</v>
      </c>
      <c r="I89">
        <v>120</v>
      </c>
      <c r="J89">
        <v>120</v>
      </c>
      <c r="K89">
        <v>0</v>
      </c>
      <c r="L89">
        <v>4.1500000000000004</v>
      </c>
      <c r="M89">
        <v>0</v>
      </c>
      <c r="N89">
        <v>498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882</v>
      </c>
      <c r="E90" t="s">
        <v>172</v>
      </c>
      <c r="F90" t="s">
        <v>173</v>
      </c>
      <c r="G90" t="s">
        <v>57</v>
      </c>
      <c r="H90" t="s">
        <v>58</v>
      </c>
      <c r="I90">
        <v>640</v>
      </c>
      <c r="J90">
        <v>640</v>
      </c>
      <c r="K90">
        <v>0</v>
      </c>
      <c r="L90">
        <v>3.48</v>
      </c>
      <c r="M90">
        <v>0</v>
      </c>
      <c r="N90">
        <v>2227.1999999999998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76</v>
      </c>
      <c r="D91">
        <v>147</v>
      </c>
      <c r="E91" t="s">
        <v>174</v>
      </c>
      <c r="F91" t="s">
        <v>175</v>
      </c>
      <c r="G91" t="s">
        <v>176</v>
      </c>
      <c r="H91" t="s">
        <v>106</v>
      </c>
      <c r="I91">
        <v>19800</v>
      </c>
      <c r="J91">
        <v>0</v>
      </c>
      <c r="K91">
        <v>19800</v>
      </c>
      <c r="L91">
        <v>1.73</v>
      </c>
      <c r="M91">
        <v>0</v>
      </c>
      <c r="N91">
        <v>34254</v>
      </c>
      <c r="O91">
        <v>34254</v>
      </c>
      <c r="P91">
        <v>0</v>
      </c>
    </row>
    <row r="92" spans="1:16" x14ac:dyDescent="0.35">
      <c r="A92" s="1">
        <v>46310</v>
      </c>
      <c r="B92">
        <v>2026</v>
      </c>
      <c r="C92" t="s">
        <v>76</v>
      </c>
      <c r="D92">
        <v>147</v>
      </c>
      <c r="E92" t="s">
        <v>174</v>
      </c>
      <c r="F92" t="s">
        <v>175</v>
      </c>
      <c r="G92" t="s">
        <v>177</v>
      </c>
      <c r="H92" t="s">
        <v>178</v>
      </c>
      <c r="I92">
        <v>3000</v>
      </c>
      <c r="J92">
        <v>0</v>
      </c>
      <c r="K92">
        <v>3000</v>
      </c>
      <c r="L92">
        <v>2.38</v>
      </c>
      <c r="M92">
        <v>0</v>
      </c>
      <c r="N92">
        <v>7140</v>
      </c>
      <c r="O92">
        <v>7140</v>
      </c>
      <c r="P92">
        <v>0</v>
      </c>
    </row>
    <row r="93" spans="1:16" x14ac:dyDescent="0.35">
      <c r="A93" s="1">
        <v>46311</v>
      </c>
      <c r="B93">
        <v>2026</v>
      </c>
      <c r="D93">
        <v>883</v>
      </c>
      <c r="E93">
        <v>430000005</v>
      </c>
      <c r="F93" t="s">
        <v>56</v>
      </c>
      <c r="G93" t="s">
        <v>71</v>
      </c>
      <c r="H93" t="s">
        <v>72</v>
      </c>
      <c r="I93">
        <v>640</v>
      </c>
      <c r="J93">
        <v>640</v>
      </c>
      <c r="K93">
        <v>0</v>
      </c>
      <c r="L93">
        <v>3.65</v>
      </c>
      <c r="M93">
        <v>0</v>
      </c>
      <c r="N93">
        <f>LineasPedidoCliente[[#This Row],[Precio]]*LineasPedidoCliente[[#This Row],[Servidas]]</f>
        <v>2336</v>
      </c>
      <c r="O93">
        <v>0</v>
      </c>
      <c r="P93">
        <v>2</v>
      </c>
    </row>
    <row r="94" spans="1:16" x14ac:dyDescent="0.35">
      <c r="A94" s="1">
        <v>46311</v>
      </c>
      <c r="B94">
        <v>2026</v>
      </c>
      <c r="D94">
        <v>883</v>
      </c>
      <c r="E94">
        <v>430000005</v>
      </c>
      <c r="F94" t="s">
        <v>56</v>
      </c>
      <c r="G94" t="s">
        <v>73</v>
      </c>
      <c r="H94" t="s">
        <v>74</v>
      </c>
      <c r="I94">
        <v>640</v>
      </c>
      <c r="J94">
        <v>640</v>
      </c>
      <c r="K94">
        <v>0</v>
      </c>
      <c r="L94">
        <v>3.19</v>
      </c>
      <c r="M94">
        <v>0</v>
      </c>
      <c r="N94">
        <f>LineasPedidoCliente[[#This Row],[Precio]]*LineasPedidoCliente[[#This Row],[Servidas]]</f>
        <v>2041.6</v>
      </c>
      <c r="O94">
        <v>0</v>
      </c>
      <c r="P94">
        <v>2</v>
      </c>
    </row>
    <row r="95" spans="1:16" x14ac:dyDescent="0.35">
      <c r="A95" s="1">
        <v>46311</v>
      </c>
      <c r="B95">
        <v>2026</v>
      </c>
      <c r="D95">
        <v>884</v>
      </c>
      <c r="E95">
        <v>430000001</v>
      </c>
      <c r="F95" t="s">
        <v>40</v>
      </c>
      <c r="G95" t="s">
        <v>49</v>
      </c>
      <c r="H95" t="s">
        <v>50</v>
      </c>
      <c r="I95">
        <v>800</v>
      </c>
      <c r="J95">
        <v>800</v>
      </c>
      <c r="K95">
        <v>0</v>
      </c>
      <c r="L95">
        <v>3.82</v>
      </c>
      <c r="M95">
        <v>0</v>
      </c>
      <c r="N95">
        <f>LineasPedidoCliente[[#This Row],[Precio]]*LineasPedidoCliente[[#This Row],[Servidas]]</f>
        <v>3056</v>
      </c>
      <c r="O95">
        <v>0</v>
      </c>
      <c r="P95">
        <v>2</v>
      </c>
    </row>
    <row r="96" spans="1:16" x14ac:dyDescent="0.35">
      <c r="A96" s="1">
        <v>46311</v>
      </c>
      <c r="B96">
        <v>2026</v>
      </c>
      <c r="D96">
        <v>885</v>
      </c>
      <c r="E96">
        <v>430000015</v>
      </c>
      <c r="F96" t="s">
        <v>179</v>
      </c>
      <c r="G96" t="s">
        <v>181</v>
      </c>
      <c r="H96" t="s">
        <v>184</v>
      </c>
      <c r="I96">
        <v>1300</v>
      </c>
      <c r="J96">
        <v>1300</v>
      </c>
      <c r="K96">
        <v>0</v>
      </c>
      <c r="L96">
        <v>3.84</v>
      </c>
      <c r="M96">
        <v>0</v>
      </c>
      <c r="N96">
        <f>LineasPedidoCliente[[#This Row],[Precio]]*LineasPedidoCliente[[#This Row],[Pedidas]]</f>
        <v>4992</v>
      </c>
      <c r="O96">
        <v>0</v>
      </c>
      <c r="P96">
        <v>2</v>
      </c>
    </row>
    <row r="97" spans="1:16" x14ac:dyDescent="0.35">
      <c r="A97" s="1">
        <v>46311</v>
      </c>
      <c r="B97">
        <v>2026</v>
      </c>
      <c r="D97">
        <v>885</v>
      </c>
      <c r="E97" t="s">
        <v>180</v>
      </c>
      <c r="F97" t="s">
        <v>179</v>
      </c>
      <c r="G97" t="s">
        <v>182</v>
      </c>
      <c r="H97" t="s">
        <v>185</v>
      </c>
      <c r="I97">
        <v>600</v>
      </c>
      <c r="J97">
        <v>600</v>
      </c>
      <c r="K97">
        <v>0</v>
      </c>
      <c r="L97">
        <v>2.12</v>
      </c>
      <c r="M97">
        <v>0</v>
      </c>
      <c r="N97">
        <f>LineasPedidoCliente[[#This Row],[Precio]]*LineasPedidoCliente[[#This Row],[Pedidas]]</f>
        <v>1272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D98">
        <v>885</v>
      </c>
      <c r="E98" t="s">
        <v>180</v>
      </c>
      <c r="F98" t="s">
        <v>179</v>
      </c>
      <c r="G98" t="s">
        <v>103</v>
      </c>
      <c r="H98" t="s">
        <v>104</v>
      </c>
      <c r="I98">
        <v>1100</v>
      </c>
      <c r="J98">
        <v>1100</v>
      </c>
      <c r="K98">
        <v>0</v>
      </c>
      <c r="L98">
        <v>1.59</v>
      </c>
      <c r="M98">
        <v>0</v>
      </c>
      <c r="N98">
        <f>LineasPedidoCliente[[#This Row],[Precio]]*LineasPedidoCliente[[#This Row],[Pedidas]]</f>
        <v>1749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D99">
        <v>885</v>
      </c>
      <c r="E99" t="s">
        <v>180</v>
      </c>
      <c r="F99" t="s">
        <v>179</v>
      </c>
      <c r="G99" t="s">
        <v>183</v>
      </c>
      <c r="H99" t="s">
        <v>186</v>
      </c>
      <c r="I99">
        <v>2200</v>
      </c>
      <c r="J99">
        <v>2200</v>
      </c>
      <c r="K99">
        <v>0</v>
      </c>
      <c r="L99">
        <v>1.77</v>
      </c>
      <c r="M99">
        <v>0</v>
      </c>
      <c r="N99">
        <f>LineasPedidoCliente[[#This Row],[Precio]]*LineasPedidoCliente[[#This Row],[Pedidas]]</f>
        <v>3894</v>
      </c>
      <c r="O99">
        <v>0</v>
      </c>
      <c r="P99">
        <v>2</v>
      </c>
    </row>
    <row r="100" spans="1:16" x14ac:dyDescent="0.35">
      <c r="A100" s="1">
        <v>46314</v>
      </c>
      <c r="B100">
        <v>2026</v>
      </c>
      <c r="D100">
        <v>886</v>
      </c>
      <c r="E100">
        <v>430000019</v>
      </c>
      <c r="F100" t="s">
        <v>18</v>
      </c>
      <c r="G100" t="s">
        <v>107</v>
      </c>
      <c r="H100" t="s">
        <v>108</v>
      </c>
      <c r="I100">
        <v>640</v>
      </c>
      <c r="J100">
        <v>0</v>
      </c>
      <c r="K100">
        <v>640</v>
      </c>
      <c r="L100">
        <v>5.1100000000000003</v>
      </c>
      <c r="M100">
        <v>0</v>
      </c>
      <c r="N100">
        <f>LineasPedidoCliente[[#This Row],[Precio]]*LineasPedidoCliente[[#This Row],[Pedidas]]</f>
        <v>3270.4</v>
      </c>
      <c r="O100">
        <f>LineasPedidoCliente[[#This Row],[ImporteNeto]]</f>
        <v>3270.4</v>
      </c>
      <c r="P100">
        <v>0</v>
      </c>
    </row>
    <row r="101" spans="1:16" x14ac:dyDescent="0.35">
      <c r="A101" s="1">
        <v>46314</v>
      </c>
      <c r="B101">
        <v>2026</v>
      </c>
      <c r="D101">
        <v>886</v>
      </c>
      <c r="E101" t="s">
        <v>17</v>
      </c>
      <c r="F101" t="s">
        <v>18</v>
      </c>
      <c r="G101" t="s">
        <v>65</v>
      </c>
      <c r="H101" t="s">
        <v>66</v>
      </c>
      <c r="I101">
        <v>200</v>
      </c>
      <c r="J101">
        <v>200</v>
      </c>
      <c r="K101">
        <v>0</v>
      </c>
      <c r="L101">
        <v>10.57</v>
      </c>
      <c r="M101">
        <v>0</v>
      </c>
      <c r="N101">
        <f>LineasPedidoCliente[[#This Row],[Precio]]*LineasPedidoCliente[[#This Row],[Pedidas]]</f>
        <v>2114</v>
      </c>
      <c r="O101">
        <v>0</v>
      </c>
      <c r="P101">
        <v>2</v>
      </c>
    </row>
    <row r="102" spans="1:16" x14ac:dyDescent="0.35">
      <c r="A102" s="1">
        <v>46314</v>
      </c>
      <c r="B102">
        <v>2026</v>
      </c>
      <c r="D102">
        <v>886</v>
      </c>
      <c r="E102" t="s">
        <v>17</v>
      </c>
      <c r="F102" t="s">
        <v>18</v>
      </c>
      <c r="G102" t="s">
        <v>65</v>
      </c>
      <c r="H102" t="s">
        <v>66</v>
      </c>
      <c r="I102">
        <v>5</v>
      </c>
      <c r="J102">
        <v>5</v>
      </c>
      <c r="K102">
        <v>0</v>
      </c>
      <c r="L102">
        <v>0</v>
      </c>
      <c r="M102">
        <v>0</v>
      </c>
      <c r="N102">
        <f>LineasPedidoCliente[[#This Row],[Precio]]*LineasPedidoCliente[[#This Row],[Pedidas]]</f>
        <v>0</v>
      </c>
      <c r="O102">
        <v>0</v>
      </c>
      <c r="P102">
        <v>2</v>
      </c>
    </row>
    <row r="103" spans="1:16" x14ac:dyDescent="0.35">
      <c r="A103" s="1">
        <v>46315</v>
      </c>
      <c r="B103">
        <v>2026</v>
      </c>
      <c r="D103">
        <v>887</v>
      </c>
      <c r="E103" t="s">
        <v>21</v>
      </c>
      <c r="F103" t="s">
        <v>22</v>
      </c>
      <c r="G103" t="s">
        <v>153</v>
      </c>
      <c r="H103" t="s">
        <v>58</v>
      </c>
      <c r="I103">
        <v>1280</v>
      </c>
      <c r="J103">
        <v>0</v>
      </c>
      <c r="K103">
        <v>1280</v>
      </c>
      <c r="L103">
        <v>3.31</v>
      </c>
      <c r="M103">
        <v>0</v>
      </c>
      <c r="N103">
        <f>LineasPedidoCliente[[#This Row],[Precio]]*LineasPedidoCliente[[#This Row],[Pedidas]]</f>
        <v>4236.8</v>
      </c>
      <c r="O103">
        <f>LineasPedidoCliente[[#This Row],[ImporteNeto]]</f>
        <v>4236.8</v>
      </c>
      <c r="P103">
        <v>0</v>
      </c>
    </row>
    <row r="104" spans="1:16" x14ac:dyDescent="0.35">
      <c r="A104" s="1">
        <v>46315</v>
      </c>
      <c r="B104">
        <v>2026</v>
      </c>
      <c r="D104">
        <v>888</v>
      </c>
      <c r="E104" t="s">
        <v>39</v>
      </c>
      <c r="F104" t="s">
        <v>40</v>
      </c>
      <c r="G104" t="s">
        <v>105</v>
      </c>
      <c r="H104" t="s">
        <v>106</v>
      </c>
      <c r="I104">
        <v>3300</v>
      </c>
      <c r="J104">
        <v>3300</v>
      </c>
      <c r="K104">
        <v>0</v>
      </c>
      <c r="L104">
        <v>1.65</v>
      </c>
      <c r="M104">
        <v>0</v>
      </c>
      <c r="N104">
        <f>LineasPedidoCliente[[#This Row],[Pedidas]]*LineasPedidoCliente[[#This Row],[Precio]]</f>
        <v>5445</v>
      </c>
      <c r="O104">
        <v>0</v>
      </c>
      <c r="P104">
        <v>2</v>
      </c>
    </row>
    <row r="105" spans="1:16" x14ac:dyDescent="0.35">
      <c r="A105" s="1">
        <v>46315</v>
      </c>
      <c r="B105">
        <v>2026</v>
      </c>
      <c r="D105">
        <v>888</v>
      </c>
      <c r="E105" t="s">
        <v>39</v>
      </c>
      <c r="F105" t="s">
        <v>40</v>
      </c>
      <c r="G105" t="s">
        <v>103</v>
      </c>
      <c r="H105" t="s">
        <v>104</v>
      </c>
      <c r="I105">
        <v>1100</v>
      </c>
      <c r="J105">
        <v>1100</v>
      </c>
      <c r="K105">
        <v>0</v>
      </c>
      <c r="L105">
        <v>1.82</v>
      </c>
      <c r="M105">
        <v>0</v>
      </c>
      <c r="N105">
        <f>LineasPedidoCliente[[#This Row],[Pedidas]]*LineasPedidoCliente[[#This Row],[Precio]]</f>
        <v>2002</v>
      </c>
      <c r="O105">
        <v>0</v>
      </c>
      <c r="P105">
        <v>2</v>
      </c>
    </row>
    <row r="106" spans="1:16" x14ac:dyDescent="0.35">
      <c r="A106" s="1">
        <v>46315</v>
      </c>
      <c r="B106">
        <v>2026</v>
      </c>
      <c r="D106">
        <v>888</v>
      </c>
      <c r="E106" t="s">
        <v>39</v>
      </c>
      <c r="F106" t="s">
        <v>40</v>
      </c>
      <c r="G106" t="s">
        <v>41</v>
      </c>
      <c r="H106" t="s">
        <v>42</v>
      </c>
      <c r="I106">
        <v>400</v>
      </c>
      <c r="J106">
        <v>400</v>
      </c>
      <c r="K106">
        <v>0</v>
      </c>
      <c r="L106">
        <v>2.0099999999999998</v>
      </c>
      <c r="M106">
        <v>0</v>
      </c>
      <c r="N106">
        <f>LineasPedidoCliente[[#This Row],[Pedidas]]*LineasPedidoCliente[[#This Row],[Precio]]</f>
        <v>803.99999999999989</v>
      </c>
      <c r="O106">
        <v>0</v>
      </c>
      <c r="P106">
        <v>2</v>
      </c>
    </row>
    <row r="107" spans="1:16" x14ac:dyDescent="0.35">
      <c r="A107" s="1">
        <v>46315</v>
      </c>
      <c r="B107">
        <v>2026</v>
      </c>
      <c r="D107">
        <v>888</v>
      </c>
      <c r="E107" t="s">
        <v>39</v>
      </c>
      <c r="F107" t="s">
        <v>40</v>
      </c>
      <c r="G107" t="s">
        <v>47</v>
      </c>
      <c r="H107" t="s">
        <v>48</v>
      </c>
      <c r="I107">
        <v>640</v>
      </c>
      <c r="J107">
        <v>640</v>
      </c>
      <c r="K107">
        <v>0</v>
      </c>
      <c r="L107">
        <v>2.1</v>
      </c>
      <c r="M107">
        <v>0</v>
      </c>
      <c r="N107">
        <f>LineasPedidoCliente[[#This Row],[Pedidas]]*LineasPedidoCliente[[#This Row],[Precio]]</f>
        <v>1344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D108">
        <v>888</v>
      </c>
      <c r="E108" t="s">
        <v>39</v>
      </c>
      <c r="F108" t="s">
        <v>40</v>
      </c>
      <c r="G108" t="s">
        <v>41</v>
      </c>
      <c r="H108" t="s">
        <v>42</v>
      </c>
      <c r="I108">
        <v>2000</v>
      </c>
      <c r="J108">
        <v>2000</v>
      </c>
      <c r="K108">
        <v>0</v>
      </c>
      <c r="L108">
        <v>2.0099999999999998</v>
      </c>
      <c r="M108">
        <v>0</v>
      </c>
      <c r="N108">
        <f>LineasPedidoCliente[[#This Row],[Pedidas]]*LineasPedidoCliente[[#This Row],[Precio]]</f>
        <v>4019.9999999999995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D109">
        <v>889</v>
      </c>
      <c r="E109">
        <v>430000429</v>
      </c>
      <c r="F109" t="s">
        <v>84</v>
      </c>
      <c r="G109" t="s">
        <v>187</v>
      </c>
      <c r="H109" t="s">
        <v>188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f>LineasPedidoCliente[[#This Row],[Pedidas]]*LineasPedidoCliente[[#This Row],[Precio]]</f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D110">
        <v>889</v>
      </c>
      <c r="E110">
        <v>430000429</v>
      </c>
      <c r="F110" t="s">
        <v>84</v>
      </c>
      <c r="G110" t="s">
        <v>151</v>
      </c>
      <c r="H110" t="s">
        <v>152</v>
      </c>
      <c r="I110">
        <v>100</v>
      </c>
      <c r="J110">
        <v>100</v>
      </c>
      <c r="K110">
        <v>0</v>
      </c>
      <c r="L110">
        <v>2.2200000000000002</v>
      </c>
      <c r="M110">
        <v>0</v>
      </c>
      <c r="N110">
        <f>LineasPedidoCliente[[#This Row],[Pedidas]]*LineasPedidoCliente[[#This Row],[Precio]]</f>
        <v>222.00000000000003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D111">
        <v>889</v>
      </c>
      <c r="E111">
        <v>430000429</v>
      </c>
      <c r="F111" t="s">
        <v>84</v>
      </c>
      <c r="G111" t="s">
        <v>73</v>
      </c>
      <c r="H111" t="s">
        <v>74</v>
      </c>
      <c r="I111">
        <v>100</v>
      </c>
      <c r="J111">
        <v>100</v>
      </c>
      <c r="K111">
        <v>0</v>
      </c>
      <c r="L111">
        <v>3.16</v>
      </c>
      <c r="M111">
        <v>0</v>
      </c>
      <c r="N111">
        <f>LineasPedidoCliente[[#This Row],[Pedidas]]*LineasPedidoCliente[[#This Row],[Precio]]</f>
        <v>316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D112">
        <v>889</v>
      </c>
      <c r="E112">
        <v>430000429</v>
      </c>
      <c r="F112" t="s">
        <v>84</v>
      </c>
      <c r="G112" t="s">
        <v>95</v>
      </c>
      <c r="H112" t="s">
        <v>96</v>
      </c>
      <c r="I112">
        <v>200</v>
      </c>
      <c r="J112">
        <v>200</v>
      </c>
      <c r="K112">
        <v>0</v>
      </c>
      <c r="L112">
        <v>2.34</v>
      </c>
      <c r="M112">
        <v>0</v>
      </c>
      <c r="N112">
        <f>LineasPedidoCliente[[#This Row],[Pedidas]]*LineasPedidoCliente[[#This Row],[Precio]]</f>
        <v>468</v>
      </c>
      <c r="O112">
        <v>0</v>
      </c>
      <c r="P112">
        <v>2</v>
      </c>
    </row>
    <row r="113" spans="1:16" x14ac:dyDescent="0.35">
      <c r="A113" s="1"/>
      <c r="D113">
        <v>148</v>
      </c>
      <c r="E113" t="s">
        <v>189</v>
      </c>
      <c r="F113" t="s">
        <v>190</v>
      </c>
      <c r="G113" t="s">
        <v>61</v>
      </c>
      <c r="H113" t="s">
        <v>62</v>
      </c>
      <c r="I113">
        <v>1800</v>
      </c>
      <c r="J113">
        <v>0</v>
      </c>
      <c r="K113">
        <v>1800</v>
      </c>
      <c r="L113">
        <v>1.88</v>
      </c>
      <c r="M113">
        <v>0</v>
      </c>
      <c r="N113">
        <f>LineasPedidoCliente[[#This Row],[Pedidas]]*LineasPedidoCliente[[#This Row],[Precio]]</f>
        <v>3384</v>
      </c>
      <c r="O113">
        <v>3384</v>
      </c>
      <c r="P113">
        <v>0</v>
      </c>
    </row>
    <row r="114" spans="1:16" x14ac:dyDescent="0.35">
      <c r="A114" s="1"/>
      <c r="D114">
        <v>148</v>
      </c>
      <c r="E114" t="s">
        <v>189</v>
      </c>
      <c r="F114" t="s">
        <v>190</v>
      </c>
      <c r="G114" t="s">
        <v>191</v>
      </c>
      <c r="H114" t="s">
        <v>207</v>
      </c>
      <c r="I114">
        <v>1788</v>
      </c>
      <c r="J114">
        <v>0</v>
      </c>
      <c r="K114">
        <v>1788</v>
      </c>
      <c r="L114">
        <v>3.99</v>
      </c>
      <c r="M114">
        <v>0</v>
      </c>
      <c r="N114">
        <f>LineasPedidoCliente[[#This Row],[Pedidas]]*LineasPedidoCliente[[#This Row],[Precio]]</f>
        <v>7134.1200000000008</v>
      </c>
      <c r="O114">
        <v>7134.1200000000008</v>
      </c>
      <c r="P114">
        <v>0</v>
      </c>
    </row>
    <row r="115" spans="1:16" x14ac:dyDescent="0.35">
      <c r="A115" s="1"/>
      <c r="D115">
        <v>148</v>
      </c>
      <c r="E115" t="s">
        <v>189</v>
      </c>
      <c r="F115" t="s">
        <v>190</v>
      </c>
      <c r="G115" t="s">
        <v>192</v>
      </c>
      <c r="H115" t="s">
        <v>208</v>
      </c>
      <c r="I115">
        <v>36</v>
      </c>
      <c r="J115">
        <v>0</v>
      </c>
      <c r="K115">
        <v>36</v>
      </c>
      <c r="L115">
        <v>4.74</v>
      </c>
      <c r="M115">
        <v>0</v>
      </c>
      <c r="N115">
        <f>LineasPedidoCliente[[#This Row],[Pedidas]]*LineasPedidoCliente[[#This Row],[Precio]]</f>
        <v>170.64000000000001</v>
      </c>
      <c r="O115">
        <v>170.64000000000001</v>
      </c>
      <c r="P115">
        <v>0</v>
      </c>
    </row>
    <row r="116" spans="1:16" x14ac:dyDescent="0.35">
      <c r="A116" s="1"/>
      <c r="D116">
        <v>148</v>
      </c>
      <c r="E116" t="s">
        <v>189</v>
      </c>
      <c r="F116" t="s">
        <v>190</v>
      </c>
      <c r="G116" t="s">
        <v>182</v>
      </c>
      <c r="H116" t="s">
        <v>185</v>
      </c>
      <c r="I116">
        <v>3900</v>
      </c>
      <c r="J116">
        <v>0</v>
      </c>
      <c r="K116">
        <v>3900</v>
      </c>
      <c r="L116">
        <v>2.4700000000000002</v>
      </c>
      <c r="M116">
        <v>0</v>
      </c>
      <c r="N116">
        <f>LineasPedidoCliente[[#This Row],[Pedidas]]*LineasPedidoCliente[[#This Row],[Precio]]</f>
        <v>9633</v>
      </c>
      <c r="O116">
        <v>9633</v>
      </c>
      <c r="P116">
        <v>0</v>
      </c>
    </row>
    <row r="117" spans="1:16" x14ac:dyDescent="0.35">
      <c r="A117" s="1"/>
      <c r="D117">
        <v>148</v>
      </c>
      <c r="E117" t="s">
        <v>189</v>
      </c>
      <c r="F117" t="s">
        <v>190</v>
      </c>
      <c r="G117" t="s">
        <v>95</v>
      </c>
      <c r="H117" t="s">
        <v>96</v>
      </c>
      <c r="I117">
        <v>6400</v>
      </c>
      <c r="J117">
        <v>0</v>
      </c>
      <c r="K117">
        <v>6400</v>
      </c>
      <c r="L117">
        <v>2.39</v>
      </c>
      <c r="M117">
        <v>0</v>
      </c>
      <c r="N117">
        <f>LineasPedidoCliente[[#This Row],[Pedidas]]*LineasPedidoCliente[[#This Row],[Precio]]</f>
        <v>15296</v>
      </c>
      <c r="O117">
        <v>15296</v>
      </c>
      <c r="P117">
        <v>0</v>
      </c>
    </row>
    <row r="118" spans="1:16" x14ac:dyDescent="0.35">
      <c r="A118" s="1"/>
      <c r="D118">
        <v>148</v>
      </c>
      <c r="E118" t="s">
        <v>189</v>
      </c>
      <c r="F118" t="s">
        <v>190</v>
      </c>
      <c r="G118" t="s">
        <v>193</v>
      </c>
      <c r="H118" t="s">
        <v>209</v>
      </c>
      <c r="I118">
        <v>2892</v>
      </c>
      <c r="J118">
        <v>0</v>
      </c>
      <c r="K118">
        <v>2892</v>
      </c>
      <c r="L118">
        <v>3.5</v>
      </c>
      <c r="M118">
        <v>0</v>
      </c>
      <c r="N118">
        <f>LineasPedidoCliente[[#This Row],[Pedidas]]*LineasPedidoCliente[[#This Row],[Precio]]</f>
        <v>10122</v>
      </c>
      <c r="O118">
        <v>10122</v>
      </c>
      <c r="P118">
        <v>0</v>
      </c>
    </row>
    <row r="119" spans="1:16" x14ac:dyDescent="0.35">
      <c r="A119" s="1"/>
      <c r="D119">
        <v>148</v>
      </c>
      <c r="E119" t="s">
        <v>189</v>
      </c>
      <c r="F119" t="s">
        <v>190</v>
      </c>
      <c r="G119" t="s">
        <v>194</v>
      </c>
      <c r="H119" t="s">
        <v>210</v>
      </c>
      <c r="I119">
        <v>2808</v>
      </c>
      <c r="J119">
        <v>0</v>
      </c>
      <c r="K119">
        <v>2808</v>
      </c>
      <c r="L119">
        <v>4.75</v>
      </c>
      <c r="M119">
        <v>0</v>
      </c>
      <c r="N119">
        <f>LineasPedidoCliente[[#This Row],[Pedidas]]*LineasPedidoCliente[[#This Row],[Precio]]</f>
        <v>13338</v>
      </c>
      <c r="O119">
        <v>13338</v>
      </c>
      <c r="P119">
        <v>0</v>
      </c>
    </row>
    <row r="120" spans="1:16" x14ac:dyDescent="0.35">
      <c r="A120" s="1"/>
      <c r="D120">
        <v>148</v>
      </c>
      <c r="E120" t="s">
        <v>189</v>
      </c>
      <c r="F120" t="s">
        <v>190</v>
      </c>
      <c r="G120" t="s">
        <v>151</v>
      </c>
      <c r="H120" t="s">
        <v>152</v>
      </c>
      <c r="I120">
        <v>480</v>
      </c>
      <c r="J120">
        <v>0</v>
      </c>
      <c r="K120">
        <v>480</v>
      </c>
      <c r="L120">
        <v>2.42</v>
      </c>
      <c r="M120">
        <v>0</v>
      </c>
      <c r="N120">
        <f>LineasPedidoCliente[[#This Row],[Pedidas]]*LineasPedidoCliente[[#This Row],[Precio]]</f>
        <v>1161.5999999999999</v>
      </c>
      <c r="O120">
        <v>1161.5999999999999</v>
      </c>
      <c r="P120">
        <v>0</v>
      </c>
    </row>
    <row r="121" spans="1:16" x14ac:dyDescent="0.35">
      <c r="A121" s="1"/>
      <c r="D121">
        <v>148</v>
      </c>
      <c r="E121" t="s">
        <v>189</v>
      </c>
      <c r="F121" t="s">
        <v>190</v>
      </c>
      <c r="G121" t="s">
        <v>195</v>
      </c>
      <c r="H121" t="s">
        <v>211</v>
      </c>
      <c r="I121">
        <v>84</v>
      </c>
      <c r="J121">
        <v>0</v>
      </c>
      <c r="K121">
        <v>84</v>
      </c>
      <c r="L121">
        <v>5.58</v>
      </c>
      <c r="M121">
        <v>0</v>
      </c>
      <c r="N121">
        <f>LineasPedidoCliente[[#This Row],[Pedidas]]*LineasPedidoCliente[[#This Row],[Precio]]</f>
        <v>468.72</v>
      </c>
      <c r="O121">
        <v>468.72</v>
      </c>
      <c r="P121">
        <v>0</v>
      </c>
    </row>
    <row r="122" spans="1:16" x14ac:dyDescent="0.35">
      <c r="A122" s="1"/>
      <c r="D122">
        <v>148</v>
      </c>
      <c r="E122" t="s">
        <v>189</v>
      </c>
      <c r="F122" t="s">
        <v>190</v>
      </c>
      <c r="G122" t="s">
        <v>196</v>
      </c>
      <c r="H122" t="s">
        <v>212</v>
      </c>
      <c r="I122">
        <v>1200</v>
      </c>
      <c r="J122">
        <v>0</v>
      </c>
      <c r="K122">
        <v>1200</v>
      </c>
      <c r="L122">
        <v>4.83</v>
      </c>
      <c r="M122">
        <v>0</v>
      </c>
      <c r="N122">
        <f>LineasPedidoCliente[[#This Row],[Pedidas]]*LineasPedidoCliente[[#This Row],[Precio]]</f>
        <v>5796</v>
      </c>
      <c r="O122">
        <v>5796</v>
      </c>
      <c r="P122">
        <v>0</v>
      </c>
    </row>
    <row r="123" spans="1:16" x14ac:dyDescent="0.35">
      <c r="A123" s="1"/>
      <c r="D123">
        <v>148</v>
      </c>
      <c r="E123" t="s">
        <v>189</v>
      </c>
      <c r="F123" t="s">
        <v>190</v>
      </c>
      <c r="G123" t="s">
        <v>197</v>
      </c>
      <c r="H123" t="s">
        <v>213</v>
      </c>
      <c r="I123">
        <v>2448</v>
      </c>
      <c r="J123">
        <v>0</v>
      </c>
      <c r="K123">
        <v>2448</v>
      </c>
      <c r="L123">
        <v>5.31</v>
      </c>
      <c r="M123">
        <v>0</v>
      </c>
      <c r="N123">
        <f>LineasPedidoCliente[[#This Row],[Pedidas]]*LineasPedidoCliente[[#This Row],[Precio]]</f>
        <v>12998.88</v>
      </c>
      <c r="O123">
        <v>12998.88</v>
      </c>
      <c r="P123">
        <v>0</v>
      </c>
    </row>
    <row r="124" spans="1:16" x14ac:dyDescent="0.35">
      <c r="A124" s="1"/>
      <c r="D124">
        <v>148</v>
      </c>
      <c r="E124" t="s">
        <v>189</v>
      </c>
      <c r="F124" t="s">
        <v>190</v>
      </c>
      <c r="G124" t="s">
        <v>198</v>
      </c>
      <c r="H124" t="s">
        <v>214</v>
      </c>
      <c r="I124">
        <v>2040</v>
      </c>
      <c r="J124">
        <v>0</v>
      </c>
      <c r="K124">
        <v>2040</v>
      </c>
      <c r="L124">
        <v>4.7699999999999996</v>
      </c>
      <c r="M124">
        <v>0</v>
      </c>
      <c r="N124">
        <f>LineasPedidoCliente[[#This Row],[Pedidas]]*LineasPedidoCliente[[#This Row],[Precio]]</f>
        <v>9730.7999999999993</v>
      </c>
      <c r="O124">
        <v>9730.7999999999993</v>
      </c>
      <c r="P124">
        <v>0</v>
      </c>
    </row>
    <row r="125" spans="1:16" x14ac:dyDescent="0.35">
      <c r="A125" s="1"/>
      <c r="D125">
        <v>148</v>
      </c>
      <c r="E125" t="s">
        <v>189</v>
      </c>
      <c r="F125" t="s">
        <v>190</v>
      </c>
      <c r="G125" t="s">
        <v>199</v>
      </c>
      <c r="H125" t="s">
        <v>215</v>
      </c>
      <c r="I125">
        <v>984</v>
      </c>
      <c r="J125">
        <v>0</v>
      </c>
      <c r="K125">
        <v>984</v>
      </c>
      <c r="L125">
        <v>5.78</v>
      </c>
      <c r="M125">
        <v>0</v>
      </c>
      <c r="N125">
        <f>LineasPedidoCliente[[#This Row],[Pedidas]]*LineasPedidoCliente[[#This Row],[Precio]]</f>
        <v>5687.52</v>
      </c>
      <c r="O125">
        <v>5687.52</v>
      </c>
      <c r="P125">
        <v>0</v>
      </c>
    </row>
    <row r="126" spans="1:16" x14ac:dyDescent="0.35">
      <c r="A126" s="1"/>
      <c r="D126">
        <v>148</v>
      </c>
      <c r="E126" t="s">
        <v>189</v>
      </c>
      <c r="F126" t="s">
        <v>190</v>
      </c>
      <c r="G126" t="s">
        <v>200</v>
      </c>
      <c r="H126" t="s">
        <v>216</v>
      </c>
      <c r="I126">
        <v>1160</v>
      </c>
      <c r="J126">
        <v>0</v>
      </c>
      <c r="K126">
        <v>1160</v>
      </c>
      <c r="L126">
        <v>3.74</v>
      </c>
      <c r="M126">
        <v>0</v>
      </c>
      <c r="N126">
        <f>LineasPedidoCliente[[#This Row],[Pedidas]]*LineasPedidoCliente[[#This Row],[Precio]]</f>
        <v>4338.4000000000005</v>
      </c>
      <c r="O126">
        <v>4338.4000000000005</v>
      </c>
      <c r="P126">
        <v>0</v>
      </c>
    </row>
    <row r="127" spans="1:16" x14ac:dyDescent="0.35">
      <c r="A127" s="1"/>
      <c r="D127">
        <v>148</v>
      </c>
      <c r="E127" t="s">
        <v>189</v>
      </c>
      <c r="F127" t="s">
        <v>190</v>
      </c>
      <c r="G127" t="s">
        <v>201</v>
      </c>
      <c r="H127" t="s">
        <v>217</v>
      </c>
      <c r="I127">
        <v>1092</v>
      </c>
      <c r="J127">
        <v>0</v>
      </c>
      <c r="K127">
        <v>1092</v>
      </c>
      <c r="L127">
        <v>4.68</v>
      </c>
      <c r="M127">
        <v>0</v>
      </c>
      <c r="N127">
        <f>LineasPedidoCliente[[#This Row],[Pedidas]]*LineasPedidoCliente[[#This Row],[Precio]]</f>
        <v>5110.5599999999995</v>
      </c>
      <c r="O127">
        <v>5110.5599999999995</v>
      </c>
      <c r="P127">
        <v>0</v>
      </c>
    </row>
    <row r="128" spans="1:16" x14ac:dyDescent="0.35">
      <c r="A128" s="1"/>
      <c r="D128">
        <v>148</v>
      </c>
      <c r="E128" t="s">
        <v>189</v>
      </c>
      <c r="F128" t="s">
        <v>190</v>
      </c>
      <c r="G128" t="s">
        <v>202</v>
      </c>
      <c r="H128" t="s">
        <v>54</v>
      </c>
      <c r="I128">
        <v>1260</v>
      </c>
      <c r="J128">
        <v>0</v>
      </c>
      <c r="K128">
        <v>1260</v>
      </c>
      <c r="L128">
        <v>3.21</v>
      </c>
      <c r="M128">
        <v>0</v>
      </c>
      <c r="N128">
        <f>LineasPedidoCliente[[#This Row],[Pedidas]]*LineasPedidoCliente[[#This Row],[Precio]]</f>
        <v>4044.6</v>
      </c>
      <c r="O128">
        <v>4044.6</v>
      </c>
      <c r="P128">
        <v>0</v>
      </c>
    </row>
    <row r="129" spans="1:16" x14ac:dyDescent="0.35">
      <c r="A129" s="1"/>
      <c r="D129">
        <v>148</v>
      </c>
      <c r="E129" t="s">
        <v>189</v>
      </c>
      <c r="F129" t="s">
        <v>190</v>
      </c>
      <c r="G129" t="s">
        <v>203</v>
      </c>
      <c r="H129" t="s">
        <v>161</v>
      </c>
      <c r="I129">
        <v>2520</v>
      </c>
      <c r="J129">
        <v>0</v>
      </c>
      <c r="K129">
        <v>2520</v>
      </c>
      <c r="L129">
        <v>4.16</v>
      </c>
      <c r="M129">
        <v>0</v>
      </c>
      <c r="N129">
        <f>LineasPedidoCliente[[#This Row],[Pedidas]]*LineasPedidoCliente[[#This Row],[Precio]]</f>
        <v>10483.200000000001</v>
      </c>
      <c r="O129">
        <v>10483.200000000001</v>
      </c>
      <c r="P129">
        <v>0</v>
      </c>
    </row>
    <row r="130" spans="1:16" x14ac:dyDescent="0.35">
      <c r="A130" s="1"/>
      <c r="D130">
        <v>148</v>
      </c>
      <c r="E130" t="s">
        <v>189</v>
      </c>
      <c r="F130" t="s">
        <v>190</v>
      </c>
      <c r="G130" t="s">
        <v>204</v>
      </c>
      <c r="H130" t="s">
        <v>218</v>
      </c>
      <c r="I130">
        <v>2904</v>
      </c>
      <c r="J130">
        <v>0</v>
      </c>
      <c r="K130">
        <v>2904</v>
      </c>
      <c r="L130">
        <v>5.87</v>
      </c>
      <c r="M130">
        <v>0</v>
      </c>
      <c r="N130">
        <f>LineasPedidoCliente[[#This Row],[Pedidas]]*LineasPedidoCliente[[#This Row],[Precio]]</f>
        <v>17046.48</v>
      </c>
      <c r="O130">
        <v>17046.48</v>
      </c>
      <c r="P130">
        <v>0</v>
      </c>
    </row>
    <row r="131" spans="1:16" x14ac:dyDescent="0.35">
      <c r="A131" s="1"/>
      <c r="D131">
        <v>148</v>
      </c>
      <c r="E131" t="s">
        <v>189</v>
      </c>
      <c r="F131" t="s">
        <v>190</v>
      </c>
      <c r="G131" t="s">
        <v>205</v>
      </c>
      <c r="H131" t="s">
        <v>219</v>
      </c>
      <c r="I131">
        <v>1088</v>
      </c>
      <c r="J131">
        <v>0</v>
      </c>
      <c r="K131">
        <v>1088</v>
      </c>
      <c r="L131">
        <v>4.53</v>
      </c>
      <c r="M131">
        <v>0</v>
      </c>
      <c r="N131">
        <f>LineasPedidoCliente[[#This Row],[Pedidas]]*LineasPedidoCliente[[#This Row],[Precio]]</f>
        <v>4928.6400000000003</v>
      </c>
      <c r="O131">
        <v>4928.6400000000003</v>
      </c>
      <c r="P131">
        <v>0</v>
      </c>
    </row>
    <row r="132" spans="1:16" x14ac:dyDescent="0.35">
      <c r="A132" s="1"/>
      <c r="D132">
        <v>148</v>
      </c>
      <c r="E132" t="s">
        <v>189</v>
      </c>
      <c r="F132" t="s">
        <v>190</v>
      </c>
      <c r="G132" t="s">
        <v>156</v>
      </c>
      <c r="H132" t="s">
        <v>220</v>
      </c>
      <c r="I132">
        <v>300</v>
      </c>
      <c r="J132">
        <v>0</v>
      </c>
      <c r="K132">
        <v>300</v>
      </c>
      <c r="L132">
        <v>12.83</v>
      </c>
      <c r="M132">
        <v>0</v>
      </c>
      <c r="N132">
        <f>LineasPedidoCliente[[#This Row],[Pedidas]]*LineasPedidoCliente[[#This Row],[Precio]]</f>
        <v>3849</v>
      </c>
      <c r="O132">
        <v>3849</v>
      </c>
      <c r="P132">
        <v>0</v>
      </c>
    </row>
    <row r="133" spans="1:16" x14ac:dyDescent="0.35">
      <c r="A133" s="1"/>
      <c r="D133">
        <v>148</v>
      </c>
      <c r="E133" t="s">
        <v>189</v>
      </c>
      <c r="F133" t="s">
        <v>190</v>
      </c>
      <c r="G133" t="s">
        <v>206</v>
      </c>
      <c r="H133" t="s">
        <v>221</v>
      </c>
      <c r="I133">
        <v>648</v>
      </c>
      <c r="J133">
        <v>0</v>
      </c>
      <c r="K133">
        <v>648</v>
      </c>
      <c r="L133">
        <v>3.83</v>
      </c>
      <c r="M133">
        <v>0</v>
      </c>
      <c r="N133">
        <f>LineasPedidoCliente[[#This Row],[Pedidas]]*LineasPedidoCliente[[#This Row],[Precio]]</f>
        <v>2481.84</v>
      </c>
      <c r="O133">
        <v>2481.84</v>
      </c>
      <c r="P133">
        <v>0</v>
      </c>
    </row>
    <row r="134" spans="1:16" x14ac:dyDescent="0.35">
      <c r="A134" s="1"/>
      <c r="D134">
        <v>891</v>
      </c>
      <c r="E134">
        <v>430000427</v>
      </c>
      <c r="F134" t="s">
        <v>30</v>
      </c>
      <c r="G134" t="s">
        <v>222</v>
      </c>
      <c r="H134" t="s">
        <v>225</v>
      </c>
      <c r="I134">
        <v>2772</v>
      </c>
      <c r="J134">
        <v>0</v>
      </c>
      <c r="K134">
        <v>2772</v>
      </c>
      <c r="L134">
        <v>3.23</v>
      </c>
      <c r="M134">
        <v>0</v>
      </c>
      <c r="N134">
        <f>LineasPedidoCliente[[#This Row],[Pedidas]]*LineasPedidoCliente[[#This Row],[Precio]]</f>
        <v>8953.56</v>
      </c>
      <c r="O134">
        <v>8953.56</v>
      </c>
      <c r="P134">
        <v>0</v>
      </c>
    </row>
    <row r="135" spans="1:16" x14ac:dyDescent="0.35">
      <c r="A135" s="1"/>
      <c r="D135">
        <v>891</v>
      </c>
      <c r="E135">
        <v>430000427</v>
      </c>
      <c r="F135" t="s">
        <v>30</v>
      </c>
      <c r="G135" t="s">
        <v>223</v>
      </c>
      <c r="H135" t="s">
        <v>218</v>
      </c>
      <c r="I135">
        <v>1848</v>
      </c>
      <c r="J135">
        <v>0</v>
      </c>
      <c r="K135">
        <v>1848</v>
      </c>
      <c r="L135">
        <v>4.97</v>
      </c>
      <c r="M135">
        <v>0</v>
      </c>
      <c r="N135">
        <f>LineasPedidoCliente[[#This Row],[Pedidas]]*LineasPedidoCliente[[#This Row],[Precio]]</f>
        <v>9184.56</v>
      </c>
      <c r="O135">
        <v>9184.56</v>
      </c>
      <c r="P135">
        <v>0</v>
      </c>
    </row>
    <row r="136" spans="1:16" x14ac:dyDescent="0.35">
      <c r="A136" s="1"/>
      <c r="D136">
        <v>891</v>
      </c>
      <c r="E136">
        <v>430000427</v>
      </c>
      <c r="F136" t="s">
        <v>30</v>
      </c>
      <c r="G136" t="s">
        <v>191</v>
      </c>
      <c r="H136" t="s">
        <v>207</v>
      </c>
      <c r="I136">
        <v>2772</v>
      </c>
      <c r="J136">
        <v>0</v>
      </c>
      <c r="K136">
        <v>2772</v>
      </c>
      <c r="L136">
        <v>3.29</v>
      </c>
      <c r="M136">
        <v>0</v>
      </c>
      <c r="N136">
        <f>LineasPedidoCliente[[#This Row],[Pedidas]]*LineasPedidoCliente[[#This Row],[Precio]]</f>
        <v>9119.8799999999992</v>
      </c>
      <c r="O136">
        <v>9119.8799999999992</v>
      </c>
      <c r="P136">
        <v>0</v>
      </c>
    </row>
    <row r="137" spans="1:16" x14ac:dyDescent="0.35">
      <c r="A137" s="1"/>
      <c r="D137">
        <v>891</v>
      </c>
      <c r="E137">
        <v>430000427</v>
      </c>
      <c r="F137" t="s">
        <v>30</v>
      </c>
      <c r="G137" t="s">
        <v>194</v>
      </c>
      <c r="H137" t="s">
        <v>210</v>
      </c>
      <c r="I137">
        <v>1848</v>
      </c>
      <c r="J137">
        <v>0</v>
      </c>
      <c r="K137">
        <v>1848</v>
      </c>
      <c r="L137">
        <v>3.42</v>
      </c>
      <c r="M137">
        <v>0</v>
      </c>
      <c r="N137">
        <f>LineasPedidoCliente[[#This Row],[Pedidas]]*LineasPedidoCliente[[#This Row],[Precio]]</f>
        <v>6320.16</v>
      </c>
      <c r="O137">
        <v>6320.16</v>
      </c>
      <c r="P137">
        <v>0</v>
      </c>
    </row>
    <row r="138" spans="1:16" x14ac:dyDescent="0.35">
      <c r="A138" s="1"/>
      <c r="D138">
        <v>891</v>
      </c>
      <c r="E138">
        <v>430000427</v>
      </c>
      <c r="F138" t="s">
        <v>30</v>
      </c>
      <c r="G138" t="s">
        <v>224</v>
      </c>
      <c r="H138" t="s">
        <v>226</v>
      </c>
      <c r="I138">
        <v>1920</v>
      </c>
      <c r="J138">
        <v>0</v>
      </c>
      <c r="K138">
        <v>1920</v>
      </c>
      <c r="L138">
        <v>3.29</v>
      </c>
      <c r="M138">
        <v>0</v>
      </c>
      <c r="N138">
        <f>LineasPedidoCliente[[#This Row],[Pedidas]]*LineasPedidoCliente[[#This Row],[Precio]]</f>
        <v>6316.8</v>
      </c>
      <c r="O138">
        <v>6316.8</v>
      </c>
      <c r="P138">
        <v>0</v>
      </c>
    </row>
    <row r="139" spans="1:16" x14ac:dyDescent="0.35">
      <c r="A139" s="1"/>
      <c r="D139">
        <v>892</v>
      </c>
      <c r="E139">
        <v>430000019</v>
      </c>
      <c r="F139" t="s">
        <v>18</v>
      </c>
      <c r="G139" t="s">
        <v>227</v>
      </c>
      <c r="H139" t="s">
        <v>228</v>
      </c>
      <c r="I139">
        <v>600</v>
      </c>
      <c r="J139">
        <v>0</v>
      </c>
      <c r="K139">
        <v>600</v>
      </c>
      <c r="L139">
        <v>3.07</v>
      </c>
      <c r="M139">
        <v>0</v>
      </c>
      <c r="N139">
        <f>LineasPedidoCliente[[#This Row],[Pedidas]]*LineasPedidoCliente[[#This Row],[Precio]]</f>
        <v>1842</v>
      </c>
      <c r="O139">
        <f>LineasPedidoCliente[[#This Row],[Pedidas]]*LineasPedidoCliente[[#This Row],[Precio]]</f>
        <v>1842</v>
      </c>
      <c r="P139">
        <v>0</v>
      </c>
    </row>
    <row r="140" spans="1:16" x14ac:dyDescent="0.35">
      <c r="A140" s="1"/>
      <c r="C140" s="2"/>
      <c r="D140">
        <v>893</v>
      </c>
      <c r="E140" s="3" t="s">
        <v>51</v>
      </c>
      <c r="F140" s="4" t="s">
        <v>52</v>
      </c>
      <c r="G140" s="2" t="s">
        <v>129</v>
      </c>
      <c r="H140" s="5" t="s">
        <v>130</v>
      </c>
      <c r="I140" s="6">
        <v>300</v>
      </c>
      <c r="J140" s="6">
        <v>300</v>
      </c>
      <c r="K140">
        <v>0</v>
      </c>
      <c r="L140">
        <v>4.8600000000000003</v>
      </c>
      <c r="M140">
        <v>0</v>
      </c>
      <c r="N140">
        <f>LineasPedidoCliente[[#This Row],[Precio]]*LineasPedidoCliente[[#This Row],[Pedidas]]</f>
        <v>1458</v>
      </c>
      <c r="O140">
        <v>0</v>
      </c>
      <c r="P140">
        <v>2</v>
      </c>
    </row>
    <row r="141" spans="1:16" x14ac:dyDescent="0.35">
      <c r="A141" s="1"/>
      <c r="C141" s="2"/>
      <c r="D141">
        <v>893</v>
      </c>
      <c r="E141" s="4" t="s">
        <v>51</v>
      </c>
      <c r="F141" s="4" t="s">
        <v>52</v>
      </c>
      <c r="G141" s="2" t="s">
        <v>151</v>
      </c>
      <c r="H141" s="5" t="s">
        <v>152</v>
      </c>
      <c r="I141" s="6">
        <v>300</v>
      </c>
      <c r="J141" s="6">
        <v>300</v>
      </c>
      <c r="K141">
        <v>0</v>
      </c>
      <c r="L141">
        <v>2.2599999999999998</v>
      </c>
      <c r="M141">
        <v>0</v>
      </c>
      <c r="N141" s="6">
        <f>LineasPedidoCliente[[#This Row],[Precio]]*LineasPedidoCliente[[#This Row],[Pedidas]]</f>
        <v>677.99999999999989</v>
      </c>
      <c r="O141">
        <v>0</v>
      </c>
      <c r="P141">
        <v>2</v>
      </c>
    </row>
    <row r="142" spans="1:16" x14ac:dyDescent="0.35">
      <c r="A142" s="1"/>
      <c r="C142" s="2"/>
      <c r="D142">
        <v>149</v>
      </c>
      <c r="E142" s="7" t="s">
        <v>229</v>
      </c>
      <c r="F142" s="7" t="s">
        <v>230</v>
      </c>
      <c r="G142" s="2" t="s">
        <v>231</v>
      </c>
      <c r="H142" s="2" t="s">
        <v>236</v>
      </c>
      <c r="I142">
        <v>2000</v>
      </c>
      <c r="J142">
        <v>0</v>
      </c>
      <c r="K142">
        <v>2000</v>
      </c>
      <c r="L142">
        <v>2.92</v>
      </c>
      <c r="M142">
        <v>0</v>
      </c>
      <c r="N142">
        <f>LineasPedidoCliente[[#This Row],[Pedidas]]*LineasPedidoCliente[[#This Row],[Precio]]</f>
        <v>5840</v>
      </c>
      <c r="O142">
        <v>5840</v>
      </c>
      <c r="P142">
        <v>0</v>
      </c>
    </row>
    <row r="143" spans="1:16" x14ac:dyDescent="0.35">
      <c r="A143" s="1"/>
      <c r="C143" s="2"/>
      <c r="D143" s="6">
        <v>149</v>
      </c>
      <c r="E143" s="7" t="s">
        <v>229</v>
      </c>
      <c r="F143" s="7" t="s">
        <v>230</v>
      </c>
      <c r="G143" s="2" t="s">
        <v>232</v>
      </c>
      <c r="H143" s="2" t="s">
        <v>237</v>
      </c>
      <c r="I143">
        <v>3000</v>
      </c>
      <c r="J143">
        <v>0</v>
      </c>
      <c r="K143">
        <v>3000</v>
      </c>
      <c r="L143">
        <v>3.36</v>
      </c>
      <c r="M143">
        <v>0</v>
      </c>
      <c r="N143" s="7">
        <f>LineasPedidoCliente[[#This Row],[Pedidas]]*LineasPedidoCliente[[#This Row],[Precio]]</f>
        <v>10080</v>
      </c>
      <c r="O143">
        <v>10080</v>
      </c>
      <c r="P143">
        <v>0</v>
      </c>
    </row>
    <row r="144" spans="1:16" x14ac:dyDescent="0.35">
      <c r="A144" s="1"/>
      <c r="C144" s="2"/>
      <c r="D144" s="6">
        <v>149</v>
      </c>
      <c r="E144" s="7" t="s">
        <v>229</v>
      </c>
      <c r="F144" s="7" t="s">
        <v>230</v>
      </c>
      <c r="G144" s="2" t="s">
        <v>233</v>
      </c>
      <c r="H144" s="2" t="s">
        <v>238</v>
      </c>
      <c r="I144">
        <v>2200</v>
      </c>
      <c r="J144">
        <v>0</v>
      </c>
      <c r="K144">
        <v>2200</v>
      </c>
      <c r="L144">
        <v>2.5299999999999998</v>
      </c>
      <c r="M144">
        <v>0</v>
      </c>
      <c r="N144" s="7">
        <f>LineasPedidoCliente[[#This Row],[Pedidas]]*LineasPedidoCliente[[#This Row],[Precio]]</f>
        <v>5566</v>
      </c>
      <c r="O144">
        <v>5566</v>
      </c>
      <c r="P144">
        <v>0</v>
      </c>
    </row>
    <row r="145" spans="1:16" x14ac:dyDescent="0.35">
      <c r="A145" s="1"/>
      <c r="C145" s="2"/>
      <c r="D145" s="6">
        <v>149</v>
      </c>
      <c r="E145" s="7" t="s">
        <v>229</v>
      </c>
      <c r="F145" s="7" t="s">
        <v>230</v>
      </c>
      <c r="G145" s="2" t="s">
        <v>234</v>
      </c>
      <c r="H145" s="2" t="s">
        <v>239</v>
      </c>
      <c r="I145">
        <v>2000</v>
      </c>
      <c r="J145">
        <v>0</v>
      </c>
      <c r="K145">
        <v>2000</v>
      </c>
      <c r="L145">
        <v>2.27</v>
      </c>
      <c r="M145">
        <v>0</v>
      </c>
      <c r="N145" s="7">
        <f>LineasPedidoCliente[[#This Row],[Pedidas]]*LineasPedidoCliente[[#This Row],[Precio]]</f>
        <v>4540</v>
      </c>
      <c r="O145">
        <v>4540</v>
      </c>
      <c r="P145">
        <v>0</v>
      </c>
    </row>
    <row r="146" spans="1:16" x14ac:dyDescent="0.35">
      <c r="A146" s="1"/>
      <c r="C146" s="2"/>
      <c r="D146" s="6">
        <v>149</v>
      </c>
      <c r="E146" s="7" t="s">
        <v>229</v>
      </c>
      <c r="F146" s="7" t="s">
        <v>230</v>
      </c>
      <c r="G146" s="2" t="s">
        <v>235</v>
      </c>
      <c r="H146" s="2" t="s">
        <v>240</v>
      </c>
      <c r="I146">
        <v>1000</v>
      </c>
      <c r="J146">
        <v>0</v>
      </c>
      <c r="K146">
        <v>1000</v>
      </c>
      <c r="L146">
        <v>6.1</v>
      </c>
      <c r="M146">
        <v>0</v>
      </c>
      <c r="N146" s="7">
        <f>LineasPedidoCliente[[#This Row],[Pedidas]]*LineasPedidoCliente[[#This Row],[Precio]]</f>
        <v>6100</v>
      </c>
      <c r="O146">
        <v>6100</v>
      </c>
      <c r="P146">
        <v>0</v>
      </c>
    </row>
    <row r="147" spans="1:16" x14ac:dyDescent="0.35">
      <c r="A147" s="1"/>
      <c r="C147" s="2"/>
      <c r="D147" s="6">
        <v>149</v>
      </c>
      <c r="E147" s="7" t="s">
        <v>229</v>
      </c>
      <c r="F147" s="7" t="s">
        <v>230</v>
      </c>
      <c r="G147" s="2" t="s">
        <v>105</v>
      </c>
      <c r="H147" s="2" t="s">
        <v>241</v>
      </c>
      <c r="I147">
        <v>11000</v>
      </c>
      <c r="J147">
        <v>0</v>
      </c>
      <c r="K147">
        <v>11000</v>
      </c>
      <c r="L147">
        <v>1.65</v>
      </c>
      <c r="M147">
        <v>0</v>
      </c>
      <c r="N147" s="7">
        <f>LineasPedidoCliente[[#This Row],[Pedidas]]*LineasPedidoCliente[[#This Row],[Precio]]</f>
        <v>18150</v>
      </c>
      <c r="O147">
        <v>18150</v>
      </c>
      <c r="P147">
        <v>0</v>
      </c>
    </row>
    <row r="148" spans="1:16" x14ac:dyDescent="0.35">
      <c r="A148" s="1"/>
      <c r="C148" s="2"/>
      <c r="D148">
        <v>149</v>
      </c>
      <c r="E148" s="7" t="s">
        <v>229</v>
      </c>
      <c r="F148" s="7" t="s">
        <v>230</v>
      </c>
      <c r="G148" s="2" t="s">
        <v>232</v>
      </c>
      <c r="H148" s="2" t="s">
        <v>237</v>
      </c>
      <c r="I148">
        <v>1000</v>
      </c>
      <c r="J148">
        <v>0</v>
      </c>
      <c r="K148">
        <v>1000</v>
      </c>
      <c r="L148">
        <v>3.36</v>
      </c>
      <c r="M148">
        <v>0</v>
      </c>
      <c r="N148">
        <f>LineasPedidoCliente[[#This Row],[Precio]]*LineasPedidoCliente[[#This Row],[Pedidas]]</f>
        <v>3360</v>
      </c>
      <c r="O148">
        <v>3360</v>
      </c>
      <c r="P148">
        <v>0</v>
      </c>
    </row>
    <row r="149" spans="1:16" x14ac:dyDescent="0.35">
      <c r="A149" s="1"/>
      <c r="C149" s="2"/>
      <c r="D149">
        <v>149</v>
      </c>
      <c r="E149" s="7" t="s">
        <v>229</v>
      </c>
      <c r="F149" s="7" t="s">
        <v>230</v>
      </c>
      <c r="G149" s="2" t="s">
        <v>231</v>
      </c>
      <c r="H149" s="2" t="s">
        <v>236</v>
      </c>
      <c r="I149">
        <v>2000</v>
      </c>
      <c r="J149">
        <v>0</v>
      </c>
      <c r="K149">
        <v>2000</v>
      </c>
      <c r="L149">
        <v>2.92</v>
      </c>
      <c r="M149">
        <v>0</v>
      </c>
      <c r="N149" s="7">
        <f>LineasPedidoCliente[[#This Row],[Precio]]*LineasPedidoCliente[[#This Row],[Pedidas]]</f>
        <v>5840</v>
      </c>
      <c r="O149">
        <v>5840</v>
      </c>
      <c r="P149">
        <v>0</v>
      </c>
    </row>
    <row r="150" spans="1:16" x14ac:dyDescent="0.35">
      <c r="A150" s="1"/>
      <c r="C150" s="2"/>
      <c r="D150">
        <v>149</v>
      </c>
      <c r="E150" s="7" t="s">
        <v>229</v>
      </c>
      <c r="F150" s="7" t="s">
        <v>230</v>
      </c>
      <c r="G150" s="2" t="s">
        <v>242</v>
      </c>
      <c r="H150" s="2" t="s">
        <v>246</v>
      </c>
      <c r="I150">
        <v>1000</v>
      </c>
      <c r="J150">
        <v>0</v>
      </c>
      <c r="K150">
        <v>1000</v>
      </c>
      <c r="L150">
        <v>3.37</v>
      </c>
      <c r="M150">
        <v>0</v>
      </c>
      <c r="N150" s="7">
        <f>LineasPedidoCliente[[#This Row],[Precio]]*LineasPedidoCliente[[#This Row],[Pedidas]]</f>
        <v>3370</v>
      </c>
      <c r="O150">
        <v>3370</v>
      </c>
      <c r="P150">
        <v>0</v>
      </c>
    </row>
    <row r="151" spans="1:16" x14ac:dyDescent="0.35">
      <c r="A151" s="1"/>
      <c r="C151" s="2"/>
      <c r="D151">
        <v>149</v>
      </c>
      <c r="E151" s="7" t="s">
        <v>229</v>
      </c>
      <c r="F151" s="7" t="s">
        <v>230</v>
      </c>
      <c r="G151" s="2" t="s">
        <v>243</v>
      </c>
      <c r="H151" s="2" t="s">
        <v>247</v>
      </c>
      <c r="I151">
        <v>1000</v>
      </c>
      <c r="J151">
        <v>0</v>
      </c>
      <c r="K151">
        <v>1000</v>
      </c>
      <c r="L151">
        <v>2.92</v>
      </c>
      <c r="M151">
        <v>0</v>
      </c>
      <c r="N151" s="7">
        <f>LineasPedidoCliente[[#This Row],[Precio]]*LineasPedidoCliente[[#This Row],[Pedidas]]</f>
        <v>2920</v>
      </c>
      <c r="O151">
        <v>2920</v>
      </c>
      <c r="P151">
        <v>0</v>
      </c>
    </row>
    <row r="152" spans="1:16" x14ac:dyDescent="0.35">
      <c r="A152" s="1"/>
      <c r="C152" s="2"/>
      <c r="D152">
        <v>149</v>
      </c>
      <c r="E152" s="7" t="s">
        <v>229</v>
      </c>
      <c r="F152" s="7" t="s">
        <v>230</v>
      </c>
      <c r="G152" s="2" t="s">
        <v>244</v>
      </c>
      <c r="H152" s="2" t="s">
        <v>248</v>
      </c>
      <c r="I152">
        <v>2000</v>
      </c>
      <c r="J152">
        <v>0</v>
      </c>
      <c r="K152">
        <v>2000</v>
      </c>
      <c r="L152">
        <v>2.88</v>
      </c>
      <c r="M152">
        <v>0</v>
      </c>
      <c r="N152" s="7">
        <f>LineasPedidoCliente[[#This Row],[Precio]]*LineasPedidoCliente[[#This Row],[Pedidas]]</f>
        <v>5760</v>
      </c>
      <c r="O152">
        <v>5760</v>
      </c>
      <c r="P152">
        <v>0</v>
      </c>
    </row>
    <row r="153" spans="1:16" x14ac:dyDescent="0.35">
      <c r="A153" s="1"/>
      <c r="C153" s="2"/>
      <c r="D153">
        <v>149</v>
      </c>
      <c r="E153" s="7" t="s">
        <v>229</v>
      </c>
      <c r="F153" s="7" t="s">
        <v>230</v>
      </c>
      <c r="G153" s="2" t="s">
        <v>235</v>
      </c>
      <c r="H153" s="2" t="s">
        <v>240</v>
      </c>
      <c r="I153">
        <v>1000</v>
      </c>
      <c r="J153">
        <v>0</v>
      </c>
      <c r="K153">
        <v>1000</v>
      </c>
      <c r="L153">
        <v>6.1</v>
      </c>
      <c r="M153">
        <v>0</v>
      </c>
      <c r="N153" s="7">
        <f>LineasPedidoCliente[[#This Row],[Precio]]*LineasPedidoCliente[[#This Row],[Pedidas]]</f>
        <v>6100</v>
      </c>
      <c r="O153">
        <v>6100</v>
      </c>
      <c r="P153">
        <v>0</v>
      </c>
    </row>
    <row r="154" spans="1:16" x14ac:dyDescent="0.35">
      <c r="A154" s="1"/>
      <c r="C154" s="2"/>
      <c r="D154">
        <v>149</v>
      </c>
      <c r="E154" s="7" t="s">
        <v>229</v>
      </c>
      <c r="F154" s="7" t="s">
        <v>230</v>
      </c>
      <c r="G154" s="2" t="s">
        <v>150</v>
      </c>
      <c r="H154" s="2" t="s">
        <v>249</v>
      </c>
      <c r="I154">
        <v>640</v>
      </c>
      <c r="J154">
        <v>0</v>
      </c>
      <c r="K154">
        <v>640</v>
      </c>
      <c r="L154">
        <v>3.72</v>
      </c>
      <c r="M154">
        <v>0</v>
      </c>
      <c r="N154" s="7">
        <f>LineasPedidoCliente[[#This Row],[Precio]]*LineasPedidoCliente[[#This Row],[Pedidas]]</f>
        <v>2380.8000000000002</v>
      </c>
      <c r="O154">
        <v>2380.8000000000002</v>
      </c>
      <c r="P154">
        <v>0</v>
      </c>
    </row>
    <row r="155" spans="1:16" x14ac:dyDescent="0.35">
      <c r="A155" s="1"/>
      <c r="C155" s="2"/>
      <c r="D155">
        <v>149</v>
      </c>
      <c r="E155" s="7" t="s">
        <v>229</v>
      </c>
      <c r="F155" s="7" t="s">
        <v>230</v>
      </c>
      <c r="G155" s="2" t="s">
        <v>245</v>
      </c>
      <c r="H155" s="2" t="s">
        <v>250</v>
      </c>
      <c r="I155">
        <v>1000</v>
      </c>
      <c r="J155">
        <v>0</v>
      </c>
      <c r="K155">
        <v>1000</v>
      </c>
      <c r="L155">
        <v>4.6900000000000004</v>
      </c>
      <c r="M155">
        <v>0</v>
      </c>
      <c r="N155" s="7">
        <f>LineasPedidoCliente[[#This Row],[Precio]]*LineasPedidoCliente[[#This Row],[Pedidas]]</f>
        <v>4690</v>
      </c>
      <c r="O155">
        <v>4690</v>
      </c>
      <c r="P155">
        <v>0</v>
      </c>
    </row>
    <row r="156" spans="1:16" x14ac:dyDescent="0.35">
      <c r="A156" s="1"/>
      <c r="C156" s="2"/>
      <c r="D156">
        <v>149</v>
      </c>
      <c r="E156" s="7" t="s">
        <v>229</v>
      </c>
      <c r="F156" s="7" t="s">
        <v>230</v>
      </c>
      <c r="G156" s="2" t="s">
        <v>105</v>
      </c>
      <c r="H156" s="2" t="s">
        <v>241</v>
      </c>
      <c r="I156">
        <v>11000</v>
      </c>
      <c r="J156">
        <v>0</v>
      </c>
      <c r="K156">
        <v>11000</v>
      </c>
      <c r="L156">
        <v>1.65</v>
      </c>
      <c r="M156">
        <v>0</v>
      </c>
      <c r="N156" s="7">
        <f>LineasPedidoCliente[[#This Row],[Precio]]*LineasPedidoCliente[[#This Row],[Pedidas]]</f>
        <v>18150</v>
      </c>
      <c r="O156">
        <v>18150</v>
      </c>
      <c r="P156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AA0605-CC66-4772-B072-630BD14263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2026-10-20T05:43:34Z</dcterms:created>
  <dcterms:modified xsi:type="dcterms:W3CDTF">2026-10-23T06:31:58Z</dcterms:modified>
</cp:coreProperties>
</file>