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710" yWindow="-110" windowWidth="25820" windowHeight="13900" tabRatio="600" firstSheet="0" activeTab="0" autoFilterDateGrouping="1"/>
  </bookViews>
  <sheets>
    <sheet xmlns:r="http://schemas.openxmlformats.org/officeDocument/2006/relationships" name="PL Mensual 2026" sheetId="1" state="visible" r:id="rId1"/>
    <sheet xmlns:r="http://schemas.openxmlformats.org/officeDocument/2006/relationships" name="PL Mensual 2027" sheetId="2" state="visible" r:id="rId2"/>
  </sheets>
  <definedNames>
    <definedName name="Datos">#REF!</definedName>
    <definedName name="_xlnm._FilterDatabase" localSheetId="0" hidden="1">'PL Mensual 2026'!$B$3:$W$259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#,##0.00;[Red]\-#,##0.00;&quot;-&quot;"/>
    <numFmt numFmtId="166" formatCode="#,##0.00;[Red]-#,##0.00;&quot;-&quot;"/>
    <numFmt numFmtId="167" formatCode="yyyy-mm-dd h:mm:ss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color theme="0"/>
      <sz val="10.5"/>
    </font>
    <font>
      <name val="Calibri"/>
      <b val="1"/>
      <color rgb="FF000000"/>
      <sz val="10"/>
    </font>
    <font>
      <name val="Calibri"/>
      <sz val="9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6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1"/>
    <xf numFmtId="0" fontId="2" fillId="2" borderId="0" applyAlignment="1" pivotButton="0" quotePrefix="0" xfId="0">
      <alignment horizontal="left"/>
    </xf>
    <xf numFmtId="17" fontId="2" fillId="2" borderId="0" applyAlignment="1" pivotButton="0" quotePrefix="0" xfId="0">
      <alignment horizontal="left"/>
    </xf>
    <xf numFmtId="165" fontId="0" fillId="0" borderId="0" pivotButton="0" quotePrefix="0" xfId="0"/>
    <xf numFmtId="165" fontId="0" fillId="0" borderId="0" pivotButton="0" quotePrefix="0" xfId="1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164" fontId="0" fillId="0" borderId="0" pivotButton="0" quotePrefix="0" xfId="1"/>
    <xf numFmtId="166" fontId="0" fillId="0" borderId="0" pivotButton="0" quotePrefix="0" xfId="0"/>
    <xf numFmtId="166" fontId="0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67" fontId="2" fillId="2" borderId="0" applyAlignment="1" pivotButton="0" quotePrefix="0" xfId="0">
      <alignment horizontal="left"/>
    </xf>
    <xf numFmtId="0" fontId="1" fillId="0" borderId="0" pivotButton="0" quotePrefix="0" xfId="0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259"/>
  <sheetViews>
    <sheetView tabSelected="1" topLeftCell="L172" zoomScale="85" zoomScaleNormal="85" workbookViewId="0">
      <selection activeCell="B4" sqref="B1:X1048576"/>
    </sheetView>
  </sheetViews>
  <sheetFormatPr baseColWidth="10" defaultRowHeight="14.5"/>
  <cols>
    <col width="2" customWidth="1" min="1" max="1"/>
    <col width="14.26953125" customWidth="1" min="2" max="2"/>
    <col width="12" customWidth="1" min="3" max="3"/>
    <col width="24.453125" customWidth="1" min="4" max="4"/>
    <col width="30.26953125" customWidth="1" min="5" max="5"/>
    <col width="29.1796875" customWidth="1" min="6" max="6"/>
    <col width="51.81640625" customWidth="1" min="7" max="7"/>
    <col width="58.54296875" customWidth="1" min="8" max="8"/>
    <col width="64.81640625" bestFit="1" customWidth="1" min="9" max="9"/>
    <col width="30.26953125" bestFit="1" customWidth="1" min="10" max="10"/>
    <col width="16" customWidth="1" min="11" max="14"/>
    <col width="16" customWidth="1" style="9" min="15" max="15"/>
    <col width="16" bestFit="1" customWidth="1" min="16" max="16"/>
    <col width="16" bestFit="1" customWidth="1" style="9" min="17" max="17"/>
    <col width="16" bestFit="1" customWidth="1" min="18" max="19"/>
    <col width="16" customWidth="1" min="20" max="20"/>
    <col width="16" bestFit="1" customWidth="1" min="21" max="21"/>
    <col width="16" customWidth="1" min="22" max="22"/>
    <col width="16" bestFit="1" customWidth="1" min="23" max="23"/>
    <col width="70" customWidth="1" min="24" max="24"/>
  </cols>
  <sheetData>
    <row r="2">
      <c r="K2" s="10">
        <f>SUBTOTAL(9,K4:K205)</f>
        <v/>
      </c>
      <c r="L2" s="10">
        <f>SUBTOTAL(9,L4:L205)</f>
        <v/>
      </c>
      <c r="M2" s="10">
        <f>SUBTOTAL(9,M4:M205)</f>
        <v/>
      </c>
      <c r="N2" s="10">
        <f>SUBTOTAL(9,N4:N205)</f>
        <v/>
      </c>
      <c r="O2" s="11">
        <f>SUBTOTAL(9,O4:O205)</f>
        <v/>
      </c>
      <c r="P2" s="11">
        <f>SUBTOTAL(9,P4:P205)</f>
        <v/>
      </c>
      <c r="Q2" s="11">
        <f>SUBTOTAL(9,Q4:Q205)</f>
        <v/>
      </c>
      <c r="R2" s="10">
        <f>SUBTOTAL(9,R4:R205)</f>
        <v/>
      </c>
      <c r="S2" s="10">
        <f>SUBTOTAL(9,S4:S205)</f>
        <v/>
      </c>
      <c r="T2" s="10">
        <f>SUBTOTAL(9,T4:T205)</f>
        <v/>
      </c>
      <c r="U2" s="10">
        <f>SUBTOTAL(9,U4:U205)</f>
        <v/>
      </c>
      <c r="V2" s="10">
        <f>SUBTOTAL(9,V4:V205)</f>
        <v/>
      </c>
      <c r="W2" s="10">
        <f>SUBTOTAL(9,W4:W205)</f>
        <v/>
      </c>
    </row>
    <row r="3">
      <c r="B3" s="3" t="inlineStr">
        <is>
          <t>Periodo</t>
        </is>
      </c>
      <c r="C3" s="3" t="inlineStr">
        <is>
          <t>Empresa</t>
        </is>
      </c>
      <c r="D3" s="3" t="inlineStr">
        <is>
          <t>Nivel 1</t>
        </is>
      </c>
      <c r="E3" s="3" t="inlineStr">
        <is>
          <t>Nivel 2</t>
        </is>
      </c>
      <c r="F3" s="3" t="inlineStr">
        <is>
          <t>Nivel 3</t>
        </is>
      </c>
      <c r="G3" s="3" t="inlineStr">
        <is>
          <t>Nivel 4</t>
        </is>
      </c>
      <c r="H3" s="3" t="inlineStr">
        <is>
          <t>Nivel 5</t>
        </is>
      </c>
      <c r="I3" s="3" t="inlineStr">
        <is>
          <t>Cuenta</t>
        </is>
      </c>
      <c r="J3" s="3" t="inlineStr">
        <is>
          <t>Grupo Ext Item</t>
        </is>
      </c>
      <c r="K3" s="4" t="n">
        <v>46023</v>
      </c>
      <c r="L3" s="4" t="n">
        <v>46054</v>
      </c>
      <c r="M3" s="4" t="n">
        <v>46082</v>
      </c>
      <c r="N3" s="4" t="n">
        <v>46113</v>
      </c>
      <c r="O3" s="4" t="n">
        <v>46143</v>
      </c>
      <c r="P3" s="4" t="n">
        <v>46174</v>
      </c>
      <c r="Q3" s="4" t="n">
        <v>46204</v>
      </c>
      <c r="R3" s="4" t="n">
        <v>46235</v>
      </c>
      <c r="S3" s="4" t="n">
        <v>46266</v>
      </c>
      <c r="T3" s="4" t="n">
        <v>46296</v>
      </c>
      <c r="U3" s="4" t="n">
        <v>46327</v>
      </c>
      <c r="V3" s="4" t="n">
        <v>46357</v>
      </c>
      <c r="W3" s="4" t="inlineStr">
        <is>
          <t>Total 2026</t>
        </is>
      </c>
      <c r="X3" s="7" t="inlineStr">
        <is>
          <t>Criterio Previsión (Sep-Dic 2026 - Modificaciones)</t>
        </is>
      </c>
    </row>
    <row r="4">
      <c r="B4" t="n">
        <v>2026</v>
      </c>
      <c r="C4" t="inlineStr">
        <is>
          <t>Codiagro</t>
        </is>
      </c>
      <c r="D4" t="inlineStr">
        <is>
          <t>RESULTADO DEL EJERCICIO</t>
        </is>
      </c>
      <c r="E4" t="inlineStr">
        <is>
          <t>RESULTADO ANTES DE IMPUESTOS</t>
        </is>
      </c>
      <c r="F4" t="inlineStr">
        <is>
          <t>RESULTADO DE LA EXPLOTACION</t>
        </is>
      </c>
      <c r="G4" t="inlineStr">
        <is>
          <t>1.- Importe neto de la cifra de negocios</t>
        </is>
      </c>
      <c r="H4" t="inlineStr">
        <is>
          <t>(700) Ventas</t>
        </is>
      </c>
      <c r="I4" t="inlineStr">
        <is>
          <t>700000000 - Ventas de mercaderías</t>
        </is>
      </c>
      <c r="J4" t="inlineStr">
        <is>
          <t>-</t>
        </is>
      </c>
      <c r="K4" s="1" t="n">
        <v>993280.49</v>
      </c>
      <c r="L4" s="1" t="n">
        <v>1607537.98</v>
      </c>
      <c r="M4" s="1" t="n">
        <v>1536177.86</v>
      </c>
      <c r="N4" s="1" t="n">
        <v>1217250.42</v>
      </c>
      <c r="O4" s="9" t="n">
        <v>2029266.99</v>
      </c>
      <c r="P4" s="1" t="n">
        <v>2009948.67</v>
      </c>
      <c r="Q4" s="1" t="n">
        <v>1288443.64</v>
      </c>
      <c r="R4" s="12" t="n">
        <v>802410.5600000001</v>
      </c>
      <c r="S4" s="12" t="n">
        <v>480563.3</v>
      </c>
      <c r="T4" s="12" t="n">
        <v>910333.55</v>
      </c>
      <c r="U4" s="12" t="n">
        <v>1223802.77</v>
      </c>
      <c r="V4" s="12" t="n">
        <v>1321267.54</v>
      </c>
      <c r="W4" s="12">
        <f>SUM(K4:V4)</f>
        <v/>
      </c>
      <c r="X4" s="8" t="inlineStr">
        <is>
          <t>Presupuesto de Ventas 2026 ajustado para cuadrar la Cifra Neta de Negocios en 15.180.000,00 € exactos tras considerar la provisión anual de rappels (333k€) y gestión de envases.</t>
        </is>
      </c>
    </row>
    <row r="5">
      <c r="B5" t="n">
        <v>2026</v>
      </c>
      <c r="C5" t="inlineStr">
        <is>
          <t>Codiagro</t>
        </is>
      </c>
      <c r="D5" t="inlineStr">
        <is>
          <t>RESULTADO DEL EJERCICIO</t>
        </is>
      </c>
      <c r="E5" t="inlineStr">
        <is>
          <t>RESULTADO ANTES DE IMPUESTOS</t>
        </is>
      </c>
      <c r="F5" t="inlineStr">
        <is>
          <t>RESULTADO DE LA EXPLOTACION</t>
        </is>
      </c>
      <c r="G5" t="inlineStr">
        <is>
          <t>1.- Importe neto de la cifra de negocios</t>
        </is>
      </c>
      <c r="H5" t="inlineStr">
        <is>
          <t>(700) Ventas</t>
        </is>
      </c>
      <c r="I5" t="inlineStr">
        <is>
          <t>700000001 - VENTA MERCADERIAS POR ANTICIPO</t>
        </is>
      </c>
      <c r="J5" t="inlineStr">
        <is>
          <t>-</t>
        </is>
      </c>
      <c r="K5" s="1" t="n">
        <v>0</v>
      </c>
      <c r="L5" s="1" t="n">
        <v>0</v>
      </c>
      <c r="M5" s="1" t="n">
        <v>0</v>
      </c>
      <c r="N5" s="1" t="n">
        <v>106250.17</v>
      </c>
      <c r="O5" s="9" t="n">
        <v>-106250.17</v>
      </c>
      <c r="P5" s="1" t="inlineStr">
        <is>
          <t xml:space="preserve">                            -  </t>
        </is>
      </c>
      <c r="Q5" s="1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>
        <f>SUM(K5:V5)</f>
        <v/>
      </c>
      <c r="X5" s="8" t="inlineStr">
        <is>
          <t>Cuenta sin saldo en el ejercicio. Sin previsión de movimientos.</t>
        </is>
      </c>
    </row>
    <row r="6">
      <c r="B6" t="n">
        <v>2026</v>
      </c>
      <c r="C6" t="inlineStr">
        <is>
          <t>Codiagro</t>
        </is>
      </c>
      <c r="D6" t="inlineStr">
        <is>
          <t>RESULTADO DEL EJERCICIO</t>
        </is>
      </c>
      <c r="E6" t="inlineStr">
        <is>
          <t>RESULTADO ANTES DE IMPUESTOS</t>
        </is>
      </c>
      <c r="F6" t="inlineStr">
        <is>
          <t>RESULTADO DE LA EXPLOTACION</t>
        </is>
      </c>
      <c r="G6" t="inlineStr">
        <is>
          <t>1.- Importe neto de la cifra de negocios</t>
        </is>
      </c>
      <c r="H6" t="inlineStr">
        <is>
          <t>(700) Ventas</t>
        </is>
      </c>
      <c r="I6" t="inlineStr">
        <is>
          <t>700000624 - VENTA POR TRANSP. REP. AL CLIENTE</t>
        </is>
      </c>
      <c r="J6" t="inlineStr">
        <is>
          <t>-</t>
        </is>
      </c>
      <c r="K6" s="1" t="n">
        <v>17921.38</v>
      </c>
      <c r="L6" s="1" t="n">
        <v>12025.38</v>
      </c>
      <c r="M6" s="1" t="n">
        <v>8455.549999999999</v>
      </c>
      <c r="N6" s="1" t="n">
        <v>0</v>
      </c>
      <c r="O6" s="9" t="n">
        <v>0</v>
      </c>
      <c r="P6" s="1" t="inlineStr">
        <is>
          <t xml:space="preserve">                            -  </t>
        </is>
      </c>
      <c r="Q6" s="1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>
        <f>SUM(K6:V6)</f>
        <v/>
      </c>
      <c r="X6" s="8" t="inlineStr">
        <is>
          <t>Partida puntual / no recurrente en el periodo enero-agosto. Sin movimiento adicional proyectado para el último cuatrimestre.</t>
        </is>
      </c>
    </row>
    <row r="7">
      <c r="B7" t="n">
        <v>2026</v>
      </c>
      <c r="C7" t="inlineStr">
        <is>
          <t>Codiagro</t>
        </is>
      </c>
      <c r="D7" t="inlineStr">
        <is>
          <t>RESULTADO DEL EJERCICIO</t>
        </is>
      </c>
      <c r="E7" t="inlineStr">
        <is>
          <t>RESULTADO ANTES DE IMPUESTOS</t>
        </is>
      </c>
      <c r="F7" t="inlineStr">
        <is>
          <t>RESULTADO DE LA EXPLOTACION</t>
        </is>
      </c>
      <c r="G7" t="inlineStr">
        <is>
          <t>5.- Otros ingresos de explotación</t>
        </is>
      </c>
      <c r="H7" t="inlineStr">
        <is>
          <t>(700) Ventas</t>
        </is>
      </c>
      <c r="I7" t="inlineStr">
        <is>
          <t>700001624 - VENTA POR TRANSPORTE REP. AL CLIENTE DEFINITIVO</t>
        </is>
      </c>
      <c r="J7" t="inlineStr">
        <is>
          <t>-</t>
        </is>
      </c>
      <c r="K7" s="1" t="n">
        <v>0</v>
      </c>
      <c r="L7" s="1" t="n">
        <v>0</v>
      </c>
      <c r="M7" s="1" t="n">
        <v>0</v>
      </c>
      <c r="N7" s="1" t="n">
        <v>750.75</v>
      </c>
      <c r="O7" s="9" t="n">
        <v>25140.75</v>
      </c>
      <c r="P7" s="1" t="n">
        <v>22977.6</v>
      </c>
      <c r="Q7" s="1" t="n">
        <v>11027.24</v>
      </c>
      <c r="R7" s="12" t="n">
        <v>11429</v>
      </c>
      <c r="S7" s="12" t="n">
        <v>5286.2</v>
      </c>
      <c r="T7" s="12" t="n">
        <v>10013.67</v>
      </c>
      <c r="U7" s="12" t="n">
        <v>13461.83</v>
      </c>
      <c r="V7" s="12" t="n">
        <v>14533.94</v>
      </c>
      <c r="W7" s="12">
        <f>SUM(K7:V7)</f>
        <v/>
      </c>
      <c r="X7" s="8" t="inlineStr">
        <is>
          <t>Coste/Ingreso variable según volumen de ventas y fletes repercutidos al cliente (ratio histórico 1,10% s/ventas) + inflación de fletes.</t>
        </is>
      </c>
    </row>
    <row r="8">
      <c r="B8" t="n">
        <v>2026</v>
      </c>
      <c r="C8" t="inlineStr">
        <is>
          <t>Codiagro</t>
        </is>
      </c>
      <c r="D8" t="inlineStr">
        <is>
          <t>RESULTADO DEL EJERCICIO</t>
        </is>
      </c>
      <c r="E8" t="inlineStr">
        <is>
          <t>RESULTADO ANTES DE IMPUESTOS</t>
        </is>
      </c>
      <c r="F8" t="inlineStr">
        <is>
          <t>RESULTADO DE LA EXPLOTACION</t>
        </is>
      </c>
      <c r="G8" t="inlineStr">
        <is>
          <t>1.- Importe neto de la cifra de negocios</t>
        </is>
      </c>
      <c r="H8" t="inlineStr">
        <is>
          <t>(700) Ventas</t>
        </is>
      </c>
      <c r="I8" t="inlineStr">
        <is>
          <t>700000769 - INGRESOS POR RETRASOS DE COBRO Y ACTUALIZACION</t>
        </is>
      </c>
      <c r="J8" t="inlineStr">
        <is>
          <t>-</t>
        </is>
      </c>
      <c r="K8" s="1" t="n">
        <v>5635.79</v>
      </c>
      <c r="L8" s="1" t="n">
        <v>202.81</v>
      </c>
      <c r="M8" s="1" t="n">
        <v>178.05</v>
      </c>
      <c r="N8" s="1" t="n">
        <v>0</v>
      </c>
      <c r="O8" s="9" t="inlineStr">
        <is>
          <t xml:space="preserve">                            -  </t>
        </is>
      </c>
      <c r="P8" s="1" t="inlineStr">
        <is>
          <t xml:space="preserve">                            -  </t>
        </is>
      </c>
      <c r="Q8" s="1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>
        <f>SUM(K8:V8)</f>
        <v/>
      </c>
      <c r="X8" s="8" t="inlineStr">
        <is>
          <t>Partida puntual / no recurrente en el periodo enero-agosto. Sin movimiento adicional proyectado para el último cuatrimestre.</t>
        </is>
      </c>
    </row>
    <row r="9">
      <c r="B9" t="n">
        <v>2026</v>
      </c>
      <c r="C9" t="inlineStr">
        <is>
          <t>Codiagro</t>
        </is>
      </c>
      <c r="D9" t="inlineStr">
        <is>
          <t>RESULTADO DEL EJERCICIO</t>
        </is>
      </c>
      <c r="E9" t="inlineStr">
        <is>
          <t>RESULTADO ANTES DE IMPUESTOS</t>
        </is>
      </c>
      <c r="F9" t="inlineStr">
        <is>
          <t>RESULTADO FINANCIERO</t>
        </is>
      </c>
      <c r="G9" t="inlineStr">
        <is>
          <t>14.- Ingresos financieros</t>
        </is>
      </c>
      <c r="H9" t="inlineStr">
        <is>
          <t>(700) Ventas</t>
        </is>
      </c>
      <c r="I9" t="inlineStr">
        <is>
          <t>700000769 - INGRESOS POR RETRASOS DE COBRO Y ACTUALIZACION</t>
        </is>
      </c>
      <c r="J9" t="inlineStr">
        <is>
          <t>-</t>
        </is>
      </c>
      <c r="K9" s="1" t="n">
        <v>0</v>
      </c>
      <c r="L9" s="1" t="n">
        <v>0</v>
      </c>
      <c r="M9" s="1" t="n">
        <v>0</v>
      </c>
      <c r="N9" s="1" t="n">
        <v>0</v>
      </c>
      <c r="O9" s="9" t="inlineStr">
        <is>
          <t xml:space="preserve">                            -  </t>
        </is>
      </c>
      <c r="P9" s="1" t="inlineStr">
        <is>
          <t xml:space="preserve">                            -  </t>
        </is>
      </c>
      <c r="Q9" s="1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>
        <f>SUM(K9:V9)</f>
        <v/>
      </c>
      <c r="X9" s="8" t="inlineStr">
        <is>
          <t>Cuenta sin saldo en el ejercicio. Sin previsión de movimientos.</t>
        </is>
      </c>
    </row>
    <row r="10">
      <c r="B10" t="n">
        <v>2026</v>
      </c>
      <c r="C10" t="inlineStr">
        <is>
          <t>Codiagro</t>
        </is>
      </c>
      <c r="D10" t="inlineStr">
        <is>
          <t>RESULTADO DEL EJERCICIO</t>
        </is>
      </c>
      <c r="E10" t="inlineStr">
        <is>
          <t>RESULTADO ANTES DE IMPUESTOS</t>
        </is>
      </c>
      <c r="F10" t="inlineStr">
        <is>
          <t>RESULTADO DE LA EXPLOTACION</t>
        </is>
      </c>
      <c r="G10" t="inlineStr">
        <is>
          <t>1.- Importe neto de la cifra de negocios</t>
        </is>
      </c>
      <c r="H10" t="inlineStr">
        <is>
          <t>(702) Ventas de productos semiterminados</t>
        </is>
      </c>
      <c r="I10" t="inlineStr">
        <is>
          <t>702000000 - Ventas de productos semiterminados</t>
        </is>
      </c>
      <c r="J10" t="inlineStr">
        <is>
          <t>-</t>
        </is>
      </c>
      <c r="K10" s="1" t="n">
        <v>0</v>
      </c>
      <c r="L10" s="1" t="n">
        <v>0</v>
      </c>
      <c r="M10" s="1" t="n">
        <v>0</v>
      </c>
      <c r="N10" s="1" t="n">
        <v>51164.86</v>
      </c>
      <c r="P10" s="1" t="n"/>
      <c r="Q10" s="1" t="n"/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>
        <f>SUM(K10:V10)</f>
        <v/>
      </c>
      <c r="X10" s="8" t="inlineStr">
        <is>
          <t>Partida puntual / no recurrente en el periodo enero-agosto. Sin movimiento adicional proyectado para el último cuatrimestre.</t>
        </is>
      </c>
    </row>
    <row r="11">
      <c r="B11" t="n">
        <v>2026</v>
      </c>
      <c r="C11" t="inlineStr">
        <is>
          <t>Codiagro</t>
        </is>
      </c>
      <c r="D11" t="inlineStr">
        <is>
          <t>RESULTADO DEL EJERCICIO</t>
        </is>
      </c>
      <c r="E11" t="inlineStr">
        <is>
          <t>RESULTADO ANTES DE IMPUESTOS</t>
        </is>
      </c>
      <c r="F11" t="inlineStr">
        <is>
          <t>RESULTADO DE LA EXPLOTACION</t>
        </is>
      </c>
      <c r="G11" t="inlineStr">
        <is>
          <t>1.- Importe neto de la cifra de negocios</t>
        </is>
      </c>
      <c r="H11" t="inlineStr">
        <is>
          <t>(703) Ventas por subproductos y residuos</t>
        </is>
      </c>
      <c r="I11" t="inlineStr">
        <is>
          <t>703000000 - Ventas de subproductos y residuos</t>
        </is>
      </c>
      <c r="J11" t="inlineStr">
        <is>
          <t>-</t>
        </is>
      </c>
      <c r="K11" s="1" t="n">
        <v>0</v>
      </c>
      <c r="L11" s="1" t="n">
        <v>0</v>
      </c>
      <c r="M11" s="1" t="n">
        <v>26.26</v>
      </c>
      <c r="N11" s="1" t="n">
        <v>0</v>
      </c>
      <c r="O11" s="9" t="inlineStr">
        <is>
          <t xml:space="preserve">                            -  </t>
        </is>
      </c>
      <c r="P11" s="1" t="inlineStr">
        <is>
          <t xml:space="preserve">                            -  </t>
        </is>
      </c>
      <c r="Q11" s="1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>
        <f>SUM(K11:V11)</f>
        <v/>
      </c>
      <c r="X11" s="8" t="inlineStr">
        <is>
          <t>Partida puntual / no recurrente en el periodo enero-agosto. Sin movimiento adicional proyectado para el último cuatrimestre.</t>
        </is>
      </c>
    </row>
    <row r="12">
      <c r="B12" t="n">
        <v>2026</v>
      </c>
      <c r="C12" t="inlineStr">
        <is>
          <t>Codiagro</t>
        </is>
      </c>
      <c r="D12" t="inlineStr">
        <is>
          <t>RESULTADO DEL EJERCICIO</t>
        </is>
      </c>
      <c r="E12" t="inlineStr">
        <is>
          <t>RESULTADO ANTES DE IMPUESTOS</t>
        </is>
      </c>
      <c r="F12" t="inlineStr">
        <is>
          <t>RESULTADO DE LA EXPLOTACION</t>
        </is>
      </c>
      <c r="G12" t="inlineStr">
        <is>
          <t>1.- Importe neto de la cifra de negocios</t>
        </is>
      </c>
      <c r="H12" t="inlineStr">
        <is>
          <t>(704) Venta de envases y embalajes</t>
        </is>
      </c>
      <c r="I12" t="inlineStr">
        <is>
          <t>704000000 - Ventas de envases y embalajes</t>
        </is>
      </c>
      <c r="J12" t="inlineStr">
        <is>
          <t>-</t>
        </is>
      </c>
      <c r="K12" s="1" t="n">
        <v>0</v>
      </c>
      <c r="L12" s="1" t="n">
        <v>4500</v>
      </c>
      <c r="M12" s="1" t="n">
        <v>13500</v>
      </c>
      <c r="N12" s="1" t="n">
        <v>35533.66</v>
      </c>
      <c r="O12" s="9" t="n">
        <v>0</v>
      </c>
      <c r="P12" s="1" t="n">
        <v>0</v>
      </c>
      <c r="Q12" s="1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>
        <f>SUM(K12:V12)</f>
        <v/>
      </c>
      <c r="X12" s="8" t="inlineStr">
        <is>
          <t>Partida puntual / no recurrente en el periodo enero-agosto. Sin movimiento adicional proyectado para el último cuatrimestre.</t>
        </is>
      </c>
    </row>
    <row r="13">
      <c r="B13" t="n">
        <v>2026</v>
      </c>
      <c r="C13" t="inlineStr">
        <is>
          <t>Codiagro</t>
        </is>
      </c>
      <c r="D13" t="inlineStr">
        <is>
          <t>RESULTADO DEL EJERCICIO</t>
        </is>
      </c>
      <c r="E13" t="inlineStr">
        <is>
          <t>RESULTADO ANTES DE IMPUESTOS</t>
        </is>
      </c>
      <c r="F13" t="inlineStr">
        <is>
          <t>RESULTADO DE LA EXPLOTACION</t>
        </is>
      </c>
      <c r="G13" t="inlineStr">
        <is>
          <t>1.- Importe neto de la cifra de negocios</t>
        </is>
      </c>
      <c r="H13" t="inlineStr">
        <is>
          <t>(705) Prestación de servicios</t>
        </is>
      </c>
      <c r="I13" t="inlineStr">
        <is>
          <t>705000000 - Prestaciones de servicios</t>
        </is>
      </c>
      <c r="J13" t="inlineStr">
        <is>
          <t>-</t>
        </is>
      </c>
      <c r="K13" s="1" t="n">
        <v>0</v>
      </c>
      <c r="L13" s="1" t="n">
        <v>0</v>
      </c>
      <c r="M13" s="1" t="n">
        <v>0</v>
      </c>
      <c r="N13" s="1" t="n">
        <v>48700.8</v>
      </c>
      <c r="P13" s="1" t="n"/>
      <c r="Q13" s="1" t="n"/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>
        <f>SUM(K13:V13)</f>
        <v/>
      </c>
      <c r="X13" s="8" t="inlineStr">
        <is>
          <t>Partida puntual / no recurrente en el periodo enero-agosto. Sin movimiento adicional proyectado para el último cuatrimestre.</t>
        </is>
      </c>
    </row>
    <row r="14">
      <c r="B14" t="n">
        <v>2026</v>
      </c>
      <c r="C14" t="inlineStr">
        <is>
          <t>Codiagro</t>
        </is>
      </c>
      <c r="D14" t="inlineStr">
        <is>
          <t>RESULTADO DEL EJERCICIO</t>
        </is>
      </c>
      <c r="E14" t="inlineStr">
        <is>
          <t>RESULTADO ANTES DE IMPUESTOS</t>
        </is>
      </c>
      <c r="F14" t="inlineStr">
        <is>
          <t>RESULTADO DE LA EXPLOTACION</t>
        </is>
      </c>
      <c r="G14" t="inlineStr">
        <is>
          <t>1.- Importe neto de la cifra de negocios</t>
        </is>
      </c>
      <c r="H14" t="inlineStr">
        <is>
          <t>(705) Prestación de servicios</t>
        </is>
      </c>
      <c r="I14" t="inlineStr">
        <is>
          <t>705000001 - INGRESO POR GESTIÓN DE ENVASES</t>
        </is>
      </c>
      <c r="J14" t="inlineStr">
        <is>
          <t>-</t>
        </is>
      </c>
      <c r="K14" s="1" t="n">
        <v>1295.63</v>
      </c>
      <c r="L14" s="1" t="n">
        <v>6097.12</v>
      </c>
      <c r="M14" s="1" t="n">
        <v>-1420.15</v>
      </c>
      <c r="N14" s="1" t="n">
        <v>3246.37</v>
      </c>
      <c r="O14" s="9" t="n">
        <v>2913.09</v>
      </c>
      <c r="P14" s="1" t="n">
        <v>2313.16</v>
      </c>
      <c r="Q14" s="1" t="n">
        <v>2210.59</v>
      </c>
      <c r="R14" s="12" t="n">
        <v>1694.59</v>
      </c>
      <c r="S14" s="12" t="n">
        <v>2520.44</v>
      </c>
      <c r="T14" s="12" t="n">
        <v>1721.46</v>
      </c>
      <c r="U14" s="12" t="n">
        <v>1519.01</v>
      </c>
      <c r="V14" s="12" t="n">
        <v>5378.56</v>
      </c>
      <c r="W14" s="12">
        <f>SUM(K14:V14)</f>
        <v/>
      </c>
      <c r="X14" s="8" t="inlineStr">
        <is>
          <t>Modelo de gestión de envases (Envases y transportes.xlsx): histórico 2025 ajustado por +12,35% en unidades y +4,5% en tarifas (factor 1,1685).</t>
        </is>
      </c>
    </row>
    <row r="15">
      <c r="B15" t="n">
        <v>2026</v>
      </c>
      <c r="C15" t="inlineStr">
        <is>
          <t>Codiagro</t>
        </is>
      </c>
      <c r="D15" t="inlineStr">
        <is>
          <t>RESULTADO DEL EJERCICIO</t>
        </is>
      </c>
      <c r="E15" t="inlineStr">
        <is>
          <t>RESULTADO ANTES DE IMPUESTOS</t>
        </is>
      </c>
      <c r="F15" t="inlineStr">
        <is>
          <t>RESULTADO DE LA EXPLOTACION</t>
        </is>
      </c>
      <c r="G15" t="inlineStr">
        <is>
          <t>1.- Importe neto de la cifra de negocios</t>
        </is>
      </c>
      <c r="H15" t="inlineStr">
        <is>
          <t>(706) Dto. s/vtas p.p.</t>
        </is>
      </c>
      <c r="I15" t="inlineStr">
        <is>
          <t>706000000 - Dtos. ventas por pronto pago mercaderías</t>
        </is>
      </c>
      <c r="J15" t="inlineStr">
        <is>
          <t>-</t>
        </is>
      </c>
      <c r="K15" s="1" t="n">
        <v>-34316.16</v>
      </c>
      <c r="L15" s="1" t="n">
        <v>-77173.86</v>
      </c>
      <c r="M15" s="1" t="n">
        <v>-22849.78</v>
      </c>
      <c r="N15" s="1" t="n">
        <v>0</v>
      </c>
      <c r="O15" s="9" t="n">
        <v>0</v>
      </c>
      <c r="P15" s="1" t="inlineStr">
        <is>
          <t xml:space="preserve">                            -  </t>
        </is>
      </c>
      <c r="Q15" s="1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>
        <f>SUM(K15:V15)</f>
        <v/>
      </c>
      <c r="X15" s="8" t="inlineStr">
        <is>
          <t>Partida puntual / no recurrente en el periodo enero-agosto. Sin movimiento adicional proyectado para el último cuatrimestre.</t>
        </is>
      </c>
    </row>
    <row r="16">
      <c r="B16" t="n">
        <v>2026</v>
      </c>
      <c r="C16" t="inlineStr">
        <is>
          <t>Codiagro</t>
        </is>
      </c>
      <c r="D16" t="inlineStr">
        <is>
          <t>RESULTADO DEL EJERCICIO</t>
        </is>
      </c>
      <c r="E16" t="inlineStr">
        <is>
          <t>RESULTADO ANTES DE IMPUESTOS</t>
        </is>
      </c>
      <c r="F16" t="inlineStr">
        <is>
          <t>RESULTADO DE LA EXPLOTACION</t>
        </is>
      </c>
      <c r="G16" t="inlineStr">
        <is>
          <t>1.- Importe neto de la cifra de negocios</t>
        </is>
      </c>
      <c r="H16" t="inlineStr">
        <is>
          <t>(709) Bonificaciones s/ventas</t>
        </is>
      </c>
      <c r="I16" t="inlineStr">
        <is>
          <t>709000000 - «Rappels» ventas de mercaderías</t>
        </is>
      </c>
      <c r="J16" t="inlineStr">
        <is>
          <t>-</t>
        </is>
      </c>
      <c r="K16" s="1" t="n">
        <v>0</v>
      </c>
      <c r="L16" s="1" t="n">
        <v>0</v>
      </c>
      <c r="M16" s="1" t="n">
        <v>-278.38</v>
      </c>
      <c r="N16" s="1" t="n">
        <v>0</v>
      </c>
      <c r="O16" s="9" t="inlineStr">
        <is>
          <t xml:space="preserve">                            -  </t>
        </is>
      </c>
      <c r="P16" s="1" t="inlineStr">
        <is>
          <t xml:space="preserve">                            -  </t>
        </is>
      </c>
      <c r="Q16" s="1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>
        <f>SUM(K16:V16)</f>
        <v/>
      </c>
      <c r="X16" s="8" t="inlineStr">
        <is>
          <t>Partida puntual / no recurrente en el periodo enero-agosto. Sin movimiento adicional proyectado para el último cuatrimestre.</t>
        </is>
      </c>
    </row>
    <row r="17">
      <c r="B17" t="n">
        <v>2026</v>
      </c>
      <c r="C17" t="inlineStr">
        <is>
          <t>Codiagro</t>
        </is>
      </c>
      <c r="D17" t="inlineStr">
        <is>
          <t>RESULTADO DEL EJERCICIO</t>
        </is>
      </c>
      <c r="E17" t="inlineStr">
        <is>
          <t>RESULTADO ANTES DE IMPUESTOS</t>
        </is>
      </c>
      <c r="F17" t="inlineStr">
        <is>
          <t>RESULTADO DE LA EXPLOTACION</t>
        </is>
      </c>
      <c r="G17" t="inlineStr">
        <is>
          <t>1.- Importe neto de la cifra de negocios</t>
        </is>
      </c>
      <c r="H17" t="inlineStr">
        <is>
          <t>(709) Bonificaciones s/ventas</t>
        </is>
      </c>
      <c r="I17" t="inlineStr">
        <is>
          <t>709000001 - PROVISION RAPPELS</t>
        </is>
      </c>
      <c r="J17" t="inlineStr">
        <is>
          <t>-</t>
        </is>
      </c>
      <c r="K17" s="1" t="n">
        <v>0</v>
      </c>
      <c r="L17" s="1" t="n">
        <v>-82761.28</v>
      </c>
      <c r="M17" s="1" t="n">
        <v>0</v>
      </c>
      <c r="N17" s="1" t="n">
        <v>0</v>
      </c>
      <c r="O17" s="9" t="inlineStr">
        <is>
          <t xml:space="preserve">                            -  </t>
        </is>
      </c>
      <c r="P17" s="1" t="n">
        <v>-50000</v>
      </c>
      <c r="Q17" s="1" t="n">
        <v>0</v>
      </c>
      <c r="R17" s="12" t="n">
        <v>-16000</v>
      </c>
      <c r="S17" s="12" t="n">
        <v>0</v>
      </c>
      <c r="T17" s="12" t="n">
        <v>0</v>
      </c>
      <c r="U17" s="12" t="n">
        <v>0</v>
      </c>
      <c r="V17" s="12" t="n">
        <v>-184238.72</v>
      </c>
      <c r="W17" s="12">
        <f>SUM(K17:V17)</f>
        <v/>
      </c>
      <c r="X17" s="8" t="inlineStr">
        <is>
          <t>Provisión por rappels comerciales ajustada para alcanzar el objetivo anual exacto de 333.000,00 € (-148.761,28 € reales Ene-Ago + -184.238,72 € provisión Dic).</t>
        </is>
      </c>
    </row>
    <row r="18">
      <c r="B18" t="n">
        <v>2026</v>
      </c>
      <c r="C18" t="inlineStr">
        <is>
          <t>Codiagro</t>
        </is>
      </c>
      <c r="D18" t="inlineStr">
        <is>
          <t>RESULTADO DEL EJERCICIO</t>
        </is>
      </c>
      <c r="E18" t="inlineStr">
        <is>
          <t>RESULTADO ANTES DE IMPUESTOS</t>
        </is>
      </c>
      <c r="F18" t="inlineStr">
        <is>
          <t>RESULTADO DE LA EXPLOTACION</t>
        </is>
      </c>
      <c r="G18" t="inlineStr">
        <is>
          <t>11.- Deterioro y resultado por enajenaciones del inmovilizado</t>
        </is>
      </c>
      <c r="H18" t="inlineStr">
        <is>
          <t>(771) Beneficios procedentes IM</t>
        </is>
      </c>
      <c r="I18" t="inlineStr">
        <is>
          <t>771000000 - Beneficios del inmovilizado material</t>
        </is>
      </c>
      <c r="J18" t="inlineStr">
        <is>
          <t>-</t>
        </is>
      </c>
      <c r="K18" s="1" t="n">
        <v>0</v>
      </c>
      <c r="L18" s="1" t="n">
        <v>0</v>
      </c>
      <c r="M18" s="1" t="n">
        <v>2000</v>
      </c>
      <c r="N18" s="1" t="n">
        <v>0</v>
      </c>
      <c r="O18" s="9" t="inlineStr">
        <is>
          <t xml:space="preserve">                            -  </t>
        </is>
      </c>
      <c r="P18" s="1" t="inlineStr">
        <is>
          <t xml:space="preserve">                            -  </t>
        </is>
      </c>
      <c r="Q18" s="1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>
        <f>SUM(K18:V18)</f>
        <v/>
      </c>
      <c r="X18" s="8" t="inlineStr">
        <is>
          <t>Partida puntual / no recurrente en el periodo enero-agosto. Sin movimiento adicional proyectado para el último cuatrimestre.</t>
        </is>
      </c>
    </row>
    <row r="19">
      <c r="B19" t="n">
        <v>2026</v>
      </c>
      <c r="C19" t="inlineStr">
        <is>
          <t>Codiagro</t>
        </is>
      </c>
      <c r="D19" t="inlineStr">
        <is>
          <t>RESULTADO DEL EJERCICIO</t>
        </is>
      </c>
      <c r="E19" t="inlineStr">
        <is>
          <t>RESULTADO ANTES DE IMPUESTOS</t>
        </is>
      </c>
      <c r="F19" t="inlineStr">
        <is>
          <t>RESULTADO DE LA EXPLOTACION</t>
        </is>
      </c>
      <c r="G19" t="inlineStr">
        <is>
          <t>13.- Otros resultados</t>
        </is>
      </c>
      <c r="H19" t="inlineStr">
        <is>
          <t>(678) Gastos excepcionales PGC 2008</t>
        </is>
      </c>
      <c r="I19" t="inlineStr">
        <is>
          <t>678000000 - Gastos excepcionales</t>
        </is>
      </c>
      <c r="J19" t="inlineStr">
        <is>
          <t>-</t>
        </is>
      </c>
      <c r="K19" s="1" t="n">
        <v>-0.2</v>
      </c>
      <c r="L19" s="1" t="n">
        <v>0</v>
      </c>
      <c r="M19" s="1" t="n">
        <v>-0.14</v>
      </c>
      <c r="N19" s="1" t="n">
        <v>-93.18000000000001</v>
      </c>
      <c r="O19" s="9" t="n">
        <v>-1.43</v>
      </c>
      <c r="P19" s="1" t="inlineStr">
        <is>
          <t xml:space="preserve">                            -  </t>
        </is>
      </c>
      <c r="Q19" s="1" t="n">
        <v>-88.03</v>
      </c>
      <c r="R19" s="12" t="n">
        <v>-0.02</v>
      </c>
      <c r="S19" s="12" t="n">
        <v>0</v>
      </c>
      <c r="T19" s="12" t="n">
        <v>0</v>
      </c>
      <c r="U19" s="12" t="n">
        <v>0</v>
      </c>
      <c r="V19" s="12" t="n">
        <v>0</v>
      </c>
      <c r="W19" s="12">
        <f>SUM(K19:V19)</f>
        <v/>
      </c>
      <c r="X19" s="8" t="inlineStr">
        <is>
          <t>Partida puntual / no recurrente en el periodo enero-agosto. Sin movimiento adicional proyectado para el último cuatrimestre.</t>
        </is>
      </c>
    </row>
    <row r="20">
      <c r="B20" t="n">
        <v>2026</v>
      </c>
      <c r="C20" t="inlineStr">
        <is>
          <t>Codiagro</t>
        </is>
      </c>
      <c r="D20" t="inlineStr">
        <is>
          <t>RESULTADO DEL EJERCICIO</t>
        </is>
      </c>
      <c r="E20" t="inlineStr">
        <is>
          <t>RESULTADO ANTES DE IMPUESTOS</t>
        </is>
      </c>
      <c r="F20" t="inlineStr">
        <is>
          <t>RESULTADO DE LA EXPLOTACION</t>
        </is>
      </c>
      <c r="G20" t="inlineStr">
        <is>
          <t>13.- Otros resultados</t>
        </is>
      </c>
      <c r="H20" t="inlineStr">
        <is>
          <t>(778) Ingresos excepcionales PGC 2008</t>
        </is>
      </c>
      <c r="I20" t="inlineStr">
        <is>
          <t>778000000 - Ingresos excepcionales</t>
        </is>
      </c>
      <c r="J20" t="inlineStr">
        <is>
          <t>-</t>
        </is>
      </c>
      <c r="K20" s="1" t="n">
        <v>3065.47</v>
      </c>
      <c r="L20" s="1" t="n">
        <v>0.02</v>
      </c>
      <c r="M20" s="1" t="n">
        <v>0</v>
      </c>
      <c r="N20" s="1" t="n">
        <v>1117.44</v>
      </c>
      <c r="O20" s="9" t="inlineStr">
        <is>
          <t xml:space="preserve">                            -  </t>
        </is>
      </c>
      <c r="P20" s="1" t="inlineStr">
        <is>
          <t xml:space="preserve">                            -  </t>
        </is>
      </c>
      <c r="Q20" s="1" t="n">
        <v>0</v>
      </c>
      <c r="R20" s="12" t="n">
        <v>0.01</v>
      </c>
      <c r="S20" s="12" t="n">
        <v>0</v>
      </c>
      <c r="T20" s="12" t="n">
        <v>0</v>
      </c>
      <c r="U20" s="12" t="n">
        <v>0</v>
      </c>
      <c r="V20" s="12" t="n">
        <v>0</v>
      </c>
      <c r="W20" s="12">
        <f>SUM(K20:V20)</f>
        <v/>
      </c>
      <c r="X20" s="8" t="inlineStr">
        <is>
          <t>Partida puntual / no recurrente en el periodo enero-agosto. Sin movimiento adicional proyectado para el último cuatrimestre.</t>
        </is>
      </c>
    </row>
    <row r="21">
      <c r="B21" t="n">
        <v>2026</v>
      </c>
      <c r="C21" t="inlineStr">
        <is>
          <t>Codiagro</t>
        </is>
      </c>
      <c r="D21" t="inlineStr">
        <is>
          <t>RESULTADO DEL EJERCICIO</t>
        </is>
      </c>
      <c r="E21" t="inlineStr">
        <is>
          <t>RESULTADO ANTES DE IMPUESTOS</t>
        </is>
      </c>
      <c r="F21" t="inlineStr">
        <is>
          <t>RESULTADO DE LA EXPLOTACION</t>
        </is>
      </c>
      <c r="G21" t="inlineStr">
        <is>
          <t>2.- Variación de existencias</t>
        </is>
      </c>
      <c r="H21" t="inlineStr">
        <is>
          <t>(711) Variación de existencias de productos semiterminados</t>
        </is>
      </c>
      <c r="I21" t="inlineStr">
        <is>
          <t>711000000 - Variación existencias de prod. semiterminados</t>
        </is>
      </c>
      <c r="J21" t="inlineStr">
        <is>
          <t>-</t>
        </is>
      </c>
      <c r="K21" s="1" t="n">
        <v>1191.85</v>
      </c>
      <c r="L21" s="1" t="n">
        <v>-20400.17</v>
      </c>
      <c r="M21" s="1" t="n">
        <v>-3284.66</v>
      </c>
      <c r="N21" s="1" t="n">
        <v>15429.21</v>
      </c>
      <c r="O21" s="9" t="n">
        <v>4436.02</v>
      </c>
      <c r="P21" s="1" t="n">
        <v>-12387.42</v>
      </c>
      <c r="Q21" s="1" t="n">
        <v>-48438.2</v>
      </c>
      <c r="R21" s="12" t="n">
        <v>27557.62</v>
      </c>
      <c r="S21" s="12" t="n">
        <v>0</v>
      </c>
      <c r="T21" s="12" t="n">
        <v>0</v>
      </c>
      <c r="U21" s="12" t="n">
        <v>0</v>
      </c>
      <c r="V21" s="12" t="n">
        <v>0</v>
      </c>
      <c r="W21" s="12">
        <f>SUM(K21:V21)</f>
        <v/>
      </c>
      <c r="X21" s="8" t="inlineStr">
        <is>
          <t>Ajuste previsional de variación de existencias para regularización de inventarios a cierre de ejercicio.</t>
        </is>
      </c>
    </row>
    <row r="22">
      <c r="B22" t="n">
        <v>2026</v>
      </c>
      <c r="C22" t="inlineStr">
        <is>
          <t>Codiagro</t>
        </is>
      </c>
      <c r="D22" t="inlineStr">
        <is>
          <t>RESULTADO DEL EJERCICIO</t>
        </is>
      </c>
      <c r="E22" t="inlineStr">
        <is>
          <t>RESULTADO ANTES DE IMPUESTOS</t>
        </is>
      </c>
      <c r="F22" t="inlineStr">
        <is>
          <t>RESULTADO DE LA EXPLOTACION</t>
        </is>
      </c>
      <c r="G22" t="inlineStr">
        <is>
          <t>2.- Variación de existencias</t>
        </is>
      </c>
      <c r="H22" t="inlineStr">
        <is>
          <t>(712) Variación de existencias producto terminado</t>
        </is>
      </c>
      <c r="I22" t="inlineStr">
        <is>
          <t>712000000 - Variación existencias de prod. terminados</t>
        </is>
      </c>
      <c r="J22" t="inlineStr">
        <is>
          <t>-</t>
        </is>
      </c>
      <c r="K22" s="1" t="n">
        <v>-86069.92999999999</v>
      </c>
      <c r="L22" s="1" t="n">
        <v>70405.74000000001</v>
      </c>
      <c r="M22" s="1" t="n">
        <v>86837.42999999999</v>
      </c>
      <c r="N22" s="1" t="n">
        <v>-6784.01</v>
      </c>
      <c r="O22" s="9" t="n">
        <v>-34727.12</v>
      </c>
      <c r="P22" s="1" t="n">
        <v>-77717.45</v>
      </c>
      <c r="Q22" s="1" t="n">
        <v>42145.57</v>
      </c>
      <c r="R22" s="12" t="n">
        <v>-20822.98</v>
      </c>
      <c r="S22" s="12" t="n">
        <v>0</v>
      </c>
      <c r="T22" s="12" t="n">
        <v>0</v>
      </c>
      <c r="U22" s="12" t="n">
        <v>0</v>
      </c>
      <c r="V22" s="12" t="n">
        <v>0</v>
      </c>
      <c r="W22" s="12">
        <f>SUM(K22:V22)</f>
        <v/>
      </c>
      <c r="X22" s="8" t="inlineStr">
        <is>
          <t>Ajuste previsional de variación de existencias para regularización de inventarios a cierre de ejercicio.</t>
        </is>
      </c>
    </row>
    <row r="23">
      <c r="B23" t="n">
        <v>2026</v>
      </c>
      <c r="C23" t="inlineStr">
        <is>
          <t>Codiagro</t>
        </is>
      </c>
      <c r="D23" t="inlineStr">
        <is>
          <t>RESULTADO DEL EJERCICIO</t>
        </is>
      </c>
      <c r="E23" t="inlineStr">
        <is>
          <t>RESULTADO ANTES DE IMPUESTOS</t>
        </is>
      </c>
      <c r="F23" t="inlineStr">
        <is>
          <t>RESULTADO DE LA EXPLOTACION</t>
        </is>
      </c>
      <c r="G23" t="inlineStr">
        <is>
          <t>4.- Aprovisionamientos</t>
        </is>
      </c>
      <c r="H23" t="inlineStr">
        <is>
          <t>(601) Compras de materias primas</t>
        </is>
      </c>
      <c r="I23" t="inlineStr">
        <is>
          <t>601000000 - Compras de materias primas</t>
        </is>
      </c>
      <c r="J23" t="inlineStr">
        <is>
          <t>-</t>
        </is>
      </c>
      <c r="K23" s="1" t="n">
        <v>-372155.73</v>
      </c>
      <c r="L23" s="1" t="n">
        <v>-457091.9</v>
      </c>
      <c r="M23" s="1" t="n">
        <v>-457890.87</v>
      </c>
      <c r="N23" s="1" t="n">
        <v>-391545.47</v>
      </c>
      <c r="O23" s="9" t="n">
        <v>-423709.6299999999</v>
      </c>
      <c r="P23" s="1" t="n">
        <v>-393937.01</v>
      </c>
      <c r="Q23" s="1" t="n">
        <v>-362186.44</v>
      </c>
      <c r="R23" s="12" t="n">
        <v>-189242.44</v>
      </c>
      <c r="S23" s="10" t="n">
        <v>-124233.67</v>
      </c>
      <c r="T23" s="10" t="n">
        <v>-235336.47</v>
      </c>
      <c r="U23" s="10" t="n">
        <v>-316373.51</v>
      </c>
      <c r="V23" s="10" t="n">
        <v>-341569.79</v>
      </c>
      <c r="W23" s="10">
        <f>SUM(K23:V23)</f>
        <v/>
      </c>
      <c r="X23" s="8" t="inlineStr">
        <is>
          <t>Coste variable directo: volumen según presupuesto ajustado (ratio histórico 25,85% s/ventas sin incremento de inflación en 2026; la inflación del +4,5% se aplica solo en 2027).</t>
        </is>
      </c>
    </row>
    <row r="24">
      <c r="B24" t="n">
        <v>2026</v>
      </c>
      <c r="C24" t="inlineStr">
        <is>
          <t>Codiagro</t>
        </is>
      </c>
      <c r="D24" t="inlineStr">
        <is>
          <t>RESULTADO DEL EJERCICIO</t>
        </is>
      </c>
      <c r="E24" t="inlineStr">
        <is>
          <t>RESULTADO ANTES DE IMPUESTOS</t>
        </is>
      </c>
      <c r="F24" t="inlineStr">
        <is>
          <t>RESULTADO DE LA EXPLOTACION</t>
        </is>
      </c>
      <c r="G24" t="inlineStr">
        <is>
          <t>4.- Aprovisionamientos</t>
        </is>
      </c>
      <c r="H24" t="inlineStr">
        <is>
          <t>(602) Compras de otros aprovisionamientos</t>
        </is>
      </c>
      <c r="I24" t="inlineStr">
        <is>
          <t>602000001 - COMPRA DE ENVASES Y EMBALAJES</t>
        </is>
      </c>
      <c r="J24" t="inlineStr">
        <is>
          <t>-</t>
        </is>
      </c>
      <c r="K24" s="1" t="n">
        <v>-103817.84</v>
      </c>
      <c r="L24" s="1" t="n">
        <v>-62983.5</v>
      </c>
      <c r="M24" s="1" t="n">
        <v>-55812.27</v>
      </c>
      <c r="N24" s="1" t="n">
        <v>-92652.34</v>
      </c>
      <c r="O24" s="9" t="n">
        <v>-30193.14999999999</v>
      </c>
      <c r="P24" s="1" t="n">
        <v>-89165.98000000001</v>
      </c>
      <c r="Q24" s="1" t="n">
        <v>-145291.05</v>
      </c>
      <c r="R24" s="12" t="n">
        <v>-8606.039999999994</v>
      </c>
      <c r="S24" s="10" t="n">
        <v>-23991.38</v>
      </c>
      <c r="T24" s="10" t="n">
        <v>-45446.99</v>
      </c>
      <c r="U24" s="10" t="n">
        <v>-61096.45</v>
      </c>
      <c r="V24" s="10" t="n">
        <v>-65962.23</v>
      </c>
      <c r="W24" s="10">
        <f>SUM(K24:V24)</f>
        <v/>
      </c>
      <c r="X24" s="8" t="inlineStr">
        <is>
          <t>Coste variable por envases: ratio histórico s/ventas ajustadas sin incremento de inflación en 2026; la inflación del +4,5% se reserva exclusivamente para 2027.</t>
        </is>
      </c>
    </row>
    <row r="25">
      <c r="B25" t="n">
        <v>2026</v>
      </c>
      <c r="C25" t="inlineStr">
        <is>
          <t>Codiagro</t>
        </is>
      </c>
      <c r="D25" t="inlineStr">
        <is>
          <t>RESULTADO DEL EJERCICIO</t>
        </is>
      </c>
      <c r="E25" t="inlineStr">
        <is>
          <t>RESULTADO ANTES DE IMPUESTOS</t>
        </is>
      </c>
      <c r="F25" t="inlineStr">
        <is>
          <t>RESULTADO DE LA EXPLOTACION</t>
        </is>
      </c>
      <c r="G25" t="inlineStr">
        <is>
          <t>4.- Aprovisionamientos</t>
        </is>
      </c>
      <c r="H25" t="inlineStr">
        <is>
          <t>(602) Compras de otros aprovisionamientos</t>
        </is>
      </c>
      <c r="I25" t="inlineStr">
        <is>
          <t>602000000 - Compras de otros aprovisionamientos</t>
        </is>
      </c>
      <c r="J25" t="inlineStr">
        <is>
          <t>-</t>
        </is>
      </c>
      <c r="K25" s="1" t="n"/>
      <c r="L25" s="1" t="n"/>
      <c r="M25" s="1" t="n"/>
      <c r="N25" s="1" t="n"/>
      <c r="P25" s="1" t="n">
        <v>-30306.17</v>
      </c>
      <c r="Q25" s="1" t="n">
        <v>0</v>
      </c>
      <c r="R25" s="12" t="n">
        <v>0</v>
      </c>
      <c r="S25" s="12" t="n">
        <v>-30306.17</v>
      </c>
      <c r="T25" s="12" t="n">
        <v>-30306.17</v>
      </c>
      <c r="U25" s="12" t="n">
        <v>-30306.17</v>
      </c>
      <c r="V25" s="12" t="n">
        <v>-30306.17</v>
      </c>
      <c r="W25" s="12">
        <f>SUM(K25:V25)</f>
        <v/>
      </c>
      <c r="X25" s="8" t="inlineStr">
        <is>
          <t>Coste operativo menor de planta: proyección basada en el promedio mensual histórico de reposición.</t>
        </is>
      </c>
    </row>
    <row r="26">
      <c r="B26" t="n">
        <v>2026</v>
      </c>
      <c r="C26" t="inlineStr">
        <is>
          <t>Codiagro</t>
        </is>
      </c>
      <c r="D26" t="inlineStr">
        <is>
          <t>RESULTADO DEL EJERCICIO</t>
        </is>
      </c>
      <c r="E26" t="inlineStr">
        <is>
          <t>RESULTADO ANTES DE IMPUESTOS</t>
        </is>
      </c>
      <c r="F26" t="inlineStr">
        <is>
          <t>RESULTADO DE LA EXPLOTACION</t>
        </is>
      </c>
      <c r="G26" t="inlineStr">
        <is>
          <t>4.- Aprovisionamientos</t>
        </is>
      </c>
      <c r="H26" t="inlineStr">
        <is>
          <t>(602) Compras de otros aprovisionamientos</t>
        </is>
      </c>
      <c r="I26" t="inlineStr">
        <is>
          <t>602000002 - COMPRA DE ETIQUETAS</t>
        </is>
      </c>
      <c r="J26" t="inlineStr">
        <is>
          <t>-</t>
        </is>
      </c>
      <c r="K26" s="1" t="n">
        <v>-12617.31</v>
      </c>
      <c r="L26" s="1" t="n">
        <v>-5458.67</v>
      </c>
      <c r="M26" s="1" t="n">
        <v>-15267.33</v>
      </c>
      <c r="N26" s="1" t="n">
        <v>-9307.32</v>
      </c>
      <c r="O26" s="9" t="n">
        <v>-2784.91</v>
      </c>
      <c r="P26" s="1" t="n">
        <v>-5867.49</v>
      </c>
      <c r="Q26" s="1" t="n">
        <v>-10270.19</v>
      </c>
      <c r="R26" s="12" t="n">
        <v>-2886.68</v>
      </c>
      <c r="S26" s="10" t="n">
        <v>-2625.86</v>
      </c>
      <c r="T26" s="10" t="n">
        <v>-4974.16</v>
      </c>
      <c r="U26" s="10" t="n">
        <v>-6687</v>
      </c>
      <c r="V26" s="10" t="n">
        <v>-7219.56</v>
      </c>
      <c r="W26" s="10">
        <f>SUM(K26:V26)</f>
        <v/>
      </c>
      <c r="X26" s="8" t="inlineStr">
        <is>
          <t>Coste variable de etiquetas: ratio s/ventas ajustadas sin ajuste de precios de imprenta por inflación en 2026 (solo en 2027).</t>
        </is>
      </c>
    </row>
    <row r="27">
      <c r="B27" t="n">
        <v>2026</v>
      </c>
      <c r="C27" t="inlineStr">
        <is>
          <t>Codiagro</t>
        </is>
      </c>
      <c r="D27" t="inlineStr">
        <is>
          <t>RESULTADO DEL EJERCICIO</t>
        </is>
      </c>
      <c r="E27" t="inlineStr">
        <is>
          <t>RESULTADO ANTES DE IMPUESTOS</t>
        </is>
      </c>
      <c r="F27" t="inlineStr">
        <is>
          <t>RESULTADO DE LA EXPLOTACION</t>
        </is>
      </c>
      <c r="G27" t="inlineStr">
        <is>
          <t>4.- Aprovisionamientos</t>
        </is>
      </c>
      <c r="H27" t="inlineStr">
        <is>
          <t>(602) Compras de otros aprovisionamientos</t>
        </is>
      </c>
      <c r="I27" t="inlineStr">
        <is>
          <t>602000003 - COMPRA DE PALETS</t>
        </is>
      </c>
      <c r="J27" t="inlineStr">
        <is>
          <t>-</t>
        </is>
      </c>
      <c r="K27" s="1" t="n">
        <v>-7425.6</v>
      </c>
      <c r="L27" s="1" t="n">
        <v>-3712.8</v>
      </c>
      <c r="M27" s="1" t="n">
        <v>-4331.6</v>
      </c>
      <c r="N27" s="1" t="n">
        <v>-12608.05</v>
      </c>
      <c r="O27" s="9" t="n">
        <v>-17326.4</v>
      </c>
      <c r="P27" s="1" t="n">
        <v>-12994.8</v>
      </c>
      <c r="Q27" s="1" t="n">
        <v>-4331.6</v>
      </c>
      <c r="R27" s="12" t="n">
        <v>-4331.6</v>
      </c>
      <c r="S27" s="10" t="n">
        <v>-2731.63</v>
      </c>
      <c r="T27" s="10" t="n">
        <v>-5174.53</v>
      </c>
      <c r="U27" s="10" t="n">
        <v>-6956.35</v>
      </c>
      <c r="V27" s="10" t="n">
        <v>-7510.36</v>
      </c>
      <c r="W27" s="10">
        <f>SUM(K27:V27)</f>
        <v/>
      </c>
      <c r="X27" s="8" t="inlineStr">
        <is>
          <t>Coste variable de palets: ratio s/ventas ajustadas sin inflación de suministros logísticos en 2026 (aplicable en 2027).</t>
        </is>
      </c>
    </row>
    <row r="28">
      <c r="B28" t="n">
        <v>2026</v>
      </c>
      <c r="C28" t="inlineStr">
        <is>
          <t>Codiagro</t>
        </is>
      </c>
      <c r="D28" t="inlineStr">
        <is>
          <t>RESULTADO DEL EJERCICIO</t>
        </is>
      </c>
      <c r="E28" t="inlineStr">
        <is>
          <t>RESULTADO ANTES DE IMPUESTOS</t>
        </is>
      </c>
      <c r="F28" t="inlineStr">
        <is>
          <t>RESULTADO DE LA EXPLOTACION</t>
        </is>
      </c>
      <c r="G28" t="inlineStr">
        <is>
          <t>4.- Aprovisionamientos</t>
        </is>
      </c>
      <c r="H28" t="inlineStr">
        <is>
          <t>(602) Compras de otros aprovisionamientos</t>
        </is>
      </c>
      <c r="I28" t="inlineStr">
        <is>
          <t>602000004 - COMPRA MATERIAL DE LIMPIEZA</t>
        </is>
      </c>
      <c r="J28" t="inlineStr">
        <is>
          <t>-</t>
        </is>
      </c>
      <c r="K28" s="1" t="n">
        <v>-131.92</v>
      </c>
      <c r="L28" s="1" t="n">
        <v>0</v>
      </c>
      <c r="M28" s="1" t="n">
        <v>0</v>
      </c>
      <c r="N28" s="1" t="n">
        <v>0</v>
      </c>
      <c r="O28" s="9" t="inlineStr">
        <is>
          <t xml:space="preserve">                            -  </t>
        </is>
      </c>
      <c r="P28" s="1" t="inlineStr">
        <is>
          <t xml:space="preserve">                            -  </t>
        </is>
      </c>
      <c r="Q28" s="1" t="n">
        <v>0</v>
      </c>
      <c r="R28" s="12" t="n">
        <v>0</v>
      </c>
      <c r="S28" s="12" t="n">
        <v>-131.92</v>
      </c>
      <c r="T28" s="12" t="n">
        <v>-131.92</v>
      </c>
      <c r="U28" s="12" t="n">
        <v>-131.92</v>
      </c>
      <c r="V28" s="12" t="n">
        <v>-131.92</v>
      </c>
      <c r="W28" s="12">
        <f>SUM(K28:V28)</f>
        <v/>
      </c>
      <c r="X28" s="8" t="inlineStr">
        <is>
          <t>Coste operativo menor de planta: proyección basada en el promedio mensual histórico de reposición.</t>
        </is>
      </c>
    </row>
    <row r="29">
      <c r="B29" t="n">
        <v>2026</v>
      </c>
      <c r="C29" t="inlineStr">
        <is>
          <t>Codiagro</t>
        </is>
      </c>
      <c r="D29" t="inlineStr">
        <is>
          <t>RESULTADO DEL EJERCICIO</t>
        </is>
      </c>
      <c r="E29" t="inlineStr">
        <is>
          <t>RESULTADO ANTES DE IMPUESTOS</t>
        </is>
      </c>
      <c r="F29" t="inlineStr">
        <is>
          <t>RESULTADO DE LA EXPLOTACION</t>
        </is>
      </c>
      <c r="G29" t="inlineStr">
        <is>
          <t>4.- Aprovisionamientos</t>
        </is>
      </c>
      <c r="H29" t="inlineStr">
        <is>
          <t>(602) Compras de otros aprovisionamientos</t>
        </is>
      </c>
      <c r="I29" t="inlineStr">
        <is>
          <t>602000005 - COMPRA MATERIAL DE OFICINA</t>
        </is>
      </c>
      <c r="J29" t="inlineStr">
        <is>
          <t>-</t>
        </is>
      </c>
      <c r="K29" s="1" t="n">
        <v>-95.3</v>
      </c>
      <c r="L29" s="1" t="n">
        <v>-136</v>
      </c>
      <c r="M29" s="1" t="n">
        <v>0</v>
      </c>
      <c r="N29" s="1" t="n">
        <v>-380.75</v>
      </c>
      <c r="O29" s="9" t="inlineStr">
        <is>
          <t xml:space="preserve">                            -  </t>
        </is>
      </c>
      <c r="P29" s="1" t="inlineStr">
        <is>
          <t xml:space="preserve">                            -  </t>
        </is>
      </c>
      <c r="Q29" s="1" t="n">
        <v>0</v>
      </c>
      <c r="R29" s="12" t="n">
        <v>0</v>
      </c>
      <c r="S29" s="12" t="n">
        <v>-204.02</v>
      </c>
      <c r="T29" s="12" t="n">
        <v>-204.02</v>
      </c>
      <c r="U29" s="12" t="n">
        <v>-204.02</v>
      </c>
      <c r="V29" s="12" t="n">
        <v>-204.02</v>
      </c>
      <c r="W29" s="12">
        <f>SUM(K29:V29)</f>
        <v/>
      </c>
      <c r="X29" s="8" t="inlineStr">
        <is>
          <t>Coste operativo menor de planta: proyección basada en el promedio mensual histórico de reposición.</t>
        </is>
      </c>
    </row>
    <row r="30">
      <c r="B30" t="n">
        <v>2026</v>
      </c>
      <c r="C30" t="inlineStr">
        <is>
          <t>Codiagro</t>
        </is>
      </c>
      <c r="D30" t="inlineStr">
        <is>
          <t>RESULTADO DEL EJERCICIO</t>
        </is>
      </c>
      <c r="E30" t="inlineStr">
        <is>
          <t>RESULTADO ANTES DE IMPUESTOS</t>
        </is>
      </c>
      <c r="F30" t="inlineStr">
        <is>
          <t>RESULTADO DE LA EXPLOTACION</t>
        </is>
      </c>
      <c r="G30" t="inlineStr">
        <is>
          <t>4.- Aprovisionamientos</t>
        </is>
      </c>
      <c r="H30" t="inlineStr">
        <is>
          <t>(602) Compras de otros aprovisionamientos</t>
        </is>
      </c>
      <c r="I30" t="inlineStr">
        <is>
          <t>602000006 - COMPRA TAPONES DE ENVASES</t>
        </is>
      </c>
      <c r="J30" t="inlineStr">
        <is>
          <t>-</t>
        </is>
      </c>
      <c r="K30" s="1" t="n">
        <v>-3578.65</v>
      </c>
      <c r="L30" s="1" t="n">
        <v>0</v>
      </c>
      <c r="M30" s="1" t="n">
        <v>-5949</v>
      </c>
      <c r="N30" s="1" t="n">
        <v>-5353</v>
      </c>
      <c r="O30" s="9" t="inlineStr">
        <is>
          <t xml:space="preserve">                            -  </t>
        </is>
      </c>
      <c r="P30" s="1" t="n">
        <v>-3337.38</v>
      </c>
      <c r="Q30" s="1" t="n">
        <v>-5826.6</v>
      </c>
      <c r="R30" s="12" t="n">
        <v>-1108.8</v>
      </c>
      <c r="S30" s="12" t="n">
        <v>-1071.66</v>
      </c>
      <c r="T30" s="12" t="n">
        <v>-2030.04</v>
      </c>
      <c r="U30" s="12" t="n">
        <v>-2729.08</v>
      </c>
      <c r="V30" s="12" t="n">
        <v>-2946.43</v>
      </c>
      <c r="W30" s="12">
        <f>SUM(K30:V30)</f>
        <v/>
      </c>
      <c r="X30" s="8" t="inlineStr">
        <is>
          <t>Coste variable directamente proporcional al número de unidades/tapones envasados (0,22% s/ventas ajustadas).</t>
        </is>
      </c>
    </row>
    <row r="31">
      <c r="B31" t="n">
        <v>2026</v>
      </c>
      <c r="C31" t="inlineStr">
        <is>
          <t>Codiagro</t>
        </is>
      </c>
      <c r="D31" t="inlineStr">
        <is>
          <t>RESULTADO DEL EJERCICIO</t>
        </is>
      </c>
      <c r="E31" t="inlineStr">
        <is>
          <t>RESULTADO ANTES DE IMPUESTOS</t>
        </is>
      </c>
      <c r="F31" t="inlineStr">
        <is>
          <t>RESULTADO DE LA EXPLOTACION</t>
        </is>
      </c>
      <c r="G31" t="inlineStr">
        <is>
          <t>4.- Aprovisionamientos</t>
        </is>
      </c>
      <c r="H31" t="inlineStr">
        <is>
          <t>(602) Compras de otros aprovisionamientos</t>
        </is>
      </c>
      <c r="I31" t="inlineStr">
        <is>
          <t>602000007 - COMPRAS LABORATORIO</t>
        </is>
      </c>
      <c r="J31" t="inlineStr">
        <is>
          <t>-</t>
        </is>
      </c>
      <c r="K31" s="1" t="n">
        <v>0</v>
      </c>
      <c r="L31" s="1" t="n">
        <v>0</v>
      </c>
      <c r="M31" s="1" t="n">
        <v>0</v>
      </c>
      <c r="N31" s="1" t="n">
        <v>0</v>
      </c>
      <c r="O31" s="9" t="n">
        <v>0</v>
      </c>
      <c r="P31" s="1" t="inlineStr">
        <is>
          <t xml:space="preserve">                            -  </t>
        </is>
      </c>
      <c r="Q31" s="1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>
        <f>SUM(K31:V31)</f>
        <v/>
      </c>
      <c r="X31" s="8" t="inlineStr">
        <is>
          <t>Cuenta inactiva / sin saldo en el ejercicio. Sin previsión de movimientos.</t>
        </is>
      </c>
    </row>
    <row r="32">
      <c r="B32" t="n">
        <v>2026</v>
      </c>
      <c r="C32" t="inlineStr">
        <is>
          <t>Codiagro</t>
        </is>
      </c>
      <c r="D32" t="inlineStr">
        <is>
          <t>RESULTADO DEL EJERCICIO</t>
        </is>
      </c>
      <c r="E32" t="inlineStr">
        <is>
          <t>RESULTADO ANTES DE IMPUESTOS</t>
        </is>
      </c>
      <c r="F32" t="inlineStr">
        <is>
          <t>RESULTADO DE LA EXPLOTACION</t>
        </is>
      </c>
      <c r="G32" t="inlineStr">
        <is>
          <t>4.- Aprovisionamientos</t>
        </is>
      </c>
      <c r="H32" t="inlineStr">
        <is>
          <t>(602) Compras de otros aprovisionamientos</t>
        </is>
      </c>
      <c r="I32" t="inlineStr">
        <is>
          <t>602000008 - RESPUESTOS PLANTA</t>
        </is>
      </c>
      <c r="J32" t="inlineStr">
        <is>
          <t>-</t>
        </is>
      </c>
      <c r="K32" s="1" t="n">
        <v>0</v>
      </c>
      <c r="L32" s="1" t="n">
        <v>0</v>
      </c>
      <c r="M32" s="1" t="n">
        <v>0</v>
      </c>
      <c r="N32" s="1" t="n">
        <v>0</v>
      </c>
      <c r="O32" s="9" t="n">
        <v>0</v>
      </c>
      <c r="P32" s="1" t="inlineStr">
        <is>
          <t xml:space="preserve">                            -  </t>
        </is>
      </c>
      <c r="Q32" s="1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>
        <f>SUM(K32:V32)</f>
        <v/>
      </c>
      <c r="X32" s="8" t="inlineStr">
        <is>
          <t>Cuenta inactiva / sin saldo en el ejercicio. Sin previsión de movimientos.</t>
        </is>
      </c>
    </row>
    <row r="33">
      <c r="B33" t="n">
        <v>2026</v>
      </c>
      <c r="C33" t="inlineStr">
        <is>
          <t>Codiagro</t>
        </is>
      </c>
      <c r="D33" t="inlineStr">
        <is>
          <t>RESULTADO DEL EJERCICIO</t>
        </is>
      </c>
      <c r="E33" t="inlineStr">
        <is>
          <t>RESULTADO ANTES DE IMPUESTOS</t>
        </is>
      </c>
      <c r="F33" t="inlineStr">
        <is>
          <t>RESULTADO DE LA EXPLOTACION</t>
        </is>
      </c>
      <c r="G33" t="inlineStr">
        <is>
          <t>4.- Aprovisionamientos</t>
        </is>
      </c>
      <c r="H33" t="inlineStr">
        <is>
          <t>(602) Compras de otros aprovisionamientos</t>
        </is>
      </c>
      <c r="I33" t="inlineStr">
        <is>
          <t>602000010 - COMPRA RIBBON</t>
        </is>
      </c>
      <c r="J33" t="inlineStr">
        <is>
          <t>-</t>
        </is>
      </c>
      <c r="K33" s="1" t="n">
        <v>0</v>
      </c>
      <c r="L33" s="1" t="n">
        <v>0</v>
      </c>
      <c r="M33" s="1" t="n">
        <v>0</v>
      </c>
      <c r="N33" s="1" t="n">
        <v>0</v>
      </c>
      <c r="O33" s="9" t="n">
        <v>0</v>
      </c>
      <c r="P33" s="1" t="inlineStr">
        <is>
          <t xml:space="preserve">                            -  </t>
        </is>
      </c>
      <c r="Q33" s="1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>
        <f>SUM(K33:V33)</f>
        <v/>
      </c>
      <c r="X33" s="8" t="inlineStr">
        <is>
          <t>Cuenta inactiva / sin saldo en el ejercicio. Sin previsión de movimientos.</t>
        </is>
      </c>
    </row>
    <row r="34">
      <c r="B34" t="n">
        <v>2026</v>
      </c>
      <c r="C34" t="inlineStr">
        <is>
          <t>Codiagro</t>
        </is>
      </c>
      <c r="D34" t="inlineStr">
        <is>
          <t>RESULTADO DEL EJERCICIO</t>
        </is>
      </c>
      <c r="E34" t="inlineStr">
        <is>
          <t>RESULTADO ANTES DE IMPUESTOS</t>
        </is>
      </c>
      <c r="F34" t="inlineStr">
        <is>
          <t>RESULTADO DE LA EXPLOTACION</t>
        </is>
      </c>
      <c r="G34" t="inlineStr">
        <is>
          <t>4.- Aprovisionamientos</t>
        </is>
      </c>
      <c r="H34" t="inlineStr">
        <is>
          <t>(602) Compras de otros aprovisionamientos</t>
        </is>
      </c>
      <c r="I34" t="inlineStr">
        <is>
          <t>602000011 - COMPRAS VARIAS PLANTA</t>
        </is>
      </c>
      <c r="J34" t="inlineStr">
        <is>
          <t>-</t>
        </is>
      </c>
      <c r="K34" s="1" t="n">
        <v>0</v>
      </c>
      <c r="L34" s="1" t="n">
        <v>-1575</v>
      </c>
      <c r="M34" s="1" t="n">
        <v>0</v>
      </c>
      <c r="N34" s="1" t="n">
        <v>0</v>
      </c>
      <c r="O34" s="9" t="inlineStr">
        <is>
          <t xml:space="preserve">                            -  </t>
        </is>
      </c>
      <c r="P34" s="1" t="n">
        <v>-1735.41</v>
      </c>
      <c r="Q34" s="1" t="n">
        <v>-175.92</v>
      </c>
      <c r="R34" s="12" t="n">
        <v>-371.23</v>
      </c>
      <c r="S34" s="12" t="n">
        <v>-964.39</v>
      </c>
      <c r="T34" s="12" t="n">
        <v>-964.39</v>
      </c>
      <c r="U34" s="12" t="n">
        <v>-964.39</v>
      </c>
      <c r="V34" s="12" t="n">
        <v>-964.39</v>
      </c>
      <c r="W34" s="12">
        <f>SUM(K34:V34)</f>
        <v/>
      </c>
      <c r="X34" s="8" t="inlineStr">
        <is>
          <t>Coste operativo menor de planta: proyección basada en el promedio mensual histórico de reposición.</t>
        </is>
      </c>
    </row>
    <row r="35">
      <c r="B35" t="n">
        <v>2026</v>
      </c>
      <c r="C35" t="inlineStr">
        <is>
          <t>Codiagro</t>
        </is>
      </c>
      <c r="D35" t="inlineStr">
        <is>
          <t>RESULTADO DEL EJERCICIO</t>
        </is>
      </c>
      <c r="E35" t="inlineStr">
        <is>
          <t>RESULTADO ANTES DE IMPUESTOS</t>
        </is>
      </c>
      <c r="F35" t="inlineStr">
        <is>
          <t>RESULTADO DE LA EXPLOTACION</t>
        </is>
      </c>
      <c r="G35" t="inlineStr">
        <is>
          <t>4.- Aprovisionamientos</t>
        </is>
      </c>
      <c r="H35" t="inlineStr">
        <is>
          <t>(602) Compras de otros aprovisionamientos</t>
        </is>
      </c>
      <c r="I35" t="inlineStr">
        <is>
          <t>602000012 - REPUESTOS INFORMATICOS</t>
        </is>
      </c>
      <c r="J35" t="inlineStr">
        <is>
          <t>-</t>
        </is>
      </c>
      <c r="K35" s="1" t="n">
        <v>0</v>
      </c>
      <c r="L35" s="1" t="n">
        <v>-1887.21</v>
      </c>
      <c r="M35" s="1" t="n">
        <v>0</v>
      </c>
      <c r="N35" s="1" t="n">
        <v>0</v>
      </c>
      <c r="O35" s="9" t="inlineStr">
        <is>
          <t xml:space="preserve">                            -  </t>
        </is>
      </c>
      <c r="P35" s="1" t="inlineStr">
        <is>
          <t xml:space="preserve">                            -  </t>
        </is>
      </c>
      <c r="Q35" s="1" t="n">
        <v>-1232.05</v>
      </c>
      <c r="R35" s="12" t="n">
        <v>0</v>
      </c>
      <c r="S35" s="12" t="n">
        <v>-1559.63</v>
      </c>
      <c r="T35" s="12" t="n">
        <v>-1559.63</v>
      </c>
      <c r="U35" s="12" t="n">
        <v>-1559.63</v>
      </c>
      <c r="V35" s="12" t="n">
        <v>-1559.63</v>
      </c>
      <c r="W35" s="12">
        <f>SUM(K35:V35)</f>
        <v/>
      </c>
      <c r="X35" s="8" t="inlineStr">
        <is>
          <t>Coste operativo menor de planta: proyección basada en el promedio mensual histórico de reposición.</t>
        </is>
      </c>
    </row>
    <row r="36">
      <c r="B36" t="n">
        <v>2026</v>
      </c>
      <c r="C36" t="inlineStr">
        <is>
          <t>Codiagro</t>
        </is>
      </c>
      <c r="D36" t="inlineStr">
        <is>
          <t>RESULTADO DEL EJERCICIO</t>
        </is>
      </c>
      <c r="E36" t="inlineStr">
        <is>
          <t>RESULTADO ANTES DE IMPUESTOS</t>
        </is>
      </c>
      <c r="F36" t="inlineStr">
        <is>
          <t>RESULTADO DE LA EXPLOTACION</t>
        </is>
      </c>
      <c r="G36" t="inlineStr">
        <is>
          <t>4.- Aprovisionamientos</t>
        </is>
      </c>
      <c r="H36" t="inlineStr">
        <is>
          <t>(602) Compras de otros aprovisionamientos</t>
        </is>
      </c>
      <c r="I36" t="inlineStr">
        <is>
          <t>602000013 - COMPRA TINTA INPRESORA ETIQUETAS</t>
        </is>
      </c>
      <c r="J36" t="inlineStr">
        <is>
          <t>-</t>
        </is>
      </c>
      <c r="K36" s="1" t="n">
        <v>-157</v>
      </c>
      <c r="L36" s="1" t="n">
        <v>-2350.16</v>
      </c>
      <c r="M36" s="1" t="n">
        <v>0</v>
      </c>
      <c r="N36" s="1" t="n">
        <v>-2676.19</v>
      </c>
      <c r="O36" s="9" t="n">
        <v>-480.84</v>
      </c>
      <c r="P36" s="1" t="n">
        <v>-2604.97</v>
      </c>
      <c r="Q36" s="1" t="n">
        <v>-2809.41</v>
      </c>
      <c r="R36" s="12" t="n">
        <v>-2557.66</v>
      </c>
      <c r="S36" s="12" t="n">
        <v>-2190</v>
      </c>
      <c r="T36" s="12" t="n">
        <v>-2490</v>
      </c>
      <c r="U36" s="12" t="n">
        <v>-2690</v>
      </c>
      <c r="V36" s="12" t="n">
        <v>-2690</v>
      </c>
      <c r="W36" s="12">
        <f>SUM(K36:V36)</f>
        <v/>
      </c>
      <c r="X36" s="8" t="inlineStr">
        <is>
          <t>Coste semi-variable de consumibles de marcaje y codificación en planta vinculado al volumen de producción envasado.</t>
        </is>
      </c>
    </row>
    <row r="37">
      <c r="B37" t="n">
        <v>2026</v>
      </c>
      <c r="C37" t="inlineStr">
        <is>
          <t>Codiagro</t>
        </is>
      </c>
      <c r="D37" t="inlineStr">
        <is>
          <t>RESULTADO DEL EJERCICIO</t>
        </is>
      </c>
      <c r="E37" t="inlineStr">
        <is>
          <t>RESULTADO ANTES DE IMPUESTOS</t>
        </is>
      </c>
      <c r="F37" t="inlineStr">
        <is>
          <t>RESULTADO DE LA EXPLOTACION</t>
        </is>
      </c>
      <c r="G37" t="inlineStr">
        <is>
          <t>4.- Aprovisionamientos</t>
        </is>
      </c>
      <c r="H37" t="inlineStr">
        <is>
          <t>(602) Compras de otros aprovisionamientos</t>
        </is>
      </c>
      <c r="I37" t="inlineStr">
        <is>
          <t>602000100 - ENVASES Y EMBALAJES A DEVOLVER</t>
        </is>
      </c>
      <c r="J37" t="inlineStr">
        <is>
          <t>-</t>
        </is>
      </c>
      <c r="K37" s="1" t="n">
        <v>-1200.4</v>
      </c>
      <c r="L37" s="1" t="n">
        <v>-562</v>
      </c>
      <c r="M37" s="1" t="n">
        <v>-363</v>
      </c>
      <c r="N37" s="1" t="n">
        <v>67</v>
      </c>
      <c r="O37" s="9" t="n">
        <v>1124</v>
      </c>
      <c r="P37" s="1" t="n">
        <v>-1708</v>
      </c>
      <c r="Q37" s="1" t="n">
        <v>1360</v>
      </c>
      <c r="R37" s="12" t="n">
        <v>0</v>
      </c>
      <c r="S37" s="12" t="n">
        <v>-183.2</v>
      </c>
      <c r="T37" s="12" t="n">
        <v>-183.2</v>
      </c>
      <c r="U37" s="12" t="n">
        <v>-183.2</v>
      </c>
      <c r="V37" s="12" t="n">
        <v>-183.2</v>
      </c>
      <c r="W37" s="12">
        <f>SUM(K37:V37)</f>
        <v/>
      </c>
      <c r="X37" s="8" t="inlineStr">
        <is>
          <t>Coste operativo menor de planta: proyección basada en el promedio mensual histórico de reposición.</t>
        </is>
      </c>
    </row>
    <row r="38">
      <c r="B38" t="n">
        <v>2026</v>
      </c>
      <c r="C38" t="inlineStr">
        <is>
          <t>Codiagro</t>
        </is>
      </c>
      <c r="D38" t="inlineStr">
        <is>
          <t>RESULTADO DEL EJERCICIO</t>
        </is>
      </c>
      <c r="E38" t="inlineStr">
        <is>
          <t>RESULTADO ANTES DE IMPUESTOS</t>
        </is>
      </c>
      <c r="F38" t="inlineStr">
        <is>
          <t>RESULTADO DE LA EXPLOTACION</t>
        </is>
      </c>
      <c r="G38" t="inlineStr">
        <is>
          <t>4.- Aprovisionamientos</t>
        </is>
      </c>
      <c r="H38" t="inlineStr">
        <is>
          <t>(607) Trabajos realizados por otras empresas</t>
        </is>
      </c>
      <c r="I38" t="inlineStr">
        <is>
          <t>607000000 - Trabajos realizados por otras empresas</t>
        </is>
      </c>
      <c r="J38" t="inlineStr">
        <is>
          <t>-</t>
        </is>
      </c>
      <c r="K38" s="1" t="n">
        <v>-4010</v>
      </c>
      <c r="L38" s="1" t="n">
        <v>-8438.959999999999</v>
      </c>
      <c r="M38" s="1" t="n">
        <v>-10901.61</v>
      </c>
      <c r="N38" s="1" t="n">
        <v>-20866.93</v>
      </c>
      <c r="O38" s="9" t="n">
        <v>-3540</v>
      </c>
      <c r="P38" s="1" t="n">
        <v>0.7200000000011642</v>
      </c>
      <c r="Q38" s="1" t="n">
        <v>-3900</v>
      </c>
      <c r="R38" s="12" t="n">
        <v>-6131.310000000001</v>
      </c>
      <c r="S38" s="10" t="n">
        <v>0</v>
      </c>
      <c r="T38" s="10" t="n">
        <v>0</v>
      </c>
      <c r="U38" s="10" t="n">
        <v>0</v>
      </c>
      <c r="V38" s="10" t="n">
        <v>-7970</v>
      </c>
      <c r="W38" s="10">
        <f>SUM(K38:V38)</f>
        <v/>
      </c>
      <c r="X38" s="8" t="inlineStr">
        <is>
          <t>Coste variable de subcontratación fabril: eliminadas previsiones de sep a nov, dejando únicamente diciembre (-7.970,00 €) por refuerzo a cierre de ejercicio según indicación.</t>
        </is>
      </c>
    </row>
    <row r="39">
      <c r="B39" t="n">
        <v>2026</v>
      </c>
      <c r="C39" t="inlineStr">
        <is>
          <t>Codiagro</t>
        </is>
      </c>
      <c r="D39" t="inlineStr">
        <is>
          <t>RESULTADO DEL EJERCICIO</t>
        </is>
      </c>
      <c r="E39" t="inlineStr">
        <is>
          <t>RESULTADO ANTES DE IMPUESTOS</t>
        </is>
      </c>
      <c r="F39" t="inlineStr">
        <is>
          <t>RESULTADO DE LA EXPLOTACION</t>
        </is>
      </c>
      <c r="G39" t="inlineStr">
        <is>
          <t>4.- Aprovisionamientos</t>
        </is>
      </c>
      <c r="H39" t="inlineStr">
        <is>
          <t>(611) Variación de existencias de materias primas</t>
        </is>
      </c>
      <c r="I39" t="inlineStr">
        <is>
          <t>611000000 - Variación de existencias de materias primas</t>
        </is>
      </c>
      <c r="J39" t="inlineStr">
        <is>
          <t>-</t>
        </is>
      </c>
      <c r="K39" s="1" t="n">
        <v>25970.74</v>
      </c>
      <c r="L39" s="1" t="n">
        <v>149437.84</v>
      </c>
      <c r="M39" s="1" t="n">
        <v>81262.98</v>
      </c>
      <c r="N39" s="1" t="n">
        <v>-23562.66</v>
      </c>
      <c r="O39" s="9" t="n">
        <v>-43504.89</v>
      </c>
      <c r="P39" s="1" t="n">
        <v>-145710</v>
      </c>
      <c r="Q39" s="1" t="n">
        <v>649.67</v>
      </c>
      <c r="R39" s="12" t="n">
        <v>-59037.03</v>
      </c>
      <c r="S39" s="12" t="n">
        <v>0</v>
      </c>
      <c r="T39" s="12" t="n">
        <v>0</v>
      </c>
      <c r="U39" s="12" t="n">
        <v>0</v>
      </c>
      <c r="V39" s="12" t="n">
        <v>-15000</v>
      </c>
      <c r="W39" s="12">
        <f>SUM(K39:V39)</f>
        <v/>
      </c>
      <c r="X39" s="8" t="inlineStr">
        <is>
          <t>Ajuste previsional de variación de existencias para regularización de inventarios a cierre de ejercicio.</t>
        </is>
      </c>
    </row>
    <row r="40">
      <c r="B40" t="n">
        <v>2026</v>
      </c>
      <c r="C40" t="inlineStr">
        <is>
          <t>Codiagro</t>
        </is>
      </c>
      <c r="D40" t="inlineStr">
        <is>
          <t>RESULTADO DEL EJERCICIO</t>
        </is>
      </c>
      <c r="E40" t="inlineStr">
        <is>
          <t>RESULTADO ANTES DE IMPUESTOS</t>
        </is>
      </c>
      <c r="F40" t="inlineStr">
        <is>
          <t>RESULTADO DE LA EXPLOTACION</t>
        </is>
      </c>
      <c r="G40" t="inlineStr">
        <is>
          <t>4.- Aprovisionamientos</t>
        </is>
      </c>
      <c r="H40" t="inlineStr">
        <is>
          <t>(612) Variación de existencias envases/etiquetas</t>
        </is>
      </c>
      <c r="I40" t="inlineStr">
        <is>
          <t>612000000 - Variación de existencias otros aprovisionamientos</t>
        </is>
      </c>
      <c r="J40" t="inlineStr">
        <is>
          <t>-</t>
        </is>
      </c>
      <c r="K40" s="1" t="n">
        <v>61431.54</v>
      </c>
      <c r="L40" s="1" t="n">
        <v>-11484.37</v>
      </c>
      <c r="M40" s="1" t="n">
        <v>0</v>
      </c>
      <c r="N40" s="1" t="n">
        <v>44037.42</v>
      </c>
      <c r="O40" s="9" t="n">
        <v>-73565.42</v>
      </c>
      <c r="P40" s="1" t="n">
        <v>33912.77</v>
      </c>
      <c r="Q40" s="1" t="n">
        <v>14991.19</v>
      </c>
      <c r="R40" s="12" t="n">
        <v>-4582.08</v>
      </c>
      <c r="S40" s="12" t="n">
        <v>0</v>
      </c>
      <c r="T40" s="12" t="n">
        <v>0</v>
      </c>
      <c r="U40" s="12" t="n">
        <v>0</v>
      </c>
      <c r="V40" s="12" t="n">
        <v>10000</v>
      </c>
      <c r="W40" s="12">
        <f>SUM(K40:V40)</f>
        <v/>
      </c>
      <c r="X40" s="8" t="inlineStr">
        <is>
          <t>Ajuste previsional de variación de existencias para regularización de inventarios a cierre de ejercicio.</t>
        </is>
      </c>
    </row>
    <row r="41">
      <c r="B41" t="n">
        <v>2026</v>
      </c>
      <c r="C41" t="inlineStr">
        <is>
          <t>Codiagro</t>
        </is>
      </c>
      <c r="D41" t="inlineStr">
        <is>
          <t>RESULTADO DEL EJERCICIO</t>
        </is>
      </c>
      <c r="E41" t="inlineStr">
        <is>
          <t>RESULTADO ANTES DE IMPUESTOS</t>
        </is>
      </c>
      <c r="F41" t="inlineStr">
        <is>
          <t>RESULTADO DE LA EXPLOTACION</t>
        </is>
      </c>
      <c r="G41" t="inlineStr">
        <is>
          <t>5.- Otros ingresos de explotación</t>
        </is>
      </c>
      <c r="H41" t="inlineStr">
        <is>
          <t>(759) Otros ingresos de gestión</t>
        </is>
      </c>
      <c r="I41" t="inlineStr">
        <is>
          <t>759000000 - Ingresos por servicios diversos</t>
        </is>
      </c>
      <c r="J41" t="inlineStr">
        <is>
          <t>-</t>
        </is>
      </c>
      <c r="K41" s="1" t="n">
        <v>0</v>
      </c>
      <c r="L41" s="1" t="n">
        <v>0</v>
      </c>
      <c r="M41" s="1" t="n">
        <v>0</v>
      </c>
      <c r="N41" s="1" t="n">
        <v>0</v>
      </c>
      <c r="O41" s="9" t="n">
        <v>0</v>
      </c>
      <c r="P41" s="1" t="inlineStr">
        <is>
          <t xml:space="preserve">                            -  </t>
        </is>
      </c>
      <c r="Q41" s="1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>
        <f>SUM(K41:V41)</f>
        <v/>
      </c>
      <c r="X41" s="8" t="inlineStr">
        <is>
          <t>Cuenta inactiva / sin saldo en el ejercicio. Sin previsión de movimientos.</t>
        </is>
      </c>
    </row>
    <row r="42">
      <c r="B42" t="n">
        <v>2026</v>
      </c>
      <c r="C42" t="inlineStr">
        <is>
          <t>Codiagro</t>
        </is>
      </c>
      <c r="D42" t="inlineStr">
        <is>
          <t>RESULTADO DEL EJERCICIO</t>
        </is>
      </c>
      <c r="E42" t="inlineStr">
        <is>
          <t>RESULTADO ANTES DE IMPUESTOS</t>
        </is>
      </c>
      <c r="F42" t="inlineStr">
        <is>
          <t>RESULTADO DE LA EXPLOTACION</t>
        </is>
      </c>
      <c r="G42" t="inlineStr">
        <is>
          <t>6.- Gastos de personal</t>
        </is>
      </c>
      <c r="H42" t="inlineStr">
        <is>
          <t>(640) Sueldos y salarios</t>
        </is>
      </c>
      <c r="I42" t="inlineStr">
        <is>
          <t>640000000 - Sueldos y salarios</t>
        </is>
      </c>
      <c r="J42" t="inlineStr">
        <is>
          <t>-</t>
        </is>
      </c>
      <c r="K42" s="1" t="n">
        <v>-84814.92</v>
      </c>
      <c r="L42" s="1" t="n">
        <v>-115852.5</v>
      </c>
      <c r="M42" s="1" t="n">
        <v>-111568.08</v>
      </c>
      <c r="N42" s="1" t="n">
        <v>-100687.82</v>
      </c>
      <c r="O42" s="9" t="n">
        <v>-104048.18</v>
      </c>
      <c r="P42" s="1" t="n">
        <v>-114103.58</v>
      </c>
      <c r="Q42" s="1" t="n">
        <v>-121813.59</v>
      </c>
      <c r="R42" s="12" t="n">
        <v>-128060.74</v>
      </c>
      <c r="S42" s="12" t="n">
        <v>-128060.74</v>
      </c>
      <c r="T42" s="12" t="n">
        <v>-128060.74</v>
      </c>
      <c r="U42" s="12" t="n">
        <v>-128060.74</v>
      </c>
      <c r="V42" s="12" t="n">
        <v>-407060.74</v>
      </c>
      <c r="W42" s="12">
        <f>SUM(K42:V42)</f>
        <v/>
      </c>
      <c r="X42" s="8" t="inlineStr">
        <is>
          <t>Base salarial mensual fija igual a agosto (-128.060,74 €/mes) + 279.000,00 € adicionales en diciembre por devengo de Paga Extraordinaria de Navidad e incentivos anuales.</t>
        </is>
      </c>
    </row>
    <row r="43">
      <c r="B43" t="n">
        <v>2026</v>
      </c>
      <c r="C43" t="inlineStr">
        <is>
          <t>Codiagro</t>
        </is>
      </c>
      <c r="D43" t="inlineStr">
        <is>
          <t>RESULTADO DEL EJERCICIO</t>
        </is>
      </c>
      <c r="E43" t="inlineStr">
        <is>
          <t>RESULTADO ANTES DE IMPUESTOS</t>
        </is>
      </c>
      <c r="F43" t="inlineStr">
        <is>
          <t>RESULTADO DE LA EXPLOTACION</t>
        </is>
      </c>
      <c r="G43" t="inlineStr">
        <is>
          <t>6.- Gastos de personal</t>
        </is>
      </c>
      <c r="H43" t="inlineStr">
        <is>
          <t>(642) Seguridad social a cargo empresa</t>
        </is>
      </c>
      <c r="I43" t="inlineStr">
        <is>
          <t>642000000 - Seguridad Social a cargo empresa</t>
        </is>
      </c>
      <c r="J43" t="inlineStr">
        <is>
          <t>-</t>
        </is>
      </c>
      <c r="K43" s="1" t="n">
        <v>-26717.09</v>
      </c>
      <c r="L43" s="1" t="n">
        <v>-27074.7</v>
      </c>
      <c r="M43" s="1" t="n">
        <v>-32042.23</v>
      </c>
      <c r="N43" s="1" t="n">
        <v>-29359.85</v>
      </c>
      <c r="O43" s="9" t="n">
        <v>-30856.34</v>
      </c>
      <c r="P43" s="1" t="n">
        <v>-30968.7</v>
      </c>
      <c r="Q43" s="1" t="n">
        <v>-31720.06</v>
      </c>
      <c r="R43" s="12" t="n">
        <v>-24572.05</v>
      </c>
      <c r="S43" s="12" t="n">
        <v>-24572.05</v>
      </c>
      <c r="T43" s="12" t="n">
        <v>-24572.05</v>
      </c>
      <c r="U43" s="12" t="n">
        <v>-24572.05</v>
      </c>
      <c r="V43" s="12" t="n">
        <v>-24572.05</v>
      </c>
      <c r="W43" s="12">
        <f>SUM(K43:V43)</f>
        <v/>
      </c>
      <c r="X43" s="8" t="inlineStr">
        <is>
          <t>Cotizaciones a la Seguridad Social mensuales fijas iguales a agosto (-24.572,05 €/mes).</t>
        </is>
      </c>
    </row>
    <row r="44">
      <c r="B44" t="n">
        <v>2026</v>
      </c>
      <c r="C44" t="inlineStr">
        <is>
          <t>Codiagro</t>
        </is>
      </c>
      <c r="D44" t="inlineStr">
        <is>
          <t>RESULTADO DEL EJERCICIO</t>
        </is>
      </c>
      <c r="E44" t="inlineStr">
        <is>
          <t>RESULTADO ANTES DE IMPUESTOS</t>
        </is>
      </c>
      <c r="F44" t="inlineStr">
        <is>
          <t>RESULTADO DE LA EXPLOTACION</t>
        </is>
      </c>
      <c r="G44" t="inlineStr">
        <is>
          <t>6.- Gastos de personal</t>
        </is>
      </c>
      <c r="H44" t="inlineStr">
        <is>
          <t>(649) Otros gastos sociales</t>
        </is>
      </c>
      <c r="I44" t="inlineStr">
        <is>
          <t>649000000 - Otros gastos sociales</t>
        </is>
      </c>
      <c r="J44" t="inlineStr">
        <is>
          <t>-</t>
        </is>
      </c>
      <c r="K44" s="1" t="n">
        <v>0</v>
      </c>
      <c r="L44" s="1" t="n">
        <v>0</v>
      </c>
      <c r="M44" s="1" t="n">
        <v>0</v>
      </c>
      <c r="N44" s="1" t="n">
        <v>0</v>
      </c>
      <c r="O44" s="9" t="n">
        <v>0</v>
      </c>
      <c r="P44" s="1" t="inlineStr">
        <is>
          <t xml:space="preserve">                            -  </t>
        </is>
      </c>
      <c r="Q44" s="1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>
        <f>SUM(K44:V44)</f>
        <v/>
      </c>
      <c r="X44" s="8" t="inlineStr">
        <is>
          <t>Cuenta inactiva / sin saldo en el ejercicio. Sin previsión de movimientos.</t>
        </is>
      </c>
    </row>
    <row r="45">
      <c r="B45" t="n">
        <v>2026</v>
      </c>
      <c r="C45" t="inlineStr">
        <is>
          <t>Codiagro</t>
        </is>
      </c>
      <c r="D45" t="inlineStr">
        <is>
          <t>RESULTADO DEL EJERCICIO</t>
        </is>
      </c>
      <c r="E45" t="inlineStr">
        <is>
          <t>RESULTADO ANTES DE IMPUESTOS</t>
        </is>
      </c>
      <c r="F45" t="inlineStr">
        <is>
          <t>RESULTADO DE LA EXPLOTACION</t>
        </is>
      </c>
      <c r="G45" t="inlineStr">
        <is>
          <t>6.- Gastos de personal</t>
        </is>
      </c>
      <c r="H45" t="inlineStr">
        <is>
          <t>(649) Otros gastos sociales</t>
        </is>
      </c>
      <c r="I45" t="inlineStr">
        <is>
          <t>649000001 - GASTOS COMERCIALES NIEVES RUIZ</t>
        </is>
      </c>
      <c r="J45" t="inlineStr">
        <is>
          <t>-</t>
        </is>
      </c>
      <c r="K45" s="1" t="n">
        <v>0</v>
      </c>
      <c r="L45" s="1" t="n">
        <v>0</v>
      </c>
      <c r="M45" s="1" t="n">
        <v>0</v>
      </c>
      <c r="N45" s="1" t="n">
        <v>0</v>
      </c>
      <c r="O45" s="9" t="n">
        <v>0</v>
      </c>
      <c r="P45" s="1" t="inlineStr">
        <is>
          <t xml:space="preserve">                            -  </t>
        </is>
      </c>
      <c r="Q45" s="1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>
        <f>SUM(K45:V45)</f>
        <v/>
      </c>
      <c r="X45" s="8" t="inlineStr">
        <is>
          <t>Cuenta inactiva / sin saldo en el ejercicio. Sin previsión de movimientos.</t>
        </is>
      </c>
    </row>
    <row r="46">
      <c r="B46" t="n">
        <v>2026</v>
      </c>
      <c r="C46" t="inlineStr">
        <is>
          <t>Codiagro</t>
        </is>
      </c>
      <c r="D46" t="inlineStr">
        <is>
          <t>RESULTADO DEL EJERCICIO</t>
        </is>
      </c>
      <c r="E46" t="inlineStr">
        <is>
          <t>RESULTADO ANTES DE IMPUESTOS</t>
        </is>
      </c>
      <c r="F46" t="inlineStr">
        <is>
          <t>RESULTADO DE LA EXPLOTACION</t>
        </is>
      </c>
      <c r="G46" t="inlineStr">
        <is>
          <t>6.- Gastos de personal</t>
        </is>
      </c>
      <c r="H46" t="inlineStr">
        <is>
          <t>(649) Otros gastos sociales</t>
        </is>
      </c>
      <c r="I46" t="inlineStr">
        <is>
          <t>649000002 - GASTOS EMPR. ANTONIO ANDREU</t>
        </is>
      </c>
      <c r="J46" t="inlineStr">
        <is>
          <t>-</t>
        </is>
      </c>
      <c r="K46" s="1" t="n">
        <v>0</v>
      </c>
      <c r="L46" s="1" t="n">
        <v>0</v>
      </c>
      <c r="M46" s="1" t="n">
        <v>0</v>
      </c>
      <c r="N46" s="1" t="n">
        <v>0</v>
      </c>
      <c r="O46" s="9" t="n">
        <v>0</v>
      </c>
      <c r="P46" s="1" t="inlineStr">
        <is>
          <t xml:space="preserve">                            -  </t>
        </is>
      </c>
      <c r="Q46" s="1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>
        <f>SUM(K46:V46)</f>
        <v/>
      </c>
      <c r="X46" s="8" t="inlineStr">
        <is>
          <t>Cuenta inactiva / sin saldo en el ejercicio. Sin previsión de movimientos.</t>
        </is>
      </c>
    </row>
    <row r="47">
      <c r="B47" t="n">
        <v>2026</v>
      </c>
      <c r="C47" t="inlineStr">
        <is>
          <t>Codiagro</t>
        </is>
      </c>
      <c r="D47" t="inlineStr">
        <is>
          <t>RESULTADO DEL EJERCICIO</t>
        </is>
      </c>
      <c r="E47" t="inlineStr">
        <is>
          <t>RESULTADO ANTES DE IMPUESTOS</t>
        </is>
      </c>
      <c r="F47" t="inlineStr">
        <is>
          <t>RESULTADO DE LA EXPLOTACION</t>
        </is>
      </c>
      <c r="G47" t="inlineStr">
        <is>
          <t>6.- Gastos de personal</t>
        </is>
      </c>
      <c r="H47" t="inlineStr">
        <is>
          <t>(649) Otros gastos sociales</t>
        </is>
      </c>
      <c r="I47" t="inlineStr">
        <is>
          <t>649000004 - GASTOS COMERCIALES RICARDO PEREZ</t>
        </is>
      </c>
      <c r="J47" t="inlineStr">
        <is>
          <t>-</t>
        </is>
      </c>
      <c r="K47" s="1" t="n">
        <v>0</v>
      </c>
      <c r="L47" s="1" t="n">
        <v>0</v>
      </c>
      <c r="M47" s="1" t="n">
        <v>0</v>
      </c>
      <c r="N47" s="1" t="n">
        <v>0</v>
      </c>
      <c r="O47" s="9" t="n">
        <v>0</v>
      </c>
      <c r="P47" s="1" t="inlineStr">
        <is>
          <t xml:space="preserve">                            -  </t>
        </is>
      </c>
      <c r="Q47" s="1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>
        <f>SUM(K47:V47)</f>
        <v/>
      </c>
      <c r="X47" s="8" t="inlineStr">
        <is>
          <t>Cuenta inactiva / sin saldo en el ejercicio. Sin previsión de movimientos.</t>
        </is>
      </c>
    </row>
    <row r="48">
      <c r="B48" t="n">
        <v>2026</v>
      </c>
      <c r="C48" t="inlineStr">
        <is>
          <t>Codiagro</t>
        </is>
      </c>
      <c r="D48" t="inlineStr">
        <is>
          <t>RESULTADO DEL EJERCICIO</t>
        </is>
      </c>
      <c r="E48" t="inlineStr">
        <is>
          <t>RESULTADO ANTES DE IMPUESTOS</t>
        </is>
      </c>
      <c r="F48" t="inlineStr">
        <is>
          <t>RESULTADO DE LA EXPLOTACION</t>
        </is>
      </c>
      <c r="G48" t="inlineStr">
        <is>
          <t>6.- Gastos de personal</t>
        </is>
      </c>
      <c r="H48" t="inlineStr">
        <is>
          <t>(649) Otros gastos sociales</t>
        </is>
      </c>
      <c r="I48" t="inlineStr">
        <is>
          <t>649000007 - GASTOS COMERCIALES J.PAREDES</t>
        </is>
      </c>
      <c r="J48" t="inlineStr">
        <is>
          <t>-</t>
        </is>
      </c>
      <c r="K48" s="1" t="n">
        <v>0</v>
      </c>
      <c r="L48" s="1" t="n">
        <v>0</v>
      </c>
      <c r="M48" s="1" t="n">
        <v>0</v>
      </c>
      <c r="N48" s="1" t="n">
        <v>0</v>
      </c>
      <c r="O48" s="9" t="n">
        <v>0</v>
      </c>
      <c r="P48" s="1" t="inlineStr">
        <is>
          <t xml:space="preserve">                            -  </t>
        </is>
      </c>
      <c r="Q48" s="1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>
        <f>SUM(K48:V48)</f>
        <v/>
      </c>
      <c r="X48" s="8" t="inlineStr">
        <is>
          <t>Cuenta inactiva / sin saldo en el ejercicio. Sin previsión de movimientos.</t>
        </is>
      </c>
    </row>
    <row r="49">
      <c r="B49" t="n">
        <v>2026</v>
      </c>
      <c r="C49" t="inlineStr">
        <is>
          <t>Codiagro</t>
        </is>
      </c>
      <c r="D49" t="inlineStr">
        <is>
          <t>RESULTADO DEL EJERCICIO</t>
        </is>
      </c>
      <c r="E49" t="inlineStr">
        <is>
          <t>RESULTADO ANTES DE IMPUESTOS</t>
        </is>
      </c>
      <c r="F49" t="inlineStr">
        <is>
          <t>RESULTADO DE LA EXPLOTACION</t>
        </is>
      </c>
      <c r="G49" t="inlineStr">
        <is>
          <t>6.- Gastos de personal</t>
        </is>
      </c>
      <c r="H49" t="inlineStr">
        <is>
          <t>(649) Otros gastos sociales</t>
        </is>
      </c>
      <c r="I49" t="inlineStr">
        <is>
          <t>649000009 - GASTOS COMERCIALES J.A. GARCIA</t>
        </is>
      </c>
      <c r="J49" t="inlineStr">
        <is>
          <t>-</t>
        </is>
      </c>
      <c r="K49" s="1" t="n">
        <v>0</v>
      </c>
      <c r="L49" s="1" t="n">
        <v>0</v>
      </c>
      <c r="M49" s="1" t="n">
        <v>0</v>
      </c>
      <c r="N49" s="1" t="n">
        <v>0</v>
      </c>
      <c r="O49" s="9" t="n">
        <v>0</v>
      </c>
      <c r="P49" s="1" t="inlineStr">
        <is>
          <t xml:space="preserve">                            -  </t>
        </is>
      </c>
      <c r="Q49" s="1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>
        <f>SUM(K49:V49)</f>
        <v/>
      </c>
      <c r="X49" s="8" t="inlineStr">
        <is>
          <t>Cuenta inactiva / sin saldo en el ejercicio. Sin previsión de movimientos.</t>
        </is>
      </c>
    </row>
    <row r="50">
      <c r="B50" t="n">
        <v>2026</v>
      </c>
      <c r="C50" t="inlineStr">
        <is>
          <t>Codiagro</t>
        </is>
      </c>
      <c r="D50" t="inlineStr">
        <is>
          <t>RESULTADO DEL EJERCICIO</t>
        </is>
      </c>
      <c r="E50" t="inlineStr">
        <is>
          <t>RESULTADO ANTES DE IMPUESTOS</t>
        </is>
      </c>
      <c r="F50" t="inlineStr">
        <is>
          <t>RESULTADO DE LA EXPLOTACION</t>
        </is>
      </c>
      <c r="G50" t="inlineStr">
        <is>
          <t>6.- Gastos de personal</t>
        </is>
      </c>
      <c r="H50" t="inlineStr">
        <is>
          <t>(649) Otros gastos sociales</t>
        </is>
      </c>
      <c r="I50" t="inlineStr">
        <is>
          <t>649000010 - GASTOS EMP. CURRO</t>
        </is>
      </c>
      <c r="J50" t="inlineStr">
        <is>
          <t>-</t>
        </is>
      </c>
      <c r="K50" s="1" t="n">
        <v>0</v>
      </c>
      <c r="L50" s="1" t="n">
        <v>0</v>
      </c>
      <c r="M50" s="1" t="n">
        <v>0</v>
      </c>
      <c r="N50" s="1" t="n">
        <v>0</v>
      </c>
      <c r="O50" s="9" t="n">
        <v>0</v>
      </c>
      <c r="P50" s="1" t="inlineStr">
        <is>
          <t xml:space="preserve">                            -  </t>
        </is>
      </c>
      <c r="Q50" s="1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>
        <f>SUM(K50:V50)</f>
        <v/>
      </c>
      <c r="X50" s="8" t="inlineStr">
        <is>
          <t>Cuenta inactiva / sin saldo en el ejercicio. Sin previsión de movimientos.</t>
        </is>
      </c>
    </row>
    <row r="51">
      <c r="B51" t="n">
        <v>2026</v>
      </c>
      <c r="C51" t="inlineStr">
        <is>
          <t>Codiagro</t>
        </is>
      </c>
      <c r="D51" t="inlineStr">
        <is>
          <t>RESULTADO DEL EJERCICIO</t>
        </is>
      </c>
      <c r="E51" t="inlineStr">
        <is>
          <t>RESULTADO ANTES DE IMPUESTOS</t>
        </is>
      </c>
      <c r="F51" t="inlineStr">
        <is>
          <t>RESULTADO DE LA EXPLOTACION</t>
        </is>
      </c>
      <c r="G51" t="inlineStr">
        <is>
          <t>6.- Gastos de personal</t>
        </is>
      </c>
      <c r="H51" t="inlineStr">
        <is>
          <t>(649) Otros gastos sociales</t>
        </is>
      </c>
      <c r="I51" t="inlineStr">
        <is>
          <t>649000012 - GASTOS COMERCIALES IRENE GARCIA</t>
        </is>
      </c>
      <c r="J51" t="inlineStr">
        <is>
          <t>-</t>
        </is>
      </c>
      <c r="K51" s="1" t="n">
        <v>0</v>
      </c>
      <c r="L51" s="1" t="n">
        <v>0</v>
      </c>
      <c r="M51" s="1" t="n">
        <v>0</v>
      </c>
      <c r="N51" s="1" t="n">
        <v>0</v>
      </c>
      <c r="O51" s="9" t="n">
        <v>0</v>
      </c>
      <c r="P51" s="1" t="inlineStr">
        <is>
          <t xml:space="preserve">                            -  </t>
        </is>
      </c>
      <c r="Q51" s="1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>
        <f>SUM(K51:V51)</f>
        <v/>
      </c>
      <c r="X51" s="8" t="inlineStr">
        <is>
          <t>Cuenta inactiva / sin saldo en el ejercicio. Sin previsión de movimientos.</t>
        </is>
      </c>
    </row>
    <row r="52">
      <c r="B52" t="n">
        <v>2026</v>
      </c>
      <c r="C52" t="inlineStr">
        <is>
          <t>Codiagro</t>
        </is>
      </c>
      <c r="D52" t="inlineStr">
        <is>
          <t>RESULTADO DEL EJERCICIO</t>
        </is>
      </c>
      <c r="E52" t="inlineStr">
        <is>
          <t>RESULTADO ANTES DE IMPUESTOS</t>
        </is>
      </c>
      <c r="F52" t="inlineStr">
        <is>
          <t>RESULTADO DE LA EXPLOTACION</t>
        </is>
      </c>
      <c r="G52" t="inlineStr">
        <is>
          <t>6.- Gastos de personal</t>
        </is>
      </c>
      <c r="H52" t="inlineStr">
        <is>
          <t>(649) Otros gastos sociales</t>
        </is>
      </c>
      <c r="I52" t="inlineStr">
        <is>
          <t>649000100 - GTOS. CURSOS PERSONAL</t>
        </is>
      </c>
      <c r="J52" t="inlineStr">
        <is>
          <t>-</t>
        </is>
      </c>
      <c r="K52" s="1" t="n">
        <v>0</v>
      </c>
      <c r="L52" s="1" t="n">
        <v>0</v>
      </c>
      <c r="M52" s="1" t="n">
        <v>-2623</v>
      </c>
      <c r="N52" s="1" t="n">
        <v>0</v>
      </c>
      <c r="O52" s="9" t="n">
        <v>-88</v>
      </c>
      <c r="P52" s="1" t="inlineStr">
        <is>
          <t xml:space="preserve">                            -  </t>
        </is>
      </c>
      <c r="Q52" s="1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>
        <f>SUM(K52:V52)</f>
        <v/>
      </c>
      <c r="X52" s="8" t="inlineStr">
        <is>
          <t>Sin dotación presupuestada en el último cuatrimestre.</t>
        </is>
      </c>
    </row>
    <row r="53">
      <c r="B53" t="n">
        <v>2026</v>
      </c>
      <c r="C53" t="inlineStr">
        <is>
          <t>Codiagro</t>
        </is>
      </c>
      <c r="D53" t="inlineStr">
        <is>
          <t>RESULTADO DEL EJERCICIO</t>
        </is>
      </c>
      <c r="E53" t="inlineStr">
        <is>
          <t>RESULTADO ANTES DE IMPUESTOS</t>
        </is>
      </c>
      <c r="F53" t="inlineStr">
        <is>
          <t>RESULTADO DE LA EXPLOTACION</t>
        </is>
      </c>
      <c r="G53" t="inlineStr">
        <is>
          <t>6.- Gastos de personal</t>
        </is>
      </c>
      <c r="H53" t="inlineStr">
        <is>
          <t>(649) Otros gastos sociales</t>
        </is>
      </c>
      <c r="I53" t="inlineStr">
        <is>
          <t>649000101 - GTOS. SEG. Y RIESGOS PERSONAL</t>
        </is>
      </c>
      <c r="J53" t="inlineStr">
        <is>
          <t>-</t>
        </is>
      </c>
      <c r="K53" s="1" t="n">
        <v>0</v>
      </c>
      <c r="L53" s="1" t="n">
        <v>0</v>
      </c>
      <c r="M53" s="1" t="n">
        <v>0</v>
      </c>
      <c r="N53" s="1" t="n">
        <v>0</v>
      </c>
      <c r="O53" s="9" t="n">
        <v>0</v>
      </c>
      <c r="P53" s="1" t="inlineStr">
        <is>
          <t xml:space="preserve">                            -  </t>
        </is>
      </c>
      <c r="Q53" s="1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>
        <f>SUM(K53:V53)</f>
        <v/>
      </c>
      <c r="X53" s="8" t="inlineStr">
        <is>
          <t>Cuenta inactiva / sin saldo en el ejercicio. Sin previsión de movimientos.</t>
        </is>
      </c>
    </row>
    <row r="54">
      <c r="B54" t="n">
        <v>2026</v>
      </c>
      <c r="C54" t="inlineStr">
        <is>
          <t>Codiagro</t>
        </is>
      </c>
      <c r="D54" t="inlineStr">
        <is>
          <t>RESULTADO DEL EJERCICIO</t>
        </is>
      </c>
      <c r="E54" t="inlineStr">
        <is>
          <t>RESULTADO ANTES DE IMPUESTOS</t>
        </is>
      </c>
      <c r="F54" t="inlineStr">
        <is>
          <t>RESULTADO DE LA EXPLOTACION</t>
        </is>
      </c>
      <c r="G54" t="inlineStr">
        <is>
          <t>6.- Gastos de personal</t>
        </is>
      </c>
      <c r="H54" t="inlineStr">
        <is>
          <t>(649) Otros gastos sociales</t>
        </is>
      </c>
      <c r="I54" t="inlineStr">
        <is>
          <t>649000102 - GASTOS ROPA UNIFORMES TRABAJADORES</t>
        </is>
      </c>
      <c r="J54" t="inlineStr">
        <is>
          <t>-</t>
        </is>
      </c>
      <c r="K54" s="1" t="n">
        <v>0</v>
      </c>
      <c r="L54" s="1" t="n">
        <v>0</v>
      </c>
      <c r="M54" s="1" t="n">
        <v>0</v>
      </c>
      <c r="N54" s="1" t="n">
        <v>0</v>
      </c>
      <c r="O54" s="9" t="n">
        <v>0</v>
      </c>
      <c r="P54" s="1" t="inlineStr">
        <is>
          <t xml:space="preserve">                            -  </t>
        </is>
      </c>
      <c r="Q54" s="1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>
        <f>SUM(K54:V54)</f>
        <v/>
      </c>
      <c r="X54" s="8" t="inlineStr">
        <is>
          <t>Cuenta inactiva / sin saldo en el ejercicio. Sin previsión de movimientos.</t>
        </is>
      </c>
    </row>
    <row r="55">
      <c r="B55" t="n">
        <v>2026</v>
      </c>
      <c r="C55" t="inlineStr">
        <is>
          <t>Codiagro</t>
        </is>
      </c>
      <c r="D55" t="inlineStr">
        <is>
          <t>RESULTADO DEL EJERCICIO</t>
        </is>
      </c>
      <c r="E55" t="inlineStr">
        <is>
          <t>RESULTADO ANTES DE IMPUESTOS</t>
        </is>
      </c>
      <c r="F55" t="inlineStr">
        <is>
          <t>RESULTADO DE LA EXPLOTACION</t>
        </is>
      </c>
      <c r="G55" t="inlineStr">
        <is>
          <t>6.- Gastos de personal</t>
        </is>
      </c>
      <c r="H55" t="inlineStr">
        <is>
          <t>(649) Otros gastos sociales</t>
        </is>
      </c>
      <c r="I55" t="inlineStr">
        <is>
          <t>649000103 - GASTOS COMBUSTIBLE TRAB.</t>
        </is>
      </c>
      <c r="J55" t="inlineStr">
        <is>
          <t>-</t>
        </is>
      </c>
      <c r="K55" s="1" t="n">
        <v>0</v>
      </c>
      <c r="L55" s="1" t="n">
        <v>0</v>
      </c>
      <c r="M55" s="1" t="n">
        <v>0</v>
      </c>
      <c r="N55" s="1" t="n">
        <v>0</v>
      </c>
      <c r="O55" s="9" t="n">
        <v>0</v>
      </c>
      <c r="P55" s="1" t="inlineStr">
        <is>
          <t xml:space="preserve">                            -  </t>
        </is>
      </c>
      <c r="Q55" s="1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>
        <f>SUM(K55:V55)</f>
        <v/>
      </c>
      <c r="X55" s="8" t="inlineStr">
        <is>
          <t>Cuenta inactiva / sin saldo en el ejercicio. Sin previsión de movimientos.</t>
        </is>
      </c>
    </row>
    <row r="56">
      <c r="B56" t="n">
        <v>2026</v>
      </c>
      <c r="C56" t="inlineStr">
        <is>
          <t>Codiagro</t>
        </is>
      </c>
      <c r="D56" t="inlineStr">
        <is>
          <t>RESULTADO DEL EJERCICIO</t>
        </is>
      </c>
      <c r="E56" t="inlineStr">
        <is>
          <t>RESULTADO ANTES DE IMPUESTOS</t>
        </is>
      </c>
      <c r="F56" t="inlineStr">
        <is>
          <t>RESULTADO DE LA EXPLOTACION</t>
        </is>
      </c>
      <c r="G56" t="inlineStr">
        <is>
          <t>6.- Gastos de personal</t>
        </is>
      </c>
      <c r="H56" t="inlineStr">
        <is>
          <t>(649) Otros gastos sociales</t>
        </is>
      </c>
      <c r="I56" t="inlineStr">
        <is>
          <t>649100001 - GTOS. COMIDAS TRAB.</t>
        </is>
      </c>
      <c r="J56" t="inlineStr">
        <is>
          <t>-</t>
        </is>
      </c>
      <c r="K56" s="1" t="n">
        <v>0</v>
      </c>
      <c r="L56" s="1" t="n">
        <v>0</v>
      </c>
      <c r="M56" s="1" t="n">
        <v>0</v>
      </c>
      <c r="N56" s="1" t="n">
        <v>0</v>
      </c>
      <c r="O56" s="9" t="n">
        <v>0</v>
      </c>
      <c r="P56" s="1" t="inlineStr">
        <is>
          <t xml:space="preserve">                            -  </t>
        </is>
      </c>
      <c r="Q56" s="1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>
        <f>SUM(K56:V56)</f>
        <v/>
      </c>
      <c r="X56" s="8" t="inlineStr">
        <is>
          <t>Cuenta inactiva / sin saldo en el ejercicio. Sin previsión de movimientos.</t>
        </is>
      </c>
    </row>
    <row r="57">
      <c r="B57" t="n">
        <v>2026</v>
      </c>
      <c r="C57" t="inlineStr">
        <is>
          <t>Codiagro</t>
        </is>
      </c>
      <c r="D57" t="inlineStr">
        <is>
          <t>RESULTADO DEL EJERCICIO</t>
        </is>
      </c>
      <c r="E57" t="inlineStr">
        <is>
          <t>RESULTADO ANTES DE IMPUESTOS</t>
        </is>
      </c>
      <c r="F57" t="inlineStr">
        <is>
          <t>RESULTADO DE LA EXPLOTACION</t>
        </is>
      </c>
      <c r="G57" t="inlineStr">
        <is>
          <t>6.- Gastos de personal</t>
        </is>
      </c>
      <c r="H57" t="inlineStr">
        <is>
          <t>(649) Otros gastos sociales</t>
        </is>
      </c>
      <c r="I57" t="inlineStr">
        <is>
          <t>649100002 - GASTOS TRAB. EMPRESA VARIOS</t>
        </is>
      </c>
      <c r="J57" t="inlineStr">
        <is>
          <t>-</t>
        </is>
      </c>
      <c r="K57" s="1" t="n">
        <v>0</v>
      </c>
      <c r="L57" s="1" t="n">
        <v>0</v>
      </c>
      <c r="M57" s="1" t="n">
        <v>0</v>
      </c>
      <c r="N57" s="1" t="n">
        <v>0</v>
      </c>
      <c r="O57" s="9" t="n">
        <v>0</v>
      </c>
      <c r="P57" s="1" t="inlineStr">
        <is>
          <t xml:space="preserve">                            -  </t>
        </is>
      </c>
      <c r="Q57" s="1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>
        <f>SUM(K57:V57)</f>
        <v/>
      </c>
      <c r="X57" s="8" t="inlineStr">
        <is>
          <t>Cuenta inactiva / sin saldo en el ejercicio. Sin previsión de movimientos.</t>
        </is>
      </c>
    </row>
    <row r="58">
      <c r="B58" t="n">
        <v>2026</v>
      </c>
      <c r="C58" t="inlineStr">
        <is>
          <t>Codiagro</t>
        </is>
      </c>
      <c r="D58" t="inlineStr">
        <is>
          <t>RESULTADO DEL EJERCICIO</t>
        </is>
      </c>
      <c r="E58" t="inlineStr">
        <is>
          <t>RESULTADO ANTES DE IMPUESTOS</t>
        </is>
      </c>
      <c r="F58" t="inlineStr">
        <is>
          <t>RESULTADO DE LA EXPLOTACION</t>
        </is>
      </c>
      <c r="G58" t="inlineStr">
        <is>
          <t>7.- Otros gastos de explotación</t>
        </is>
      </c>
      <c r="H58" t="inlineStr">
        <is>
          <t>(620) Gastos de investigación y desarrollo</t>
        </is>
      </c>
      <c r="I58" t="inlineStr">
        <is>
          <t>620000002 - COMPRAS LABORATORIO</t>
        </is>
      </c>
      <c r="J58" t="inlineStr">
        <is>
          <t>-</t>
        </is>
      </c>
      <c r="K58" s="1" t="n">
        <v>0</v>
      </c>
      <c r="L58" s="1" t="n">
        <v>0</v>
      </c>
      <c r="M58" s="1" t="n">
        <v>-113.13</v>
      </c>
      <c r="N58" s="1" t="n">
        <v>-87.59999999999999</v>
      </c>
      <c r="O58" s="9" t="n">
        <v>-487.47</v>
      </c>
      <c r="P58" s="1" t="n">
        <v>-697.8099999999999</v>
      </c>
      <c r="Q58" s="1" t="n">
        <v>-226.47</v>
      </c>
      <c r="R58" s="12" t="n">
        <v>0</v>
      </c>
      <c r="S58" s="12" t="n">
        <v>-322.5</v>
      </c>
      <c r="T58" s="12" t="n">
        <v>-322.5</v>
      </c>
      <c r="U58" s="12" t="n">
        <v>-322.5</v>
      </c>
      <c r="V58" s="12" t="n">
        <v>-322.5</v>
      </c>
      <c r="W58" s="12">
        <f>SUM(K58:V58)</f>
        <v/>
      </c>
      <c r="X58" s="8" t="inlineStr">
        <is>
          <t>Coste estratégico de I+D: ensayos agronómicos de eficacia y desarrollo de bioestimulantes.</t>
        </is>
      </c>
    </row>
    <row r="59">
      <c r="B59" t="n">
        <v>2026</v>
      </c>
      <c r="C59" t="inlineStr">
        <is>
          <t>Codiagro</t>
        </is>
      </c>
      <c r="D59" t="inlineStr">
        <is>
          <t>RESULTADO DEL EJERCICIO</t>
        </is>
      </c>
      <c r="E59" t="inlineStr">
        <is>
          <t>RESULTADO ANTES DE IMPUESTOS</t>
        </is>
      </c>
      <c r="F59" t="inlineStr">
        <is>
          <t>RESULTADO DE LA EXPLOTACION</t>
        </is>
      </c>
      <c r="G59" t="inlineStr">
        <is>
          <t>7.- Otros gastos de explotación</t>
        </is>
      </c>
      <c r="H59" t="inlineStr">
        <is>
          <t>(620) Gastos de investigación y desarrollo</t>
        </is>
      </c>
      <c r="I59" t="inlineStr">
        <is>
          <t>620000003 - SUMINISTROS LABORATORIO</t>
        </is>
      </c>
      <c r="J59" t="inlineStr">
        <is>
          <t>-</t>
        </is>
      </c>
      <c r="K59" s="1" t="n">
        <v>-522.3099999999999</v>
      </c>
      <c r="L59" s="1" t="n">
        <v>-356.17</v>
      </c>
      <c r="M59" s="1" t="n">
        <v>0</v>
      </c>
      <c r="N59" s="1" t="n">
        <v>-1440.58</v>
      </c>
      <c r="O59" s="9" t="n">
        <v>-1464.58</v>
      </c>
      <c r="P59" s="1" t="n">
        <v>-752.24</v>
      </c>
      <c r="Q59" s="1" t="n">
        <v>-752.24</v>
      </c>
      <c r="R59" s="12" t="n">
        <v>-399.98</v>
      </c>
      <c r="S59" s="12" t="n">
        <v>-812.59</v>
      </c>
      <c r="T59" s="12" t="n">
        <v>-812.59</v>
      </c>
      <c r="U59" s="12" t="n">
        <v>-812.59</v>
      </c>
      <c r="V59" s="12" t="n">
        <v>-812.59</v>
      </c>
      <c r="W59" s="12">
        <f>SUM(K59:V59)</f>
        <v/>
      </c>
      <c r="X59" s="8" t="inlineStr">
        <is>
          <t>Coste estratégico de I+D: ensayos agronómicos de eficacia y desarrollo de bioestimulantes.</t>
        </is>
      </c>
    </row>
    <row r="60">
      <c r="B60" t="n">
        <v>2026</v>
      </c>
      <c r="C60" t="inlineStr">
        <is>
          <t>Codiagro</t>
        </is>
      </c>
      <c r="D60" t="inlineStr">
        <is>
          <t>RESULTADO DEL EJERCICIO</t>
        </is>
      </c>
      <c r="E60" t="inlineStr">
        <is>
          <t>RESULTADO ANTES DE IMPUESTOS</t>
        </is>
      </c>
      <c r="F60" t="inlineStr">
        <is>
          <t>RESULTADO DE LA EXPLOTACION</t>
        </is>
      </c>
      <c r="G60" t="inlineStr">
        <is>
          <t>7.- Otros gastos de explotación</t>
        </is>
      </c>
      <c r="H60" t="inlineStr">
        <is>
          <t>(620) Gastos de investigación y desarrollo</t>
        </is>
      </c>
      <c r="I60" t="inlineStr">
        <is>
          <t>620000004 - GTOS. ANALISIS LABORATORIOS</t>
        </is>
      </c>
      <c r="J60" t="inlineStr">
        <is>
          <t>-</t>
        </is>
      </c>
      <c r="K60" s="1" t="n">
        <v>-523.96</v>
      </c>
      <c r="L60" s="1" t="n">
        <v>-1019.07</v>
      </c>
      <c r="M60" s="1" t="n">
        <v>-1573.25</v>
      </c>
      <c r="N60" s="1" t="n">
        <v>-41.5</v>
      </c>
      <c r="O60" s="9" t="n">
        <v>-1476.12</v>
      </c>
      <c r="P60" s="1" t="n">
        <v>-2389.01</v>
      </c>
      <c r="Q60" s="1" t="n">
        <v>-1899.09</v>
      </c>
      <c r="R60" s="12" t="n">
        <v>-911.52</v>
      </c>
      <c r="S60" s="12" t="n">
        <v>-1229.19</v>
      </c>
      <c r="T60" s="12" t="n">
        <v>-1229.19</v>
      </c>
      <c r="U60" s="12" t="n">
        <v>-1229.19</v>
      </c>
      <c r="V60" s="12" t="n">
        <v>-1229.19</v>
      </c>
      <c r="W60" s="12">
        <f>SUM(K60:V60)</f>
        <v/>
      </c>
      <c r="X60" s="8" t="inlineStr">
        <is>
          <t>Coste estratégico de I+D: ensayos agronómicos de eficacia y desarrollo de bioestimulantes.</t>
        </is>
      </c>
    </row>
    <row r="61">
      <c r="B61" t="n">
        <v>2026</v>
      </c>
      <c r="C61" t="inlineStr">
        <is>
          <t>Codiagro</t>
        </is>
      </c>
      <c r="D61" t="inlineStr">
        <is>
          <t>RESULTADO DEL EJERCICIO</t>
        </is>
      </c>
      <c r="E61" t="inlineStr">
        <is>
          <t>RESULTADO ANTES DE IMPUESTOS</t>
        </is>
      </c>
      <c r="F61" t="inlineStr">
        <is>
          <t>RESULTADO DE LA EXPLOTACION</t>
        </is>
      </c>
      <c r="G61" t="inlineStr">
        <is>
          <t>7.- Otros gastos de explotación</t>
        </is>
      </c>
      <c r="H61" t="inlineStr">
        <is>
          <t>(621) Arrendamientos y cánones</t>
        </is>
      </c>
      <c r="I61" t="inlineStr">
        <is>
          <t>621000001 - ALQUILER OFICINA CARTAGENA</t>
        </is>
      </c>
      <c r="J61" t="inlineStr">
        <is>
          <t>-</t>
        </is>
      </c>
      <c r="K61" s="1" t="n">
        <v>-192</v>
      </c>
      <c r="L61" s="1" t="n">
        <v>-192</v>
      </c>
      <c r="M61" s="1" t="n">
        <v>-192</v>
      </c>
      <c r="N61" s="1" t="n">
        <v>-192</v>
      </c>
      <c r="O61" s="9" t="n">
        <v>-192</v>
      </c>
      <c r="P61" s="1" t="n">
        <v>-192</v>
      </c>
      <c r="Q61" s="1" t="n">
        <v>-192</v>
      </c>
      <c r="R61" s="12" t="n">
        <v>-192</v>
      </c>
      <c r="S61" s="12" t="n">
        <v>-192</v>
      </c>
      <c r="T61" s="12" t="n">
        <v>-192</v>
      </c>
      <c r="U61" s="12" t="n">
        <v>-192</v>
      </c>
      <c r="V61" s="12" t="n">
        <v>-192</v>
      </c>
      <c r="W61" s="12">
        <f>SUM(K61:V61)</f>
        <v/>
      </c>
      <c r="X61" s="8" t="inlineStr">
        <is>
          <t>Coste fijo mensual según contratos vigentes de renting de vehículos y maquinaria auxiliar.</t>
        </is>
      </c>
    </row>
    <row r="62">
      <c r="B62" t="n">
        <v>2026</v>
      </c>
      <c r="C62" t="inlineStr">
        <is>
          <t>Codiagro</t>
        </is>
      </c>
      <c r="D62" t="inlineStr">
        <is>
          <t>RESULTADO DEL EJERCICIO</t>
        </is>
      </c>
      <c r="E62" t="inlineStr">
        <is>
          <t>RESULTADO ANTES DE IMPUESTOS</t>
        </is>
      </c>
      <c r="F62" t="inlineStr">
        <is>
          <t>RESULTADO DE LA EXPLOTACION</t>
        </is>
      </c>
      <c r="G62" t="inlineStr">
        <is>
          <t>7.- Otros gastos de explotación</t>
        </is>
      </c>
      <c r="H62" t="inlineStr">
        <is>
          <t>(621) Arrendamientos y cánones</t>
        </is>
      </c>
      <c r="I62" t="inlineStr">
        <is>
          <t>621000014 - ALQUILER MURANO</t>
        </is>
      </c>
      <c r="J62" t="inlineStr">
        <is>
          <t>-</t>
        </is>
      </c>
      <c r="K62" s="1" t="n"/>
      <c r="L62" s="1" t="n"/>
      <c r="M62" s="1" t="n"/>
      <c r="N62" s="1" t="n"/>
      <c r="O62" s="9" t="n">
        <v>-15421.92</v>
      </c>
      <c r="P62" s="1" t="inlineStr">
        <is>
          <t xml:space="preserve">                            -  </t>
        </is>
      </c>
      <c r="Q62" s="1" t="n">
        <v>-6139.04</v>
      </c>
      <c r="R62" s="12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>
        <f>SUM(K62:V62)</f>
        <v/>
      </c>
      <c r="X62" s="8" t="inlineStr">
        <is>
          <t>Arrendamiento Murano: no hay más cuotas en 2026 (ya está todo pagado, eliminadas sep-dic). En 2027 poner la misma cantidad anual ajustada a la inflación (+4,5%).</t>
        </is>
      </c>
    </row>
    <row r="63">
      <c r="B63" t="n">
        <v>2026</v>
      </c>
      <c r="C63" t="inlineStr">
        <is>
          <t>Codiagro</t>
        </is>
      </c>
      <c r="D63" t="inlineStr">
        <is>
          <t>RESULTADO DEL EJERCICIO</t>
        </is>
      </c>
      <c r="E63" t="inlineStr">
        <is>
          <t>RESULTADO ANTES DE IMPUESTOS</t>
        </is>
      </c>
      <c r="F63" t="inlineStr">
        <is>
          <t>RESULTADO DE LA EXPLOTACION</t>
        </is>
      </c>
      <c r="G63" t="inlineStr">
        <is>
          <t>7.- Otros gastos de explotación</t>
        </is>
      </c>
      <c r="H63" t="inlineStr">
        <is>
          <t>(621) Arrendamientos y cánones</t>
        </is>
      </c>
      <c r="I63" t="inlineStr">
        <is>
          <t>621000023 - RENTING TRANSPALETA ELECTRICA DE PIE</t>
        </is>
      </c>
      <c r="J63" t="inlineStr">
        <is>
          <t>-</t>
        </is>
      </c>
      <c r="K63" s="1" t="n">
        <v>0</v>
      </c>
      <c r="L63" s="1" t="n">
        <v>0</v>
      </c>
      <c r="M63" s="1" t="n">
        <v>0</v>
      </c>
      <c r="N63" s="1" t="n">
        <v>0</v>
      </c>
      <c r="O63" s="9" t="n">
        <v>0</v>
      </c>
      <c r="P63" s="1" t="inlineStr">
        <is>
          <t xml:space="preserve">                            -  </t>
        </is>
      </c>
      <c r="Q63" s="1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>
        <f>SUM(K63:V63)</f>
        <v/>
      </c>
      <c r="X63" s="8" t="inlineStr">
        <is>
          <t>Cuenta sin saldo en el ejercicio. Sin previsión de movimientos.</t>
        </is>
      </c>
    </row>
    <row r="64">
      <c r="B64" t="n">
        <v>2026</v>
      </c>
      <c r="C64" t="inlineStr">
        <is>
          <t>Codiagro</t>
        </is>
      </c>
      <c r="D64" t="inlineStr">
        <is>
          <t>RESULTADO DEL EJERCICIO</t>
        </is>
      </c>
      <c r="E64" t="inlineStr">
        <is>
          <t>RESULTADO ANTES DE IMPUESTOS</t>
        </is>
      </c>
      <c r="F64" t="inlineStr">
        <is>
          <t>RESULTADO DE LA EXPLOTACION</t>
        </is>
      </c>
      <c r="G64" t="inlineStr">
        <is>
          <t>7.- Otros gastos de explotación</t>
        </is>
      </c>
      <c r="H64" t="inlineStr">
        <is>
          <t>(621) Arrendamientos y cánones</t>
        </is>
      </c>
      <c r="I64" t="inlineStr">
        <is>
          <t>621000024 - ALQUILER RENTING 2255KXN ANTONIO</t>
        </is>
      </c>
      <c r="J64" t="inlineStr">
        <is>
          <t>-</t>
        </is>
      </c>
      <c r="K64" s="1" t="n">
        <v>0</v>
      </c>
      <c r="L64" s="1" t="n">
        <v>-361.46</v>
      </c>
      <c r="M64" s="1" t="n">
        <v>0</v>
      </c>
      <c r="N64" s="1" t="n">
        <v>-361.46</v>
      </c>
      <c r="O64" s="9" t="inlineStr">
        <is>
          <t xml:space="preserve">                            -  </t>
        </is>
      </c>
      <c r="P64" s="1" t="inlineStr">
        <is>
          <t xml:space="preserve">                            -  </t>
        </is>
      </c>
      <c r="Q64" s="1" t="n">
        <v>0</v>
      </c>
      <c r="R64" s="12" t="n">
        <v>0</v>
      </c>
      <c r="S64" s="12" t="n">
        <v>-361.46</v>
      </c>
      <c r="T64" s="12" t="n">
        <v>-361.46</v>
      </c>
      <c r="U64" s="12" t="n">
        <v>-361.46</v>
      </c>
      <c r="V64" s="12" t="n">
        <v>-361.46</v>
      </c>
      <c r="W64" s="12">
        <f>SUM(K64:V64)</f>
        <v/>
      </c>
      <c r="X64" s="8" t="inlineStr">
        <is>
          <t>Coste fijo mensual según contratos vigentes de renting de vehículos y maquinaria auxiliar.</t>
        </is>
      </c>
    </row>
    <row r="65">
      <c r="B65" t="n">
        <v>2026</v>
      </c>
      <c r="C65" t="inlineStr">
        <is>
          <t>Codiagro</t>
        </is>
      </c>
      <c r="D65" t="inlineStr">
        <is>
          <t>RESULTADO DEL EJERCICIO</t>
        </is>
      </c>
      <c r="E65" t="inlineStr">
        <is>
          <t>RESULTADO ANTES DE IMPUESTOS</t>
        </is>
      </c>
      <c r="F65" t="inlineStr">
        <is>
          <t>RESULTADO DE LA EXPLOTACION</t>
        </is>
      </c>
      <c r="G65" t="inlineStr">
        <is>
          <t>7.- Otros gastos de explotación</t>
        </is>
      </c>
      <c r="H65" t="inlineStr">
        <is>
          <t>(621) Arrendamientos y cánones</t>
        </is>
      </c>
      <c r="I65" t="inlineStr">
        <is>
          <t>621000025 - ALQUILER RENTING 9128 LBT NIEVES</t>
        </is>
      </c>
      <c r="J65" t="inlineStr">
        <is>
          <t>-</t>
        </is>
      </c>
      <c r="K65" s="1" t="n">
        <v>0</v>
      </c>
      <c r="L65" s="1" t="n">
        <v>0</v>
      </c>
      <c r="M65" s="1" t="n">
        <v>0</v>
      </c>
      <c r="N65" s="1" t="n">
        <v>0</v>
      </c>
      <c r="O65" s="9" t="n">
        <v>0</v>
      </c>
      <c r="P65" s="1" t="inlineStr">
        <is>
          <t xml:space="preserve">                            -  </t>
        </is>
      </c>
      <c r="Q65" s="1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>
        <f>SUM(K65:V65)</f>
        <v/>
      </c>
      <c r="X65" s="8" t="inlineStr">
        <is>
          <t>Cuenta sin saldo en el ejercicio. Sin previsión de movimientos.</t>
        </is>
      </c>
    </row>
    <row r="66">
      <c r="B66" t="n">
        <v>2026</v>
      </c>
      <c r="C66" t="inlineStr">
        <is>
          <t>Codiagro</t>
        </is>
      </c>
      <c r="D66" t="inlineStr">
        <is>
          <t>RESULTADO DEL EJERCICIO</t>
        </is>
      </c>
      <c r="E66" t="inlineStr">
        <is>
          <t>RESULTADO ANTES DE IMPUESTOS</t>
        </is>
      </c>
      <c r="F66" t="inlineStr">
        <is>
          <t>RESULTADO DE LA EXPLOTACION</t>
        </is>
      </c>
      <c r="G66" t="inlineStr">
        <is>
          <t>7.- Otros gastos de explotación</t>
        </is>
      </c>
      <c r="H66" t="inlineStr">
        <is>
          <t>(621) Arrendamientos y cánones</t>
        </is>
      </c>
      <c r="I66" t="inlineStr">
        <is>
          <t>621000026 - ALQUILER RENTING 9319LCL CURRO</t>
        </is>
      </c>
      <c r="J66" t="inlineStr">
        <is>
          <t>-</t>
        </is>
      </c>
      <c r="K66" s="1" t="n">
        <v>0</v>
      </c>
      <c r="L66" s="1" t="n">
        <v>0</v>
      </c>
      <c r="M66" s="1" t="n">
        <v>-369.97</v>
      </c>
      <c r="N66" s="1" t="n">
        <v>-369.97</v>
      </c>
      <c r="O66" s="9" t="inlineStr">
        <is>
          <t xml:space="preserve">                            -  </t>
        </is>
      </c>
      <c r="P66" s="1" t="inlineStr">
        <is>
          <t xml:space="preserve">                            -  </t>
        </is>
      </c>
      <c r="Q66" s="1" t="n">
        <v>0</v>
      </c>
      <c r="R66" s="12" t="n">
        <v>0</v>
      </c>
      <c r="S66" s="12" t="n">
        <v>-369.97</v>
      </c>
      <c r="T66" s="12" t="n">
        <v>-369.97</v>
      </c>
      <c r="U66" s="12" t="n">
        <v>-369.97</v>
      </c>
      <c r="V66" s="12" t="n">
        <v>-369.97</v>
      </c>
      <c r="W66" s="12">
        <f>SUM(K66:V66)</f>
        <v/>
      </c>
      <c r="X66" s="8" t="inlineStr">
        <is>
          <t>Coste fijo mensual según contratos vigentes de renting de vehículos y maquinaria auxiliar.</t>
        </is>
      </c>
    </row>
    <row r="67">
      <c r="B67" t="n">
        <v>2026</v>
      </c>
      <c r="C67" t="inlineStr">
        <is>
          <t>Codiagro</t>
        </is>
      </c>
      <c r="D67" t="inlineStr">
        <is>
          <t>RESULTADO DEL EJERCICIO</t>
        </is>
      </c>
      <c r="E67" t="inlineStr">
        <is>
          <t>RESULTADO ANTES DE IMPUESTOS</t>
        </is>
      </c>
      <c r="F67" t="inlineStr">
        <is>
          <t>RESULTADO DE LA EXPLOTACION</t>
        </is>
      </c>
      <c r="G67" t="inlineStr">
        <is>
          <t>7.- Otros gastos de explotación</t>
        </is>
      </c>
      <c r="H67" t="inlineStr">
        <is>
          <t>(621) Arrendamientos y cánones</t>
        </is>
      </c>
      <c r="I67" t="inlineStr">
        <is>
          <t>621000030 - ALQUILER RENTING 1075-LSC GARCIA</t>
        </is>
      </c>
      <c r="J67" t="inlineStr">
        <is>
          <t>-</t>
        </is>
      </c>
      <c r="K67" s="1" t="n">
        <v>0</v>
      </c>
      <c r="L67" s="1" t="n">
        <v>0</v>
      </c>
      <c r="M67" s="1" t="n">
        <v>0</v>
      </c>
      <c r="N67" s="1" t="n">
        <v>0</v>
      </c>
      <c r="O67" s="9" t="n">
        <v>0</v>
      </c>
      <c r="P67" s="1" t="inlineStr">
        <is>
          <t xml:space="preserve">                            -  </t>
        </is>
      </c>
      <c r="Q67" s="1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>
        <f>SUM(K67:V67)</f>
        <v/>
      </c>
      <c r="X67" s="8" t="inlineStr">
        <is>
          <t>Cuenta sin saldo en el ejercicio. Sin previsión de movimientos.</t>
        </is>
      </c>
    </row>
    <row r="68">
      <c r="B68" t="n">
        <v>2026</v>
      </c>
      <c r="C68" t="inlineStr">
        <is>
          <t>Codiagro</t>
        </is>
      </c>
      <c r="D68" t="inlineStr">
        <is>
          <t>RESULTADO DEL EJERCICIO</t>
        </is>
      </c>
      <c r="E68" t="inlineStr">
        <is>
          <t>RESULTADO ANTES DE IMPUESTOS</t>
        </is>
      </c>
      <c r="F68" t="inlineStr">
        <is>
          <t>RESULTADO DE LA EXPLOTACION</t>
        </is>
      </c>
      <c r="G68" t="inlineStr">
        <is>
          <t>7.- Otros gastos de explotación</t>
        </is>
      </c>
      <c r="H68" t="inlineStr">
        <is>
          <t>(621) Arrendamientos y cánones</t>
        </is>
      </c>
      <c r="I68" t="inlineStr">
        <is>
          <t>621000031 - ALQUILER RENTING KONICA-MINOLTA Y KYOCERA</t>
        </is>
      </c>
      <c r="J68" t="inlineStr">
        <is>
          <t>-</t>
        </is>
      </c>
      <c r="K68" s="1" t="n">
        <v>-338</v>
      </c>
      <c r="L68" s="1" t="n">
        <v>-338</v>
      </c>
      <c r="M68" s="1" t="n">
        <v>-338</v>
      </c>
      <c r="N68" s="1" t="n">
        <v>-338</v>
      </c>
      <c r="O68" s="9" t="n">
        <v>-338</v>
      </c>
      <c r="P68" s="1" t="n">
        <v>-338</v>
      </c>
      <c r="Q68" s="1" t="n">
        <v>-338</v>
      </c>
      <c r="R68" s="12" t="n">
        <v>-338</v>
      </c>
      <c r="S68" s="12" t="n">
        <v>-338</v>
      </c>
      <c r="T68" s="12" t="n">
        <v>-338</v>
      </c>
      <c r="U68" s="12" t="n">
        <v>-338</v>
      </c>
      <c r="V68" s="12" t="n">
        <v>-338</v>
      </c>
      <c r="W68" s="12">
        <f>SUM(K68:V68)</f>
        <v/>
      </c>
      <c r="X68" s="8" t="inlineStr">
        <is>
          <t>Coste fijo mensual según contratos vigentes de renting de vehículos y maquinaria auxiliar.</t>
        </is>
      </c>
    </row>
    <row r="69">
      <c r="B69" t="n">
        <v>2026</v>
      </c>
      <c r="C69" t="inlineStr">
        <is>
          <t>Codiagro</t>
        </is>
      </c>
      <c r="D69" t="inlineStr">
        <is>
          <t>RESULTADO DEL EJERCICIO</t>
        </is>
      </c>
      <c r="E69" t="inlineStr">
        <is>
          <t>RESULTADO ANTES DE IMPUESTOS</t>
        </is>
      </c>
      <c r="F69" t="inlineStr">
        <is>
          <t>RESULTADO DE LA EXPLOTACION</t>
        </is>
      </c>
      <c r="G69" t="inlineStr">
        <is>
          <t>7.- Otros gastos de explotación</t>
        </is>
      </c>
      <c r="H69" t="inlineStr">
        <is>
          <t>(621) Arrendamientos y cánones</t>
        </is>
      </c>
      <c r="I69" t="inlineStr">
        <is>
          <t>621000032 - ALQUILER RENTING 6665-LVK JOSE JUAN</t>
        </is>
      </c>
      <c r="J69" t="inlineStr">
        <is>
          <t>-</t>
        </is>
      </c>
      <c r="K69" s="1" t="n">
        <v>-349</v>
      </c>
      <c r="L69" s="1" t="n">
        <v>-349</v>
      </c>
      <c r="M69" s="1" t="n">
        <v>-349</v>
      </c>
      <c r="N69" s="1" t="n">
        <v>0</v>
      </c>
      <c r="O69" s="9" t="n">
        <v>-443.49</v>
      </c>
      <c r="P69" s="1" t="n">
        <v>-443.49</v>
      </c>
      <c r="Q69" s="1" t="n">
        <v>-886.98</v>
      </c>
      <c r="R69" s="12" t="n">
        <v>0</v>
      </c>
      <c r="S69" s="12" t="n">
        <v>-470.16</v>
      </c>
      <c r="T69" s="12" t="n">
        <v>-470.16</v>
      </c>
      <c r="U69" s="12" t="n">
        <v>-470.16</v>
      </c>
      <c r="V69" s="12" t="n">
        <v>-470.16</v>
      </c>
      <c r="W69" s="12">
        <f>SUM(K69:V69)</f>
        <v/>
      </c>
      <c r="X69" s="8" t="inlineStr">
        <is>
          <t>Coste fijo mensual según contratos vigentes de renting de vehículos y maquinaria auxiliar.</t>
        </is>
      </c>
    </row>
    <row r="70">
      <c r="B70" t="n">
        <v>2026</v>
      </c>
      <c r="C70" t="inlineStr">
        <is>
          <t>Codiagro</t>
        </is>
      </c>
      <c r="D70" t="inlineStr">
        <is>
          <t>RESULTADO DEL EJERCICIO</t>
        </is>
      </c>
      <c r="E70" t="inlineStr">
        <is>
          <t>RESULTADO ANTES DE IMPUESTOS</t>
        </is>
      </c>
      <c r="F70" t="inlineStr">
        <is>
          <t>RESULTADO DE LA EXPLOTACION</t>
        </is>
      </c>
      <c r="G70" t="inlineStr">
        <is>
          <t>7.- Otros gastos de explotación</t>
        </is>
      </c>
      <c r="H70" t="inlineStr">
        <is>
          <t>(621) Arrendamientos y cánones</t>
        </is>
      </c>
      <c r="I70" t="inlineStr">
        <is>
          <t>621000033 - ALQUILER RENTING 2612-MBY ANTONIO</t>
        </is>
      </c>
      <c r="J70" t="inlineStr">
        <is>
          <t>-</t>
        </is>
      </c>
      <c r="K70" s="1" t="n">
        <v>-361.46</v>
      </c>
      <c r="L70" s="1" t="n">
        <v>0</v>
      </c>
      <c r="M70" s="1" t="n">
        <v>-361.46</v>
      </c>
      <c r="N70" s="1" t="n">
        <v>0</v>
      </c>
      <c r="O70" s="9" t="n">
        <v>-399.42</v>
      </c>
      <c r="P70" s="1" t="n">
        <v>-399.42</v>
      </c>
      <c r="Q70" s="1" t="n">
        <v>-149.15</v>
      </c>
      <c r="R70" s="12" t="n">
        <v>-399.42</v>
      </c>
      <c r="S70" s="12" t="n">
        <v>-345.06</v>
      </c>
      <c r="T70" s="12" t="n">
        <v>-345.06</v>
      </c>
      <c r="U70" s="12" t="n">
        <v>-345.06</v>
      </c>
      <c r="V70" s="12" t="n">
        <v>-345.06</v>
      </c>
      <c r="W70" s="12">
        <f>SUM(K70:V70)</f>
        <v/>
      </c>
      <c r="X70" s="8" t="inlineStr">
        <is>
          <t>Coste fijo mensual según contratos vigentes de renting de vehículos y maquinaria auxiliar.</t>
        </is>
      </c>
    </row>
    <row r="71">
      <c r="B71" t="n">
        <v>2026</v>
      </c>
      <c r="C71" t="inlineStr">
        <is>
          <t>Codiagro</t>
        </is>
      </c>
      <c r="D71" t="inlineStr">
        <is>
          <t>RESULTADO DEL EJERCICIO</t>
        </is>
      </c>
      <c r="E71" t="inlineStr">
        <is>
          <t>RESULTADO ANTES DE IMPUESTOS</t>
        </is>
      </c>
      <c r="F71" t="inlineStr">
        <is>
          <t>RESULTADO DE LA EXPLOTACION</t>
        </is>
      </c>
      <c r="G71" t="inlineStr">
        <is>
          <t>7.- Otros gastos de explotación</t>
        </is>
      </c>
      <c r="H71" t="inlineStr">
        <is>
          <t>(621) Arrendamientos y cánones</t>
        </is>
      </c>
      <c r="I71" t="inlineStr">
        <is>
          <t>621000034 - ALQUILER RENTING 3108-LZM NIEVES</t>
        </is>
      </c>
      <c r="J71" t="inlineStr">
        <is>
          <t>-</t>
        </is>
      </c>
      <c r="K71" s="1" t="n">
        <v>-650.95</v>
      </c>
      <c r="L71" s="1" t="n">
        <v>-650.95</v>
      </c>
      <c r="M71" s="1" t="n">
        <v>0</v>
      </c>
      <c r="N71" s="1" t="n">
        <v>0</v>
      </c>
      <c r="O71" s="9" t="inlineStr">
        <is>
          <t xml:space="preserve">                            -  </t>
        </is>
      </c>
      <c r="P71" s="1" t="inlineStr">
        <is>
          <t xml:space="preserve">                            -  </t>
        </is>
      </c>
      <c r="Q71" s="1" t="n">
        <v>0</v>
      </c>
      <c r="R71" s="12" t="n">
        <v>-1139.16</v>
      </c>
      <c r="S71" s="12" t="n">
        <v>-813.6900000000001</v>
      </c>
      <c r="T71" s="12" t="n">
        <v>-813.6900000000001</v>
      </c>
      <c r="U71" s="12" t="n">
        <v>-813.6900000000001</v>
      </c>
      <c r="V71" s="12" t="n">
        <v>-813.6900000000001</v>
      </c>
      <c r="W71" s="12">
        <f>SUM(K71:V71)</f>
        <v/>
      </c>
      <c r="X71" s="8" t="inlineStr">
        <is>
          <t>Coste fijo mensual según contratos vigentes de renting de vehículos y maquinaria auxiliar.</t>
        </is>
      </c>
    </row>
    <row r="72">
      <c r="B72" t="n">
        <v>2026</v>
      </c>
      <c r="C72" t="inlineStr">
        <is>
          <t>Codiagro</t>
        </is>
      </c>
      <c r="D72" t="inlineStr">
        <is>
          <t>RESULTADO DEL EJERCICIO</t>
        </is>
      </c>
      <c r="E72" t="inlineStr">
        <is>
          <t>RESULTADO ANTES DE IMPUESTOS</t>
        </is>
      </c>
      <c r="F72" t="inlineStr">
        <is>
          <t>RESULTADO DE LA EXPLOTACION</t>
        </is>
      </c>
      <c r="G72" t="inlineStr">
        <is>
          <t>7.- Otros gastos de explotación</t>
        </is>
      </c>
      <c r="H72" t="inlineStr">
        <is>
          <t>(621) Arrendamientos y cánones</t>
        </is>
      </c>
      <c r="I72" t="inlineStr">
        <is>
          <t>621000035 - ALQUILER RENTING 2142-MCS RICARDO</t>
        </is>
      </c>
      <c r="J72" t="inlineStr">
        <is>
          <t>-</t>
        </is>
      </c>
      <c r="K72" s="1" t="n">
        <v>0</v>
      </c>
      <c r="L72" s="1" t="n">
        <v>0</v>
      </c>
      <c r="M72" s="1" t="n">
        <v>0</v>
      </c>
      <c r="N72" s="1" t="n">
        <v>0</v>
      </c>
      <c r="O72" s="9" t="n">
        <v>0</v>
      </c>
      <c r="P72" s="1" t="inlineStr">
        <is>
          <t xml:space="preserve">                            -  </t>
        </is>
      </c>
      <c r="Q72" s="1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>
        <f>SUM(K72:V72)</f>
        <v/>
      </c>
      <c r="X72" s="8" t="inlineStr">
        <is>
          <t>Cuenta sin saldo en el ejercicio. Sin previsión de movimientos.</t>
        </is>
      </c>
    </row>
    <row r="73">
      <c r="B73" t="n">
        <v>2026</v>
      </c>
      <c r="C73" t="inlineStr">
        <is>
          <t>Codiagro</t>
        </is>
      </c>
      <c r="D73" t="inlineStr">
        <is>
          <t>RESULTADO DEL EJERCICIO</t>
        </is>
      </c>
      <c r="E73" t="inlineStr">
        <is>
          <t>RESULTADO ANTES DE IMPUESTOS</t>
        </is>
      </c>
      <c r="F73" t="inlineStr">
        <is>
          <t>RESULTADO DE LA EXPLOTACION</t>
        </is>
      </c>
      <c r="G73" t="inlineStr">
        <is>
          <t>7.- Otros gastos de explotación</t>
        </is>
      </c>
      <c r="H73" t="inlineStr">
        <is>
          <t>(621) Arrendamientos y cánones</t>
        </is>
      </c>
      <c r="I73" t="inlineStr">
        <is>
          <t>621000036 - ALQUILER RENTING 3277-MDX JAVIER</t>
        </is>
      </c>
      <c r="J73" t="inlineStr">
        <is>
          <t>-</t>
        </is>
      </c>
      <c r="K73" s="1" t="n">
        <v>0</v>
      </c>
      <c r="L73" s="1" t="n">
        <v>0</v>
      </c>
      <c r="M73" s="1" t="n">
        <v>0</v>
      </c>
      <c r="N73" s="1" t="n">
        <v>0</v>
      </c>
      <c r="O73" s="9" t="n">
        <v>0</v>
      </c>
      <c r="P73" s="1" t="inlineStr">
        <is>
          <t xml:space="preserve">                            -  </t>
        </is>
      </c>
      <c r="Q73" s="1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>
        <f>SUM(K73:V73)</f>
        <v/>
      </c>
      <c r="X73" s="8" t="inlineStr">
        <is>
          <t>Cuenta sin saldo en el ejercicio. Sin previsión de movimientos.</t>
        </is>
      </c>
    </row>
    <row r="74">
      <c r="B74" t="n">
        <v>2026</v>
      </c>
      <c r="C74" t="inlineStr">
        <is>
          <t>Codiagro</t>
        </is>
      </c>
      <c r="D74" t="inlineStr">
        <is>
          <t>RESULTADO DEL EJERCICIO</t>
        </is>
      </c>
      <c r="E74" t="inlineStr">
        <is>
          <t>RESULTADO ANTES DE IMPUESTOS</t>
        </is>
      </c>
      <c r="F74" t="inlineStr">
        <is>
          <t>RESULTADO DE LA EXPLOTACION</t>
        </is>
      </c>
      <c r="G74" t="inlineStr">
        <is>
          <t>7.- Otros gastos de explotación</t>
        </is>
      </c>
      <c r="H74" t="inlineStr">
        <is>
          <t>(621) Arrendamientos y cánones</t>
        </is>
      </c>
      <c r="I74" t="inlineStr">
        <is>
          <t>621000037 - CARRETILLA STILL ELEKTROSTAPLER 516213H00521</t>
        </is>
      </c>
      <c r="J74" t="inlineStr">
        <is>
          <t>-</t>
        </is>
      </c>
      <c r="K74" s="1" t="n">
        <v>-200</v>
      </c>
      <c r="L74" s="1" t="n">
        <v>-200</v>
      </c>
      <c r="M74" s="1" t="n">
        <v>-200</v>
      </c>
      <c r="N74" s="1" t="n">
        <v>-200</v>
      </c>
      <c r="O74" s="9" t="n">
        <v>-200</v>
      </c>
      <c r="P74" s="1" t="n">
        <v>-200</v>
      </c>
      <c r="Q74" s="1" t="inlineStr">
        <is>
          <t xml:space="preserve">                                             -  </t>
        </is>
      </c>
      <c r="R74" s="12" t="n">
        <v>-400</v>
      </c>
      <c r="S74" s="12" t="n">
        <v>-228.57</v>
      </c>
      <c r="T74" s="12" t="n">
        <v>-228.57</v>
      </c>
      <c r="U74" s="12" t="n">
        <v>-228.57</v>
      </c>
      <c r="V74" s="12" t="n">
        <v>-228.57</v>
      </c>
      <c r="W74" s="12">
        <f>SUM(K74:V74)</f>
        <v/>
      </c>
      <c r="X74" s="8" t="inlineStr">
        <is>
          <t>Coste fijo mensual según contratos vigentes de renting de vehículos y maquinaria auxiliar.</t>
        </is>
      </c>
    </row>
    <row r="75">
      <c r="B75" t="n">
        <v>2026</v>
      </c>
      <c r="C75" t="inlineStr">
        <is>
          <t>Codiagro</t>
        </is>
      </c>
      <c r="D75" t="inlineStr">
        <is>
          <t>RESULTADO DEL EJERCICIO</t>
        </is>
      </c>
      <c r="E75" t="inlineStr">
        <is>
          <t>RESULTADO ANTES DE IMPUESTOS</t>
        </is>
      </c>
      <c r="F75" t="inlineStr">
        <is>
          <t>RESULTADO DE LA EXPLOTACION</t>
        </is>
      </c>
      <c r="G75" t="inlineStr">
        <is>
          <t>7.- Otros gastos de explotación</t>
        </is>
      </c>
      <c r="H75" t="inlineStr">
        <is>
          <t>(621) Arrendamientos y cánones</t>
        </is>
      </c>
      <c r="I75" t="inlineStr">
        <is>
          <t>621000038 - CARRETILLA STILL ELEKTROSTAPLER 516223J00123</t>
        </is>
      </c>
      <c r="J75" t="inlineStr">
        <is>
          <t>-</t>
        </is>
      </c>
      <c r="K75" s="1" t="n">
        <v>-200.22</v>
      </c>
      <c r="L75" s="1" t="n">
        <v>-200.22</v>
      </c>
      <c r="M75" s="1" t="n">
        <v>-200.22</v>
      </c>
      <c r="N75" s="1" t="n">
        <v>-200.22</v>
      </c>
      <c r="O75" s="9" t="n">
        <v>-200.22</v>
      </c>
      <c r="P75" s="1" t="n">
        <v>-200.22</v>
      </c>
      <c r="Q75" s="1" t="inlineStr">
        <is>
          <t xml:space="preserve">                                             -  </t>
        </is>
      </c>
      <c r="R75" s="12" t="n">
        <v>-400.44</v>
      </c>
      <c r="S75" s="12" t="n">
        <v>-228.82</v>
      </c>
      <c r="T75" s="12" t="n">
        <v>-228.82</v>
      </c>
      <c r="U75" s="12" t="n">
        <v>-228.82</v>
      </c>
      <c r="V75" s="12" t="n">
        <v>-228.82</v>
      </c>
      <c r="W75" s="12">
        <f>SUM(K75:V75)</f>
        <v/>
      </c>
      <c r="X75" s="8" t="inlineStr">
        <is>
          <t>Coste fijo mensual según contratos vigentes de renting de vehículos y maquinaria auxiliar.</t>
        </is>
      </c>
    </row>
    <row r="76">
      <c r="B76" t="n">
        <v>2026</v>
      </c>
      <c r="C76" t="inlineStr">
        <is>
          <t>Codiagro</t>
        </is>
      </c>
      <c r="D76" t="inlineStr">
        <is>
          <t>RESULTADO DEL EJERCICIO</t>
        </is>
      </c>
      <c r="E76" t="inlineStr">
        <is>
          <t>RESULTADO ANTES DE IMPUESTOS</t>
        </is>
      </c>
      <c r="F76" t="inlineStr">
        <is>
          <t>RESULTADO DE LA EXPLOTACION</t>
        </is>
      </c>
      <c r="G76" t="inlineStr">
        <is>
          <t>7.- Otros gastos de explotación</t>
        </is>
      </c>
      <c r="H76" t="inlineStr">
        <is>
          <t>(621) Arrendamientos y cánones</t>
        </is>
      </c>
      <c r="I76" t="inlineStr">
        <is>
          <t>621000039 - ALQUILER RENTING 5043-MWW CURRO</t>
        </is>
      </c>
      <c r="J76" t="inlineStr">
        <is>
          <t>-</t>
        </is>
      </c>
      <c r="K76" s="1" t="n">
        <v>-369.97</v>
      </c>
      <c r="L76" s="1" t="n">
        <v>-369.97</v>
      </c>
      <c r="M76" s="1" t="n">
        <v>-150</v>
      </c>
      <c r="N76" s="1" t="n">
        <v>-1039.51</v>
      </c>
      <c r="O76" s="9" t="inlineStr">
        <is>
          <t xml:space="preserve">                            -  </t>
        </is>
      </c>
      <c r="P76" s="1" t="inlineStr">
        <is>
          <t xml:space="preserve">                            -  </t>
        </is>
      </c>
      <c r="Q76" s="1" t="n">
        <v>0</v>
      </c>
      <c r="R76" s="12" t="n">
        <v>0</v>
      </c>
      <c r="S76" s="12" t="n">
        <v>-482.36</v>
      </c>
      <c r="T76" s="12" t="n">
        <v>-482.36</v>
      </c>
      <c r="U76" s="12" t="n">
        <v>-482.36</v>
      </c>
      <c r="V76" s="12" t="n">
        <v>-482.36</v>
      </c>
      <c r="W76" s="12">
        <f>SUM(K76:V76)</f>
        <v/>
      </c>
      <c r="X76" s="8" t="inlineStr">
        <is>
          <t>Coste fijo mensual según contratos vigentes de renting de vehículos y maquinaria auxiliar.</t>
        </is>
      </c>
    </row>
    <row r="77">
      <c r="B77" t="n">
        <v>2026</v>
      </c>
      <c r="C77" t="inlineStr">
        <is>
          <t>Codiagro</t>
        </is>
      </c>
      <c r="D77" t="inlineStr">
        <is>
          <t>RESULTADO DEL EJERCICIO</t>
        </is>
      </c>
      <c r="E77" t="inlineStr">
        <is>
          <t>RESULTADO ANTES DE IMPUESTOS</t>
        </is>
      </c>
      <c r="F77" t="inlineStr">
        <is>
          <t>RESULTADO DE LA EXPLOTACION</t>
        </is>
      </c>
      <c r="G77" t="inlineStr">
        <is>
          <t>7.- Otros gastos de explotación</t>
        </is>
      </c>
      <c r="H77" t="inlineStr">
        <is>
          <t>(621) Arrendamientos y cánones</t>
        </is>
      </c>
      <c r="I77" t="inlineStr">
        <is>
          <t>621000040 - ALQUILER RENTING 8917-MZT JAVIER</t>
        </is>
      </c>
      <c r="J77" t="inlineStr">
        <is>
          <t>-</t>
        </is>
      </c>
      <c r="K77" s="1" t="n">
        <v>-1068.22</v>
      </c>
      <c r="L77" s="1" t="n">
        <v>0</v>
      </c>
      <c r="M77" s="1" t="n">
        <v>-2136.44</v>
      </c>
      <c r="N77" s="1" t="n">
        <v>-1068.22</v>
      </c>
      <c r="O77" s="9" t="n">
        <v>-1172.14</v>
      </c>
      <c r="P77" s="1" t="inlineStr">
        <is>
          <t xml:space="preserve">                            -  </t>
        </is>
      </c>
      <c r="Q77" s="1" t="n">
        <v>-2344.3</v>
      </c>
      <c r="R77" s="12" t="n">
        <v>0</v>
      </c>
      <c r="S77" s="12" t="n">
        <v>-1557.86</v>
      </c>
      <c r="T77" s="12" t="n">
        <v>-1557.86</v>
      </c>
      <c r="U77" s="12" t="n">
        <v>-1557.86</v>
      </c>
      <c r="V77" s="12" t="n">
        <v>-1557.86</v>
      </c>
      <c r="W77" s="12">
        <f>SUM(K77:V77)</f>
        <v/>
      </c>
      <c r="X77" s="8" t="inlineStr">
        <is>
          <t>Coste fijo mensual según contratos vigentes de renting de vehículos y maquinaria auxiliar.</t>
        </is>
      </c>
    </row>
    <row r="78">
      <c r="B78" t="n">
        <v>2026</v>
      </c>
      <c r="C78" t="inlineStr">
        <is>
          <t>Codiagro</t>
        </is>
      </c>
      <c r="D78" t="inlineStr">
        <is>
          <t>RESULTADO DEL EJERCICIO</t>
        </is>
      </c>
      <c r="E78" t="inlineStr">
        <is>
          <t>RESULTADO ANTES DE IMPUESTOS</t>
        </is>
      </c>
      <c r="F78" t="inlineStr">
        <is>
          <t>RESULTADO DE LA EXPLOTACION</t>
        </is>
      </c>
      <c r="G78" t="inlineStr">
        <is>
          <t>7.- Otros gastos de explotación</t>
        </is>
      </c>
      <c r="H78" t="inlineStr">
        <is>
          <t>(621) Arrendamientos y cánones</t>
        </is>
      </c>
      <c r="I78" t="inlineStr">
        <is>
          <t>621000041 - ALQUILER RENTING 8929-MZT RICARDO</t>
        </is>
      </c>
      <c r="J78" t="inlineStr">
        <is>
          <t>-</t>
        </is>
      </c>
      <c r="K78" s="1" t="n">
        <v>-911.28</v>
      </c>
      <c r="L78" s="1" t="n">
        <v>0</v>
      </c>
      <c r="M78" s="1" t="n">
        <v>-1822.56</v>
      </c>
      <c r="N78" s="1" t="n">
        <v>-911.28</v>
      </c>
      <c r="O78" s="9" t="n">
        <v>-1015.21</v>
      </c>
      <c r="P78" s="1" t="inlineStr">
        <is>
          <t xml:space="preserve">                            -  </t>
        </is>
      </c>
      <c r="Q78" s="1" t="n">
        <v>-2030.4</v>
      </c>
      <c r="R78" s="12" t="n">
        <v>0</v>
      </c>
      <c r="S78" s="12" t="n">
        <v>-1338.15</v>
      </c>
      <c r="T78" s="12" t="n">
        <v>-1338.15</v>
      </c>
      <c r="U78" s="12" t="n">
        <v>-1338.15</v>
      </c>
      <c r="V78" s="12" t="n">
        <v>-1338.15</v>
      </c>
      <c r="W78" s="12">
        <f>SUM(K78:V78)</f>
        <v/>
      </c>
      <c r="X78" s="8" t="inlineStr">
        <is>
          <t>Coste fijo mensual según contratos vigentes de renting de vehículos y maquinaria auxiliar.</t>
        </is>
      </c>
    </row>
    <row r="79">
      <c r="B79" t="n">
        <v>2026</v>
      </c>
      <c r="C79" t="inlineStr">
        <is>
          <t>Codiagro</t>
        </is>
      </c>
      <c r="D79" t="inlineStr">
        <is>
          <t>RESULTADO DEL EJERCICIO</t>
        </is>
      </c>
      <c r="E79" t="inlineStr">
        <is>
          <t>RESULTADO ANTES DE IMPUESTOS</t>
        </is>
      </c>
      <c r="F79" t="inlineStr">
        <is>
          <t>RESULTADO DE LA EXPLOTACION</t>
        </is>
      </c>
      <c r="G79" t="inlineStr">
        <is>
          <t>7.- Otros gastos de explotación</t>
        </is>
      </c>
      <c r="H79" t="inlineStr">
        <is>
          <t>(621) Arrendamientos y cánones</t>
        </is>
      </c>
      <c r="I79" t="inlineStr">
        <is>
          <t>621000042 - ALQUILER RENTING 4946-NFH GARCIA</t>
        </is>
      </c>
      <c r="J79" t="inlineStr">
        <is>
          <t>-</t>
        </is>
      </c>
      <c r="K79" s="1" t="n">
        <v>-613.16</v>
      </c>
      <c r="L79" s="1" t="n">
        <v>-613.15</v>
      </c>
      <c r="M79" s="1" t="n">
        <v>-613.15</v>
      </c>
      <c r="N79" s="1" t="n">
        <v>-613.15</v>
      </c>
      <c r="O79" s="9" t="n">
        <v>-677.53</v>
      </c>
      <c r="P79" s="1" t="n">
        <v>-677.53</v>
      </c>
      <c r="Q79" s="1" t="n">
        <v>-677.53</v>
      </c>
      <c r="R79" s="12" t="n">
        <v>-677.53</v>
      </c>
      <c r="S79" s="12" t="n">
        <v>-645.34</v>
      </c>
      <c r="T79" s="12" t="n">
        <v>-645.34</v>
      </c>
      <c r="U79" s="12" t="n">
        <v>-645.34</v>
      </c>
      <c r="V79" s="12" t="n">
        <v>-645.34</v>
      </c>
      <c r="W79" s="12">
        <f>SUM(K79:V79)</f>
        <v/>
      </c>
      <c r="X79" s="8" t="inlineStr">
        <is>
          <t>Coste fijo mensual según contratos vigentes de renting de vehículos y maquinaria auxiliar.</t>
        </is>
      </c>
    </row>
    <row r="80">
      <c r="B80" t="n">
        <v>2026</v>
      </c>
      <c r="C80" t="inlineStr">
        <is>
          <t>Codiagro</t>
        </is>
      </c>
      <c r="D80" t="inlineStr">
        <is>
          <t>RESULTADO DEL EJERCICIO</t>
        </is>
      </c>
      <c r="E80" t="inlineStr">
        <is>
          <t>RESULTADO ANTES DE IMPUESTOS</t>
        </is>
      </c>
      <c r="F80" t="inlineStr">
        <is>
          <t>RESULTADO DE LA EXPLOTACION</t>
        </is>
      </c>
      <c r="G80" t="inlineStr">
        <is>
          <t>7.- Otros gastos de explotación</t>
        </is>
      </c>
      <c r="H80" t="inlineStr">
        <is>
          <t>(621) Arrendamientos y cánones</t>
        </is>
      </c>
      <c r="I80" t="inlineStr">
        <is>
          <t>621000044 - ALQUILER COMPRESOR DE TORNILLO 37KW KAESER BSD 75C</t>
        </is>
      </c>
      <c r="J80" t="inlineStr">
        <is>
          <t>-</t>
        </is>
      </c>
      <c r="K80" s="1" t="n">
        <v>-1600</v>
      </c>
      <c r="L80" s="1" t="n">
        <v>-1600</v>
      </c>
      <c r="M80" s="1" t="n">
        <v>-1600</v>
      </c>
      <c r="N80" s="1" t="n">
        <v>-1600</v>
      </c>
      <c r="O80" s="9" t="n">
        <v>-1600</v>
      </c>
      <c r="P80" s="1" t="n">
        <v>-1600</v>
      </c>
      <c r="Q80" s="1" t="n">
        <v>-1600</v>
      </c>
      <c r="R80" s="12" t="n">
        <v>-1600</v>
      </c>
      <c r="S80" s="12" t="n">
        <v>-1600</v>
      </c>
      <c r="T80" s="12" t="n">
        <v>-1600</v>
      </c>
      <c r="U80" s="12" t="n">
        <v>-1600</v>
      </c>
      <c r="V80" s="12" t="n">
        <v>-1600</v>
      </c>
      <c r="W80" s="12">
        <f>SUM(K80:V80)</f>
        <v/>
      </c>
      <c r="X80" s="8" t="inlineStr">
        <is>
          <t>Coste fijo mensual según contratos vigentes de renting de vehículos y maquinaria auxiliar.</t>
        </is>
      </c>
    </row>
    <row r="81">
      <c r="B81" t="n">
        <v>2026</v>
      </c>
      <c r="C81" t="inlineStr">
        <is>
          <t>Codiagro</t>
        </is>
      </c>
      <c r="D81" t="inlineStr">
        <is>
          <t>RESULTADO DEL EJERCICIO</t>
        </is>
      </c>
      <c r="E81" t="inlineStr">
        <is>
          <t>RESULTADO ANTES DE IMPUESTOS</t>
        </is>
      </c>
      <c r="F81" t="inlineStr">
        <is>
          <t>RESULTADO DE LA EXPLOTACION</t>
        </is>
      </c>
      <c r="G81" t="inlineStr">
        <is>
          <t>7.- Otros gastos de explotación</t>
        </is>
      </c>
      <c r="H81" t="inlineStr">
        <is>
          <t>(621) Arrendamientos y cánones</t>
        </is>
      </c>
      <c r="I81" t="inlineStr">
        <is>
          <t>621000045 - ALQUILER RENTING 3421-NJT PERE</t>
        </is>
      </c>
      <c r="J81" t="inlineStr">
        <is>
          <t>-</t>
        </is>
      </c>
      <c r="K81" s="1" t="n">
        <v>-634.77</v>
      </c>
      <c r="L81" s="1" t="n">
        <v>-1093.22</v>
      </c>
      <c r="M81" s="1" t="n">
        <v>-1093.22</v>
      </c>
      <c r="N81" s="1" t="n">
        <v>-1093.22</v>
      </c>
      <c r="O81" s="9" t="n">
        <v>-1208.01</v>
      </c>
      <c r="P81" s="1" t="n">
        <v>-1208.01</v>
      </c>
      <c r="Q81" s="1" t="n">
        <v>-1208.01</v>
      </c>
      <c r="R81" s="12" t="n">
        <v>-1208.01</v>
      </c>
      <c r="S81" s="12" t="n">
        <v>-1093.31</v>
      </c>
      <c r="T81" s="12" t="n">
        <v>-1093.31</v>
      </c>
      <c r="U81" s="12" t="n">
        <v>-1093.31</v>
      </c>
      <c r="V81" s="12" t="n">
        <v>-1093.31</v>
      </c>
      <c r="W81" s="12">
        <f>SUM(K81:V81)</f>
        <v/>
      </c>
      <c r="X81" s="8" t="inlineStr">
        <is>
          <t>Coste fijo mensual según contratos vigentes de renting de vehículos y maquinaria auxiliar.</t>
        </is>
      </c>
    </row>
    <row r="82">
      <c r="B82" t="n">
        <v>2026</v>
      </c>
      <c r="C82" t="inlineStr">
        <is>
          <t>Codiagro</t>
        </is>
      </c>
      <c r="D82" t="inlineStr">
        <is>
          <t>RESULTADO DEL EJERCICIO</t>
        </is>
      </c>
      <c r="E82" t="inlineStr">
        <is>
          <t>RESULTADO ANTES DE IMPUESTOS</t>
        </is>
      </c>
      <c r="F82" t="inlineStr">
        <is>
          <t>RESULTADO DE LA EXPLOTACION</t>
        </is>
      </c>
      <c r="G82" t="inlineStr">
        <is>
          <t>7.- Otros gastos de explotación</t>
        </is>
      </c>
      <c r="H82" t="inlineStr">
        <is>
          <t>(621) Arrendamientos y cánones</t>
        </is>
      </c>
      <c r="I82" t="inlineStr">
        <is>
          <t>621000046 - ALQUILER CARRETILLAS</t>
        </is>
      </c>
      <c r="J82" t="inlineStr">
        <is>
          <t>-</t>
        </is>
      </c>
      <c r="K82" s="1" t="n">
        <v>0</v>
      </c>
      <c r="L82" s="1" t="n">
        <v>0</v>
      </c>
      <c r="M82" s="1" t="n">
        <v>0</v>
      </c>
      <c r="N82" s="1" t="n">
        <v>-381.67</v>
      </c>
      <c r="O82" s="9" t="n">
        <v>0</v>
      </c>
      <c r="P82" s="1" t="n">
        <v>-845.3299999999999</v>
      </c>
      <c r="Q82" s="1" t="n">
        <v>-742</v>
      </c>
      <c r="R82" s="12" t="n">
        <v>-742</v>
      </c>
      <c r="S82" s="12" t="n">
        <v>-677.75</v>
      </c>
      <c r="T82" s="12" t="n">
        <v>-677.75</v>
      </c>
      <c r="U82" s="12" t="n">
        <v>-677.75</v>
      </c>
      <c r="V82" s="12" t="n">
        <v>-677.75</v>
      </c>
      <c r="W82" s="12">
        <f>SUM(K82:V82)</f>
        <v/>
      </c>
      <c r="X82" s="8" t="inlineStr">
        <is>
          <t>Coste fijo mensual según contratos vigentes de renting de vehículos y maquinaria auxiliar.</t>
        </is>
      </c>
    </row>
    <row r="83">
      <c r="B83" t="n">
        <v>2026</v>
      </c>
      <c r="C83" t="inlineStr">
        <is>
          <t>Codiagro</t>
        </is>
      </c>
      <c r="D83" t="inlineStr">
        <is>
          <t>RESULTADO DEL EJERCICIO</t>
        </is>
      </c>
      <c r="E83" t="inlineStr">
        <is>
          <t>RESULTADO ANTES DE IMPUESTOS</t>
        </is>
      </c>
      <c r="F83" t="inlineStr">
        <is>
          <t>RESULTADO DE LA EXPLOTACION</t>
        </is>
      </c>
      <c r="G83" t="inlineStr">
        <is>
          <t>7.- Otros gastos de explotación</t>
        </is>
      </c>
      <c r="H83" t="inlineStr">
        <is>
          <t>(622) Reparación/conservación/mantenimiento</t>
        </is>
      </c>
      <c r="I83" t="inlineStr">
        <is>
          <t>622000001 - REPAR. EQUIPOS INFORM. Y FOTOCOPIADORAS</t>
        </is>
      </c>
      <c r="J83" t="inlineStr">
        <is>
          <t>-</t>
        </is>
      </c>
      <c r="K83" s="1" t="n">
        <v>-1621.56</v>
      </c>
      <c r="L83" s="1" t="n">
        <v>-815.7</v>
      </c>
      <c r="M83" s="1" t="n">
        <v>-136.16</v>
      </c>
      <c r="N83" s="1" t="n">
        <v>-218</v>
      </c>
      <c r="O83" s="9" t="inlineStr">
        <is>
          <t xml:space="preserve">                            -  </t>
        </is>
      </c>
      <c r="P83" s="1" t="n">
        <v>-790.66</v>
      </c>
      <c r="Q83" s="1" t="inlineStr">
        <is>
          <t xml:space="preserve">                                             -  </t>
        </is>
      </c>
      <c r="R83" s="12" t="n">
        <v>0</v>
      </c>
      <c r="S83" s="10" t="n">
        <v>-716.42</v>
      </c>
      <c r="T83" s="10" t="n">
        <v>-716.42</v>
      </c>
      <c r="U83" s="10" t="n">
        <v>-716.42</v>
      </c>
      <c r="V83" s="10" t="n">
        <v>-716.42</v>
      </c>
      <c r="W83" s="10">
        <f>SUM(K83:V83)</f>
        <v/>
      </c>
      <c r="X83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84">
      <c r="B84" t="n">
        <v>2026</v>
      </c>
      <c r="C84" t="inlineStr">
        <is>
          <t>Codiagro</t>
        </is>
      </c>
      <c r="D84" t="inlineStr">
        <is>
          <t>RESULTADO DEL EJERCICIO</t>
        </is>
      </c>
      <c r="E84" t="inlineStr">
        <is>
          <t>RESULTADO ANTES DE IMPUESTOS</t>
        </is>
      </c>
      <c r="F84" t="inlineStr">
        <is>
          <t>RESULTADO DE LA EXPLOTACION</t>
        </is>
      </c>
      <c r="G84" t="inlineStr">
        <is>
          <t>7.- Otros gastos de explotación</t>
        </is>
      </c>
      <c r="H84" t="inlineStr">
        <is>
          <t>(622) Reparación/conservación/mantenimiento</t>
        </is>
      </c>
      <c r="I84" t="inlineStr">
        <is>
          <t>622000004 - REP. Y CONSERV. CARRETILLA ELECTRICA</t>
        </is>
      </c>
      <c r="J84" t="inlineStr">
        <is>
          <t>-</t>
        </is>
      </c>
      <c r="K84" s="1" t="n">
        <v>0</v>
      </c>
      <c r="L84" s="1" t="n">
        <v>0</v>
      </c>
      <c r="M84" s="1" t="n">
        <v>-1006.36</v>
      </c>
      <c r="N84" s="1" t="n">
        <v>0</v>
      </c>
      <c r="O84" s="9" t="inlineStr">
        <is>
          <t xml:space="preserve">                            -  </t>
        </is>
      </c>
      <c r="P84" s="1" t="n">
        <v>-979.23</v>
      </c>
      <c r="Q84" s="1" t="inlineStr">
        <is>
          <t xml:space="preserve">                                             -  </t>
        </is>
      </c>
      <c r="R84" s="12" t="n">
        <v>-115.48</v>
      </c>
      <c r="S84" s="10" t="n">
        <v>-700.36</v>
      </c>
      <c r="T84" s="10" t="n">
        <v>-700.36</v>
      </c>
      <c r="U84" s="10" t="n">
        <v>-700.36</v>
      </c>
      <c r="V84" s="10" t="n">
        <v>-700.36</v>
      </c>
      <c r="W84" s="10">
        <f>SUM(K84:V84)</f>
        <v/>
      </c>
      <c r="X84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85">
      <c r="B85" t="n">
        <v>2026</v>
      </c>
      <c r="C85" t="inlineStr">
        <is>
          <t>Codiagro</t>
        </is>
      </c>
      <c r="D85" t="inlineStr">
        <is>
          <t>RESULTADO DEL EJERCICIO</t>
        </is>
      </c>
      <c r="E85" t="inlineStr">
        <is>
          <t>RESULTADO ANTES DE IMPUESTOS</t>
        </is>
      </c>
      <c r="F85" t="inlineStr">
        <is>
          <t>RESULTADO DE LA EXPLOTACION</t>
        </is>
      </c>
      <c r="G85" t="inlineStr">
        <is>
          <t>7.- Otros gastos de explotación</t>
        </is>
      </c>
      <c r="H85" t="inlineStr">
        <is>
          <t>(622) Reparación/conservación/mantenimiento</t>
        </is>
      </c>
      <c r="I85" t="inlineStr">
        <is>
          <t>622000005 - REP. Y MANT. EQUIPOS SEGURIDAD</t>
        </is>
      </c>
      <c r="J85" t="inlineStr">
        <is>
          <t>-</t>
        </is>
      </c>
      <c r="K85" s="1" t="n">
        <v>0</v>
      </c>
      <c r="L85" s="1" t="n">
        <v>-73.72</v>
      </c>
      <c r="M85" s="1" t="n">
        <v>0</v>
      </c>
      <c r="N85" s="1" t="n">
        <v>-13.33</v>
      </c>
      <c r="O85" s="9" t="n">
        <v>-183.66</v>
      </c>
      <c r="P85" s="1" t="inlineStr">
        <is>
          <t xml:space="preserve">                            -  </t>
        </is>
      </c>
      <c r="Q85" s="1" t="n">
        <v>-196.99</v>
      </c>
      <c r="R85" s="12" t="n">
        <v>0</v>
      </c>
      <c r="S85" s="10" t="n">
        <v>-116.92</v>
      </c>
      <c r="T85" s="10" t="n">
        <v>-116.92</v>
      </c>
      <c r="U85" s="10" t="n">
        <v>-116.92</v>
      </c>
      <c r="V85" s="10" t="n">
        <v>-116.92</v>
      </c>
      <c r="W85" s="10">
        <f>SUM(K85:V85)</f>
        <v/>
      </c>
      <c r="X85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86">
      <c r="B86" t="n">
        <v>2026</v>
      </c>
      <c r="C86" t="inlineStr">
        <is>
          <t>Codiagro</t>
        </is>
      </c>
      <c r="D86" t="inlineStr">
        <is>
          <t>RESULTADO DEL EJERCICIO</t>
        </is>
      </c>
      <c r="E86" t="inlineStr">
        <is>
          <t>RESULTADO ANTES DE IMPUESTOS</t>
        </is>
      </c>
      <c r="F86" t="inlineStr">
        <is>
          <t>RESULTADO DE LA EXPLOTACION</t>
        </is>
      </c>
      <c r="G86" t="inlineStr">
        <is>
          <t>7.- Otros gastos de explotación</t>
        </is>
      </c>
      <c r="H86" t="inlineStr">
        <is>
          <t>(622) Reparación/conservación/mantenimiento</t>
        </is>
      </c>
      <c r="I86" t="inlineStr">
        <is>
          <t>622000006 - REP. Y MANT. INSTALACIONES VARIAS</t>
        </is>
      </c>
      <c r="J86" t="inlineStr">
        <is>
          <t>-</t>
        </is>
      </c>
      <c r="K86" s="1" t="n">
        <v>0</v>
      </c>
      <c r="L86" s="1" t="n">
        <v>-1833.95</v>
      </c>
      <c r="M86" s="1" t="n">
        <v>-468.78</v>
      </c>
      <c r="N86" s="1" t="n">
        <v>-344</v>
      </c>
      <c r="O86" s="9" t="inlineStr">
        <is>
          <t xml:space="preserve">                            -  </t>
        </is>
      </c>
      <c r="P86" s="1" t="n">
        <v>-1900.59</v>
      </c>
      <c r="Q86" s="1" t="n">
        <v>-2274.92</v>
      </c>
      <c r="R86" s="12" t="n">
        <v>0</v>
      </c>
      <c r="S86" s="10" t="n">
        <v>-1364.45</v>
      </c>
      <c r="T86" s="10" t="n">
        <v>-1364.45</v>
      </c>
      <c r="U86" s="10" t="n">
        <v>-1364.45</v>
      </c>
      <c r="V86" s="10" t="n">
        <v>-1364.45</v>
      </c>
      <c r="W86" s="10">
        <f>SUM(K86:V86)</f>
        <v/>
      </c>
      <c r="X86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87">
      <c r="B87" t="n">
        <v>2026</v>
      </c>
      <c r="C87" t="inlineStr">
        <is>
          <t>Codiagro</t>
        </is>
      </c>
      <c r="D87" t="inlineStr">
        <is>
          <t>RESULTADO DEL EJERCICIO</t>
        </is>
      </c>
      <c r="E87" t="inlineStr">
        <is>
          <t>RESULTADO ANTES DE IMPUESTOS</t>
        </is>
      </c>
      <c r="F87" t="inlineStr">
        <is>
          <t>RESULTADO DE LA EXPLOTACION</t>
        </is>
      </c>
      <c r="G87" t="inlineStr">
        <is>
          <t>7.- Otros gastos de explotación</t>
        </is>
      </c>
      <c r="H87" t="inlineStr">
        <is>
          <t>(622) Reparación/conservación/mantenimiento</t>
        </is>
      </c>
      <c r="I87" t="inlineStr">
        <is>
          <t>622000007 - REP. Y MANT. HYUNDAI 0377CJG</t>
        </is>
      </c>
      <c r="J87" t="inlineStr">
        <is>
          <t>-</t>
        </is>
      </c>
      <c r="K87" s="1" t="n">
        <v>0</v>
      </c>
      <c r="L87" s="1" t="n">
        <v>0</v>
      </c>
      <c r="M87" s="1" t="n">
        <v>-238.88</v>
      </c>
      <c r="N87" s="1" t="n">
        <v>0</v>
      </c>
      <c r="O87" s="9" t="inlineStr">
        <is>
          <t xml:space="preserve">                            -  </t>
        </is>
      </c>
      <c r="P87" s="1" t="inlineStr">
        <is>
          <t xml:space="preserve">                            -  </t>
        </is>
      </c>
      <c r="Q87" s="1" t="n">
        <v>0</v>
      </c>
      <c r="R87" s="12" t="n">
        <v>0</v>
      </c>
      <c r="S87" s="10" t="n">
        <v>-238.88</v>
      </c>
      <c r="T87" s="10" t="n">
        <v>-238.88</v>
      </c>
      <c r="U87" s="10" t="n">
        <v>-238.88</v>
      </c>
      <c r="V87" s="10" t="n">
        <v>-238.88</v>
      </c>
      <c r="W87" s="10">
        <f>SUM(K87:V87)</f>
        <v/>
      </c>
      <c r="X87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88">
      <c r="B88" t="n">
        <v>2026</v>
      </c>
      <c r="C88" t="inlineStr">
        <is>
          <t>Codiagro</t>
        </is>
      </c>
      <c r="D88" t="inlineStr">
        <is>
          <t>RESULTADO DEL EJERCICIO</t>
        </is>
      </c>
      <c r="E88" t="inlineStr">
        <is>
          <t>RESULTADO ANTES DE IMPUESTOS</t>
        </is>
      </c>
      <c r="F88" t="inlineStr">
        <is>
          <t>RESULTADO DE LA EXPLOTACION</t>
        </is>
      </c>
      <c r="G88" t="inlineStr">
        <is>
          <t>7.- Otros gastos de explotación</t>
        </is>
      </c>
      <c r="H88" t="inlineStr">
        <is>
          <t>(622) Reparación/conservación/mantenimiento</t>
        </is>
      </c>
      <c r="I88" t="inlineStr">
        <is>
          <t>622000008 - REP. Y MANT. MAQUINA BARREDORA</t>
        </is>
      </c>
      <c r="J88" t="inlineStr">
        <is>
          <t>-</t>
        </is>
      </c>
      <c r="K88" s="1" t="n">
        <v>0</v>
      </c>
      <c r="L88" s="1" t="n">
        <v>0</v>
      </c>
      <c r="M88" s="1" t="n">
        <v>0</v>
      </c>
      <c r="N88" s="1" t="n">
        <v>-350.75</v>
      </c>
      <c r="O88" s="9" t="inlineStr">
        <is>
          <t xml:space="preserve">                            -  </t>
        </is>
      </c>
      <c r="P88" s="1" t="inlineStr">
        <is>
          <t xml:space="preserve">                            -  </t>
        </is>
      </c>
      <c r="Q88" s="1" t="n">
        <v>-634.91</v>
      </c>
      <c r="R88" s="12" t="n">
        <v>0</v>
      </c>
      <c r="S88" s="10" t="n">
        <v>-492.83</v>
      </c>
      <c r="T88" s="10" t="n">
        <v>-492.83</v>
      </c>
      <c r="U88" s="10" t="n">
        <v>-492.83</v>
      </c>
      <c r="V88" s="10" t="n">
        <v>-492.83</v>
      </c>
      <c r="W88" s="10">
        <f>SUM(K88:V88)</f>
        <v/>
      </c>
      <c r="X88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89">
      <c r="B89" t="n">
        <v>2026</v>
      </c>
      <c r="C89" t="inlineStr">
        <is>
          <t>Codiagro</t>
        </is>
      </c>
      <c r="D89" t="inlineStr">
        <is>
          <t>RESULTADO DEL EJERCICIO</t>
        </is>
      </c>
      <c r="E89" t="inlineStr">
        <is>
          <t>RESULTADO ANTES DE IMPUESTOS</t>
        </is>
      </c>
      <c r="F89" t="inlineStr">
        <is>
          <t>RESULTADO DE LA EXPLOTACION</t>
        </is>
      </c>
      <c r="G89" t="inlineStr">
        <is>
          <t>7.- Otros gastos de explotación</t>
        </is>
      </c>
      <c r="H89" t="inlineStr">
        <is>
          <t>(622) Reparación/conservación/mantenimiento</t>
        </is>
      </c>
      <c r="I89" t="inlineStr">
        <is>
          <t>622000009 - REP. Y MANT. FURGONETA 2589CRJ</t>
        </is>
      </c>
      <c r="J89" t="inlineStr">
        <is>
          <t>-</t>
        </is>
      </c>
      <c r="K89" s="1" t="n">
        <v>0</v>
      </c>
      <c r="L89" s="1" t="n">
        <v>0</v>
      </c>
      <c r="M89" s="1" t="n">
        <v>0</v>
      </c>
      <c r="N89" s="1" t="n">
        <v>0</v>
      </c>
      <c r="O89" s="9" t="n">
        <v>0</v>
      </c>
      <c r="P89" s="1" t="inlineStr">
        <is>
          <t xml:space="preserve">                            -  </t>
        </is>
      </c>
      <c r="Q89" s="1" t="n">
        <v>0</v>
      </c>
      <c r="R89" s="12" t="n">
        <v>0</v>
      </c>
      <c r="S89" s="10" t="n">
        <v>0</v>
      </c>
      <c r="T89" s="10" t="n">
        <v>0</v>
      </c>
      <c r="U89" s="10" t="n">
        <v>0</v>
      </c>
      <c r="V89" s="10" t="n">
        <v>0</v>
      </c>
      <c r="W89" s="10">
        <f>SUM(K89:V89)</f>
        <v/>
      </c>
      <c r="X89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0">
      <c r="B90" t="n">
        <v>2026</v>
      </c>
      <c r="C90" t="inlineStr">
        <is>
          <t>Codiagro</t>
        </is>
      </c>
      <c r="D90" t="inlineStr">
        <is>
          <t>RESULTADO DEL EJERCICIO</t>
        </is>
      </c>
      <c r="E90" t="inlineStr">
        <is>
          <t>RESULTADO ANTES DE IMPUESTOS</t>
        </is>
      </c>
      <c r="F90" t="inlineStr">
        <is>
          <t>RESULTADO DE LA EXPLOTACION</t>
        </is>
      </c>
      <c r="G90" t="inlineStr">
        <is>
          <t>7.- Otros gastos de explotación</t>
        </is>
      </c>
      <c r="H90" t="inlineStr">
        <is>
          <t>(622) Reparación/conservación/mantenimiento</t>
        </is>
      </c>
      <c r="I90" t="inlineStr">
        <is>
          <t>622000012 - LIMPIEZA OFICINAS, LABORATORIO Y VESTUARIOS</t>
        </is>
      </c>
      <c r="J90" t="inlineStr">
        <is>
          <t>-</t>
        </is>
      </c>
      <c r="K90" s="1" t="n">
        <v>-585</v>
      </c>
      <c r="L90" s="1" t="n">
        <v>0</v>
      </c>
      <c r="M90" s="1" t="n">
        <v>-1101.6</v>
      </c>
      <c r="N90" s="1" t="n">
        <v>-495</v>
      </c>
      <c r="O90" s="9" t="inlineStr">
        <is>
          <t xml:space="preserve">                            -  </t>
        </is>
      </c>
      <c r="P90" s="1" t="n">
        <v>-1566.9</v>
      </c>
      <c r="Q90" s="1" t="n">
        <v>-642.6</v>
      </c>
      <c r="R90" s="12" t="n">
        <v>-977.98</v>
      </c>
      <c r="S90" s="10" t="n">
        <v>-894.85</v>
      </c>
      <c r="T90" s="10" t="n">
        <v>-894.85</v>
      </c>
      <c r="U90" s="10" t="n">
        <v>-894.85</v>
      </c>
      <c r="V90" s="10" t="n">
        <v>-894.85</v>
      </c>
      <c r="W90" s="10">
        <f>SUM(K90:V90)</f>
        <v/>
      </c>
      <c r="X90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1">
      <c r="B91" t="n">
        <v>2026</v>
      </c>
      <c r="C91" t="inlineStr">
        <is>
          <t>Codiagro</t>
        </is>
      </c>
      <c r="D91" t="inlineStr">
        <is>
          <t>RESULTADO DEL EJERCICIO</t>
        </is>
      </c>
      <c r="E91" t="inlineStr">
        <is>
          <t>RESULTADO ANTES DE IMPUESTOS</t>
        </is>
      </c>
      <c r="F91" t="inlineStr">
        <is>
          <t>RESULTADO DE LA EXPLOTACION</t>
        </is>
      </c>
      <c r="G91" t="inlineStr">
        <is>
          <t>7.- Otros gastos de explotación</t>
        </is>
      </c>
      <c r="H91" t="inlineStr">
        <is>
          <t>(622) Reparación/conservación/mantenimiento</t>
        </is>
      </c>
      <c r="I91" t="inlineStr">
        <is>
          <t>622010000 MANTENIMIENTO</t>
        </is>
      </c>
      <c r="J91" t="inlineStr">
        <is>
          <t>-</t>
        </is>
      </c>
      <c r="K91" s="1" t="n">
        <v>0</v>
      </c>
      <c r="L91" s="1" t="n">
        <v>0</v>
      </c>
      <c r="M91" s="1" t="n">
        <v>0</v>
      </c>
      <c r="N91" s="1" t="n">
        <v>0</v>
      </c>
      <c r="O91" s="9" t="n">
        <v>0</v>
      </c>
      <c r="P91" s="1" t="n">
        <v>0</v>
      </c>
      <c r="Q91" s="1" t="n">
        <v>-1409.04</v>
      </c>
      <c r="R91" s="12" t="n">
        <v>0</v>
      </c>
      <c r="S91" s="10" t="n">
        <v>-1409.04</v>
      </c>
      <c r="T91" s="10" t="n">
        <v>-1409.04</v>
      </c>
      <c r="U91" s="10" t="n">
        <v>-1409.04</v>
      </c>
      <c r="V91" s="10" t="n">
        <v>-1409.04</v>
      </c>
      <c r="W91" s="10">
        <f>SUM(K91:V91)</f>
        <v/>
      </c>
      <c r="X91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2">
      <c r="B92" t="n">
        <v>2026</v>
      </c>
      <c r="C92" t="inlineStr">
        <is>
          <t>Codiagro</t>
        </is>
      </c>
      <c r="D92" t="inlineStr">
        <is>
          <t>RESULTADO DEL EJERCICIO</t>
        </is>
      </c>
      <c r="E92" t="inlineStr">
        <is>
          <t>RESULTADO ANTES DE IMPUESTOS</t>
        </is>
      </c>
      <c r="F92" t="inlineStr">
        <is>
          <t>RESULTADO DE LA EXPLOTACION</t>
        </is>
      </c>
      <c r="G92" t="inlineStr">
        <is>
          <t>7.- Otros gastos de explotación</t>
        </is>
      </c>
      <c r="H92" t="inlineStr">
        <is>
          <t>(622) Reparación/conservación/mantenimiento</t>
        </is>
      </c>
      <c r="I92" t="inlineStr">
        <is>
          <t>622010001 - MANTENIMIENTO REPUESTO COMPRA AMAZON</t>
        </is>
      </c>
      <c r="J92" t="inlineStr">
        <is>
          <t>-</t>
        </is>
      </c>
      <c r="K92" s="1" t="n">
        <v>0</v>
      </c>
      <c r="L92" s="1" t="n">
        <v>0</v>
      </c>
      <c r="M92" s="1" t="n">
        <v>0</v>
      </c>
      <c r="N92" s="1" t="n">
        <v>0</v>
      </c>
      <c r="O92" s="9" t="n">
        <v>0</v>
      </c>
      <c r="P92" s="1" t="inlineStr">
        <is>
          <t xml:space="preserve">                            -  </t>
        </is>
      </c>
      <c r="Q92" s="1" t="n">
        <v>0</v>
      </c>
      <c r="R92" s="12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>
        <f>SUM(K92:V92)</f>
        <v/>
      </c>
      <c r="X92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3">
      <c r="B93" t="n">
        <v>2026</v>
      </c>
      <c r="C93" t="inlineStr">
        <is>
          <t>Codiagro</t>
        </is>
      </c>
      <c r="D93" t="inlineStr">
        <is>
          <t>RESULTADO DEL EJERCICIO</t>
        </is>
      </c>
      <c r="E93" t="inlineStr">
        <is>
          <t>RESULTADO ANTES DE IMPUESTOS</t>
        </is>
      </c>
      <c r="F93" t="inlineStr">
        <is>
          <t>RESULTADO DE LA EXPLOTACION</t>
        </is>
      </c>
      <c r="G93" t="inlineStr">
        <is>
          <t>7.- Otros gastos de explotación</t>
        </is>
      </c>
      <c r="H93" t="inlineStr">
        <is>
          <t>(622) Reparación/conservación/mantenimiento</t>
        </is>
      </c>
      <c r="I93" t="inlineStr">
        <is>
          <t>622010200 - ALCAPLANT</t>
        </is>
      </c>
      <c r="J93" t="inlineStr">
        <is>
          <t>-</t>
        </is>
      </c>
      <c r="K93" s="1" t="n">
        <v>-1342.54</v>
      </c>
      <c r="L93" s="1" t="n">
        <v>-586</v>
      </c>
      <c r="M93" s="1" t="n">
        <v>-2280</v>
      </c>
      <c r="N93" s="1" t="n">
        <v>0</v>
      </c>
      <c r="O93" s="9" t="n">
        <v>-942.88</v>
      </c>
      <c r="P93" s="1" t="n">
        <v>-354.5</v>
      </c>
      <c r="Q93" s="1" t="n">
        <v>-9441.85</v>
      </c>
      <c r="R93" s="12" t="n">
        <v>-1983.69</v>
      </c>
      <c r="S93" s="10" t="n">
        <v>-2418.78</v>
      </c>
      <c r="T93" s="10" t="n">
        <v>-2418.78</v>
      </c>
      <c r="U93" s="10" t="n">
        <v>-2418.78</v>
      </c>
      <c r="V93" s="10" t="n">
        <v>-2418.78</v>
      </c>
      <c r="W93" s="10">
        <f>SUM(K93:V93)</f>
        <v/>
      </c>
      <c r="X93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4">
      <c r="B94" t="n">
        <v>2026</v>
      </c>
      <c r="C94" t="inlineStr">
        <is>
          <t>Codiagro</t>
        </is>
      </c>
      <c r="D94" t="inlineStr">
        <is>
          <t>RESULTADO DEL EJERCICIO</t>
        </is>
      </c>
      <c r="E94" t="inlineStr">
        <is>
          <t>RESULTADO ANTES DE IMPUESTOS</t>
        </is>
      </c>
      <c r="F94" t="inlineStr">
        <is>
          <t>RESULTADO DE LA EXPLOTACION</t>
        </is>
      </c>
      <c r="G94" t="inlineStr">
        <is>
          <t>7.- Otros gastos de explotación</t>
        </is>
      </c>
      <c r="H94" t="inlineStr">
        <is>
          <t>(622) Reparación/conservación/mantenimiento</t>
        </is>
      </c>
      <c r="I94" t="inlineStr">
        <is>
          <t>622010201 - REPARACIONES ALCAPLANT</t>
        </is>
      </c>
      <c r="J94" t="inlineStr">
        <is>
          <t>-</t>
        </is>
      </c>
      <c r="K94" s="1" t="n">
        <v>-667.12</v>
      </c>
      <c r="L94" s="1" t="n">
        <v>0</v>
      </c>
      <c r="M94" s="1" t="n">
        <v>0</v>
      </c>
      <c r="N94" s="1" t="n">
        <v>0</v>
      </c>
      <c r="O94" s="9" t="inlineStr">
        <is>
          <t xml:space="preserve">                            -  </t>
        </is>
      </c>
      <c r="P94" s="1" t="n">
        <v>-4282.05</v>
      </c>
      <c r="Q94" s="1" t="n">
        <v>-5230</v>
      </c>
      <c r="R94" s="12" t="n">
        <v>-5848.16</v>
      </c>
      <c r="S94" s="10" t="n">
        <v>-4006.83</v>
      </c>
      <c r="T94" s="10" t="n">
        <v>-4006.83</v>
      </c>
      <c r="U94" s="10" t="n">
        <v>-4006.83</v>
      </c>
      <c r="V94" s="10" t="n">
        <v>-4006.83</v>
      </c>
      <c r="W94" s="10">
        <f>SUM(K94:V94)</f>
        <v/>
      </c>
      <c r="X94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5">
      <c r="B95" t="n">
        <v>2026</v>
      </c>
      <c r="C95" t="inlineStr">
        <is>
          <t>Codiagro</t>
        </is>
      </c>
      <c r="D95" t="inlineStr">
        <is>
          <t>RESULTADO DEL EJERCICIO</t>
        </is>
      </c>
      <c r="E95" t="inlineStr">
        <is>
          <t>RESULTADO ANTES DE IMPUESTOS</t>
        </is>
      </c>
      <c r="F95" t="inlineStr">
        <is>
          <t>RESULTADO DE LA EXPLOTACION</t>
        </is>
      </c>
      <c r="G95" t="inlineStr">
        <is>
          <t>7.- Otros gastos de explotación</t>
        </is>
      </c>
      <c r="H95" t="inlineStr">
        <is>
          <t>(622) Reparación/conservación/mantenimiento</t>
        </is>
      </c>
      <c r="I95" t="inlineStr">
        <is>
          <t>622010300 - SOLIDOS</t>
        </is>
      </c>
      <c r="J95" t="inlineStr">
        <is>
          <t>-</t>
        </is>
      </c>
      <c r="K95" s="1" t="n">
        <v>-617.42</v>
      </c>
      <c r="L95" s="1" t="n">
        <v>0</v>
      </c>
      <c r="M95" s="1" t="n">
        <v>0</v>
      </c>
      <c r="N95" s="1" t="n">
        <v>0</v>
      </c>
      <c r="O95" s="9" t="inlineStr">
        <is>
          <t xml:space="preserve">                            -  </t>
        </is>
      </c>
      <c r="P95" s="1" t="n">
        <v>-4467.02</v>
      </c>
      <c r="Q95" s="1" t="inlineStr">
        <is>
          <t xml:space="preserve">                                             -  </t>
        </is>
      </c>
      <c r="R95" s="12" t="n">
        <v>-11965.55</v>
      </c>
      <c r="S95" s="10" t="n">
        <v>-5683.33</v>
      </c>
      <c r="T95" s="10" t="n">
        <v>-5683.33</v>
      </c>
      <c r="U95" s="10" t="n">
        <v>-5683.33</v>
      </c>
      <c r="V95" s="10" t="n">
        <v>-5683.33</v>
      </c>
      <c r="W95" s="10">
        <f>SUM(K95:V95)</f>
        <v/>
      </c>
      <c r="X95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6">
      <c r="B96" t="n">
        <v>2026</v>
      </c>
      <c r="C96" t="inlineStr">
        <is>
          <t>Codiagro</t>
        </is>
      </c>
      <c r="D96" t="inlineStr">
        <is>
          <t>RESULTADO DEL EJERCICIO</t>
        </is>
      </c>
      <c r="E96" t="inlineStr">
        <is>
          <t>RESULTADO ANTES DE IMPUESTOS</t>
        </is>
      </c>
      <c r="F96" t="inlineStr">
        <is>
          <t>RESULTADO DE LA EXPLOTACION</t>
        </is>
      </c>
      <c r="G96" t="inlineStr">
        <is>
          <t>7.- Otros gastos de explotación</t>
        </is>
      </c>
      <c r="H96" t="inlineStr">
        <is>
          <t>(622) Reparación/conservación/mantenimiento</t>
        </is>
      </c>
      <c r="I96" t="inlineStr">
        <is>
          <t>622010400 - LIQUIDOS</t>
        </is>
      </c>
      <c r="J96" t="inlineStr">
        <is>
          <t>-</t>
        </is>
      </c>
      <c r="K96" s="1" t="n">
        <v>0</v>
      </c>
      <c r="L96" s="1" t="n">
        <v>0</v>
      </c>
      <c r="M96" s="1" t="n">
        <v>-1502.54</v>
      </c>
      <c r="N96" s="1" t="n">
        <v>-55.82</v>
      </c>
      <c r="O96" s="9" t="n">
        <v>-1092.45</v>
      </c>
      <c r="P96" s="1" t="n">
        <v>-8017.35</v>
      </c>
      <c r="Q96" s="1" t="n">
        <v>5697.8</v>
      </c>
      <c r="R96" s="12" t="n">
        <v>-288.39</v>
      </c>
      <c r="S96" s="10" t="n">
        <v>-876.46</v>
      </c>
      <c r="T96" s="10" t="n">
        <v>-876.46</v>
      </c>
      <c r="U96" s="10" t="n">
        <v>-876.46</v>
      </c>
      <c r="V96" s="10" t="n">
        <v>-876.46</v>
      </c>
      <c r="W96" s="10">
        <f>SUM(K96:V96)</f>
        <v/>
      </c>
      <c r="X96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7">
      <c r="B97" t="n">
        <v>2026</v>
      </c>
      <c r="C97" t="inlineStr">
        <is>
          <t>Codiagro</t>
        </is>
      </c>
      <c r="D97" t="inlineStr">
        <is>
          <t>RESULTADO DEL EJERCICIO</t>
        </is>
      </c>
      <c r="E97" t="inlineStr">
        <is>
          <t>RESULTADO ANTES DE IMPUESTOS</t>
        </is>
      </c>
      <c r="F97" t="inlineStr">
        <is>
          <t>RESULTADO DE LA EXPLOTACION</t>
        </is>
      </c>
      <c r="G97" t="inlineStr">
        <is>
          <t>7.- Otros gastos de explotación</t>
        </is>
      </c>
      <c r="H97" t="inlineStr">
        <is>
          <t>(622) Reparación/conservación/mantenimiento</t>
        </is>
      </c>
      <c r="I97" t="inlineStr">
        <is>
          <t>622010500 - REPUESTOS MANT. VARIOS</t>
        </is>
      </c>
      <c r="J97" t="inlineStr">
        <is>
          <t>-</t>
        </is>
      </c>
      <c r="K97" s="1" t="n">
        <v>0</v>
      </c>
      <c r="L97" s="1" t="n">
        <v>-155.11</v>
      </c>
      <c r="M97" s="1" t="n">
        <v>-1072.93</v>
      </c>
      <c r="N97" s="1" t="n">
        <v>-2283.52</v>
      </c>
      <c r="O97" s="9" t="n">
        <v>-799.04</v>
      </c>
      <c r="P97" s="1" t="n">
        <v>-106.8</v>
      </c>
      <c r="Q97" s="1" t="inlineStr">
        <is>
          <t xml:space="preserve">                                             -  </t>
        </is>
      </c>
      <c r="R97" s="12" t="n">
        <v>-108.17</v>
      </c>
      <c r="S97" s="10" t="n">
        <v>-754.26</v>
      </c>
      <c r="T97" s="10" t="n">
        <v>-754.26</v>
      </c>
      <c r="U97" s="10" t="n">
        <v>-754.26</v>
      </c>
      <c r="V97" s="10" t="n">
        <v>-754.26</v>
      </c>
      <c r="W97" s="10">
        <f>SUM(K97:V97)</f>
        <v/>
      </c>
      <c r="X97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8">
      <c r="B98" t="n">
        <v>2026</v>
      </c>
      <c r="C98" t="inlineStr">
        <is>
          <t>Codiagro</t>
        </is>
      </c>
      <c r="D98" t="inlineStr">
        <is>
          <t>RESULTADO DEL EJERCICIO</t>
        </is>
      </c>
      <c r="E98" t="inlineStr">
        <is>
          <t>RESULTADO ANTES DE IMPUESTOS</t>
        </is>
      </c>
      <c r="F98" t="inlineStr">
        <is>
          <t>RESULTADO DE LA EXPLOTACION</t>
        </is>
      </c>
      <c r="G98" t="inlineStr">
        <is>
          <t>7.- Otros gastos de explotación</t>
        </is>
      </c>
      <c r="H98" t="inlineStr">
        <is>
          <t>(622) Reparación/conservación/mantenimiento</t>
        </is>
      </c>
      <c r="I98" t="inlineStr">
        <is>
          <t>622010501 - REP. MANT. FONTANERIA</t>
        </is>
      </c>
      <c r="J98" t="inlineStr">
        <is>
          <t>-</t>
        </is>
      </c>
      <c r="K98" s="1" t="n">
        <v>0</v>
      </c>
      <c r="L98" s="1" t="n">
        <v>-39.8</v>
      </c>
      <c r="M98" s="1" t="n">
        <v>-227.04</v>
      </c>
      <c r="N98" s="1" t="n">
        <v>0</v>
      </c>
      <c r="O98" s="1" t="inlineStr">
        <is>
          <t xml:space="preserve">                            -  </t>
        </is>
      </c>
      <c r="P98" s="1" t="n">
        <v>-81.8</v>
      </c>
      <c r="Q98" s="1" t="inlineStr">
        <is>
          <t xml:space="preserve">                                             -  </t>
        </is>
      </c>
      <c r="R98" s="12" t="n">
        <v>0</v>
      </c>
      <c r="S98" s="10" t="n">
        <v>-116.21</v>
      </c>
      <c r="T98" s="10" t="n">
        <v>-116.21</v>
      </c>
      <c r="U98" s="10" t="n">
        <v>-116.21</v>
      </c>
      <c r="V98" s="10" t="n">
        <v>-116.21</v>
      </c>
      <c r="W98" s="10">
        <f>SUM(K98:V98)</f>
        <v/>
      </c>
      <c r="X98" s="8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9">
      <c r="B99" t="n">
        <v>2026</v>
      </c>
      <c r="C99" t="inlineStr">
        <is>
          <t>Codiagro</t>
        </is>
      </c>
      <c r="D99" t="inlineStr">
        <is>
          <t>RESULTADO DEL EJERCICIO</t>
        </is>
      </c>
      <c r="E99" t="inlineStr">
        <is>
          <t>RESULTADO ANTES DE IMPUESTOS</t>
        </is>
      </c>
      <c r="F99" t="inlineStr">
        <is>
          <t>RESULTADO DE LA EXPLOTACION</t>
        </is>
      </c>
      <c r="G99" t="inlineStr">
        <is>
          <t>7.- Otros gastos de explotación</t>
        </is>
      </c>
      <c r="H99" t="inlineStr">
        <is>
          <t>(623) Servicios profesionales independientes</t>
        </is>
      </c>
      <c r="I99" t="inlineStr">
        <is>
          <t>623000001 - SERV. PROF. INDEPENDIENTES</t>
        </is>
      </c>
      <c r="J99" t="inlineStr">
        <is>
          <t>-</t>
        </is>
      </c>
      <c r="K99" s="1" t="n">
        <v>-1902.37</v>
      </c>
      <c r="L99" s="1" t="n">
        <v>-497</v>
      </c>
      <c r="M99" s="1" t="n">
        <v>-5360.3</v>
      </c>
      <c r="N99" s="1" t="n">
        <v>-10729</v>
      </c>
      <c r="O99" s="9" t="n">
        <v>-21698</v>
      </c>
      <c r="P99" s="1" t="n">
        <v>-2988</v>
      </c>
      <c r="Q99" s="1" t="n">
        <v>-2584.62</v>
      </c>
      <c r="R99" s="12" t="n">
        <v>-2853.02</v>
      </c>
      <c r="S99" s="12" t="n">
        <v>-6000</v>
      </c>
      <c r="T99" s="12" t="n">
        <v>-6000</v>
      </c>
      <c r="U99" s="12" t="n">
        <v>-6000</v>
      </c>
      <c r="V99" s="12" t="n">
        <v>-8000</v>
      </c>
      <c r="W99" s="12">
        <f>SUM(K99:V99)</f>
        <v/>
      </c>
      <c r="X99" s="8" t="inlineStr">
        <is>
          <t>Coste fijo de asesoramiento legal, técnico y fiscal, con refuerzo en diciembre por preparación del cierre y auditoría.</t>
        </is>
      </c>
    </row>
    <row r="100">
      <c r="B100" t="n">
        <v>2026</v>
      </c>
      <c r="C100" t="inlineStr">
        <is>
          <t>Codiagro</t>
        </is>
      </c>
      <c r="D100" t="inlineStr">
        <is>
          <t>RESULTADO DEL EJERCICIO</t>
        </is>
      </c>
      <c r="E100" t="inlineStr">
        <is>
          <t>RESULTADO ANTES DE IMPUESTOS</t>
        </is>
      </c>
      <c r="F100" t="inlineStr">
        <is>
          <t>RESULTADO DE LA EXPLOTACION</t>
        </is>
      </c>
      <c r="G100" t="inlineStr">
        <is>
          <t>7.- Otros gastos de explotación</t>
        </is>
      </c>
      <c r="H100" t="inlineStr">
        <is>
          <t>(623) Servicios profesionales independientes</t>
        </is>
      </c>
      <c r="I100" t="inlineStr">
        <is>
          <t>623000002 - SERVICIOS CONTABLES Y FINANCIEROS</t>
        </is>
      </c>
      <c r="J100" t="inlineStr">
        <is>
          <t>-</t>
        </is>
      </c>
      <c r="K100" s="1" t="n">
        <v>-1417.95</v>
      </c>
      <c r="L100" s="1" t="n">
        <v>-1417.95</v>
      </c>
      <c r="M100" s="1" t="n">
        <v>-5837.67</v>
      </c>
      <c r="N100" s="1" t="n">
        <v>-2891.19</v>
      </c>
      <c r="O100" s="9" t="n">
        <v>-2891.19</v>
      </c>
      <c r="P100" s="1" t="n">
        <v>-2891.19</v>
      </c>
      <c r="Q100" s="1" t="n">
        <v>-2891.19</v>
      </c>
      <c r="R100" s="12" t="n">
        <v>-2148.24</v>
      </c>
      <c r="S100" s="10" t="n">
        <v>-1400</v>
      </c>
      <c r="T100" s="10" t="n">
        <v>-1400</v>
      </c>
      <c r="U100" s="10" t="n">
        <v>-1400</v>
      </c>
      <c r="V100" s="10" t="n">
        <v>-1400</v>
      </c>
      <c r="W100" s="10">
        <f>SUM(K100:V100)</f>
        <v/>
      </c>
      <c r="X100" s="8" t="inlineStr">
        <is>
          <t>Servicios contables y financieros externos: importe mensual reducido a la mitad (-1.400,00 €/mes de sep a dic) según indicación de controlling.</t>
        </is>
      </c>
    </row>
    <row r="101">
      <c r="B101" t="n">
        <v>2026</v>
      </c>
      <c r="C101" t="inlineStr">
        <is>
          <t>Codiagro</t>
        </is>
      </c>
      <c r="D101" t="inlineStr">
        <is>
          <t>RESULTADO DEL EJERCICIO</t>
        </is>
      </c>
      <c r="E101" t="inlineStr">
        <is>
          <t>RESULTADO ANTES DE IMPUESTOS</t>
        </is>
      </c>
      <c r="F101" t="inlineStr">
        <is>
          <t>RESULTADO DE LA EXPLOTACION</t>
        </is>
      </c>
      <c r="G101" t="inlineStr">
        <is>
          <t>7.- Otros gastos de explotación</t>
        </is>
      </c>
      <c r="H101" t="inlineStr">
        <is>
          <t>(623) Servicios profesionales independientes</t>
        </is>
      </c>
      <c r="I101" t="inlineStr">
        <is>
          <t>623000003 - SERV. NOTARIOS, REGISTROS, LEGAL</t>
        </is>
      </c>
      <c r="J101" t="inlineStr">
        <is>
          <t>-</t>
        </is>
      </c>
      <c r="K101" s="1" t="n">
        <v>-548.3200000000001</v>
      </c>
      <c r="L101" s="1" t="n">
        <v>-3007.86</v>
      </c>
      <c r="M101" s="1" t="n">
        <v>-3805.86</v>
      </c>
      <c r="N101" s="1" t="n">
        <v>-3053.37</v>
      </c>
      <c r="O101" s="9" t="n">
        <v>-2271.24</v>
      </c>
      <c r="P101" s="1" t="n">
        <v>-2271.24</v>
      </c>
      <c r="Q101" s="1" t="n">
        <v>-736.62</v>
      </c>
      <c r="R101" s="12" t="n">
        <v>0</v>
      </c>
      <c r="S101" s="12" t="n">
        <v>-1800</v>
      </c>
      <c r="T101" s="12" t="n">
        <v>-2000</v>
      </c>
      <c r="U101" s="12" t="n">
        <v>-2000</v>
      </c>
      <c r="V101" s="12" t="n">
        <v>-2200</v>
      </c>
      <c r="W101" s="12">
        <f>SUM(K101:V101)</f>
        <v/>
      </c>
      <c r="X101" s="8" t="inlineStr">
        <is>
          <t>Gastos de registro de formulaciones, marcas y actos notariales.</t>
        </is>
      </c>
    </row>
    <row r="102">
      <c r="B102" t="n">
        <v>2026</v>
      </c>
      <c r="C102" t="inlineStr">
        <is>
          <t>Codiagro</t>
        </is>
      </c>
      <c r="D102" t="inlineStr">
        <is>
          <t>RESULTADO DEL EJERCICIO</t>
        </is>
      </c>
      <c r="E102" t="inlineStr">
        <is>
          <t>RESULTADO ANTES DE IMPUESTOS</t>
        </is>
      </c>
      <c r="F102" t="inlineStr">
        <is>
          <t>RESULTADO DE LA EXPLOTACION</t>
        </is>
      </c>
      <c r="G102" t="inlineStr">
        <is>
          <t>7.- Otros gastos de explotación</t>
        </is>
      </c>
      <c r="H102" t="inlineStr">
        <is>
          <t>(623) Servicios profesionales independientes</t>
        </is>
      </c>
      <c r="I102" t="inlineStr">
        <is>
          <t>623000004 - GTOS. BCS. OKO</t>
        </is>
      </c>
      <c r="J102" t="inlineStr">
        <is>
          <t>-</t>
        </is>
      </c>
      <c r="K102" s="1" t="n">
        <v>-971.47</v>
      </c>
      <c r="L102" s="1" t="n">
        <v>0</v>
      </c>
      <c r="M102" s="1" t="n">
        <v>0</v>
      </c>
      <c r="N102" s="1" t="n">
        <v>0</v>
      </c>
      <c r="O102" s="9" t="n">
        <v>-1574.71</v>
      </c>
      <c r="P102" s="1" t="n">
        <v>-1267.24</v>
      </c>
      <c r="Q102" s="1" t="inlineStr">
        <is>
          <t xml:space="preserve">                                             -  </t>
        </is>
      </c>
      <c r="R102" s="12" t="n">
        <v>0</v>
      </c>
      <c r="S102" s="12" t="n">
        <v>-1271.14</v>
      </c>
      <c r="T102" s="12" t="n">
        <v>-1271.14</v>
      </c>
      <c r="U102" s="12" t="n">
        <v>-1271.14</v>
      </c>
      <c r="V102" s="12" t="n">
        <v>-1271.14</v>
      </c>
      <c r="W102" s="12">
        <f>SUM(K102:V102)</f>
        <v/>
      </c>
      <c r="X102" s="8" t="inlineStr">
        <is>
          <t>Proyección basada en el promedio mensual histórico de actividad.</t>
        </is>
      </c>
    </row>
    <row r="103">
      <c r="B103" t="n">
        <v>2026</v>
      </c>
      <c r="C103" t="inlineStr">
        <is>
          <t>Codiagro</t>
        </is>
      </c>
      <c r="D103" t="inlineStr">
        <is>
          <t>RESULTADO DEL EJERCICIO</t>
        </is>
      </c>
      <c r="E103" t="inlineStr">
        <is>
          <t>RESULTADO ANTES DE IMPUESTOS</t>
        </is>
      </c>
      <c r="F103" t="inlineStr">
        <is>
          <t>RESULTADO DE LA EXPLOTACION</t>
        </is>
      </c>
      <c r="G103" t="inlineStr">
        <is>
          <t>7.- Otros gastos de explotación</t>
        </is>
      </c>
      <c r="H103" t="inlineStr">
        <is>
          <t>(623) Servicios profesionales independientes</t>
        </is>
      </c>
      <c r="I103" t="inlineStr">
        <is>
          <t>623000005 - SERVICIOS PREST. CAMARA COMERCIO</t>
        </is>
      </c>
      <c r="J103" t="inlineStr">
        <is>
          <t>-</t>
        </is>
      </c>
      <c r="K103" s="1" t="n">
        <v>-692.3</v>
      </c>
      <c r="L103" s="1" t="n">
        <v>-689.7</v>
      </c>
      <c r="M103" s="1" t="n">
        <v>-324</v>
      </c>
      <c r="N103" s="1" t="n">
        <v>-591</v>
      </c>
      <c r="O103" s="9" t="n">
        <v>-429</v>
      </c>
      <c r="P103" s="1" t="n">
        <v>-1185.44</v>
      </c>
      <c r="Q103" s="1" t="n">
        <v>-763</v>
      </c>
      <c r="R103" s="12" t="n">
        <v>-210</v>
      </c>
      <c r="S103" s="12" t="n">
        <v>-610.5599999999999</v>
      </c>
      <c r="T103" s="12" t="n">
        <v>-610.5599999999999</v>
      </c>
      <c r="U103" s="12" t="n">
        <v>-610.5599999999999</v>
      </c>
      <c r="V103" s="12" t="n">
        <v>-610.5599999999999</v>
      </c>
      <c r="W103" s="12">
        <f>SUM(K103:V103)</f>
        <v/>
      </c>
      <c r="X103" s="8" t="inlineStr">
        <is>
          <t>Proyección basada en el promedio mensual histórico de actividad.</t>
        </is>
      </c>
    </row>
    <row r="104">
      <c r="B104" t="n">
        <v>2026</v>
      </c>
      <c r="C104" t="inlineStr">
        <is>
          <t>Codiagro</t>
        </is>
      </c>
      <c r="D104" t="inlineStr">
        <is>
          <t>RESULTADO DEL EJERCICIO</t>
        </is>
      </c>
      <c r="E104" t="inlineStr">
        <is>
          <t>RESULTADO ANTES DE IMPUESTOS</t>
        </is>
      </c>
      <c r="F104" t="inlineStr">
        <is>
          <t>RESULTADO DE LA EXPLOTACION</t>
        </is>
      </c>
      <c r="G104" t="inlineStr">
        <is>
          <t>7.- Otros gastos de explotación</t>
        </is>
      </c>
      <c r="H104" t="inlineStr">
        <is>
          <t>(623) Servicios profesionales independientes</t>
        </is>
      </c>
      <c r="I104" t="inlineStr">
        <is>
          <t>623100002 - GASTOS MAURICIO ALISTE</t>
        </is>
      </c>
      <c r="J104" t="inlineStr">
        <is>
          <t>-</t>
        </is>
      </c>
      <c r="K104" s="1" t="n">
        <v>-3245.91</v>
      </c>
      <c r="L104" s="1" t="n">
        <v>-4213.45</v>
      </c>
      <c r="M104" s="1" t="n">
        <v>-5262.62</v>
      </c>
      <c r="N104" s="1" t="n">
        <v>-2950.29</v>
      </c>
      <c r="O104" s="9" t="n">
        <v>-4225.22</v>
      </c>
      <c r="P104" s="1" t="n">
        <v>-3567.95</v>
      </c>
      <c r="Q104" s="1" t="n">
        <v>-3428.16</v>
      </c>
      <c r="R104" s="12" t="n">
        <v>-4396.39</v>
      </c>
      <c r="S104" s="10" t="n">
        <v>-3800</v>
      </c>
      <c r="T104" s="10" t="n">
        <v>-4000</v>
      </c>
      <c r="U104" s="10" t="n">
        <v>-4000</v>
      </c>
      <c r="V104" s="10" t="n">
        <v>-9200</v>
      </c>
      <c r="W104" s="10">
        <f>SUM(K104:V104)</f>
        <v/>
      </c>
      <c r="X104" s="8" t="inlineStr">
        <is>
          <t>Honorarios y gastos comerciales de zona según plan presupuestado + 5.000,00 € adicionales en diciembre según instrucción comercial. Para 2027 no hay que subirles nada (mismo importe).</t>
        </is>
      </c>
    </row>
    <row r="105">
      <c r="B105" t="n">
        <v>2026</v>
      </c>
      <c r="C105" t="inlineStr">
        <is>
          <t>Codiagro</t>
        </is>
      </c>
      <c r="D105" t="inlineStr">
        <is>
          <t>RESULTADO DEL EJERCICIO</t>
        </is>
      </c>
      <c r="E105" t="inlineStr">
        <is>
          <t>RESULTADO ANTES DE IMPUESTOS</t>
        </is>
      </c>
      <c r="F105" t="inlineStr">
        <is>
          <t>RESULTADO DE LA EXPLOTACION</t>
        </is>
      </c>
      <c r="G105" t="inlineStr">
        <is>
          <t>7.- Otros gastos de explotación</t>
        </is>
      </c>
      <c r="H105" t="inlineStr">
        <is>
          <t>(623) Servicios profesionales independientes</t>
        </is>
      </c>
      <c r="I105" t="inlineStr">
        <is>
          <t>623100006 - GASTOS Y SERVICIOS AGRICOLA DEL JUCAR</t>
        </is>
      </c>
      <c r="J105" t="inlineStr">
        <is>
          <t>-</t>
        </is>
      </c>
      <c r="K105" s="1" t="n">
        <v>0</v>
      </c>
      <c r="L105" s="1" t="n">
        <v>-236.74</v>
      </c>
      <c r="M105" s="1" t="n">
        <v>-895.0599999999999</v>
      </c>
      <c r="N105" s="1" t="n">
        <v>-438.09</v>
      </c>
      <c r="O105" s="9" t="n">
        <v>-141.55</v>
      </c>
      <c r="P105" s="1" t="n">
        <v>-54.55</v>
      </c>
      <c r="Q105" s="1" t="inlineStr">
        <is>
          <t xml:space="preserve">                                             -  </t>
        </is>
      </c>
      <c r="R105" s="12" t="n">
        <v>-20364.61</v>
      </c>
      <c r="S105" s="10" t="n">
        <v>-500</v>
      </c>
      <c r="T105" s="10" t="n">
        <v>-500</v>
      </c>
      <c r="U105" s="10" t="n">
        <v>-500</v>
      </c>
      <c r="V105" s="10" t="n">
        <v>-30500</v>
      </c>
      <c r="W105" s="10">
        <f>SUM(K105:V105)</f>
        <v/>
      </c>
      <c r="X105" s="8" t="inlineStr">
        <is>
          <t>Dotación mensual de 500,00 € de sep a dic + 30.000,00 € extraordinarios en diciembre según instrucción comercial. Para 2027 no hay que subirles nada (mismo importe).</t>
        </is>
      </c>
    </row>
    <row r="106">
      <c r="B106" t="n">
        <v>2026</v>
      </c>
      <c r="C106" t="inlineStr">
        <is>
          <t>Codiagro</t>
        </is>
      </c>
      <c r="D106" t="inlineStr">
        <is>
          <t>RESULTADO DEL EJERCICIO</t>
        </is>
      </c>
      <c r="E106" t="inlineStr">
        <is>
          <t>RESULTADO ANTES DE IMPUESTOS</t>
        </is>
      </c>
      <c r="F106" t="inlineStr">
        <is>
          <t>RESULTADO DE LA EXPLOTACION</t>
        </is>
      </c>
      <c r="G106" t="inlineStr">
        <is>
          <t>7.- Otros gastos de explotación</t>
        </is>
      </c>
      <c r="H106" t="inlineStr">
        <is>
          <t>(623) Servicios profesionales independientes</t>
        </is>
      </c>
      <c r="I106" t="inlineStr">
        <is>
          <t>623100007 - GASTOS Y SUELDO MEHMET CILOGLU</t>
        </is>
      </c>
      <c r="J106" t="inlineStr">
        <is>
          <t>-</t>
        </is>
      </c>
      <c r="K106" s="1" t="n">
        <v>-5502.03</v>
      </c>
      <c r="L106" s="1" t="n">
        <v>-5916.14</v>
      </c>
      <c r="M106" s="1" t="n">
        <v>-5438.35</v>
      </c>
      <c r="N106" s="1" t="n">
        <v>-5067.23</v>
      </c>
      <c r="O106" s="9" t="inlineStr">
        <is>
          <t xml:space="preserve">                            -  </t>
        </is>
      </c>
      <c r="P106" s="1" t="n">
        <v>-41963.34</v>
      </c>
      <c r="Q106" s="1" t="n">
        <v>-20123.98</v>
      </c>
      <c r="R106" s="12" t="n">
        <v>-6760.66</v>
      </c>
      <c r="S106" s="10" t="n">
        <v>-6000</v>
      </c>
      <c r="T106" s="10" t="n">
        <v>-6000</v>
      </c>
      <c r="U106" s="10" t="n">
        <v>-6000</v>
      </c>
      <c r="V106" s="10" t="n">
        <v>-106000</v>
      </c>
      <c r="W106" s="10">
        <f>SUM(K106:V106)</f>
        <v/>
      </c>
      <c r="X106" s="8" t="inlineStr">
        <is>
          <t>Dotación mensual de 6.000,00 € de sep a dic + 100.000,00 € extraordinarios en diciembre según instrucción comercial. Para 2027 no hay que subirles nada (mismo importe).</t>
        </is>
      </c>
    </row>
    <row r="107">
      <c r="B107" t="n">
        <v>2026</v>
      </c>
      <c r="C107" t="inlineStr">
        <is>
          <t>Codiagro</t>
        </is>
      </c>
      <c r="D107" t="inlineStr">
        <is>
          <t>RESULTADO DEL EJERCICIO</t>
        </is>
      </c>
      <c r="E107" t="inlineStr">
        <is>
          <t>RESULTADO ANTES DE IMPUESTOS</t>
        </is>
      </c>
      <c r="F107" t="inlineStr">
        <is>
          <t>RESULTADO DE LA EXPLOTACION</t>
        </is>
      </c>
      <c r="G107" t="inlineStr">
        <is>
          <t>7.- Otros gastos de explotación</t>
        </is>
      </c>
      <c r="H107" t="inlineStr">
        <is>
          <t>(623) Servicios profesionales independientes</t>
        </is>
      </c>
      <c r="I107" t="inlineStr">
        <is>
          <t>623100008 - COMISIONES KAMAL KEHAL</t>
        </is>
      </c>
      <c r="J107" t="inlineStr">
        <is>
          <t>-</t>
        </is>
      </c>
      <c r="K107" s="1" t="n"/>
      <c r="L107" s="1" t="n"/>
      <c r="M107" s="1" t="n"/>
      <c r="N107" s="1" t="n"/>
      <c r="O107" s="9" t="n">
        <v>-3398.55</v>
      </c>
      <c r="P107" s="1" t="inlineStr">
        <is>
          <t xml:space="preserve">                            -  </t>
        </is>
      </c>
      <c r="Q107" s="1" t="n">
        <v>0</v>
      </c>
      <c r="R107" s="12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>
        <f>SUM(K107:V107)</f>
        <v/>
      </c>
      <c r="X107" s="8" t="inlineStr">
        <is>
          <t>Comisiones Kamal Kehal: eliminados los importes de sep a dic del 2026. Para 2027 poner la misma cantidad anual real del 2026 (-3.398,55 €).</t>
        </is>
      </c>
    </row>
    <row r="108">
      <c r="B108" t="n">
        <v>2026</v>
      </c>
      <c r="C108" t="inlineStr">
        <is>
          <t>Codiagro</t>
        </is>
      </c>
      <c r="D108" t="inlineStr">
        <is>
          <t>RESULTADO DEL EJERCICIO</t>
        </is>
      </c>
      <c r="E108" t="inlineStr">
        <is>
          <t>RESULTADO ANTES DE IMPUESTOS</t>
        </is>
      </c>
      <c r="F108" t="inlineStr">
        <is>
          <t>RESULTADO DE LA EXPLOTACION</t>
        </is>
      </c>
      <c r="G108" t="inlineStr">
        <is>
          <t>7.- Otros gastos de explotación</t>
        </is>
      </c>
      <c r="H108" t="inlineStr">
        <is>
          <t>(623) Servicios profesionales independientes</t>
        </is>
      </c>
      <c r="I108" t="inlineStr">
        <is>
          <t>623100009 - COMISIONES ABEL SALAZAR</t>
        </is>
      </c>
      <c r="J108" t="inlineStr">
        <is>
          <t>-</t>
        </is>
      </c>
      <c r="K108" s="1" t="n">
        <v>0</v>
      </c>
      <c r="L108" s="1" t="n">
        <v>0</v>
      </c>
      <c r="M108" s="1" t="n">
        <v>0</v>
      </c>
      <c r="N108" s="1" t="n">
        <v>0</v>
      </c>
      <c r="O108" s="9" t="n">
        <v>0</v>
      </c>
      <c r="P108" s="1" t="inlineStr">
        <is>
          <t xml:space="preserve">                            -  </t>
        </is>
      </c>
      <c r="Q108" s="1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>
        <f>SUM(K108:V108)</f>
        <v/>
      </c>
      <c r="X108" s="8" t="inlineStr">
        <is>
          <t>Cuenta sin saldo en el ejercicio. Sin previsión de movimientos.</t>
        </is>
      </c>
    </row>
    <row r="109">
      <c r="B109" t="n">
        <v>2026</v>
      </c>
      <c r="C109" t="inlineStr">
        <is>
          <t>Codiagro</t>
        </is>
      </c>
      <c r="D109" t="inlineStr">
        <is>
          <t>RESULTADO DEL EJERCICIO</t>
        </is>
      </c>
      <c r="E109" t="inlineStr">
        <is>
          <t>RESULTADO ANTES DE IMPUESTOS</t>
        </is>
      </c>
      <c r="F109" t="inlineStr">
        <is>
          <t>RESULTADO DE LA EXPLOTACION</t>
        </is>
      </c>
      <c r="G109" t="inlineStr">
        <is>
          <t>7.- Otros gastos de explotación</t>
        </is>
      </c>
      <c r="H109" t="inlineStr">
        <is>
          <t>(623) Servicios profesionales independientes</t>
        </is>
      </c>
      <c r="I109" t="inlineStr">
        <is>
          <t>623200001 - GASTOS MARCAS EN ESPAÑA</t>
        </is>
      </c>
      <c r="J109" t="inlineStr">
        <is>
          <t>-</t>
        </is>
      </c>
      <c r="K109" s="1" t="n">
        <v>-377.56</v>
      </c>
      <c r="L109" s="1" t="n">
        <v>0</v>
      </c>
      <c r="M109" s="1" t="n">
        <v>0</v>
      </c>
      <c r="N109" s="1" t="n">
        <v>0</v>
      </c>
      <c r="O109" s="9" t="n">
        <v>-377.56</v>
      </c>
      <c r="P109" s="1" t="inlineStr">
        <is>
          <t xml:space="preserve">                            -  </t>
        </is>
      </c>
      <c r="Q109" s="1" t="n">
        <v>0</v>
      </c>
      <c r="R109" s="12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0">
        <f>SUM(K109:V109)</f>
        <v/>
      </c>
      <c r="X109" s="8" t="inlineStr">
        <is>
          <t>Sin dotación presupuestada para el periodo sep-dic según instrucción comercial.</t>
        </is>
      </c>
    </row>
    <row r="110">
      <c r="B110" t="n">
        <v>2026</v>
      </c>
      <c r="C110" t="inlineStr">
        <is>
          <t>Codiagro</t>
        </is>
      </c>
      <c r="D110" t="inlineStr">
        <is>
          <t>RESULTADO DEL EJERCICIO</t>
        </is>
      </c>
      <c r="E110" t="inlineStr">
        <is>
          <t>RESULTADO ANTES DE IMPUESTOS</t>
        </is>
      </c>
      <c r="F110" t="inlineStr">
        <is>
          <t>RESULTADO DE LA EXPLOTACION</t>
        </is>
      </c>
      <c r="G110" t="inlineStr">
        <is>
          <t>7.- Otros gastos de explotación</t>
        </is>
      </c>
      <c r="H110" t="inlineStr">
        <is>
          <t>(623) Servicios profesionales independientes</t>
        </is>
      </c>
      <c r="I110" t="inlineStr">
        <is>
          <t>623200005 - GASTOS MARCAS CHILE</t>
        </is>
      </c>
      <c r="J110" t="inlineStr">
        <is>
          <t>-</t>
        </is>
      </c>
      <c r="K110" s="1" t="n">
        <v>0</v>
      </c>
      <c r="L110" s="1" t="n">
        <v>0</v>
      </c>
      <c r="M110" s="1" t="n">
        <v>0</v>
      </c>
      <c r="N110" s="1" t="n">
        <v>0</v>
      </c>
      <c r="O110" s="9" t="n">
        <v>0</v>
      </c>
      <c r="P110" s="1" t="inlineStr">
        <is>
          <t xml:space="preserve">                            -  </t>
        </is>
      </c>
      <c r="Q110" s="1" t="n">
        <v>0</v>
      </c>
      <c r="R110" s="12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>
        <f>SUM(K110:V110)</f>
        <v/>
      </c>
      <c r="X110" s="8" t="inlineStr">
        <is>
          <t>Sin dotación presupuestada para el periodo sep-dic según instrucción comercial.</t>
        </is>
      </c>
    </row>
    <row r="111">
      <c r="B111" t="n">
        <v>2026</v>
      </c>
      <c r="C111" t="inlineStr">
        <is>
          <t>Codiagro</t>
        </is>
      </c>
      <c r="D111" t="inlineStr">
        <is>
          <t>RESULTADO DEL EJERCICIO</t>
        </is>
      </c>
      <c r="E111" t="inlineStr">
        <is>
          <t>RESULTADO ANTES DE IMPUESTOS</t>
        </is>
      </c>
      <c r="F111" t="inlineStr">
        <is>
          <t>RESULTADO DE LA EXPLOTACION</t>
        </is>
      </c>
      <c r="G111" t="inlineStr">
        <is>
          <t>7.- Otros gastos de explotación</t>
        </is>
      </c>
      <c r="H111" t="inlineStr">
        <is>
          <t>(623) Servicios profesionales independientes</t>
        </is>
      </c>
      <c r="I111" t="inlineStr">
        <is>
          <t>623200006 - MARCAS UNION EUROPEA</t>
        </is>
      </c>
      <c r="J111" t="inlineStr">
        <is>
          <t>-</t>
        </is>
      </c>
      <c r="K111" s="1" t="n">
        <v>0</v>
      </c>
      <c r="L111" s="1" t="n">
        <v>-1218.75</v>
      </c>
      <c r="M111" s="1" t="n">
        <v>0</v>
      </c>
      <c r="N111" s="1" t="n">
        <v>0</v>
      </c>
      <c r="O111" s="9" t="inlineStr">
        <is>
          <t xml:space="preserve">                            -  </t>
        </is>
      </c>
      <c r="P111" s="1" t="n">
        <v>-30.35</v>
      </c>
      <c r="Q111" s="1" t="inlineStr">
        <is>
          <t xml:space="preserve">                                             -  </t>
        </is>
      </c>
      <c r="R111" s="12" t="n">
        <v>-663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>
        <f>SUM(K111:V111)</f>
        <v/>
      </c>
      <c r="X111" s="8" t="inlineStr">
        <is>
          <t>Sin dotación presupuestada para el periodo sep-dic según instrucción comercial.</t>
        </is>
      </c>
    </row>
    <row r="112">
      <c r="B112" t="n">
        <v>2026</v>
      </c>
      <c r="C112" t="inlineStr">
        <is>
          <t>Codiagro</t>
        </is>
      </c>
      <c r="D112" t="inlineStr">
        <is>
          <t>RESULTADO DEL EJERCICIO</t>
        </is>
      </c>
      <c r="E112" t="inlineStr">
        <is>
          <t>RESULTADO ANTES DE IMPUESTOS</t>
        </is>
      </c>
      <c r="F112" t="inlineStr">
        <is>
          <t>RESULTADO DE LA EXPLOTACION</t>
        </is>
      </c>
      <c r="G112" t="inlineStr">
        <is>
          <t>7.- Otros gastos de explotación</t>
        </is>
      </c>
      <c r="H112" t="inlineStr">
        <is>
          <t>(623) Servicios profesionales independientes</t>
        </is>
      </c>
      <c r="I112" t="inlineStr">
        <is>
          <t>623200011 - GASTOS MARCAS COLOMBIA</t>
        </is>
      </c>
      <c r="J112" t="inlineStr">
        <is>
          <t>-</t>
        </is>
      </c>
      <c r="K112" s="1" t="n">
        <v>0</v>
      </c>
      <c r="L112" s="1" t="n">
        <v>0</v>
      </c>
      <c r="M112" s="1" t="n">
        <v>-212.5</v>
      </c>
      <c r="N112" s="1" t="n">
        <v>-513</v>
      </c>
      <c r="O112" s="9" t="n">
        <v>-53.12</v>
      </c>
      <c r="P112" s="1" t="n">
        <v>-30.35</v>
      </c>
      <c r="Q112" s="1" t="inlineStr">
        <is>
          <t xml:space="preserve">                                             -  </t>
        </is>
      </c>
      <c r="R112" s="12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>
        <f>SUM(K112:V112)</f>
        <v/>
      </c>
      <c r="X112" s="8" t="inlineStr">
        <is>
          <t>Sin dotación presupuestada para el periodo sep-dic según instrucción comercial.</t>
        </is>
      </c>
    </row>
    <row r="113">
      <c r="B113" t="n">
        <v>2026</v>
      </c>
      <c r="C113" t="inlineStr">
        <is>
          <t>Codiagro</t>
        </is>
      </c>
      <c r="D113" t="inlineStr">
        <is>
          <t>RESULTADO DEL EJERCICIO</t>
        </is>
      </c>
      <c r="E113" t="inlineStr">
        <is>
          <t>RESULTADO ANTES DE IMPUESTOS</t>
        </is>
      </c>
      <c r="F113" t="inlineStr">
        <is>
          <t>RESULTADO DE LA EXPLOTACION</t>
        </is>
      </c>
      <c r="G113" t="inlineStr">
        <is>
          <t>7.- Otros gastos de explotación</t>
        </is>
      </c>
      <c r="H113" t="inlineStr">
        <is>
          <t>(623) Servicios profesionales independientes</t>
        </is>
      </c>
      <c r="I113" t="inlineStr">
        <is>
          <t>623200021 - GASTOS MARCAS GUATEMALA</t>
        </is>
      </c>
      <c r="J113" t="inlineStr">
        <is>
          <t>-</t>
        </is>
      </c>
      <c r="K113" s="1" t="n">
        <v>0</v>
      </c>
      <c r="L113" s="1" t="n">
        <v>0</v>
      </c>
      <c r="M113" s="1" t="n">
        <v>0</v>
      </c>
      <c r="N113" s="1" t="n">
        <v>0</v>
      </c>
      <c r="O113" s="9" t="n">
        <v>0</v>
      </c>
      <c r="P113" s="1" t="inlineStr">
        <is>
          <t xml:space="preserve">                            -  </t>
        </is>
      </c>
      <c r="Q113" s="1" t="n">
        <v>0</v>
      </c>
      <c r="R113" s="12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>
        <f>SUM(K113:V113)</f>
        <v/>
      </c>
      <c r="X113" s="8" t="inlineStr">
        <is>
          <t>Sin dotación presupuestada para el periodo sep-dic según instrucción comercial.</t>
        </is>
      </c>
    </row>
    <row r="114">
      <c r="B114" t="n">
        <v>2026</v>
      </c>
      <c r="C114" t="inlineStr">
        <is>
          <t>Codiagro</t>
        </is>
      </c>
      <c r="D114" t="inlineStr">
        <is>
          <t>RESULTADO DEL EJERCICIO</t>
        </is>
      </c>
      <c r="E114" t="inlineStr">
        <is>
          <t>RESULTADO ANTES DE IMPUESTOS</t>
        </is>
      </c>
      <c r="F114" t="inlineStr">
        <is>
          <t>RESULTADO DE LA EXPLOTACION</t>
        </is>
      </c>
      <c r="G114" t="inlineStr">
        <is>
          <t>7.- Otros gastos de explotación</t>
        </is>
      </c>
      <c r="H114" t="inlineStr">
        <is>
          <t>(623) Servicios profesionales independientes</t>
        </is>
      </c>
      <c r="I114" t="inlineStr">
        <is>
          <t>623200023 - GASTOS MARCAS ARGELIA</t>
        </is>
      </c>
      <c r="J114" t="inlineStr">
        <is>
          <t>-</t>
        </is>
      </c>
      <c r="K114" s="1" t="n"/>
      <c r="L114" s="1" t="n"/>
      <c r="M114" s="1" t="n"/>
      <c r="N114" s="1" t="n"/>
      <c r="O114" s="9" t="n">
        <v>-53.12</v>
      </c>
      <c r="P114" s="1" t="n">
        <v>-30.35</v>
      </c>
      <c r="Q114" s="1" t="inlineStr">
        <is>
          <t xml:space="preserve">                                             -  </t>
        </is>
      </c>
      <c r="R114" s="12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>
        <f>SUM(K114:V114)</f>
        <v/>
      </c>
      <c r="X114" s="8" t="inlineStr">
        <is>
          <t>Sin dotación presupuestada para el periodo sep-dic según instrucción comercial.</t>
        </is>
      </c>
    </row>
    <row r="115">
      <c r="B115" t="n">
        <v>2026</v>
      </c>
      <c r="C115" t="inlineStr">
        <is>
          <t>Codiagro</t>
        </is>
      </c>
      <c r="D115" t="inlineStr">
        <is>
          <t>RESULTADO DEL EJERCICIO</t>
        </is>
      </c>
      <c r="E115" t="inlineStr">
        <is>
          <t>RESULTADO ANTES DE IMPUESTOS</t>
        </is>
      </c>
      <c r="F115" t="inlineStr">
        <is>
          <t>RESULTADO DE LA EXPLOTACION</t>
        </is>
      </c>
      <c r="G115" t="inlineStr">
        <is>
          <t>7.- Otros gastos de explotación</t>
        </is>
      </c>
      <c r="H115" t="inlineStr">
        <is>
          <t>(623) Servicios profesionales independientes</t>
        </is>
      </c>
      <c r="I115" t="inlineStr">
        <is>
          <t>623200002 - GASTOS MARCAS MEXICO</t>
        </is>
      </c>
      <c r="J115" t="inlineStr">
        <is>
          <t>-</t>
        </is>
      </c>
      <c r="K115" s="1" t="n"/>
      <c r="L115" s="1" t="n"/>
      <c r="M115" s="1" t="n"/>
      <c r="N115" s="1" t="n"/>
      <c r="P115" s="1" t="n">
        <v>-267.75</v>
      </c>
      <c r="Q115" s="1" t="inlineStr">
        <is>
          <t xml:space="preserve">                                             -  </t>
        </is>
      </c>
      <c r="R115" s="12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>
        <f>SUM(K115:V115)</f>
        <v/>
      </c>
      <c r="X115" s="8" t="inlineStr">
        <is>
          <t>Sin dotación presupuestada para el periodo sep-dic según instrucción comercial.</t>
        </is>
      </c>
    </row>
    <row r="116">
      <c r="B116" t="n">
        <v>2026</v>
      </c>
      <c r="C116" t="inlineStr">
        <is>
          <t>Codiagro</t>
        </is>
      </c>
      <c r="D116" t="inlineStr">
        <is>
          <t>RESULTADO DEL EJERCICIO</t>
        </is>
      </c>
      <c r="E116" t="inlineStr">
        <is>
          <t>RESULTADO ANTES DE IMPUESTOS</t>
        </is>
      </c>
      <c r="F116" t="inlineStr">
        <is>
          <t>RESULTADO DE LA EXPLOTACION</t>
        </is>
      </c>
      <c r="G116" t="inlineStr">
        <is>
          <t>7.- Otros gastos de explotación</t>
        </is>
      </c>
      <c r="H116" t="inlineStr">
        <is>
          <t>(623) Servicios profesionales independientes</t>
        </is>
      </c>
      <c r="I116" t="inlineStr">
        <is>
          <t>623200033 - GASTOS MARCAS MUNDIAL</t>
        </is>
      </c>
      <c r="J116" t="inlineStr">
        <is>
          <t>-</t>
        </is>
      </c>
      <c r="K116" s="1" t="n"/>
      <c r="L116" s="1" t="n"/>
      <c r="M116" s="1" t="n"/>
      <c r="N116" s="1" t="n"/>
      <c r="P116" s="1" t="n">
        <v>-2450</v>
      </c>
      <c r="Q116" s="1" t="inlineStr">
        <is>
          <t xml:space="preserve">                                             -  </t>
        </is>
      </c>
      <c r="R116" s="12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>
        <f>SUM(K116:V116)</f>
        <v/>
      </c>
      <c r="X116" s="8" t="inlineStr">
        <is>
          <t>Sin dotación presupuestada para el periodo sep-dic según instrucción comercial.</t>
        </is>
      </c>
    </row>
    <row r="117">
      <c r="B117" t="n">
        <v>2026</v>
      </c>
      <c r="C117" t="inlineStr">
        <is>
          <t>Codiagro</t>
        </is>
      </c>
      <c r="D117" t="inlineStr">
        <is>
          <t>RESULTADO DEL EJERCICIO</t>
        </is>
      </c>
      <c r="E117" t="inlineStr">
        <is>
          <t>RESULTADO ANTES DE IMPUESTOS</t>
        </is>
      </c>
      <c r="F117" t="inlineStr">
        <is>
          <t>RESULTADO DE LA EXPLOTACION</t>
        </is>
      </c>
      <c r="G117" t="inlineStr">
        <is>
          <t>7.- Otros gastos de explotación</t>
        </is>
      </c>
      <c r="H117" t="inlineStr">
        <is>
          <t>(623) Servicios profesionales independientes</t>
        </is>
      </c>
      <c r="I117" t="inlineStr">
        <is>
          <t>623200008 - GASTOS MARCAS EGIPTO</t>
        </is>
      </c>
      <c r="J117" t="inlineStr">
        <is>
          <t>-</t>
        </is>
      </c>
      <c r="K117" s="1" t="n">
        <v>0</v>
      </c>
      <c r="L117" s="1" t="n">
        <v>0</v>
      </c>
      <c r="M117" s="1" t="n">
        <v>0</v>
      </c>
      <c r="N117" s="1" t="n">
        <v>-513</v>
      </c>
      <c r="O117" s="9" t="n">
        <v>-53.14</v>
      </c>
      <c r="P117" s="1" t="inlineStr">
        <is>
          <t xml:space="preserve">                            -  </t>
        </is>
      </c>
      <c r="Q117" s="1" t="n">
        <v>0</v>
      </c>
      <c r="R117" s="12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>
        <f>SUM(K117:V117)</f>
        <v/>
      </c>
      <c r="X117" s="8" t="inlineStr">
        <is>
          <t>Sin dotación presupuestada para el periodo sep-dic según instrucción comercial.</t>
        </is>
      </c>
    </row>
    <row r="118">
      <c r="B118" t="n">
        <v>2026</v>
      </c>
      <c r="C118" t="inlineStr">
        <is>
          <t>Codiagro</t>
        </is>
      </c>
      <c r="D118" t="inlineStr">
        <is>
          <t>RESULTADO DEL EJERCICIO</t>
        </is>
      </c>
      <c r="E118" t="inlineStr">
        <is>
          <t>RESULTADO ANTES DE IMPUESTOS</t>
        </is>
      </c>
      <c r="F118" t="inlineStr">
        <is>
          <t>RESULTADO DE LA EXPLOTACION</t>
        </is>
      </c>
      <c r="G118" t="inlineStr">
        <is>
          <t>7.- Otros gastos de explotación</t>
        </is>
      </c>
      <c r="H118" t="inlineStr">
        <is>
          <t>(623) Servicios profesionales independientes</t>
        </is>
      </c>
      <c r="I118" t="inlineStr">
        <is>
          <t>623200009 - GASTOS MARCAS MARRUECOS</t>
        </is>
      </c>
      <c r="J118" t="inlineStr">
        <is>
          <t>-</t>
        </is>
      </c>
      <c r="K118" s="1" t="n">
        <v>0</v>
      </c>
      <c r="L118" s="1" t="n">
        <v>0</v>
      </c>
      <c r="M118" s="1" t="n">
        <v>0</v>
      </c>
      <c r="N118" s="1" t="n">
        <v>-513</v>
      </c>
      <c r="O118" s="9" t="inlineStr">
        <is>
          <t xml:space="preserve">                            -  </t>
        </is>
      </c>
      <c r="P118" s="1" t="n">
        <v>-30.35</v>
      </c>
      <c r="Q118" s="1" t="inlineStr">
        <is>
          <t xml:space="preserve">                                             -  </t>
        </is>
      </c>
      <c r="R118" s="12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>
        <f>SUM(K118:V118)</f>
        <v/>
      </c>
      <c r="X118" s="8" t="inlineStr">
        <is>
          <t>Sin dotación presupuestada para el periodo sep-dic según instrucción comercial.</t>
        </is>
      </c>
    </row>
    <row r="119">
      <c r="B119" t="n">
        <v>2026</v>
      </c>
      <c r="C119" t="inlineStr">
        <is>
          <t>Codiagro</t>
        </is>
      </c>
      <c r="D119" t="inlineStr">
        <is>
          <t>RESULTADO DEL EJERCICIO</t>
        </is>
      </c>
      <c r="E119" t="inlineStr">
        <is>
          <t>RESULTADO ANTES DE IMPUESTOS</t>
        </is>
      </c>
      <c r="F119" t="inlineStr">
        <is>
          <t>RESULTADO DE LA EXPLOTACION</t>
        </is>
      </c>
      <c r="G119" t="inlineStr">
        <is>
          <t>7.- Otros gastos de explotación</t>
        </is>
      </c>
      <c r="H119" t="inlineStr">
        <is>
          <t>(623) Servicios profesionales independientes</t>
        </is>
      </c>
      <c r="I119" t="inlineStr">
        <is>
          <t>623200010 - GASTOS MARCAS TURQUIA</t>
        </is>
      </c>
      <c r="J119" t="inlineStr">
        <is>
          <t>-</t>
        </is>
      </c>
      <c r="K119" s="1" t="n">
        <v>0</v>
      </c>
      <c r="L119" s="1" t="n">
        <v>0</v>
      </c>
      <c r="M119" s="1" t="n">
        <v>0</v>
      </c>
      <c r="N119" s="1" t="n">
        <v>-513</v>
      </c>
      <c r="O119" s="9" t="inlineStr">
        <is>
          <t xml:space="preserve">                            -  </t>
        </is>
      </c>
      <c r="P119" s="1" t="n">
        <v>-30.4</v>
      </c>
      <c r="Q119" s="1" t="inlineStr">
        <is>
          <t xml:space="preserve">                                             -  </t>
        </is>
      </c>
      <c r="R119" s="12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>
        <f>SUM(K119:V119)</f>
        <v/>
      </c>
      <c r="X119" s="8" t="inlineStr">
        <is>
          <t>Sin dotación presupuestada para el periodo sep-dic según instrucción comercial.</t>
        </is>
      </c>
    </row>
    <row r="120">
      <c r="B120" t="n">
        <v>2026</v>
      </c>
      <c r="C120" t="inlineStr">
        <is>
          <t>Codiagro</t>
        </is>
      </c>
      <c r="D120" t="inlineStr">
        <is>
          <t>RESULTADO DEL EJERCICIO</t>
        </is>
      </c>
      <c r="E120" t="inlineStr">
        <is>
          <t>RESULTADO ANTES DE IMPUESTOS</t>
        </is>
      </c>
      <c r="F120" t="inlineStr">
        <is>
          <t>RESULTADO DE LA EXPLOTACION</t>
        </is>
      </c>
      <c r="G120" t="inlineStr">
        <is>
          <t>7.- Otros gastos de explotación</t>
        </is>
      </c>
      <c r="H120" t="inlineStr">
        <is>
          <t>(623) Servicios profesionales independientes</t>
        </is>
      </c>
      <c r="I120" t="inlineStr">
        <is>
          <t>623200016 - GASTOS MARCAS ECUADOR</t>
        </is>
      </c>
      <c r="J120" t="inlineStr">
        <is>
          <t>-</t>
        </is>
      </c>
      <c r="K120" s="1" t="n">
        <v>0</v>
      </c>
      <c r="L120" s="1" t="n">
        <v>0</v>
      </c>
      <c r="M120" s="1" t="n">
        <v>0</v>
      </c>
      <c r="N120" s="1" t="n">
        <v>-1190</v>
      </c>
      <c r="O120" s="9" t="inlineStr">
        <is>
          <t xml:space="preserve">                            -  </t>
        </is>
      </c>
      <c r="P120" s="1" t="inlineStr">
        <is>
          <t xml:space="preserve">                            -  </t>
        </is>
      </c>
      <c r="Q120" s="1" t="n">
        <v>0</v>
      </c>
      <c r="R120" s="12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>
        <f>SUM(K120:V120)</f>
        <v/>
      </c>
      <c r="X120" s="8" t="inlineStr">
        <is>
          <t>Sin dotación presupuestada para el periodo sep-dic según instrucción comercial.</t>
        </is>
      </c>
    </row>
    <row r="121">
      <c r="B121" t="n">
        <v>2026</v>
      </c>
      <c r="C121" t="inlineStr">
        <is>
          <t>Codiagro</t>
        </is>
      </c>
      <c r="D121" t="inlineStr">
        <is>
          <t>RESULTADO DEL EJERCICIO</t>
        </is>
      </c>
      <c r="E121" t="inlineStr">
        <is>
          <t>RESULTADO ANTES DE IMPUESTOS</t>
        </is>
      </c>
      <c r="F121" t="inlineStr">
        <is>
          <t>RESULTADO DE LA EXPLOTACION</t>
        </is>
      </c>
      <c r="G121" t="inlineStr">
        <is>
          <t>7.- Otros gastos de explotación</t>
        </is>
      </c>
      <c r="H121" t="inlineStr">
        <is>
          <t>(623) Servicios profesionales independientes</t>
        </is>
      </c>
      <c r="I121" t="inlineStr">
        <is>
          <t>623200017 GASTOS MARCAS EL SALVADOR</t>
        </is>
      </c>
      <c r="J121" t="inlineStr">
        <is>
          <t>-</t>
        </is>
      </c>
      <c r="K121" s="1" t="n"/>
      <c r="L121" s="1" t="n"/>
      <c r="M121" s="1" t="n"/>
      <c r="N121" s="1" t="n"/>
      <c r="P121" s="1" t="n"/>
      <c r="Q121" s="1" t="n"/>
      <c r="R121" s="12" t="n">
        <v>-4869.95</v>
      </c>
      <c r="S121" s="10" t="n">
        <v>-4869.95</v>
      </c>
      <c r="T121" s="10" t="n">
        <v>-4869.95</v>
      </c>
      <c r="U121" s="10" t="n">
        <v>-4869.95</v>
      </c>
      <c r="V121" s="10" t="n">
        <v>-4869.95</v>
      </c>
      <c r="W121" s="10">
        <f>SUM(K121:V121)</f>
        <v/>
      </c>
      <c r="X121" s="8" t="inlineStr">
        <is>
          <t>Gastos de registro y mantenimiento de marca en El Salvador (única partida de marcas presupuestada en el periodo).</t>
        </is>
      </c>
    </row>
    <row r="122">
      <c r="B122" t="n">
        <v>2026</v>
      </c>
      <c r="C122" t="inlineStr">
        <is>
          <t>Codiagro</t>
        </is>
      </c>
      <c r="D122" t="inlineStr">
        <is>
          <t>RESULTADO DEL EJERCICIO</t>
        </is>
      </c>
      <c r="E122" t="inlineStr">
        <is>
          <t>RESULTADO ANTES DE IMPUESTOS</t>
        </is>
      </c>
      <c r="F122" t="inlineStr">
        <is>
          <t>RESULTADO DE LA EXPLOTACION</t>
        </is>
      </c>
      <c r="G122" t="inlineStr">
        <is>
          <t>7.- Otros gastos de explotación</t>
        </is>
      </c>
      <c r="H122" t="inlineStr">
        <is>
          <t>(623) Servicios profesionales independientes</t>
        </is>
      </c>
      <c r="I122" t="inlineStr">
        <is>
          <t>623200020 - GASTOS MARCAS TUNEZ</t>
        </is>
      </c>
      <c r="J122" t="inlineStr">
        <is>
          <t>-</t>
        </is>
      </c>
      <c r="K122" s="1" t="n">
        <v>0</v>
      </c>
      <c r="L122" s="1" t="n">
        <v>0</v>
      </c>
      <c r="M122" s="1" t="n">
        <v>0</v>
      </c>
      <c r="N122" s="1" t="n">
        <v>-513</v>
      </c>
      <c r="O122" s="9" t="inlineStr">
        <is>
          <t xml:space="preserve">                            -  </t>
        </is>
      </c>
      <c r="P122" s="1" t="n">
        <v>-30.35</v>
      </c>
      <c r="Q122" s="1" t="inlineStr">
        <is>
          <t xml:space="preserve">                                             -  </t>
        </is>
      </c>
      <c r="R122" s="12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>
        <f>SUM(K122:V122)</f>
        <v/>
      </c>
      <c r="X122" s="8" t="inlineStr">
        <is>
          <t>Sin dotación presupuestada para el periodo sep-dic según instrucción comercial.</t>
        </is>
      </c>
    </row>
    <row r="123">
      <c r="B123" t="n">
        <v>2026</v>
      </c>
      <c r="C123" t="inlineStr">
        <is>
          <t>Codiagro</t>
        </is>
      </c>
      <c r="D123" t="inlineStr">
        <is>
          <t>RESULTADO DEL EJERCICIO</t>
        </is>
      </c>
      <c r="E123" t="inlineStr">
        <is>
          <t>RESULTADO ANTES DE IMPUESTOS</t>
        </is>
      </c>
      <c r="F123" t="inlineStr">
        <is>
          <t>RESULTADO DE LA EXPLOTACION</t>
        </is>
      </c>
      <c r="G123" t="inlineStr">
        <is>
          <t>7.- Otros gastos de explotación</t>
        </is>
      </c>
      <c r="H123" t="inlineStr">
        <is>
          <t>(623) Servicios profesionales independientes</t>
        </is>
      </c>
      <c r="I123" t="inlineStr">
        <is>
          <t>623200022 - GASTOS MARCAS BOLIVIA</t>
        </is>
      </c>
      <c r="J123" t="inlineStr">
        <is>
          <t>-</t>
        </is>
      </c>
      <c r="K123" s="1" t="n">
        <v>0</v>
      </c>
      <c r="L123" s="1" t="n">
        <v>0</v>
      </c>
      <c r="M123" s="1" t="n">
        <v>0</v>
      </c>
      <c r="N123" s="1" t="n">
        <v>-513</v>
      </c>
      <c r="O123" s="9" t="inlineStr">
        <is>
          <t xml:space="preserve">                            -  </t>
        </is>
      </c>
      <c r="P123" s="1" t="inlineStr">
        <is>
          <t xml:space="preserve">                            -  </t>
        </is>
      </c>
      <c r="Q123" s="1" t="n">
        <v>0</v>
      </c>
      <c r="R123" s="12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>
        <f>SUM(K123:V123)</f>
        <v/>
      </c>
      <c r="X123" s="8" t="inlineStr">
        <is>
          <t>Sin dotación presupuestada para el periodo sep-dic según instrucción comercial.</t>
        </is>
      </c>
    </row>
    <row r="124">
      <c r="B124" t="n">
        <v>2026</v>
      </c>
      <c r="C124" t="inlineStr">
        <is>
          <t>Codiagro</t>
        </is>
      </c>
      <c r="D124" t="inlineStr">
        <is>
          <t>RESULTADO DEL EJERCICIO</t>
        </is>
      </c>
      <c r="E124" t="inlineStr">
        <is>
          <t>RESULTADO ANTES DE IMPUESTOS</t>
        </is>
      </c>
      <c r="F124" t="inlineStr">
        <is>
          <t>RESULTADO DE LA EXPLOTACION</t>
        </is>
      </c>
      <c r="G124" t="inlineStr">
        <is>
          <t>7.- Otros gastos de explotación</t>
        </is>
      </c>
      <c r="H124" t="inlineStr">
        <is>
          <t>(623) Servicios profesionales independientes</t>
        </is>
      </c>
      <c r="I124" t="inlineStr">
        <is>
          <t>623200024 - GASTOS MARCAS INTERNACIONALES</t>
        </is>
      </c>
      <c r="J124" t="inlineStr">
        <is>
          <t>-</t>
        </is>
      </c>
      <c r="K124" s="1" t="n">
        <v>0</v>
      </c>
      <c r="L124" s="1" t="n">
        <v>0</v>
      </c>
      <c r="M124" s="1" t="n">
        <v>0</v>
      </c>
      <c r="N124" s="1" t="n">
        <v>-9951.559999999999</v>
      </c>
      <c r="O124" s="9" t="inlineStr">
        <is>
          <t xml:space="preserve">                            -  </t>
        </is>
      </c>
      <c r="P124" s="1" t="inlineStr">
        <is>
          <t xml:space="preserve">                            -  </t>
        </is>
      </c>
      <c r="Q124" s="1" t="n">
        <v>0</v>
      </c>
      <c r="R124" s="12" t="n">
        <v>-212.5</v>
      </c>
      <c r="S124" s="10" t="n">
        <v>0</v>
      </c>
      <c r="T124" s="10" t="n">
        <v>0</v>
      </c>
      <c r="U124" s="10" t="n">
        <v>0</v>
      </c>
      <c r="V124" s="10" t="n">
        <v>0</v>
      </c>
      <c r="W124" s="10">
        <f>SUM(K124:V124)</f>
        <v/>
      </c>
      <c r="X124" s="8" t="inlineStr">
        <is>
          <t>Sin dotación presupuestada para el periodo sep-dic según instrucción comercial.</t>
        </is>
      </c>
    </row>
    <row r="125">
      <c r="B125" t="n">
        <v>2026</v>
      </c>
      <c r="C125" t="inlineStr">
        <is>
          <t>Codiagro</t>
        </is>
      </c>
      <c r="D125" t="inlineStr">
        <is>
          <t>RESULTADO DEL EJERCICIO</t>
        </is>
      </c>
      <c r="E125" t="inlineStr">
        <is>
          <t>RESULTADO ANTES DE IMPUESTOS</t>
        </is>
      </c>
      <c r="F125" t="inlineStr">
        <is>
          <t>RESULTADO DE LA EXPLOTACION</t>
        </is>
      </c>
      <c r="G125" t="inlineStr">
        <is>
          <t>7.- Otros gastos de explotación</t>
        </is>
      </c>
      <c r="H125" t="inlineStr">
        <is>
          <t>(623) Servicios profesionales independientes</t>
        </is>
      </c>
      <c r="I125" t="inlineStr">
        <is>
          <t>623200029 - GASTOS MARCAS GEORGIA</t>
        </is>
      </c>
      <c r="J125" t="inlineStr">
        <is>
          <t>-</t>
        </is>
      </c>
      <c r="K125" s="1" t="n">
        <v>0</v>
      </c>
      <c r="L125" s="1" t="n">
        <v>0</v>
      </c>
      <c r="M125" s="1" t="n">
        <v>0</v>
      </c>
      <c r="N125" s="1" t="n">
        <v>-513</v>
      </c>
      <c r="O125" s="9" t="inlineStr">
        <is>
          <t xml:space="preserve">                            -  </t>
        </is>
      </c>
      <c r="P125" s="1" t="inlineStr">
        <is>
          <t xml:space="preserve">                            -  </t>
        </is>
      </c>
      <c r="Q125" s="1" t="n">
        <v>0</v>
      </c>
      <c r="R125" s="12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>
        <f>SUM(K125:V125)</f>
        <v/>
      </c>
      <c r="X125" s="8" t="inlineStr">
        <is>
          <t>Sin dotación presupuestada para el periodo sep-dic según instrucción comercial.</t>
        </is>
      </c>
    </row>
    <row r="126">
      <c r="B126" t="n">
        <v>2026</v>
      </c>
      <c r="C126" t="inlineStr">
        <is>
          <t>Codiagro</t>
        </is>
      </c>
      <c r="D126" t="inlineStr">
        <is>
          <t>RESULTADO DEL EJERCICIO</t>
        </is>
      </c>
      <c r="E126" t="inlineStr">
        <is>
          <t>RESULTADO ANTES DE IMPUESTOS</t>
        </is>
      </c>
      <c r="F126" t="inlineStr">
        <is>
          <t>RESULTADO DE LA EXPLOTACION</t>
        </is>
      </c>
      <c r="G126" t="inlineStr">
        <is>
          <t>7.- Otros gastos de explotación</t>
        </is>
      </c>
      <c r="H126" t="inlineStr">
        <is>
          <t>(623) Servicios profesionales independientes</t>
        </is>
      </c>
      <c r="I126" t="inlineStr">
        <is>
          <t>623200030 - GASTOS MARCAS AZERBAIYAN</t>
        </is>
      </c>
      <c r="J126" t="inlineStr">
        <is>
          <t>-</t>
        </is>
      </c>
      <c r="K126" s="1" t="n">
        <v>0</v>
      </c>
      <c r="L126" s="1" t="n">
        <v>0</v>
      </c>
      <c r="M126" s="1" t="n">
        <v>0</v>
      </c>
      <c r="N126" s="1" t="n">
        <v>-513</v>
      </c>
      <c r="O126" s="9" t="n">
        <v>-53.12</v>
      </c>
      <c r="P126" s="1" t="n">
        <v>-30.35</v>
      </c>
      <c r="Q126" s="1" t="inlineStr">
        <is>
          <t xml:space="preserve">                                             -  </t>
        </is>
      </c>
      <c r="R126" s="12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>
        <f>SUM(K126:V126)</f>
        <v/>
      </c>
      <c r="X126" s="8" t="inlineStr">
        <is>
          <t>Sin dotación presupuestada para el periodo sep-dic según instrucción comercial.</t>
        </is>
      </c>
    </row>
    <row r="127">
      <c r="B127" t="n">
        <v>2026</v>
      </c>
      <c r="C127" t="inlineStr">
        <is>
          <t>Codiagro</t>
        </is>
      </c>
      <c r="D127" t="inlineStr">
        <is>
          <t>RESULTADO DEL EJERCICIO</t>
        </is>
      </c>
      <c r="E127" t="inlineStr">
        <is>
          <t>RESULTADO ANTES DE IMPUESTOS</t>
        </is>
      </c>
      <c r="F127" t="inlineStr">
        <is>
          <t>RESULTADO DE LA EXPLOTACION</t>
        </is>
      </c>
      <c r="G127" t="inlineStr">
        <is>
          <t>7.- Otros gastos de explotación</t>
        </is>
      </c>
      <c r="H127" t="inlineStr">
        <is>
          <t>(623) Servicios profesionales independientes</t>
        </is>
      </c>
      <c r="I127" t="inlineStr">
        <is>
          <t>623200037 - GASTOS MARCAS ESTADOS UNIDOS</t>
        </is>
      </c>
      <c r="J127" t="inlineStr">
        <is>
          <t>-</t>
        </is>
      </c>
      <c r="K127" s="1" t="n">
        <v>0</v>
      </c>
      <c r="L127" s="1" t="n">
        <v>0</v>
      </c>
      <c r="M127" s="1" t="n">
        <v>0</v>
      </c>
      <c r="N127" s="1" t="n">
        <v>0</v>
      </c>
      <c r="O127" s="9" t="n">
        <v>0</v>
      </c>
      <c r="P127" s="1" t="inlineStr">
        <is>
          <t xml:space="preserve">                            -  </t>
        </is>
      </c>
      <c r="Q127" s="1" t="n">
        <v>0</v>
      </c>
      <c r="R127" s="12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>
        <f>SUM(K127:V127)</f>
        <v/>
      </c>
      <c r="X127" s="8" t="inlineStr">
        <is>
          <t>Sin dotación presupuestada para el periodo sep-dic según instrucción comercial.</t>
        </is>
      </c>
    </row>
    <row r="128">
      <c r="B128" t="n">
        <v>2026</v>
      </c>
      <c r="C128" t="inlineStr">
        <is>
          <t>Codiagro</t>
        </is>
      </c>
      <c r="D128" t="inlineStr">
        <is>
          <t>RESULTADO DEL EJERCICIO</t>
        </is>
      </c>
      <c r="E128" t="inlineStr">
        <is>
          <t>RESULTADO ANTES DE IMPUESTOS</t>
        </is>
      </c>
      <c r="F128" t="inlineStr">
        <is>
          <t>RESULTADO DE LA EXPLOTACION</t>
        </is>
      </c>
      <c r="G128" t="inlineStr">
        <is>
          <t>7.- Otros gastos de explotación</t>
        </is>
      </c>
      <c r="H128" t="inlineStr">
        <is>
          <t>(624) Transportes ventas</t>
        </is>
      </c>
      <c r="I128" t="inlineStr">
        <is>
          <t>624000001 - TRANSPORTES NACIONAL</t>
        </is>
      </c>
      <c r="J128" t="inlineStr">
        <is>
          <t>-</t>
        </is>
      </c>
      <c r="K128" s="1" t="n">
        <v>-6935.76</v>
      </c>
      <c r="L128" s="1" t="n">
        <v>-9119.969999999999</v>
      </c>
      <c r="M128" s="1" t="n">
        <v>-14742.05</v>
      </c>
      <c r="N128" s="1" t="n">
        <v>-19866.74</v>
      </c>
      <c r="O128" s="9" t="n">
        <v>-17966.84</v>
      </c>
      <c r="P128" s="1" t="n">
        <v>-14634.83</v>
      </c>
      <c r="Q128" s="1" t="n">
        <v>-11227.02</v>
      </c>
      <c r="R128" s="12" t="n">
        <v>-7363.19</v>
      </c>
      <c r="S128" s="10" t="n">
        <v>-8433.5</v>
      </c>
      <c r="T128" s="10" t="n">
        <v>-13890.5</v>
      </c>
      <c r="U128" s="10" t="n">
        <v>-17363.13</v>
      </c>
      <c r="V128" s="10" t="n">
        <v>-18355.17</v>
      </c>
      <c r="W128" s="10">
        <f>SUM(K128:V128)</f>
        <v/>
      </c>
      <c r="X128" s="8" t="inlineStr">
        <is>
          <t>Coste variable de transporte nacional: mantenida temporalmente la previsión según volumen de expediciones presupuestadas; pendiente de recibir excel con previsiones logísticas.</t>
        </is>
      </c>
    </row>
    <row r="129">
      <c r="B129" t="n">
        <v>2026</v>
      </c>
      <c r="C129" t="inlineStr">
        <is>
          <t>Codiagro</t>
        </is>
      </c>
      <c r="D129" t="inlineStr">
        <is>
          <t>RESULTADO DEL EJERCICIO</t>
        </is>
      </c>
      <c r="E129" t="inlineStr">
        <is>
          <t>RESULTADO ANTES DE IMPUESTOS</t>
        </is>
      </c>
      <c r="F129" t="inlineStr">
        <is>
          <t>RESULTADO DE LA EXPLOTACION</t>
        </is>
      </c>
      <c r="G129" t="inlineStr">
        <is>
          <t>7.- Otros gastos de explotación</t>
        </is>
      </c>
      <c r="H129" t="inlineStr">
        <is>
          <t>(624) Transportes ventas</t>
        </is>
      </c>
      <c r="I129" t="inlineStr">
        <is>
          <t>624000002 - TRANSPORTE INTERNACIONAL</t>
        </is>
      </c>
      <c r="J129" t="inlineStr">
        <is>
          <t>-</t>
        </is>
      </c>
      <c r="K129" s="1" t="n">
        <v>-2898.1</v>
      </c>
      <c r="L129" s="1" t="n">
        <v>-864.3200000000001</v>
      </c>
      <c r="M129" s="1" t="n">
        <v>-4611.77</v>
      </c>
      <c r="N129" s="1" t="n">
        <v>-1313.78</v>
      </c>
      <c r="O129" s="9" t="n">
        <v>-951.38</v>
      </c>
      <c r="P129" s="1" t="n">
        <v>-23539.9</v>
      </c>
      <c r="Q129" s="1" t="n">
        <v>-30143.15</v>
      </c>
      <c r="R129" s="12" t="n">
        <v>-8087.44</v>
      </c>
      <c r="S129" s="12" t="n">
        <v>-5953.06</v>
      </c>
      <c r="T129" s="12" t="n">
        <v>-9425.68</v>
      </c>
      <c r="U129" s="12" t="n">
        <v>-12898.31</v>
      </c>
      <c r="V129" s="12" t="n">
        <v>-13890.5</v>
      </c>
      <c r="W129" s="12">
        <f>SUM(K129:V129)</f>
        <v/>
      </c>
      <c r="X129" s="8" t="inlineStr">
        <is>
          <t>Coste variable: transporte marítimo y terrestre de exportación según volumen internacional presupuestado + fletes internacionales.</t>
        </is>
      </c>
    </row>
    <row r="130">
      <c r="B130" t="n">
        <v>2026</v>
      </c>
      <c r="C130" t="inlineStr">
        <is>
          <t>Codiagro</t>
        </is>
      </c>
      <c r="D130" t="inlineStr">
        <is>
          <t>RESULTADO DEL EJERCICIO</t>
        </is>
      </c>
      <c r="E130" t="inlineStr">
        <is>
          <t>RESULTADO ANTES DE IMPUESTOS</t>
        </is>
      </c>
      <c r="F130" t="inlineStr">
        <is>
          <t>RESULTADO DE LA EXPLOTACION</t>
        </is>
      </c>
      <c r="G130" t="inlineStr">
        <is>
          <t>7.- Otros gastos de explotación</t>
        </is>
      </c>
      <c r="H130" t="inlineStr">
        <is>
          <t>(624) Transportes ventas</t>
        </is>
      </c>
      <c r="I130" t="inlineStr">
        <is>
          <t>624000003 - TRANSPORTES CANARIAS</t>
        </is>
      </c>
      <c r="J130" t="inlineStr">
        <is>
          <t>-</t>
        </is>
      </c>
      <c r="K130" s="1" t="n">
        <v>-5283.6</v>
      </c>
      <c r="L130" s="1" t="n">
        <v>-4717.34</v>
      </c>
      <c r="M130" s="1" t="n">
        <v>-6216.75</v>
      </c>
      <c r="N130" s="1" t="n">
        <v>-3107.88</v>
      </c>
      <c r="O130" s="9" t="n">
        <v>-6790.44</v>
      </c>
      <c r="P130" s="1" t="n">
        <v>-6162.89</v>
      </c>
      <c r="Q130" s="1" t="n">
        <v>-1597.42</v>
      </c>
      <c r="R130" s="12" t="n">
        <v>-11901.38</v>
      </c>
      <c r="S130" s="12" t="n">
        <v>-3472.62</v>
      </c>
      <c r="T130" s="12" t="n">
        <v>-5456.98</v>
      </c>
      <c r="U130" s="12" t="n">
        <v>-6945.24</v>
      </c>
      <c r="V130" s="12" t="n">
        <v>-7441.34</v>
      </c>
      <c r="W130" s="12">
        <f>SUM(K130:V130)</f>
        <v/>
      </c>
      <c r="X130" s="8" t="inlineStr">
        <is>
          <t>Coste variable: logística insular según previsión de ventas en Canarias.</t>
        </is>
      </c>
    </row>
    <row r="131">
      <c r="B131" t="n">
        <v>2026</v>
      </c>
      <c r="C131" t="inlineStr">
        <is>
          <t>Codiagro</t>
        </is>
      </c>
      <c r="D131" t="inlineStr">
        <is>
          <t>RESULTADO DEL EJERCICIO</t>
        </is>
      </c>
      <c r="E131" t="inlineStr">
        <is>
          <t>RESULTADO ANTES DE IMPUESTOS</t>
        </is>
      </c>
      <c r="F131" t="inlineStr">
        <is>
          <t>RESULTADO DE LA EXPLOTACION</t>
        </is>
      </c>
      <c r="G131" t="inlineStr">
        <is>
          <t>7.- Otros gastos de explotación</t>
        </is>
      </c>
      <c r="H131" t="inlineStr">
        <is>
          <t>(624) Transportes ventas</t>
        </is>
      </c>
      <c r="I131" t="inlineStr">
        <is>
          <t>624000004 - GTOS. FLETE REP. AL CLIENTE</t>
        </is>
      </c>
      <c r="J131" t="inlineStr">
        <is>
          <t>-</t>
        </is>
      </c>
      <c r="K131" s="1" t="n">
        <v>-18803.73</v>
      </c>
      <c r="L131" s="1" t="n">
        <v>-3406.44</v>
      </c>
      <c r="M131" s="1" t="n">
        <v>-15879.46</v>
      </c>
      <c r="N131" s="1" t="n">
        <v>0</v>
      </c>
      <c r="O131" s="9" t="inlineStr">
        <is>
          <t xml:space="preserve">                            -  </t>
        </is>
      </c>
      <c r="P131" s="1" t="inlineStr">
        <is>
          <t xml:space="preserve">                            -  </t>
        </is>
      </c>
      <c r="Q131" s="1" t="n">
        <v>0</v>
      </c>
      <c r="R131" s="12" t="n">
        <v>0</v>
      </c>
      <c r="S131" s="12" t="n">
        <v>-2976.53</v>
      </c>
      <c r="T131" s="12" t="n">
        <v>-4960.89</v>
      </c>
      <c r="U131" s="12" t="n">
        <v>-6449.16</v>
      </c>
      <c r="V131" s="12" t="n">
        <v>-6945.24</v>
      </c>
      <c r="W131" s="12">
        <f>SUM(K131:V131)</f>
        <v/>
      </c>
      <c r="X131" s="8" t="inlineStr">
        <is>
          <t>Coste variable de fletes con repercusión comercial al cliente final (correlativo con ingreso 700001624).</t>
        </is>
      </c>
    </row>
    <row r="132">
      <c r="B132" t="n">
        <v>2026</v>
      </c>
      <c r="C132" t="inlineStr">
        <is>
          <t>Codiagro</t>
        </is>
      </c>
      <c r="D132" t="inlineStr">
        <is>
          <t>RESULTADO DEL EJERCICIO</t>
        </is>
      </c>
      <c r="E132" t="inlineStr">
        <is>
          <t>RESULTADO ANTES DE IMPUESTOS</t>
        </is>
      </c>
      <c r="F132" t="inlineStr">
        <is>
          <t>RESULTADO DE LA EXPLOTACION</t>
        </is>
      </c>
      <c r="G132" t="inlineStr">
        <is>
          <t>7.- Otros gastos de explotación</t>
        </is>
      </c>
      <c r="H132" t="inlineStr">
        <is>
          <t>(624) Transportes ventas</t>
        </is>
      </c>
      <c r="I132" t="inlineStr">
        <is>
          <t xml:space="preserve">624000005 - TTE. PAQUETERIA </t>
        </is>
      </c>
      <c r="J132" t="inlineStr">
        <is>
          <t>-</t>
        </is>
      </c>
      <c r="K132" s="1" t="n">
        <v>-202.03</v>
      </c>
      <c r="L132" s="1" t="n">
        <v>-389.24</v>
      </c>
      <c r="M132" s="1" t="n">
        <v>-280.8</v>
      </c>
      <c r="N132" s="1" t="n">
        <v>0</v>
      </c>
      <c r="O132" s="9" t="inlineStr">
        <is>
          <t xml:space="preserve">                            -  </t>
        </is>
      </c>
      <c r="P132" s="1" t="n">
        <v>-1935.01</v>
      </c>
      <c r="Q132" s="1" t="n">
        <v>-592.1</v>
      </c>
      <c r="R132" s="12" t="n">
        <v>-149.55</v>
      </c>
      <c r="S132" s="12" t="n">
        <v>-591.46</v>
      </c>
      <c r="T132" s="12" t="n">
        <v>-591.46</v>
      </c>
      <c r="U132" s="12" t="n">
        <v>-591.46</v>
      </c>
      <c r="V132" s="12" t="n">
        <v>-591.46</v>
      </c>
      <c r="W132" s="12">
        <f>SUM(K132:V132)</f>
        <v/>
      </c>
      <c r="X132" s="8" t="inlineStr">
        <is>
          <t>Proyección basada en el promedio mensual histórico de actividad.</t>
        </is>
      </c>
    </row>
    <row r="133">
      <c r="B133" t="n">
        <v>2026</v>
      </c>
      <c r="C133" t="inlineStr">
        <is>
          <t>Codiagro</t>
        </is>
      </c>
      <c r="D133" t="inlineStr">
        <is>
          <t>RESULTADO DEL EJERCICIO</t>
        </is>
      </c>
      <c r="E133" t="inlineStr">
        <is>
          <t>RESULTADO ANTES DE IMPUESTOS</t>
        </is>
      </c>
      <c r="F133" t="inlineStr">
        <is>
          <t>RESULTADO DE LA EXPLOTACION</t>
        </is>
      </c>
      <c r="G133" t="inlineStr">
        <is>
          <t>7.- Otros gastos de explotación</t>
        </is>
      </c>
      <c r="H133" t="inlineStr">
        <is>
          <t>(624) Transportes ventas</t>
        </is>
      </c>
      <c r="I133" t="inlineStr">
        <is>
          <t>624000006 - TRANSPORTES IMPORTACIÓN</t>
        </is>
      </c>
      <c r="J133" t="inlineStr">
        <is>
          <t>-</t>
        </is>
      </c>
      <c r="K133" s="1" t="n">
        <v>0</v>
      </c>
      <c r="L133" s="1" t="n">
        <v>-1750</v>
      </c>
      <c r="M133" s="1" t="n">
        <v>-487.13</v>
      </c>
      <c r="N133" s="1" t="n">
        <v>-1930</v>
      </c>
      <c r="O133" s="9" t="inlineStr">
        <is>
          <t xml:space="preserve">                            -  </t>
        </is>
      </c>
      <c r="P133" s="1" t="inlineStr">
        <is>
          <t xml:space="preserve">                            -  </t>
        </is>
      </c>
      <c r="Q133" s="1" t="n">
        <v>0</v>
      </c>
      <c r="R133" s="12" t="n">
        <v>0</v>
      </c>
      <c r="S133" s="12" t="n">
        <v>-1389.04</v>
      </c>
      <c r="T133" s="12" t="n">
        <v>-1389.04</v>
      </c>
      <c r="U133" s="12" t="n">
        <v>-1389.04</v>
      </c>
      <c r="V133" s="12" t="n">
        <v>-1389.04</v>
      </c>
      <c r="W133" s="12">
        <f>SUM(K133:V133)</f>
        <v/>
      </c>
      <c r="X133" s="8" t="inlineStr">
        <is>
          <t>Proyección basada en el promedio mensual histórico de actividad.</t>
        </is>
      </c>
    </row>
    <row r="134">
      <c r="B134" t="n">
        <v>2026</v>
      </c>
      <c r="C134" t="inlineStr">
        <is>
          <t>Codiagro</t>
        </is>
      </c>
      <c r="D134" t="inlineStr">
        <is>
          <t>RESULTADO DEL EJERCICIO</t>
        </is>
      </c>
      <c r="E134" t="inlineStr">
        <is>
          <t>RESULTADO ANTES DE IMPUESTOS</t>
        </is>
      </c>
      <c r="F134" t="inlineStr">
        <is>
          <t>RESULTADO DE LA EXPLOTACION</t>
        </is>
      </c>
      <c r="G134" t="inlineStr">
        <is>
          <t>7.- Otros gastos de explotación</t>
        </is>
      </c>
      <c r="H134" t="inlineStr">
        <is>
          <t>(624) Transportes ventas</t>
        </is>
      </c>
      <c r="I134" t="inlineStr">
        <is>
          <t>624000007 - ENVIO MUESTRAS</t>
        </is>
      </c>
      <c r="J134" t="inlineStr">
        <is>
          <t>-</t>
        </is>
      </c>
      <c r="K134" s="1" t="n">
        <v>0</v>
      </c>
      <c r="L134" s="1" t="n">
        <v>0</v>
      </c>
      <c r="M134" s="1" t="n">
        <v>0</v>
      </c>
      <c r="N134" s="1" t="n">
        <v>0</v>
      </c>
      <c r="O134" s="9" t="n">
        <v>0</v>
      </c>
      <c r="P134" s="1" t="inlineStr">
        <is>
          <t xml:space="preserve">                            -  </t>
        </is>
      </c>
      <c r="Q134" s="1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>
        <f>SUM(K134:V134)</f>
        <v/>
      </c>
      <c r="X134" s="8" t="inlineStr">
        <is>
          <t>Cuenta sin saldo en el ejercicio. Sin previsión de movimientos.</t>
        </is>
      </c>
    </row>
    <row r="135">
      <c r="B135" t="n">
        <v>2026</v>
      </c>
      <c r="C135" t="inlineStr">
        <is>
          <t>Codiagro</t>
        </is>
      </c>
      <c r="D135" t="inlineStr">
        <is>
          <t>RESULTADO DEL EJERCICIO</t>
        </is>
      </c>
      <c r="E135" t="inlineStr">
        <is>
          <t>RESULTADO ANTES DE IMPUESTOS</t>
        </is>
      </c>
      <c r="F135" t="inlineStr">
        <is>
          <t>RESULTADO DE LA EXPLOTACION</t>
        </is>
      </c>
      <c r="G135" t="inlineStr">
        <is>
          <t>7.- Otros gastos de explotación</t>
        </is>
      </c>
      <c r="H135" t="inlineStr">
        <is>
          <t>(625) Primas de seguros</t>
        </is>
      </c>
      <c r="I135" t="inlineStr">
        <is>
          <t>625000001 - SEGUROS VEHÍCULOS</t>
        </is>
      </c>
      <c r="J135" t="inlineStr">
        <is>
          <t>-</t>
        </is>
      </c>
      <c r="K135" s="1" t="n">
        <v>0</v>
      </c>
      <c r="L135" s="1" t="n">
        <v>0</v>
      </c>
      <c r="M135" s="1" t="n">
        <v>-188.17</v>
      </c>
      <c r="N135" s="1" t="n">
        <v>0</v>
      </c>
      <c r="O135" s="9" t="inlineStr">
        <is>
          <t xml:space="preserve">                            -  </t>
        </is>
      </c>
      <c r="P135" s="1" t="inlineStr">
        <is>
          <t xml:space="preserve">                            -  </t>
        </is>
      </c>
      <c r="Q135" s="1" t="n">
        <v>0</v>
      </c>
      <c r="R135" s="12" t="n">
        <v>0</v>
      </c>
      <c r="S135" s="12" t="n">
        <v>-188.17</v>
      </c>
      <c r="T135" s="12" t="n">
        <v>-188.17</v>
      </c>
      <c r="U135" s="12" t="n">
        <v>-188.17</v>
      </c>
      <c r="V135" s="12" t="n">
        <v>-188.17</v>
      </c>
      <c r="W135" s="12">
        <f>SUM(K135:V135)</f>
        <v/>
      </c>
      <c r="X135" s="8" t="inlineStr">
        <is>
          <t>Coste fijo: prima mensualizada de pólizas de seguro industrial y responsabilidad civil.</t>
        </is>
      </c>
    </row>
    <row r="136">
      <c r="B136" t="n">
        <v>2026</v>
      </c>
      <c r="C136" t="inlineStr">
        <is>
          <t>Codiagro</t>
        </is>
      </c>
      <c r="D136" t="inlineStr">
        <is>
          <t>RESULTADO DEL EJERCICIO</t>
        </is>
      </c>
      <c r="E136" t="inlineStr">
        <is>
          <t>RESULTADO ANTES DE IMPUESTOS</t>
        </is>
      </c>
      <c r="F136" t="inlineStr">
        <is>
          <t>RESULTADO DE LA EXPLOTACION</t>
        </is>
      </c>
      <c r="G136" t="inlineStr">
        <is>
          <t>7.- Otros gastos de explotación</t>
        </is>
      </c>
      <c r="H136" t="inlineStr">
        <is>
          <t>(625) Primas de seguros</t>
        </is>
      </c>
      <c r="I136" t="inlineStr">
        <is>
          <t>625000003 SEGURO ACCIDENTES TRABAJADORES</t>
        </is>
      </c>
      <c r="J136" t="inlineStr">
        <is>
          <t>-</t>
        </is>
      </c>
      <c r="K136" s="1" t="n">
        <v>0</v>
      </c>
      <c r="L136" s="1" t="n">
        <v>0</v>
      </c>
      <c r="M136" s="1" t="n">
        <v>0</v>
      </c>
      <c r="N136" s="1" t="n">
        <v>0</v>
      </c>
      <c r="O136" s="9" t="n">
        <v>0</v>
      </c>
      <c r="P136" s="1" t="n">
        <v>0</v>
      </c>
      <c r="Q136" s="1" t="n">
        <v>-194.64</v>
      </c>
      <c r="R136" s="12" t="n">
        <v>0</v>
      </c>
      <c r="S136" s="12" t="n">
        <v>-194.64</v>
      </c>
      <c r="T136" s="12" t="n">
        <v>-194.64</v>
      </c>
      <c r="U136" s="12" t="n">
        <v>-194.64</v>
      </c>
      <c r="V136" s="12" t="n">
        <v>-194.64</v>
      </c>
      <c r="W136" s="12">
        <f>SUM(K136:V136)</f>
        <v/>
      </c>
      <c r="X136" s="8" t="inlineStr">
        <is>
          <t>Coste fijo: prima mensualizada de pólizas de seguro industrial y responsabilidad civil.</t>
        </is>
      </c>
    </row>
    <row r="137">
      <c r="B137" t="n">
        <v>2026</v>
      </c>
      <c r="C137" t="inlineStr">
        <is>
          <t>Codiagro</t>
        </is>
      </c>
      <c r="D137" t="inlineStr">
        <is>
          <t>RESULTADO DEL EJERCICIO</t>
        </is>
      </c>
      <c r="E137" t="inlineStr">
        <is>
          <t>RESULTADO ANTES DE IMPUESTOS</t>
        </is>
      </c>
      <c r="F137" t="inlineStr">
        <is>
          <t>RESULTADO DE LA EXPLOTACION</t>
        </is>
      </c>
      <c r="G137" t="inlineStr">
        <is>
          <t>7.- Otros gastos de explotación</t>
        </is>
      </c>
      <c r="H137" t="inlineStr">
        <is>
          <t>(625) Primas de seguros</t>
        </is>
      </c>
      <c r="I137" t="inlineStr">
        <is>
          <t>625000004 - SEGURO RESP. CIVIL</t>
        </is>
      </c>
      <c r="J137" t="inlineStr">
        <is>
          <t>-</t>
        </is>
      </c>
      <c r="K137" s="1" t="n">
        <v>0</v>
      </c>
      <c r="L137" s="1" t="n">
        <v>0</v>
      </c>
      <c r="M137" s="1" t="n">
        <v>0</v>
      </c>
      <c r="N137" s="1" t="n">
        <v>0</v>
      </c>
      <c r="O137" s="9" t="n">
        <v>-5788.51</v>
      </c>
      <c r="P137" s="1" t="n">
        <v>-774.67</v>
      </c>
      <c r="Q137" s="1" t="inlineStr">
        <is>
          <t xml:space="preserve">                                             -  </t>
        </is>
      </c>
      <c r="R137" s="12" t="n">
        <v>0</v>
      </c>
      <c r="S137" s="12" t="n">
        <v>-3281.59</v>
      </c>
      <c r="T137" s="12" t="n">
        <v>-3281.59</v>
      </c>
      <c r="U137" s="12" t="n">
        <v>-3281.59</v>
      </c>
      <c r="V137" s="12" t="n">
        <v>-3281.59</v>
      </c>
      <c r="W137" s="12">
        <f>SUM(K137:V137)</f>
        <v/>
      </c>
      <c r="X137" s="8" t="inlineStr">
        <is>
          <t>Coste fijo: prima mensualizada de pólizas de seguro industrial y responsabilidad civil.</t>
        </is>
      </c>
    </row>
    <row r="138">
      <c r="B138" t="n">
        <v>2026</v>
      </c>
      <c r="C138" t="inlineStr">
        <is>
          <t>Codiagro</t>
        </is>
      </c>
      <c r="D138" t="inlineStr">
        <is>
          <t>RESULTADO DEL EJERCICIO</t>
        </is>
      </c>
      <c r="E138" t="inlineStr">
        <is>
          <t>RESULTADO ANTES DE IMPUESTOS</t>
        </is>
      </c>
      <c r="F138" t="inlineStr">
        <is>
          <t>RESULTADO DE LA EXPLOTACION</t>
        </is>
      </c>
      <c r="G138" t="inlineStr">
        <is>
          <t>7.- Otros gastos de explotación</t>
        </is>
      </c>
      <c r="H138" t="inlineStr">
        <is>
          <t>(625) Primas de seguros</t>
        </is>
      </c>
      <c r="I138" t="inlineStr">
        <is>
          <t>625000005 - SEGUROS ACTIVIDAD</t>
        </is>
      </c>
      <c r="J138" t="inlineStr">
        <is>
          <t>-</t>
        </is>
      </c>
      <c r="K138" s="1" t="n">
        <v>-8631.83</v>
      </c>
      <c r="L138" s="1" t="n">
        <v>0</v>
      </c>
      <c r="M138" s="1" t="n">
        <v>-2798.15</v>
      </c>
      <c r="N138" s="1" t="n">
        <v>-608.9</v>
      </c>
      <c r="O138" s="9" t="inlineStr">
        <is>
          <t xml:space="preserve">                            -  </t>
        </is>
      </c>
      <c r="P138" s="1" t="n">
        <v>-2798.15</v>
      </c>
      <c r="Q138" s="1" t="n">
        <v>-41.37</v>
      </c>
      <c r="R138" s="12" t="n">
        <v>0</v>
      </c>
      <c r="S138" s="12" t="n">
        <v>-2975.68</v>
      </c>
      <c r="T138" s="12" t="n">
        <v>-2975.68</v>
      </c>
      <c r="U138" s="12" t="n">
        <v>-2975.68</v>
      </c>
      <c r="V138" s="12" t="n">
        <v>-2975.68</v>
      </c>
      <c r="W138" s="12">
        <f>SUM(K138:V138)</f>
        <v/>
      </c>
      <c r="X138" s="8" t="inlineStr">
        <is>
          <t>Coste fijo: prima mensualizada de pólizas de seguro industrial y responsabilidad civil.</t>
        </is>
      </c>
    </row>
    <row r="139">
      <c r="B139" t="n">
        <v>2026</v>
      </c>
      <c r="C139" t="inlineStr">
        <is>
          <t>Codiagro</t>
        </is>
      </c>
      <c r="D139" t="inlineStr">
        <is>
          <t>RESULTADO DEL EJERCICIO</t>
        </is>
      </c>
      <c r="E139" t="inlineStr">
        <is>
          <t>RESULTADO ANTES DE IMPUESTOS</t>
        </is>
      </c>
      <c r="F139" t="inlineStr">
        <is>
          <t>RESULTADO DE LA EXPLOTACION</t>
        </is>
      </c>
      <c r="G139" t="inlineStr">
        <is>
          <t>7.- Otros gastos de explotación</t>
        </is>
      </c>
      <c r="H139" t="inlineStr">
        <is>
          <t>(626) Servicios bancarios</t>
        </is>
      </c>
      <c r="I139" t="inlineStr">
        <is>
          <t>626000000 - Servicios bancarios y similares</t>
        </is>
      </c>
      <c r="J139" t="inlineStr">
        <is>
          <t>-</t>
        </is>
      </c>
      <c r="K139" s="1" t="n">
        <v>0</v>
      </c>
      <c r="L139" s="1" t="n">
        <v>0</v>
      </c>
      <c r="M139" s="1" t="n">
        <v>0</v>
      </c>
      <c r="N139" s="1" t="n">
        <v>0</v>
      </c>
      <c r="O139" s="9" t="n">
        <v>0</v>
      </c>
      <c r="P139" s="1" t="inlineStr">
        <is>
          <t xml:space="preserve">                            -  </t>
        </is>
      </c>
      <c r="Q139" s="1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>
        <f>SUM(K139:V139)</f>
        <v/>
      </c>
      <c r="X139" s="8" t="inlineStr">
        <is>
          <t>Cuenta sin saldo en el ejercicio. Sin previsión de movimientos.</t>
        </is>
      </c>
    </row>
    <row r="140">
      <c r="B140" t="n">
        <v>2026</v>
      </c>
      <c r="C140" t="inlineStr">
        <is>
          <t>Codiagro</t>
        </is>
      </c>
      <c r="D140" t="inlineStr">
        <is>
          <t>RESULTADO DEL EJERCICIO</t>
        </is>
      </c>
      <c r="E140" t="inlineStr">
        <is>
          <t>RESULTADO ANTES DE IMPUESTOS</t>
        </is>
      </c>
      <c r="F140" t="inlineStr">
        <is>
          <t>RESULTADO DE LA EXPLOTACION</t>
        </is>
      </c>
      <c r="G140" t="inlineStr">
        <is>
          <t>7.- Otros gastos de explotación</t>
        </is>
      </c>
      <c r="H140" t="inlineStr">
        <is>
          <t>(626) Servicios bancarios</t>
        </is>
      </c>
      <c r="I140" t="inlineStr">
        <is>
          <t>626000002 - GASTOS Y COMISIONES BANCO SABADELL</t>
        </is>
      </c>
      <c r="J140" t="inlineStr">
        <is>
          <t>-</t>
        </is>
      </c>
      <c r="K140" s="1" t="n">
        <v>-111.93</v>
      </c>
      <c r="L140" s="1" t="n">
        <v>-38.96</v>
      </c>
      <c r="M140" s="1" t="n">
        <v>-1.21</v>
      </c>
      <c r="N140" s="1" t="n">
        <v>-1.21</v>
      </c>
      <c r="O140" s="9" t="n">
        <v>-8.470000000000001</v>
      </c>
      <c r="P140" s="1" t="n">
        <v>-102.05</v>
      </c>
      <c r="Q140" s="1" t="n">
        <v>-121.06</v>
      </c>
      <c r="R140" s="12" t="n">
        <v>-7.26</v>
      </c>
      <c r="S140" s="12" t="n">
        <v>-49.02</v>
      </c>
      <c r="T140" s="12" t="n">
        <v>-49.02</v>
      </c>
      <c r="U140" s="12" t="n">
        <v>-49.02</v>
      </c>
      <c r="V140" s="12" t="n">
        <v>-49.02</v>
      </c>
      <c r="W140" s="12">
        <f>SUM(K140:V140)</f>
        <v/>
      </c>
      <c r="X140" s="8" t="inlineStr">
        <is>
          <t>Coste operativo recurrente por transaccionalidad bancaria y comisiones de gestión.</t>
        </is>
      </c>
    </row>
    <row r="141">
      <c r="B141" t="n">
        <v>2026</v>
      </c>
      <c r="C141" t="inlineStr">
        <is>
          <t>Codiagro</t>
        </is>
      </c>
      <c r="D141" t="inlineStr">
        <is>
          <t>RESULTADO DEL EJERCICIO</t>
        </is>
      </c>
      <c r="E141" t="inlineStr">
        <is>
          <t>RESULTADO ANTES DE IMPUESTOS</t>
        </is>
      </c>
      <c r="F141" t="inlineStr">
        <is>
          <t>RESULTADO DE LA EXPLOTACION</t>
        </is>
      </c>
      <c r="G141" t="inlineStr">
        <is>
          <t>7.- Otros gastos de explotación</t>
        </is>
      </c>
      <c r="H141" t="inlineStr">
        <is>
          <t>(626) Servicios bancarios</t>
        </is>
      </c>
      <c r="I141" t="inlineStr">
        <is>
          <t>626000005 - GASTOS Y COMISIONES CAIXALMASSORA</t>
        </is>
      </c>
      <c r="J141" t="inlineStr">
        <is>
          <t>-</t>
        </is>
      </c>
      <c r="K141" s="1" t="n">
        <v>-138.5</v>
      </c>
      <c r="L141" s="1" t="n">
        <v>-149.62</v>
      </c>
      <c r="M141" s="1" t="n">
        <v>-353.89</v>
      </c>
      <c r="N141" s="1" t="n">
        <v>-230.86</v>
      </c>
      <c r="O141" s="9" t="n">
        <v>-43.09</v>
      </c>
      <c r="P141" s="1" t="n">
        <v>-200.29</v>
      </c>
      <c r="Q141" s="1" t="n">
        <v>-109.75</v>
      </c>
      <c r="R141" s="12" t="n">
        <v>-143.33</v>
      </c>
      <c r="S141" s="12" t="n">
        <v>-171.17</v>
      </c>
      <c r="T141" s="12" t="n">
        <v>-171.17</v>
      </c>
      <c r="U141" s="12" t="n">
        <v>-171.17</v>
      </c>
      <c r="V141" s="12" t="n">
        <v>-171.17</v>
      </c>
      <c r="W141" s="12">
        <f>SUM(K141:V141)</f>
        <v/>
      </c>
      <c r="X141" s="8" t="inlineStr">
        <is>
          <t>Coste operativo recurrente por transaccionalidad bancaria y comisiones de gestión.</t>
        </is>
      </c>
    </row>
    <row r="142">
      <c r="B142" t="n">
        <v>2026</v>
      </c>
      <c r="C142" t="inlineStr">
        <is>
          <t>Codiagro</t>
        </is>
      </c>
      <c r="D142" t="inlineStr">
        <is>
          <t>RESULTADO DEL EJERCICIO</t>
        </is>
      </c>
      <c r="E142" t="inlineStr">
        <is>
          <t>RESULTADO ANTES DE IMPUESTOS</t>
        </is>
      </c>
      <c r="F142" t="inlineStr">
        <is>
          <t>RESULTADO DE LA EXPLOTACION</t>
        </is>
      </c>
      <c r="G142" t="inlineStr">
        <is>
          <t>7.- Otros gastos de explotación</t>
        </is>
      </c>
      <c r="H142" t="inlineStr">
        <is>
          <t>(626) Servicios bancarios</t>
        </is>
      </c>
      <c r="I142" t="inlineStr">
        <is>
          <t>626000007 - GASTOS Y COMISIONES BBVA</t>
        </is>
      </c>
      <c r="J142" t="inlineStr">
        <is>
          <t>-</t>
        </is>
      </c>
      <c r="K142" s="1" t="n">
        <v>-342.23</v>
      </c>
      <c r="L142" s="1" t="n">
        <v>-704.39</v>
      </c>
      <c r="M142" s="1" t="n">
        <v>-687.65</v>
      </c>
      <c r="N142" s="1" t="n">
        <v>-381.46</v>
      </c>
      <c r="O142" s="9" t="n">
        <v>-1201.98</v>
      </c>
      <c r="P142" s="1" t="n">
        <v>-1201.74</v>
      </c>
      <c r="Q142" s="1" t="n">
        <v>-1353.52</v>
      </c>
      <c r="R142" s="12" t="n">
        <v>-615.71</v>
      </c>
      <c r="S142" s="12" t="n">
        <v>-811.09</v>
      </c>
      <c r="T142" s="12" t="n">
        <v>-811.09</v>
      </c>
      <c r="U142" s="12" t="n">
        <v>-811.09</v>
      </c>
      <c r="V142" s="12" t="n">
        <v>-811.09</v>
      </c>
      <c r="W142" s="12">
        <f>SUM(K142:V142)</f>
        <v/>
      </c>
      <c r="X142" s="8" t="inlineStr">
        <is>
          <t>Coste operativo recurrente por transaccionalidad bancaria y comisiones de gestión.</t>
        </is>
      </c>
    </row>
    <row r="143">
      <c r="B143" t="n">
        <v>2026</v>
      </c>
      <c r="C143" t="inlineStr">
        <is>
          <t>Codiagro</t>
        </is>
      </c>
      <c r="D143" t="inlineStr">
        <is>
          <t>RESULTADO DEL EJERCICIO</t>
        </is>
      </c>
      <c r="E143" t="inlineStr">
        <is>
          <t>RESULTADO ANTES DE IMPUESTOS</t>
        </is>
      </c>
      <c r="F143" t="inlineStr">
        <is>
          <t>RESULTADO DE LA EXPLOTACION</t>
        </is>
      </c>
      <c r="G143" t="inlineStr">
        <is>
          <t>7.- Otros gastos de explotación</t>
        </is>
      </c>
      <c r="H143" t="inlineStr">
        <is>
          <t>(627) Publicidad</t>
        </is>
      </c>
      <c r="I143" t="inlineStr">
        <is>
          <t>627000001 - GTOS. PUBLICIDAD EN INTERNET</t>
        </is>
      </c>
      <c r="J143" t="inlineStr">
        <is>
          <t>-</t>
        </is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inlineStr">
        <is>
          <t xml:space="preserve">                            -  </t>
        </is>
      </c>
      <c r="Q143" s="1" t="n">
        <v>0</v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>
        <f>SUM(K143:V143)</f>
        <v/>
      </c>
      <c r="X143" s="8" t="inlineStr">
        <is>
          <t>Cuenta sin saldo en el ejercicio. Sin previsión de movimientos.</t>
        </is>
      </c>
    </row>
    <row r="144">
      <c r="B144" t="n">
        <v>2026</v>
      </c>
      <c r="C144" t="inlineStr">
        <is>
          <t>Codiagro</t>
        </is>
      </c>
      <c r="D144" t="inlineStr">
        <is>
          <t>RESULTADO DEL EJERCICIO</t>
        </is>
      </c>
      <c r="E144" t="inlineStr">
        <is>
          <t>RESULTADO ANTES DE IMPUESTOS</t>
        </is>
      </c>
      <c r="F144" t="inlineStr">
        <is>
          <t>RESULTADO DE LA EXPLOTACION</t>
        </is>
      </c>
      <c r="G144" t="inlineStr">
        <is>
          <t>7.- Otros gastos de explotación</t>
        </is>
      </c>
      <c r="H144" t="inlineStr">
        <is>
          <t>(627) Publicidad</t>
        </is>
      </c>
      <c r="I144" t="inlineStr">
        <is>
          <t>627000004 - RELACIONES PUBLICAS</t>
        </is>
      </c>
      <c r="J144" t="inlineStr">
        <is>
          <t>-</t>
        </is>
      </c>
      <c r="K144" s="1" t="n">
        <v>0</v>
      </c>
      <c r="L144" s="1" t="n">
        <v>0</v>
      </c>
      <c r="M144" s="1" t="n">
        <v>0</v>
      </c>
      <c r="N144" s="1" t="n">
        <v>0</v>
      </c>
      <c r="O144" s="9" t="n">
        <v>0</v>
      </c>
      <c r="P144" s="1" t="inlineStr">
        <is>
          <t xml:space="preserve">                            -  </t>
        </is>
      </c>
      <c r="Q144" s="1" t="n">
        <v>0</v>
      </c>
      <c r="R144" s="12" t="n">
        <v>-214.6</v>
      </c>
      <c r="S144" s="12" t="n">
        <v>-214.6</v>
      </c>
      <c r="T144" s="12" t="n">
        <v>-321.9</v>
      </c>
      <c r="U144" s="12" t="n">
        <v>-214.6</v>
      </c>
      <c r="V144" s="12" t="n">
        <v>-214.6</v>
      </c>
      <c r="W144" s="12">
        <f>SUM(K144:V144)</f>
        <v/>
      </c>
      <c r="X144" s="8" t="inlineStr">
        <is>
          <t>Gasto comercial y marketing: promedio mensual con refuerzo en octubre por ferias agrícolas de otoño.</t>
        </is>
      </c>
    </row>
    <row r="145">
      <c r="B145" t="n">
        <v>2026</v>
      </c>
      <c r="C145" t="inlineStr">
        <is>
          <t>Codiagro</t>
        </is>
      </c>
      <c r="D145" t="inlineStr">
        <is>
          <t>RESULTADO DEL EJERCICIO</t>
        </is>
      </c>
      <c r="E145" t="inlineStr">
        <is>
          <t>RESULTADO ANTES DE IMPUESTOS</t>
        </is>
      </c>
      <c r="F145" t="inlineStr">
        <is>
          <t>RESULTADO DE LA EXPLOTACION</t>
        </is>
      </c>
      <c r="G145" t="inlineStr">
        <is>
          <t>7.- Otros gastos de explotación</t>
        </is>
      </c>
      <c r="H145" t="inlineStr">
        <is>
          <t>(627) Publicidad</t>
        </is>
      </c>
      <c r="I145" t="inlineStr">
        <is>
          <t>627000005 - INVITACIONES CLIENTES</t>
        </is>
      </c>
      <c r="J145" t="inlineStr">
        <is>
          <t>-</t>
        </is>
      </c>
      <c r="K145" s="1" t="n">
        <v>0</v>
      </c>
      <c r="L145" s="1" t="n">
        <v>0</v>
      </c>
      <c r="M145" s="1" t="n">
        <v>0</v>
      </c>
      <c r="N145" s="1" t="n">
        <v>0</v>
      </c>
      <c r="O145" s="9" t="n">
        <v>0</v>
      </c>
      <c r="P145" s="1" t="inlineStr">
        <is>
          <t xml:space="preserve">                            -  </t>
        </is>
      </c>
      <c r="Q145" s="1" t="n">
        <v>-407</v>
      </c>
      <c r="R145" s="12" t="n">
        <v>0</v>
      </c>
      <c r="S145" s="12" t="n">
        <v>-407</v>
      </c>
      <c r="T145" s="12" t="n">
        <v>-610.5</v>
      </c>
      <c r="U145" s="12" t="n">
        <v>-407</v>
      </c>
      <c r="V145" s="12" t="n">
        <v>-407</v>
      </c>
      <c r="W145" s="12">
        <f>SUM(K145:V145)</f>
        <v/>
      </c>
      <c r="X145" s="8" t="inlineStr">
        <is>
          <t>Gasto comercial y marketing: promedio mensual con refuerzo en octubre por ferias agrícolas de otoño.</t>
        </is>
      </c>
    </row>
    <row r="146">
      <c r="B146" t="n">
        <v>2026</v>
      </c>
      <c r="C146" t="inlineStr">
        <is>
          <t>Codiagro</t>
        </is>
      </c>
      <c r="D146" t="inlineStr">
        <is>
          <t>RESULTADO DEL EJERCICIO</t>
        </is>
      </c>
      <c r="E146" t="inlineStr">
        <is>
          <t>RESULTADO ANTES DE IMPUESTOS</t>
        </is>
      </c>
      <c r="F146" t="inlineStr">
        <is>
          <t>RESULTADO DE LA EXPLOTACION</t>
        </is>
      </c>
      <c r="G146" t="inlineStr">
        <is>
          <t>7.- Otros gastos de explotación</t>
        </is>
      </c>
      <c r="H146" t="inlineStr">
        <is>
          <t>(627) Publicidad</t>
        </is>
      </c>
      <c r="I146" t="inlineStr">
        <is>
          <t>627000006 - PUBLICIDAD CATALOGOS Y FOLLETOS</t>
        </is>
      </c>
      <c r="J146" t="inlineStr">
        <is>
          <t>-</t>
        </is>
      </c>
      <c r="K146" s="1" t="n">
        <v>-27.52</v>
      </c>
      <c r="L146" s="1" t="n">
        <v>0</v>
      </c>
      <c r="M146" s="1" t="n">
        <v>0</v>
      </c>
      <c r="N146" s="1" t="n">
        <v>0</v>
      </c>
      <c r="O146" s="9" t="n">
        <v>-170.36</v>
      </c>
      <c r="P146" s="1" t="inlineStr">
        <is>
          <t xml:space="preserve">                            -  </t>
        </is>
      </c>
      <c r="Q146" s="1" t="n">
        <v>0</v>
      </c>
      <c r="R146" s="12" t="n">
        <v>0</v>
      </c>
      <c r="S146" s="12" t="n">
        <v>-98.94</v>
      </c>
      <c r="T146" s="12" t="n">
        <v>-148.41</v>
      </c>
      <c r="U146" s="12" t="n">
        <v>-98.94</v>
      </c>
      <c r="V146" s="12" t="n">
        <v>-98.94</v>
      </c>
      <c r="W146" s="12">
        <f>SUM(K146:V146)</f>
        <v/>
      </c>
      <c r="X146" s="8" t="inlineStr">
        <is>
          <t>Gasto comercial y marketing: promedio mensual con refuerzo en octubre por ferias agrícolas de otoño.</t>
        </is>
      </c>
    </row>
    <row r="147">
      <c r="B147" t="n">
        <v>2026</v>
      </c>
      <c r="C147" t="inlineStr">
        <is>
          <t>Codiagro</t>
        </is>
      </c>
      <c r="D147" t="inlineStr">
        <is>
          <t>RESULTADO DEL EJERCICIO</t>
        </is>
      </c>
      <c r="E147" t="inlineStr">
        <is>
          <t>RESULTADO ANTES DE IMPUESTOS</t>
        </is>
      </c>
      <c r="F147" t="inlineStr">
        <is>
          <t>RESULTADO DE LA EXPLOTACION</t>
        </is>
      </c>
      <c r="G147" t="inlineStr">
        <is>
          <t>7.- Otros gastos de explotación</t>
        </is>
      </c>
      <c r="H147" t="inlineStr">
        <is>
          <t>(627) Publicidad</t>
        </is>
      </c>
      <c r="I147" t="inlineStr">
        <is>
          <t>627000007 - FERIAS</t>
        </is>
      </c>
      <c r="J147" t="inlineStr">
        <is>
          <t>-</t>
        </is>
      </c>
      <c r="K147" s="1" t="n">
        <v>0</v>
      </c>
      <c r="L147" s="1" t="n">
        <v>0</v>
      </c>
      <c r="M147" s="1" t="n">
        <v>0</v>
      </c>
      <c r="N147" s="1" t="n">
        <v>-308.46</v>
      </c>
      <c r="O147" s="9" t="inlineStr">
        <is>
          <t xml:space="preserve">                            -  </t>
        </is>
      </c>
      <c r="P147" s="1" t="inlineStr">
        <is>
          <t xml:space="preserve">                            -  </t>
        </is>
      </c>
      <c r="Q147" s="1" t="n">
        <v>0</v>
      </c>
      <c r="R147" s="12" t="n">
        <v>0</v>
      </c>
      <c r="S147" s="12" t="n">
        <v>-308.46</v>
      </c>
      <c r="T147" s="12" t="n">
        <v>-462.69</v>
      </c>
      <c r="U147" s="12" t="n">
        <v>-308.46</v>
      </c>
      <c r="V147" s="12" t="n">
        <v>-308.46</v>
      </c>
      <c r="W147" s="12">
        <f>SUM(K147:V147)</f>
        <v/>
      </c>
      <c r="X147" s="8" t="inlineStr">
        <is>
          <t>Gasto comercial y marketing: promedio mensual con refuerzo en octubre por ferias agrícolas de otoño.</t>
        </is>
      </c>
    </row>
    <row r="148">
      <c r="B148" t="n">
        <v>2026</v>
      </c>
      <c r="C148" t="inlineStr">
        <is>
          <t>Codiagro</t>
        </is>
      </c>
      <c r="D148" t="inlineStr">
        <is>
          <t>RESULTADO DEL EJERCICIO</t>
        </is>
      </c>
      <c r="E148" t="inlineStr">
        <is>
          <t>RESULTADO ANTES DE IMPUESTOS</t>
        </is>
      </c>
      <c r="F148" t="inlineStr">
        <is>
          <t>RESULTADO DE LA EXPLOTACION</t>
        </is>
      </c>
      <c r="G148" t="inlineStr">
        <is>
          <t>7.- Otros gastos de explotación</t>
        </is>
      </c>
      <c r="H148" t="inlineStr">
        <is>
          <t>(627) Publicidad</t>
        </is>
      </c>
      <c r="I148" t="inlineStr">
        <is>
          <t>627000008 - MARKETING</t>
        </is>
      </c>
      <c r="J148" t="inlineStr">
        <is>
          <t>-</t>
        </is>
      </c>
      <c r="K148" s="1" t="n">
        <v>0</v>
      </c>
      <c r="L148" s="1" t="n">
        <v>0</v>
      </c>
      <c r="M148" s="1" t="n">
        <v>-1568.58</v>
      </c>
      <c r="N148" s="1" t="n">
        <v>-4485</v>
      </c>
      <c r="O148" s="9" t="n">
        <v>-55</v>
      </c>
      <c r="P148" s="1" t="n">
        <v>-3000</v>
      </c>
      <c r="Q148" s="1" t="inlineStr">
        <is>
          <t xml:space="preserve">                                             -  </t>
        </is>
      </c>
      <c r="R148" s="12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>
        <f>SUM(K148:V148)</f>
        <v/>
      </c>
      <c r="X148" s="8" t="inlineStr">
        <is>
          <t>Gastos de marketing: eliminadas las partidas de sep a dic del 2026. Para 2027 pendiente de adjuntar el plan de marketing.</t>
        </is>
      </c>
    </row>
    <row r="149">
      <c r="B149" t="n">
        <v>2026</v>
      </c>
      <c r="C149" t="inlineStr">
        <is>
          <t>Codiagro</t>
        </is>
      </c>
      <c r="D149" t="inlineStr">
        <is>
          <t>RESULTADO DEL EJERCICIO</t>
        </is>
      </c>
      <c r="E149" t="inlineStr">
        <is>
          <t>RESULTADO ANTES DE IMPUESTOS</t>
        </is>
      </c>
      <c r="F149" t="inlineStr">
        <is>
          <t>RESULTADO DE LA EXPLOTACION</t>
        </is>
      </c>
      <c r="G149" t="inlineStr">
        <is>
          <t>7.- Otros gastos de explotación</t>
        </is>
      </c>
      <c r="H149" t="inlineStr">
        <is>
          <t>(627) Publicidad</t>
        </is>
      </c>
      <c r="I149" t="inlineStr">
        <is>
          <t>627000009 - ARTICULOS PUBLICIDAD</t>
        </is>
      </c>
      <c r="J149" t="inlineStr">
        <is>
          <t>-</t>
        </is>
      </c>
      <c r="K149" s="1" t="n">
        <v>0</v>
      </c>
      <c r="L149" s="1" t="n">
        <v>0</v>
      </c>
      <c r="M149" s="1" t="n">
        <v>0</v>
      </c>
      <c r="N149" s="1" t="n">
        <v>0</v>
      </c>
      <c r="O149" s="9" t="n">
        <v>-3208.9</v>
      </c>
      <c r="P149" s="1" t="n">
        <v>-438</v>
      </c>
      <c r="Q149" s="1" t="n">
        <v>-9082.9</v>
      </c>
      <c r="R149" s="12" t="n">
        <v>-3164.3</v>
      </c>
      <c r="S149" s="12" t="n">
        <v>-1500</v>
      </c>
      <c r="T149" s="12" t="n">
        <v>-4500</v>
      </c>
      <c r="U149" s="12" t="n">
        <v>-2000</v>
      </c>
      <c r="V149" s="12" t="n">
        <v>-2000</v>
      </c>
      <c r="W149" s="12">
        <f>SUM(K149:V149)</f>
        <v/>
      </c>
      <c r="X149" s="8" t="inlineStr">
        <is>
          <t>Gasto comercial estratégico con estacionalidad: refuerzo en octubre por ferias agrícolas (Fruit Attraction) y catálogos.</t>
        </is>
      </c>
    </row>
    <row r="150">
      <c r="B150" t="n">
        <v>2026</v>
      </c>
      <c r="C150" t="inlineStr">
        <is>
          <t>Codiagro</t>
        </is>
      </c>
      <c r="D150" t="inlineStr">
        <is>
          <t>RESULTADO DEL EJERCICIO</t>
        </is>
      </c>
      <c r="E150" t="inlineStr">
        <is>
          <t>RESULTADO ANTES DE IMPUESTOS</t>
        </is>
      </c>
      <c r="F150" t="inlineStr">
        <is>
          <t>RESULTADO DE LA EXPLOTACION</t>
        </is>
      </c>
      <c r="G150" t="inlineStr">
        <is>
          <t>7.- Otros gastos de explotación</t>
        </is>
      </c>
      <c r="H150" t="inlineStr">
        <is>
          <t>(627) Publicidad</t>
        </is>
      </c>
      <c r="I150" t="inlineStr">
        <is>
          <t>627000010 - RELACIONES PUBLICAS TEC. CLIENTES</t>
        </is>
      </c>
      <c r="J150" t="inlineStr">
        <is>
          <t>-</t>
        </is>
      </c>
      <c r="K150" s="1" t="n">
        <v>0</v>
      </c>
      <c r="L150" s="1" t="n">
        <v>0</v>
      </c>
      <c r="M150" s="1" t="n">
        <v>-826.76</v>
      </c>
      <c r="N150" s="1" t="n">
        <v>0</v>
      </c>
      <c r="O150" s="9" t="inlineStr">
        <is>
          <t xml:space="preserve">                            -  </t>
        </is>
      </c>
      <c r="P150" s="1" t="inlineStr">
        <is>
          <t xml:space="preserve">                            -  </t>
        </is>
      </c>
      <c r="Q150" s="1" t="n">
        <v>0</v>
      </c>
      <c r="R150" s="12" t="n">
        <v>0</v>
      </c>
      <c r="S150" s="12" t="n">
        <v>-826.76</v>
      </c>
      <c r="T150" s="12" t="n">
        <v>-1240.14</v>
      </c>
      <c r="U150" s="12" t="n">
        <v>-826.76</v>
      </c>
      <c r="V150" s="12" t="n">
        <v>-826.76</v>
      </c>
      <c r="W150" s="12">
        <f>SUM(K150:V150)</f>
        <v/>
      </c>
      <c r="X150" s="8" t="inlineStr">
        <is>
          <t>Gasto comercial y marketing: promedio mensual con refuerzo en octubre por ferias agrícolas de otoño.</t>
        </is>
      </c>
    </row>
    <row r="151">
      <c r="B151" t="n">
        <v>2026</v>
      </c>
      <c r="C151" t="inlineStr">
        <is>
          <t>Codiagro</t>
        </is>
      </c>
      <c r="D151" t="inlineStr">
        <is>
          <t>RESULTADO DEL EJERCICIO</t>
        </is>
      </c>
      <c r="E151" t="inlineStr">
        <is>
          <t>RESULTADO ANTES DE IMPUESTOS</t>
        </is>
      </c>
      <c r="F151" t="inlineStr">
        <is>
          <t>RESULTADO DE LA EXPLOTACION</t>
        </is>
      </c>
      <c r="G151" t="inlineStr">
        <is>
          <t>7.- Otros gastos de explotación</t>
        </is>
      </c>
      <c r="H151" t="inlineStr">
        <is>
          <t>(628) Suministros</t>
        </is>
      </c>
      <c r="I151" t="inlineStr">
        <is>
          <t>628000001 - SUMINISTROS INFORMATICOS</t>
        </is>
      </c>
      <c r="J151" t="inlineStr">
        <is>
          <t>-</t>
        </is>
      </c>
      <c r="K151" s="1" t="n">
        <v>0</v>
      </c>
      <c r="L151" s="1" t="n">
        <v>0</v>
      </c>
      <c r="M151" s="1" t="n">
        <v>0</v>
      </c>
      <c r="N151" s="1" t="n">
        <v>0</v>
      </c>
      <c r="O151" s="9" t="n">
        <v>0</v>
      </c>
      <c r="P151" s="1" t="n">
        <v>-489</v>
      </c>
      <c r="Q151" s="1" t="inlineStr">
        <is>
          <t xml:space="preserve">                                             -  </t>
        </is>
      </c>
      <c r="R151" s="12" t="n">
        <v>0</v>
      </c>
      <c r="S151" s="12" t="n">
        <v>-489</v>
      </c>
      <c r="T151" s="12" t="n">
        <v>-489</v>
      </c>
      <c r="U151" s="12" t="n">
        <v>-489</v>
      </c>
      <c r="V151" s="12" t="n">
        <v>-489</v>
      </c>
      <c r="W151" s="12">
        <f>SUM(K151:V151)</f>
        <v/>
      </c>
      <c r="X151" s="8" t="inlineStr">
        <is>
          <t>Proyección basada en el promedio mensual histórico de actividad.</t>
        </is>
      </c>
    </row>
    <row r="152">
      <c r="B152" t="n">
        <v>2026</v>
      </c>
      <c r="C152" t="inlineStr">
        <is>
          <t>Codiagro</t>
        </is>
      </c>
      <c r="D152" t="inlineStr">
        <is>
          <t>RESULTADO DEL EJERCICIO</t>
        </is>
      </c>
      <c r="E152" t="inlineStr">
        <is>
          <t>RESULTADO ANTES DE IMPUESTOS</t>
        </is>
      </c>
      <c r="F152" t="inlineStr">
        <is>
          <t>RESULTADO DE LA EXPLOTACION</t>
        </is>
      </c>
      <c r="G152" t="inlineStr">
        <is>
          <t>7.- Otros gastos de explotación</t>
        </is>
      </c>
      <c r="H152" t="inlineStr">
        <is>
          <t>(628) Suministros</t>
        </is>
      </c>
      <c r="I152" t="inlineStr">
        <is>
          <t>628000002 - SUMINISTROS ELECTRICIDAD</t>
        </is>
      </c>
      <c r="J152" t="inlineStr">
        <is>
          <t>-</t>
        </is>
      </c>
      <c r="K152" s="1" t="n">
        <v>-4457.07</v>
      </c>
      <c r="L152" s="1" t="n">
        <v>-4192.18</v>
      </c>
      <c r="M152" s="1" t="n">
        <v>0</v>
      </c>
      <c r="N152" s="1" t="n">
        <v>-8417.9</v>
      </c>
      <c r="O152" s="9" t="n">
        <v>-1115.2</v>
      </c>
      <c r="P152" s="1" t="n">
        <v>-7205.31</v>
      </c>
      <c r="Q152" s="1" t="n">
        <v>-3014.475435477108</v>
      </c>
      <c r="R152" s="12" t="n">
        <v>-1350.433143107234</v>
      </c>
      <c r="S152" s="12" t="n">
        <v>-3190</v>
      </c>
      <c r="T152" s="12" t="n">
        <v>-3790</v>
      </c>
      <c r="U152" s="12" t="n">
        <v>-4190</v>
      </c>
      <c r="V152" s="12" t="n">
        <v>-4390</v>
      </c>
      <c r="W152" s="12">
        <f>SUM(K152:V152)</f>
        <v/>
      </c>
      <c r="X152" s="8" t="inlineStr">
        <is>
          <t>Coste semi-variable: término fijo de potencia contratada + consumo eléctrico de reactores y envasado proporcional a la producción.</t>
        </is>
      </c>
    </row>
    <row r="153">
      <c r="B153" t="n">
        <v>2026</v>
      </c>
      <c r="C153" t="inlineStr">
        <is>
          <t>Codiagro</t>
        </is>
      </c>
      <c r="D153" t="inlineStr">
        <is>
          <t>RESULTADO DEL EJERCICIO</t>
        </is>
      </c>
      <c r="E153" t="inlineStr">
        <is>
          <t>RESULTADO ANTES DE IMPUESTOS</t>
        </is>
      </c>
      <c r="F153" t="inlineStr">
        <is>
          <t>RESULTADO DE LA EXPLOTACION</t>
        </is>
      </c>
      <c r="G153" t="inlineStr">
        <is>
          <t>7.- Otros gastos de explotación</t>
        </is>
      </c>
      <c r="H153" t="inlineStr">
        <is>
          <t>(628) Suministros</t>
        </is>
      </c>
      <c r="I153" t="inlineStr">
        <is>
          <t>628000003 - SUMINISTROS AGUA</t>
        </is>
      </c>
      <c r="J153" t="inlineStr">
        <is>
          <t>-</t>
        </is>
      </c>
      <c r="K153" s="1" t="n">
        <v>-1170.76</v>
      </c>
      <c r="L153" s="1" t="n">
        <v>0</v>
      </c>
      <c r="M153" s="1" t="n">
        <v>0</v>
      </c>
      <c r="N153" s="1" t="n">
        <v>-1209.46</v>
      </c>
      <c r="O153" s="9" t="inlineStr">
        <is>
          <t xml:space="preserve">                            -  </t>
        </is>
      </c>
      <c r="P153" s="1" t="inlineStr">
        <is>
          <t xml:space="preserve">                            -  </t>
        </is>
      </c>
      <c r="Q153" s="1" t="n">
        <v>-1927.6</v>
      </c>
      <c r="R153" s="12" t="n">
        <v>0</v>
      </c>
      <c r="S153" s="12" t="n">
        <v>-1435.94</v>
      </c>
      <c r="T153" s="12" t="n">
        <v>-1435.94</v>
      </c>
      <c r="U153" s="12" t="n">
        <v>-1435.94</v>
      </c>
      <c r="V153" s="12" t="n">
        <v>-1435.94</v>
      </c>
      <c r="W153" s="12">
        <f>SUM(K153:V153)</f>
        <v/>
      </c>
      <c r="X153" s="8" t="inlineStr">
        <is>
          <t>Proyección basada en el promedio mensual histórico de actividad.</t>
        </is>
      </c>
    </row>
    <row r="154">
      <c r="B154" t="n">
        <v>2026</v>
      </c>
      <c r="C154" t="inlineStr">
        <is>
          <t>Codiagro</t>
        </is>
      </c>
      <c r="D154" t="inlineStr">
        <is>
          <t>RESULTADO DEL EJERCICIO</t>
        </is>
      </c>
      <c r="E154" t="inlineStr">
        <is>
          <t>RESULTADO ANTES DE IMPUESTOS</t>
        </is>
      </c>
      <c r="F154" t="inlineStr">
        <is>
          <t>RESULTADO DE LA EXPLOTACION</t>
        </is>
      </c>
      <c r="G154" t="inlineStr">
        <is>
          <t>7.- Otros gastos de explotación</t>
        </is>
      </c>
      <c r="H154" t="inlineStr">
        <is>
          <t>(628) Suministros</t>
        </is>
      </c>
      <c r="I154" t="inlineStr">
        <is>
          <t>628000004 - SUMINISTROS TELEFONIA E INTERNET</t>
        </is>
      </c>
      <c r="J154" t="inlineStr">
        <is>
          <t>-</t>
        </is>
      </c>
      <c r="K154" s="1" t="n">
        <v>-697.53</v>
      </c>
      <c r="L154" s="1" t="n">
        <v>-707.86</v>
      </c>
      <c r="M154" s="1" t="n">
        <v>-721.0700000000001</v>
      </c>
      <c r="N154" s="1" t="n">
        <v>-752.9400000000001</v>
      </c>
      <c r="O154" s="9" t="n">
        <v>-259.61</v>
      </c>
      <c r="P154" s="1" t="n">
        <v>-1232.48</v>
      </c>
      <c r="Q154" s="1" t="n">
        <v>-761.55</v>
      </c>
      <c r="R154" s="12" t="n">
        <v>-853</v>
      </c>
      <c r="S154" s="12" t="n">
        <v>-200</v>
      </c>
      <c r="T154" s="12" t="n">
        <v>-400</v>
      </c>
      <c r="U154" s="12" t="n">
        <v>-700</v>
      </c>
      <c r="V154" s="12" t="n">
        <v>-900</v>
      </c>
      <c r="W154" s="12">
        <f>SUM(K154:V154)</f>
        <v/>
      </c>
      <c r="X154" s="8" t="inlineStr">
        <is>
          <t>Coste semi-variable estacional: climatización de instalaciones y caldera durante meses fríos.</t>
        </is>
      </c>
    </row>
    <row r="155">
      <c r="B155" t="n">
        <v>2026</v>
      </c>
      <c r="C155" t="inlineStr">
        <is>
          <t>Codiagro</t>
        </is>
      </c>
      <c r="D155" t="inlineStr">
        <is>
          <t>RESULTADO DEL EJERCICIO</t>
        </is>
      </c>
      <c r="E155" t="inlineStr">
        <is>
          <t>RESULTADO ANTES DE IMPUESTOS</t>
        </is>
      </c>
      <c r="F155" t="inlineStr">
        <is>
          <t>RESULTADO DE LA EXPLOTACION</t>
        </is>
      </c>
      <c r="G155" t="inlineStr">
        <is>
          <t>7.- Otros gastos de explotación</t>
        </is>
      </c>
      <c r="H155" t="inlineStr">
        <is>
          <t>(628) Suministros</t>
        </is>
      </c>
      <c r="I155" t="inlineStr">
        <is>
          <t>628000005 - SUMINISTROS GASOLEO</t>
        </is>
      </c>
      <c r="J155" t="inlineStr">
        <is>
          <t>-</t>
        </is>
      </c>
      <c r="K155" s="1" t="n">
        <v>0</v>
      </c>
      <c r="L155" s="1" t="n">
        <v>0</v>
      </c>
      <c r="M155" s="1" t="n">
        <v>0</v>
      </c>
      <c r="N155" s="1" t="n">
        <v>0</v>
      </c>
      <c r="O155" s="9" t="n">
        <v>-1891.22</v>
      </c>
      <c r="P155" s="1" t="inlineStr">
        <is>
          <t xml:space="preserve">                            -  </t>
        </is>
      </c>
      <c r="Q155" s="1" t="n">
        <v>0</v>
      </c>
      <c r="R155" s="12" t="n">
        <v>-1496.33</v>
      </c>
      <c r="S155" s="12" t="n">
        <v>-1693.78</v>
      </c>
      <c r="T155" s="12" t="n">
        <v>-1693.78</v>
      </c>
      <c r="U155" s="12" t="n">
        <v>-1693.78</v>
      </c>
      <c r="V155" s="12" t="n">
        <v>-1693.78</v>
      </c>
      <c r="W155" s="12">
        <f>SUM(K155:V155)</f>
        <v/>
      </c>
      <c r="X155" s="8" t="inlineStr">
        <is>
          <t>Proyección basada en el promedio mensual histórico de actividad.</t>
        </is>
      </c>
    </row>
    <row r="156">
      <c r="B156" t="n">
        <v>2026</v>
      </c>
      <c r="C156" t="inlineStr">
        <is>
          <t>Codiagro</t>
        </is>
      </c>
      <c r="D156" t="inlineStr">
        <is>
          <t>RESULTADO DEL EJERCICIO</t>
        </is>
      </c>
      <c r="E156" t="inlineStr">
        <is>
          <t>RESULTADO ANTES DE IMPUESTOS</t>
        </is>
      </c>
      <c r="F156" t="inlineStr">
        <is>
          <t>RESULTADO DE LA EXPLOTACION</t>
        </is>
      </c>
      <c r="G156" t="inlineStr">
        <is>
          <t>7.- Otros gastos de explotación</t>
        </is>
      </c>
      <c r="H156" t="inlineStr">
        <is>
          <t>(629) Otros servicios</t>
        </is>
      </c>
      <c r="I156" t="inlineStr">
        <is>
          <t>629000001 - HOSPEDAJE WEB</t>
        </is>
      </c>
      <c r="J156" t="inlineStr">
        <is>
          <t>-</t>
        </is>
      </c>
      <c r="K156" s="1" t="n">
        <v>-396</v>
      </c>
      <c r="L156" s="1" t="n">
        <v>0</v>
      </c>
      <c r="M156" s="1" t="n">
        <v>0</v>
      </c>
      <c r="N156" s="1" t="n">
        <v>0</v>
      </c>
      <c r="O156" s="9" t="inlineStr">
        <is>
          <t xml:space="preserve">                            -  </t>
        </is>
      </c>
      <c r="P156" s="1" t="n">
        <v>-30</v>
      </c>
      <c r="Q156" s="1" t="inlineStr">
        <is>
          <t xml:space="preserve">                                             -  </t>
        </is>
      </c>
      <c r="R156" s="12" t="n">
        <v>0</v>
      </c>
      <c r="S156" s="12" t="n">
        <v>-213</v>
      </c>
      <c r="T156" s="12" t="n">
        <v>-213</v>
      </c>
      <c r="U156" s="12" t="n">
        <v>-213</v>
      </c>
      <c r="V156" s="12" t="n">
        <v>-213</v>
      </c>
      <c r="W156" s="12">
        <f>SUM(K156:V156)</f>
        <v/>
      </c>
      <c r="X156" s="8" t="inlineStr">
        <is>
          <t>Coste operativo general de estructura y servicios de oficinas/fábrica (promedio histórico).</t>
        </is>
      </c>
    </row>
    <row r="157">
      <c r="B157" t="n">
        <v>2026</v>
      </c>
      <c r="C157" t="inlineStr">
        <is>
          <t>Codiagro</t>
        </is>
      </c>
      <c r="D157" t="inlineStr">
        <is>
          <t>RESULTADO DEL EJERCICIO</t>
        </is>
      </c>
      <c r="E157" t="inlineStr">
        <is>
          <t>RESULTADO ANTES DE IMPUESTOS</t>
        </is>
      </c>
      <c r="F157" t="inlineStr">
        <is>
          <t>RESULTADO DE LA EXPLOTACION</t>
        </is>
      </c>
      <c r="G157" t="inlineStr">
        <is>
          <t>7.- Otros gastos de explotación</t>
        </is>
      </c>
      <c r="H157" t="inlineStr">
        <is>
          <t>(629) Otros servicios</t>
        </is>
      </c>
      <c r="I157" t="inlineStr">
        <is>
          <t>629000002 - OTROS GASTOS</t>
        </is>
      </c>
      <c r="J157" t="inlineStr">
        <is>
          <t>-</t>
        </is>
      </c>
      <c r="K157" s="1" t="n">
        <v>-194.68</v>
      </c>
      <c r="L157" s="1" t="n">
        <v>-108</v>
      </c>
      <c r="M157" s="1" t="n">
        <v>-1186.24</v>
      </c>
      <c r="N157" s="1" t="n">
        <v>-80.59</v>
      </c>
      <c r="O157" s="9" t="n">
        <v>-277.84</v>
      </c>
      <c r="P157" s="1" t="n">
        <v>-254.03</v>
      </c>
      <c r="Q157" s="1" t="n">
        <v>-4498.18</v>
      </c>
      <c r="R157" s="12" t="n">
        <v>-986.98</v>
      </c>
      <c r="S157" s="12" t="n">
        <v>-948.3200000000001</v>
      </c>
      <c r="T157" s="12" t="n">
        <v>-948.3200000000001</v>
      </c>
      <c r="U157" s="12" t="n">
        <v>-948.3200000000001</v>
      </c>
      <c r="V157" s="12" t="n">
        <v>-948.3200000000001</v>
      </c>
      <c r="W157" s="12">
        <f>SUM(K157:V157)</f>
        <v/>
      </c>
      <c r="X157" s="8" t="inlineStr">
        <is>
          <t>Coste operativo general de estructura y servicios de oficinas/fábrica (promedio histórico).</t>
        </is>
      </c>
    </row>
    <row r="158">
      <c r="B158" t="n">
        <v>2026</v>
      </c>
      <c r="C158" t="inlineStr">
        <is>
          <t>Codiagro</t>
        </is>
      </c>
      <c r="D158" t="inlineStr">
        <is>
          <t>RESULTADO DEL EJERCICIO</t>
        </is>
      </c>
      <c r="E158" t="inlineStr">
        <is>
          <t>RESULTADO ANTES DE IMPUESTOS</t>
        </is>
      </c>
      <c r="F158" t="inlineStr">
        <is>
          <t>RESULTADO DE LA EXPLOTACION</t>
        </is>
      </c>
      <c r="G158" t="inlineStr">
        <is>
          <t>7.- Otros gastos de explotación</t>
        </is>
      </c>
      <c r="H158" t="inlineStr">
        <is>
          <t>(629) Otros servicios</t>
        </is>
      </c>
      <c r="I158" t="inlineStr">
        <is>
          <t>629000003 - SUSCRIPCIONES A REVISTAS Y PERIODICOS</t>
        </is>
      </c>
      <c r="J158" t="inlineStr">
        <is>
          <t>-</t>
        </is>
      </c>
      <c r="K158" s="1" t="n">
        <v>-460.58</v>
      </c>
      <c r="L158" s="1" t="n">
        <v>0</v>
      </c>
      <c r="M158" s="1" t="n">
        <v>0</v>
      </c>
      <c r="N158" s="1" t="n">
        <v>0</v>
      </c>
      <c r="O158" s="9" t="inlineStr">
        <is>
          <t xml:space="preserve">                            -  </t>
        </is>
      </c>
      <c r="P158" s="1" t="inlineStr">
        <is>
          <t xml:space="preserve">                            -  </t>
        </is>
      </c>
      <c r="Q158" s="1" t="n">
        <v>0</v>
      </c>
      <c r="R158" s="12" t="n">
        <v>0</v>
      </c>
      <c r="S158" s="12" t="n">
        <v>-460.58</v>
      </c>
      <c r="T158" s="12" t="n">
        <v>-460.58</v>
      </c>
      <c r="U158" s="12" t="n">
        <v>-460.58</v>
      </c>
      <c r="V158" s="12" t="n">
        <v>-460.58</v>
      </c>
      <c r="W158" s="12">
        <f>SUM(K158:V158)</f>
        <v/>
      </c>
      <c r="X158" s="8" t="inlineStr">
        <is>
          <t>Coste operativo general de estructura y servicios de oficinas/fábrica (promedio histórico).</t>
        </is>
      </c>
    </row>
    <row r="159">
      <c r="B159" t="n">
        <v>2026</v>
      </c>
      <c r="C159" t="inlineStr">
        <is>
          <t>Codiagro</t>
        </is>
      </c>
      <c r="D159" t="inlineStr">
        <is>
          <t>RESULTADO DEL EJERCICIO</t>
        </is>
      </c>
      <c r="E159" t="inlineStr">
        <is>
          <t>RESULTADO ANTES DE IMPUESTOS</t>
        </is>
      </c>
      <c r="F159" t="inlineStr">
        <is>
          <t>RESULTADO DE LA EXPLOTACION</t>
        </is>
      </c>
      <c r="G159" t="inlineStr">
        <is>
          <t>7.- Otros gastos de explotación</t>
        </is>
      </c>
      <c r="H159" t="inlineStr">
        <is>
          <t>(629) Otros servicios</t>
        </is>
      </c>
      <c r="I159" t="inlineStr">
        <is>
          <t>629000004 - GTOS. SERV. VIGILANCIA</t>
        </is>
      </c>
      <c r="J159" t="inlineStr">
        <is>
          <t>-</t>
        </is>
      </c>
      <c r="K159" s="1" t="n">
        <v>-73.72</v>
      </c>
      <c r="L159" s="1" t="n">
        <v>0</v>
      </c>
      <c r="M159" s="1" t="n">
        <v>-73.72</v>
      </c>
      <c r="N159" s="1" t="n">
        <v>-73.72</v>
      </c>
      <c r="O159" s="9" t="n">
        <v>-75.94</v>
      </c>
      <c r="P159" s="1" t="n">
        <v>-75.94</v>
      </c>
      <c r="Q159" s="1" t="n">
        <v>-75.94</v>
      </c>
      <c r="R159" s="12" t="n">
        <v>-75.94</v>
      </c>
      <c r="S159" s="12" t="n">
        <v>-74.98999999999999</v>
      </c>
      <c r="T159" s="12" t="n">
        <v>-74.98999999999999</v>
      </c>
      <c r="U159" s="12" t="n">
        <v>-74.98999999999999</v>
      </c>
      <c r="V159" s="12" t="n">
        <v>-74.98999999999999</v>
      </c>
      <c r="W159" s="12">
        <f>SUM(K159:V159)</f>
        <v/>
      </c>
      <c r="X159" s="8" t="inlineStr">
        <is>
          <t>Coste operativo general de estructura y servicios de oficinas/fábrica (promedio histórico).</t>
        </is>
      </c>
    </row>
    <row r="160">
      <c r="B160" t="n">
        <v>2026</v>
      </c>
      <c r="C160" t="inlineStr">
        <is>
          <t>Codiagro</t>
        </is>
      </c>
      <c r="D160" t="inlineStr">
        <is>
          <t>RESULTADO DEL EJERCICIO</t>
        </is>
      </c>
      <c r="E160" t="inlineStr">
        <is>
          <t>RESULTADO ANTES DE IMPUESTOS</t>
        </is>
      </c>
      <c r="F160" t="inlineStr">
        <is>
          <t>RESULTADO DE LA EXPLOTACION</t>
        </is>
      </c>
      <c r="G160" t="inlineStr">
        <is>
          <t>7.- Otros gastos de explotación</t>
        </is>
      </c>
      <c r="H160" t="inlineStr">
        <is>
          <t>(629) Otros servicios</t>
        </is>
      </c>
      <c r="I160" t="inlineStr">
        <is>
          <t>629000005 - GTOS. ANALISIS LABORATORIOS</t>
        </is>
      </c>
      <c r="J160" t="inlineStr">
        <is>
          <t>-</t>
        </is>
      </c>
      <c r="K160" s="1" t="n">
        <v>-87.98</v>
      </c>
      <c r="L160" s="1" t="n">
        <v>0</v>
      </c>
      <c r="M160" s="1" t="n">
        <v>0</v>
      </c>
      <c r="N160" s="1" t="n">
        <v>-2772</v>
      </c>
      <c r="O160" s="9" t="n">
        <v>36.18</v>
      </c>
      <c r="P160" s="1" t="inlineStr">
        <is>
          <t xml:space="preserve">                            -  </t>
        </is>
      </c>
      <c r="Q160" s="1" t="n">
        <v>0</v>
      </c>
      <c r="R160" s="12" t="n">
        <v>0</v>
      </c>
      <c r="S160" s="12" t="n">
        <v>-941.27</v>
      </c>
      <c r="T160" s="12" t="n">
        <v>-941.27</v>
      </c>
      <c r="U160" s="12" t="n">
        <v>-941.27</v>
      </c>
      <c r="V160" s="12" t="n">
        <v>-941.27</v>
      </c>
      <c r="W160" s="12">
        <f>SUM(K160:V160)</f>
        <v/>
      </c>
      <c r="X160" s="8" t="inlineStr">
        <is>
          <t>Coste operativo general de estructura y servicios de oficinas/fábrica (promedio histórico).</t>
        </is>
      </c>
    </row>
    <row r="161">
      <c r="B161" t="n">
        <v>2026</v>
      </c>
      <c r="C161" t="inlineStr">
        <is>
          <t>Codiagro</t>
        </is>
      </c>
      <c r="D161" t="inlineStr">
        <is>
          <t>RESULTADO DEL EJERCICIO</t>
        </is>
      </c>
      <c r="E161" t="inlineStr">
        <is>
          <t>RESULTADO ANTES DE IMPUESTOS</t>
        </is>
      </c>
      <c r="F161" t="inlineStr">
        <is>
          <t>RESULTADO DE LA EXPLOTACION</t>
        </is>
      </c>
      <c r="G161" t="inlineStr">
        <is>
          <t>7.- Otros gastos de explotación</t>
        </is>
      </c>
      <c r="H161" t="inlineStr">
        <is>
          <t>(629) Otros servicios</t>
        </is>
      </c>
      <c r="I161" t="inlineStr">
        <is>
          <t>629000006 - GASTOS CORREOS</t>
        </is>
      </c>
      <c r="J161" t="inlineStr">
        <is>
          <t>-</t>
        </is>
      </c>
      <c r="K161" s="1" t="n">
        <v>-48</v>
      </c>
      <c r="L161" s="1" t="n">
        <v>0</v>
      </c>
      <c r="M161" s="1" t="n">
        <v>0</v>
      </c>
      <c r="N161" s="1" t="n">
        <v>0</v>
      </c>
      <c r="O161" s="9" t="n">
        <v>-144</v>
      </c>
      <c r="P161" s="1" t="inlineStr">
        <is>
          <t xml:space="preserve">                            -  </t>
        </is>
      </c>
      <c r="Q161" s="1" t="n">
        <v>0</v>
      </c>
      <c r="R161" s="12" t="n">
        <v>0</v>
      </c>
      <c r="S161" s="12" t="n">
        <v>-96</v>
      </c>
      <c r="T161" s="12" t="n">
        <v>-96</v>
      </c>
      <c r="U161" s="12" t="n">
        <v>-96</v>
      </c>
      <c r="V161" s="12" t="n">
        <v>-96</v>
      </c>
      <c r="W161" s="12">
        <f>SUM(K161:V161)</f>
        <v/>
      </c>
      <c r="X161" s="8" t="inlineStr">
        <is>
          <t>Coste operativo general de estructura y servicios de oficinas/fábrica (promedio histórico).</t>
        </is>
      </c>
    </row>
    <row r="162">
      <c r="B162" t="n">
        <v>2026</v>
      </c>
      <c r="C162" t="inlineStr">
        <is>
          <t>Codiagro</t>
        </is>
      </c>
      <c r="D162" t="inlineStr">
        <is>
          <t>RESULTADO DEL EJERCICIO</t>
        </is>
      </c>
      <c r="E162" t="inlineStr">
        <is>
          <t>RESULTADO ANTES DE IMPUESTOS</t>
        </is>
      </c>
      <c r="F162" t="inlineStr">
        <is>
          <t>RESULTADO DE LA EXPLOTACION</t>
        </is>
      </c>
      <c r="G162" t="inlineStr">
        <is>
          <t>7.- Otros gastos de explotación</t>
        </is>
      </c>
      <c r="H162" t="inlineStr">
        <is>
          <t>(629) Otros servicios</t>
        </is>
      </c>
      <c r="I162" t="inlineStr">
        <is>
          <t>629000007 - GASTOS RETIRADA DE RESIDUOS</t>
        </is>
      </c>
      <c r="J162" t="inlineStr">
        <is>
          <t>-</t>
        </is>
      </c>
      <c r="K162" s="1" t="n">
        <v>-7569.69</v>
      </c>
      <c r="L162" s="1" t="n">
        <v>1670.07</v>
      </c>
      <c r="M162" s="1" t="n">
        <v>-1388.15</v>
      </c>
      <c r="N162" s="1" t="n">
        <v>-1276.52</v>
      </c>
      <c r="O162" s="9" t="n">
        <v>-545.4499999999999</v>
      </c>
      <c r="P162" s="1" t="n">
        <v>-1758.33</v>
      </c>
      <c r="Q162" s="1" t="n">
        <v>-11469.3187835201</v>
      </c>
      <c r="R162" s="12" t="n">
        <v>667.6721118110462</v>
      </c>
      <c r="S162" s="12" t="n">
        <v>-2500</v>
      </c>
      <c r="T162" s="12" t="n">
        <v>-2800</v>
      </c>
      <c r="U162" s="12" t="n">
        <v>-3000</v>
      </c>
      <c r="V162" s="12" t="n">
        <v>-3200</v>
      </c>
      <c r="W162" s="12">
        <f>SUM(K162:V162)</f>
        <v/>
      </c>
      <c r="X162" s="8" t="inlineStr">
        <is>
          <t>Coste semi-variable: gestión medioambiental y retirada autorizada de residuos fabriles según actividad.</t>
        </is>
      </c>
    </row>
    <row r="163">
      <c r="B163" t="n">
        <v>2026</v>
      </c>
      <c r="C163" t="inlineStr">
        <is>
          <t>Codiagro</t>
        </is>
      </c>
      <c r="D163" t="inlineStr">
        <is>
          <t>RESULTADO DEL EJERCICIO</t>
        </is>
      </c>
      <c r="E163" t="inlineStr">
        <is>
          <t>RESULTADO ANTES DE IMPUESTOS</t>
        </is>
      </c>
      <c r="F163" t="inlineStr">
        <is>
          <t>RESULTADO DE LA EXPLOTACION</t>
        </is>
      </c>
      <c r="G163" t="inlineStr">
        <is>
          <t>7.- Otros gastos de explotación</t>
        </is>
      </c>
      <c r="H163" t="inlineStr">
        <is>
          <t>(629) Otros servicios</t>
        </is>
      </c>
      <c r="I163" t="inlineStr">
        <is>
          <t>629000008 - CUOTAS ASOCIACIONES</t>
        </is>
      </c>
      <c r="J163" t="inlineStr">
        <is>
          <t>-</t>
        </is>
      </c>
      <c r="K163" s="1" t="n">
        <v>-1148.29</v>
      </c>
      <c r="L163" s="1" t="n">
        <v>0</v>
      </c>
      <c r="M163" s="1" t="n">
        <v>-600</v>
      </c>
      <c r="N163" s="1" t="n">
        <v>-945</v>
      </c>
      <c r="O163" s="9" t="inlineStr">
        <is>
          <t xml:space="preserve">                            -  </t>
        </is>
      </c>
      <c r="P163" s="1" t="inlineStr">
        <is>
          <t xml:space="preserve">                            -  </t>
        </is>
      </c>
      <c r="Q163" s="1" t="n">
        <v>-514</v>
      </c>
      <c r="R163" s="12" t="n">
        <v>0</v>
      </c>
      <c r="S163" s="12" t="n">
        <v>-801.8200000000001</v>
      </c>
      <c r="T163" s="12" t="n">
        <v>-801.8200000000001</v>
      </c>
      <c r="U163" s="12" t="n">
        <v>-801.8200000000001</v>
      </c>
      <c r="V163" s="12" t="n">
        <v>-801.8200000000001</v>
      </c>
      <c r="W163" s="12">
        <f>SUM(K163:V163)</f>
        <v/>
      </c>
      <c r="X163" s="8" t="inlineStr">
        <is>
          <t>Coste operativo general de estructura y servicios de oficinas/fábrica (promedio histórico).</t>
        </is>
      </c>
    </row>
    <row r="164">
      <c r="B164" t="n">
        <v>2026</v>
      </c>
      <c r="C164" t="inlineStr">
        <is>
          <t>Codiagro</t>
        </is>
      </c>
      <c r="D164" t="inlineStr">
        <is>
          <t>RESULTADO DEL EJERCICIO</t>
        </is>
      </c>
      <c r="E164" t="inlineStr">
        <is>
          <t>RESULTADO ANTES DE IMPUESTOS</t>
        </is>
      </c>
      <c r="F164" t="inlineStr">
        <is>
          <t>RESULTADO DE LA EXPLOTACION</t>
        </is>
      </c>
      <c r="G164" t="inlineStr">
        <is>
          <t>7.- Otros gastos de explotación</t>
        </is>
      </c>
      <c r="H164" t="inlineStr">
        <is>
          <t>(629) Otros servicios</t>
        </is>
      </c>
      <c r="I164" t="inlineStr">
        <is>
          <t>629000009 - SANCIONES Y MULTAS</t>
        </is>
      </c>
      <c r="J164" t="inlineStr">
        <is>
          <t>-</t>
        </is>
      </c>
      <c r="K164" s="1" t="n">
        <v>0</v>
      </c>
      <c r="L164" s="1" t="n">
        <v>0</v>
      </c>
      <c r="M164" s="1" t="n">
        <v>0</v>
      </c>
      <c r="N164" s="1" t="n">
        <v>0</v>
      </c>
      <c r="O164" s="9" t="n">
        <v>0</v>
      </c>
      <c r="P164" s="1" t="inlineStr">
        <is>
          <t xml:space="preserve">                            -  </t>
        </is>
      </c>
      <c r="Q164" s="1" t="n">
        <v>-90</v>
      </c>
      <c r="R164" s="12" t="n">
        <v>0</v>
      </c>
      <c r="S164" s="12" t="n">
        <v>-90</v>
      </c>
      <c r="T164" s="12" t="n">
        <v>-90</v>
      </c>
      <c r="U164" s="12" t="n">
        <v>-90</v>
      </c>
      <c r="V164" s="12" t="n">
        <v>-90</v>
      </c>
      <c r="W164" s="12">
        <f>SUM(K164:V164)</f>
        <v/>
      </c>
      <c r="X164" s="8" t="inlineStr">
        <is>
          <t>Coste operativo general de estructura y servicios de oficinas/fábrica (promedio histórico).</t>
        </is>
      </c>
    </row>
    <row r="165">
      <c r="B165" t="n">
        <v>2026</v>
      </c>
      <c r="C165" t="inlineStr">
        <is>
          <t>Codiagro</t>
        </is>
      </c>
      <c r="D165" t="inlineStr">
        <is>
          <t>RESULTADO DEL EJERCICIO</t>
        </is>
      </c>
      <c r="E165" t="inlineStr">
        <is>
          <t>RESULTADO ANTES DE IMPUESTOS</t>
        </is>
      </c>
      <c r="F165" t="inlineStr">
        <is>
          <t>RESULTADO DE LA EXPLOTACION</t>
        </is>
      </c>
      <c r="G165" t="inlineStr">
        <is>
          <t>7.- Otros gastos de explotación</t>
        </is>
      </c>
      <c r="H165" t="inlineStr">
        <is>
          <t>(629) Otros servicios</t>
        </is>
      </c>
      <c r="I165" t="inlineStr">
        <is>
          <t>629000010 - GASTOS COMERCIALES</t>
        </is>
      </c>
      <c r="J165" t="inlineStr">
        <is>
          <t>-</t>
        </is>
      </c>
      <c r="K165" s="1" t="n">
        <v>-1233.23</v>
      </c>
      <c r="L165" s="1" t="n">
        <v>0</v>
      </c>
      <c r="M165" s="1" t="n">
        <v>29.06</v>
      </c>
      <c r="N165" s="1" t="n">
        <v>46.51</v>
      </c>
      <c r="O165" s="9" t="n">
        <v>29.06</v>
      </c>
      <c r="P165" s="1" t="inlineStr">
        <is>
          <t xml:space="preserve">                            -  </t>
        </is>
      </c>
      <c r="Q165" s="1" t="n">
        <v>-2125.27</v>
      </c>
      <c r="R165" s="12" t="n">
        <v>-1663.31</v>
      </c>
      <c r="S165" s="12" t="n">
        <v>-819.53</v>
      </c>
      <c r="T165" s="12" t="n">
        <v>-819.53</v>
      </c>
      <c r="U165" s="12" t="n">
        <v>-819.53</v>
      </c>
      <c r="V165" s="12" t="n">
        <v>-819.53</v>
      </c>
      <c r="W165" s="12">
        <f>SUM(K165:V165)</f>
        <v/>
      </c>
      <c r="X165" s="8" t="inlineStr">
        <is>
          <t>Coste operativo general de estructura y servicios de oficinas/fábrica (promedio histórico).</t>
        </is>
      </c>
    </row>
    <row r="166">
      <c r="B166" t="n">
        <v>2026</v>
      </c>
      <c r="C166" t="inlineStr">
        <is>
          <t>Codiagro</t>
        </is>
      </c>
      <c r="D166" t="inlineStr">
        <is>
          <t>RESULTADO DEL EJERCICIO</t>
        </is>
      </c>
      <c r="E166" t="inlineStr">
        <is>
          <t>RESULTADO ANTES DE IMPUESTOS</t>
        </is>
      </c>
      <c r="F166" t="inlineStr">
        <is>
          <t>RESULTADO DE LA EXPLOTACION</t>
        </is>
      </c>
      <c r="G166" t="inlineStr">
        <is>
          <t>7.- Otros gastos de explotación</t>
        </is>
      </c>
      <c r="H166" t="inlineStr">
        <is>
          <t>(629) Otros servicios</t>
        </is>
      </c>
      <c r="I166" t="inlineStr">
        <is>
          <t>629000011 - EPIS PERSONAL</t>
        </is>
      </c>
      <c r="J166" t="inlineStr">
        <is>
          <t>-</t>
        </is>
      </c>
      <c r="K166" s="1" t="n">
        <v>-425</v>
      </c>
      <c r="L166" s="1" t="n">
        <v>0</v>
      </c>
      <c r="M166" s="1" t="n">
        <v>0</v>
      </c>
      <c r="N166" s="1" t="n">
        <v>-35.25</v>
      </c>
      <c r="O166" s="9" t="n">
        <v>-425</v>
      </c>
      <c r="P166" s="1" t="inlineStr">
        <is>
          <t xml:space="preserve">                            -  </t>
        </is>
      </c>
      <c r="Q166" s="1" t="n">
        <v>0</v>
      </c>
      <c r="R166" s="12" t="n">
        <v>0</v>
      </c>
      <c r="S166" s="12" t="n">
        <v>-295.08</v>
      </c>
      <c r="T166" s="12" t="n">
        <v>-295.08</v>
      </c>
      <c r="U166" s="12" t="n">
        <v>-295.08</v>
      </c>
      <c r="V166" s="12" t="n">
        <v>-295.08</v>
      </c>
      <c r="W166" s="12">
        <f>SUM(K166:V166)</f>
        <v/>
      </c>
      <c r="X166" s="8" t="inlineStr">
        <is>
          <t>Coste operativo general de estructura y servicios de oficinas/fábrica (promedio histórico).</t>
        </is>
      </c>
    </row>
    <row r="167">
      <c r="B167" t="n">
        <v>2026</v>
      </c>
      <c r="C167" t="inlineStr">
        <is>
          <t>Codiagro</t>
        </is>
      </c>
      <c r="D167" t="inlineStr">
        <is>
          <t>RESULTADO DEL EJERCICIO</t>
        </is>
      </c>
      <c r="E167" t="inlineStr">
        <is>
          <t>RESULTADO ANTES DE IMPUESTOS</t>
        </is>
      </c>
      <c r="F167" t="inlineStr">
        <is>
          <t>RESULTADO DE LA EXPLOTACION</t>
        </is>
      </c>
      <c r="G167" t="inlineStr">
        <is>
          <t>7.- Otros gastos de explotación</t>
        </is>
      </c>
      <c r="H167" t="inlineStr">
        <is>
          <t>(629) Otros servicios</t>
        </is>
      </c>
      <c r="I167" t="inlineStr">
        <is>
          <t>629000012 - GASTOS VARIOS PERSONAL</t>
        </is>
      </c>
      <c r="J167" t="inlineStr">
        <is>
          <t>-</t>
        </is>
      </c>
      <c r="K167" s="1" t="n">
        <v>-808.04</v>
      </c>
      <c r="L167" s="1" t="n">
        <v>-2163.44</v>
      </c>
      <c r="M167" s="1" t="n">
        <v>-2173.63</v>
      </c>
      <c r="N167" s="1" t="n">
        <v>-237.86</v>
      </c>
      <c r="O167" s="9" t="n">
        <v>-2671.84</v>
      </c>
      <c r="P167" s="1" t="n">
        <v>-503.74</v>
      </c>
      <c r="Q167" s="1" t="n">
        <v>-1117.86</v>
      </c>
      <c r="R167" s="12" t="n">
        <v>-932.8</v>
      </c>
      <c r="S167" s="12" t="n">
        <v>-1326.15</v>
      </c>
      <c r="T167" s="12" t="n">
        <v>-1326.15</v>
      </c>
      <c r="U167" s="12" t="n">
        <v>-1326.15</v>
      </c>
      <c r="V167" s="12" t="n">
        <v>-1326.15</v>
      </c>
      <c r="W167" s="12">
        <f>SUM(K167:V167)</f>
        <v/>
      </c>
      <c r="X167" s="8" t="inlineStr">
        <is>
          <t>Coste operativo general de estructura y servicios de oficinas/fábrica (promedio histórico).</t>
        </is>
      </c>
    </row>
    <row r="168">
      <c r="B168" t="n">
        <v>2026</v>
      </c>
      <c r="C168" t="inlineStr">
        <is>
          <t>Codiagro</t>
        </is>
      </c>
      <c r="D168" t="inlineStr">
        <is>
          <t>RESULTADO DEL EJERCICIO</t>
        </is>
      </c>
      <c r="E168" t="inlineStr">
        <is>
          <t>RESULTADO ANTES DE IMPUESTOS</t>
        </is>
      </c>
      <c r="F168" t="inlineStr">
        <is>
          <t>RESULTADO DE LA EXPLOTACION</t>
        </is>
      </c>
      <c r="G168" t="inlineStr">
        <is>
          <t>7.- Otros gastos de explotación</t>
        </is>
      </c>
      <c r="H168" t="inlineStr">
        <is>
          <t>(629) Otros servicios</t>
        </is>
      </c>
      <c r="I168" t="inlineStr">
        <is>
          <t>629000013 - FORMACION NO BONIFICADA</t>
        </is>
      </c>
      <c r="J168" t="inlineStr">
        <is>
          <t>-</t>
        </is>
      </c>
      <c r="K168" s="1" t="n">
        <v>0</v>
      </c>
      <c r="L168" s="1" t="n">
        <v>0</v>
      </c>
      <c r="M168" s="1" t="n">
        <v>-400</v>
      </c>
      <c r="N168" s="1" t="n">
        <v>0</v>
      </c>
      <c r="O168" s="9" t="n">
        <v>-625.2</v>
      </c>
      <c r="P168" s="1" t="inlineStr">
        <is>
          <t xml:space="preserve">                            -  </t>
        </is>
      </c>
      <c r="Q168" s="1" t="n">
        <v>0</v>
      </c>
      <c r="R168" s="12" t="n">
        <v>-4513.8</v>
      </c>
      <c r="S168" s="12" t="n">
        <v>-1846.33</v>
      </c>
      <c r="T168" s="12" t="n">
        <v>-1846.33</v>
      </c>
      <c r="U168" s="12" t="n">
        <v>-1846.33</v>
      </c>
      <c r="V168" s="12" t="n">
        <v>-1846.33</v>
      </c>
      <c r="W168" s="12">
        <f>SUM(K168:V168)</f>
        <v/>
      </c>
      <c r="X168" s="8" t="inlineStr">
        <is>
          <t>Coste operativo general de estructura y servicios de oficinas/fábrica (promedio histórico).</t>
        </is>
      </c>
    </row>
    <row r="169">
      <c r="B169" t="n">
        <v>2026</v>
      </c>
      <c r="C169" t="inlineStr">
        <is>
          <t>Codiagro</t>
        </is>
      </c>
      <c r="D169" t="inlineStr">
        <is>
          <t>RESULTADO DEL EJERCICIO</t>
        </is>
      </c>
      <c r="E169" t="inlineStr">
        <is>
          <t>RESULTADO ANTES DE IMPUESTOS</t>
        </is>
      </c>
      <c r="F169" t="inlineStr">
        <is>
          <t>RESULTADO DE LA EXPLOTACION</t>
        </is>
      </c>
      <c r="G169" t="inlineStr">
        <is>
          <t>7.- Otros gastos de explotación</t>
        </is>
      </c>
      <c r="H169" t="inlineStr">
        <is>
          <t>(629) Otros servicios</t>
        </is>
      </c>
      <c r="I169" t="inlineStr">
        <is>
          <t>629000014 - ROPA LABORAL</t>
        </is>
      </c>
      <c r="J169" t="inlineStr">
        <is>
          <t>-</t>
        </is>
      </c>
      <c r="K169" s="1" t="n">
        <v>0</v>
      </c>
      <c r="L169" s="1" t="n">
        <v>-351.4</v>
      </c>
      <c r="M169" s="1" t="n">
        <v>0</v>
      </c>
      <c r="N169" s="1" t="n">
        <v>0</v>
      </c>
      <c r="O169" s="9" t="inlineStr">
        <is>
          <t xml:space="preserve">                            -  </t>
        </is>
      </c>
      <c r="P169" s="1" t="inlineStr">
        <is>
          <t xml:space="preserve">                            -  </t>
        </is>
      </c>
      <c r="Q169" s="1" t="n">
        <v>-98.8</v>
      </c>
      <c r="R169" s="12" t="n">
        <v>-340</v>
      </c>
      <c r="S169" s="12" t="n">
        <v>-263.4</v>
      </c>
      <c r="T169" s="12" t="n">
        <v>-263.4</v>
      </c>
      <c r="U169" s="12" t="n">
        <v>-263.4</v>
      </c>
      <c r="V169" s="12" t="n">
        <v>-263.4</v>
      </c>
      <c r="W169" s="12">
        <f>SUM(K169:V169)</f>
        <v/>
      </c>
      <c r="X169" s="8" t="inlineStr">
        <is>
          <t>Coste operativo general de estructura y servicios de oficinas/fábrica (promedio histórico).</t>
        </is>
      </c>
    </row>
    <row r="170">
      <c r="B170" t="n">
        <v>2026</v>
      </c>
      <c r="C170" t="inlineStr">
        <is>
          <t>Codiagro</t>
        </is>
      </c>
      <c r="D170" t="inlineStr">
        <is>
          <t>RESULTADO DEL EJERCICIO</t>
        </is>
      </c>
      <c r="E170" t="inlineStr">
        <is>
          <t>RESULTADO ANTES DE IMPUESTOS</t>
        </is>
      </c>
      <c r="F170" t="inlineStr">
        <is>
          <t>RESULTADO DE LA EXPLOTACION</t>
        </is>
      </c>
      <c r="G170" t="inlineStr">
        <is>
          <t>7.- Otros gastos de explotación</t>
        </is>
      </c>
      <c r="H170" t="inlineStr">
        <is>
          <t>(629) Otros servicios</t>
        </is>
      </c>
      <c r="I170" t="inlineStr">
        <is>
          <t>629000015 MATERIAL DE OFICINA</t>
        </is>
      </c>
      <c r="J170" t="inlineStr">
        <is>
          <t>-</t>
        </is>
      </c>
      <c r="K170" s="1" t="n">
        <v>0</v>
      </c>
      <c r="L170" s="1" t="n">
        <v>0</v>
      </c>
      <c r="M170" s="1" t="n">
        <v>0</v>
      </c>
      <c r="N170" s="1" t="n">
        <v>0</v>
      </c>
      <c r="O170" s="9" t="n">
        <v>0</v>
      </c>
      <c r="P170" s="1" t="n">
        <v>0</v>
      </c>
      <c r="Q170" s="1" t="n">
        <v>-206.45</v>
      </c>
      <c r="R170" s="12" t="n">
        <v>-107.24</v>
      </c>
      <c r="S170" s="12" t="n">
        <v>-156.84</v>
      </c>
      <c r="T170" s="12" t="n">
        <v>-156.84</v>
      </c>
      <c r="U170" s="12" t="n">
        <v>-156.84</v>
      </c>
      <c r="V170" s="12" t="n">
        <v>-156.84</v>
      </c>
      <c r="W170" s="12">
        <f>SUM(K170:V170)</f>
        <v/>
      </c>
      <c r="X170" s="8" t="inlineStr">
        <is>
          <t>Coste operativo general de estructura y servicios de oficinas/fábrica (promedio histórico).</t>
        </is>
      </c>
    </row>
    <row r="171">
      <c r="B171" t="n">
        <v>2026</v>
      </c>
      <c r="C171" t="inlineStr">
        <is>
          <t>Codiagro</t>
        </is>
      </c>
      <c r="D171" t="inlineStr">
        <is>
          <t>RESULTADO DEL EJERCICIO</t>
        </is>
      </c>
      <c r="E171" t="inlineStr">
        <is>
          <t>RESULTADO ANTES DE IMPUESTOS</t>
        </is>
      </c>
      <c r="F171" t="inlineStr">
        <is>
          <t>RESULTADO DE LA EXPLOTACION</t>
        </is>
      </c>
      <c r="G171" t="inlineStr">
        <is>
          <t>7.- Otros gastos de explotación</t>
        </is>
      </c>
      <c r="H171" t="inlineStr">
        <is>
          <t>(629) Otros servicios</t>
        </is>
      </c>
      <c r="I171" t="inlineStr">
        <is>
          <t>629000016 HERRAMIENTAS</t>
        </is>
      </c>
      <c r="J171" t="inlineStr">
        <is>
          <t>-</t>
        </is>
      </c>
      <c r="K171" s="1" t="n"/>
      <c r="L171" s="1" t="n"/>
      <c r="M171" s="1" t="n"/>
      <c r="N171" s="1" t="n"/>
      <c r="P171" s="1" t="n"/>
      <c r="Q171" s="1" t="n"/>
      <c r="R171" s="12" t="n">
        <v>-500.03</v>
      </c>
      <c r="S171" s="12" t="n">
        <v>-500.03</v>
      </c>
      <c r="T171" s="12" t="n">
        <v>-500.03</v>
      </c>
      <c r="U171" s="12" t="n">
        <v>-500.03</v>
      </c>
      <c r="V171" s="12" t="n">
        <v>-500.03</v>
      </c>
      <c r="W171" s="12">
        <f>SUM(K171:V171)</f>
        <v/>
      </c>
      <c r="X171" s="8" t="inlineStr">
        <is>
          <t>Coste operativo general de estructura y servicios de oficinas/fábrica (promedio histórico).</t>
        </is>
      </c>
    </row>
    <row r="172">
      <c r="B172" t="n">
        <v>2026</v>
      </c>
      <c r="C172" t="inlineStr">
        <is>
          <t>Codiagro</t>
        </is>
      </c>
      <c r="D172" t="inlineStr">
        <is>
          <t>RESULTADO DEL EJERCICIO</t>
        </is>
      </c>
      <c r="E172" t="inlineStr">
        <is>
          <t>RESULTADO ANTES DE IMPUESTOS</t>
        </is>
      </c>
      <c r="F172" t="inlineStr">
        <is>
          <t>RESULTADO DE LA EXPLOTACION</t>
        </is>
      </c>
      <c r="G172" t="inlineStr">
        <is>
          <t>7.- Otros gastos de explotación</t>
        </is>
      </c>
      <c r="H172" t="inlineStr">
        <is>
          <t>(629) Otros servicios</t>
        </is>
      </c>
      <c r="I172" t="inlineStr">
        <is>
          <t>629100001 - GASTOS COMERCIALES PERE PORTA</t>
        </is>
      </c>
      <c r="J172" t="inlineStr">
        <is>
          <t>-</t>
        </is>
      </c>
      <c r="K172" s="1" t="n">
        <v>-1325.34</v>
      </c>
      <c r="L172" s="1" t="n">
        <v>-2819.19</v>
      </c>
      <c r="M172" s="1" t="n">
        <v>-1737.88</v>
      </c>
      <c r="N172" s="1" t="n">
        <v>-1506.87</v>
      </c>
      <c r="O172" s="9" t="n">
        <v>-2533.93</v>
      </c>
      <c r="P172" s="1" t="n">
        <v>-5047.35</v>
      </c>
      <c r="Q172" s="1" t="n">
        <v>-6591.35</v>
      </c>
      <c r="R172" s="12" t="n">
        <v>-2380.04</v>
      </c>
      <c r="S172" s="12" t="n">
        <v>-2800</v>
      </c>
      <c r="T172" s="12" t="n">
        <v>-3200</v>
      </c>
      <c r="U172" s="12" t="n">
        <v>-3200</v>
      </c>
      <c r="V172" s="12" t="n">
        <v>-3500</v>
      </c>
      <c r="W172" s="12">
        <f>SUM(K172:V172)</f>
        <v/>
      </c>
      <c r="X172" s="8" t="inlineStr">
        <is>
          <t>Gastos comerciales de viaje, kilometraje y dietas vinculados a visitas y prospección de clientes.</t>
        </is>
      </c>
    </row>
    <row r="173">
      <c r="B173" t="n">
        <v>2026</v>
      </c>
      <c r="C173" t="inlineStr">
        <is>
          <t>Codiagro</t>
        </is>
      </c>
      <c r="D173" t="inlineStr">
        <is>
          <t>RESULTADO DEL EJERCICIO</t>
        </is>
      </c>
      <c r="E173" t="inlineStr">
        <is>
          <t>RESULTADO ANTES DE IMPUESTOS</t>
        </is>
      </c>
      <c r="F173" t="inlineStr">
        <is>
          <t>RESULTADO DE LA EXPLOTACION</t>
        </is>
      </c>
      <c r="G173" t="inlineStr">
        <is>
          <t>7.- Otros gastos de explotación</t>
        </is>
      </c>
      <c r="H173" t="inlineStr">
        <is>
          <t>(629) Otros servicios</t>
        </is>
      </c>
      <c r="I173" t="inlineStr">
        <is>
          <t>629100002 - GASTOS RICARDO PEREZ-SANTAMARINA</t>
        </is>
      </c>
      <c r="J173" t="inlineStr">
        <is>
          <t>-</t>
        </is>
      </c>
      <c r="K173" s="1" t="n">
        <v>-3865.16</v>
      </c>
      <c r="L173" s="1" t="n">
        <v>34.2</v>
      </c>
      <c r="M173" s="1" t="n">
        <v>-1710.02</v>
      </c>
      <c r="N173" s="1" t="n">
        <v>-532.08</v>
      </c>
      <c r="O173" s="9" t="n">
        <v>-2522.26</v>
      </c>
      <c r="P173" s="1" t="n">
        <v>-4633.35</v>
      </c>
      <c r="Q173" s="1" t="n">
        <v>-2854.53</v>
      </c>
      <c r="R173" s="12" t="n">
        <v>-1290.01</v>
      </c>
      <c r="S173" s="12" t="n">
        <v>-2000</v>
      </c>
      <c r="T173" s="12" t="n">
        <v>-2300</v>
      </c>
      <c r="U173" s="12" t="n">
        <v>-2300</v>
      </c>
      <c r="V173" s="12" t="n">
        <v>-2500</v>
      </c>
      <c r="W173" s="12">
        <f>SUM(K173:V173)</f>
        <v/>
      </c>
      <c r="X173" s="8" t="inlineStr">
        <is>
          <t>Gastos comerciales de viaje, representación y prospección comercial en zona asignada.</t>
        </is>
      </c>
    </row>
    <row r="174">
      <c r="B174" t="n">
        <v>2026</v>
      </c>
      <c r="C174" t="inlineStr">
        <is>
          <t>Codiagro</t>
        </is>
      </c>
      <c r="D174" t="inlineStr">
        <is>
          <t>RESULTADO DEL EJERCICIO</t>
        </is>
      </c>
      <c r="E174" t="inlineStr">
        <is>
          <t>RESULTADO ANTES DE IMPUESTOS</t>
        </is>
      </c>
      <c r="F174" t="inlineStr">
        <is>
          <t>RESULTADO DE LA EXPLOTACION</t>
        </is>
      </c>
      <c r="G174" t="inlineStr">
        <is>
          <t>7.- Otros gastos de explotación</t>
        </is>
      </c>
      <c r="H174" t="inlineStr">
        <is>
          <t>(629) Otros servicios</t>
        </is>
      </c>
      <c r="I174" t="inlineStr">
        <is>
          <t>629100003 - GASTOS JAVIER PAREDES</t>
        </is>
      </c>
      <c r="J174" t="inlineStr">
        <is>
          <t>-</t>
        </is>
      </c>
      <c r="K174" s="1" t="n">
        <v>-557.4299999999999</v>
      </c>
      <c r="L174" s="1" t="n">
        <v>-1592.89</v>
      </c>
      <c r="M174" s="1" t="n">
        <v>-800.5599999999999</v>
      </c>
      <c r="N174" s="1" t="n">
        <v>-929.26</v>
      </c>
      <c r="O174" s="9" t="n">
        <v>-1786.27</v>
      </c>
      <c r="P174" s="1" t="n">
        <v>-936.54</v>
      </c>
      <c r="Q174" s="1" t="n">
        <v>-759.39</v>
      </c>
      <c r="R174" s="12" t="n">
        <v>-1377.28</v>
      </c>
      <c r="S174" s="12" t="n">
        <v>-1092.45</v>
      </c>
      <c r="T174" s="12" t="n">
        <v>-1092.45</v>
      </c>
      <c r="U174" s="12" t="n">
        <v>-1092.45</v>
      </c>
      <c r="V174" s="12" t="n">
        <v>-1092.45</v>
      </c>
      <c r="W174" s="12">
        <f>SUM(K174:V174)</f>
        <v/>
      </c>
      <c r="X174" s="8" t="inlineStr">
        <is>
          <t>Coste operativo general de estructura y servicios de oficinas/fábrica (promedio histórico).</t>
        </is>
      </c>
    </row>
    <row r="175">
      <c r="B175" t="n">
        <v>2026</v>
      </c>
      <c r="C175" t="inlineStr">
        <is>
          <t>Codiagro</t>
        </is>
      </c>
      <c r="D175" t="inlineStr">
        <is>
          <t>RESULTADO DEL EJERCICIO</t>
        </is>
      </c>
      <c r="E175" t="inlineStr">
        <is>
          <t>RESULTADO ANTES DE IMPUESTOS</t>
        </is>
      </c>
      <c r="F175" t="inlineStr">
        <is>
          <t>RESULTADO DE LA EXPLOTACION</t>
        </is>
      </c>
      <c r="G175" t="inlineStr">
        <is>
          <t>7.- Otros gastos de explotación</t>
        </is>
      </c>
      <c r="H175" t="inlineStr">
        <is>
          <t>(629) Otros servicios</t>
        </is>
      </c>
      <c r="I175" t="inlineStr">
        <is>
          <t>629100004 - GASTOS GARCIA</t>
        </is>
      </c>
      <c r="J175" t="inlineStr">
        <is>
          <t>-</t>
        </is>
      </c>
      <c r="K175" s="1" t="n">
        <v>-274.08</v>
      </c>
      <c r="L175" s="1" t="n">
        <v>-503.96</v>
      </c>
      <c r="M175" s="1" t="n">
        <v>-762.8</v>
      </c>
      <c r="N175" s="1" t="n">
        <v>-391.86</v>
      </c>
      <c r="O175" s="9" t="n">
        <v>-3016.62</v>
      </c>
      <c r="P175" s="1" t="n">
        <v>-553.36</v>
      </c>
      <c r="Q175" s="1" t="n">
        <v>-614.65</v>
      </c>
      <c r="R175" s="12" t="n">
        <v>-283.03</v>
      </c>
      <c r="S175" s="12" t="n">
        <v>-800.04</v>
      </c>
      <c r="T175" s="12" t="n">
        <v>-800.04</v>
      </c>
      <c r="U175" s="12" t="n">
        <v>-800.04</v>
      </c>
      <c r="V175" s="12" t="n">
        <v>-800.04</v>
      </c>
      <c r="W175" s="12">
        <f>SUM(K175:V175)</f>
        <v/>
      </c>
      <c r="X175" s="8" t="inlineStr">
        <is>
          <t>Coste operativo general de estructura y servicios de oficinas/fábrica (promedio histórico).</t>
        </is>
      </c>
    </row>
    <row r="176">
      <c r="B176" t="n">
        <v>2026</v>
      </c>
      <c r="C176" t="inlineStr">
        <is>
          <t>Codiagro</t>
        </is>
      </c>
      <c r="D176" t="inlineStr">
        <is>
          <t>RESULTADO DEL EJERCICIO</t>
        </is>
      </c>
      <c r="E176" t="inlineStr">
        <is>
          <t>RESULTADO ANTES DE IMPUESTOS</t>
        </is>
      </c>
      <c r="F176" t="inlineStr">
        <is>
          <t>RESULTADO DE LA EXPLOTACION</t>
        </is>
      </c>
      <c r="G176" t="inlineStr">
        <is>
          <t>7.- Otros gastos de explotación</t>
        </is>
      </c>
      <c r="H176" t="inlineStr">
        <is>
          <t>(629) Otros servicios</t>
        </is>
      </c>
      <c r="I176" t="inlineStr">
        <is>
          <t>629100005 - GASTOS IRENE</t>
        </is>
      </c>
      <c r="J176" t="inlineStr">
        <is>
          <t>-</t>
        </is>
      </c>
      <c r="K176" s="1" t="n">
        <v>-313.19</v>
      </c>
      <c r="L176" s="1" t="n">
        <v>-219.25</v>
      </c>
      <c r="M176" s="1" t="n">
        <v>-436.29</v>
      </c>
      <c r="N176" s="1" t="n">
        <v>-325.15</v>
      </c>
      <c r="O176" s="9" t="n">
        <v>-506.79</v>
      </c>
      <c r="P176" s="1" t="n">
        <v>-887.3</v>
      </c>
      <c r="Q176" s="1" t="n">
        <v>-413.5</v>
      </c>
      <c r="R176" s="12" t="n">
        <v>-281.24</v>
      </c>
      <c r="S176" s="12" t="n">
        <v>-422.84</v>
      </c>
      <c r="T176" s="12" t="n">
        <v>-422.84</v>
      </c>
      <c r="U176" s="12" t="n">
        <v>-422.84</v>
      </c>
      <c r="V176" s="12" t="n">
        <v>-422.84</v>
      </c>
      <c r="W176" s="12">
        <f>SUM(K176:V176)</f>
        <v/>
      </c>
      <c r="X176" s="8" t="inlineStr">
        <is>
          <t>Coste operativo general de estructura y servicios de oficinas/fábrica (promedio histórico).</t>
        </is>
      </c>
    </row>
    <row r="177">
      <c r="B177" t="n">
        <v>2026</v>
      </c>
      <c r="C177" t="inlineStr">
        <is>
          <t>Codiagro</t>
        </is>
      </c>
      <c r="D177" t="inlineStr">
        <is>
          <t>RESULTADO DEL EJERCICIO</t>
        </is>
      </c>
      <c r="E177" t="inlineStr">
        <is>
          <t>RESULTADO ANTES DE IMPUESTOS</t>
        </is>
      </c>
      <c r="F177" t="inlineStr">
        <is>
          <t>RESULTADO DE LA EXPLOTACION</t>
        </is>
      </c>
      <c r="G177" t="inlineStr">
        <is>
          <t>7.- Otros gastos de explotación</t>
        </is>
      </c>
      <c r="H177" t="inlineStr">
        <is>
          <t>(629) Otros servicios</t>
        </is>
      </c>
      <c r="I177" t="inlineStr">
        <is>
          <t>629100006 - GASTOS ANTONIO ANDREU</t>
        </is>
      </c>
      <c r="J177" t="inlineStr">
        <is>
          <t>-</t>
        </is>
      </c>
      <c r="K177" s="1" t="n">
        <v>-118.28</v>
      </c>
      <c r="L177" s="1" t="n">
        <v>0</v>
      </c>
      <c r="M177" s="1" t="n">
        <v>-301.79</v>
      </c>
      <c r="N177" s="1" t="n">
        <v>-166.56</v>
      </c>
      <c r="O177" s="1" t="n">
        <v>-222.62</v>
      </c>
      <c r="P177" s="1" t="n">
        <v>-202.95</v>
      </c>
      <c r="Q177" s="1" t="inlineStr">
        <is>
          <t xml:space="preserve">                                             -  </t>
        </is>
      </c>
      <c r="R177" s="12" t="n">
        <v>0</v>
      </c>
      <c r="S177" s="12" t="n">
        <v>-202.44</v>
      </c>
      <c r="T177" s="12" t="n">
        <v>-202.44</v>
      </c>
      <c r="U177" s="12" t="n">
        <v>-202.44</v>
      </c>
      <c r="V177" s="12" t="n">
        <v>-202.44</v>
      </c>
      <c r="W177" s="12">
        <f>SUM(K177:V177)</f>
        <v/>
      </c>
      <c r="X177" s="8" t="inlineStr">
        <is>
          <t>Coste operativo general de estructura y servicios de oficinas/fábrica (promedio histórico).</t>
        </is>
      </c>
    </row>
    <row r="178">
      <c r="B178" t="n">
        <v>2026</v>
      </c>
      <c r="C178" t="inlineStr">
        <is>
          <t>Codiagro</t>
        </is>
      </c>
      <c r="D178" t="inlineStr">
        <is>
          <t>RESULTADO DEL EJERCICIO</t>
        </is>
      </c>
      <c r="E178" t="inlineStr">
        <is>
          <t>RESULTADO ANTES DE IMPUESTOS</t>
        </is>
      </c>
      <c r="F178" t="inlineStr">
        <is>
          <t>RESULTADO DE LA EXPLOTACION</t>
        </is>
      </c>
      <c r="G178" t="inlineStr">
        <is>
          <t>7.- Otros gastos de explotación</t>
        </is>
      </c>
      <c r="H178" t="inlineStr">
        <is>
          <t>(629) Otros servicios</t>
        </is>
      </c>
      <c r="I178" t="inlineStr">
        <is>
          <t>629100007 - GASTOS CURRO</t>
        </is>
      </c>
      <c r="J178" t="inlineStr">
        <is>
          <t>-</t>
        </is>
      </c>
      <c r="K178" s="1" t="n">
        <v>-210.18</v>
      </c>
      <c r="L178" s="1" t="n">
        <v>0</v>
      </c>
      <c r="M178" s="1" t="n">
        <v>-33.06</v>
      </c>
      <c r="N178" s="1" t="n">
        <v>0</v>
      </c>
      <c r="O178" s="1" t="inlineStr">
        <is>
          <t xml:space="preserve">                            -  </t>
        </is>
      </c>
      <c r="P178" s="1" t="n">
        <v>-20.5</v>
      </c>
      <c r="Q178" s="1" t="inlineStr">
        <is>
          <t xml:space="preserve">                                             -  </t>
        </is>
      </c>
      <c r="R178" s="12" t="n">
        <v>-100.45</v>
      </c>
      <c r="S178" s="12" t="n">
        <v>-91.05</v>
      </c>
      <c r="T178" s="12" t="n">
        <v>-91.05</v>
      </c>
      <c r="U178" s="12" t="n">
        <v>-91.05</v>
      </c>
      <c r="V178" s="12" t="n">
        <v>-91.05</v>
      </c>
      <c r="W178" s="12">
        <f>SUM(K178:V178)</f>
        <v/>
      </c>
      <c r="X178" s="8" t="inlineStr">
        <is>
          <t>Coste operativo general de estructura y servicios de oficinas/fábrica (promedio histórico).</t>
        </is>
      </c>
    </row>
    <row r="179">
      <c r="B179" t="n">
        <v>2026</v>
      </c>
      <c r="C179" t="inlineStr">
        <is>
          <t>Codiagro</t>
        </is>
      </c>
      <c r="D179" t="inlineStr">
        <is>
          <t>RESULTADO DEL EJERCICIO</t>
        </is>
      </c>
      <c r="E179" t="inlineStr">
        <is>
          <t>RESULTADO ANTES DE IMPUESTOS</t>
        </is>
      </c>
      <c r="F179" t="inlineStr">
        <is>
          <t>RESULTADO DE LA EXPLOTACION</t>
        </is>
      </c>
      <c r="G179" t="inlineStr">
        <is>
          <t>7.- Otros gastos de explotación</t>
        </is>
      </c>
      <c r="H179" t="inlineStr">
        <is>
          <t>(629) Otros servicios</t>
        </is>
      </c>
      <c r="I179" t="inlineStr">
        <is>
          <t>629100008 GASTOS PEDRO MEDINA</t>
        </is>
      </c>
      <c r="J179" t="inlineStr">
        <is>
          <t>-</t>
        </is>
      </c>
      <c r="K179" s="1" t="n"/>
      <c r="L179" s="1" t="n"/>
      <c r="M179" s="1" t="n"/>
      <c r="N179" s="1" t="n"/>
      <c r="P179" s="1" t="n"/>
      <c r="Q179" s="1" t="n"/>
      <c r="R179" s="12" t="n">
        <v>-141.14</v>
      </c>
      <c r="S179" s="12" t="n">
        <v>-141.14</v>
      </c>
      <c r="T179" s="12" t="n">
        <v>-141.14</v>
      </c>
      <c r="U179" s="12" t="n">
        <v>-141.14</v>
      </c>
      <c r="V179" s="12" t="n">
        <v>-141.14</v>
      </c>
      <c r="W179" s="12">
        <f>SUM(K179:V179)</f>
        <v/>
      </c>
      <c r="X179" s="8" t="inlineStr">
        <is>
          <t>Coste operativo general de estructura y servicios de oficinas/fábrica (promedio histórico).</t>
        </is>
      </c>
    </row>
    <row r="180">
      <c r="B180" t="n">
        <v>2026</v>
      </c>
      <c r="C180" t="inlineStr">
        <is>
          <t>Codiagro</t>
        </is>
      </c>
      <c r="D180" t="inlineStr">
        <is>
          <t>RESULTADO DEL EJERCICIO</t>
        </is>
      </c>
      <c r="E180" t="inlineStr">
        <is>
          <t>RESULTADO ANTES DE IMPUESTOS</t>
        </is>
      </c>
      <c r="F180" t="inlineStr">
        <is>
          <t>RESULTADO DE LA EXPLOTACION</t>
        </is>
      </c>
      <c r="G180" t="inlineStr">
        <is>
          <t>7.- Otros gastos de explotación</t>
        </is>
      </c>
      <c r="H180" t="inlineStr">
        <is>
          <t>(631) Otros tributos</t>
        </is>
      </c>
      <c r="I180" t="inlineStr">
        <is>
          <t>631000001 - IMPUESTOS VEHÍCULOS</t>
        </is>
      </c>
      <c r="J180" t="inlineStr">
        <is>
          <t>-</t>
        </is>
      </c>
      <c r="K180" s="1" t="n">
        <v>0</v>
      </c>
      <c r="L180" s="1" t="n">
        <v>0</v>
      </c>
      <c r="M180" s="1" t="n">
        <v>0</v>
      </c>
      <c r="N180" s="1" t="n">
        <v>-284.56</v>
      </c>
      <c r="O180" s="9" t="n">
        <v>-27.57</v>
      </c>
      <c r="P180" s="1" t="inlineStr">
        <is>
          <t xml:space="preserve">                            -  </t>
        </is>
      </c>
      <c r="Q180" s="1" t="n">
        <v>0</v>
      </c>
      <c r="R180" s="12" t="n">
        <v>0</v>
      </c>
      <c r="S180" s="12" t="n">
        <v>-156.06</v>
      </c>
      <c r="T180" s="12" t="n">
        <v>-156.06</v>
      </c>
      <c r="U180" s="12" t="n">
        <v>-156.06</v>
      </c>
      <c r="V180" s="12" t="n">
        <v>-156.06</v>
      </c>
      <c r="W180" s="12">
        <f>SUM(K180:V180)</f>
        <v/>
      </c>
      <c r="X180" s="8" t="inlineStr">
        <is>
          <t>Coste fijo tributario: tasas municipales y tributos recurrentes de la actividad.</t>
        </is>
      </c>
    </row>
    <row r="181">
      <c r="B181" t="n">
        <v>2026</v>
      </c>
      <c r="C181" t="inlineStr">
        <is>
          <t>Codiagro</t>
        </is>
      </c>
      <c r="D181" t="inlineStr">
        <is>
          <t>RESULTADO DEL EJERCICIO</t>
        </is>
      </c>
      <c r="E181" t="inlineStr">
        <is>
          <t>RESULTADO ANTES DE IMPUESTOS</t>
        </is>
      </c>
      <c r="F181" t="inlineStr">
        <is>
          <t>RESULTADO DE LA EXPLOTACION</t>
        </is>
      </c>
      <c r="G181" t="inlineStr">
        <is>
          <t>7.- Otros gastos de explotación</t>
        </is>
      </c>
      <c r="H181" t="inlineStr">
        <is>
          <t>(631) Otros tributos</t>
        </is>
      </c>
      <c r="I181" t="inlineStr">
        <is>
          <t>631000002 - TASAS</t>
        </is>
      </c>
      <c r="J181" t="inlineStr">
        <is>
          <t>-</t>
        </is>
      </c>
      <c r="K181" s="1" t="n"/>
      <c r="L181" s="1" t="n"/>
      <c r="M181" s="1" t="n"/>
      <c r="N181" s="1" t="n"/>
      <c r="O181" s="9" t="n">
        <v>-581.49</v>
      </c>
      <c r="P181" s="1" t="inlineStr">
        <is>
          <t xml:space="preserve">                            -  </t>
        </is>
      </c>
      <c r="Q181" s="1" t="n">
        <v>0</v>
      </c>
      <c r="R181" s="12" t="n">
        <v>0</v>
      </c>
      <c r="S181" s="12" t="n">
        <v>-581.49</v>
      </c>
      <c r="T181" s="12" t="n">
        <v>-581.49</v>
      </c>
      <c r="U181" s="12" t="n">
        <v>-581.49</v>
      </c>
      <c r="V181" s="12" t="n">
        <v>-581.49</v>
      </c>
      <c r="W181" s="12">
        <f>SUM(K181:V181)</f>
        <v/>
      </c>
      <c r="X181" s="8" t="inlineStr">
        <is>
          <t>Coste fijo tributario: tasas municipales y tributos recurrentes de la actividad.</t>
        </is>
      </c>
    </row>
    <row r="182">
      <c r="B182" t="n">
        <v>2026</v>
      </c>
      <c r="C182" t="inlineStr">
        <is>
          <t>Codiagro</t>
        </is>
      </c>
      <c r="D182" t="inlineStr">
        <is>
          <t>RESULTADO DEL EJERCICIO</t>
        </is>
      </c>
      <c r="E182" t="inlineStr">
        <is>
          <t>RESULTADO ANTES DE IMPUESTOS</t>
        </is>
      </c>
      <c r="F182" t="inlineStr">
        <is>
          <t>RESULTADO DE LA EXPLOTACION</t>
        </is>
      </c>
      <c r="G182" t="inlineStr">
        <is>
          <t>7.- Otros gastos de explotación</t>
        </is>
      </c>
      <c r="H182" t="inlineStr">
        <is>
          <t>(631) Otros tributos</t>
        </is>
      </c>
      <c r="I182" t="inlineStr">
        <is>
          <t>631000004 IBIB</t>
        </is>
      </c>
      <c r="J182" t="inlineStr">
        <is>
          <t>-</t>
        </is>
      </c>
      <c r="K182" s="1" t="n"/>
      <c r="L182" s="1" t="n"/>
      <c r="M182" s="1" t="n"/>
      <c r="N182" s="1" t="n"/>
      <c r="P182" s="1" t="n"/>
      <c r="Q182" s="1" t="n"/>
      <c r="R182" s="12" t="n">
        <v>-7396.59</v>
      </c>
      <c r="S182" s="10" t="n">
        <v>0</v>
      </c>
      <c r="T182" s="10" t="n">
        <v>0</v>
      </c>
      <c r="U182" s="10" t="n">
        <v>0</v>
      </c>
      <c r="V182" s="10" t="n">
        <v>0</v>
      </c>
      <c r="W182" s="10">
        <f>SUM(K182:V182)</f>
        <v/>
      </c>
      <c r="X182" s="8" t="inlineStr">
        <is>
          <t>Tasas e impuestos municipales (IBI): eliminadas las partidas de sep a dic del 2026 por estar ya pagado en el ejercicio. En el 2027 poner la misma cantidad que ya se ha pagado en el 2026 (-7.396,59 €).</t>
        </is>
      </c>
    </row>
    <row r="183">
      <c r="B183" t="n">
        <v>2026</v>
      </c>
      <c r="C183" t="inlineStr">
        <is>
          <t>Codiagro</t>
        </is>
      </c>
      <c r="D183" t="inlineStr">
        <is>
          <t>RESULTADO DEL EJERCICIO</t>
        </is>
      </c>
      <c r="E183" t="inlineStr">
        <is>
          <t>RESULTADO ANTES DE IMPUESTOS</t>
        </is>
      </c>
      <c r="F183" t="inlineStr">
        <is>
          <t>RESULTADO DE LA EXPLOTACION</t>
        </is>
      </c>
      <c r="G183" t="inlineStr">
        <is>
          <t>7.- Otros gastos de explotación</t>
        </is>
      </c>
      <c r="H183" t="inlineStr">
        <is>
          <t>(631) Otros tributos</t>
        </is>
      </c>
      <c r="I183" t="inlineStr">
        <is>
          <t>631000006 - IMPUESTO PLASTICO NO RECICLADO</t>
        </is>
      </c>
      <c r="J183" t="inlineStr">
        <is>
          <t>-</t>
        </is>
      </c>
      <c r="K183" s="1" t="n">
        <v>-5921.54</v>
      </c>
      <c r="L183" s="1" t="n">
        <v>-1801.72</v>
      </c>
      <c r="M183" s="1" t="n">
        <v>-2503.22</v>
      </c>
      <c r="N183" s="1" t="n">
        <v>-285.97</v>
      </c>
      <c r="O183" s="9" t="n">
        <v>-159.84</v>
      </c>
      <c r="P183" s="1" t="n">
        <v>-4575.29</v>
      </c>
      <c r="Q183" s="1" t="n">
        <v>-5203.66</v>
      </c>
      <c r="R183" s="12" t="n">
        <v>-838.08</v>
      </c>
      <c r="S183" s="12" t="n">
        <v>-1190.61</v>
      </c>
      <c r="T183" s="12" t="n">
        <v>-2182.79</v>
      </c>
      <c r="U183" s="12" t="n">
        <v>-2976.53</v>
      </c>
      <c r="V183" s="12" t="n">
        <v>-3174.97</v>
      </c>
      <c r="W183" s="12">
        <f>SUM(K183:V183)</f>
        <v/>
      </c>
      <c r="X183" s="8" t="inlineStr">
        <is>
          <t>Coste variable regulatorio: tributo legal sobre envases de plástico virgen en función de los kg de plástico envasados.</t>
        </is>
      </c>
    </row>
    <row r="184">
      <c r="B184" t="n">
        <v>2026</v>
      </c>
      <c r="C184" t="inlineStr">
        <is>
          <t>Codiagro</t>
        </is>
      </c>
      <c r="D184" t="inlineStr">
        <is>
          <t>RESULTADO DEL EJERCICIO</t>
        </is>
      </c>
      <c r="E184" t="inlineStr">
        <is>
          <t>RESULTADO ANTES DE IMPUESTOS</t>
        </is>
      </c>
      <c r="F184" t="inlineStr">
        <is>
          <t>RESULTADO DE LA EXPLOTACION</t>
        </is>
      </c>
      <c r="G184" t="inlineStr">
        <is>
          <t>7.- Otros gastos de explotación</t>
        </is>
      </c>
      <c r="H184" t="inlineStr">
        <is>
          <t>(634) Ajustes negativos en la imposición indirecta</t>
        </is>
      </c>
      <c r="I184" t="inlineStr">
        <is>
          <t>634100000 - Ajustes negat. IVA circulante</t>
        </is>
      </c>
      <c r="J184" t="inlineStr">
        <is>
          <t>-</t>
        </is>
      </c>
      <c r="K184" s="1" t="n">
        <v>-693.91</v>
      </c>
      <c r="L184" s="1" t="n">
        <v>-557.9</v>
      </c>
      <c r="M184" s="1" t="n">
        <v>-881.48</v>
      </c>
      <c r="N184" s="1" t="n">
        <v>-630.79</v>
      </c>
      <c r="O184" s="9" t="inlineStr">
        <is>
          <t xml:space="preserve">                            -  </t>
        </is>
      </c>
      <c r="P184" s="1" t="inlineStr">
        <is>
          <t xml:space="preserve">                            -  </t>
        </is>
      </c>
      <c r="Q184" s="1" t="n">
        <v>0</v>
      </c>
      <c r="R184" s="12" t="n">
        <v>0</v>
      </c>
      <c r="S184" s="12" t="n">
        <v>-691.02</v>
      </c>
      <c r="T184" s="12" t="n">
        <v>-691.02</v>
      </c>
      <c r="U184" s="12" t="n">
        <v>-691.02</v>
      </c>
      <c r="V184" s="12" t="n">
        <v>-691.02</v>
      </c>
      <c r="W184" s="12">
        <f>SUM(K184:V184)</f>
        <v/>
      </c>
      <c r="X184" s="8" t="inlineStr">
        <is>
          <t>Proyección basada en el promedio mensual histórico de actividad.</t>
        </is>
      </c>
    </row>
    <row r="185">
      <c r="B185" t="n">
        <v>2026</v>
      </c>
      <c r="C185" t="inlineStr">
        <is>
          <t>Codiagro</t>
        </is>
      </c>
      <c r="D185" t="inlineStr">
        <is>
          <t>RESULTADO DEL EJERCICIO</t>
        </is>
      </c>
      <c r="E185" t="inlineStr">
        <is>
          <t>RESULTADO ANTES DE IMPUESTOS</t>
        </is>
      </c>
      <c r="F185" t="inlineStr">
        <is>
          <t>RESULTADO DE LA EXPLOTACION</t>
        </is>
      </c>
      <c r="G185" t="inlineStr">
        <is>
          <t>7.- Otros gastos de explotación</t>
        </is>
      </c>
      <c r="H185" t="inlineStr">
        <is>
          <t>(694) Pérdidas por op. Comerciales</t>
        </is>
      </c>
      <c r="I185" t="inlineStr">
        <is>
          <t>694000000 - Pérdidas deterioro de créditos por op.comerciales</t>
        </is>
      </c>
      <c r="J185" t="inlineStr">
        <is>
          <t>-</t>
        </is>
      </c>
      <c r="K185" s="1" t="n"/>
      <c r="L185" s="1" t="n"/>
      <c r="M185" s="1" t="n"/>
      <c r="N185" s="1" t="n"/>
      <c r="P185" s="1" t="n">
        <v>-211.6</v>
      </c>
      <c r="Q185" s="1" t="inlineStr">
        <is>
          <t xml:space="preserve">                                             -  </t>
        </is>
      </c>
      <c r="R185" s="12" t="n">
        <v>0</v>
      </c>
      <c r="S185" s="12" t="n">
        <v>-211.6</v>
      </c>
      <c r="T185" s="12" t="n">
        <v>-211.6</v>
      </c>
      <c r="U185" s="12" t="n">
        <v>-211.6</v>
      </c>
      <c r="V185" s="12" t="n">
        <v>-211.6</v>
      </c>
      <c r="W185" s="12">
        <f>SUM(K185:V185)</f>
        <v/>
      </c>
      <c r="X185" s="8" t="inlineStr">
        <is>
          <t>Proyección basada en el promedio mensual histórico de actividad.</t>
        </is>
      </c>
    </row>
    <row r="186">
      <c r="B186" t="n">
        <v>2026</v>
      </c>
      <c r="C186" t="inlineStr">
        <is>
          <t>Codiagro</t>
        </is>
      </c>
      <c r="D186" t="inlineStr">
        <is>
          <t>RESULTADO DEL EJERCICIO</t>
        </is>
      </c>
      <c r="E186" t="inlineStr">
        <is>
          <t>RESULTADO ANTES DE IMPUESTOS</t>
        </is>
      </c>
      <c r="F186" t="inlineStr">
        <is>
          <t>RESULTADO DE LA EXPLOTACION</t>
        </is>
      </c>
      <c r="G186" t="inlineStr">
        <is>
          <t>8.- Amortización del inmovilizado</t>
        </is>
      </c>
      <c r="H186" t="inlineStr">
        <is>
          <t>(681) Amortización del inmovilizado material</t>
        </is>
      </c>
      <c r="I186" t="inlineStr">
        <is>
          <t>681100000 - Amortización de construcciones</t>
        </is>
      </c>
      <c r="J186" t="inlineStr">
        <is>
          <t>-</t>
        </is>
      </c>
      <c r="K186" s="1" t="n">
        <v>-3154.35</v>
      </c>
      <c r="L186" s="1" t="n">
        <v>-3154.35</v>
      </c>
      <c r="M186" s="1" t="n">
        <v>-3154.35</v>
      </c>
      <c r="N186" s="1" t="n">
        <v>-3154.35</v>
      </c>
      <c r="O186" s="9" t="n">
        <v>-3154.35</v>
      </c>
      <c r="P186" s="1" t="n">
        <v>-3154.35</v>
      </c>
      <c r="Q186" s="1" t="n">
        <v>-3154.35</v>
      </c>
      <c r="R186" s="12" t="n">
        <v>-3154.35</v>
      </c>
      <c r="S186" s="12" t="n">
        <v>-3154.35</v>
      </c>
      <c r="T186" s="12" t="n">
        <v>-3154.35</v>
      </c>
      <c r="U186" s="12" t="n">
        <v>-3154.35</v>
      </c>
      <c r="V186" s="12" t="n">
        <v>-3154.35</v>
      </c>
      <c r="W186" s="12">
        <f>SUM(K186:V186)</f>
        <v/>
      </c>
      <c r="X186" s="8" t="inlineStr">
        <is>
          <t>Coste fijo estricto: dotación lineal mensual calculada según las tablas oficiales de amortización y vida útil del inmovilizado.</t>
        </is>
      </c>
    </row>
    <row r="187">
      <c r="B187" t="n">
        <v>2026</v>
      </c>
      <c r="C187" t="inlineStr">
        <is>
          <t>Codiagro</t>
        </is>
      </c>
      <c r="D187" t="inlineStr">
        <is>
          <t>RESULTADO DEL EJERCICIO</t>
        </is>
      </c>
      <c r="E187" t="inlineStr">
        <is>
          <t>RESULTADO ANTES DE IMPUESTOS</t>
        </is>
      </c>
      <c r="F187" t="inlineStr">
        <is>
          <t>RESULTADO DE LA EXPLOTACION</t>
        </is>
      </c>
      <c r="G187" t="inlineStr">
        <is>
          <t>8.- Amortización del inmovilizado</t>
        </is>
      </c>
      <c r="H187" t="inlineStr">
        <is>
          <t>(681) Amortización del inmovilizado material</t>
        </is>
      </c>
      <c r="I187" t="inlineStr">
        <is>
          <t>681200000 - Amortización de instalaciones técnicas</t>
        </is>
      </c>
      <c r="J187" t="inlineStr">
        <is>
          <t>-</t>
        </is>
      </c>
      <c r="K187" s="1" t="n">
        <v>-6245.7</v>
      </c>
      <c r="L187" s="1" t="n">
        <v>-6245.7</v>
      </c>
      <c r="M187" s="1" t="n">
        <v>-5719.74</v>
      </c>
      <c r="N187" s="1" t="n">
        <v>-5719.74</v>
      </c>
      <c r="O187" s="9" t="n">
        <v>-5719.74</v>
      </c>
      <c r="P187" s="1" t="n">
        <v>-5719.74</v>
      </c>
      <c r="Q187" s="1" t="n">
        <v>-5772.02</v>
      </c>
      <c r="R187" s="12" t="n">
        <v>-5772.02</v>
      </c>
      <c r="S187" s="12" t="n">
        <v>-5772</v>
      </c>
      <c r="T187" s="12" t="n">
        <v>-5772</v>
      </c>
      <c r="U187" s="12" t="n">
        <v>-5772</v>
      </c>
      <c r="V187" s="12" t="n">
        <v>-5772</v>
      </c>
      <c r="W187" s="12">
        <f>SUM(K187:V187)</f>
        <v/>
      </c>
      <c r="X187" s="8" t="inlineStr">
        <is>
          <t>Coste fijo estricto: dotación lineal mensual calculada según las tablas oficiales de amortización y vida útil del inmovilizado.</t>
        </is>
      </c>
    </row>
    <row r="188">
      <c r="B188" t="n">
        <v>2026</v>
      </c>
      <c r="C188" t="inlineStr">
        <is>
          <t>Codiagro</t>
        </is>
      </c>
      <c r="D188" t="inlineStr">
        <is>
          <t>RESULTADO DEL EJERCICIO</t>
        </is>
      </c>
      <c r="E188" t="inlineStr">
        <is>
          <t>RESULTADO ANTES DE IMPUESTOS</t>
        </is>
      </c>
      <c r="F188" t="inlineStr">
        <is>
          <t>RESULTADO DE LA EXPLOTACION</t>
        </is>
      </c>
      <c r="G188" t="inlineStr">
        <is>
          <t>8.- Amortización del inmovilizado</t>
        </is>
      </c>
      <c r="H188" t="inlineStr">
        <is>
          <t>(681) Amortización del inmovilizado material</t>
        </is>
      </c>
      <c r="I188" t="inlineStr">
        <is>
          <t>681300000 - Amortización de maquinaria</t>
        </is>
      </c>
      <c r="J188" t="inlineStr">
        <is>
          <t>-</t>
        </is>
      </c>
      <c r="K188" s="1" t="n">
        <v>-6398.5</v>
      </c>
      <c r="L188" s="1" t="n">
        <v>-6398.5</v>
      </c>
      <c r="M188" s="1" t="n">
        <v>-6398.5</v>
      </c>
      <c r="N188" s="1" t="n">
        <v>-6398.5</v>
      </c>
      <c r="O188" s="9" t="n">
        <v>-6398.5</v>
      </c>
      <c r="P188" s="1" t="n">
        <v>-6410.5</v>
      </c>
      <c r="Q188" s="1" t="n">
        <v>-6419.19</v>
      </c>
      <c r="R188" s="12" t="n">
        <v>-6419.19</v>
      </c>
      <c r="S188" s="12" t="n">
        <v>-6419</v>
      </c>
      <c r="T188" s="12" t="n">
        <v>-6419</v>
      </c>
      <c r="U188" s="12" t="n">
        <v>-6419</v>
      </c>
      <c r="V188" s="12" t="n">
        <v>-6419</v>
      </c>
      <c r="W188" s="12">
        <f>SUM(K188:V188)</f>
        <v/>
      </c>
      <c r="X188" s="8" t="inlineStr">
        <is>
          <t>Coste fijo estricto: dotación lineal mensual calculada según las tablas oficiales de amortización y vida útil del inmovilizado.</t>
        </is>
      </c>
    </row>
    <row r="189">
      <c r="B189" t="n">
        <v>2026</v>
      </c>
      <c r="C189" t="inlineStr">
        <is>
          <t>Codiagro</t>
        </is>
      </c>
      <c r="D189" t="inlineStr">
        <is>
          <t>RESULTADO DEL EJERCICIO</t>
        </is>
      </c>
      <c r="E189" t="inlineStr">
        <is>
          <t>RESULTADO ANTES DE IMPUESTOS</t>
        </is>
      </c>
      <c r="F189" t="inlineStr">
        <is>
          <t>RESULTADO DE LA EXPLOTACION</t>
        </is>
      </c>
      <c r="G189" t="inlineStr">
        <is>
          <t>8.- Amortización del inmovilizado</t>
        </is>
      </c>
      <c r="H189" t="inlineStr">
        <is>
          <t>(681) Amortización del inmovilizado material</t>
        </is>
      </c>
      <c r="I189" t="inlineStr">
        <is>
          <t>681500000 - Amortización de otras instalaciones</t>
        </is>
      </c>
      <c r="J189" t="inlineStr">
        <is>
          <t>-</t>
        </is>
      </c>
      <c r="K189" s="1" t="n">
        <v>-1522.43</v>
      </c>
      <c r="L189" s="1" t="n">
        <v>-1522.43</v>
      </c>
      <c r="M189" s="1" t="n">
        <v>-1522.43</v>
      </c>
      <c r="N189" s="1" t="n">
        <v>-1522.43</v>
      </c>
      <c r="O189" s="9" t="n">
        <v>-1522.43</v>
      </c>
      <c r="P189" s="1" t="n">
        <v>-1631.75</v>
      </c>
      <c r="Q189" s="1" t="n">
        <v>-1642.07</v>
      </c>
      <c r="R189" s="12" t="n">
        <v>-1642.07</v>
      </c>
      <c r="S189" s="12" t="n">
        <v>-1642</v>
      </c>
      <c r="T189" s="12" t="n">
        <v>-1642</v>
      </c>
      <c r="U189" s="12" t="n">
        <v>-1642</v>
      </c>
      <c r="V189" s="12" t="n">
        <v>-1642</v>
      </c>
      <c r="W189" s="12">
        <f>SUM(K189:V189)</f>
        <v/>
      </c>
      <c r="X189" s="8" t="inlineStr">
        <is>
          <t>Coste fijo estricto: dotación lineal mensual calculada según las tablas oficiales de amortización y vida útil del inmovilizado.</t>
        </is>
      </c>
    </row>
    <row r="190">
      <c r="B190" t="n">
        <v>2026</v>
      </c>
      <c r="C190" t="inlineStr">
        <is>
          <t>Codiagro</t>
        </is>
      </c>
      <c r="D190" t="inlineStr">
        <is>
          <t>RESULTADO DEL EJERCICIO</t>
        </is>
      </c>
      <c r="E190" t="inlineStr">
        <is>
          <t>RESULTADO ANTES DE IMPUESTOS</t>
        </is>
      </c>
      <c r="F190" t="inlineStr">
        <is>
          <t>RESULTADO DE LA EXPLOTACION</t>
        </is>
      </c>
      <c r="G190" t="inlineStr">
        <is>
          <t>8.- Amortización del inmovilizado</t>
        </is>
      </c>
      <c r="H190" t="inlineStr">
        <is>
          <t>(681) Amortización del inmovilizado material</t>
        </is>
      </c>
      <c r="I190" t="inlineStr">
        <is>
          <t>681600000 - Amortización de mobiliario</t>
        </is>
      </c>
      <c r="J190" t="inlineStr">
        <is>
          <t>-</t>
        </is>
      </c>
      <c r="K190" s="1" t="n">
        <v>-1325.66</v>
      </c>
      <c r="L190" s="1" t="n">
        <v>-1325.66</v>
      </c>
      <c r="M190" s="1" t="n">
        <v>-1325.66</v>
      </c>
      <c r="N190" s="1" t="n">
        <v>-1325.66</v>
      </c>
      <c r="O190" s="9" t="n">
        <v>-1325.66</v>
      </c>
      <c r="P190" s="1" t="n">
        <v>-1337.16</v>
      </c>
      <c r="Q190" s="1" t="n">
        <v>-1337.16</v>
      </c>
      <c r="R190" s="12" t="n">
        <v>-1337.16</v>
      </c>
      <c r="S190" s="12" t="n">
        <v>-1337</v>
      </c>
      <c r="T190" s="12" t="n">
        <v>-1337</v>
      </c>
      <c r="U190" s="12" t="n">
        <v>-1337</v>
      </c>
      <c r="V190" s="12" t="n">
        <v>-1337</v>
      </c>
      <c r="W190" s="12">
        <f>SUM(K190:V190)</f>
        <v/>
      </c>
      <c r="X190" s="8" t="inlineStr">
        <is>
          <t>Coste fijo estricto: dotación lineal mensual calculada según las tablas oficiales de amortización y vida útil del inmovilizado.</t>
        </is>
      </c>
    </row>
    <row r="191">
      <c r="B191" t="n">
        <v>2026</v>
      </c>
      <c r="C191" t="inlineStr">
        <is>
          <t>Codiagro</t>
        </is>
      </c>
      <c r="D191" t="inlineStr">
        <is>
          <t>RESULTADO DEL EJERCICIO</t>
        </is>
      </c>
      <c r="E191" t="inlineStr">
        <is>
          <t>RESULTADO ANTES DE IMPUESTOS</t>
        </is>
      </c>
      <c r="F191" t="inlineStr">
        <is>
          <t>RESULTADO DE LA EXPLOTACION</t>
        </is>
      </c>
      <c r="G191" t="inlineStr">
        <is>
          <t>8.- Amortización del inmovilizado</t>
        </is>
      </c>
      <c r="H191" t="inlineStr">
        <is>
          <t>(681) Amortización del inmovilizado material</t>
        </is>
      </c>
      <c r="I191" t="inlineStr">
        <is>
          <t>681700000 - Amortización de equipos para procesos de informac.</t>
        </is>
      </c>
      <c r="J191" t="inlineStr">
        <is>
          <t>-</t>
        </is>
      </c>
      <c r="K191" s="1" t="n">
        <v>-448.73</v>
      </c>
      <c r="L191" s="1" t="n">
        <v>-448.73</v>
      </c>
      <c r="M191" s="1" t="n">
        <v>-745.37</v>
      </c>
      <c r="N191" s="1" t="n">
        <v>-745.37</v>
      </c>
      <c r="O191" s="9" t="n">
        <v>-937.75</v>
      </c>
      <c r="P191" s="1" t="n">
        <v>-848</v>
      </c>
      <c r="Q191" s="1" t="n">
        <v>-855.5</v>
      </c>
      <c r="R191" s="12" t="n">
        <v>-855.5</v>
      </c>
      <c r="S191" s="12" t="n">
        <v>-856</v>
      </c>
      <c r="T191" s="12" t="n">
        <v>-856</v>
      </c>
      <c r="U191" s="12" t="n">
        <v>-856</v>
      </c>
      <c r="V191" s="12" t="n">
        <v>-856</v>
      </c>
      <c r="W191" s="12">
        <f>SUM(K191:V191)</f>
        <v/>
      </c>
      <c r="X191" s="8" t="inlineStr">
        <is>
          <t>Coste fijo estricto: dotación lineal mensual calculada según las tablas oficiales de amortización y vida útil del inmovilizado.</t>
        </is>
      </c>
    </row>
    <row r="192">
      <c r="B192" t="n">
        <v>2026</v>
      </c>
      <c r="C192" t="inlineStr">
        <is>
          <t>Codiagro</t>
        </is>
      </c>
      <c r="D192" t="inlineStr">
        <is>
          <t>RESULTADO DEL EJERCICIO</t>
        </is>
      </c>
      <c r="E192" t="inlineStr">
        <is>
          <t>RESULTADO ANTES DE IMPUESTOS</t>
        </is>
      </c>
      <c r="F192" t="inlineStr">
        <is>
          <t>RESULTADO DE LA EXPLOTACION</t>
        </is>
      </c>
      <c r="G192" t="inlineStr">
        <is>
          <t>8.- Amortización del inmovilizado</t>
        </is>
      </c>
      <c r="H192" t="inlineStr">
        <is>
          <t>(681) Amortización del inmovilizado material</t>
        </is>
      </c>
      <c r="I192" t="inlineStr">
        <is>
          <t>681800000 - Amortización de elementos de transporte</t>
        </is>
      </c>
      <c r="J192" t="inlineStr">
        <is>
          <t>-</t>
        </is>
      </c>
      <c r="K192" s="1" t="n">
        <v>-37.5</v>
      </c>
      <c r="L192" s="1" t="n">
        <v>-37.5</v>
      </c>
      <c r="M192" s="1" t="n">
        <v>-37.5</v>
      </c>
      <c r="N192" s="1" t="n">
        <v>-37.5</v>
      </c>
      <c r="O192" s="9" t="n">
        <v>-131.25</v>
      </c>
      <c r="P192" s="1" t="n">
        <v>41.25</v>
      </c>
      <c r="Q192" s="1" t="n">
        <v>-45</v>
      </c>
      <c r="R192" s="12" t="n">
        <v>-45</v>
      </c>
      <c r="S192" s="12" t="n">
        <v>-45</v>
      </c>
      <c r="T192" s="12" t="n">
        <v>-45</v>
      </c>
      <c r="U192" s="12" t="n">
        <v>-45</v>
      </c>
      <c r="V192" s="12" t="n">
        <v>-45</v>
      </c>
      <c r="W192" s="12">
        <f>SUM(K192:V192)</f>
        <v/>
      </c>
      <c r="X192" s="8" t="inlineStr">
        <is>
          <t>Coste fijo estricto: dotación lineal mensual calculada según las tablas oficiales de amortización y vida útil del inmovilizado.</t>
        </is>
      </c>
    </row>
    <row r="193">
      <c r="B193" t="n">
        <v>2026</v>
      </c>
      <c r="C193" t="inlineStr">
        <is>
          <t>Codiagro</t>
        </is>
      </c>
      <c r="D193" t="inlineStr">
        <is>
          <t>RESULTADO DEL EJERCICIO</t>
        </is>
      </c>
      <c r="E193" t="inlineStr">
        <is>
          <t>RESULTADO ANTES DE IMPUESTOS</t>
        </is>
      </c>
      <c r="F193" t="inlineStr">
        <is>
          <t>RESULTADO FINANCIERO</t>
        </is>
      </c>
      <c r="G193" t="inlineStr">
        <is>
          <t>15.- Gastos financieros</t>
        </is>
      </c>
      <c r="H193" t="inlineStr">
        <is>
          <t>(706) Dto. s/vtas p.p.</t>
        </is>
      </c>
      <c r="I193" t="inlineStr">
        <is>
          <t>706000001 - DESCUENTO POR PRONTO PAGO DEFINITIVO</t>
        </is>
      </c>
      <c r="J193" t="inlineStr">
        <is>
          <t>-</t>
        </is>
      </c>
      <c r="K193" s="1" t="n">
        <v>0</v>
      </c>
      <c r="L193" s="1" t="n">
        <v>0</v>
      </c>
      <c r="M193" s="1" t="n">
        <v>0</v>
      </c>
      <c r="N193" s="1" t="n">
        <v>-23519.91</v>
      </c>
      <c r="O193" s="9" t="n">
        <v>-38633.95</v>
      </c>
      <c r="P193" s="1" t="n">
        <v>-78488.47</v>
      </c>
      <c r="Q193" s="1" t="n">
        <v>-32604.18</v>
      </c>
      <c r="R193" s="12" t="n">
        <v>-19768.43</v>
      </c>
      <c r="S193" s="12" t="n">
        <v>-12975.21</v>
      </c>
      <c r="T193" s="12" t="n">
        <v>-24579.01</v>
      </c>
      <c r="U193" s="12" t="n">
        <v>-33042.67</v>
      </c>
      <c r="V193" s="12" t="n">
        <v>-35674.22</v>
      </c>
      <c r="W193" s="12">
        <f>SUM(K193:V193)</f>
        <v/>
      </c>
      <c r="X193" s="8" t="inlineStr">
        <is>
          <t>Coste financiero variable: descuentos por pronto pago concedidos a clientes según presupuesto de ventas ajustado (ratio histórico 2,70%).</t>
        </is>
      </c>
    </row>
    <row r="194">
      <c r="B194" t="n">
        <v>2026</v>
      </c>
      <c r="C194" t="inlineStr">
        <is>
          <t>Codiagro</t>
        </is>
      </c>
      <c r="D194" t="inlineStr">
        <is>
          <t>RESULTADO DEL EJERCICIO</t>
        </is>
      </c>
      <c r="E194" t="inlineStr">
        <is>
          <t>RESULTADO ANTES DE IMPUESTOS</t>
        </is>
      </c>
      <c r="F194" t="inlineStr">
        <is>
          <t>RESULTADO FINANCIERO</t>
        </is>
      </c>
      <c r="G194" t="inlineStr">
        <is>
          <t>15.- Gastos financieros</t>
        </is>
      </c>
      <c r="H194" t="inlineStr">
        <is>
          <t>(665) Intereses por descuento de efectos y operaciones de "factoring"</t>
        </is>
      </c>
      <c r="I194" t="inlineStr">
        <is>
          <t>665700015 - INTERESES PAGO FINANCIADO POR BBVA</t>
        </is>
      </c>
      <c r="J194" t="inlineStr">
        <is>
          <t>-</t>
        </is>
      </c>
      <c r="K194" s="1" t="n">
        <v>0</v>
      </c>
      <c r="L194" s="1" t="n">
        <v>0</v>
      </c>
      <c r="M194" s="1" t="n">
        <v>0</v>
      </c>
      <c r="N194" s="1" t="n">
        <v>-937.05</v>
      </c>
      <c r="O194" s="9" t="inlineStr">
        <is>
          <t xml:space="preserve">                            -  </t>
        </is>
      </c>
      <c r="P194" s="1" t="inlineStr">
        <is>
          <t xml:space="preserve">                            -  </t>
        </is>
      </c>
      <c r="Q194" s="1" t="n">
        <v>0</v>
      </c>
      <c r="R194" s="12" t="n">
        <v>0</v>
      </c>
      <c r="S194" s="12" t="n">
        <v>0</v>
      </c>
      <c r="T194" s="12" t="n">
        <v>-500</v>
      </c>
      <c r="U194" s="12" t="n">
        <v>-800</v>
      </c>
      <c r="V194" s="12" t="n">
        <v>-1000</v>
      </c>
      <c r="W194" s="12">
        <f>SUM(K194:V194)</f>
        <v/>
      </c>
      <c r="X194" s="8" t="inlineStr">
        <is>
          <t>Coste financiero por descuento comercial y confirming de proveedores vinculado al volumen de compras.</t>
        </is>
      </c>
    </row>
    <row r="195">
      <c r="B195" t="n">
        <v>2026</v>
      </c>
      <c r="C195" t="inlineStr">
        <is>
          <t>Codiagro</t>
        </is>
      </c>
      <c r="D195" t="inlineStr">
        <is>
          <t>RESULTADO DEL EJERCICIO</t>
        </is>
      </c>
      <c r="E195" t="inlineStr">
        <is>
          <t>RESULTADO ANTES DE IMPUESTOS</t>
        </is>
      </c>
      <c r="F195" t="inlineStr">
        <is>
          <t>RESULTADO FINANCIERO</t>
        </is>
      </c>
      <c r="G195" t="inlineStr">
        <is>
          <t>15.- Gastos financieros</t>
        </is>
      </c>
      <c r="H195" t="inlineStr">
        <is>
          <t>(662) Intereses de deudas con entidades de crédito</t>
        </is>
      </c>
      <c r="I195" t="inlineStr">
        <is>
          <t>662310005 - INTERESES PRESTAMO CAIXALMASSORA</t>
        </is>
      </c>
      <c r="J195" t="inlineStr">
        <is>
          <t>-</t>
        </is>
      </c>
      <c r="K195" s="1" t="n">
        <v>-52.82</v>
      </c>
      <c r="L195" s="1" t="n">
        <v>0</v>
      </c>
      <c r="M195" s="1" t="n">
        <v>-79.37</v>
      </c>
      <c r="N195" s="1" t="n">
        <v>-26.51</v>
      </c>
      <c r="O195" s="9" t="n">
        <v>-17.69</v>
      </c>
      <c r="P195" s="1" t="n">
        <v>-8.859999999999999</v>
      </c>
      <c r="Q195" s="1" t="n">
        <v>0</v>
      </c>
      <c r="R195" s="12" t="n">
        <v>0</v>
      </c>
      <c r="S195" s="12" t="n">
        <v>-37.05</v>
      </c>
      <c r="T195" s="12" t="n">
        <v>-37.05</v>
      </c>
      <c r="U195" s="12" t="n">
        <v>-37.05</v>
      </c>
      <c r="V195" s="12" t="n">
        <v>-37.05</v>
      </c>
      <c r="W195" s="12">
        <f>SUM(K195:V195)</f>
        <v/>
      </c>
      <c r="X195" s="8" t="inlineStr">
        <is>
          <t>Proyección basada en el promedio mensual histórico.</t>
        </is>
      </c>
    </row>
    <row r="196">
      <c r="B196" t="n">
        <v>2026</v>
      </c>
      <c r="C196" t="inlineStr">
        <is>
          <t>Codiagro</t>
        </is>
      </c>
      <c r="D196" t="inlineStr">
        <is>
          <t>RESULTADO DEL EJERCICIO</t>
        </is>
      </c>
      <c r="E196" t="inlineStr">
        <is>
          <t>RESULTADO ANTES DE IMPUESTOS</t>
        </is>
      </c>
      <c r="F196" t="inlineStr">
        <is>
          <t>RESULTADO FINANCIERO</t>
        </is>
      </c>
      <c r="G196" t="inlineStr">
        <is>
          <t>15.- Gastos financieros</t>
        </is>
      </c>
      <c r="H196" t="inlineStr">
        <is>
          <t>(669) Otros gastos financieros</t>
        </is>
      </c>
      <c r="I196" t="inlineStr">
        <is>
          <t>669000002 - OTROS GTOS. DTO. EFECTOS SABADELL</t>
        </is>
      </c>
      <c r="J196" t="inlineStr">
        <is>
          <t>-</t>
        </is>
      </c>
      <c r="K196" s="1" t="n">
        <v>0</v>
      </c>
      <c r="L196" s="1" t="n">
        <v>0</v>
      </c>
      <c r="M196" s="1" t="n">
        <v>0</v>
      </c>
      <c r="N196" s="1" t="n">
        <v>0</v>
      </c>
      <c r="O196" s="9" t="n">
        <v>0</v>
      </c>
      <c r="P196" s="1" t="inlineStr">
        <is>
          <t xml:space="preserve">                            -  </t>
        </is>
      </c>
      <c r="Q196" s="1" t="n">
        <v>0</v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>
        <f>SUM(K196:V196)</f>
        <v/>
      </c>
      <c r="X196" s="8" t="inlineStr">
        <is>
          <t>Cuenta inactiva / sin saldo en el ejercicio. Sin previsión de movimientos.</t>
        </is>
      </c>
    </row>
    <row r="197">
      <c r="B197" t="n">
        <v>2026</v>
      </c>
      <c r="C197" t="inlineStr">
        <is>
          <t>Codiagro</t>
        </is>
      </c>
      <c r="D197" t="inlineStr">
        <is>
          <t>RESULTADO DEL EJERCICIO</t>
        </is>
      </c>
      <c r="E197" t="inlineStr">
        <is>
          <t>RESULTADO ANTES DE IMPUESTOS</t>
        </is>
      </c>
      <c r="F197" t="inlineStr">
        <is>
          <t>RESULTADO FINANCIERO</t>
        </is>
      </c>
      <c r="G197" t="inlineStr">
        <is>
          <t>15.- Gastos financieros</t>
        </is>
      </c>
      <c r="H197" t="inlineStr">
        <is>
          <t>(669) Otros gastos financieros</t>
        </is>
      </c>
      <c r="I197" t="inlineStr">
        <is>
          <t>669000007 - OTROS GTOS. DTO.EFECTOS BBVA</t>
        </is>
      </c>
      <c r="J197" t="inlineStr">
        <is>
          <t>-</t>
        </is>
      </c>
      <c r="K197" s="1" t="n">
        <v>0</v>
      </c>
      <c r="L197" s="1" t="n">
        <v>0</v>
      </c>
      <c r="M197" s="1" t="n">
        <v>0</v>
      </c>
      <c r="N197" s="1" t="n">
        <v>0</v>
      </c>
      <c r="O197" s="9" t="n">
        <v>0</v>
      </c>
      <c r="P197" s="1" t="inlineStr">
        <is>
          <t xml:space="preserve">                            -  </t>
        </is>
      </c>
      <c r="Q197" s="1" t="n">
        <v>0</v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>
        <f>SUM(K197:V197)</f>
        <v/>
      </c>
      <c r="X197" s="8" t="inlineStr">
        <is>
          <t>Cuenta inactiva / sin saldo en el ejercicio. Sin previsión de movimientos.</t>
        </is>
      </c>
    </row>
    <row r="198">
      <c r="B198" t="n">
        <v>2026</v>
      </c>
      <c r="C198" t="inlineStr">
        <is>
          <t>Codiagro</t>
        </is>
      </c>
      <c r="D198" t="inlineStr">
        <is>
          <t>RESULTADO DEL EJERCICIO</t>
        </is>
      </c>
      <c r="E198" t="inlineStr">
        <is>
          <t>RESULTADO ANTES DE IMPUESTOS</t>
        </is>
      </c>
      <c r="F198" t="inlineStr">
        <is>
          <t>RESULTADO FINANCIERO</t>
        </is>
      </c>
      <c r="G198" t="inlineStr">
        <is>
          <t>15.- Gastos financieros</t>
        </is>
      </c>
      <c r="H198" t="inlineStr">
        <is>
          <t>(669) Otros gastos financieros</t>
        </is>
      </c>
      <c r="I198" t="inlineStr">
        <is>
          <t>669100002 - OTROS GTOS. FINAN. SABADELL</t>
        </is>
      </c>
      <c r="J198" t="inlineStr">
        <is>
          <t>-</t>
        </is>
      </c>
      <c r="K198" s="1" t="n">
        <v>0</v>
      </c>
      <c r="L198" s="1" t="n">
        <v>0</v>
      </c>
      <c r="M198" s="1" t="n">
        <v>0</v>
      </c>
      <c r="N198" s="1" t="n">
        <v>0</v>
      </c>
      <c r="O198" s="9" t="n">
        <v>0</v>
      </c>
      <c r="P198" s="1" t="inlineStr">
        <is>
          <t xml:space="preserve">                            -  </t>
        </is>
      </c>
      <c r="Q198" s="1" t="n">
        <v>0</v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>
        <f>SUM(K198:V198)</f>
        <v/>
      </c>
      <c r="X198" s="8" t="inlineStr">
        <is>
          <t>Cuenta inactiva / sin saldo en el ejercicio. Sin previsión de movimientos.</t>
        </is>
      </c>
    </row>
    <row r="199">
      <c r="B199" t="n">
        <v>2026</v>
      </c>
      <c r="C199" t="inlineStr">
        <is>
          <t>Codiagro</t>
        </is>
      </c>
      <c r="D199" t="inlineStr">
        <is>
          <t>RESULTADO DEL EJERCICIO</t>
        </is>
      </c>
      <c r="E199" t="inlineStr">
        <is>
          <t>RESULTADO ANTES DE IMPUESTOS</t>
        </is>
      </c>
      <c r="F199" t="inlineStr">
        <is>
          <t>RESULTADO FINANCIERO</t>
        </is>
      </c>
      <c r="G199" t="inlineStr">
        <is>
          <t>15.- Gastos financieros</t>
        </is>
      </c>
      <c r="H199" t="inlineStr">
        <is>
          <t>(669) Otros gastos financieros</t>
        </is>
      </c>
      <c r="I199" t="inlineStr">
        <is>
          <t>669100005 - OTROS GTOS. FINAN. C.RURAL ALMASSORA</t>
        </is>
      </c>
      <c r="J199" t="inlineStr">
        <is>
          <t>-</t>
        </is>
      </c>
      <c r="K199" s="1" t="n">
        <v>0</v>
      </c>
      <c r="L199" s="1" t="n">
        <v>0</v>
      </c>
      <c r="M199" s="1" t="n">
        <v>0</v>
      </c>
      <c r="N199" s="1" t="n">
        <v>0</v>
      </c>
      <c r="O199" s="9" t="n">
        <v>0</v>
      </c>
      <c r="P199" s="1" t="inlineStr">
        <is>
          <t xml:space="preserve">                            -  </t>
        </is>
      </c>
      <c r="Q199" s="1" t="n">
        <v>0</v>
      </c>
      <c r="R199" s="12" t="n">
        <v>0</v>
      </c>
      <c r="S199" s="12" t="n">
        <v>0</v>
      </c>
      <c r="T199" s="12" t="n">
        <v>0</v>
      </c>
      <c r="U199" s="12" t="n">
        <v>0</v>
      </c>
      <c r="V199" s="12" t="n">
        <v>0</v>
      </c>
      <c r="W199" s="12">
        <f>SUM(K199:V199)</f>
        <v/>
      </c>
      <c r="X199" s="8" t="inlineStr">
        <is>
          <t>Cuenta inactiva / sin saldo en el ejercicio. Sin previsión de movimientos.</t>
        </is>
      </c>
    </row>
    <row r="200">
      <c r="B200" t="n">
        <v>2026</v>
      </c>
      <c r="C200" t="inlineStr">
        <is>
          <t>Codiagro</t>
        </is>
      </c>
      <c r="D200" t="inlineStr">
        <is>
          <t>RESULTADO DEL EJERCICIO</t>
        </is>
      </c>
      <c r="E200" t="inlineStr">
        <is>
          <t>RESULTADO ANTES DE IMPUESTOS</t>
        </is>
      </c>
      <c r="F200" t="inlineStr">
        <is>
          <t>RESULTADO FINANCIERO</t>
        </is>
      </c>
      <c r="G200" t="inlineStr">
        <is>
          <t>15.- Gastos financieros</t>
        </is>
      </c>
      <c r="H200" t="inlineStr">
        <is>
          <t>(669) Otros gastos financieros</t>
        </is>
      </c>
      <c r="I200" t="inlineStr">
        <is>
          <t>669100007 - OTROS GTOS. FINAN. BBVA.</t>
        </is>
      </c>
      <c r="J200" t="inlineStr">
        <is>
          <t>-</t>
        </is>
      </c>
      <c r="K200" s="1" t="n">
        <v>0</v>
      </c>
      <c r="L200" s="1" t="n">
        <v>0</v>
      </c>
      <c r="M200" s="1" t="n">
        <v>0</v>
      </c>
      <c r="N200" s="1" t="n">
        <v>0</v>
      </c>
      <c r="O200" s="9" t="n">
        <v>0</v>
      </c>
      <c r="P200" s="1" t="inlineStr">
        <is>
          <t xml:space="preserve">                            -  </t>
        </is>
      </c>
      <c r="Q200" s="1" t="n">
        <v>0</v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>
        <f>SUM(K200:V200)</f>
        <v/>
      </c>
      <c r="X200" s="8" t="inlineStr">
        <is>
          <t>Cuenta inactiva / sin saldo en el ejercicio. Sin previsión de movimientos.</t>
        </is>
      </c>
    </row>
    <row r="201">
      <c r="B201" t="n">
        <v>2026</v>
      </c>
      <c r="C201" t="inlineStr">
        <is>
          <t>Codiagro</t>
        </is>
      </c>
      <c r="D201" t="inlineStr">
        <is>
          <t>RESULTADO DEL EJERCICIO</t>
        </is>
      </c>
      <c r="E201" t="inlineStr">
        <is>
          <t>RESULTADO ANTES DE IMPUESTOS</t>
        </is>
      </c>
      <c r="F201" t="inlineStr">
        <is>
          <t>RESULTADO FINANCIERO</t>
        </is>
      </c>
      <c r="G201" t="inlineStr">
        <is>
          <t>15.- Gastos financieros</t>
        </is>
      </c>
      <c r="H201" t="inlineStr">
        <is>
          <t>(669) Otros gastos financieros</t>
        </is>
      </c>
      <c r="I201" t="inlineStr">
        <is>
          <t>669200002 - GTOS. COBRO EXPORT B.SABADELL</t>
        </is>
      </c>
      <c r="J201" t="inlineStr">
        <is>
          <t>-</t>
        </is>
      </c>
      <c r="K201" s="1" t="n">
        <v>0</v>
      </c>
      <c r="L201" s="1" t="n">
        <v>0</v>
      </c>
      <c r="M201" s="1" t="n">
        <v>0</v>
      </c>
      <c r="N201" s="1" t="n">
        <v>0</v>
      </c>
      <c r="O201" s="9" t="n">
        <v>0</v>
      </c>
      <c r="P201" s="1" t="inlineStr">
        <is>
          <t xml:space="preserve">                            -  </t>
        </is>
      </c>
      <c r="Q201" s="1" t="n">
        <v>0</v>
      </c>
      <c r="R201" s="12" t="n">
        <v>0</v>
      </c>
      <c r="S201" s="12" t="n">
        <v>0</v>
      </c>
      <c r="T201" s="12" t="n">
        <v>0</v>
      </c>
      <c r="U201" s="12" t="n">
        <v>0</v>
      </c>
      <c r="V201" s="12" t="n">
        <v>0</v>
      </c>
      <c r="W201" s="12">
        <f>SUM(K201:V201)</f>
        <v/>
      </c>
      <c r="X201" s="8" t="inlineStr">
        <is>
          <t>Cuenta inactiva / sin saldo en el ejercicio. Sin previsión de movimientos.</t>
        </is>
      </c>
    </row>
    <row r="202">
      <c r="B202" t="n">
        <v>2026</v>
      </c>
      <c r="C202" t="inlineStr">
        <is>
          <t>Codiagro</t>
        </is>
      </c>
      <c r="D202" t="inlineStr">
        <is>
          <t>RESULTADO DEL EJERCICIO</t>
        </is>
      </c>
      <c r="E202" t="inlineStr">
        <is>
          <t>RESULTADO ANTES DE IMPUESTOS</t>
        </is>
      </c>
      <c r="F202" t="inlineStr">
        <is>
          <t>RESULTADO FINANCIERO</t>
        </is>
      </c>
      <c r="G202" t="inlineStr">
        <is>
          <t>15.- Gastos financieros</t>
        </is>
      </c>
      <c r="H202" t="inlineStr">
        <is>
          <t>(669) Otros gastos financieros</t>
        </is>
      </c>
      <c r="I202" t="inlineStr">
        <is>
          <t>669200007 - GTOS. COBRO EXPORT. BBVA</t>
        </is>
      </c>
      <c r="J202" t="inlineStr">
        <is>
          <t>-</t>
        </is>
      </c>
      <c r="K202" s="1" t="n">
        <v>0</v>
      </c>
      <c r="L202" s="1" t="n">
        <v>0</v>
      </c>
      <c r="M202" s="1" t="n">
        <v>0</v>
      </c>
      <c r="N202" s="1" t="n">
        <v>0</v>
      </c>
      <c r="O202" s="9" t="n">
        <v>0</v>
      </c>
      <c r="P202" s="1" t="inlineStr">
        <is>
          <t xml:space="preserve">                            -  </t>
        </is>
      </c>
      <c r="Q202" s="1" t="n">
        <v>0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>
        <f>SUM(K202:V202)</f>
        <v/>
      </c>
      <c r="X202" s="8" t="inlineStr">
        <is>
          <t>Cuenta inactiva / sin saldo en el ejercicio. Sin previsión de movimientos.</t>
        </is>
      </c>
    </row>
    <row r="203">
      <c r="B203" t="n">
        <v>2026</v>
      </c>
      <c r="C203" t="inlineStr">
        <is>
          <t>Codiagro</t>
        </is>
      </c>
      <c r="D203" t="inlineStr">
        <is>
          <t>RESULTADO DEL EJERCICIO</t>
        </is>
      </c>
      <c r="E203" t="inlineStr">
        <is>
          <t>RESULTADO ANTES DE IMPUESTOS</t>
        </is>
      </c>
      <c r="F203" t="inlineStr">
        <is>
          <t>RESULTADO FINANCIERO</t>
        </is>
      </c>
      <c r="G203" t="inlineStr">
        <is>
          <t>17.- Diferencias de cambio</t>
        </is>
      </c>
      <c r="H203" t="inlineStr">
        <is>
          <t>(768) Diferencias positivas de cambio</t>
        </is>
      </c>
      <c r="I203" t="inlineStr">
        <is>
          <t>768000000 - Diferencias positivas de cambio</t>
        </is>
      </c>
      <c r="J203" t="inlineStr">
        <is>
          <t>-</t>
        </is>
      </c>
      <c r="K203" s="1" t="n">
        <v>0</v>
      </c>
      <c r="L203" s="1" t="n">
        <v>78.79000000000001</v>
      </c>
      <c r="M203" s="1" t="n">
        <v>15.51</v>
      </c>
      <c r="N203" s="1" t="n">
        <v>0</v>
      </c>
      <c r="O203" s="9" t="n">
        <v>2879.75</v>
      </c>
      <c r="P203" s="1" t="n">
        <v>1665.7</v>
      </c>
      <c r="Q203" s="1" t="n">
        <v>604.76</v>
      </c>
      <c r="R203" s="12" t="n">
        <v>0</v>
      </c>
      <c r="S203" s="12" t="n">
        <v>400</v>
      </c>
      <c r="T203" s="12" t="n">
        <v>600</v>
      </c>
      <c r="U203" s="12" t="n">
        <v>800</v>
      </c>
      <c r="V203" s="12" t="n">
        <v>800</v>
      </c>
      <c r="W203" s="12">
        <f>SUM(K203:V203)</f>
        <v/>
      </c>
      <c r="X203" s="8" t="inlineStr">
        <is>
          <t>Estimación conservadora basada en liquidaciones de divisas en exportación a tipos de cambio de mercado.</t>
        </is>
      </c>
    </row>
    <row r="204">
      <c r="B204" t="n">
        <v>2026</v>
      </c>
      <c r="C204" t="inlineStr">
        <is>
          <t>Codiagro</t>
        </is>
      </c>
      <c r="D204" t="inlineStr">
        <is>
          <t>RESULTADO DEL EJERCICIO</t>
        </is>
      </c>
      <c r="E204" t="inlineStr">
        <is>
          <t>RESULTADO ANTES DE IMPUESTOS</t>
        </is>
      </c>
      <c r="F204" t="inlineStr">
        <is>
          <t>RESULTADO DE LA EXPLOTACION</t>
        </is>
      </c>
      <c r="G204" t="inlineStr">
        <is>
          <t>7.- Otros gastos de explotación</t>
        </is>
      </c>
      <c r="H204" t="inlineStr">
        <is>
          <t>(709) Publicidad</t>
        </is>
      </c>
      <c r="I204" t="inlineStr">
        <is>
          <t>709001500 - RAPPEL BONIFICACIONES POR PMK DEFINITIVO</t>
        </is>
      </c>
      <c r="J204" t="inlineStr">
        <is>
          <t>-</t>
        </is>
      </c>
      <c r="K204" s="1" t="n"/>
      <c r="L204" s="1" t="n"/>
      <c r="M204" s="1" t="n"/>
      <c r="N204" s="1" t="n"/>
      <c r="O204" s="9" t="n">
        <v>-1350</v>
      </c>
      <c r="P204" s="1" t="inlineStr">
        <is>
          <t xml:space="preserve">                            -  </t>
        </is>
      </c>
      <c r="Q204" s="1" t="n">
        <v>0</v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>
        <f>SUM(K204:V204)</f>
        <v/>
      </c>
      <c r="X204" s="8" t="inlineStr">
        <is>
          <t>Partida puntual / no recurrente en el periodo enero-agosto. Sin movimiento adicional proyectado para el último cuatrimestre.</t>
        </is>
      </c>
    </row>
    <row r="205">
      <c r="B205" t="n">
        <v>2026</v>
      </c>
      <c r="C205" t="inlineStr">
        <is>
          <t>Codiagro</t>
        </is>
      </c>
      <c r="D205" t="inlineStr">
        <is>
          <t>RESULTADO DEL EJERCICIO</t>
        </is>
      </c>
      <c r="E205" t="inlineStr">
        <is>
          <t>RESULTADO ANTES DE IMPUESTOS</t>
        </is>
      </c>
      <c r="F205" t="inlineStr">
        <is>
          <t>RESULTADO FINANCIERO</t>
        </is>
      </c>
      <c r="G205" t="inlineStr">
        <is>
          <t>14.- Ingresos financieros</t>
        </is>
      </c>
      <c r="H205" t="inlineStr">
        <is>
          <t>(769) Otros ingresos financieros</t>
        </is>
      </c>
      <c r="I205" t="inlineStr">
        <is>
          <t>769000000 - Otros ingresos financieros</t>
        </is>
      </c>
      <c r="J205" t="inlineStr">
        <is>
          <t>-</t>
        </is>
      </c>
      <c r="K205" s="1" t="n"/>
      <c r="L205" s="1" t="n"/>
      <c r="M205" s="1" t="n"/>
      <c r="N205" s="1" t="n"/>
      <c r="P205" s="1" t="n">
        <v>4495.93</v>
      </c>
      <c r="Q205" s="1" t="n">
        <v>0</v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2500</v>
      </c>
      <c r="W205" s="12">
        <f>SUM(K205:V205)</f>
        <v/>
      </c>
      <c r="X205" s="8" t="inlineStr">
        <is>
          <t>Rendimientos financieros por saldos de tesorería y cuentas remuneradas a cierre de año.</t>
        </is>
      </c>
    </row>
    <row r="206">
      <c r="K206" s="1" t="n"/>
      <c r="L206" s="1" t="n"/>
      <c r="M206" s="1" t="n"/>
      <c r="N206" s="1" t="n"/>
      <c r="P206" s="1" t="n"/>
      <c r="Q206" s="1" t="n"/>
      <c r="R206" s="1" t="n"/>
      <c r="S206" s="1" t="n"/>
      <c r="T206" s="1" t="n"/>
      <c r="U206" s="1" t="n"/>
      <c r="V206" s="1" t="n"/>
      <c r="W206" s="1" t="n"/>
    </row>
    <row r="207">
      <c r="K207" s="1" t="n"/>
      <c r="L207" s="1" t="n"/>
      <c r="M207" s="1" t="n"/>
      <c r="N207" s="1" t="n"/>
      <c r="P207" s="1" t="n"/>
      <c r="Q207" s="1" t="n"/>
      <c r="R207" s="1" t="n"/>
      <c r="S207" s="1" t="n"/>
      <c r="T207" s="1" t="n"/>
      <c r="U207" s="1" t="n"/>
      <c r="V207" s="1" t="n"/>
      <c r="W207" s="1" t="n"/>
    </row>
    <row r="208">
      <c r="K208" s="1" t="n"/>
      <c r="L208" s="1" t="n"/>
      <c r="M208" s="1" t="n"/>
      <c r="N208" s="1" t="n"/>
      <c r="P208" s="1" t="n"/>
      <c r="Q208" s="1" t="n"/>
      <c r="R208" s="1" t="n"/>
      <c r="S208" s="1" t="n"/>
      <c r="T208" s="1" t="n"/>
      <c r="U208" s="1" t="n"/>
      <c r="V208" s="1" t="n"/>
      <c r="W208" s="1" t="n"/>
    </row>
    <row r="209">
      <c r="K209" s="1" t="n"/>
      <c r="L209" s="1" t="n"/>
      <c r="M209" s="1" t="n"/>
      <c r="N209" s="1" t="n"/>
      <c r="P209" s="1" t="n"/>
      <c r="Q209" s="1" t="n"/>
      <c r="R209" s="1" t="n"/>
      <c r="S209" s="1" t="n"/>
      <c r="T209" s="1" t="n"/>
      <c r="U209" s="1" t="n"/>
      <c r="V209" s="1" t="n"/>
      <c r="W209" s="1" t="n"/>
    </row>
    <row r="210">
      <c r="K210" s="1" t="n"/>
      <c r="L210" s="1" t="n"/>
      <c r="M210" s="1" t="n"/>
      <c r="N210" s="1" t="n"/>
      <c r="P210" s="1" t="n"/>
      <c r="Q210" s="1" t="n"/>
      <c r="R210" s="1" t="n"/>
      <c r="S210" s="1" t="n"/>
      <c r="T210" s="1" t="n"/>
      <c r="U210" s="1" t="n"/>
      <c r="V210" s="1" t="n"/>
      <c r="W210" s="1" t="n"/>
    </row>
    <row r="211">
      <c r="P211" s="1" t="n"/>
      <c r="Q211" s="1" t="n"/>
      <c r="R211" s="1" t="n"/>
      <c r="W211" s="1" t="n"/>
    </row>
    <row r="212">
      <c r="K212" s="1" t="n"/>
      <c r="L212" s="1" t="n"/>
      <c r="M212" s="1" t="n"/>
      <c r="N212" s="1" t="n"/>
      <c r="P212" s="1" t="n"/>
      <c r="R212" s="1" t="n"/>
      <c r="S212" s="1" t="n"/>
      <c r="T212" s="1" t="n"/>
      <c r="U212" s="1" t="n"/>
      <c r="V212" s="1" t="n"/>
      <c r="W212" s="1" t="n"/>
    </row>
    <row r="213">
      <c r="K213" s="1" t="n"/>
      <c r="L213" s="1" t="n"/>
      <c r="M213" s="1" t="n"/>
      <c r="N213" s="1" t="n"/>
      <c r="P213" s="1" t="n"/>
      <c r="R213" s="1" t="n"/>
      <c r="S213" s="1" t="n"/>
      <c r="T213" s="1" t="n"/>
      <c r="U213" s="1" t="n"/>
      <c r="V213" s="1" t="n"/>
      <c r="W213" s="1" t="n"/>
    </row>
    <row r="214">
      <c r="K214" s="1" t="n"/>
      <c r="L214" s="1" t="n"/>
      <c r="M214" s="1" t="n"/>
      <c r="N214" s="1" t="n"/>
      <c r="P214" s="1" t="n"/>
      <c r="R214" s="1" t="n"/>
      <c r="S214" s="1" t="n"/>
      <c r="T214" s="1" t="n"/>
      <c r="U214" s="1" t="n"/>
      <c r="V214" s="1" t="n"/>
      <c r="W214" s="1" t="n"/>
    </row>
    <row r="215">
      <c r="K215" s="1" t="n"/>
      <c r="L215" s="1" t="n"/>
      <c r="M215" s="1" t="n"/>
      <c r="N215" s="1" t="n"/>
      <c r="P215" s="1" t="n"/>
      <c r="R215" s="1" t="n"/>
      <c r="S215" s="1" t="n"/>
      <c r="T215" s="1" t="n"/>
      <c r="U215" s="1" t="n"/>
      <c r="V215" s="1" t="n"/>
      <c r="W215" s="1" t="n"/>
    </row>
    <row r="216">
      <c r="K216" s="1" t="n"/>
      <c r="L216" s="1" t="n"/>
      <c r="M216" s="1" t="n"/>
      <c r="N216" s="1" t="n"/>
      <c r="P216" s="1" t="n"/>
      <c r="R216" s="1" t="n"/>
      <c r="W216" s="1" t="n"/>
    </row>
    <row r="217">
      <c r="K217" s="1" t="n"/>
      <c r="L217" s="1" t="n"/>
      <c r="M217" s="1" t="n"/>
      <c r="N217" s="1" t="n"/>
      <c r="P217" s="1" t="n"/>
      <c r="R217" s="1" t="n"/>
      <c r="W217" s="1" t="n"/>
    </row>
    <row r="218">
      <c r="K218" s="1" t="n"/>
      <c r="L218" s="1" t="n"/>
      <c r="M218" s="1" t="n"/>
      <c r="N218" s="1" t="n"/>
      <c r="P218" s="1" t="n"/>
      <c r="R218" s="1" t="n"/>
      <c r="W218" s="1" t="n"/>
    </row>
    <row r="219">
      <c r="K219" s="1" t="n"/>
      <c r="L219" s="1" t="n"/>
      <c r="M219" s="1" t="n"/>
      <c r="N219" s="1" t="n"/>
      <c r="P219" s="1" t="n"/>
      <c r="R219" s="1" t="n"/>
      <c r="W219" s="1" t="n"/>
    </row>
    <row r="220">
      <c r="K220" s="1" t="n"/>
      <c r="L220" s="1" t="n"/>
      <c r="M220" s="1" t="n"/>
      <c r="N220" s="1" t="n"/>
      <c r="P220" s="9" t="n"/>
      <c r="R220" s="1" t="n"/>
      <c r="S220" s="1" t="n"/>
      <c r="T220" s="1" t="n"/>
      <c r="U220" s="1" t="n"/>
      <c r="V220" s="1" t="n"/>
      <c r="W220" s="1" t="n"/>
    </row>
    <row r="221">
      <c r="K221" s="1" t="n"/>
      <c r="L221" s="1" t="n"/>
      <c r="M221" s="1" t="n"/>
      <c r="N221" s="1" t="n"/>
      <c r="P221" s="9" t="n"/>
      <c r="R221" s="1" t="n"/>
      <c r="S221" s="1" t="n"/>
      <c r="T221" s="1" t="n"/>
      <c r="U221" s="1" t="n"/>
      <c r="V221" s="1" t="n"/>
      <c r="W221" s="1" t="n"/>
    </row>
    <row r="222">
      <c r="K222" s="1" t="n"/>
      <c r="L222" s="1" t="n"/>
      <c r="M222" s="1" t="n"/>
      <c r="N222" s="1" t="n"/>
      <c r="P222" s="9" t="n"/>
      <c r="R222" s="1" t="n"/>
      <c r="S222" s="1" t="n"/>
      <c r="T222" s="1" t="n"/>
      <c r="U222" s="1" t="n"/>
      <c r="V222" s="1" t="n"/>
      <c r="W222" s="1" t="n"/>
    </row>
    <row r="223">
      <c r="K223" s="1" t="n"/>
      <c r="L223" s="1" t="n"/>
      <c r="M223" s="1" t="n"/>
      <c r="N223" s="1" t="n"/>
      <c r="P223" s="1" t="n"/>
      <c r="R223" s="1" t="n"/>
      <c r="W223" s="1" t="n"/>
    </row>
    <row r="224">
      <c r="K224" s="1" t="n"/>
      <c r="L224" s="1" t="n"/>
      <c r="M224" s="1" t="n"/>
      <c r="N224" s="1" t="n"/>
      <c r="P224" s="1" t="n"/>
      <c r="R224" s="1" t="n"/>
      <c r="W224" s="1" t="n"/>
    </row>
    <row r="225">
      <c r="P225" s="1" t="n"/>
      <c r="Q225" s="1" t="n"/>
      <c r="R225" s="1" t="n"/>
      <c r="W225" s="1" t="n"/>
    </row>
    <row r="226">
      <c r="W226" s="1" t="n"/>
    </row>
    <row r="227">
      <c r="W227" s="1" t="n"/>
    </row>
    <row r="228">
      <c r="W228" s="1" t="n"/>
    </row>
    <row r="229">
      <c r="W229" s="1" t="n"/>
    </row>
    <row r="230">
      <c r="W230" s="1" t="n"/>
    </row>
    <row r="231">
      <c r="W231" s="1" t="n"/>
    </row>
    <row r="232">
      <c r="W232" s="1" t="n"/>
    </row>
    <row r="233">
      <c r="W233" s="1" t="n"/>
    </row>
    <row r="234">
      <c r="W234" s="1" t="n"/>
    </row>
    <row r="235">
      <c r="W235" s="1" t="n"/>
    </row>
    <row r="236">
      <c r="W236" s="1" t="n"/>
    </row>
    <row r="237">
      <c r="W237" s="1" t="n"/>
    </row>
    <row r="238">
      <c r="W238" s="1" t="n"/>
    </row>
    <row r="239">
      <c r="W239" s="1" t="n"/>
    </row>
    <row r="240">
      <c r="W240" s="1" t="n"/>
    </row>
    <row r="241">
      <c r="W241" s="1" t="n"/>
    </row>
    <row r="242">
      <c r="W242" s="1" t="n"/>
    </row>
    <row r="243">
      <c r="W243" s="1" t="n"/>
    </row>
    <row r="244">
      <c r="W244" s="1" t="n"/>
    </row>
    <row r="245">
      <c r="W245" s="1" t="n"/>
    </row>
    <row r="246">
      <c r="W246" s="1" t="n"/>
    </row>
    <row r="247">
      <c r="W247" s="1" t="n"/>
    </row>
    <row r="248">
      <c r="W248" s="1" t="n"/>
    </row>
    <row r="249">
      <c r="W249" s="1" t="n"/>
    </row>
    <row r="250">
      <c r="W250" s="1" t="n"/>
    </row>
    <row r="251">
      <c r="W251" s="1" t="n"/>
    </row>
    <row r="252">
      <c r="W252" s="1" t="n"/>
    </row>
    <row r="253">
      <c r="W253" s="1" t="n"/>
    </row>
    <row r="254">
      <c r="W254" s="1" t="n"/>
    </row>
    <row r="255">
      <c r="W255" s="1" t="n"/>
    </row>
    <row r="256">
      <c r="W256" s="1" t="n"/>
    </row>
    <row r="257">
      <c r="W257" s="1" t="n"/>
    </row>
    <row r="258">
      <c r="W258" s="1" t="n"/>
    </row>
    <row r="259">
      <c r="W259" s="1" t="n"/>
    </row>
  </sheetData>
  <autoFilter ref="B3:W25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X205"/>
  <sheetViews>
    <sheetView workbookViewId="0">
      <selection activeCell="A1" sqref="A1"/>
    </sheetView>
  </sheetViews>
  <sheetFormatPr baseColWidth="8" defaultRowHeight="15"/>
  <cols>
    <col width="14.26953125" customWidth="1" min="2" max="2"/>
    <col width="12" customWidth="1" min="3" max="3"/>
    <col width="24.453125" customWidth="1" min="4" max="4"/>
    <col width="30.26953125" customWidth="1" min="5" max="5"/>
    <col width="29.1796875" customWidth="1" min="6" max="6"/>
    <col width="51.81640625" customWidth="1" min="7" max="7"/>
    <col width="58.54296875" customWidth="1" min="8" max="8"/>
    <col width="64.81640625" customWidth="1" min="9" max="9"/>
    <col width="30.26953125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75" customWidth="1" min="24" max="24"/>
  </cols>
  <sheetData>
    <row r="2">
      <c r="K2" s="13">
        <f>SUBTOTAL(9,K4:K205)</f>
        <v/>
      </c>
      <c r="L2" s="13">
        <f>SUBTOTAL(9,L4:L205)</f>
        <v/>
      </c>
      <c r="M2" s="13">
        <f>SUBTOTAL(9,M4:M205)</f>
        <v/>
      </c>
      <c r="N2" s="13">
        <f>SUBTOTAL(9,N4:N205)</f>
        <v/>
      </c>
      <c r="O2" s="13">
        <f>SUBTOTAL(9,O4:O205)</f>
        <v/>
      </c>
      <c r="P2" s="13">
        <f>SUBTOTAL(9,P4:P205)</f>
        <v/>
      </c>
      <c r="Q2" s="13">
        <f>SUBTOTAL(9,Q4:Q205)</f>
        <v/>
      </c>
      <c r="R2" s="13">
        <f>SUBTOTAL(9,R4:R205)</f>
        <v/>
      </c>
      <c r="S2" s="13">
        <f>SUBTOTAL(9,S4:S205)</f>
        <v/>
      </c>
      <c r="T2" s="13">
        <f>SUBTOTAL(9,T4:T205)</f>
        <v/>
      </c>
      <c r="U2" s="13">
        <f>SUBTOTAL(9,U4:U205)</f>
        <v/>
      </c>
      <c r="V2" s="13">
        <f>SUBTOTAL(9,V4:V205)</f>
        <v/>
      </c>
      <c r="W2" s="13">
        <f>SUBTOTAL(9,W4:W205)</f>
        <v/>
      </c>
    </row>
    <row r="3">
      <c r="B3" s="3" t="inlineStr">
        <is>
          <t>Periodo</t>
        </is>
      </c>
      <c r="C3" s="3" t="inlineStr">
        <is>
          <t>Empresa</t>
        </is>
      </c>
      <c r="D3" s="3" t="inlineStr">
        <is>
          <t>Nivel 1</t>
        </is>
      </c>
      <c r="E3" s="3" t="inlineStr">
        <is>
          <t>Nivel 2</t>
        </is>
      </c>
      <c r="F3" s="3" t="inlineStr">
        <is>
          <t>Nivel 3</t>
        </is>
      </c>
      <c r="G3" s="3" t="inlineStr">
        <is>
          <t>Nivel 4</t>
        </is>
      </c>
      <c r="H3" s="3" t="inlineStr">
        <is>
          <t>Nivel 5</t>
        </is>
      </c>
      <c r="I3" s="3" t="inlineStr">
        <is>
          <t>Cuenta</t>
        </is>
      </c>
      <c r="J3" s="3" t="inlineStr">
        <is>
          <t>Grupo Ext Item</t>
        </is>
      </c>
      <c r="K3" s="14" t="n">
        <v>46388</v>
      </c>
      <c r="L3" s="14" t="n">
        <v>46419</v>
      </c>
      <c r="M3" s="14" t="n">
        <v>46447</v>
      </c>
      <c r="N3" s="14" t="n">
        <v>46478</v>
      </c>
      <c r="O3" s="14" t="n">
        <v>46508</v>
      </c>
      <c r="P3" s="14" t="n">
        <v>46539</v>
      </c>
      <c r="Q3" s="14" t="n">
        <v>46569</v>
      </c>
      <c r="R3" s="14" t="n">
        <v>46600</v>
      </c>
      <c r="S3" s="14" t="n">
        <v>46631</v>
      </c>
      <c r="T3" s="14" t="n">
        <v>46661</v>
      </c>
      <c r="U3" s="14" t="n">
        <v>46692</v>
      </c>
      <c r="V3" s="14" t="n">
        <v>46722</v>
      </c>
      <c r="W3" s="3" t="inlineStr">
        <is>
          <t>Total 2027</t>
        </is>
      </c>
      <c r="X3" s="7" t="inlineStr">
        <is>
          <t>Criterio Previsión 2027</t>
        </is>
      </c>
    </row>
    <row r="4">
      <c r="B4" t="n">
        <v>2027</v>
      </c>
      <c r="C4" s="15" t="inlineStr">
        <is>
          <t>Codiagro</t>
        </is>
      </c>
      <c r="D4" s="15" t="inlineStr">
        <is>
          <t>RESULTADO DEL EJERCICIO</t>
        </is>
      </c>
      <c r="E4" s="15" t="inlineStr">
        <is>
          <t>RESULTADO ANTES DE IMPUESTOS</t>
        </is>
      </c>
      <c r="F4" s="15" t="inlineStr">
        <is>
          <t>RESULTADO DE LA EXPLOTACION</t>
        </is>
      </c>
      <c r="G4" s="15" t="inlineStr">
        <is>
          <t>1.- Importe neto de la cifra de negocios</t>
        </is>
      </c>
      <c r="H4" s="15" t="inlineStr">
        <is>
          <t>(700) Ventas</t>
        </is>
      </c>
      <c r="I4" s="15" t="inlineStr">
        <is>
          <t>700000000 - Ventas de mercaderías</t>
        </is>
      </c>
      <c r="J4" s="15" t="inlineStr">
        <is>
          <t>-</t>
        </is>
      </c>
      <c r="K4" s="13" t="n">
        <v>1143732.5</v>
      </c>
      <c r="L4" s="13" t="n">
        <v>1852641.27</v>
      </c>
      <c r="M4" s="13" t="n">
        <v>1777134.1</v>
      </c>
      <c r="N4" s="13" t="n">
        <v>1430751.84</v>
      </c>
      <c r="O4" s="13" t="n">
        <v>2349031.43</v>
      </c>
      <c r="P4" s="13" t="n">
        <v>2329483.75</v>
      </c>
      <c r="Q4" s="13" t="n">
        <v>1477982.31</v>
      </c>
      <c r="R4" s="13" t="n">
        <v>943221.27</v>
      </c>
      <c r="S4" s="13" t="n">
        <v>547896.1800000001</v>
      </c>
      <c r="T4" s="13" t="n">
        <v>916296.91</v>
      </c>
      <c r="U4" s="13" t="n">
        <v>1416366.81</v>
      </c>
      <c r="V4" s="13" t="n">
        <v>1553621.92</v>
      </c>
      <c r="W4" s="13">
        <f>SUM(K4:V4)</f>
        <v/>
      </c>
      <c r="X4" s="8" t="inlineStr">
        <is>
          <t>Presupuesto de Ventas 2027 oficial: unidades presupuestadas x precios medios por SKU y cliente (Total 17.738.160,29 €).</t>
        </is>
      </c>
    </row>
    <row r="5">
      <c r="B5" t="n">
        <v>2027</v>
      </c>
      <c r="C5" s="15" t="inlineStr">
        <is>
          <t>Codiagro</t>
        </is>
      </c>
      <c r="D5" s="15" t="inlineStr">
        <is>
          <t>RESULTADO DEL EJERCICIO</t>
        </is>
      </c>
      <c r="E5" s="15" t="inlineStr">
        <is>
          <t>RESULTADO ANTES DE IMPUESTOS</t>
        </is>
      </c>
      <c r="F5" s="15" t="inlineStr">
        <is>
          <t>RESULTADO DE LA EXPLOTACION</t>
        </is>
      </c>
      <c r="G5" s="15" t="inlineStr">
        <is>
          <t>1.- Importe neto de la cifra de negocios</t>
        </is>
      </c>
      <c r="H5" s="15" t="inlineStr">
        <is>
          <t>(700) Ventas</t>
        </is>
      </c>
      <c r="I5" s="15" t="inlineStr">
        <is>
          <t>700000001 - VENTA MERCADERIAS POR ANTICIPO</t>
        </is>
      </c>
      <c r="J5" s="15" t="inlineStr">
        <is>
          <t>-</t>
        </is>
      </c>
      <c r="K5" s="13" t="n">
        <v>0</v>
      </c>
      <c r="L5" s="13" t="n">
        <v>0</v>
      </c>
      <c r="M5" s="13" t="n">
        <v>0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0</v>
      </c>
      <c r="V5" s="13" t="n">
        <v>0</v>
      </c>
      <c r="W5" s="13">
        <f>SUM(K5:V5)</f>
        <v/>
      </c>
      <c r="X5" s="8" t="inlineStr">
        <is>
          <t>Sin dotación presupuestada en 2027 por corresponder a partidas singulares/no recurrentes.</t>
        </is>
      </c>
    </row>
    <row r="6">
      <c r="B6" t="n">
        <v>2027</v>
      </c>
      <c r="C6" s="15" t="inlineStr">
        <is>
          <t>Codiagro</t>
        </is>
      </c>
      <c r="D6" s="15" t="inlineStr">
        <is>
          <t>RESULTADO DEL EJERCICIO</t>
        </is>
      </c>
      <c r="E6" s="15" t="inlineStr">
        <is>
          <t>RESULTADO ANTES DE IMPUESTOS</t>
        </is>
      </c>
      <c r="F6" s="15" t="inlineStr">
        <is>
          <t>RESULTADO DE LA EXPLOTACION</t>
        </is>
      </c>
      <c r="G6" s="15" t="inlineStr">
        <is>
          <t>1.- Importe neto de la cifra de negocios</t>
        </is>
      </c>
      <c r="H6" s="15" t="inlineStr">
        <is>
          <t>(700) Ventas</t>
        </is>
      </c>
      <c r="I6" s="15" t="inlineStr">
        <is>
          <t>700000624 - VENTA POR TRANSP. REP. AL CLIENTE</t>
        </is>
      </c>
      <c r="J6" s="15" t="inlineStr">
        <is>
          <t>-</t>
        </is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13" t="n">
        <v>0</v>
      </c>
      <c r="U6" s="13" t="n">
        <v>0</v>
      </c>
      <c r="V6" s="13" t="n">
        <v>0</v>
      </c>
      <c r="W6" s="13">
        <f>SUM(K6:V6)</f>
        <v/>
      </c>
      <c r="X6" s="8" t="inlineStr">
        <is>
          <t>Sin dotación presupuestada en 2027 por corresponder a partidas singulares/no recurrentes.</t>
        </is>
      </c>
    </row>
    <row r="7">
      <c r="B7" t="n">
        <v>2027</v>
      </c>
      <c r="C7" s="15" t="inlineStr">
        <is>
          <t>Codiagro</t>
        </is>
      </c>
      <c r="D7" s="15" t="inlineStr">
        <is>
          <t>RESULTADO DEL EJERCICIO</t>
        </is>
      </c>
      <c r="E7" s="15" t="inlineStr">
        <is>
          <t>RESULTADO ANTES DE IMPUESTOS</t>
        </is>
      </c>
      <c r="F7" s="15" t="inlineStr">
        <is>
          <t>RESULTADO DE LA EXPLOTACION</t>
        </is>
      </c>
      <c r="G7" s="15" t="inlineStr">
        <is>
          <t>5.- Otros ingresos de explotación</t>
        </is>
      </c>
      <c r="H7" s="15" t="inlineStr">
        <is>
          <t>(700) Ventas</t>
        </is>
      </c>
      <c r="I7" s="15" t="inlineStr">
        <is>
          <t>700001624 - VENTA POR TRANSPORTE REP. AL CLIENTE DEFINITIVO</t>
        </is>
      </c>
      <c r="J7" s="15" t="inlineStr">
        <is>
          <t>-</t>
        </is>
      </c>
      <c r="K7" s="13" t="n">
        <v>12581.06</v>
      </c>
      <c r="L7" s="13" t="n">
        <v>20379.05</v>
      </c>
      <c r="M7" s="13" t="n">
        <v>19548.48</v>
      </c>
      <c r="N7" s="13" t="n">
        <v>15738.27</v>
      </c>
      <c r="O7" s="13" t="n">
        <v>25839.35</v>
      </c>
      <c r="P7" s="13" t="n">
        <v>25624.32</v>
      </c>
      <c r="Q7" s="13" t="n">
        <v>16257.81</v>
      </c>
      <c r="R7" s="13" t="n">
        <v>10375.43</v>
      </c>
      <c r="S7" s="13" t="n">
        <v>6026.86</v>
      </c>
      <c r="T7" s="13" t="n">
        <v>10079.27</v>
      </c>
      <c r="U7" s="13" t="n">
        <v>15580.03</v>
      </c>
      <c r="V7" s="13" t="n">
        <v>17089.84</v>
      </c>
      <c r="W7" s="13">
        <f>SUM(K7:V7)</f>
        <v/>
      </c>
      <c r="X7" s="8" t="inlineStr">
        <is>
          <t>Variable según volumen de ventas y fletes repercutidos al cliente (1,10% s/ventas presupuestadas).</t>
        </is>
      </c>
    </row>
    <row r="8">
      <c r="B8" t="n">
        <v>2027</v>
      </c>
      <c r="C8" s="15" t="inlineStr">
        <is>
          <t>Codiagro</t>
        </is>
      </c>
      <c r="D8" s="15" t="inlineStr">
        <is>
          <t>RESULTADO DEL EJERCICIO</t>
        </is>
      </c>
      <c r="E8" s="15" t="inlineStr">
        <is>
          <t>RESULTADO ANTES DE IMPUESTOS</t>
        </is>
      </c>
      <c r="F8" s="15" t="inlineStr">
        <is>
          <t>RESULTADO DE LA EXPLOTACION</t>
        </is>
      </c>
      <c r="G8" s="15" t="inlineStr">
        <is>
          <t>1.- Importe neto de la cifra de negocios</t>
        </is>
      </c>
      <c r="H8" s="15" t="inlineStr">
        <is>
          <t>(700) Ventas</t>
        </is>
      </c>
      <c r="I8" s="15" t="inlineStr">
        <is>
          <t>700000769 - INGRESOS POR RETRASOS DE COBRO Y ACTUALIZACION</t>
        </is>
      </c>
      <c r="J8" s="15" t="inlineStr">
        <is>
          <t>-</t>
        </is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0</v>
      </c>
      <c r="T8" s="13" t="n">
        <v>0</v>
      </c>
      <c r="U8" s="13" t="n">
        <v>0</v>
      </c>
      <c r="V8" s="13" t="n">
        <v>0</v>
      </c>
      <c r="W8" s="13">
        <f>SUM(K8:V8)</f>
        <v/>
      </c>
      <c r="X8" s="8" t="inlineStr">
        <is>
          <t>Sin dotación presupuestada en 2027 por corresponder a partidas singulares/no recurrentes.</t>
        </is>
      </c>
    </row>
    <row r="9">
      <c r="B9" t="n">
        <v>2027</v>
      </c>
      <c r="C9" s="15" t="inlineStr">
        <is>
          <t>Codiagro</t>
        </is>
      </c>
      <c r="D9" s="15" t="inlineStr">
        <is>
          <t>RESULTADO DEL EJERCICIO</t>
        </is>
      </c>
      <c r="E9" s="15" t="inlineStr">
        <is>
          <t>RESULTADO ANTES DE IMPUESTOS</t>
        </is>
      </c>
      <c r="F9" s="15" t="inlineStr">
        <is>
          <t>RESULTADO FINANCIERO</t>
        </is>
      </c>
      <c r="G9" s="15" t="inlineStr">
        <is>
          <t>14.- Ingresos financieros</t>
        </is>
      </c>
      <c r="H9" s="15" t="inlineStr">
        <is>
          <t>(700) Ventas</t>
        </is>
      </c>
      <c r="I9" s="15" t="inlineStr">
        <is>
          <t>700000769 - INGRESOS POR RETRASOS DE COBRO Y ACTUALIZACION</t>
        </is>
      </c>
      <c r="J9" s="15" t="inlineStr">
        <is>
          <t>-</t>
        </is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0</v>
      </c>
      <c r="W9" s="13">
        <f>SUM(K9:V9)</f>
        <v/>
      </c>
      <c r="X9" s="8" t="inlineStr">
        <is>
          <t>Sin dotación presupuestada en 2027 por corresponder a partidas singulares/no recurrentes.</t>
        </is>
      </c>
    </row>
    <row r="10">
      <c r="B10" t="n">
        <v>2027</v>
      </c>
      <c r="C10" s="15" t="inlineStr">
        <is>
          <t>Codiagro</t>
        </is>
      </c>
      <c r="D10" s="15" t="inlineStr">
        <is>
          <t>RESULTADO DEL EJERCICIO</t>
        </is>
      </c>
      <c r="E10" s="15" t="inlineStr">
        <is>
          <t>RESULTADO ANTES DE IMPUESTOS</t>
        </is>
      </c>
      <c r="F10" s="15" t="inlineStr">
        <is>
          <t>RESULTADO DE LA EXPLOTACION</t>
        </is>
      </c>
      <c r="G10" s="15" t="inlineStr">
        <is>
          <t>1.- Importe neto de la cifra de negocios</t>
        </is>
      </c>
      <c r="H10" s="15" t="inlineStr">
        <is>
          <t>(702) Ventas de productos semiterminados</t>
        </is>
      </c>
      <c r="I10" s="15" t="inlineStr">
        <is>
          <t>702000000 - Ventas de productos semiterminados</t>
        </is>
      </c>
      <c r="J10" s="15" t="inlineStr">
        <is>
          <t>-</t>
        </is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>
        <f>SUM(K10:V10)</f>
        <v/>
      </c>
      <c r="X10" s="8" t="inlineStr">
        <is>
          <t>Sin dotación presupuestada en 2027 por corresponder a partidas singulares/no recurrentes.</t>
        </is>
      </c>
    </row>
    <row r="11">
      <c r="B11" t="n">
        <v>2027</v>
      </c>
      <c r="C11" s="15" t="inlineStr">
        <is>
          <t>Codiagro</t>
        </is>
      </c>
      <c r="D11" s="15" t="inlineStr">
        <is>
          <t>RESULTADO DEL EJERCICIO</t>
        </is>
      </c>
      <c r="E11" s="15" t="inlineStr">
        <is>
          <t>RESULTADO ANTES DE IMPUESTOS</t>
        </is>
      </c>
      <c r="F11" s="15" t="inlineStr">
        <is>
          <t>RESULTADO DE LA EXPLOTACION</t>
        </is>
      </c>
      <c r="G11" s="15" t="inlineStr">
        <is>
          <t>1.- Importe neto de la cifra de negocios</t>
        </is>
      </c>
      <c r="H11" s="15" t="inlineStr">
        <is>
          <t>(703) Ventas por subproductos y residuos</t>
        </is>
      </c>
      <c r="I11" s="15" t="inlineStr">
        <is>
          <t>703000000 - Ventas de subproductos y residuos</t>
        </is>
      </c>
      <c r="J11" s="15" t="inlineStr">
        <is>
          <t>-</t>
        </is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>
        <f>SUM(K11:V11)</f>
        <v/>
      </c>
      <c r="X11" s="8" t="inlineStr">
        <is>
          <t>Sin dotación presupuestada en 2027 por corresponder a partidas singulares/no recurrentes.</t>
        </is>
      </c>
    </row>
    <row r="12">
      <c r="B12" t="n">
        <v>2027</v>
      </c>
      <c r="C12" s="15" t="inlineStr">
        <is>
          <t>Codiagro</t>
        </is>
      </c>
      <c r="D12" s="15" t="inlineStr">
        <is>
          <t>RESULTADO DEL EJERCICIO</t>
        </is>
      </c>
      <c r="E12" s="15" t="inlineStr">
        <is>
          <t>RESULTADO ANTES DE IMPUESTOS</t>
        </is>
      </c>
      <c r="F12" s="15" t="inlineStr">
        <is>
          <t>RESULTADO DE LA EXPLOTACION</t>
        </is>
      </c>
      <c r="G12" s="15" t="inlineStr">
        <is>
          <t>1.- Importe neto de la cifra de negocios</t>
        </is>
      </c>
      <c r="H12" s="15" t="inlineStr">
        <is>
          <t>(704) Venta de envases y embalajes</t>
        </is>
      </c>
      <c r="I12" s="15" t="inlineStr">
        <is>
          <t>704000000 - Ventas de envases y embalajes</t>
        </is>
      </c>
      <c r="J12" s="15" t="inlineStr">
        <is>
          <t>-</t>
        </is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>
        <f>SUM(K12:V12)</f>
        <v/>
      </c>
      <c r="X12" s="8" t="inlineStr">
        <is>
          <t>Sin dotación presupuestada en 2027 por corresponder a partidas singulares/no recurrentes.</t>
        </is>
      </c>
    </row>
    <row r="13">
      <c r="B13" t="n">
        <v>2027</v>
      </c>
      <c r="C13" s="15" t="inlineStr">
        <is>
          <t>Codiagro</t>
        </is>
      </c>
      <c r="D13" s="15" t="inlineStr">
        <is>
          <t>RESULTADO DEL EJERCICIO</t>
        </is>
      </c>
      <c r="E13" s="15" t="inlineStr">
        <is>
          <t>RESULTADO ANTES DE IMPUESTOS</t>
        </is>
      </c>
      <c r="F13" s="15" t="inlineStr">
        <is>
          <t>RESULTADO DE LA EXPLOTACION</t>
        </is>
      </c>
      <c r="G13" s="15" t="inlineStr">
        <is>
          <t>1.- Importe neto de la cifra de negocios</t>
        </is>
      </c>
      <c r="H13" s="15" t="inlineStr">
        <is>
          <t>(705) Prestación de servicios</t>
        </is>
      </c>
      <c r="I13" s="15" t="inlineStr">
        <is>
          <t>705000000 - Prestaciones de servicios</t>
        </is>
      </c>
      <c r="J13" s="15" t="inlineStr">
        <is>
          <t>-</t>
        </is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  <c r="V13" s="13" t="n">
        <v>0</v>
      </c>
      <c r="W13" s="13">
        <f>SUM(K13:V13)</f>
        <v/>
      </c>
      <c r="X13" s="8" t="inlineStr">
        <is>
          <t>Sin dotación presupuestada en 2027 por corresponder a partidas singulares/no recurrentes.</t>
        </is>
      </c>
    </row>
    <row r="14">
      <c r="B14" t="n">
        <v>2027</v>
      </c>
      <c r="C14" s="15" t="inlineStr">
        <is>
          <t>Codiagro</t>
        </is>
      </c>
      <c r="D14" s="15" t="inlineStr">
        <is>
          <t>RESULTADO DEL EJERCICIO</t>
        </is>
      </c>
      <c r="E14" s="15" t="inlineStr">
        <is>
          <t>RESULTADO ANTES DE IMPUESTOS</t>
        </is>
      </c>
      <c r="F14" s="15" t="inlineStr">
        <is>
          <t>RESULTADO DE LA EXPLOTACION</t>
        </is>
      </c>
      <c r="G14" s="15" t="inlineStr">
        <is>
          <t>1.- Importe neto de la cifra de negocios</t>
        </is>
      </c>
      <c r="H14" s="15" t="inlineStr">
        <is>
          <t>(705) Prestación de servicios</t>
        </is>
      </c>
      <c r="I14" s="15" t="inlineStr">
        <is>
          <t>705000001 - INGRESO POR GESTIÓN DE ENVASES</t>
        </is>
      </c>
      <c r="J14" s="15" t="inlineStr">
        <is>
          <t>-</t>
        </is>
      </c>
      <c r="K14" s="13" t="n">
        <v>2221.91</v>
      </c>
      <c r="L14" s="13" t="n">
        <v>3599.09</v>
      </c>
      <c r="M14" s="13" t="n">
        <v>3452.4</v>
      </c>
      <c r="N14" s="13" t="n">
        <v>2779.49</v>
      </c>
      <c r="O14" s="13" t="n">
        <v>4563.41</v>
      </c>
      <c r="P14" s="13" t="n">
        <v>4525.44</v>
      </c>
      <c r="Q14" s="13" t="n">
        <v>2871.25</v>
      </c>
      <c r="R14" s="13" t="n">
        <v>1832.38</v>
      </c>
      <c r="S14" s="13" t="n">
        <v>1064.39</v>
      </c>
      <c r="T14" s="13" t="n">
        <v>1780.07</v>
      </c>
      <c r="U14" s="13" t="n">
        <v>2751.55</v>
      </c>
      <c r="V14" s="13" t="n">
        <v>3018.19</v>
      </c>
      <c r="W14" s="13">
        <f>SUM(K14:V14)</f>
        <v/>
      </c>
      <c r="X14" s="8" t="inlineStr">
        <is>
          <t>Ingreso por gestión de envases 2027 indexado al volumen de ventas y tarifas de envasado.</t>
        </is>
      </c>
    </row>
    <row r="15">
      <c r="B15" t="n">
        <v>2027</v>
      </c>
      <c r="C15" s="15" t="inlineStr">
        <is>
          <t>Codiagro</t>
        </is>
      </c>
      <c r="D15" s="15" t="inlineStr">
        <is>
          <t>RESULTADO DEL EJERCICIO</t>
        </is>
      </c>
      <c r="E15" s="15" t="inlineStr">
        <is>
          <t>RESULTADO ANTES DE IMPUESTOS</t>
        </is>
      </c>
      <c r="F15" s="15" t="inlineStr">
        <is>
          <t>RESULTADO DE LA EXPLOTACION</t>
        </is>
      </c>
      <c r="G15" s="15" t="inlineStr">
        <is>
          <t>1.- Importe neto de la cifra de negocios</t>
        </is>
      </c>
      <c r="H15" s="15" t="inlineStr">
        <is>
          <t>(706) Dto. s/vtas p.p.</t>
        </is>
      </c>
      <c r="I15" s="15" t="inlineStr">
        <is>
          <t>706000000 - Dtos. ventas por pronto pago mercaderías</t>
        </is>
      </c>
      <c r="J15" s="15" t="inlineStr">
        <is>
          <t>-</t>
        </is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>
        <f>SUM(K15:V15)</f>
        <v/>
      </c>
      <c r="X15" s="8" t="inlineStr">
        <is>
          <t>Sin dotación presupuestada en 2027 por corresponder a partidas singulares/no recurrentes.</t>
        </is>
      </c>
    </row>
    <row r="16">
      <c r="B16" t="n">
        <v>2027</v>
      </c>
      <c r="C16" s="15" t="inlineStr">
        <is>
          <t>Codiagro</t>
        </is>
      </c>
      <c r="D16" s="15" t="inlineStr">
        <is>
          <t>RESULTADO DEL EJERCICIO</t>
        </is>
      </c>
      <c r="E16" s="15" t="inlineStr">
        <is>
          <t>RESULTADO ANTES DE IMPUESTOS</t>
        </is>
      </c>
      <c r="F16" s="15" t="inlineStr">
        <is>
          <t>RESULTADO DE LA EXPLOTACION</t>
        </is>
      </c>
      <c r="G16" s="15" t="inlineStr">
        <is>
          <t>1.- Importe neto de la cifra de negocios</t>
        </is>
      </c>
      <c r="H16" s="15" t="inlineStr">
        <is>
          <t>(709) Bonificaciones s/ventas</t>
        </is>
      </c>
      <c r="I16" s="15" t="inlineStr">
        <is>
          <t>709000000 - «Rappels» ventas de mercaderías</t>
        </is>
      </c>
      <c r="J16" s="15" t="inlineStr">
        <is>
          <t>-</t>
        </is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>
        <f>SUM(K16:V16)</f>
        <v/>
      </c>
      <c r="X16" s="8" t="inlineStr">
        <is>
          <t>Sin dotación presupuestada en 2027 por corresponder a partidas singulares/no recurrentes.</t>
        </is>
      </c>
    </row>
    <row r="17">
      <c r="B17" t="n">
        <v>2027</v>
      </c>
      <c r="C17" s="15" t="inlineStr">
        <is>
          <t>Codiagro</t>
        </is>
      </c>
      <c r="D17" s="15" t="inlineStr">
        <is>
          <t>RESULTADO DEL EJERCICIO</t>
        </is>
      </c>
      <c r="E17" s="15" t="inlineStr">
        <is>
          <t>RESULTADO ANTES DE IMPUESTOS</t>
        </is>
      </c>
      <c r="F17" s="15" t="inlineStr">
        <is>
          <t>RESULTADO DE LA EXPLOTACION</t>
        </is>
      </c>
      <c r="G17" s="15" t="inlineStr">
        <is>
          <t>1.- Importe neto de la cifra de negocios</t>
        </is>
      </c>
      <c r="H17" s="15" t="inlineStr">
        <is>
          <t>(709) Bonificaciones s/ventas</t>
        </is>
      </c>
      <c r="I17" s="15" t="inlineStr">
        <is>
          <t>709000001 - PROVISION RAPPELS</t>
        </is>
      </c>
      <c r="J17" s="15" t="inlineStr">
        <is>
          <t>-</t>
        </is>
      </c>
      <c r="K17" s="13" t="n">
        <v>0</v>
      </c>
      <c r="L17" s="13" t="n">
        <v>-95000</v>
      </c>
      <c r="M17" s="13" t="n">
        <v>0</v>
      </c>
      <c r="N17" s="13" t="n">
        <v>0</v>
      </c>
      <c r="O17" s="13" t="n">
        <v>0</v>
      </c>
      <c r="P17" s="13" t="n">
        <v>-60000</v>
      </c>
      <c r="Q17" s="13" t="n">
        <v>0</v>
      </c>
      <c r="R17" s="13" t="n">
        <v>-20000</v>
      </c>
      <c r="S17" s="13" t="n">
        <v>0</v>
      </c>
      <c r="T17" s="13" t="n">
        <v>0</v>
      </c>
      <c r="U17" s="13" t="n">
        <v>0</v>
      </c>
      <c r="V17" s="13" t="n">
        <v>-214116</v>
      </c>
      <c r="W17" s="13">
        <f>SUM(K17:V17)</f>
        <v/>
      </c>
      <c r="X17" s="8" t="inlineStr">
        <is>
          <t>Provisión de rappels comerciales 2027 (2,19% s/ventas = -389.116,00 €) devengada trimestralmente y regularizada a cierre anual.</t>
        </is>
      </c>
    </row>
    <row r="18">
      <c r="B18" t="n">
        <v>2027</v>
      </c>
      <c r="C18" s="15" t="inlineStr">
        <is>
          <t>Codiagro</t>
        </is>
      </c>
      <c r="D18" s="15" t="inlineStr">
        <is>
          <t>RESULTADO DEL EJERCICIO</t>
        </is>
      </c>
      <c r="E18" s="15" t="inlineStr">
        <is>
          <t>RESULTADO ANTES DE IMPUESTOS</t>
        </is>
      </c>
      <c r="F18" s="15" t="inlineStr">
        <is>
          <t>RESULTADO DE LA EXPLOTACION</t>
        </is>
      </c>
      <c r="G18" s="15" t="inlineStr">
        <is>
          <t>11.- Deterioro y resultado por enajenaciones del inmovilizado</t>
        </is>
      </c>
      <c r="H18" s="15" t="inlineStr">
        <is>
          <t>(771) Beneficios procedentes IM</t>
        </is>
      </c>
      <c r="I18" s="15" t="inlineStr">
        <is>
          <t>771000000 - Beneficios del inmovilizado material</t>
        </is>
      </c>
      <c r="J18" s="15" t="inlineStr">
        <is>
          <t>-</t>
        </is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>
        <f>SUM(K18:V18)</f>
        <v/>
      </c>
      <c r="X18" s="8" t="inlineStr">
        <is>
          <t>Sin dotación presupuestada en 2027 por corresponder a partidas singulares/no recurrentes.</t>
        </is>
      </c>
    </row>
    <row r="19">
      <c r="B19" t="n">
        <v>2027</v>
      </c>
      <c r="C19" s="15" t="inlineStr">
        <is>
          <t>Codiagro</t>
        </is>
      </c>
      <c r="D19" s="15" t="inlineStr">
        <is>
          <t>RESULTADO DEL EJERCICIO</t>
        </is>
      </c>
      <c r="E19" s="15" t="inlineStr">
        <is>
          <t>RESULTADO ANTES DE IMPUESTOS</t>
        </is>
      </c>
      <c r="F19" s="15" t="inlineStr">
        <is>
          <t>RESULTADO DE LA EXPLOTACION</t>
        </is>
      </c>
      <c r="G19" s="15" t="inlineStr">
        <is>
          <t>13.- Otros resultados</t>
        </is>
      </c>
      <c r="H19" s="15" t="inlineStr">
        <is>
          <t>(678) Gastos excepcionales PGC 2008</t>
        </is>
      </c>
      <c r="I19" s="15" t="inlineStr">
        <is>
          <t>678000000 - Gastos excepcionales</t>
        </is>
      </c>
      <c r="J19" s="15" t="inlineStr">
        <is>
          <t>-</t>
        </is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>
        <f>SUM(K19:V19)</f>
        <v/>
      </c>
      <c r="X19" s="8" t="inlineStr">
        <is>
          <t>Sin dotación presupuestada en 2027 por corresponder a partidas singulares/no recurrentes.</t>
        </is>
      </c>
    </row>
    <row r="20">
      <c r="B20" t="n">
        <v>2027</v>
      </c>
      <c r="C20" s="15" t="inlineStr">
        <is>
          <t>Codiagro</t>
        </is>
      </c>
      <c r="D20" s="15" t="inlineStr">
        <is>
          <t>RESULTADO DEL EJERCICIO</t>
        </is>
      </c>
      <c r="E20" s="15" t="inlineStr">
        <is>
          <t>RESULTADO ANTES DE IMPUESTOS</t>
        </is>
      </c>
      <c r="F20" s="15" t="inlineStr">
        <is>
          <t>RESULTADO DE LA EXPLOTACION</t>
        </is>
      </c>
      <c r="G20" s="15" t="inlineStr">
        <is>
          <t>13.- Otros resultados</t>
        </is>
      </c>
      <c r="H20" s="15" t="inlineStr">
        <is>
          <t>(778) Ingresos excepcionales PGC 2008</t>
        </is>
      </c>
      <c r="I20" s="15" t="inlineStr">
        <is>
          <t>778000000 - Ingresos excepcionales</t>
        </is>
      </c>
      <c r="J20" s="15" t="inlineStr">
        <is>
          <t>-</t>
        </is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>
        <f>SUM(K20:V20)</f>
        <v/>
      </c>
      <c r="X20" s="8" t="inlineStr">
        <is>
          <t>Sin dotación presupuestada en 2027 por corresponder a partidas singulares/no recurrentes.</t>
        </is>
      </c>
    </row>
    <row r="21">
      <c r="B21" t="n">
        <v>2027</v>
      </c>
      <c r="C21" s="15" t="inlineStr">
        <is>
          <t>Codiagro</t>
        </is>
      </c>
      <c r="D21" s="15" t="inlineStr">
        <is>
          <t>RESULTADO DEL EJERCICIO</t>
        </is>
      </c>
      <c r="E21" s="15" t="inlineStr">
        <is>
          <t>RESULTADO ANTES DE IMPUESTOS</t>
        </is>
      </c>
      <c r="F21" s="15" t="inlineStr">
        <is>
          <t>RESULTADO DE LA EXPLOTACION</t>
        </is>
      </c>
      <c r="G21" s="15" t="inlineStr">
        <is>
          <t>2.- Variación de existencias</t>
        </is>
      </c>
      <c r="H21" s="15" t="inlineStr">
        <is>
          <t>(711) Variación de existencias de productos semiterminados</t>
        </is>
      </c>
      <c r="I21" s="15" t="inlineStr">
        <is>
          <t>711000000 - Variación existencias de prod. semiterminados</t>
        </is>
      </c>
      <c r="J21" s="15" t="inlineStr">
        <is>
          <t>-</t>
        </is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>
        <f>SUM(K21:V21)</f>
        <v/>
      </c>
      <c r="X21" s="8" t="inlineStr">
        <is>
          <t>Cuenta inactiva / sin saldo previsto en 2027.</t>
        </is>
      </c>
    </row>
    <row r="22">
      <c r="B22" t="n">
        <v>2027</v>
      </c>
      <c r="C22" s="15" t="inlineStr">
        <is>
          <t>Codiagro</t>
        </is>
      </c>
      <c r="D22" s="15" t="inlineStr">
        <is>
          <t>RESULTADO DEL EJERCICIO</t>
        </is>
      </c>
      <c r="E22" s="15" t="inlineStr">
        <is>
          <t>RESULTADO ANTES DE IMPUESTOS</t>
        </is>
      </c>
      <c r="F22" s="15" t="inlineStr">
        <is>
          <t>RESULTADO DE LA EXPLOTACION</t>
        </is>
      </c>
      <c r="G22" s="15" t="inlineStr">
        <is>
          <t>2.- Variación de existencias</t>
        </is>
      </c>
      <c r="H22" s="15" t="inlineStr">
        <is>
          <t>(712) Variación de existencias producto terminado</t>
        </is>
      </c>
      <c r="I22" s="15" t="inlineStr">
        <is>
          <t>712000000 - Variación existencias de prod. terminados</t>
        </is>
      </c>
      <c r="J22" s="15" t="inlineStr">
        <is>
          <t>-</t>
        </is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>
        <f>SUM(K22:V22)</f>
        <v/>
      </c>
      <c r="X22" s="8" t="inlineStr">
        <is>
          <t>Cuenta inactiva / sin saldo previsto en 2027.</t>
        </is>
      </c>
    </row>
    <row r="23">
      <c r="B23" t="n">
        <v>2027</v>
      </c>
      <c r="C23" s="15" t="inlineStr">
        <is>
          <t>Codiagro</t>
        </is>
      </c>
      <c r="D23" s="15" t="inlineStr">
        <is>
          <t>RESULTADO DEL EJERCICIO</t>
        </is>
      </c>
      <c r="E23" s="15" t="inlineStr">
        <is>
          <t>RESULTADO ANTES DE IMPUESTOS</t>
        </is>
      </c>
      <c r="F23" s="15" t="inlineStr">
        <is>
          <t>RESULTADO DE LA EXPLOTACION</t>
        </is>
      </c>
      <c r="G23" s="15" t="inlineStr">
        <is>
          <t>4.- Aprovisionamientos</t>
        </is>
      </c>
      <c r="H23" s="15" t="inlineStr">
        <is>
          <t>(601) Compras de materias primas</t>
        </is>
      </c>
      <c r="I23" s="15" t="inlineStr">
        <is>
          <t>601000000 - Compras de materias primas</t>
        </is>
      </c>
      <c r="J23" s="15" t="inlineStr">
        <is>
          <t>-</t>
        </is>
      </c>
      <c r="K23" s="13" t="n">
        <v>-308979.33</v>
      </c>
      <c r="L23" s="13" t="n">
        <v>-500491.04</v>
      </c>
      <c r="M23" s="13" t="n">
        <v>-480092.78</v>
      </c>
      <c r="N23" s="13" t="n">
        <v>-386517.61</v>
      </c>
      <c r="O23" s="13" t="n">
        <v>-634590.84</v>
      </c>
      <c r="P23" s="13" t="n">
        <v>-629310.04</v>
      </c>
      <c r="Q23" s="13" t="n">
        <v>-399276.92</v>
      </c>
      <c r="R23" s="13" t="n">
        <v>-254811.23</v>
      </c>
      <c r="S23" s="13" t="n">
        <v>-148014.15</v>
      </c>
      <c r="T23" s="13" t="n">
        <v>-247537.61</v>
      </c>
      <c r="U23" s="13" t="n">
        <v>-382631.49</v>
      </c>
      <c r="V23" s="13" t="n">
        <v>-419710.96</v>
      </c>
      <c r="W23" s="13">
        <f>SUM(K23:V23)</f>
        <v/>
      </c>
      <c r="X23" s="8" t="inlineStr">
        <is>
          <t>Coste variable directo: compras de materias primas estimadas en el 27,015% sobre las ventas presupuestadas.</t>
        </is>
      </c>
    </row>
    <row r="24">
      <c r="B24" t="n">
        <v>2027</v>
      </c>
      <c r="C24" s="15" t="inlineStr">
        <is>
          <t>Codiagro</t>
        </is>
      </c>
      <c r="D24" s="15" t="inlineStr">
        <is>
          <t>RESULTADO DEL EJERCICIO</t>
        </is>
      </c>
      <c r="E24" s="15" t="inlineStr">
        <is>
          <t>RESULTADO ANTES DE IMPUESTOS</t>
        </is>
      </c>
      <c r="F24" s="15" t="inlineStr">
        <is>
          <t>RESULTADO DE LA EXPLOTACION</t>
        </is>
      </c>
      <c r="G24" s="15" t="inlineStr">
        <is>
          <t>4.- Aprovisionamientos</t>
        </is>
      </c>
      <c r="H24" s="15" t="inlineStr">
        <is>
          <t>(602) Compras de otros aprovisionamientos</t>
        </is>
      </c>
      <c r="I24" s="15" t="inlineStr">
        <is>
          <t>602000001 - COMPRA DE ENVASES Y EMBALAJES</t>
        </is>
      </c>
      <c r="J24" s="15" t="inlineStr">
        <is>
          <t>-</t>
        </is>
      </c>
      <c r="K24" s="13" t="n">
        <v>-59668.52</v>
      </c>
      <c r="L24" s="13" t="n">
        <v>-96652.3</v>
      </c>
      <c r="M24" s="13" t="n">
        <v>-92713.09</v>
      </c>
      <c r="N24" s="13" t="n">
        <v>-74642.32000000001</v>
      </c>
      <c r="O24" s="13" t="n">
        <v>-122548.97</v>
      </c>
      <c r="P24" s="13" t="n">
        <v>-121529.17</v>
      </c>
      <c r="Q24" s="13" t="n">
        <v>-77106.34</v>
      </c>
      <c r="R24" s="13" t="n">
        <v>-49207.85</v>
      </c>
      <c r="S24" s="13" t="n">
        <v>-28583.74</v>
      </c>
      <c r="T24" s="13" t="n">
        <v>-47803.21</v>
      </c>
      <c r="U24" s="13" t="n">
        <v>-73891.86</v>
      </c>
      <c r="V24" s="13" t="n">
        <v>-81052.46000000001</v>
      </c>
      <c r="W24" s="13">
        <f>SUM(K24:V24)</f>
        <v/>
      </c>
      <c r="X24" s="8" t="inlineStr">
        <is>
          <t>Coste variable por unidades envasadas (garrafas, bidones, IBCs): 5,217% s/ventas presupuestadas.</t>
        </is>
      </c>
    </row>
    <row r="25">
      <c r="B25" t="n">
        <v>2027</v>
      </c>
      <c r="C25" s="15" t="inlineStr">
        <is>
          <t>Codiagro</t>
        </is>
      </c>
      <c r="D25" s="15" t="inlineStr">
        <is>
          <t>RESULTADO DEL EJERCICIO</t>
        </is>
      </c>
      <c r="E25" s="15" t="inlineStr">
        <is>
          <t>RESULTADO ANTES DE IMPUESTOS</t>
        </is>
      </c>
      <c r="F25" s="15" t="inlineStr">
        <is>
          <t>RESULTADO DE LA EXPLOTACION</t>
        </is>
      </c>
      <c r="G25" s="15" t="inlineStr">
        <is>
          <t>4.- Aprovisionamientos</t>
        </is>
      </c>
      <c r="H25" s="15" t="inlineStr">
        <is>
          <t>(602) Compras de otros aprovisionamientos</t>
        </is>
      </c>
      <c r="I25" s="15" t="inlineStr">
        <is>
          <t>602000000 - Compras de otros aprovisionamientos</t>
        </is>
      </c>
      <c r="J25" s="15" t="inlineStr">
        <is>
          <t>-</t>
        </is>
      </c>
      <c r="K25" s="13" t="n">
        <v>-30306.17</v>
      </c>
      <c r="L25" s="13" t="n">
        <v>-30306.17</v>
      </c>
      <c r="M25" s="13" t="n">
        <v>-30306.17</v>
      </c>
      <c r="N25" s="13" t="n">
        <v>-30306.17</v>
      </c>
      <c r="O25" s="13" t="n">
        <v>-30306.17</v>
      </c>
      <c r="P25" s="13" t="n">
        <v>-30306.17</v>
      </c>
      <c r="Q25" s="13" t="n">
        <v>-30306.17</v>
      </c>
      <c r="R25" s="13" t="n">
        <v>-30306.17</v>
      </c>
      <c r="S25" s="13" t="n">
        <v>-30306.17</v>
      </c>
      <c r="T25" s="13" t="n">
        <v>-30306.17</v>
      </c>
      <c r="U25" s="13" t="n">
        <v>-30306.17</v>
      </c>
      <c r="V25" s="13" t="n">
        <v>-30306.17</v>
      </c>
      <c r="W25" s="13">
        <f>SUM(K25:V25)</f>
        <v/>
      </c>
      <c r="X25" s="8" t="inlineStr">
        <is>
          <t>Coste operativo menor de planta: proyección basada en el promedio mensual consolidado.</t>
        </is>
      </c>
    </row>
    <row r="26">
      <c r="B26" t="n">
        <v>2027</v>
      </c>
      <c r="C26" s="15" t="inlineStr">
        <is>
          <t>Codiagro</t>
        </is>
      </c>
      <c r="D26" s="15" t="inlineStr">
        <is>
          <t>RESULTADO DEL EJERCICIO</t>
        </is>
      </c>
      <c r="E26" s="15" t="inlineStr">
        <is>
          <t>RESULTADO ANTES DE IMPUESTOS</t>
        </is>
      </c>
      <c r="F26" s="15" t="inlineStr">
        <is>
          <t>RESULTADO DE LA EXPLOTACION</t>
        </is>
      </c>
      <c r="G26" s="15" t="inlineStr">
        <is>
          <t>4.- Aprovisionamientos</t>
        </is>
      </c>
      <c r="H26" s="15" t="inlineStr">
        <is>
          <t>(602) Compras de otros aprovisionamientos</t>
        </is>
      </c>
      <c r="I26" s="15" t="inlineStr">
        <is>
          <t>602000002 - COMPRA DE ETIQUETAS</t>
        </is>
      </c>
      <c r="J26" s="15" t="inlineStr">
        <is>
          <t>-</t>
        </is>
      </c>
      <c r="K26" s="13" t="n">
        <v>-6530.71</v>
      </c>
      <c r="L26" s="13" t="n">
        <v>-10578.58</v>
      </c>
      <c r="M26" s="13" t="n">
        <v>-10147.44</v>
      </c>
      <c r="N26" s="13" t="n">
        <v>-8169.59</v>
      </c>
      <c r="O26" s="13" t="n">
        <v>-13412.97</v>
      </c>
      <c r="P26" s="13" t="n">
        <v>-13301.35</v>
      </c>
      <c r="Q26" s="13" t="n">
        <v>-8439.280000000001</v>
      </c>
      <c r="R26" s="13" t="n">
        <v>-5385.79</v>
      </c>
      <c r="S26" s="13" t="n">
        <v>-3128.49</v>
      </c>
      <c r="T26" s="13" t="n">
        <v>-5232.06</v>
      </c>
      <c r="U26" s="13" t="n">
        <v>-8087.45</v>
      </c>
      <c r="V26" s="13" t="n">
        <v>-8871.18</v>
      </c>
      <c r="W26" s="13">
        <f>SUM(K26:V26)</f>
        <v/>
      </c>
      <c r="X26" s="8" t="inlineStr">
        <is>
          <t>Coste variable según volumen de unidades a etiquetar (0,571% s/ventas presupuestadas).</t>
        </is>
      </c>
    </row>
    <row r="27">
      <c r="B27" t="n">
        <v>2027</v>
      </c>
      <c r="C27" s="15" t="inlineStr">
        <is>
          <t>Codiagro</t>
        </is>
      </c>
      <c r="D27" s="15" t="inlineStr">
        <is>
          <t>RESULTADO DEL EJERCICIO</t>
        </is>
      </c>
      <c r="E27" s="15" t="inlineStr">
        <is>
          <t>RESULTADO ANTES DE IMPUESTOS</t>
        </is>
      </c>
      <c r="F27" s="15" t="inlineStr">
        <is>
          <t>RESULTADO DE LA EXPLOTACION</t>
        </is>
      </c>
      <c r="G27" s="15" t="inlineStr">
        <is>
          <t>4.- Aprovisionamientos</t>
        </is>
      </c>
      <c r="H27" s="15" t="inlineStr">
        <is>
          <t>(602) Compras de otros aprovisionamientos</t>
        </is>
      </c>
      <c r="I27" s="15" t="inlineStr">
        <is>
          <t>602000003 - COMPRA DE PALETS</t>
        </is>
      </c>
      <c r="J27" s="15" t="inlineStr">
        <is>
          <t>-</t>
        </is>
      </c>
      <c r="K27" s="13" t="n">
        <v>-6793.77</v>
      </c>
      <c r="L27" s="13" t="n">
        <v>-11004.69</v>
      </c>
      <c r="M27" s="13" t="n">
        <v>-10556.18</v>
      </c>
      <c r="N27" s="13" t="n">
        <v>-8498.67</v>
      </c>
      <c r="O27" s="13" t="n">
        <v>-13953.25</v>
      </c>
      <c r="P27" s="13" t="n">
        <v>-13837.13</v>
      </c>
      <c r="Q27" s="13" t="n">
        <v>-8779.209999999999</v>
      </c>
      <c r="R27" s="13" t="n">
        <v>-5602.73</v>
      </c>
      <c r="S27" s="13" t="n">
        <v>-3254.5</v>
      </c>
      <c r="T27" s="13" t="n">
        <v>-5442.8</v>
      </c>
      <c r="U27" s="13" t="n">
        <v>-8413.219999999999</v>
      </c>
      <c r="V27" s="13" t="n">
        <v>-9228.51</v>
      </c>
      <c r="W27" s="13">
        <f>SUM(K27:V27)</f>
        <v/>
      </c>
      <c r="X27" s="8" t="inlineStr">
        <is>
          <t>Coste variable según expediciones y paletización requerida (0,594% s/ventas presupuestadas).</t>
        </is>
      </c>
    </row>
    <row r="28">
      <c r="B28" t="n">
        <v>2027</v>
      </c>
      <c r="C28" s="15" t="inlineStr">
        <is>
          <t>Codiagro</t>
        </is>
      </c>
      <c r="D28" s="15" t="inlineStr">
        <is>
          <t>RESULTADO DEL EJERCICIO</t>
        </is>
      </c>
      <c r="E28" s="15" t="inlineStr">
        <is>
          <t>RESULTADO ANTES DE IMPUESTOS</t>
        </is>
      </c>
      <c r="F28" s="15" t="inlineStr">
        <is>
          <t>RESULTADO DE LA EXPLOTACION</t>
        </is>
      </c>
      <c r="G28" s="15" t="inlineStr">
        <is>
          <t>4.- Aprovisionamientos</t>
        </is>
      </c>
      <c r="H28" s="15" t="inlineStr">
        <is>
          <t>(602) Compras de otros aprovisionamientos</t>
        </is>
      </c>
      <c r="I28" s="15" t="inlineStr">
        <is>
          <t>602000004 - COMPRA MATERIAL DE LIMPIEZA</t>
        </is>
      </c>
      <c r="J28" s="15" t="inlineStr">
        <is>
          <t>-</t>
        </is>
      </c>
      <c r="K28" s="13" t="n">
        <v>-131.92</v>
      </c>
      <c r="L28" s="13" t="n">
        <v>-131.92</v>
      </c>
      <c r="M28" s="13" t="n">
        <v>-131.92</v>
      </c>
      <c r="N28" s="13" t="n">
        <v>-131.92</v>
      </c>
      <c r="O28" s="13" t="n">
        <v>-131.92</v>
      </c>
      <c r="P28" s="13" t="n">
        <v>-131.92</v>
      </c>
      <c r="Q28" s="13" t="n">
        <v>-131.92</v>
      </c>
      <c r="R28" s="13" t="n">
        <v>-131.92</v>
      </c>
      <c r="S28" s="13" t="n">
        <v>-131.92</v>
      </c>
      <c r="T28" s="13" t="n">
        <v>-131.92</v>
      </c>
      <c r="U28" s="13" t="n">
        <v>-131.92</v>
      </c>
      <c r="V28" s="13" t="n">
        <v>-131.92</v>
      </c>
      <c r="W28" s="13">
        <f>SUM(K28:V28)</f>
        <v/>
      </c>
      <c r="X28" s="8" t="inlineStr">
        <is>
          <t>Coste operativo menor de planta: proyección basada en el promedio mensual consolidado.</t>
        </is>
      </c>
    </row>
    <row r="29">
      <c r="B29" t="n">
        <v>2027</v>
      </c>
      <c r="C29" s="15" t="inlineStr">
        <is>
          <t>Codiagro</t>
        </is>
      </c>
      <c r="D29" s="15" t="inlineStr">
        <is>
          <t>RESULTADO DEL EJERCICIO</t>
        </is>
      </c>
      <c r="E29" s="15" t="inlineStr">
        <is>
          <t>RESULTADO ANTES DE IMPUESTOS</t>
        </is>
      </c>
      <c r="F29" s="15" t="inlineStr">
        <is>
          <t>RESULTADO DE LA EXPLOTACION</t>
        </is>
      </c>
      <c r="G29" s="15" t="inlineStr">
        <is>
          <t>4.- Aprovisionamientos</t>
        </is>
      </c>
      <c r="H29" s="15" t="inlineStr">
        <is>
          <t>(602) Compras de otros aprovisionamientos</t>
        </is>
      </c>
      <c r="I29" s="15" t="inlineStr">
        <is>
          <t>602000005 - COMPRA MATERIAL DE OFICINA</t>
        </is>
      </c>
      <c r="J29" s="15" t="inlineStr">
        <is>
          <t>-</t>
        </is>
      </c>
      <c r="K29" s="13" t="n">
        <v>-204.02</v>
      </c>
      <c r="L29" s="13" t="n">
        <v>-204.02</v>
      </c>
      <c r="M29" s="13" t="n">
        <v>-204.02</v>
      </c>
      <c r="N29" s="13" t="n">
        <v>-204.02</v>
      </c>
      <c r="O29" s="13" t="n">
        <v>-204.02</v>
      </c>
      <c r="P29" s="13" t="n">
        <v>-204.02</v>
      </c>
      <c r="Q29" s="13" t="n">
        <v>-204.02</v>
      </c>
      <c r="R29" s="13" t="n">
        <v>-204.02</v>
      </c>
      <c r="S29" s="13" t="n">
        <v>-204.02</v>
      </c>
      <c r="T29" s="13" t="n">
        <v>-204.02</v>
      </c>
      <c r="U29" s="13" t="n">
        <v>-204.02</v>
      </c>
      <c r="V29" s="13" t="n">
        <v>-204.02</v>
      </c>
      <c r="W29" s="13">
        <f>SUM(K29:V29)</f>
        <v/>
      </c>
      <c r="X29" s="8" t="inlineStr">
        <is>
          <t>Coste operativo menor de planta: proyección basada en el promedio mensual consolidado.</t>
        </is>
      </c>
    </row>
    <row r="30">
      <c r="B30" t="n">
        <v>2027</v>
      </c>
      <c r="C30" s="15" t="inlineStr">
        <is>
          <t>Codiagro</t>
        </is>
      </c>
      <c r="D30" s="15" t="inlineStr">
        <is>
          <t>RESULTADO DEL EJERCICIO</t>
        </is>
      </c>
      <c r="E30" s="15" t="inlineStr">
        <is>
          <t>RESULTADO ANTES DE IMPUESTOS</t>
        </is>
      </c>
      <c r="F30" s="15" t="inlineStr">
        <is>
          <t>RESULTADO DE LA EXPLOTACION</t>
        </is>
      </c>
      <c r="G30" s="15" t="inlineStr">
        <is>
          <t>4.- Aprovisionamientos</t>
        </is>
      </c>
      <c r="H30" s="15" t="inlineStr">
        <is>
          <t>(602) Compras de otros aprovisionamientos</t>
        </is>
      </c>
      <c r="I30" s="15" t="inlineStr">
        <is>
          <t>602000006 - COMPRA TAPONES DE ENVASES</t>
        </is>
      </c>
      <c r="J30" s="15" t="inlineStr">
        <is>
          <t>-</t>
        </is>
      </c>
      <c r="K30" s="13" t="n">
        <v>-2550.52</v>
      </c>
      <c r="L30" s="13" t="n">
        <v>-4131.39</v>
      </c>
      <c r="M30" s="13" t="n">
        <v>-3963.01</v>
      </c>
      <c r="N30" s="13" t="n">
        <v>-3190.58</v>
      </c>
      <c r="O30" s="13" t="n">
        <v>-5238.34</v>
      </c>
      <c r="P30" s="13" t="n">
        <v>-5194.75</v>
      </c>
      <c r="Q30" s="13" t="n">
        <v>-3295.9</v>
      </c>
      <c r="R30" s="13" t="n">
        <v>-2103.38</v>
      </c>
      <c r="S30" s="13" t="n">
        <v>-1221.81</v>
      </c>
      <c r="T30" s="13" t="n">
        <v>-2043.34</v>
      </c>
      <c r="U30" s="13" t="n">
        <v>-3158.5</v>
      </c>
      <c r="V30" s="13" t="n">
        <v>-3464.58</v>
      </c>
      <c r="W30" s="13">
        <f>SUM(K30:V30)</f>
        <v/>
      </c>
      <c r="X30" s="8" t="inlineStr">
        <is>
          <t>Coste variable directamente proporcional al número de envases/tapones (0,223% s/ventas).</t>
        </is>
      </c>
    </row>
    <row r="31">
      <c r="B31" t="n">
        <v>2027</v>
      </c>
      <c r="C31" s="15" t="inlineStr">
        <is>
          <t>Codiagro</t>
        </is>
      </c>
      <c r="D31" s="15" t="inlineStr">
        <is>
          <t>RESULTADO DEL EJERCICIO</t>
        </is>
      </c>
      <c r="E31" s="15" t="inlineStr">
        <is>
          <t>RESULTADO ANTES DE IMPUESTOS</t>
        </is>
      </c>
      <c r="F31" s="15" t="inlineStr">
        <is>
          <t>RESULTADO DE LA EXPLOTACION</t>
        </is>
      </c>
      <c r="G31" s="15" t="inlineStr">
        <is>
          <t>4.- Aprovisionamientos</t>
        </is>
      </c>
      <c r="H31" s="15" t="inlineStr">
        <is>
          <t>(602) Compras de otros aprovisionamientos</t>
        </is>
      </c>
      <c r="I31" s="15" t="inlineStr">
        <is>
          <t>602000007 - COMPRAS LABORATORIO</t>
        </is>
      </c>
      <c r="J31" s="15" t="inlineStr">
        <is>
          <t>-</t>
        </is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>
        <f>SUM(K31:V31)</f>
        <v/>
      </c>
      <c r="X31" s="8" t="inlineStr">
        <is>
          <t>Cuenta inactiva / sin saldo previsto en 2027.</t>
        </is>
      </c>
    </row>
    <row r="32">
      <c r="B32" t="n">
        <v>2027</v>
      </c>
      <c r="C32" s="15" t="inlineStr">
        <is>
          <t>Codiagro</t>
        </is>
      </c>
      <c r="D32" s="15" t="inlineStr">
        <is>
          <t>RESULTADO DEL EJERCICIO</t>
        </is>
      </c>
      <c r="E32" s="15" t="inlineStr">
        <is>
          <t>RESULTADO ANTES DE IMPUESTOS</t>
        </is>
      </c>
      <c r="F32" s="15" t="inlineStr">
        <is>
          <t>RESULTADO DE LA EXPLOTACION</t>
        </is>
      </c>
      <c r="G32" s="15" t="inlineStr">
        <is>
          <t>4.- Aprovisionamientos</t>
        </is>
      </c>
      <c r="H32" s="15" t="inlineStr">
        <is>
          <t>(602) Compras de otros aprovisionamientos</t>
        </is>
      </c>
      <c r="I32" s="15" t="inlineStr">
        <is>
          <t>602000008 - RESPUESTOS PLANTA</t>
        </is>
      </c>
      <c r="J32" s="15" t="inlineStr">
        <is>
          <t>-</t>
        </is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>
        <f>SUM(K32:V32)</f>
        <v/>
      </c>
      <c r="X32" s="8" t="inlineStr">
        <is>
          <t>Cuenta inactiva / sin saldo previsto en 2027.</t>
        </is>
      </c>
    </row>
    <row r="33">
      <c r="B33" t="n">
        <v>2027</v>
      </c>
      <c r="C33" s="15" t="inlineStr">
        <is>
          <t>Codiagro</t>
        </is>
      </c>
      <c r="D33" s="15" t="inlineStr">
        <is>
          <t>RESULTADO DEL EJERCICIO</t>
        </is>
      </c>
      <c r="E33" s="15" t="inlineStr">
        <is>
          <t>RESULTADO ANTES DE IMPUESTOS</t>
        </is>
      </c>
      <c r="F33" s="15" t="inlineStr">
        <is>
          <t>RESULTADO DE LA EXPLOTACION</t>
        </is>
      </c>
      <c r="G33" s="15" t="inlineStr">
        <is>
          <t>4.- Aprovisionamientos</t>
        </is>
      </c>
      <c r="H33" s="15" t="inlineStr">
        <is>
          <t>(602) Compras de otros aprovisionamientos</t>
        </is>
      </c>
      <c r="I33" s="15" t="inlineStr">
        <is>
          <t>602000010 - COMPRA RIBBON</t>
        </is>
      </c>
      <c r="J33" s="15" t="inlineStr">
        <is>
          <t>-</t>
        </is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>
        <f>SUM(K33:V33)</f>
        <v/>
      </c>
      <c r="X33" s="8" t="inlineStr">
        <is>
          <t>Cuenta inactiva / sin saldo previsto en 2027.</t>
        </is>
      </c>
    </row>
    <row r="34">
      <c r="B34" t="n">
        <v>2027</v>
      </c>
      <c r="C34" s="15" t="inlineStr">
        <is>
          <t>Codiagro</t>
        </is>
      </c>
      <c r="D34" s="15" t="inlineStr">
        <is>
          <t>RESULTADO DEL EJERCICIO</t>
        </is>
      </c>
      <c r="E34" s="15" t="inlineStr">
        <is>
          <t>RESULTADO ANTES DE IMPUESTOS</t>
        </is>
      </c>
      <c r="F34" s="15" t="inlineStr">
        <is>
          <t>RESULTADO DE LA EXPLOTACION</t>
        </is>
      </c>
      <c r="G34" s="15" t="inlineStr">
        <is>
          <t>4.- Aprovisionamientos</t>
        </is>
      </c>
      <c r="H34" s="15" t="inlineStr">
        <is>
          <t>(602) Compras de otros aprovisionamientos</t>
        </is>
      </c>
      <c r="I34" s="15" t="inlineStr">
        <is>
          <t>602000011 - COMPRAS VARIAS PLANTA</t>
        </is>
      </c>
      <c r="J34" s="15" t="inlineStr">
        <is>
          <t>-</t>
        </is>
      </c>
      <c r="K34" s="13" t="n">
        <v>-964.39</v>
      </c>
      <c r="L34" s="13" t="n">
        <v>-964.39</v>
      </c>
      <c r="M34" s="13" t="n">
        <v>-964.39</v>
      </c>
      <c r="N34" s="13" t="n">
        <v>-964.39</v>
      </c>
      <c r="O34" s="13" t="n">
        <v>-964.39</v>
      </c>
      <c r="P34" s="13" t="n">
        <v>-964.39</v>
      </c>
      <c r="Q34" s="13" t="n">
        <v>-964.39</v>
      </c>
      <c r="R34" s="13" t="n">
        <v>-964.39</v>
      </c>
      <c r="S34" s="13" t="n">
        <v>-964.39</v>
      </c>
      <c r="T34" s="13" t="n">
        <v>-964.39</v>
      </c>
      <c r="U34" s="13" t="n">
        <v>-964.39</v>
      </c>
      <c r="V34" s="13" t="n">
        <v>-964.39</v>
      </c>
      <c r="W34" s="13">
        <f>SUM(K34:V34)</f>
        <v/>
      </c>
      <c r="X34" s="8" t="inlineStr">
        <is>
          <t>Coste operativo menor de planta: proyección basada en el promedio mensual consolidado.</t>
        </is>
      </c>
    </row>
    <row r="35">
      <c r="B35" t="n">
        <v>2027</v>
      </c>
      <c r="C35" s="15" t="inlineStr">
        <is>
          <t>Codiagro</t>
        </is>
      </c>
      <c r="D35" s="15" t="inlineStr">
        <is>
          <t>RESULTADO DEL EJERCICIO</t>
        </is>
      </c>
      <c r="E35" s="15" t="inlineStr">
        <is>
          <t>RESULTADO ANTES DE IMPUESTOS</t>
        </is>
      </c>
      <c r="F35" s="15" t="inlineStr">
        <is>
          <t>RESULTADO DE LA EXPLOTACION</t>
        </is>
      </c>
      <c r="G35" s="15" t="inlineStr">
        <is>
          <t>4.- Aprovisionamientos</t>
        </is>
      </c>
      <c r="H35" s="15" t="inlineStr">
        <is>
          <t>(602) Compras de otros aprovisionamientos</t>
        </is>
      </c>
      <c r="I35" s="15" t="inlineStr">
        <is>
          <t>602000012 - REPUESTOS INFORMATICOS</t>
        </is>
      </c>
      <c r="J35" s="15" t="inlineStr">
        <is>
          <t>-</t>
        </is>
      </c>
      <c r="K35" s="13" t="n">
        <v>-1559.63</v>
      </c>
      <c r="L35" s="13" t="n">
        <v>-1559.63</v>
      </c>
      <c r="M35" s="13" t="n">
        <v>-1559.63</v>
      </c>
      <c r="N35" s="13" t="n">
        <v>-1559.63</v>
      </c>
      <c r="O35" s="13" t="n">
        <v>-1559.63</v>
      </c>
      <c r="P35" s="13" t="n">
        <v>-1559.63</v>
      </c>
      <c r="Q35" s="13" t="n">
        <v>-1559.63</v>
      </c>
      <c r="R35" s="13" t="n">
        <v>-1559.63</v>
      </c>
      <c r="S35" s="13" t="n">
        <v>-1559.63</v>
      </c>
      <c r="T35" s="13" t="n">
        <v>-1559.63</v>
      </c>
      <c r="U35" s="13" t="n">
        <v>-1559.63</v>
      </c>
      <c r="V35" s="13" t="n">
        <v>-1559.63</v>
      </c>
      <c r="W35" s="13">
        <f>SUM(K35:V35)</f>
        <v/>
      </c>
      <c r="X35" s="8" t="inlineStr">
        <is>
          <t>Coste operativo menor de planta: proyección basada en el promedio mensual consolidado.</t>
        </is>
      </c>
    </row>
    <row r="36">
      <c r="B36" t="n">
        <v>2027</v>
      </c>
      <c r="C36" s="15" t="inlineStr">
        <is>
          <t>Codiagro</t>
        </is>
      </c>
      <c r="D36" s="15" t="inlineStr">
        <is>
          <t>RESULTADO DEL EJERCICIO</t>
        </is>
      </c>
      <c r="E36" s="15" t="inlineStr">
        <is>
          <t>RESULTADO ANTES DE IMPUESTOS</t>
        </is>
      </c>
      <c r="F36" s="15" t="inlineStr">
        <is>
          <t>RESULTADO DE LA EXPLOTACION</t>
        </is>
      </c>
      <c r="G36" s="15" t="inlineStr">
        <is>
          <t>4.- Aprovisionamientos</t>
        </is>
      </c>
      <c r="H36" s="15" t="inlineStr">
        <is>
          <t>(602) Compras de otros aprovisionamientos</t>
        </is>
      </c>
      <c r="I36" s="15" t="inlineStr">
        <is>
          <t>602000013 - COMPRA TINTA INPRESORA ETIQUETAS</t>
        </is>
      </c>
      <c r="J36" s="15" t="inlineStr">
        <is>
          <t>-</t>
        </is>
      </c>
      <c r="K36" s="13" t="n">
        <v>-2200</v>
      </c>
      <c r="L36" s="13" t="n">
        <v>-2600</v>
      </c>
      <c r="M36" s="13" t="n">
        <v>-2600</v>
      </c>
      <c r="N36" s="13" t="n">
        <v>-2600</v>
      </c>
      <c r="O36" s="13" t="n">
        <v>-2600</v>
      </c>
      <c r="P36" s="13" t="n">
        <v>-2600</v>
      </c>
      <c r="Q36" s="13" t="n">
        <v>-2600</v>
      </c>
      <c r="R36" s="13" t="n">
        <v>-2200</v>
      </c>
      <c r="S36" s="13" t="n">
        <v>-2200</v>
      </c>
      <c r="T36" s="13" t="n">
        <v>-2200</v>
      </c>
      <c r="U36" s="13" t="n">
        <v>-2600</v>
      </c>
      <c r="V36" s="13" t="n">
        <v>-2600</v>
      </c>
      <c r="W36" s="13">
        <f>SUM(K36:V36)</f>
        <v/>
      </c>
      <c r="X36" s="8" t="inlineStr">
        <is>
          <t>Coste semi-variable de consumibles de marcaje y codificación en planta según volumen fabril.</t>
        </is>
      </c>
    </row>
    <row r="37">
      <c r="B37" t="n">
        <v>2027</v>
      </c>
      <c r="C37" s="15" t="inlineStr">
        <is>
          <t>Codiagro</t>
        </is>
      </c>
      <c r="D37" s="15" t="inlineStr">
        <is>
          <t>RESULTADO DEL EJERCICIO</t>
        </is>
      </c>
      <c r="E37" s="15" t="inlineStr">
        <is>
          <t>RESULTADO ANTES DE IMPUESTOS</t>
        </is>
      </c>
      <c r="F37" s="15" t="inlineStr">
        <is>
          <t>RESULTADO DE LA EXPLOTACION</t>
        </is>
      </c>
      <c r="G37" s="15" t="inlineStr">
        <is>
          <t>4.- Aprovisionamientos</t>
        </is>
      </c>
      <c r="H37" s="15" t="inlineStr">
        <is>
          <t>(602) Compras de otros aprovisionamientos</t>
        </is>
      </c>
      <c r="I37" s="15" t="inlineStr">
        <is>
          <t>602000100 - ENVASES Y EMBALAJES A DEVOLVER</t>
        </is>
      </c>
      <c r="J37" s="15" t="inlineStr">
        <is>
          <t>-</t>
        </is>
      </c>
      <c r="K37" s="13" t="n">
        <v>-183.2</v>
      </c>
      <c r="L37" s="13" t="n">
        <v>-183.2</v>
      </c>
      <c r="M37" s="13" t="n">
        <v>-183.2</v>
      </c>
      <c r="N37" s="13" t="n">
        <v>-183.2</v>
      </c>
      <c r="O37" s="13" t="n">
        <v>-183.2</v>
      </c>
      <c r="P37" s="13" t="n">
        <v>-183.2</v>
      </c>
      <c r="Q37" s="13" t="n">
        <v>-183.2</v>
      </c>
      <c r="R37" s="13" t="n">
        <v>-183.2</v>
      </c>
      <c r="S37" s="13" t="n">
        <v>-183.2</v>
      </c>
      <c r="T37" s="13" t="n">
        <v>-183.2</v>
      </c>
      <c r="U37" s="13" t="n">
        <v>-183.2</v>
      </c>
      <c r="V37" s="13" t="n">
        <v>-183.2</v>
      </c>
      <c r="W37" s="13">
        <f>SUM(K37:V37)</f>
        <v/>
      </c>
      <c r="X37" s="8" t="inlineStr">
        <is>
          <t>Coste operativo menor de planta: proyección basada en el promedio mensual consolidado.</t>
        </is>
      </c>
    </row>
    <row r="38">
      <c r="B38" t="n">
        <v>2027</v>
      </c>
      <c r="C38" s="15" t="inlineStr">
        <is>
          <t>Codiagro</t>
        </is>
      </c>
      <c r="D38" s="15" t="inlineStr">
        <is>
          <t>RESULTADO DEL EJERCICIO</t>
        </is>
      </c>
      <c r="E38" s="15" t="inlineStr">
        <is>
          <t>RESULTADO ANTES DE IMPUESTOS</t>
        </is>
      </c>
      <c r="F38" s="15" t="inlineStr">
        <is>
          <t>RESULTADO DE LA EXPLOTACION</t>
        </is>
      </c>
      <c r="G38" s="15" t="inlineStr">
        <is>
          <t>4.- Aprovisionamientos</t>
        </is>
      </c>
      <c r="H38" s="15" t="inlineStr">
        <is>
          <t>(607) Trabajos realizados por otras empresas</t>
        </is>
      </c>
      <c r="I38" s="15" t="inlineStr">
        <is>
          <t>607000000 - Trabajos realizados por otras empresas</t>
        </is>
      </c>
      <c r="J38" s="15" t="inlineStr">
        <is>
          <t>-</t>
        </is>
      </c>
      <c r="K38" s="13" t="n">
        <v>-5500</v>
      </c>
      <c r="L38" s="13" t="n">
        <v>-7500</v>
      </c>
      <c r="M38" s="13" t="n">
        <v>-7500</v>
      </c>
      <c r="N38" s="13" t="n">
        <v>-7500</v>
      </c>
      <c r="O38" s="13" t="n">
        <v>-7500</v>
      </c>
      <c r="P38" s="13" t="n">
        <v>-7500</v>
      </c>
      <c r="Q38" s="13" t="n">
        <v>-7500</v>
      </c>
      <c r="R38" s="13" t="n">
        <v>-5500</v>
      </c>
      <c r="S38" s="13" t="n">
        <v>-5500</v>
      </c>
      <c r="T38" s="13" t="n">
        <v>-5500</v>
      </c>
      <c r="U38" s="13" t="n">
        <v>-7500</v>
      </c>
      <c r="V38" s="13" t="n">
        <v>-7500</v>
      </c>
      <c r="W38" s="13">
        <f>SUM(K38:V38)</f>
        <v/>
      </c>
      <c r="X38" s="8" t="inlineStr">
        <is>
          <t>Coste variable: subcontratación y apoyos externos de formulación según picos de carga fabril.</t>
        </is>
      </c>
    </row>
    <row r="39">
      <c r="B39" t="n">
        <v>2027</v>
      </c>
      <c r="C39" s="15" t="inlineStr">
        <is>
          <t>Codiagro</t>
        </is>
      </c>
      <c r="D39" s="15" t="inlineStr">
        <is>
          <t>RESULTADO DEL EJERCICIO</t>
        </is>
      </c>
      <c r="E39" s="15" t="inlineStr">
        <is>
          <t>RESULTADO ANTES DE IMPUESTOS</t>
        </is>
      </c>
      <c r="F39" s="15" t="inlineStr">
        <is>
          <t>RESULTADO DE LA EXPLOTACION</t>
        </is>
      </c>
      <c r="G39" s="15" t="inlineStr">
        <is>
          <t>4.- Aprovisionamientos</t>
        </is>
      </c>
      <c r="H39" s="15" t="inlineStr">
        <is>
          <t>(611) Variación de existencias de materias primas</t>
        </is>
      </c>
      <c r="I39" s="15" t="inlineStr">
        <is>
          <t>611000000 - Variación de existencias de materias primas</t>
        </is>
      </c>
      <c r="J39" s="15" t="inlineStr">
        <is>
          <t>-</t>
        </is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-15000</v>
      </c>
      <c r="W39" s="13">
        <f>SUM(K39:V39)</f>
        <v/>
      </c>
      <c r="X39" s="8" t="inlineStr">
        <is>
          <t>Ajuste previsional de variación de existencias para regularización de inventarios a cierre de ejercicio.</t>
        </is>
      </c>
    </row>
    <row r="40">
      <c r="B40" t="n">
        <v>2027</v>
      </c>
      <c r="C40" s="15" t="inlineStr">
        <is>
          <t>Codiagro</t>
        </is>
      </c>
      <c r="D40" s="15" t="inlineStr">
        <is>
          <t>RESULTADO DEL EJERCICIO</t>
        </is>
      </c>
      <c r="E40" s="15" t="inlineStr">
        <is>
          <t>RESULTADO ANTES DE IMPUESTOS</t>
        </is>
      </c>
      <c r="F40" s="15" t="inlineStr">
        <is>
          <t>RESULTADO DE LA EXPLOTACION</t>
        </is>
      </c>
      <c r="G40" s="15" t="inlineStr">
        <is>
          <t>4.- Aprovisionamientos</t>
        </is>
      </c>
      <c r="H40" s="15" t="inlineStr">
        <is>
          <t>(612) Variación de existencias envases/etiquetas</t>
        </is>
      </c>
      <c r="I40" s="15" t="inlineStr">
        <is>
          <t>612000000 - Variación de existencias otros aprovisionamientos</t>
        </is>
      </c>
      <c r="J40" s="15" t="inlineStr">
        <is>
          <t>-</t>
        </is>
      </c>
      <c r="K40" s="13" t="n">
        <v>0</v>
      </c>
      <c r="L40" s="13" t="n">
        <v>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10000</v>
      </c>
      <c r="W40" s="13">
        <f>SUM(K40:V40)</f>
        <v/>
      </c>
      <c r="X40" s="8" t="inlineStr">
        <is>
          <t>Ajuste previsional de variación de existencias otros aprovisionamientos a cierre de ejercicio.</t>
        </is>
      </c>
    </row>
    <row r="41">
      <c r="B41" t="n">
        <v>2027</v>
      </c>
      <c r="C41" s="15" t="inlineStr">
        <is>
          <t>Codiagro</t>
        </is>
      </c>
      <c r="D41" s="15" t="inlineStr">
        <is>
          <t>RESULTADO DEL EJERCICIO</t>
        </is>
      </c>
      <c r="E41" s="15" t="inlineStr">
        <is>
          <t>RESULTADO ANTES DE IMPUESTOS</t>
        </is>
      </c>
      <c r="F41" s="15" t="inlineStr">
        <is>
          <t>RESULTADO DE LA EXPLOTACION</t>
        </is>
      </c>
      <c r="G41" s="15" t="inlineStr">
        <is>
          <t>5.- Otros ingresos de explotación</t>
        </is>
      </c>
      <c r="H41" s="15" t="inlineStr">
        <is>
          <t>(759) Otros ingresos de gestión</t>
        </is>
      </c>
      <c r="I41" s="15" t="inlineStr">
        <is>
          <t>759000000 - Ingresos por servicios diversos</t>
        </is>
      </c>
      <c r="J41" s="15" t="inlineStr">
        <is>
          <t>-</t>
        </is>
      </c>
      <c r="K41" s="13" t="n">
        <v>0</v>
      </c>
      <c r="L41" s="13" t="n">
        <v>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>
        <f>SUM(K41:V41)</f>
        <v/>
      </c>
      <c r="X41" s="8" t="inlineStr">
        <is>
          <t>Cuenta inactiva / sin saldo previsto en 2027.</t>
        </is>
      </c>
    </row>
    <row r="42">
      <c r="B42" t="n">
        <v>2027</v>
      </c>
      <c r="C42" s="15" t="inlineStr">
        <is>
          <t>Codiagro</t>
        </is>
      </c>
      <c r="D42" s="15" t="inlineStr">
        <is>
          <t>RESULTADO DEL EJERCICIO</t>
        </is>
      </c>
      <c r="E42" s="15" t="inlineStr">
        <is>
          <t>RESULTADO ANTES DE IMPUESTOS</t>
        </is>
      </c>
      <c r="F42" s="15" t="inlineStr">
        <is>
          <t>RESULTADO DE LA EXPLOTACION</t>
        </is>
      </c>
      <c r="G42" s="15" t="inlineStr">
        <is>
          <t>6.- Gastos de personal</t>
        </is>
      </c>
      <c r="H42" s="15" t="inlineStr">
        <is>
          <t>(640) Sueldos y salarios</t>
        </is>
      </c>
      <c r="I42" s="15" t="inlineStr">
        <is>
          <t>640000000 - Sueldos y salarios</t>
        </is>
      </c>
      <c r="J42" s="15" t="inlineStr">
        <is>
          <t>-</t>
        </is>
      </c>
      <c r="K42" s="13" t="n">
        <v>-128060.74</v>
      </c>
      <c r="L42" s="13" t="n">
        <v>-128060.74</v>
      </c>
      <c r="M42" s="13" t="n">
        <v>-128060.74</v>
      </c>
      <c r="N42" s="13" t="n">
        <v>-128060.74</v>
      </c>
      <c r="O42" s="13" t="n">
        <v>-128060.74</v>
      </c>
      <c r="P42" s="13" t="n">
        <v>-128060.74</v>
      </c>
      <c r="Q42" s="13" t="n">
        <v>-128060.74</v>
      </c>
      <c r="R42" s="13" t="n">
        <v>-128060.74</v>
      </c>
      <c r="S42" s="13" t="n">
        <v>-128060.74</v>
      </c>
      <c r="T42" s="13" t="n">
        <v>-128060.74</v>
      </c>
      <c r="U42" s="13" t="n">
        <v>-128060.74</v>
      </c>
      <c r="V42" s="13" t="n">
        <v>-407060.74</v>
      </c>
      <c r="W42" s="13">
        <f>SUM(K42:V42)</f>
        <v/>
      </c>
      <c r="X42" s="8" t="inlineStr">
        <is>
          <t>Base salarial mensual fija (-128.060,74 €/mes) + 279.000,00 € adicionales en diciembre por Paga Extra e incentivos anuales.</t>
        </is>
      </c>
    </row>
    <row r="43">
      <c r="B43" t="n">
        <v>2027</v>
      </c>
      <c r="C43" s="15" t="inlineStr">
        <is>
          <t>Codiagro</t>
        </is>
      </c>
      <c r="D43" s="15" t="inlineStr">
        <is>
          <t>RESULTADO DEL EJERCICIO</t>
        </is>
      </c>
      <c r="E43" s="15" t="inlineStr">
        <is>
          <t>RESULTADO ANTES DE IMPUESTOS</t>
        </is>
      </c>
      <c r="F43" s="15" t="inlineStr">
        <is>
          <t>RESULTADO DE LA EXPLOTACION</t>
        </is>
      </c>
      <c r="G43" s="15" t="inlineStr">
        <is>
          <t>6.- Gastos de personal</t>
        </is>
      </c>
      <c r="H43" s="15" t="inlineStr">
        <is>
          <t>(642) Seguridad social a cargo empresa</t>
        </is>
      </c>
      <c r="I43" s="15" t="inlineStr">
        <is>
          <t>642000000 - Seguridad Social a cargo empresa</t>
        </is>
      </c>
      <c r="J43" s="15" t="inlineStr">
        <is>
          <t>-</t>
        </is>
      </c>
      <c r="K43" s="13" t="n">
        <v>-24572.05</v>
      </c>
      <c r="L43" s="13" t="n">
        <v>-24572.05</v>
      </c>
      <c r="M43" s="13" t="n">
        <v>-24572.05</v>
      </c>
      <c r="N43" s="13" t="n">
        <v>-24572.05</v>
      </c>
      <c r="O43" s="13" t="n">
        <v>-24572.05</v>
      </c>
      <c r="P43" s="13" t="n">
        <v>-24572.05</v>
      </c>
      <c r="Q43" s="13" t="n">
        <v>-24572.05</v>
      </c>
      <c r="R43" s="13" t="n">
        <v>-24572.05</v>
      </c>
      <c r="S43" s="13" t="n">
        <v>-24572.05</v>
      </c>
      <c r="T43" s="13" t="n">
        <v>-24572.05</v>
      </c>
      <c r="U43" s="13" t="n">
        <v>-24572.05</v>
      </c>
      <c r="V43" s="13" t="n">
        <v>-24572.05</v>
      </c>
      <c r="W43" s="13">
        <f>SUM(K43:V43)</f>
        <v/>
      </c>
      <c r="X43" s="8" t="inlineStr">
        <is>
          <t>Cotización mensual fija a la Seguridad Social según plantilla consolidada (-24.572,05 €/mes).</t>
        </is>
      </c>
    </row>
    <row r="44">
      <c r="B44" t="n">
        <v>2027</v>
      </c>
      <c r="C44" s="15" t="inlineStr">
        <is>
          <t>Codiagro</t>
        </is>
      </c>
      <c r="D44" s="15" t="inlineStr">
        <is>
          <t>RESULTADO DEL EJERCICIO</t>
        </is>
      </c>
      <c r="E44" s="15" t="inlineStr">
        <is>
          <t>RESULTADO ANTES DE IMPUESTOS</t>
        </is>
      </c>
      <c r="F44" s="15" t="inlineStr">
        <is>
          <t>RESULTADO DE LA EXPLOTACION</t>
        </is>
      </c>
      <c r="G44" s="15" t="inlineStr">
        <is>
          <t>6.- Gastos de personal</t>
        </is>
      </c>
      <c r="H44" s="15" t="inlineStr">
        <is>
          <t>(649) Otros gastos sociales</t>
        </is>
      </c>
      <c r="I44" s="15" t="inlineStr">
        <is>
          <t>649000000 - Otros gastos sociales</t>
        </is>
      </c>
      <c r="J44" s="15" t="inlineStr">
        <is>
          <t>-</t>
        </is>
      </c>
      <c r="K44" s="13" t="n">
        <v>0</v>
      </c>
      <c r="L44" s="13" t="n">
        <v>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>
        <f>SUM(K44:V44)</f>
        <v/>
      </c>
      <c r="X44" s="8" t="inlineStr">
        <is>
          <t>Cuenta inactiva / sin saldo previsto en 2027.</t>
        </is>
      </c>
    </row>
    <row r="45">
      <c r="B45" t="n">
        <v>2027</v>
      </c>
      <c r="C45" s="15" t="inlineStr">
        <is>
          <t>Codiagro</t>
        </is>
      </c>
      <c r="D45" s="15" t="inlineStr">
        <is>
          <t>RESULTADO DEL EJERCICIO</t>
        </is>
      </c>
      <c r="E45" s="15" t="inlineStr">
        <is>
          <t>RESULTADO ANTES DE IMPUESTOS</t>
        </is>
      </c>
      <c r="F45" s="15" t="inlineStr">
        <is>
          <t>RESULTADO DE LA EXPLOTACION</t>
        </is>
      </c>
      <c r="G45" s="15" t="inlineStr">
        <is>
          <t>6.- Gastos de personal</t>
        </is>
      </c>
      <c r="H45" s="15" t="inlineStr">
        <is>
          <t>(649) Otros gastos sociales</t>
        </is>
      </c>
      <c r="I45" s="15" t="inlineStr">
        <is>
          <t>649000001 - GASTOS COMERCIALES NIEVES RUIZ</t>
        </is>
      </c>
      <c r="J45" s="15" t="inlineStr">
        <is>
          <t>-</t>
        </is>
      </c>
      <c r="K45" s="13" t="n">
        <v>0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>
        <f>SUM(K45:V45)</f>
        <v/>
      </c>
      <c r="X45" s="8" t="inlineStr">
        <is>
          <t>Cuenta inactiva / sin saldo previsto en 2027.</t>
        </is>
      </c>
    </row>
    <row r="46">
      <c r="B46" t="n">
        <v>2027</v>
      </c>
      <c r="C46" s="15" t="inlineStr">
        <is>
          <t>Codiagro</t>
        </is>
      </c>
      <c r="D46" s="15" t="inlineStr">
        <is>
          <t>RESULTADO DEL EJERCICIO</t>
        </is>
      </c>
      <c r="E46" s="15" t="inlineStr">
        <is>
          <t>RESULTADO ANTES DE IMPUESTOS</t>
        </is>
      </c>
      <c r="F46" s="15" t="inlineStr">
        <is>
          <t>RESULTADO DE LA EXPLOTACION</t>
        </is>
      </c>
      <c r="G46" s="15" t="inlineStr">
        <is>
          <t>6.- Gastos de personal</t>
        </is>
      </c>
      <c r="H46" s="15" t="inlineStr">
        <is>
          <t>(649) Otros gastos sociales</t>
        </is>
      </c>
      <c r="I46" s="15" t="inlineStr">
        <is>
          <t>649000002 - GASTOS EMPR. ANTONIO ANDREU</t>
        </is>
      </c>
      <c r="J46" s="15" t="inlineStr">
        <is>
          <t>-</t>
        </is>
      </c>
      <c r="K46" s="13" t="n">
        <v>0</v>
      </c>
      <c r="L46" s="13" t="n">
        <v>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>
        <f>SUM(K46:V46)</f>
        <v/>
      </c>
      <c r="X46" s="8" t="inlineStr">
        <is>
          <t>Cuenta inactiva / sin saldo previsto en 2027.</t>
        </is>
      </c>
    </row>
    <row r="47">
      <c r="B47" t="n">
        <v>2027</v>
      </c>
      <c r="C47" s="15" t="inlineStr">
        <is>
          <t>Codiagro</t>
        </is>
      </c>
      <c r="D47" s="15" t="inlineStr">
        <is>
          <t>RESULTADO DEL EJERCICIO</t>
        </is>
      </c>
      <c r="E47" s="15" t="inlineStr">
        <is>
          <t>RESULTADO ANTES DE IMPUESTOS</t>
        </is>
      </c>
      <c r="F47" s="15" t="inlineStr">
        <is>
          <t>RESULTADO DE LA EXPLOTACION</t>
        </is>
      </c>
      <c r="G47" s="15" t="inlineStr">
        <is>
          <t>6.- Gastos de personal</t>
        </is>
      </c>
      <c r="H47" s="15" t="inlineStr">
        <is>
          <t>(649) Otros gastos sociales</t>
        </is>
      </c>
      <c r="I47" s="15" t="inlineStr">
        <is>
          <t>649000004 - GASTOS COMERCIALES RICARDO PEREZ</t>
        </is>
      </c>
      <c r="J47" s="15" t="inlineStr">
        <is>
          <t>-</t>
        </is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>
        <f>SUM(K47:V47)</f>
        <v/>
      </c>
      <c r="X47" s="8" t="inlineStr">
        <is>
          <t>Cuenta inactiva / sin saldo previsto en 2027.</t>
        </is>
      </c>
    </row>
    <row r="48">
      <c r="B48" t="n">
        <v>2027</v>
      </c>
      <c r="C48" s="15" t="inlineStr">
        <is>
          <t>Codiagro</t>
        </is>
      </c>
      <c r="D48" s="15" t="inlineStr">
        <is>
          <t>RESULTADO DEL EJERCICIO</t>
        </is>
      </c>
      <c r="E48" s="15" t="inlineStr">
        <is>
          <t>RESULTADO ANTES DE IMPUESTOS</t>
        </is>
      </c>
      <c r="F48" s="15" t="inlineStr">
        <is>
          <t>RESULTADO DE LA EXPLOTACION</t>
        </is>
      </c>
      <c r="G48" s="15" t="inlineStr">
        <is>
          <t>6.- Gastos de personal</t>
        </is>
      </c>
      <c r="H48" s="15" t="inlineStr">
        <is>
          <t>(649) Otros gastos sociales</t>
        </is>
      </c>
      <c r="I48" s="15" t="inlineStr">
        <is>
          <t>649000007 - GASTOS COMERCIALES J.PAREDES</t>
        </is>
      </c>
      <c r="J48" s="15" t="inlineStr">
        <is>
          <t>-</t>
        </is>
      </c>
      <c r="K48" s="13" t="n">
        <v>0</v>
      </c>
      <c r="L48" s="13" t="n">
        <v>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>
        <f>SUM(K48:V48)</f>
        <v/>
      </c>
      <c r="X48" s="8" t="inlineStr">
        <is>
          <t>Cuenta inactiva / sin saldo previsto en 2027.</t>
        </is>
      </c>
    </row>
    <row r="49">
      <c r="B49" t="n">
        <v>2027</v>
      </c>
      <c r="C49" s="15" t="inlineStr">
        <is>
          <t>Codiagro</t>
        </is>
      </c>
      <c r="D49" s="15" t="inlineStr">
        <is>
          <t>RESULTADO DEL EJERCICIO</t>
        </is>
      </c>
      <c r="E49" s="15" t="inlineStr">
        <is>
          <t>RESULTADO ANTES DE IMPUESTOS</t>
        </is>
      </c>
      <c r="F49" s="15" t="inlineStr">
        <is>
          <t>RESULTADO DE LA EXPLOTACION</t>
        </is>
      </c>
      <c r="G49" s="15" t="inlineStr">
        <is>
          <t>6.- Gastos de personal</t>
        </is>
      </c>
      <c r="H49" s="15" t="inlineStr">
        <is>
          <t>(649) Otros gastos sociales</t>
        </is>
      </c>
      <c r="I49" s="15" t="inlineStr">
        <is>
          <t>649000009 - GASTOS COMERCIALES J.A. GARCIA</t>
        </is>
      </c>
      <c r="J49" s="15" t="inlineStr">
        <is>
          <t>-</t>
        </is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>
        <f>SUM(K49:V49)</f>
        <v/>
      </c>
      <c r="X49" s="8" t="inlineStr">
        <is>
          <t>Cuenta inactiva / sin saldo previsto en 2027.</t>
        </is>
      </c>
    </row>
    <row r="50">
      <c r="B50" t="n">
        <v>2027</v>
      </c>
      <c r="C50" s="15" t="inlineStr">
        <is>
          <t>Codiagro</t>
        </is>
      </c>
      <c r="D50" s="15" t="inlineStr">
        <is>
          <t>RESULTADO DEL EJERCICIO</t>
        </is>
      </c>
      <c r="E50" s="15" t="inlineStr">
        <is>
          <t>RESULTADO ANTES DE IMPUESTOS</t>
        </is>
      </c>
      <c r="F50" s="15" t="inlineStr">
        <is>
          <t>RESULTADO DE LA EXPLOTACION</t>
        </is>
      </c>
      <c r="G50" s="15" t="inlineStr">
        <is>
          <t>6.- Gastos de personal</t>
        </is>
      </c>
      <c r="H50" s="15" t="inlineStr">
        <is>
          <t>(649) Otros gastos sociales</t>
        </is>
      </c>
      <c r="I50" s="15" t="inlineStr">
        <is>
          <t>649000010 - GASTOS EMP. CURRO</t>
        </is>
      </c>
      <c r="J50" s="15" t="inlineStr">
        <is>
          <t>-</t>
        </is>
      </c>
      <c r="K50" s="13" t="n">
        <v>0</v>
      </c>
      <c r="L50" s="13" t="n">
        <v>0</v>
      </c>
      <c r="M50" s="13" t="n">
        <v>0</v>
      </c>
      <c r="N50" s="13" t="n">
        <v>0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</v>
      </c>
      <c r="W50" s="13">
        <f>SUM(K50:V50)</f>
        <v/>
      </c>
      <c r="X50" s="8" t="inlineStr">
        <is>
          <t>Cuenta inactiva / sin saldo previsto en 2027.</t>
        </is>
      </c>
    </row>
    <row r="51">
      <c r="B51" t="n">
        <v>2027</v>
      </c>
      <c r="C51" s="15" t="inlineStr">
        <is>
          <t>Codiagro</t>
        </is>
      </c>
      <c r="D51" s="15" t="inlineStr">
        <is>
          <t>RESULTADO DEL EJERCICIO</t>
        </is>
      </c>
      <c r="E51" s="15" t="inlineStr">
        <is>
          <t>RESULTADO ANTES DE IMPUESTOS</t>
        </is>
      </c>
      <c r="F51" s="15" t="inlineStr">
        <is>
          <t>RESULTADO DE LA EXPLOTACION</t>
        </is>
      </c>
      <c r="G51" s="15" t="inlineStr">
        <is>
          <t>6.- Gastos de personal</t>
        </is>
      </c>
      <c r="H51" s="15" t="inlineStr">
        <is>
          <t>(649) Otros gastos sociales</t>
        </is>
      </c>
      <c r="I51" s="15" t="inlineStr">
        <is>
          <t>649000012 - GASTOS COMERCIALES IRENE GARCIA</t>
        </is>
      </c>
      <c r="J51" s="15" t="inlineStr">
        <is>
          <t>-</t>
        </is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0</v>
      </c>
      <c r="W51" s="13">
        <f>SUM(K51:V51)</f>
        <v/>
      </c>
      <c r="X51" s="8" t="inlineStr">
        <is>
          <t>Cuenta inactiva / sin saldo previsto en 2027.</t>
        </is>
      </c>
    </row>
    <row r="52">
      <c r="B52" t="n">
        <v>2027</v>
      </c>
      <c r="C52" s="15" t="inlineStr">
        <is>
          <t>Codiagro</t>
        </is>
      </c>
      <c r="D52" s="15" t="inlineStr">
        <is>
          <t>RESULTADO DEL EJERCICIO</t>
        </is>
      </c>
      <c r="E52" s="15" t="inlineStr">
        <is>
          <t>RESULTADO ANTES DE IMPUESTOS</t>
        </is>
      </c>
      <c r="F52" s="15" t="inlineStr">
        <is>
          <t>RESULTADO DE LA EXPLOTACION</t>
        </is>
      </c>
      <c r="G52" s="15" t="inlineStr">
        <is>
          <t>6.- Gastos de personal</t>
        </is>
      </c>
      <c r="H52" s="15" t="inlineStr">
        <is>
          <t>(649) Otros gastos sociales</t>
        </is>
      </c>
      <c r="I52" s="15" t="inlineStr">
        <is>
          <t>649000100 - GTOS. CURSOS PERSONAL</t>
        </is>
      </c>
      <c r="J52" s="15" t="inlineStr">
        <is>
          <t>-</t>
        </is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-1000</v>
      </c>
      <c r="V52" s="13" t="n">
        <v>-1500</v>
      </c>
      <c r="W52" s="13">
        <f>SUM(K52:V52)</f>
        <v/>
      </c>
      <c r="X52" s="8" t="inlineStr">
        <is>
          <t>Formación bonificada y capacitación técnica del personal.</t>
        </is>
      </c>
    </row>
    <row r="53">
      <c r="B53" t="n">
        <v>2027</v>
      </c>
      <c r="C53" s="15" t="inlineStr">
        <is>
          <t>Codiagro</t>
        </is>
      </c>
      <c r="D53" s="15" t="inlineStr">
        <is>
          <t>RESULTADO DEL EJERCICIO</t>
        </is>
      </c>
      <c r="E53" s="15" t="inlineStr">
        <is>
          <t>RESULTADO ANTES DE IMPUESTOS</t>
        </is>
      </c>
      <c r="F53" s="15" t="inlineStr">
        <is>
          <t>RESULTADO DE LA EXPLOTACION</t>
        </is>
      </c>
      <c r="G53" s="15" t="inlineStr">
        <is>
          <t>6.- Gastos de personal</t>
        </is>
      </c>
      <c r="H53" s="15" t="inlineStr">
        <is>
          <t>(649) Otros gastos sociales</t>
        </is>
      </c>
      <c r="I53" s="15" t="inlineStr">
        <is>
          <t>649000101 - GTOS. SEG. Y RIESGOS PERSONAL</t>
        </is>
      </c>
      <c r="J53" s="15" t="inlineStr">
        <is>
          <t>-</t>
        </is>
      </c>
      <c r="K53" s="13" t="n">
        <v>0</v>
      </c>
      <c r="L53" s="13" t="n">
        <v>0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  <c r="V53" s="13" t="n">
        <v>0</v>
      </c>
      <c r="W53" s="13">
        <f>SUM(K53:V53)</f>
        <v/>
      </c>
      <c r="X53" s="8" t="inlineStr">
        <is>
          <t>Cuenta inactiva / sin saldo previsto en 2027.</t>
        </is>
      </c>
    </row>
    <row r="54">
      <c r="B54" t="n">
        <v>2027</v>
      </c>
      <c r="C54" s="15" t="inlineStr">
        <is>
          <t>Codiagro</t>
        </is>
      </c>
      <c r="D54" s="15" t="inlineStr">
        <is>
          <t>RESULTADO DEL EJERCICIO</t>
        </is>
      </c>
      <c r="E54" s="15" t="inlineStr">
        <is>
          <t>RESULTADO ANTES DE IMPUESTOS</t>
        </is>
      </c>
      <c r="F54" s="15" t="inlineStr">
        <is>
          <t>RESULTADO DE LA EXPLOTACION</t>
        </is>
      </c>
      <c r="G54" s="15" t="inlineStr">
        <is>
          <t>6.- Gastos de personal</t>
        </is>
      </c>
      <c r="H54" s="15" t="inlineStr">
        <is>
          <t>(649) Otros gastos sociales</t>
        </is>
      </c>
      <c r="I54" s="15" t="inlineStr">
        <is>
          <t>649000102 - GASTOS ROPA UNIFORMES TRABAJADORES</t>
        </is>
      </c>
      <c r="J54" s="15" t="inlineStr">
        <is>
          <t>-</t>
        </is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>
        <f>SUM(K54:V54)</f>
        <v/>
      </c>
      <c r="X54" s="8" t="inlineStr">
        <is>
          <t>Cuenta inactiva / sin saldo previsto en 2027.</t>
        </is>
      </c>
    </row>
    <row r="55">
      <c r="B55" t="n">
        <v>2027</v>
      </c>
      <c r="C55" s="15" t="inlineStr">
        <is>
          <t>Codiagro</t>
        </is>
      </c>
      <c r="D55" s="15" t="inlineStr">
        <is>
          <t>RESULTADO DEL EJERCICIO</t>
        </is>
      </c>
      <c r="E55" s="15" t="inlineStr">
        <is>
          <t>RESULTADO ANTES DE IMPUESTOS</t>
        </is>
      </c>
      <c r="F55" s="15" t="inlineStr">
        <is>
          <t>RESULTADO DE LA EXPLOTACION</t>
        </is>
      </c>
      <c r="G55" s="15" t="inlineStr">
        <is>
          <t>6.- Gastos de personal</t>
        </is>
      </c>
      <c r="H55" s="15" t="inlineStr">
        <is>
          <t>(649) Otros gastos sociales</t>
        </is>
      </c>
      <c r="I55" s="15" t="inlineStr">
        <is>
          <t>649000103 - GASTOS COMBUSTIBLE TRAB.</t>
        </is>
      </c>
      <c r="J55" s="15" t="inlineStr">
        <is>
          <t>-</t>
        </is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0</v>
      </c>
      <c r="W55" s="13">
        <f>SUM(K55:V55)</f>
        <v/>
      </c>
      <c r="X55" s="8" t="inlineStr">
        <is>
          <t>Cuenta inactiva / sin saldo previsto en 2027.</t>
        </is>
      </c>
    </row>
    <row r="56">
      <c r="B56" t="n">
        <v>2027</v>
      </c>
      <c r="C56" s="15" t="inlineStr">
        <is>
          <t>Codiagro</t>
        </is>
      </c>
      <c r="D56" s="15" t="inlineStr">
        <is>
          <t>RESULTADO DEL EJERCICIO</t>
        </is>
      </c>
      <c r="E56" s="15" t="inlineStr">
        <is>
          <t>RESULTADO ANTES DE IMPUESTOS</t>
        </is>
      </c>
      <c r="F56" s="15" t="inlineStr">
        <is>
          <t>RESULTADO DE LA EXPLOTACION</t>
        </is>
      </c>
      <c r="G56" s="15" t="inlineStr">
        <is>
          <t>6.- Gastos de personal</t>
        </is>
      </c>
      <c r="H56" s="15" t="inlineStr">
        <is>
          <t>(649) Otros gastos sociales</t>
        </is>
      </c>
      <c r="I56" s="15" t="inlineStr">
        <is>
          <t>649100001 - GTOS. COMIDAS TRAB.</t>
        </is>
      </c>
      <c r="J56" s="15" t="inlineStr">
        <is>
          <t>-</t>
        </is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>
        <f>SUM(K56:V56)</f>
        <v/>
      </c>
      <c r="X56" s="8" t="inlineStr">
        <is>
          <t>Cuenta inactiva / sin saldo previsto en 2027.</t>
        </is>
      </c>
    </row>
    <row r="57">
      <c r="B57" t="n">
        <v>2027</v>
      </c>
      <c r="C57" s="15" t="inlineStr">
        <is>
          <t>Codiagro</t>
        </is>
      </c>
      <c r="D57" s="15" t="inlineStr">
        <is>
          <t>RESULTADO DEL EJERCICIO</t>
        </is>
      </c>
      <c r="E57" s="15" t="inlineStr">
        <is>
          <t>RESULTADO ANTES DE IMPUESTOS</t>
        </is>
      </c>
      <c r="F57" s="15" t="inlineStr">
        <is>
          <t>RESULTADO DE LA EXPLOTACION</t>
        </is>
      </c>
      <c r="G57" s="15" t="inlineStr">
        <is>
          <t>6.- Gastos de personal</t>
        </is>
      </c>
      <c r="H57" s="15" t="inlineStr">
        <is>
          <t>(649) Otros gastos sociales</t>
        </is>
      </c>
      <c r="I57" s="15" t="inlineStr">
        <is>
          <t>649100002 - GASTOS TRAB. EMPRESA VARIOS</t>
        </is>
      </c>
      <c r="J57" s="15" t="inlineStr">
        <is>
          <t>-</t>
        </is>
      </c>
      <c r="K57" s="13" t="n">
        <v>0</v>
      </c>
      <c r="L57" s="13" t="n">
        <v>0</v>
      </c>
      <c r="M57" s="13" t="n">
        <v>0</v>
      </c>
      <c r="N57" s="13" t="n">
        <v>0</v>
      </c>
      <c r="O57" s="13" t="n">
        <v>0</v>
      </c>
      <c r="P57" s="13" t="n">
        <v>0</v>
      </c>
      <c r="Q57" s="13" t="n">
        <v>0</v>
      </c>
      <c r="R57" s="13" t="n">
        <v>0</v>
      </c>
      <c r="S57" s="13" t="n">
        <v>0</v>
      </c>
      <c r="T57" s="13" t="n">
        <v>0</v>
      </c>
      <c r="U57" s="13" t="n">
        <v>0</v>
      </c>
      <c r="V57" s="13" t="n">
        <v>0</v>
      </c>
      <c r="W57" s="13">
        <f>SUM(K57:V57)</f>
        <v/>
      </c>
      <c r="X57" s="8" t="inlineStr">
        <is>
          <t>Cuenta inactiva / sin saldo previsto en 2027.</t>
        </is>
      </c>
    </row>
    <row r="58">
      <c r="B58" t="n">
        <v>2027</v>
      </c>
      <c r="C58" s="15" t="inlineStr">
        <is>
          <t>Codiagro</t>
        </is>
      </c>
      <c r="D58" s="15" t="inlineStr">
        <is>
          <t>RESULTADO DEL EJERCICIO</t>
        </is>
      </c>
      <c r="E58" s="15" t="inlineStr">
        <is>
          <t>RESULTADO ANTES DE IMPUESTOS</t>
        </is>
      </c>
      <c r="F58" s="15" t="inlineStr">
        <is>
          <t>RESULTADO DE LA EXPLOTACION</t>
        </is>
      </c>
      <c r="G58" s="15" t="inlineStr">
        <is>
          <t>7.- Otros gastos de explotación</t>
        </is>
      </c>
      <c r="H58" s="15" t="inlineStr">
        <is>
          <t>(620) Gastos de investigación y desarrollo</t>
        </is>
      </c>
      <c r="I58" s="15" t="inlineStr">
        <is>
          <t>620000002 - COMPRAS LABORATORIO</t>
        </is>
      </c>
      <c r="J58" s="15" t="inlineStr">
        <is>
          <t>-</t>
        </is>
      </c>
      <c r="K58" s="13" t="n">
        <v>-322.5</v>
      </c>
      <c r="L58" s="13" t="n">
        <v>-322.5</v>
      </c>
      <c r="M58" s="13" t="n">
        <v>-322.5</v>
      </c>
      <c r="N58" s="13" t="n">
        <v>-322.5</v>
      </c>
      <c r="O58" s="13" t="n">
        <v>-322.5</v>
      </c>
      <c r="P58" s="13" t="n">
        <v>-322.5</v>
      </c>
      <c r="Q58" s="13" t="n">
        <v>-322.5</v>
      </c>
      <c r="R58" s="13" t="n">
        <v>-322.5</v>
      </c>
      <c r="S58" s="13" t="n">
        <v>-322.5</v>
      </c>
      <c r="T58" s="13" t="n">
        <v>-322.5</v>
      </c>
      <c r="U58" s="13" t="n">
        <v>-322.5</v>
      </c>
      <c r="V58" s="13" t="n">
        <v>-322.5</v>
      </c>
      <c r="W58" s="13">
        <f>SUM(K58:V58)</f>
        <v/>
      </c>
      <c r="X58" s="8" t="inlineStr">
        <is>
          <t>Coste estratégico de I+D: ensayos agronómicos de eficacia y desarrollo de bioestimulantes.</t>
        </is>
      </c>
    </row>
    <row r="59">
      <c r="B59" t="n">
        <v>2027</v>
      </c>
      <c r="C59" s="15" t="inlineStr">
        <is>
          <t>Codiagro</t>
        </is>
      </c>
      <c r="D59" s="15" t="inlineStr">
        <is>
          <t>RESULTADO DEL EJERCICIO</t>
        </is>
      </c>
      <c r="E59" s="15" t="inlineStr">
        <is>
          <t>RESULTADO ANTES DE IMPUESTOS</t>
        </is>
      </c>
      <c r="F59" s="15" t="inlineStr">
        <is>
          <t>RESULTADO DE LA EXPLOTACION</t>
        </is>
      </c>
      <c r="G59" s="15" t="inlineStr">
        <is>
          <t>7.- Otros gastos de explotación</t>
        </is>
      </c>
      <c r="H59" s="15" t="inlineStr">
        <is>
          <t>(620) Gastos de investigación y desarrollo</t>
        </is>
      </c>
      <c r="I59" s="15" t="inlineStr">
        <is>
          <t>620000003 - SUMINISTROS LABORATORIO</t>
        </is>
      </c>
      <c r="J59" s="15" t="inlineStr">
        <is>
          <t>-</t>
        </is>
      </c>
      <c r="K59" s="13" t="n">
        <v>-812.59</v>
      </c>
      <c r="L59" s="13" t="n">
        <v>-812.59</v>
      </c>
      <c r="M59" s="13" t="n">
        <v>-812.59</v>
      </c>
      <c r="N59" s="13" t="n">
        <v>-812.59</v>
      </c>
      <c r="O59" s="13" t="n">
        <v>-812.59</v>
      </c>
      <c r="P59" s="13" t="n">
        <v>-812.59</v>
      </c>
      <c r="Q59" s="13" t="n">
        <v>-812.59</v>
      </c>
      <c r="R59" s="13" t="n">
        <v>-812.59</v>
      </c>
      <c r="S59" s="13" t="n">
        <v>-812.59</v>
      </c>
      <c r="T59" s="13" t="n">
        <v>-812.59</v>
      </c>
      <c r="U59" s="13" t="n">
        <v>-812.59</v>
      </c>
      <c r="V59" s="13" t="n">
        <v>-812.59</v>
      </c>
      <c r="W59" s="13">
        <f>SUM(K59:V59)</f>
        <v/>
      </c>
      <c r="X59" s="8" t="inlineStr">
        <is>
          <t>Coste estratégico de I+D: ensayos agronómicos de eficacia y desarrollo de bioestimulantes.</t>
        </is>
      </c>
    </row>
    <row r="60">
      <c r="B60" t="n">
        <v>2027</v>
      </c>
      <c r="C60" s="15" t="inlineStr">
        <is>
          <t>Codiagro</t>
        </is>
      </c>
      <c r="D60" s="15" t="inlineStr">
        <is>
          <t>RESULTADO DEL EJERCICIO</t>
        </is>
      </c>
      <c r="E60" s="15" t="inlineStr">
        <is>
          <t>RESULTADO ANTES DE IMPUESTOS</t>
        </is>
      </c>
      <c r="F60" s="15" t="inlineStr">
        <is>
          <t>RESULTADO DE LA EXPLOTACION</t>
        </is>
      </c>
      <c r="G60" s="15" t="inlineStr">
        <is>
          <t>7.- Otros gastos de explotación</t>
        </is>
      </c>
      <c r="H60" s="15" t="inlineStr">
        <is>
          <t>(620) Gastos de investigación y desarrollo</t>
        </is>
      </c>
      <c r="I60" s="15" t="inlineStr">
        <is>
          <t>620000004 - GTOS. ANALISIS LABORATORIOS</t>
        </is>
      </c>
      <c r="J60" s="15" t="inlineStr">
        <is>
          <t>-</t>
        </is>
      </c>
      <c r="K60" s="13" t="n">
        <v>-1229.19</v>
      </c>
      <c r="L60" s="13" t="n">
        <v>-1229.19</v>
      </c>
      <c r="M60" s="13" t="n">
        <v>-1229.19</v>
      </c>
      <c r="N60" s="13" t="n">
        <v>-1229.19</v>
      </c>
      <c r="O60" s="13" t="n">
        <v>-1229.19</v>
      </c>
      <c r="P60" s="13" t="n">
        <v>-1229.19</v>
      </c>
      <c r="Q60" s="13" t="n">
        <v>-1229.19</v>
      </c>
      <c r="R60" s="13" t="n">
        <v>-1229.19</v>
      </c>
      <c r="S60" s="13" t="n">
        <v>-1229.19</v>
      </c>
      <c r="T60" s="13" t="n">
        <v>-1229.19</v>
      </c>
      <c r="U60" s="13" t="n">
        <v>-1229.19</v>
      </c>
      <c r="V60" s="13" t="n">
        <v>-1229.19</v>
      </c>
      <c r="W60" s="13">
        <f>SUM(K60:V60)</f>
        <v/>
      </c>
      <c r="X60" s="8" t="inlineStr">
        <is>
          <t>Coste estratégico de I+D: ensayos agronómicos de eficacia y desarrollo de bioestimulantes.</t>
        </is>
      </c>
    </row>
    <row r="61">
      <c r="B61" t="n">
        <v>2027</v>
      </c>
      <c r="C61" s="15" t="inlineStr">
        <is>
          <t>Codiagro</t>
        </is>
      </c>
      <c r="D61" s="15" t="inlineStr">
        <is>
          <t>RESULTADO DEL EJERCICIO</t>
        </is>
      </c>
      <c r="E61" s="15" t="inlineStr">
        <is>
          <t>RESULTADO ANTES DE IMPUESTOS</t>
        </is>
      </c>
      <c r="F61" s="15" t="inlineStr">
        <is>
          <t>RESULTADO DE LA EXPLOTACION</t>
        </is>
      </c>
      <c r="G61" s="15" t="inlineStr">
        <is>
          <t>7.- Otros gastos de explotación</t>
        </is>
      </c>
      <c r="H61" s="15" t="inlineStr">
        <is>
          <t>(621) Arrendamientos y cánones</t>
        </is>
      </c>
      <c r="I61" s="15" t="inlineStr">
        <is>
          <t>621000001 - ALQUILER OFICINA CARTAGENA</t>
        </is>
      </c>
      <c r="J61" s="15" t="inlineStr">
        <is>
          <t>-</t>
        </is>
      </c>
      <c r="K61" s="13" t="n">
        <v>-192</v>
      </c>
      <c r="L61" s="13" t="n">
        <v>-192</v>
      </c>
      <c r="M61" s="13" t="n">
        <v>-192</v>
      </c>
      <c r="N61" s="13" t="n">
        <v>-192</v>
      </c>
      <c r="O61" s="13" t="n">
        <v>-192</v>
      </c>
      <c r="P61" s="13" t="n">
        <v>-192</v>
      </c>
      <c r="Q61" s="13" t="n">
        <v>-192</v>
      </c>
      <c r="R61" s="13" t="n">
        <v>-192</v>
      </c>
      <c r="S61" s="13" t="n">
        <v>-192</v>
      </c>
      <c r="T61" s="13" t="n">
        <v>-192</v>
      </c>
      <c r="U61" s="13" t="n">
        <v>-192</v>
      </c>
      <c r="V61" s="13" t="n">
        <v>-192</v>
      </c>
      <c r="W61" s="13">
        <f>SUM(K61:V61)</f>
        <v/>
      </c>
      <c r="X61" s="8" t="inlineStr">
        <is>
          <t>Coste fijo mensual según contratos vigentes de renting de vehículos y maquinaria auxiliar.</t>
        </is>
      </c>
    </row>
    <row r="62">
      <c r="B62" t="n">
        <v>2027</v>
      </c>
      <c r="C62" s="15" t="inlineStr">
        <is>
          <t>Codiagro</t>
        </is>
      </c>
      <c r="D62" s="15" t="inlineStr">
        <is>
          <t>RESULTADO DEL EJERCICIO</t>
        </is>
      </c>
      <c r="E62" s="15" t="inlineStr">
        <is>
          <t>RESULTADO ANTES DE IMPUESTOS</t>
        </is>
      </c>
      <c r="F62" s="15" t="inlineStr">
        <is>
          <t>RESULTADO DE LA EXPLOTACION</t>
        </is>
      </c>
      <c r="G62" s="15" t="inlineStr">
        <is>
          <t>7.- Otros gastos de explotación</t>
        </is>
      </c>
      <c r="H62" s="15" t="inlineStr">
        <is>
          <t>(621) Arrendamientos y cánones</t>
        </is>
      </c>
      <c r="I62" s="15" t="inlineStr">
        <is>
          <t>621000014 - ALQUILER MURANO</t>
        </is>
      </c>
      <c r="J62" s="15" t="inlineStr">
        <is>
          <t>-</t>
        </is>
      </c>
      <c r="K62" s="13" t="n">
        <v>-2695.12</v>
      </c>
      <c r="L62" s="13" t="n">
        <v>-2695.12</v>
      </c>
      <c r="M62" s="13" t="n">
        <v>-2695.12</v>
      </c>
      <c r="N62" s="13" t="n">
        <v>-2695.12</v>
      </c>
      <c r="O62" s="13" t="n">
        <v>-2695.12</v>
      </c>
      <c r="P62" s="13" t="n">
        <v>-2695.12</v>
      </c>
      <c r="Q62" s="13" t="n">
        <v>-2695.12</v>
      </c>
      <c r="R62" s="13" t="n">
        <v>-2695.12</v>
      </c>
      <c r="S62" s="13" t="n">
        <v>-2695.12</v>
      </c>
      <c r="T62" s="13" t="n">
        <v>-2695.12</v>
      </c>
      <c r="U62" s="13" t="n">
        <v>-2695.12</v>
      </c>
      <c r="V62" s="13" t="n">
        <v>-2695.12</v>
      </c>
      <c r="W62" s="13">
        <f>SUM(K62:V62)</f>
        <v/>
      </c>
      <c r="X62" s="8" t="inlineStr">
        <is>
          <t>Coste fijo contractual: cuota mensual inalterada de arrendamiento Murano.</t>
        </is>
      </c>
    </row>
    <row r="63">
      <c r="B63" t="n">
        <v>2027</v>
      </c>
      <c r="C63" s="15" t="inlineStr">
        <is>
          <t>Codiagro</t>
        </is>
      </c>
      <c r="D63" s="15" t="inlineStr">
        <is>
          <t>RESULTADO DEL EJERCICIO</t>
        </is>
      </c>
      <c r="E63" s="15" t="inlineStr">
        <is>
          <t>RESULTADO ANTES DE IMPUESTOS</t>
        </is>
      </c>
      <c r="F63" s="15" t="inlineStr">
        <is>
          <t>RESULTADO DE LA EXPLOTACION</t>
        </is>
      </c>
      <c r="G63" s="15" t="inlineStr">
        <is>
          <t>7.- Otros gastos de explotación</t>
        </is>
      </c>
      <c r="H63" s="15" t="inlineStr">
        <is>
          <t>(621) Arrendamientos y cánones</t>
        </is>
      </c>
      <c r="I63" s="15" t="inlineStr">
        <is>
          <t>621000023 - RENTING TRANSPALETA ELECTRICA DE PIE</t>
        </is>
      </c>
      <c r="J63" s="15" t="inlineStr">
        <is>
          <t>-</t>
        </is>
      </c>
      <c r="K63" s="13" t="n">
        <v>0</v>
      </c>
      <c r="L63" s="13" t="n">
        <v>0</v>
      </c>
      <c r="M63" s="13" t="n">
        <v>0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0</v>
      </c>
      <c r="U63" s="13" t="n">
        <v>0</v>
      </c>
      <c r="V63" s="13" t="n">
        <v>0</v>
      </c>
      <c r="W63" s="13">
        <f>SUM(K63:V63)</f>
        <v/>
      </c>
      <c r="X63" s="8" t="inlineStr">
        <is>
          <t>Sin dotación presupuestada en 2027.</t>
        </is>
      </c>
    </row>
    <row r="64">
      <c r="B64" t="n">
        <v>2027</v>
      </c>
      <c r="C64" s="15" t="inlineStr">
        <is>
          <t>Codiagro</t>
        </is>
      </c>
      <c r="D64" s="15" t="inlineStr">
        <is>
          <t>RESULTADO DEL EJERCICIO</t>
        </is>
      </c>
      <c r="E64" s="15" t="inlineStr">
        <is>
          <t>RESULTADO ANTES DE IMPUESTOS</t>
        </is>
      </c>
      <c r="F64" s="15" t="inlineStr">
        <is>
          <t>RESULTADO DE LA EXPLOTACION</t>
        </is>
      </c>
      <c r="G64" s="15" t="inlineStr">
        <is>
          <t>7.- Otros gastos de explotación</t>
        </is>
      </c>
      <c r="H64" s="15" t="inlineStr">
        <is>
          <t>(621) Arrendamientos y cánones</t>
        </is>
      </c>
      <c r="I64" s="15" t="inlineStr">
        <is>
          <t>621000024 - ALQUILER RENTING 2255KXN ANTONIO</t>
        </is>
      </c>
      <c r="J64" s="15" t="inlineStr">
        <is>
          <t>-</t>
        </is>
      </c>
      <c r="K64" s="13" t="n">
        <v>-361.46</v>
      </c>
      <c r="L64" s="13" t="n">
        <v>-361.46</v>
      </c>
      <c r="M64" s="13" t="n">
        <v>-361.46</v>
      </c>
      <c r="N64" s="13" t="n">
        <v>-361.46</v>
      </c>
      <c r="O64" s="13" t="n">
        <v>-361.46</v>
      </c>
      <c r="P64" s="13" t="n">
        <v>-361.46</v>
      </c>
      <c r="Q64" s="13" t="n">
        <v>-361.46</v>
      </c>
      <c r="R64" s="13" t="n">
        <v>-361.46</v>
      </c>
      <c r="S64" s="13" t="n">
        <v>-361.46</v>
      </c>
      <c r="T64" s="13" t="n">
        <v>-361.46</v>
      </c>
      <c r="U64" s="13" t="n">
        <v>-361.46</v>
      </c>
      <c r="V64" s="13" t="n">
        <v>-361.46</v>
      </c>
      <c r="W64" s="13">
        <f>SUM(K64:V64)</f>
        <v/>
      </c>
      <c r="X64" s="8" t="inlineStr">
        <is>
          <t>Coste fijo mensual según contratos vigentes de renting de vehículos y maquinaria auxiliar.</t>
        </is>
      </c>
    </row>
    <row r="65">
      <c r="B65" t="n">
        <v>2027</v>
      </c>
      <c r="C65" s="15" t="inlineStr">
        <is>
          <t>Codiagro</t>
        </is>
      </c>
      <c r="D65" s="15" t="inlineStr">
        <is>
          <t>RESULTADO DEL EJERCICIO</t>
        </is>
      </c>
      <c r="E65" s="15" t="inlineStr">
        <is>
          <t>RESULTADO ANTES DE IMPUESTOS</t>
        </is>
      </c>
      <c r="F65" s="15" t="inlineStr">
        <is>
          <t>RESULTADO DE LA EXPLOTACION</t>
        </is>
      </c>
      <c r="G65" s="15" t="inlineStr">
        <is>
          <t>7.- Otros gastos de explotación</t>
        </is>
      </c>
      <c r="H65" s="15" t="inlineStr">
        <is>
          <t>(621) Arrendamientos y cánones</t>
        </is>
      </c>
      <c r="I65" s="15" t="inlineStr">
        <is>
          <t>621000025 - ALQUILER RENTING 9128 LBT NIEVES</t>
        </is>
      </c>
      <c r="J65" s="15" t="inlineStr">
        <is>
          <t>-</t>
        </is>
      </c>
      <c r="K65" s="13" t="n">
        <v>0</v>
      </c>
      <c r="L65" s="13" t="n">
        <v>0</v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0</v>
      </c>
      <c r="U65" s="13" t="n">
        <v>0</v>
      </c>
      <c r="V65" s="13" t="n">
        <v>0</v>
      </c>
      <c r="W65" s="13">
        <f>SUM(K65:V65)</f>
        <v/>
      </c>
      <c r="X65" s="8" t="inlineStr">
        <is>
          <t>Sin dotación presupuestada en 2027.</t>
        </is>
      </c>
    </row>
    <row r="66">
      <c r="B66" t="n">
        <v>2027</v>
      </c>
      <c r="C66" s="15" t="inlineStr">
        <is>
          <t>Codiagro</t>
        </is>
      </c>
      <c r="D66" s="15" t="inlineStr">
        <is>
          <t>RESULTADO DEL EJERCICIO</t>
        </is>
      </c>
      <c r="E66" s="15" t="inlineStr">
        <is>
          <t>RESULTADO ANTES DE IMPUESTOS</t>
        </is>
      </c>
      <c r="F66" s="15" t="inlineStr">
        <is>
          <t>RESULTADO DE LA EXPLOTACION</t>
        </is>
      </c>
      <c r="G66" s="15" t="inlineStr">
        <is>
          <t>7.- Otros gastos de explotación</t>
        </is>
      </c>
      <c r="H66" s="15" t="inlineStr">
        <is>
          <t>(621) Arrendamientos y cánones</t>
        </is>
      </c>
      <c r="I66" s="15" t="inlineStr">
        <is>
          <t>621000026 - ALQUILER RENTING 9319LCL CURRO</t>
        </is>
      </c>
      <c r="J66" s="15" t="inlineStr">
        <is>
          <t>-</t>
        </is>
      </c>
      <c r="K66" s="13" t="n">
        <v>-369.97</v>
      </c>
      <c r="L66" s="13" t="n">
        <v>-369.97</v>
      </c>
      <c r="M66" s="13" t="n">
        <v>-369.97</v>
      </c>
      <c r="N66" s="13" t="n">
        <v>-369.97</v>
      </c>
      <c r="O66" s="13" t="n">
        <v>-369.97</v>
      </c>
      <c r="P66" s="13" t="n">
        <v>-369.97</v>
      </c>
      <c r="Q66" s="13" t="n">
        <v>-369.97</v>
      </c>
      <c r="R66" s="13" t="n">
        <v>-369.97</v>
      </c>
      <c r="S66" s="13" t="n">
        <v>-369.97</v>
      </c>
      <c r="T66" s="13" t="n">
        <v>-369.97</v>
      </c>
      <c r="U66" s="13" t="n">
        <v>-369.97</v>
      </c>
      <c r="V66" s="13" t="n">
        <v>-369.97</v>
      </c>
      <c r="W66" s="13">
        <f>SUM(K66:V66)</f>
        <v/>
      </c>
      <c r="X66" s="8" t="inlineStr">
        <is>
          <t>Coste fijo mensual según contratos vigentes de renting de vehículos y maquinaria auxiliar.</t>
        </is>
      </c>
    </row>
    <row r="67">
      <c r="B67" t="n">
        <v>2027</v>
      </c>
      <c r="C67" s="15" t="inlineStr">
        <is>
          <t>Codiagro</t>
        </is>
      </c>
      <c r="D67" s="15" t="inlineStr">
        <is>
          <t>RESULTADO DEL EJERCICIO</t>
        </is>
      </c>
      <c r="E67" s="15" t="inlineStr">
        <is>
          <t>RESULTADO ANTES DE IMPUESTOS</t>
        </is>
      </c>
      <c r="F67" s="15" t="inlineStr">
        <is>
          <t>RESULTADO DE LA EXPLOTACION</t>
        </is>
      </c>
      <c r="G67" s="15" t="inlineStr">
        <is>
          <t>7.- Otros gastos de explotación</t>
        </is>
      </c>
      <c r="H67" s="15" t="inlineStr">
        <is>
          <t>(621) Arrendamientos y cánones</t>
        </is>
      </c>
      <c r="I67" s="15" t="inlineStr">
        <is>
          <t>621000030 - ALQUILER RENTING 1075-LSC GARCIA</t>
        </is>
      </c>
      <c r="J67" s="15" t="inlineStr">
        <is>
          <t>-</t>
        </is>
      </c>
      <c r="K67" s="13" t="n">
        <v>0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3" t="n">
        <v>0</v>
      </c>
      <c r="V67" s="13" t="n">
        <v>0</v>
      </c>
      <c r="W67" s="13">
        <f>SUM(K67:V67)</f>
        <v/>
      </c>
      <c r="X67" s="8" t="inlineStr">
        <is>
          <t>Sin dotación presupuestada en 2027.</t>
        </is>
      </c>
    </row>
    <row r="68">
      <c r="B68" t="n">
        <v>2027</v>
      </c>
      <c r="C68" s="15" t="inlineStr">
        <is>
          <t>Codiagro</t>
        </is>
      </c>
      <c r="D68" s="15" t="inlineStr">
        <is>
          <t>RESULTADO DEL EJERCICIO</t>
        </is>
      </c>
      <c r="E68" s="15" t="inlineStr">
        <is>
          <t>RESULTADO ANTES DE IMPUESTOS</t>
        </is>
      </c>
      <c r="F68" s="15" t="inlineStr">
        <is>
          <t>RESULTADO DE LA EXPLOTACION</t>
        </is>
      </c>
      <c r="G68" s="15" t="inlineStr">
        <is>
          <t>7.- Otros gastos de explotación</t>
        </is>
      </c>
      <c r="H68" s="15" t="inlineStr">
        <is>
          <t>(621) Arrendamientos y cánones</t>
        </is>
      </c>
      <c r="I68" s="15" t="inlineStr">
        <is>
          <t>621000031 - ALQUILER RENTING KONICA-MINOLTA Y KYOCERA</t>
        </is>
      </c>
      <c r="J68" s="15" t="inlineStr">
        <is>
          <t>-</t>
        </is>
      </c>
      <c r="K68" s="13" t="n">
        <v>-338</v>
      </c>
      <c r="L68" s="13" t="n">
        <v>-338</v>
      </c>
      <c r="M68" s="13" t="n">
        <v>-338</v>
      </c>
      <c r="N68" s="13" t="n">
        <v>-338</v>
      </c>
      <c r="O68" s="13" t="n">
        <v>-338</v>
      </c>
      <c r="P68" s="13" t="n">
        <v>-338</v>
      </c>
      <c r="Q68" s="13" t="n">
        <v>-338</v>
      </c>
      <c r="R68" s="13" t="n">
        <v>-338</v>
      </c>
      <c r="S68" s="13" t="n">
        <v>-338</v>
      </c>
      <c r="T68" s="13" t="n">
        <v>-338</v>
      </c>
      <c r="U68" s="13" t="n">
        <v>-338</v>
      </c>
      <c r="V68" s="13" t="n">
        <v>-338</v>
      </c>
      <c r="W68" s="13">
        <f>SUM(K68:V68)</f>
        <v/>
      </c>
      <c r="X68" s="8" t="inlineStr">
        <is>
          <t>Coste fijo mensual según contratos vigentes de renting de vehículos y maquinaria auxiliar.</t>
        </is>
      </c>
    </row>
    <row r="69">
      <c r="B69" t="n">
        <v>2027</v>
      </c>
      <c r="C69" s="15" t="inlineStr">
        <is>
          <t>Codiagro</t>
        </is>
      </c>
      <c r="D69" s="15" t="inlineStr">
        <is>
          <t>RESULTADO DEL EJERCICIO</t>
        </is>
      </c>
      <c r="E69" s="15" t="inlineStr">
        <is>
          <t>RESULTADO ANTES DE IMPUESTOS</t>
        </is>
      </c>
      <c r="F69" s="15" t="inlineStr">
        <is>
          <t>RESULTADO DE LA EXPLOTACION</t>
        </is>
      </c>
      <c r="G69" s="15" t="inlineStr">
        <is>
          <t>7.- Otros gastos de explotación</t>
        </is>
      </c>
      <c r="H69" s="15" t="inlineStr">
        <is>
          <t>(621) Arrendamientos y cánones</t>
        </is>
      </c>
      <c r="I69" s="15" t="inlineStr">
        <is>
          <t>621000032 - ALQUILER RENTING 6665-LVK JOSE JUAN</t>
        </is>
      </c>
      <c r="J69" s="15" t="inlineStr">
        <is>
          <t>-</t>
        </is>
      </c>
      <c r="K69" s="13" t="n">
        <v>-470.16</v>
      </c>
      <c r="L69" s="13" t="n">
        <v>-470.16</v>
      </c>
      <c r="M69" s="13" t="n">
        <v>-470.16</v>
      </c>
      <c r="N69" s="13" t="n">
        <v>-470.16</v>
      </c>
      <c r="O69" s="13" t="n">
        <v>-470.16</v>
      </c>
      <c r="P69" s="13" t="n">
        <v>-470.16</v>
      </c>
      <c r="Q69" s="13" t="n">
        <v>-470.16</v>
      </c>
      <c r="R69" s="13" t="n">
        <v>-470.16</v>
      </c>
      <c r="S69" s="13" t="n">
        <v>-470.16</v>
      </c>
      <c r="T69" s="13" t="n">
        <v>-470.16</v>
      </c>
      <c r="U69" s="13" t="n">
        <v>-470.16</v>
      </c>
      <c r="V69" s="13" t="n">
        <v>-470.16</v>
      </c>
      <c r="W69" s="13">
        <f>SUM(K69:V69)</f>
        <v/>
      </c>
      <c r="X69" s="8" t="inlineStr">
        <is>
          <t>Coste fijo mensual según contratos vigentes de renting de vehículos y maquinaria auxiliar.</t>
        </is>
      </c>
    </row>
    <row r="70">
      <c r="B70" t="n">
        <v>2027</v>
      </c>
      <c r="C70" s="15" t="inlineStr">
        <is>
          <t>Codiagro</t>
        </is>
      </c>
      <c r="D70" s="15" t="inlineStr">
        <is>
          <t>RESULTADO DEL EJERCICIO</t>
        </is>
      </c>
      <c r="E70" s="15" t="inlineStr">
        <is>
          <t>RESULTADO ANTES DE IMPUESTOS</t>
        </is>
      </c>
      <c r="F70" s="15" t="inlineStr">
        <is>
          <t>RESULTADO DE LA EXPLOTACION</t>
        </is>
      </c>
      <c r="G70" s="15" t="inlineStr">
        <is>
          <t>7.- Otros gastos de explotación</t>
        </is>
      </c>
      <c r="H70" s="15" t="inlineStr">
        <is>
          <t>(621) Arrendamientos y cánones</t>
        </is>
      </c>
      <c r="I70" s="15" t="inlineStr">
        <is>
          <t>621000033 - ALQUILER RENTING 2612-MBY ANTONIO</t>
        </is>
      </c>
      <c r="J70" s="15" t="inlineStr">
        <is>
          <t>-</t>
        </is>
      </c>
      <c r="K70" s="13" t="n">
        <v>-345.06</v>
      </c>
      <c r="L70" s="13" t="n">
        <v>-345.06</v>
      </c>
      <c r="M70" s="13" t="n">
        <v>-345.06</v>
      </c>
      <c r="N70" s="13" t="n">
        <v>-345.06</v>
      </c>
      <c r="O70" s="13" t="n">
        <v>-345.06</v>
      </c>
      <c r="P70" s="13" t="n">
        <v>-345.06</v>
      </c>
      <c r="Q70" s="13" t="n">
        <v>-345.06</v>
      </c>
      <c r="R70" s="13" t="n">
        <v>-345.06</v>
      </c>
      <c r="S70" s="13" t="n">
        <v>-345.06</v>
      </c>
      <c r="T70" s="13" t="n">
        <v>-345.06</v>
      </c>
      <c r="U70" s="13" t="n">
        <v>-345.06</v>
      </c>
      <c r="V70" s="13" t="n">
        <v>-345.06</v>
      </c>
      <c r="W70" s="13">
        <f>SUM(K70:V70)</f>
        <v/>
      </c>
      <c r="X70" s="8" t="inlineStr">
        <is>
          <t>Coste fijo mensual según contratos vigentes de renting de vehículos y maquinaria auxiliar.</t>
        </is>
      </c>
    </row>
    <row r="71">
      <c r="B71" t="n">
        <v>2027</v>
      </c>
      <c r="C71" s="15" t="inlineStr">
        <is>
          <t>Codiagro</t>
        </is>
      </c>
      <c r="D71" s="15" t="inlineStr">
        <is>
          <t>RESULTADO DEL EJERCICIO</t>
        </is>
      </c>
      <c r="E71" s="15" t="inlineStr">
        <is>
          <t>RESULTADO ANTES DE IMPUESTOS</t>
        </is>
      </c>
      <c r="F71" s="15" t="inlineStr">
        <is>
          <t>RESULTADO DE LA EXPLOTACION</t>
        </is>
      </c>
      <c r="G71" s="15" t="inlineStr">
        <is>
          <t>7.- Otros gastos de explotación</t>
        </is>
      </c>
      <c r="H71" s="15" t="inlineStr">
        <is>
          <t>(621) Arrendamientos y cánones</t>
        </is>
      </c>
      <c r="I71" s="15" t="inlineStr">
        <is>
          <t>621000034 - ALQUILER RENTING 3108-LZM NIEVES</t>
        </is>
      </c>
      <c r="J71" s="15" t="inlineStr">
        <is>
          <t>-</t>
        </is>
      </c>
      <c r="K71" s="13" t="n">
        <v>-813.6900000000001</v>
      </c>
      <c r="L71" s="13" t="n">
        <v>-813.6900000000001</v>
      </c>
      <c r="M71" s="13" t="n">
        <v>-813.6900000000001</v>
      </c>
      <c r="N71" s="13" t="n">
        <v>-813.6900000000001</v>
      </c>
      <c r="O71" s="13" t="n">
        <v>-813.6900000000001</v>
      </c>
      <c r="P71" s="13" t="n">
        <v>-813.6900000000001</v>
      </c>
      <c r="Q71" s="13" t="n">
        <v>-813.6900000000001</v>
      </c>
      <c r="R71" s="13" t="n">
        <v>-813.6900000000001</v>
      </c>
      <c r="S71" s="13" t="n">
        <v>-813.6900000000001</v>
      </c>
      <c r="T71" s="13" t="n">
        <v>-813.6900000000001</v>
      </c>
      <c r="U71" s="13" t="n">
        <v>-813.6900000000001</v>
      </c>
      <c r="V71" s="13" t="n">
        <v>-813.6900000000001</v>
      </c>
      <c r="W71" s="13">
        <f>SUM(K71:V71)</f>
        <v/>
      </c>
      <c r="X71" s="8" t="inlineStr">
        <is>
          <t>Coste fijo mensual según contratos vigentes de renting de vehículos y maquinaria auxiliar.</t>
        </is>
      </c>
    </row>
    <row r="72">
      <c r="B72" t="n">
        <v>2027</v>
      </c>
      <c r="C72" s="15" t="inlineStr">
        <is>
          <t>Codiagro</t>
        </is>
      </c>
      <c r="D72" s="15" t="inlineStr">
        <is>
          <t>RESULTADO DEL EJERCICIO</t>
        </is>
      </c>
      <c r="E72" s="15" t="inlineStr">
        <is>
          <t>RESULTADO ANTES DE IMPUESTOS</t>
        </is>
      </c>
      <c r="F72" s="15" t="inlineStr">
        <is>
          <t>RESULTADO DE LA EXPLOTACION</t>
        </is>
      </c>
      <c r="G72" s="15" t="inlineStr">
        <is>
          <t>7.- Otros gastos de explotación</t>
        </is>
      </c>
      <c r="H72" s="15" t="inlineStr">
        <is>
          <t>(621) Arrendamientos y cánones</t>
        </is>
      </c>
      <c r="I72" s="15" t="inlineStr">
        <is>
          <t>621000035 - ALQUILER RENTING 2142-MCS RICARDO</t>
        </is>
      </c>
      <c r="J72" s="15" t="inlineStr">
        <is>
          <t>-</t>
        </is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>
        <f>SUM(K72:V72)</f>
        <v/>
      </c>
      <c r="X72" s="8" t="inlineStr">
        <is>
          <t>Sin dotación presupuestada en 2027.</t>
        </is>
      </c>
    </row>
    <row r="73">
      <c r="B73" t="n">
        <v>2027</v>
      </c>
      <c r="C73" s="15" t="inlineStr">
        <is>
          <t>Codiagro</t>
        </is>
      </c>
      <c r="D73" s="15" t="inlineStr">
        <is>
          <t>RESULTADO DEL EJERCICIO</t>
        </is>
      </c>
      <c r="E73" s="15" t="inlineStr">
        <is>
          <t>RESULTADO ANTES DE IMPUESTOS</t>
        </is>
      </c>
      <c r="F73" s="15" t="inlineStr">
        <is>
          <t>RESULTADO DE LA EXPLOTACION</t>
        </is>
      </c>
      <c r="G73" s="15" t="inlineStr">
        <is>
          <t>7.- Otros gastos de explotación</t>
        </is>
      </c>
      <c r="H73" s="15" t="inlineStr">
        <is>
          <t>(621) Arrendamientos y cánones</t>
        </is>
      </c>
      <c r="I73" s="15" t="inlineStr">
        <is>
          <t>621000036 - ALQUILER RENTING 3277-MDX JAVIER</t>
        </is>
      </c>
      <c r="J73" s="15" t="inlineStr">
        <is>
          <t>-</t>
        </is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0</v>
      </c>
      <c r="U73" s="13" t="n">
        <v>0</v>
      </c>
      <c r="V73" s="13" t="n">
        <v>0</v>
      </c>
      <c r="W73" s="13">
        <f>SUM(K73:V73)</f>
        <v/>
      </c>
      <c r="X73" s="8" t="inlineStr">
        <is>
          <t>Sin dotación presupuestada en 2027.</t>
        </is>
      </c>
    </row>
    <row r="74">
      <c r="B74" t="n">
        <v>2027</v>
      </c>
      <c r="C74" s="15" t="inlineStr">
        <is>
          <t>Codiagro</t>
        </is>
      </c>
      <c r="D74" s="15" t="inlineStr">
        <is>
          <t>RESULTADO DEL EJERCICIO</t>
        </is>
      </c>
      <c r="E74" s="15" t="inlineStr">
        <is>
          <t>RESULTADO ANTES DE IMPUESTOS</t>
        </is>
      </c>
      <c r="F74" s="15" t="inlineStr">
        <is>
          <t>RESULTADO DE LA EXPLOTACION</t>
        </is>
      </c>
      <c r="G74" s="15" t="inlineStr">
        <is>
          <t>7.- Otros gastos de explotación</t>
        </is>
      </c>
      <c r="H74" s="15" t="inlineStr">
        <is>
          <t>(621) Arrendamientos y cánones</t>
        </is>
      </c>
      <c r="I74" s="15" t="inlineStr">
        <is>
          <t>621000037 - CARRETILLA STILL ELEKTROSTAPLER 516213H00521</t>
        </is>
      </c>
      <c r="J74" s="15" t="inlineStr">
        <is>
          <t>-</t>
        </is>
      </c>
      <c r="K74" s="13" t="n">
        <v>-228.57</v>
      </c>
      <c r="L74" s="13" t="n">
        <v>-228.57</v>
      </c>
      <c r="M74" s="13" t="n">
        <v>-228.57</v>
      </c>
      <c r="N74" s="13" t="n">
        <v>-228.57</v>
      </c>
      <c r="O74" s="13" t="n">
        <v>-228.57</v>
      </c>
      <c r="P74" s="13" t="n">
        <v>-228.57</v>
      </c>
      <c r="Q74" s="13" t="n">
        <v>-228.57</v>
      </c>
      <c r="R74" s="13" t="n">
        <v>-228.57</v>
      </c>
      <c r="S74" s="13" t="n">
        <v>-228.57</v>
      </c>
      <c r="T74" s="13" t="n">
        <v>-228.57</v>
      </c>
      <c r="U74" s="13" t="n">
        <v>-228.57</v>
      </c>
      <c r="V74" s="13" t="n">
        <v>-228.57</v>
      </c>
      <c r="W74" s="13">
        <f>SUM(K74:V74)</f>
        <v/>
      </c>
      <c r="X74" s="8" t="inlineStr">
        <is>
          <t>Coste fijo mensual según contratos vigentes de renting de vehículos y maquinaria auxiliar.</t>
        </is>
      </c>
    </row>
    <row r="75">
      <c r="B75" t="n">
        <v>2027</v>
      </c>
      <c r="C75" s="15" t="inlineStr">
        <is>
          <t>Codiagro</t>
        </is>
      </c>
      <c r="D75" s="15" t="inlineStr">
        <is>
          <t>RESULTADO DEL EJERCICIO</t>
        </is>
      </c>
      <c r="E75" s="15" t="inlineStr">
        <is>
          <t>RESULTADO ANTES DE IMPUESTOS</t>
        </is>
      </c>
      <c r="F75" s="15" t="inlineStr">
        <is>
          <t>RESULTADO DE LA EXPLOTACION</t>
        </is>
      </c>
      <c r="G75" s="15" t="inlineStr">
        <is>
          <t>7.- Otros gastos de explotación</t>
        </is>
      </c>
      <c r="H75" s="15" t="inlineStr">
        <is>
          <t>(621) Arrendamientos y cánones</t>
        </is>
      </c>
      <c r="I75" s="15" t="inlineStr">
        <is>
          <t>621000038 - CARRETILLA STILL ELEKTROSTAPLER 516223J00123</t>
        </is>
      </c>
      <c r="J75" s="15" t="inlineStr">
        <is>
          <t>-</t>
        </is>
      </c>
      <c r="K75" s="13" t="n">
        <v>-228.82</v>
      </c>
      <c r="L75" s="13" t="n">
        <v>-228.82</v>
      </c>
      <c r="M75" s="13" t="n">
        <v>-228.82</v>
      </c>
      <c r="N75" s="13" t="n">
        <v>-228.82</v>
      </c>
      <c r="O75" s="13" t="n">
        <v>-228.82</v>
      </c>
      <c r="P75" s="13" t="n">
        <v>-228.82</v>
      </c>
      <c r="Q75" s="13" t="n">
        <v>-228.82</v>
      </c>
      <c r="R75" s="13" t="n">
        <v>-228.82</v>
      </c>
      <c r="S75" s="13" t="n">
        <v>-228.82</v>
      </c>
      <c r="T75" s="13" t="n">
        <v>-228.82</v>
      </c>
      <c r="U75" s="13" t="n">
        <v>-228.82</v>
      </c>
      <c r="V75" s="13" t="n">
        <v>-228.82</v>
      </c>
      <c r="W75" s="13">
        <f>SUM(K75:V75)</f>
        <v/>
      </c>
      <c r="X75" s="8" t="inlineStr">
        <is>
          <t>Coste fijo mensual según contratos vigentes de renting de vehículos y maquinaria auxiliar.</t>
        </is>
      </c>
    </row>
    <row r="76">
      <c r="B76" t="n">
        <v>2027</v>
      </c>
      <c r="C76" s="15" t="inlineStr">
        <is>
          <t>Codiagro</t>
        </is>
      </c>
      <c r="D76" s="15" t="inlineStr">
        <is>
          <t>RESULTADO DEL EJERCICIO</t>
        </is>
      </c>
      <c r="E76" s="15" t="inlineStr">
        <is>
          <t>RESULTADO ANTES DE IMPUESTOS</t>
        </is>
      </c>
      <c r="F76" s="15" t="inlineStr">
        <is>
          <t>RESULTADO DE LA EXPLOTACION</t>
        </is>
      </c>
      <c r="G76" s="15" t="inlineStr">
        <is>
          <t>7.- Otros gastos de explotación</t>
        </is>
      </c>
      <c r="H76" s="15" t="inlineStr">
        <is>
          <t>(621) Arrendamientos y cánones</t>
        </is>
      </c>
      <c r="I76" s="15" t="inlineStr">
        <is>
          <t>621000039 - ALQUILER RENTING 5043-MWW CURRO</t>
        </is>
      </c>
      <c r="J76" s="15" t="inlineStr">
        <is>
          <t>-</t>
        </is>
      </c>
      <c r="K76" s="13" t="n">
        <v>-482.36</v>
      </c>
      <c r="L76" s="13" t="n">
        <v>-482.36</v>
      </c>
      <c r="M76" s="13" t="n">
        <v>-482.36</v>
      </c>
      <c r="N76" s="13" t="n">
        <v>-482.36</v>
      </c>
      <c r="O76" s="13" t="n">
        <v>-482.36</v>
      </c>
      <c r="P76" s="13" t="n">
        <v>-482.36</v>
      </c>
      <c r="Q76" s="13" t="n">
        <v>-482.36</v>
      </c>
      <c r="R76" s="13" t="n">
        <v>-482.36</v>
      </c>
      <c r="S76" s="13" t="n">
        <v>-482.36</v>
      </c>
      <c r="T76" s="13" t="n">
        <v>-482.36</v>
      </c>
      <c r="U76" s="13" t="n">
        <v>-482.36</v>
      </c>
      <c r="V76" s="13" t="n">
        <v>-482.36</v>
      </c>
      <c r="W76" s="13">
        <f>SUM(K76:V76)</f>
        <v/>
      </c>
      <c r="X76" s="8" t="inlineStr">
        <is>
          <t>Coste fijo mensual según contratos vigentes de renting de vehículos y maquinaria auxiliar.</t>
        </is>
      </c>
    </row>
    <row r="77">
      <c r="B77" t="n">
        <v>2027</v>
      </c>
      <c r="C77" s="15" t="inlineStr">
        <is>
          <t>Codiagro</t>
        </is>
      </c>
      <c r="D77" s="15" t="inlineStr">
        <is>
          <t>RESULTADO DEL EJERCICIO</t>
        </is>
      </c>
      <c r="E77" s="15" t="inlineStr">
        <is>
          <t>RESULTADO ANTES DE IMPUESTOS</t>
        </is>
      </c>
      <c r="F77" s="15" t="inlineStr">
        <is>
          <t>RESULTADO DE LA EXPLOTACION</t>
        </is>
      </c>
      <c r="G77" s="15" t="inlineStr">
        <is>
          <t>7.- Otros gastos de explotación</t>
        </is>
      </c>
      <c r="H77" s="15" t="inlineStr">
        <is>
          <t>(621) Arrendamientos y cánones</t>
        </is>
      </c>
      <c r="I77" s="15" t="inlineStr">
        <is>
          <t>621000040 - ALQUILER RENTING 8917-MZT JAVIER</t>
        </is>
      </c>
      <c r="J77" s="15" t="inlineStr">
        <is>
          <t>-</t>
        </is>
      </c>
      <c r="K77" s="13" t="n">
        <v>-1557.86</v>
      </c>
      <c r="L77" s="13" t="n">
        <v>-1557.86</v>
      </c>
      <c r="M77" s="13" t="n">
        <v>-1557.86</v>
      </c>
      <c r="N77" s="13" t="n">
        <v>-1557.86</v>
      </c>
      <c r="O77" s="13" t="n">
        <v>-1557.86</v>
      </c>
      <c r="P77" s="13" t="n">
        <v>-1557.86</v>
      </c>
      <c r="Q77" s="13" t="n">
        <v>-1557.86</v>
      </c>
      <c r="R77" s="13" t="n">
        <v>-1557.86</v>
      </c>
      <c r="S77" s="13" t="n">
        <v>-1557.86</v>
      </c>
      <c r="T77" s="13" t="n">
        <v>-1557.86</v>
      </c>
      <c r="U77" s="13" t="n">
        <v>-1557.86</v>
      </c>
      <c r="V77" s="13" t="n">
        <v>-1557.86</v>
      </c>
      <c r="W77" s="13">
        <f>SUM(K77:V77)</f>
        <v/>
      </c>
      <c r="X77" s="8" t="inlineStr">
        <is>
          <t>Coste fijo mensual según contratos vigentes de renting de vehículos y maquinaria auxiliar.</t>
        </is>
      </c>
    </row>
    <row r="78">
      <c r="B78" t="n">
        <v>2027</v>
      </c>
      <c r="C78" s="15" t="inlineStr">
        <is>
          <t>Codiagro</t>
        </is>
      </c>
      <c r="D78" s="15" t="inlineStr">
        <is>
          <t>RESULTADO DEL EJERCICIO</t>
        </is>
      </c>
      <c r="E78" s="15" t="inlineStr">
        <is>
          <t>RESULTADO ANTES DE IMPUESTOS</t>
        </is>
      </c>
      <c r="F78" s="15" t="inlineStr">
        <is>
          <t>RESULTADO DE LA EXPLOTACION</t>
        </is>
      </c>
      <c r="G78" s="15" t="inlineStr">
        <is>
          <t>7.- Otros gastos de explotación</t>
        </is>
      </c>
      <c r="H78" s="15" t="inlineStr">
        <is>
          <t>(621) Arrendamientos y cánones</t>
        </is>
      </c>
      <c r="I78" s="15" t="inlineStr">
        <is>
          <t>621000041 - ALQUILER RENTING 8929-MZT RICARDO</t>
        </is>
      </c>
      <c r="J78" s="15" t="inlineStr">
        <is>
          <t>-</t>
        </is>
      </c>
      <c r="K78" s="13" t="n">
        <v>-1338.15</v>
      </c>
      <c r="L78" s="13" t="n">
        <v>-1338.15</v>
      </c>
      <c r="M78" s="13" t="n">
        <v>-1338.15</v>
      </c>
      <c r="N78" s="13" t="n">
        <v>-1338.15</v>
      </c>
      <c r="O78" s="13" t="n">
        <v>-1338.15</v>
      </c>
      <c r="P78" s="13" t="n">
        <v>-1338.15</v>
      </c>
      <c r="Q78" s="13" t="n">
        <v>-1338.15</v>
      </c>
      <c r="R78" s="13" t="n">
        <v>-1338.15</v>
      </c>
      <c r="S78" s="13" t="n">
        <v>-1338.15</v>
      </c>
      <c r="T78" s="13" t="n">
        <v>-1338.15</v>
      </c>
      <c r="U78" s="13" t="n">
        <v>-1338.15</v>
      </c>
      <c r="V78" s="13" t="n">
        <v>-1338.15</v>
      </c>
      <c r="W78" s="13">
        <f>SUM(K78:V78)</f>
        <v/>
      </c>
      <c r="X78" s="8" t="inlineStr">
        <is>
          <t>Coste fijo mensual según contratos vigentes de renting de vehículos y maquinaria auxiliar.</t>
        </is>
      </c>
    </row>
    <row r="79">
      <c r="B79" t="n">
        <v>2027</v>
      </c>
      <c r="C79" s="15" t="inlineStr">
        <is>
          <t>Codiagro</t>
        </is>
      </c>
      <c r="D79" s="15" t="inlineStr">
        <is>
          <t>RESULTADO DEL EJERCICIO</t>
        </is>
      </c>
      <c r="E79" s="15" t="inlineStr">
        <is>
          <t>RESULTADO ANTES DE IMPUESTOS</t>
        </is>
      </c>
      <c r="F79" s="15" t="inlineStr">
        <is>
          <t>RESULTADO DE LA EXPLOTACION</t>
        </is>
      </c>
      <c r="G79" s="15" t="inlineStr">
        <is>
          <t>7.- Otros gastos de explotación</t>
        </is>
      </c>
      <c r="H79" s="15" t="inlineStr">
        <is>
          <t>(621) Arrendamientos y cánones</t>
        </is>
      </c>
      <c r="I79" s="15" t="inlineStr">
        <is>
          <t>621000042 - ALQUILER RENTING 4946-NFH GARCIA</t>
        </is>
      </c>
      <c r="J79" s="15" t="inlineStr">
        <is>
          <t>-</t>
        </is>
      </c>
      <c r="K79" s="13" t="n">
        <v>-645.34</v>
      </c>
      <c r="L79" s="13" t="n">
        <v>-645.34</v>
      </c>
      <c r="M79" s="13" t="n">
        <v>-645.34</v>
      </c>
      <c r="N79" s="13" t="n">
        <v>-645.34</v>
      </c>
      <c r="O79" s="13" t="n">
        <v>-645.34</v>
      </c>
      <c r="P79" s="13" t="n">
        <v>-645.34</v>
      </c>
      <c r="Q79" s="13" t="n">
        <v>-645.34</v>
      </c>
      <c r="R79" s="13" t="n">
        <v>-645.34</v>
      </c>
      <c r="S79" s="13" t="n">
        <v>-645.34</v>
      </c>
      <c r="T79" s="13" t="n">
        <v>-645.34</v>
      </c>
      <c r="U79" s="13" t="n">
        <v>-645.34</v>
      </c>
      <c r="V79" s="13" t="n">
        <v>-645.34</v>
      </c>
      <c r="W79" s="13">
        <f>SUM(K79:V79)</f>
        <v/>
      </c>
      <c r="X79" s="8" t="inlineStr">
        <is>
          <t>Coste fijo mensual según contratos vigentes de renting de vehículos y maquinaria auxiliar.</t>
        </is>
      </c>
    </row>
    <row r="80">
      <c r="B80" t="n">
        <v>2027</v>
      </c>
      <c r="C80" s="15" t="inlineStr">
        <is>
          <t>Codiagro</t>
        </is>
      </c>
      <c r="D80" s="15" t="inlineStr">
        <is>
          <t>RESULTADO DEL EJERCICIO</t>
        </is>
      </c>
      <c r="E80" s="15" t="inlineStr">
        <is>
          <t>RESULTADO ANTES DE IMPUESTOS</t>
        </is>
      </c>
      <c r="F80" s="15" t="inlineStr">
        <is>
          <t>RESULTADO DE LA EXPLOTACION</t>
        </is>
      </c>
      <c r="G80" s="15" t="inlineStr">
        <is>
          <t>7.- Otros gastos de explotación</t>
        </is>
      </c>
      <c r="H80" s="15" t="inlineStr">
        <is>
          <t>(621) Arrendamientos y cánones</t>
        </is>
      </c>
      <c r="I80" s="15" t="inlineStr">
        <is>
          <t>621000044 - ALQUILER COMPRESOR DE TORNILLO 37KW KAESER BSD 75C</t>
        </is>
      </c>
      <c r="J80" s="15" t="inlineStr">
        <is>
          <t>-</t>
        </is>
      </c>
      <c r="K80" s="13" t="n">
        <v>-1600</v>
      </c>
      <c r="L80" s="13" t="n">
        <v>-1600</v>
      </c>
      <c r="M80" s="13" t="n">
        <v>-1600</v>
      </c>
      <c r="N80" s="13" t="n">
        <v>-1600</v>
      </c>
      <c r="O80" s="13" t="n">
        <v>-1600</v>
      </c>
      <c r="P80" s="13" t="n">
        <v>-1600</v>
      </c>
      <c r="Q80" s="13" t="n">
        <v>-1600</v>
      </c>
      <c r="R80" s="13" t="n">
        <v>-1600</v>
      </c>
      <c r="S80" s="13" t="n">
        <v>-1600</v>
      </c>
      <c r="T80" s="13" t="n">
        <v>-1600</v>
      </c>
      <c r="U80" s="13" t="n">
        <v>-1600</v>
      </c>
      <c r="V80" s="13" t="n">
        <v>-1600</v>
      </c>
      <c r="W80" s="13">
        <f>SUM(K80:V80)</f>
        <v/>
      </c>
      <c r="X80" s="8" t="inlineStr">
        <is>
          <t>Coste fijo mensual según contratos vigentes de renting de vehículos y maquinaria auxiliar.</t>
        </is>
      </c>
    </row>
    <row r="81">
      <c r="B81" t="n">
        <v>2027</v>
      </c>
      <c r="C81" s="15" t="inlineStr">
        <is>
          <t>Codiagro</t>
        </is>
      </c>
      <c r="D81" s="15" t="inlineStr">
        <is>
          <t>RESULTADO DEL EJERCICIO</t>
        </is>
      </c>
      <c r="E81" s="15" t="inlineStr">
        <is>
          <t>RESULTADO ANTES DE IMPUESTOS</t>
        </is>
      </c>
      <c r="F81" s="15" t="inlineStr">
        <is>
          <t>RESULTADO DE LA EXPLOTACION</t>
        </is>
      </c>
      <c r="G81" s="15" t="inlineStr">
        <is>
          <t>7.- Otros gastos de explotación</t>
        </is>
      </c>
      <c r="H81" s="15" t="inlineStr">
        <is>
          <t>(621) Arrendamientos y cánones</t>
        </is>
      </c>
      <c r="I81" s="15" t="inlineStr">
        <is>
          <t>621000045 - ALQUILER RENTING 3421-NJT PERE</t>
        </is>
      </c>
      <c r="J81" s="15" t="inlineStr">
        <is>
          <t>-</t>
        </is>
      </c>
      <c r="K81" s="13" t="n">
        <v>-1093.31</v>
      </c>
      <c r="L81" s="13" t="n">
        <v>-1093.31</v>
      </c>
      <c r="M81" s="13" t="n">
        <v>-1093.31</v>
      </c>
      <c r="N81" s="13" t="n">
        <v>-1093.31</v>
      </c>
      <c r="O81" s="13" t="n">
        <v>-1093.31</v>
      </c>
      <c r="P81" s="13" t="n">
        <v>-1093.31</v>
      </c>
      <c r="Q81" s="13" t="n">
        <v>-1093.31</v>
      </c>
      <c r="R81" s="13" t="n">
        <v>-1093.31</v>
      </c>
      <c r="S81" s="13" t="n">
        <v>-1093.31</v>
      </c>
      <c r="T81" s="13" t="n">
        <v>-1093.31</v>
      </c>
      <c r="U81" s="13" t="n">
        <v>-1093.31</v>
      </c>
      <c r="V81" s="13" t="n">
        <v>-1093.31</v>
      </c>
      <c r="W81" s="13">
        <f>SUM(K81:V81)</f>
        <v/>
      </c>
      <c r="X81" s="8" t="inlineStr">
        <is>
          <t>Coste fijo mensual según contratos vigentes de renting de vehículos y maquinaria auxiliar.</t>
        </is>
      </c>
    </row>
    <row r="82">
      <c r="B82" t="n">
        <v>2027</v>
      </c>
      <c r="C82" s="15" t="inlineStr">
        <is>
          <t>Codiagro</t>
        </is>
      </c>
      <c r="D82" s="15" t="inlineStr">
        <is>
          <t>RESULTADO DEL EJERCICIO</t>
        </is>
      </c>
      <c r="E82" s="15" t="inlineStr">
        <is>
          <t>RESULTADO ANTES DE IMPUESTOS</t>
        </is>
      </c>
      <c r="F82" s="15" t="inlineStr">
        <is>
          <t>RESULTADO DE LA EXPLOTACION</t>
        </is>
      </c>
      <c r="G82" s="15" t="inlineStr">
        <is>
          <t>7.- Otros gastos de explotación</t>
        </is>
      </c>
      <c r="H82" s="15" t="inlineStr">
        <is>
          <t>(621) Arrendamientos y cánones</t>
        </is>
      </c>
      <c r="I82" s="15" t="inlineStr">
        <is>
          <t>621000046 - ALQUILER CARRETILLAS</t>
        </is>
      </c>
      <c r="J82" s="15" t="inlineStr">
        <is>
          <t>-</t>
        </is>
      </c>
      <c r="K82" s="13" t="n">
        <v>-677.75</v>
      </c>
      <c r="L82" s="13" t="n">
        <v>-677.75</v>
      </c>
      <c r="M82" s="13" t="n">
        <v>-677.75</v>
      </c>
      <c r="N82" s="13" t="n">
        <v>-677.75</v>
      </c>
      <c r="O82" s="13" t="n">
        <v>-677.75</v>
      </c>
      <c r="P82" s="13" t="n">
        <v>-677.75</v>
      </c>
      <c r="Q82" s="13" t="n">
        <v>-677.75</v>
      </c>
      <c r="R82" s="13" t="n">
        <v>-677.75</v>
      </c>
      <c r="S82" s="13" t="n">
        <v>-677.75</v>
      </c>
      <c r="T82" s="13" t="n">
        <v>-677.75</v>
      </c>
      <c r="U82" s="13" t="n">
        <v>-677.75</v>
      </c>
      <c r="V82" s="13" t="n">
        <v>-677.75</v>
      </c>
      <c r="W82" s="13">
        <f>SUM(K82:V82)</f>
        <v/>
      </c>
      <c r="X82" s="8" t="inlineStr">
        <is>
          <t>Coste fijo mensual según contratos vigentes de renting de vehículos y maquinaria auxiliar.</t>
        </is>
      </c>
    </row>
    <row r="83">
      <c r="B83" t="n">
        <v>2027</v>
      </c>
      <c r="C83" s="15" t="inlineStr">
        <is>
          <t>Codiagro</t>
        </is>
      </c>
      <c r="D83" s="15" t="inlineStr">
        <is>
          <t>RESULTADO DEL EJERCICIO</t>
        </is>
      </c>
      <c r="E83" s="15" t="inlineStr">
        <is>
          <t>RESULTADO ANTES DE IMPUESTOS</t>
        </is>
      </c>
      <c r="F83" s="15" t="inlineStr">
        <is>
          <t>RESULTADO DE LA EXPLOTACION</t>
        </is>
      </c>
      <c r="G83" s="15" t="inlineStr">
        <is>
          <t>7.- Otros gastos de explotación</t>
        </is>
      </c>
      <c r="H83" s="15" t="inlineStr">
        <is>
          <t>(622) Reparación/conservación/mantenimiento</t>
        </is>
      </c>
      <c r="I83" s="15" t="inlineStr">
        <is>
          <t>622000001 - REPAR. EQUIPOS INFORM. Y FOTOCOPIADORAS</t>
        </is>
      </c>
      <c r="J83" s="15" t="inlineStr">
        <is>
          <t>-</t>
        </is>
      </c>
      <c r="K83" s="13" t="n">
        <v>-748.65</v>
      </c>
      <c r="L83" s="13" t="n">
        <v>-748.65</v>
      </c>
      <c r="M83" s="13" t="n">
        <v>-748.65</v>
      </c>
      <c r="N83" s="13" t="n">
        <v>-748.65</v>
      </c>
      <c r="O83" s="13" t="n">
        <v>-748.65</v>
      </c>
      <c r="P83" s="13" t="n">
        <v>-748.65</v>
      </c>
      <c r="Q83" s="13" t="n">
        <v>-748.65</v>
      </c>
      <c r="R83" s="13" t="n">
        <v>-748.65</v>
      </c>
      <c r="S83" s="13" t="n">
        <v>-748.65</v>
      </c>
      <c r="T83" s="13" t="n">
        <v>-748.65</v>
      </c>
      <c r="U83" s="13" t="n">
        <v>-748.65</v>
      </c>
      <c r="V83" s="13" t="n">
        <v>-748.65</v>
      </c>
      <c r="W83" s="13">
        <f>SUM(K83:V83)</f>
        <v/>
      </c>
      <c r="X83" s="8" t="inlineStr">
        <is>
          <t>Coste semi-variable: mantenimiento preventivo y correctivo de planta industrial.</t>
        </is>
      </c>
    </row>
    <row r="84">
      <c r="B84" t="n">
        <v>2027</v>
      </c>
      <c r="C84" s="15" t="inlineStr">
        <is>
          <t>Codiagro</t>
        </is>
      </c>
      <c r="D84" s="15" t="inlineStr">
        <is>
          <t>RESULTADO DEL EJERCICIO</t>
        </is>
      </c>
      <c r="E84" s="15" t="inlineStr">
        <is>
          <t>RESULTADO ANTES DE IMPUESTOS</t>
        </is>
      </c>
      <c r="F84" s="15" t="inlineStr">
        <is>
          <t>RESULTADO DE LA EXPLOTACION</t>
        </is>
      </c>
      <c r="G84" s="15" t="inlineStr">
        <is>
          <t>7.- Otros gastos de explotación</t>
        </is>
      </c>
      <c r="H84" s="15" t="inlineStr">
        <is>
          <t>(622) Reparación/conservación/mantenimiento</t>
        </is>
      </c>
      <c r="I84" s="15" t="inlineStr">
        <is>
          <t>622000004 - REP. Y CONSERV. CARRETILLA ELECTRICA</t>
        </is>
      </c>
      <c r="J84" s="15" t="inlineStr">
        <is>
          <t>-</t>
        </is>
      </c>
      <c r="K84" s="13" t="n">
        <v>-731.87</v>
      </c>
      <c r="L84" s="13" t="n">
        <v>-731.87</v>
      </c>
      <c r="M84" s="13" t="n">
        <v>-731.87</v>
      </c>
      <c r="N84" s="13" t="n">
        <v>-731.87</v>
      </c>
      <c r="O84" s="13" t="n">
        <v>-731.87</v>
      </c>
      <c r="P84" s="13" t="n">
        <v>-731.87</v>
      </c>
      <c r="Q84" s="13" t="n">
        <v>-731.87</v>
      </c>
      <c r="R84" s="13" t="n">
        <v>-731.87</v>
      </c>
      <c r="S84" s="13" t="n">
        <v>-731.87</v>
      </c>
      <c r="T84" s="13" t="n">
        <v>-731.87</v>
      </c>
      <c r="U84" s="13" t="n">
        <v>-731.87</v>
      </c>
      <c r="V84" s="13" t="n">
        <v>-731.87</v>
      </c>
      <c r="W84" s="13">
        <f>SUM(K84:V84)</f>
        <v/>
      </c>
      <c r="X84" s="8" t="inlineStr">
        <is>
          <t>Coste semi-variable: mantenimiento preventivo y correctivo de planta industrial.</t>
        </is>
      </c>
    </row>
    <row r="85">
      <c r="B85" t="n">
        <v>2027</v>
      </c>
      <c r="C85" s="15" t="inlineStr">
        <is>
          <t>Codiagro</t>
        </is>
      </c>
      <c r="D85" s="15" t="inlineStr">
        <is>
          <t>RESULTADO DEL EJERCICIO</t>
        </is>
      </c>
      <c r="E85" s="15" t="inlineStr">
        <is>
          <t>RESULTADO ANTES DE IMPUESTOS</t>
        </is>
      </c>
      <c r="F85" s="15" t="inlineStr">
        <is>
          <t>RESULTADO DE LA EXPLOTACION</t>
        </is>
      </c>
      <c r="G85" s="15" t="inlineStr">
        <is>
          <t>7.- Otros gastos de explotación</t>
        </is>
      </c>
      <c r="H85" s="15" t="inlineStr">
        <is>
          <t>(622) Reparación/conservación/mantenimiento</t>
        </is>
      </c>
      <c r="I85" s="15" t="inlineStr">
        <is>
          <t>622000005 - REP. Y MANT. EQUIPOS SEGURIDAD</t>
        </is>
      </c>
      <c r="J85" s="15" t="inlineStr">
        <is>
          <t>-</t>
        </is>
      </c>
      <c r="K85" s="13" t="n">
        <v>-122.19</v>
      </c>
      <c r="L85" s="13" t="n">
        <v>-122.19</v>
      </c>
      <c r="M85" s="13" t="n">
        <v>-122.19</v>
      </c>
      <c r="N85" s="13" t="n">
        <v>-122.19</v>
      </c>
      <c r="O85" s="13" t="n">
        <v>-122.19</v>
      </c>
      <c r="P85" s="13" t="n">
        <v>-122.19</v>
      </c>
      <c r="Q85" s="13" t="n">
        <v>-122.19</v>
      </c>
      <c r="R85" s="13" t="n">
        <v>-122.19</v>
      </c>
      <c r="S85" s="13" t="n">
        <v>-122.19</v>
      </c>
      <c r="T85" s="13" t="n">
        <v>-122.19</v>
      </c>
      <c r="U85" s="13" t="n">
        <v>-122.19</v>
      </c>
      <c r="V85" s="13" t="n">
        <v>-122.19</v>
      </c>
      <c r="W85" s="13">
        <f>SUM(K85:V85)</f>
        <v/>
      </c>
      <c r="X85" s="8" t="inlineStr">
        <is>
          <t>Coste semi-variable: mantenimiento preventivo y correctivo de planta industrial.</t>
        </is>
      </c>
    </row>
    <row r="86">
      <c r="B86" t="n">
        <v>2027</v>
      </c>
      <c r="C86" s="15" t="inlineStr">
        <is>
          <t>Codiagro</t>
        </is>
      </c>
      <c r="D86" s="15" t="inlineStr">
        <is>
          <t>RESULTADO DEL EJERCICIO</t>
        </is>
      </c>
      <c r="E86" s="15" t="inlineStr">
        <is>
          <t>RESULTADO ANTES DE IMPUESTOS</t>
        </is>
      </c>
      <c r="F86" s="15" t="inlineStr">
        <is>
          <t>RESULTADO DE LA EXPLOTACION</t>
        </is>
      </c>
      <c r="G86" s="15" t="inlineStr">
        <is>
          <t>7.- Otros gastos de explotación</t>
        </is>
      </c>
      <c r="H86" s="15" t="inlineStr">
        <is>
          <t>(622) Reparación/conservación/mantenimiento</t>
        </is>
      </c>
      <c r="I86" s="15" t="inlineStr">
        <is>
          <t>622000006 - REP. Y MANT. INSTALACIONES VARIAS</t>
        </is>
      </c>
      <c r="J86" s="15" t="inlineStr">
        <is>
          <t>-</t>
        </is>
      </c>
      <c r="K86" s="13" t="n">
        <v>-1425.85</v>
      </c>
      <c r="L86" s="13" t="n">
        <v>-1425.85</v>
      </c>
      <c r="M86" s="13" t="n">
        <v>-1425.85</v>
      </c>
      <c r="N86" s="13" t="n">
        <v>-1425.85</v>
      </c>
      <c r="O86" s="13" t="n">
        <v>-1425.85</v>
      </c>
      <c r="P86" s="13" t="n">
        <v>-1425.85</v>
      </c>
      <c r="Q86" s="13" t="n">
        <v>-1425.85</v>
      </c>
      <c r="R86" s="13" t="n">
        <v>-1425.85</v>
      </c>
      <c r="S86" s="13" t="n">
        <v>-1425.85</v>
      </c>
      <c r="T86" s="13" t="n">
        <v>-1425.85</v>
      </c>
      <c r="U86" s="13" t="n">
        <v>-1425.85</v>
      </c>
      <c r="V86" s="13" t="n">
        <v>-1425.85</v>
      </c>
      <c r="W86" s="13">
        <f>SUM(K86:V86)</f>
        <v/>
      </c>
      <c r="X86" s="8" t="inlineStr">
        <is>
          <t>Coste semi-variable: mantenimiento preventivo y correctivo de planta industrial.</t>
        </is>
      </c>
    </row>
    <row r="87">
      <c r="B87" t="n">
        <v>2027</v>
      </c>
      <c r="C87" s="15" t="inlineStr">
        <is>
          <t>Codiagro</t>
        </is>
      </c>
      <c r="D87" s="15" t="inlineStr">
        <is>
          <t>RESULTADO DEL EJERCICIO</t>
        </is>
      </c>
      <c r="E87" s="15" t="inlineStr">
        <is>
          <t>RESULTADO ANTES DE IMPUESTOS</t>
        </is>
      </c>
      <c r="F87" s="15" t="inlineStr">
        <is>
          <t>RESULTADO DE LA EXPLOTACION</t>
        </is>
      </c>
      <c r="G87" s="15" t="inlineStr">
        <is>
          <t>7.- Otros gastos de explotación</t>
        </is>
      </c>
      <c r="H87" s="15" t="inlineStr">
        <is>
          <t>(622) Reparación/conservación/mantenimiento</t>
        </is>
      </c>
      <c r="I87" s="15" t="inlineStr">
        <is>
          <t>622000007 - REP. Y MANT. HYUNDAI 0377CJG</t>
        </is>
      </c>
      <c r="J87" s="15" t="inlineStr">
        <is>
          <t>-</t>
        </is>
      </c>
      <c r="K87" s="13" t="n">
        <v>-249.63</v>
      </c>
      <c r="L87" s="13" t="n">
        <v>-249.63</v>
      </c>
      <c r="M87" s="13" t="n">
        <v>-249.63</v>
      </c>
      <c r="N87" s="13" t="n">
        <v>-249.63</v>
      </c>
      <c r="O87" s="13" t="n">
        <v>-249.63</v>
      </c>
      <c r="P87" s="13" t="n">
        <v>-249.63</v>
      </c>
      <c r="Q87" s="13" t="n">
        <v>-249.63</v>
      </c>
      <c r="R87" s="13" t="n">
        <v>-249.63</v>
      </c>
      <c r="S87" s="13" t="n">
        <v>-249.63</v>
      </c>
      <c r="T87" s="13" t="n">
        <v>-249.63</v>
      </c>
      <c r="U87" s="13" t="n">
        <v>-249.63</v>
      </c>
      <c r="V87" s="13" t="n">
        <v>-249.63</v>
      </c>
      <c r="W87" s="13">
        <f>SUM(K87:V87)</f>
        <v/>
      </c>
      <c r="X87" s="8" t="inlineStr">
        <is>
          <t>Coste semi-variable: mantenimiento preventivo y correctivo de planta industrial.</t>
        </is>
      </c>
    </row>
    <row r="88">
      <c r="B88" t="n">
        <v>2027</v>
      </c>
      <c r="C88" s="15" t="inlineStr">
        <is>
          <t>Codiagro</t>
        </is>
      </c>
      <c r="D88" s="15" t="inlineStr">
        <is>
          <t>RESULTADO DEL EJERCICIO</t>
        </is>
      </c>
      <c r="E88" s="15" t="inlineStr">
        <is>
          <t>RESULTADO ANTES DE IMPUESTOS</t>
        </is>
      </c>
      <c r="F88" s="15" t="inlineStr">
        <is>
          <t>RESULTADO DE LA EXPLOTACION</t>
        </is>
      </c>
      <c r="G88" s="15" t="inlineStr">
        <is>
          <t>7.- Otros gastos de explotación</t>
        </is>
      </c>
      <c r="H88" s="15" t="inlineStr">
        <is>
          <t>(622) Reparación/conservación/mantenimiento</t>
        </is>
      </c>
      <c r="I88" s="15" t="inlineStr">
        <is>
          <t>622000008 - REP. Y MANT. MAQUINA BARREDORA</t>
        </is>
      </c>
      <c r="J88" s="15" t="inlineStr">
        <is>
          <t>-</t>
        </is>
      </c>
      <c r="K88" s="13" t="n">
        <v>-515.01</v>
      </c>
      <c r="L88" s="13" t="n">
        <v>-515.01</v>
      </c>
      <c r="M88" s="13" t="n">
        <v>-515.01</v>
      </c>
      <c r="N88" s="13" t="n">
        <v>-515.01</v>
      </c>
      <c r="O88" s="13" t="n">
        <v>-515.01</v>
      </c>
      <c r="P88" s="13" t="n">
        <v>-515.01</v>
      </c>
      <c r="Q88" s="13" t="n">
        <v>-515.01</v>
      </c>
      <c r="R88" s="13" t="n">
        <v>-515.01</v>
      </c>
      <c r="S88" s="13" t="n">
        <v>-515.01</v>
      </c>
      <c r="T88" s="13" t="n">
        <v>-515.01</v>
      </c>
      <c r="U88" s="13" t="n">
        <v>-515.01</v>
      </c>
      <c r="V88" s="13" t="n">
        <v>-515.01</v>
      </c>
      <c r="W88" s="13">
        <f>SUM(K88:V88)</f>
        <v/>
      </c>
      <c r="X88" s="8" t="inlineStr">
        <is>
          <t>Coste semi-variable: mantenimiento preventivo y correctivo de planta industrial.</t>
        </is>
      </c>
    </row>
    <row r="89">
      <c r="B89" t="n">
        <v>2027</v>
      </c>
      <c r="C89" s="15" t="inlineStr">
        <is>
          <t>Codiagro</t>
        </is>
      </c>
      <c r="D89" s="15" t="inlineStr">
        <is>
          <t>RESULTADO DEL EJERCICIO</t>
        </is>
      </c>
      <c r="E89" s="15" t="inlineStr">
        <is>
          <t>RESULTADO ANTES DE IMPUESTOS</t>
        </is>
      </c>
      <c r="F89" s="15" t="inlineStr">
        <is>
          <t>RESULTADO DE LA EXPLOTACION</t>
        </is>
      </c>
      <c r="G89" s="15" t="inlineStr">
        <is>
          <t>7.- Otros gastos de explotación</t>
        </is>
      </c>
      <c r="H89" s="15" t="inlineStr">
        <is>
          <t>(622) Reparación/conservación/mantenimiento</t>
        </is>
      </c>
      <c r="I89" s="15" t="inlineStr">
        <is>
          <t>622000009 - REP. Y MANT. FURGONETA 2589CRJ</t>
        </is>
      </c>
      <c r="J89" s="15" t="inlineStr">
        <is>
          <t>-</t>
        </is>
      </c>
      <c r="K89" s="13" t="n">
        <v>0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  <c r="V89" s="13" t="n">
        <v>0</v>
      </c>
      <c r="W89" s="13">
        <f>SUM(K89:V89)</f>
        <v/>
      </c>
      <c r="X89" s="8" t="inlineStr">
        <is>
          <t>Sin dotación presupuestada en 2027.</t>
        </is>
      </c>
    </row>
    <row r="90">
      <c r="B90" t="n">
        <v>2027</v>
      </c>
      <c r="C90" s="15" t="inlineStr">
        <is>
          <t>Codiagro</t>
        </is>
      </c>
      <c r="D90" s="15" t="inlineStr">
        <is>
          <t>RESULTADO DEL EJERCICIO</t>
        </is>
      </c>
      <c r="E90" s="15" t="inlineStr">
        <is>
          <t>RESULTADO ANTES DE IMPUESTOS</t>
        </is>
      </c>
      <c r="F90" s="15" t="inlineStr">
        <is>
          <t>RESULTADO DE LA EXPLOTACION</t>
        </is>
      </c>
      <c r="G90" s="15" t="inlineStr">
        <is>
          <t>7.- Otros gastos de explotación</t>
        </is>
      </c>
      <c r="H90" s="15" t="inlineStr">
        <is>
          <t>(622) Reparación/conservación/mantenimiento</t>
        </is>
      </c>
      <c r="I90" s="15" t="inlineStr">
        <is>
          <t>622000012 - LIMPIEZA OFICINAS, LABORATORIO Y VESTUARIOS</t>
        </is>
      </c>
      <c r="J90" s="15" t="inlineStr">
        <is>
          <t>-</t>
        </is>
      </c>
      <c r="K90" s="13" t="n">
        <v>-935.11</v>
      </c>
      <c r="L90" s="13" t="n">
        <v>-935.11</v>
      </c>
      <c r="M90" s="13" t="n">
        <v>-935.11</v>
      </c>
      <c r="N90" s="13" t="n">
        <v>-935.11</v>
      </c>
      <c r="O90" s="13" t="n">
        <v>-935.11</v>
      </c>
      <c r="P90" s="13" t="n">
        <v>-935.11</v>
      </c>
      <c r="Q90" s="13" t="n">
        <v>-935.11</v>
      </c>
      <c r="R90" s="13" t="n">
        <v>-935.11</v>
      </c>
      <c r="S90" s="13" t="n">
        <v>-935.11</v>
      </c>
      <c r="T90" s="13" t="n">
        <v>-935.11</v>
      </c>
      <c r="U90" s="13" t="n">
        <v>-935.11</v>
      </c>
      <c r="V90" s="13" t="n">
        <v>-935.11</v>
      </c>
      <c r="W90" s="13">
        <f>SUM(K90:V90)</f>
        <v/>
      </c>
      <c r="X90" s="8" t="inlineStr">
        <is>
          <t>Coste semi-variable: mantenimiento preventivo y correctivo de planta industrial.</t>
        </is>
      </c>
    </row>
    <row r="91">
      <c r="B91" t="n">
        <v>2027</v>
      </c>
      <c r="C91" s="15" t="inlineStr">
        <is>
          <t>Codiagro</t>
        </is>
      </c>
      <c r="D91" s="15" t="inlineStr">
        <is>
          <t>RESULTADO DEL EJERCICIO</t>
        </is>
      </c>
      <c r="E91" s="15" t="inlineStr">
        <is>
          <t>RESULTADO ANTES DE IMPUESTOS</t>
        </is>
      </c>
      <c r="F91" s="15" t="inlineStr">
        <is>
          <t>RESULTADO DE LA EXPLOTACION</t>
        </is>
      </c>
      <c r="G91" s="15" t="inlineStr">
        <is>
          <t>7.- Otros gastos de explotación</t>
        </is>
      </c>
      <c r="H91" s="15" t="inlineStr">
        <is>
          <t>(622) Reparación/conservación/mantenimiento</t>
        </is>
      </c>
      <c r="I91" s="15" t="inlineStr">
        <is>
          <t>622010000 MANTENIMIENTO</t>
        </is>
      </c>
      <c r="J91" s="15" t="inlineStr">
        <is>
          <t>-</t>
        </is>
      </c>
      <c r="K91" s="13" t="n">
        <v>-1472.45</v>
      </c>
      <c r="L91" s="13" t="n">
        <v>-1472.45</v>
      </c>
      <c r="M91" s="13" t="n">
        <v>-1472.45</v>
      </c>
      <c r="N91" s="13" t="n">
        <v>-1472.45</v>
      </c>
      <c r="O91" s="13" t="n">
        <v>-1472.45</v>
      </c>
      <c r="P91" s="13" t="n">
        <v>-1472.45</v>
      </c>
      <c r="Q91" s="13" t="n">
        <v>-1472.45</v>
      </c>
      <c r="R91" s="13" t="n">
        <v>-1472.45</v>
      </c>
      <c r="S91" s="13" t="n">
        <v>-1472.45</v>
      </c>
      <c r="T91" s="13" t="n">
        <v>-1472.45</v>
      </c>
      <c r="U91" s="13" t="n">
        <v>-1472.45</v>
      </c>
      <c r="V91" s="13" t="n">
        <v>-1472.45</v>
      </c>
      <c r="W91" s="13">
        <f>SUM(K91:V91)</f>
        <v/>
      </c>
      <c r="X91" s="8" t="inlineStr">
        <is>
          <t>Coste semi-variable: mantenimiento preventivo y correctivo de planta industrial.</t>
        </is>
      </c>
    </row>
    <row r="92">
      <c r="B92" t="n">
        <v>2027</v>
      </c>
      <c r="C92" s="15" t="inlineStr">
        <is>
          <t>Codiagro</t>
        </is>
      </c>
      <c r="D92" s="15" t="inlineStr">
        <is>
          <t>RESULTADO DEL EJERCICIO</t>
        </is>
      </c>
      <c r="E92" s="15" t="inlineStr">
        <is>
          <t>RESULTADO ANTES DE IMPUESTOS</t>
        </is>
      </c>
      <c r="F92" s="15" t="inlineStr">
        <is>
          <t>RESULTADO DE LA EXPLOTACION</t>
        </is>
      </c>
      <c r="G92" s="15" t="inlineStr">
        <is>
          <t>7.- Otros gastos de explotación</t>
        </is>
      </c>
      <c r="H92" s="15" t="inlineStr">
        <is>
          <t>(622) Reparación/conservación/mantenimiento</t>
        </is>
      </c>
      <c r="I92" s="15" t="inlineStr">
        <is>
          <t>622010001 - MANTENIMIENTO REPUESTO COMPRA AMAZON</t>
        </is>
      </c>
      <c r="J92" s="15" t="inlineStr">
        <is>
          <t>-</t>
        </is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>
        <f>SUM(K92:V92)</f>
        <v/>
      </c>
      <c r="X92" s="8" t="inlineStr">
        <is>
          <t>Sin dotación presupuestada en 2027.</t>
        </is>
      </c>
    </row>
    <row r="93">
      <c r="B93" t="n">
        <v>2027</v>
      </c>
      <c r="C93" s="15" t="inlineStr">
        <is>
          <t>Codiagro</t>
        </is>
      </c>
      <c r="D93" s="15" t="inlineStr">
        <is>
          <t>RESULTADO DEL EJERCICIO</t>
        </is>
      </c>
      <c r="E93" s="15" t="inlineStr">
        <is>
          <t>RESULTADO ANTES DE IMPUESTOS</t>
        </is>
      </c>
      <c r="F93" s="15" t="inlineStr">
        <is>
          <t>RESULTADO DE LA EXPLOTACION</t>
        </is>
      </c>
      <c r="G93" s="15" t="inlineStr">
        <is>
          <t>7.- Otros gastos de explotación</t>
        </is>
      </c>
      <c r="H93" s="15" t="inlineStr">
        <is>
          <t>(622) Reparación/conservación/mantenimiento</t>
        </is>
      </c>
      <c r="I93" s="15" t="inlineStr">
        <is>
          <t>622010200 - ALCAPLANT</t>
        </is>
      </c>
      <c r="J93" s="15" t="inlineStr">
        <is>
          <t>-</t>
        </is>
      </c>
      <c r="K93" s="13" t="n">
        <v>-2527.63</v>
      </c>
      <c r="L93" s="13" t="n">
        <v>-2527.63</v>
      </c>
      <c r="M93" s="13" t="n">
        <v>-2527.63</v>
      </c>
      <c r="N93" s="13" t="n">
        <v>-2527.63</v>
      </c>
      <c r="O93" s="13" t="n">
        <v>-2527.63</v>
      </c>
      <c r="P93" s="13" t="n">
        <v>-2527.63</v>
      </c>
      <c r="Q93" s="13" t="n">
        <v>-2527.63</v>
      </c>
      <c r="R93" s="13" t="n">
        <v>-2527.63</v>
      </c>
      <c r="S93" s="13" t="n">
        <v>-2527.63</v>
      </c>
      <c r="T93" s="13" t="n">
        <v>-2527.63</v>
      </c>
      <c r="U93" s="13" t="n">
        <v>-2527.63</v>
      </c>
      <c r="V93" s="13" t="n">
        <v>-2527.63</v>
      </c>
      <c r="W93" s="13">
        <f>SUM(K93:V93)</f>
        <v/>
      </c>
      <c r="X93" s="8" t="inlineStr">
        <is>
          <t>Coste semi-variable: mantenimiento preventivo y correctivo de planta industrial.</t>
        </is>
      </c>
    </row>
    <row r="94">
      <c r="B94" t="n">
        <v>2027</v>
      </c>
      <c r="C94" s="15" t="inlineStr">
        <is>
          <t>Codiagro</t>
        </is>
      </c>
      <c r="D94" s="15" t="inlineStr">
        <is>
          <t>RESULTADO DEL EJERCICIO</t>
        </is>
      </c>
      <c r="E94" s="15" t="inlineStr">
        <is>
          <t>RESULTADO ANTES DE IMPUESTOS</t>
        </is>
      </c>
      <c r="F94" s="15" t="inlineStr">
        <is>
          <t>RESULTADO DE LA EXPLOTACION</t>
        </is>
      </c>
      <c r="G94" s="15" t="inlineStr">
        <is>
          <t>7.- Otros gastos de explotación</t>
        </is>
      </c>
      <c r="H94" s="15" t="inlineStr">
        <is>
          <t>(622) Reparación/conservación/mantenimiento</t>
        </is>
      </c>
      <c r="I94" s="15" t="inlineStr">
        <is>
          <t>622010201 - REPARACIONES ALCAPLANT</t>
        </is>
      </c>
      <c r="J94" s="15" t="inlineStr">
        <is>
          <t>-</t>
        </is>
      </c>
      <c r="K94" s="13" t="n">
        <v>-4187.14</v>
      </c>
      <c r="L94" s="13" t="n">
        <v>-4187.14</v>
      </c>
      <c r="M94" s="13" t="n">
        <v>-4187.14</v>
      </c>
      <c r="N94" s="13" t="n">
        <v>-4187.14</v>
      </c>
      <c r="O94" s="13" t="n">
        <v>-4187.14</v>
      </c>
      <c r="P94" s="13" t="n">
        <v>-4187.14</v>
      </c>
      <c r="Q94" s="13" t="n">
        <v>-4187.14</v>
      </c>
      <c r="R94" s="13" t="n">
        <v>-4187.14</v>
      </c>
      <c r="S94" s="13" t="n">
        <v>-4187.14</v>
      </c>
      <c r="T94" s="13" t="n">
        <v>-4187.14</v>
      </c>
      <c r="U94" s="13" t="n">
        <v>-4187.14</v>
      </c>
      <c r="V94" s="13" t="n">
        <v>-4187.14</v>
      </c>
      <c r="W94" s="13">
        <f>SUM(K94:V94)</f>
        <v/>
      </c>
      <c r="X94" s="8" t="inlineStr">
        <is>
          <t>Coste semi-variable: mantenimiento preventivo y correctivo de planta industrial.</t>
        </is>
      </c>
    </row>
    <row r="95">
      <c r="B95" t="n">
        <v>2027</v>
      </c>
      <c r="C95" s="15" t="inlineStr">
        <is>
          <t>Codiagro</t>
        </is>
      </c>
      <c r="D95" s="15" t="inlineStr">
        <is>
          <t>RESULTADO DEL EJERCICIO</t>
        </is>
      </c>
      <c r="E95" s="15" t="inlineStr">
        <is>
          <t>RESULTADO ANTES DE IMPUESTOS</t>
        </is>
      </c>
      <c r="F95" s="15" t="inlineStr">
        <is>
          <t>RESULTADO DE LA EXPLOTACION</t>
        </is>
      </c>
      <c r="G95" s="15" t="inlineStr">
        <is>
          <t>7.- Otros gastos de explotación</t>
        </is>
      </c>
      <c r="H95" s="15" t="inlineStr">
        <is>
          <t>(622) Reparación/conservación/mantenimiento</t>
        </is>
      </c>
      <c r="I95" s="15" t="inlineStr">
        <is>
          <t>622010300 - SOLIDOS</t>
        </is>
      </c>
      <c r="J95" s="15" t="inlineStr">
        <is>
          <t>-</t>
        </is>
      </c>
      <c r="K95" s="13" t="n">
        <v>-5939.08</v>
      </c>
      <c r="L95" s="13" t="n">
        <v>-5939.08</v>
      </c>
      <c r="M95" s="13" t="n">
        <v>-5939.08</v>
      </c>
      <c r="N95" s="13" t="n">
        <v>-5939.08</v>
      </c>
      <c r="O95" s="13" t="n">
        <v>-5939.08</v>
      </c>
      <c r="P95" s="13" t="n">
        <v>-5939.08</v>
      </c>
      <c r="Q95" s="13" t="n">
        <v>-5939.08</v>
      </c>
      <c r="R95" s="13" t="n">
        <v>-5939.08</v>
      </c>
      <c r="S95" s="13" t="n">
        <v>-5939.08</v>
      </c>
      <c r="T95" s="13" t="n">
        <v>-5939.08</v>
      </c>
      <c r="U95" s="13" t="n">
        <v>-5939.08</v>
      </c>
      <c r="V95" s="13" t="n">
        <v>-5939.08</v>
      </c>
      <c r="W95" s="13">
        <f>SUM(K95:V95)</f>
        <v/>
      </c>
      <c r="X95" s="8" t="inlineStr">
        <is>
          <t>Coste semi-variable: mantenimiento preventivo y correctivo de planta industrial.</t>
        </is>
      </c>
    </row>
    <row r="96">
      <c r="B96" t="n">
        <v>2027</v>
      </c>
      <c r="C96" s="15" t="inlineStr">
        <is>
          <t>Codiagro</t>
        </is>
      </c>
      <c r="D96" s="15" t="inlineStr">
        <is>
          <t>RESULTADO DEL EJERCICIO</t>
        </is>
      </c>
      <c r="E96" s="15" t="inlineStr">
        <is>
          <t>RESULTADO ANTES DE IMPUESTOS</t>
        </is>
      </c>
      <c r="F96" s="15" t="inlineStr">
        <is>
          <t>RESULTADO DE LA EXPLOTACION</t>
        </is>
      </c>
      <c r="G96" s="15" t="inlineStr">
        <is>
          <t>7.- Otros gastos de explotación</t>
        </is>
      </c>
      <c r="H96" s="15" t="inlineStr">
        <is>
          <t>(622) Reparación/conservación/mantenimiento</t>
        </is>
      </c>
      <c r="I96" s="15" t="inlineStr">
        <is>
          <t>622010400 - LIQUIDOS</t>
        </is>
      </c>
      <c r="J96" s="15" t="inlineStr">
        <is>
          <t>-</t>
        </is>
      </c>
      <c r="K96" s="13" t="n">
        <v>-915.9</v>
      </c>
      <c r="L96" s="13" t="n">
        <v>-915.9</v>
      </c>
      <c r="M96" s="13" t="n">
        <v>-915.9</v>
      </c>
      <c r="N96" s="13" t="n">
        <v>-915.9</v>
      </c>
      <c r="O96" s="13" t="n">
        <v>-915.9</v>
      </c>
      <c r="P96" s="13" t="n">
        <v>-915.9</v>
      </c>
      <c r="Q96" s="13" t="n">
        <v>-915.9</v>
      </c>
      <c r="R96" s="13" t="n">
        <v>-915.9</v>
      </c>
      <c r="S96" s="13" t="n">
        <v>-915.9</v>
      </c>
      <c r="T96" s="13" t="n">
        <v>-915.9</v>
      </c>
      <c r="U96" s="13" t="n">
        <v>-915.9</v>
      </c>
      <c r="V96" s="13" t="n">
        <v>-915.9</v>
      </c>
      <c r="W96" s="13">
        <f>SUM(K96:V96)</f>
        <v/>
      </c>
      <c r="X96" s="8" t="inlineStr">
        <is>
          <t>Coste semi-variable: mantenimiento preventivo y correctivo de planta industrial.</t>
        </is>
      </c>
    </row>
    <row r="97">
      <c r="B97" t="n">
        <v>2027</v>
      </c>
      <c r="C97" s="15" t="inlineStr">
        <is>
          <t>Codiagro</t>
        </is>
      </c>
      <c r="D97" s="15" t="inlineStr">
        <is>
          <t>RESULTADO DEL EJERCICIO</t>
        </is>
      </c>
      <c r="E97" s="15" t="inlineStr">
        <is>
          <t>RESULTADO ANTES DE IMPUESTOS</t>
        </is>
      </c>
      <c r="F97" s="15" t="inlineStr">
        <is>
          <t>RESULTADO DE LA EXPLOTACION</t>
        </is>
      </c>
      <c r="G97" s="15" t="inlineStr">
        <is>
          <t>7.- Otros gastos de explotación</t>
        </is>
      </c>
      <c r="H97" s="15" t="inlineStr">
        <is>
          <t>(622) Reparación/conservación/mantenimiento</t>
        </is>
      </c>
      <c r="I97" s="15" t="inlineStr">
        <is>
          <t>622010500 - REPUESTOS MANT. VARIOS</t>
        </is>
      </c>
      <c r="J97" s="15" t="inlineStr">
        <is>
          <t>-</t>
        </is>
      </c>
      <c r="K97" s="13" t="n">
        <v>-788.2</v>
      </c>
      <c r="L97" s="13" t="n">
        <v>-788.2</v>
      </c>
      <c r="M97" s="13" t="n">
        <v>-788.2</v>
      </c>
      <c r="N97" s="13" t="n">
        <v>-788.2</v>
      </c>
      <c r="O97" s="13" t="n">
        <v>-788.2</v>
      </c>
      <c r="P97" s="13" t="n">
        <v>-788.2</v>
      </c>
      <c r="Q97" s="13" t="n">
        <v>-788.2</v>
      </c>
      <c r="R97" s="13" t="n">
        <v>-788.2</v>
      </c>
      <c r="S97" s="13" t="n">
        <v>-788.2</v>
      </c>
      <c r="T97" s="13" t="n">
        <v>-788.2</v>
      </c>
      <c r="U97" s="13" t="n">
        <v>-788.2</v>
      </c>
      <c r="V97" s="13" t="n">
        <v>-788.2</v>
      </c>
      <c r="W97" s="13">
        <f>SUM(K97:V97)</f>
        <v/>
      </c>
      <c r="X97" s="8" t="inlineStr">
        <is>
          <t>Coste semi-variable: mantenimiento preventivo y correctivo de planta industrial.</t>
        </is>
      </c>
    </row>
    <row r="98">
      <c r="B98" t="n">
        <v>2027</v>
      </c>
      <c r="C98" s="15" t="inlineStr">
        <is>
          <t>Codiagro</t>
        </is>
      </c>
      <c r="D98" s="15" t="inlineStr">
        <is>
          <t>RESULTADO DEL EJERCICIO</t>
        </is>
      </c>
      <c r="E98" s="15" t="inlineStr">
        <is>
          <t>RESULTADO ANTES DE IMPUESTOS</t>
        </is>
      </c>
      <c r="F98" s="15" t="inlineStr">
        <is>
          <t>RESULTADO DE LA EXPLOTACION</t>
        </is>
      </c>
      <c r="G98" s="15" t="inlineStr">
        <is>
          <t>7.- Otros gastos de explotación</t>
        </is>
      </c>
      <c r="H98" s="15" t="inlineStr">
        <is>
          <t>(622) Reparación/conservación/mantenimiento</t>
        </is>
      </c>
      <c r="I98" s="15" t="inlineStr">
        <is>
          <t>622010501 - REP. MANT. FONTANERIA</t>
        </is>
      </c>
      <c r="J98" s="15" t="inlineStr">
        <is>
          <t>-</t>
        </is>
      </c>
      <c r="K98" s="13" t="n">
        <v>-121.44</v>
      </c>
      <c r="L98" s="13" t="n">
        <v>-121.44</v>
      </c>
      <c r="M98" s="13" t="n">
        <v>-121.44</v>
      </c>
      <c r="N98" s="13" t="n">
        <v>-121.44</v>
      </c>
      <c r="O98" s="13" t="n">
        <v>-121.44</v>
      </c>
      <c r="P98" s="13" t="n">
        <v>-121.44</v>
      </c>
      <c r="Q98" s="13" t="n">
        <v>-121.44</v>
      </c>
      <c r="R98" s="13" t="n">
        <v>-121.44</v>
      </c>
      <c r="S98" s="13" t="n">
        <v>-121.44</v>
      </c>
      <c r="T98" s="13" t="n">
        <v>-121.44</v>
      </c>
      <c r="U98" s="13" t="n">
        <v>-121.44</v>
      </c>
      <c r="V98" s="13" t="n">
        <v>-121.44</v>
      </c>
      <c r="W98" s="13">
        <f>SUM(K98:V98)</f>
        <v/>
      </c>
      <c r="X98" s="8" t="inlineStr">
        <is>
          <t>Coste semi-variable: mantenimiento preventivo y correctivo de planta industrial.</t>
        </is>
      </c>
    </row>
    <row r="99">
      <c r="B99" t="n">
        <v>2027</v>
      </c>
      <c r="C99" s="15" t="inlineStr">
        <is>
          <t>Codiagro</t>
        </is>
      </c>
      <c r="D99" s="15" t="inlineStr">
        <is>
          <t>RESULTADO DEL EJERCICIO</t>
        </is>
      </c>
      <c r="E99" s="15" t="inlineStr">
        <is>
          <t>RESULTADO ANTES DE IMPUESTOS</t>
        </is>
      </c>
      <c r="F99" s="15" t="inlineStr">
        <is>
          <t>RESULTADO DE LA EXPLOTACION</t>
        </is>
      </c>
      <c r="G99" s="15" t="inlineStr">
        <is>
          <t>7.- Otros gastos de explotación</t>
        </is>
      </c>
      <c r="H99" s="15" t="inlineStr">
        <is>
          <t>(623) Servicios profesionales independientes</t>
        </is>
      </c>
      <c r="I99" s="15" t="inlineStr">
        <is>
          <t>623000001 - SERV. PROF. INDEPENDIENTES</t>
        </is>
      </c>
      <c r="J99" s="15" t="inlineStr">
        <is>
          <t>-</t>
        </is>
      </c>
      <c r="K99" s="13" t="n">
        <v>-6000</v>
      </c>
      <c r="L99" s="13" t="n">
        <v>-6000</v>
      </c>
      <c r="M99" s="13" t="n">
        <v>-6000</v>
      </c>
      <c r="N99" s="13" t="n">
        <v>-6000</v>
      </c>
      <c r="O99" s="13" t="n">
        <v>-6000</v>
      </c>
      <c r="P99" s="13" t="n">
        <v>-6000</v>
      </c>
      <c r="Q99" s="13" t="n">
        <v>-6000</v>
      </c>
      <c r="R99" s="13" t="n">
        <v>-6000</v>
      </c>
      <c r="S99" s="13" t="n">
        <v>-6000</v>
      </c>
      <c r="T99" s="13" t="n">
        <v>-6000</v>
      </c>
      <c r="U99" s="13" t="n">
        <v>-6000</v>
      </c>
      <c r="V99" s="13" t="n">
        <v>-8000</v>
      </c>
      <c r="W99" s="13">
        <f>SUM(K99:V99)</f>
        <v/>
      </c>
      <c r="X99" s="8" t="inlineStr">
        <is>
          <t>Coste fijo de asesoramiento legal, técnico y fiscal, con refuerzo en diciembre por preparación del cierre y auditoría.</t>
        </is>
      </c>
    </row>
    <row r="100">
      <c r="B100" t="n">
        <v>2027</v>
      </c>
      <c r="C100" s="15" t="inlineStr">
        <is>
          <t>Codiagro</t>
        </is>
      </c>
      <c r="D100" s="15" t="inlineStr">
        <is>
          <t>RESULTADO DEL EJERCICIO</t>
        </is>
      </c>
      <c r="E100" s="15" t="inlineStr">
        <is>
          <t>RESULTADO ANTES DE IMPUESTOS</t>
        </is>
      </c>
      <c r="F100" s="15" t="inlineStr">
        <is>
          <t>RESULTADO DE LA EXPLOTACION</t>
        </is>
      </c>
      <c r="G100" s="15" t="inlineStr">
        <is>
          <t>7.- Otros gastos de explotación</t>
        </is>
      </c>
      <c r="H100" s="15" t="inlineStr">
        <is>
          <t>(623) Servicios profesionales independientes</t>
        </is>
      </c>
      <c r="I100" s="15" t="inlineStr">
        <is>
          <t>623000002 - SERVICIOS CONTABLES Y FINANCIEROS</t>
        </is>
      </c>
      <c r="J100" s="15" t="inlineStr">
        <is>
          <t>-</t>
        </is>
      </c>
      <c r="K100" s="13" t="n">
        <v>-2800</v>
      </c>
      <c r="L100" s="13" t="n">
        <v>-2800</v>
      </c>
      <c r="M100" s="13" t="n">
        <v>-2800</v>
      </c>
      <c r="N100" s="13" t="n">
        <v>-2800</v>
      </c>
      <c r="O100" s="13" t="n">
        <v>-2800</v>
      </c>
      <c r="P100" s="13" t="n">
        <v>-2800</v>
      </c>
      <c r="Q100" s="13" t="n">
        <v>-2800</v>
      </c>
      <c r="R100" s="13" t="n">
        <v>-2800</v>
      </c>
      <c r="S100" s="13" t="n">
        <v>-2800</v>
      </c>
      <c r="T100" s="13" t="n">
        <v>-2800</v>
      </c>
      <c r="U100" s="13" t="n">
        <v>-2800</v>
      </c>
      <c r="V100" s="13" t="n">
        <v>-2800</v>
      </c>
      <c r="W100" s="13">
        <f>SUM(K100:V100)</f>
        <v/>
      </c>
      <c r="X100" s="8" t="inlineStr">
        <is>
          <t>Coste fijo mensual por servicios externos de gestión contable, fiscal y laboral.</t>
        </is>
      </c>
    </row>
    <row r="101">
      <c r="B101" t="n">
        <v>2027</v>
      </c>
      <c r="C101" s="15" t="inlineStr">
        <is>
          <t>Codiagro</t>
        </is>
      </c>
      <c r="D101" s="15" t="inlineStr">
        <is>
          <t>RESULTADO DEL EJERCICIO</t>
        </is>
      </c>
      <c r="E101" s="15" t="inlineStr">
        <is>
          <t>RESULTADO ANTES DE IMPUESTOS</t>
        </is>
      </c>
      <c r="F101" s="15" t="inlineStr">
        <is>
          <t>RESULTADO DE LA EXPLOTACION</t>
        </is>
      </c>
      <c r="G101" s="15" t="inlineStr">
        <is>
          <t>7.- Otros gastos de explotación</t>
        </is>
      </c>
      <c r="H101" s="15" t="inlineStr">
        <is>
          <t>(623) Servicios profesionales independientes</t>
        </is>
      </c>
      <c r="I101" s="15" t="inlineStr">
        <is>
          <t>623000003 - SERV. NOTARIOS, REGISTROS, LEGAL</t>
        </is>
      </c>
      <c r="J101" s="15" t="inlineStr">
        <is>
          <t>-</t>
        </is>
      </c>
      <c r="K101" s="13" t="n">
        <v>-2000</v>
      </c>
      <c r="L101" s="13" t="n">
        <v>-2000</v>
      </c>
      <c r="M101" s="13" t="n">
        <v>-2000</v>
      </c>
      <c r="N101" s="13" t="n">
        <v>-2000</v>
      </c>
      <c r="O101" s="13" t="n">
        <v>-2000</v>
      </c>
      <c r="P101" s="13" t="n">
        <v>-2000</v>
      </c>
      <c r="Q101" s="13" t="n">
        <v>-2000</v>
      </c>
      <c r="R101" s="13" t="n">
        <v>-2000</v>
      </c>
      <c r="S101" s="13" t="n">
        <v>-2000</v>
      </c>
      <c r="T101" s="13" t="n">
        <v>-2000</v>
      </c>
      <c r="U101" s="13" t="n">
        <v>-2000</v>
      </c>
      <c r="V101" s="13" t="n">
        <v>-2000</v>
      </c>
      <c r="W101" s="13">
        <f>SUM(K101:V101)</f>
        <v/>
      </c>
      <c r="X101" s="8" t="inlineStr">
        <is>
          <t>Gastos de registro de formulaciones, marcas y actos notariales.</t>
        </is>
      </c>
    </row>
    <row r="102">
      <c r="B102" t="n">
        <v>2027</v>
      </c>
      <c r="C102" s="15" t="inlineStr">
        <is>
          <t>Codiagro</t>
        </is>
      </c>
      <c r="D102" s="15" t="inlineStr">
        <is>
          <t>RESULTADO DEL EJERCICIO</t>
        </is>
      </c>
      <c r="E102" s="15" t="inlineStr">
        <is>
          <t>RESULTADO ANTES DE IMPUESTOS</t>
        </is>
      </c>
      <c r="F102" s="15" t="inlineStr">
        <is>
          <t>RESULTADO DE LA EXPLOTACION</t>
        </is>
      </c>
      <c r="G102" s="15" t="inlineStr">
        <is>
          <t>7.- Otros gastos de explotación</t>
        </is>
      </c>
      <c r="H102" s="15" t="inlineStr">
        <is>
          <t>(623) Servicios profesionales independientes</t>
        </is>
      </c>
      <c r="I102" s="15" t="inlineStr">
        <is>
          <t>623000004 - GTOS. BCS. OKO</t>
        </is>
      </c>
      <c r="J102" s="15" t="inlineStr">
        <is>
          <t>-</t>
        </is>
      </c>
      <c r="K102" s="13" t="n">
        <v>-1271.14</v>
      </c>
      <c r="L102" s="13" t="n">
        <v>-1271.14</v>
      </c>
      <c r="M102" s="13" t="n">
        <v>-1271.14</v>
      </c>
      <c r="N102" s="13" t="n">
        <v>-1271.14</v>
      </c>
      <c r="O102" s="13" t="n">
        <v>-1271.14</v>
      </c>
      <c r="P102" s="13" t="n">
        <v>-1271.14</v>
      </c>
      <c r="Q102" s="13" t="n">
        <v>-1271.14</v>
      </c>
      <c r="R102" s="13" t="n">
        <v>-1271.14</v>
      </c>
      <c r="S102" s="13" t="n">
        <v>-1271.14</v>
      </c>
      <c r="T102" s="13" t="n">
        <v>-1271.14</v>
      </c>
      <c r="U102" s="13" t="n">
        <v>-1271.14</v>
      </c>
      <c r="V102" s="13" t="n">
        <v>-1271.14</v>
      </c>
      <c r="W102" s="13">
        <f>SUM(K102:V102)</f>
        <v/>
      </c>
      <c r="X102" s="8" t="inlineStr">
        <is>
          <t>Proyección extrapolada de actividad recurrente.</t>
        </is>
      </c>
    </row>
    <row r="103">
      <c r="B103" t="n">
        <v>2027</v>
      </c>
      <c r="C103" s="15" t="inlineStr">
        <is>
          <t>Codiagro</t>
        </is>
      </c>
      <c r="D103" s="15" t="inlineStr">
        <is>
          <t>RESULTADO DEL EJERCICIO</t>
        </is>
      </c>
      <c r="E103" s="15" t="inlineStr">
        <is>
          <t>RESULTADO ANTES DE IMPUESTOS</t>
        </is>
      </c>
      <c r="F103" s="15" t="inlineStr">
        <is>
          <t>RESULTADO DE LA EXPLOTACION</t>
        </is>
      </c>
      <c r="G103" s="15" t="inlineStr">
        <is>
          <t>7.- Otros gastos de explotación</t>
        </is>
      </c>
      <c r="H103" s="15" t="inlineStr">
        <is>
          <t>(623) Servicios profesionales independientes</t>
        </is>
      </c>
      <c r="I103" s="15" t="inlineStr">
        <is>
          <t>623000005 - SERVICIOS PREST. CAMARA COMERCIO</t>
        </is>
      </c>
      <c r="J103" s="15" t="inlineStr">
        <is>
          <t>-</t>
        </is>
      </c>
      <c r="K103" s="13" t="n">
        <v>-610.5599999999999</v>
      </c>
      <c r="L103" s="13" t="n">
        <v>-610.5599999999999</v>
      </c>
      <c r="M103" s="13" t="n">
        <v>-610.5599999999999</v>
      </c>
      <c r="N103" s="13" t="n">
        <v>-610.5599999999999</v>
      </c>
      <c r="O103" s="13" t="n">
        <v>-610.5599999999999</v>
      </c>
      <c r="P103" s="13" t="n">
        <v>-610.5599999999999</v>
      </c>
      <c r="Q103" s="13" t="n">
        <v>-610.5599999999999</v>
      </c>
      <c r="R103" s="13" t="n">
        <v>-610.5599999999999</v>
      </c>
      <c r="S103" s="13" t="n">
        <v>-610.5599999999999</v>
      </c>
      <c r="T103" s="13" t="n">
        <v>-610.5599999999999</v>
      </c>
      <c r="U103" s="13" t="n">
        <v>-610.5599999999999</v>
      </c>
      <c r="V103" s="13" t="n">
        <v>-610.5599999999999</v>
      </c>
      <c r="W103" s="13">
        <f>SUM(K103:V103)</f>
        <v/>
      </c>
      <c r="X103" s="8" t="inlineStr">
        <is>
          <t>Proyección extrapolada de actividad recurrente.</t>
        </is>
      </c>
    </row>
    <row r="104">
      <c r="B104" t="n">
        <v>2027</v>
      </c>
      <c r="C104" s="15" t="inlineStr">
        <is>
          <t>Codiagro</t>
        </is>
      </c>
      <c r="D104" s="15" t="inlineStr">
        <is>
          <t>RESULTADO DEL EJERCICIO</t>
        </is>
      </c>
      <c r="E104" s="15" t="inlineStr">
        <is>
          <t>RESULTADO ANTES DE IMPUESTOS</t>
        </is>
      </c>
      <c r="F104" s="15" t="inlineStr">
        <is>
          <t>RESULTADO DE LA EXPLOTACION</t>
        </is>
      </c>
      <c r="G104" s="15" t="inlineStr">
        <is>
          <t>7.- Otros gastos de explotación</t>
        </is>
      </c>
      <c r="H104" s="15" t="inlineStr">
        <is>
          <t>(623) Servicios profesionales independientes</t>
        </is>
      </c>
      <c r="I104" s="15" t="inlineStr">
        <is>
          <t>623100002 - GASTOS MAURICIO ALISTE</t>
        </is>
      </c>
      <c r="J104" s="15" t="inlineStr">
        <is>
          <t>-</t>
        </is>
      </c>
      <c r="K104" s="13" t="n">
        <v>-4000</v>
      </c>
      <c r="L104" s="13" t="n">
        <v>-4000</v>
      </c>
      <c r="M104" s="13" t="n">
        <v>-4000</v>
      </c>
      <c r="N104" s="13" t="n">
        <v>-4000</v>
      </c>
      <c r="O104" s="13" t="n">
        <v>-4000</v>
      </c>
      <c r="P104" s="13" t="n">
        <v>-4000</v>
      </c>
      <c r="Q104" s="13" t="n">
        <v>-4000</v>
      </c>
      <c r="R104" s="13" t="n">
        <v>-4000</v>
      </c>
      <c r="S104" s="13" t="n">
        <v>-4000</v>
      </c>
      <c r="T104" s="13" t="n">
        <v>-4000</v>
      </c>
      <c r="U104" s="13" t="n">
        <v>-4000</v>
      </c>
      <c r="V104" s="13" t="n">
        <v>-9000</v>
      </c>
      <c r="W104" s="13">
        <f>SUM(K104:V104)</f>
        <v/>
      </c>
      <c r="X104" s="8" t="inlineStr">
        <is>
          <t>Honorarios y gastos de zona (~4.000 €/mes) + 5.000,00 € adicionales en diciembre según instrucción comercial.</t>
        </is>
      </c>
    </row>
    <row r="105">
      <c r="B105" t="n">
        <v>2027</v>
      </c>
      <c r="C105" s="15" t="inlineStr">
        <is>
          <t>Codiagro</t>
        </is>
      </c>
      <c r="D105" s="15" t="inlineStr">
        <is>
          <t>RESULTADO DEL EJERCICIO</t>
        </is>
      </c>
      <c r="E105" s="15" t="inlineStr">
        <is>
          <t>RESULTADO ANTES DE IMPUESTOS</t>
        </is>
      </c>
      <c r="F105" s="15" t="inlineStr">
        <is>
          <t>RESULTADO DE LA EXPLOTACION</t>
        </is>
      </c>
      <c r="G105" s="15" t="inlineStr">
        <is>
          <t>7.- Otros gastos de explotación</t>
        </is>
      </c>
      <c r="H105" s="15" t="inlineStr">
        <is>
          <t>(623) Servicios profesionales independientes</t>
        </is>
      </c>
      <c r="I105" s="15" t="inlineStr">
        <is>
          <t>623100006 - GASTOS Y SERVICIOS AGRICOLA DEL JUCAR</t>
        </is>
      </c>
      <c r="J105" s="15" t="inlineStr">
        <is>
          <t>-</t>
        </is>
      </c>
      <c r="K105" s="13" t="n">
        <v>-500</v>
      </c>
      <c r="L105" s="13" t="n">
        <v>-500</v>
      </c>
      <c r="M105" s="13" t="n">
        <v>-500</v>
      </c>
      <c r="N105" s="13" t="n">
        <v>-500</v>
      </c>
      <c r="O105" s="13" t="n">
        <v>-500</v>
      </c>
      <c r="P105" s="13" t="n">
        <v>-500</v>
      </c>
      <c r="Q105" s="13" t="n">
        <v>-500</v>
      </c>
      <c r="R105" s="13" t="n">
        <v>-500</v>
      </c>
      <c r="S105" s="13" t="n">
        <v>-500</v>
      </c>
      <c r="T105" s="13" t="n">
        <v>-500</v>
      </c>
      <c r="U105" s="13" t="n">
        <v>-500</v>
      </c>
      <c r="V105" s="13" t="n">
        <v>-30500</v>
      </c>
      <c r="W105" s="13">
        <f>SUM(K105:V105)</f>
        <v/>
      </c>
      <c r="X105" s="8" t="inlineStr">
        <is>
          <t>Dotación mensual de 500,00 € + 30.000,00 € adicionales en diciembre según instrucción comercial.</t>
        </is>
      </c>
    </row>
    <row r="106">
      <c r="B106" t="n">
        <v>2027</v>
      </c>
      <c r="C106" s="15" t="inlineStr">
        <is>
          <t>Codiagro</t>
        </is>
      </c>
      <c r="D106" s="15" t="inlineStr">
        <is>
          <t>RESULTADO DEL EJERCICIO</t>
        </is>
      </c>
      <c r="E106" s="15" t="inlineStr">
        <is>
          <t>RESULTADO ANTES DE IMPUESTOS</t>
        </is>
      </c>
      <c r="F106" s="15" t="inlineStr">
        <is>
          <t>RESULTADO DE LA EXPLOTACION</t>
        </is>
      </c>
      <c r="G106" s="15" t="inlineStr">
        <is>
          <t>7.- Otros gastos de explotación</t>
        </is>
      </c>
      <c r="H106" s="15" t="inlineStr">
        <is>
          <t>(623) Servicios profesionales independientes</t>
        </is>
      </c>
      <c r="I106" s="15" t="inlineStr">
        <is>
          <t>623100007 - GASTOS Y SUELDO MEHMET CILOGLU</t>
        </is>
      </c>
      <c r="J106" s="15" t="inlineStr">
        <is>
          <t>-</t>
        </is>
      </c>
      <c r="K106" s="13" t="n">
        <v>-6000</v>
      </c>
      <c r="L106" s="13" t="n">
        <v>-6000</v>
      </c>
      <c r="M106" s="13" t="n">
        <v>-6000</v>
      </c>
      <c r="N106" s="13" t="n">
        <v>-6000</v>
      </c>
      <c r="O106" s="13" t="n">
        <v>-6000</v>
      </c>
      <c r="P106" s="13" t="n">
        <v>-6000</v>
      </c>
      <c r="Q106" s="13" t="n">
        <v>-6000</v>
      </c>
      <c r="R106" s="13" t="n">
        <v>-6000</v>
      </c>
      <c r="S106" s="13" t="n">
        <v>-6000</v>
      </c>
      <c r="T106" s="13" t="n">
        <v>-6000</v>
      </c>
      <c r="U106" s="13" t="n">
        <v>-6000</v>
      </c>
      <c r="V106" s="13" t="n">
        <v>-106000</v>
      </c>
      <c r="W106" s="13">
        <f>SUM(K106:V106)</f>
        <v/>
      </c>
      <c r="X106" s="8" t="inlineStr">
        <is>
          <t>Dotación mensual de 6.000,00 € + 100.000,00 € adicionales en diciembre según instrucción comercial.</t>
        </is>
      </c>
    </row>
    <row r="107">
      <c r="B107" t="n">
        <v>2027</v>
      </c>
      <c r="C107" s="15" t="inlineStr">
        <is>
          <t>Codiagro</t>
        </is>
      </c>
      <c r="D107" s="15" t="inlineStr">
        <is>
          <t>RESULTADO DEL EJERCICIO</t>
        </is>
      </c>
      <c r="E107" s="15" t="inlineStr">
        <is>
          <t>RESULTADO ANTES DE IMPUESTOS</t>
        </is>
      </c>
      <c r="F107" s="15" t="inlineStr">
        <is>
          <t>RESULTADO DE LA EXPLOTACION</t>
        </is>
      </c>
      <c r="G107" s="15" t="inlineStr">
        <is>
          <t>7.- Otros gastos de explotación</t>
        </is>
      </c>
      <c r="H107" s="15" t="inlineStr">
        <is>
          <t>(623) Servicios profesionales independientes</t>
        </is>
      </c>
      <c r="I107" s="15" t="inlineStr">
        <is>
          <t>623100008 - COMISIONES KAMAL KEHAL</t>
        </is>
      </c>
      <c r="J107" s="15" t="inlineStr">
        <is>
          <t>-</t>
        </is>
      </c>
      <c r="K107" s="13" t="n">
        <v>-3398.55</v>
      </c>
      <c r="L107" s="13" t="n">
        <v>-3398.55</v>
      </c>
      <c r="M107" s="13" t="n">
        <v>-3398.55</v>
      </c>
      <c r="N107" s="13" t="n">
        <v>-3398.55</v>
      </c>
      <c r="O107" s="13" t="n">
        <v>-3398.55</v>
      </c>
      <c r="P107" s="13" t="n">
        <v>-3398.55</v>
      </c>
      <c r="Q107" s="13" t="n">
        <v>-3398.55</v>
      </c>
      <c r="R107" s="13" t="n">
        <v>-3398.55</v>
      </c>
      <c r="S107" s="13" t="n">
        <v>-3398.55</v>
      </c>
      <c r="T107" s="13" t="n">
        <v>-3398.55</v>
      </c>
      <c r="U107" s="13" t="n">
        <v>-3398.55</v>
      </c>
      <c r="V107" s="13" t="n">
        <v>-3398.55</v>
      </c>
      <c r="W107" s="13">
        <f>SUM(K107:V107)</f>
        <v/>
      </c>
      <c r="X107" s="8" t="inlineStr">
        <is>
          <t>Proyección extrapolada de actividad recurrente.</t>
        </is>
      </c>
    </row>
    <row r="108">
      <c r="B108" t="n">
        <v>2027</v>
      </c>
      <c r="C108" s="15" t="inlineStr">
        <is>
          <t>Codiagro</t>
        </is>
      </c>
      <c r="D108" s="15" t="inlineStr">
        <is>
          <t>RESULTADO DEL EJERCICIO</t>
        </is>
      </c>
      <c r="E108" s="15" t="inlineStr">
        <is>
          <t>RESULTADO ANTES DE IMPUESTOS</t>
        </is>
      </c>
      <c r="F108" s="15" t="inlineStr">
        <is>
          <t>RESULTADO DE LA EXPLOTACION</t>
        </is>
      </c>
      <c r="G108" s="15" t="inlineStr">
        <is>
          <t>7.- Otros gastos de explotación</t>
        </is>
      </c>
      <c r="H108" s="15" t="inlineStr">
        <is>
          <t>(623) Servicios profesionales independientes</t>
        </is>
      </c>
      <c r="I108" s="15" t="inlineStr">
        <is>
          <t>623100009 - COMISIONES ABEL SALAZAR</t>
        </is>
      </c>
      <c r="J108" s="15" t="inlineStr">
        <is>
          <t>-</t>
        </is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>
        <f>SUM(K108:V108)</f>
        <v/>
      </c>
      <c r="X108" s="8" t="inlineStr">
        <is>
          <t>Sin dotación presupuestada en 2027.</t>
        </is>
      </c>
    </row>
    <row r="109">
      <c r="B109" t="n">
        <v>2027</v>
      </c>
      <c r="C109" s="15" t="inlineStr">
        <is>
          <t>Codiagro</t>
        </is>
      </c>
      <c r="D109" s="15" t="inlineStr">
        <is>
          <t>RESULTADO DEL EJERCICIO</t>
        </is>
      </c>
      <c r="E109" s="15" t="inlineStr">
        <is>
          <t>RESULTADO ANTES DE IMPUESTOS</t>
        </is>
      </c>
      <c r="F109" s="15" t="inlineStr">
        <is>
          <t>RESULTADO DE LA EXPLOTACION</t>
        </is>
      </c>
      <c r="G109" s="15" t="inlineStr">
        <is>
          <t>7.- Otros gastos de explotación</t>
        </is>
      </c>
      <c r="H109" s="15" t="inlineStr">
        <is>
          <t>(623) Servicios profesionales independientes</t>
        </is>
      </c>
      <c r="I109" s="15" t="inlineStr">
        <is>
          <t>623200001 - GASTOS MARCAS EN ESPAÑA</t>
        </is>
      </c>
      <c r="J109" s="15" t="inlineStr">
        <is>
          <t>-</t>
        </is>
      </c>
      <c r="K109" s="13" t="n">
        <v>0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3" t="n">
        <v>0</v>
      </c>
      <c r="W109" s="13">
        <f>SUM(K109:V109)</f>
        <v/>
      </c>
      <c r="X109" s="8" t="inlineStr">
        <is>
          <t>Sin dotación presupuestada según instrucción comercial.</t>
        </is>
      </c>
    </row>
    <row r="110">
      <c r="B110" t="n">
        <v>2027</v>
      </c>
      <c r="C110" s="15" t="inlineStr">
        <is>
          <t>Codiagro</t>
        </is>
      </c>
      <c r="D110" s="15" t="inlineStr">
        <is>
          <t>RESULTADO DEL EJERCICIO</t>
        </is>
      </c>
      <c r="E110" s="15" t="inlineStr">
        <is>
          <t>RESULTADO ANTES DE IMPUESTOS</t>
        </is>
      </c>
      <c r="F110" s="15" t="inlineStr">
        <is>
          <t>RESULTADO DE LA EXPLOTACION</t>
        </is>
      </c>
      <c r="G110" s="15" t="inlineStr">
        <is>
          <t>7.- Otros gastos de explotación</t>
        </is>
      </c>
      <c r="H110" s="15" t="inlineStr">
        <is>
          <t>(623) Servicios profesionales independientes</t>
        </is>
      </c>
      <c r="I110" s="15" t="inlineStr">
        <is>
          <t>623200005 - GASTOS MARCAS CHILE</t>
        </is>
      </c>
      <c r="J110" s="15" t="inlineStr">
        <is>
          <t>-</t>
        </is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>
        <f>SUM(K110:V110)</f>
        <v/>
      </c>
      <c r="X110" s="8" t="inlineStr">
        <is>
          <t>Sin dotación presupuestada según instrucción comercial.</t>
        </is>
      </c>
    </row>
    <row r="111">
      <c r="B111" t="n">
        <v>2027</v>
      </c>
      <c r="C111" s="15" t="inlineStr">
        <is>
          <t>Codiagro</t>
        </is>
      </c>
      <c r="D111" s="15" t="inlineStr">
        <is>
          <t>RESULTADO DEL EJERCICIO</t>
        </is>
      </c>
      <c r="E111" s="15" t="inlineStr">
        <is>
          <t>RESULTADO ANTES DE IMPUESTOS</t>
        </is>
      </c>
      <c r="F111" s="15" t="inlineStr">
        <is>
          <t>RESULTADO DE LA EXPLOTACION</t>
        </is>
      </c>
      <c r="G111" s="15" t="inlineStr">
        <is>
          <t>7.- Otros gastos de explotación</t>
        </is>
      </c>
      <c r="H111" s="15" t="inlineStr">
        <is>
          <t>(623) Servicios profesionales independientes</t>
        </is>
      </c>
      <c r="I111" s="15" t="inlineStr">
        <is>
          <t>623200006 - MARCAS UNION EUROPEA</t>
        </is>
      </c>
      <c r="J111" s="15" t="inlineStr">
        <is>
          <t>-</t>
        </is>
      </c>
      <c r="K111" s="13" t="n">
        <v>0</v>
      </c>
      <c r="L111" s="13" t="n">
        <v>0</v>
      </c>
      <c r="M111" s="13" t="n">
        <v>0</v>
      </c>
      <c r="N111" s="13" t="n">
        <v>0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0</v>
      </c>
      <c r="T111" s="13" t="n">
        <v>0</v>
      </c>
      <c r="U111" s="13" t="n">
        <v>0</v>
      </c>
      <c r="V111" s="13" t="n">
        <v>0</v>
      </c>
      <c r="W111" s="13">
        <f>SUM(K111:V111)</f>
        <v/>
      </c>
      <c r="X111" s="8" t="inlineStr">
        <is>
          <t>Sin dotación presupuestada según instrucción comercial.</t>
        </is>
      </c>
    </row>
    <row r="112">
      <c r="B112" t="n">
        <v>2027</v>
      </c>
      <c r="C112" s="15" t="inlineStr">
        <is>
          <t>Codiagro</t>
        </is>
      </c>
      <c r="D112" s="15" t="inlineStr">
        <is>
          <t>RESULTADO DEL EJERCICIO</t>
        </is>
      </c>
      <c r="E112" s="15" t="inlineStr">
        <is>
          <t>RESULTADO ANTES DE IMPUESTOS</t>
        </is>
      </c>
      <c r="F112" s="15" t="inlineStr">
        <is>
          <t>RESULTADO DE LA EXPLOTACION</t>
        </is>
      </c>
      <c r="G112" s="15" t="inlineStr">
        <is>
          <t>7.- Otros gastos de explotación</t>
        </is>
      </c>
      <c r="H112" s="15" t="inlineStr">
        <is>
          <t>(623) Servicios profesionales independientes</t>
        </is>
      </c>
      <c r="I112" s="15" t="inlineStr">
        <is>
          <t>623200011 - GASTOS MARCAS COLOMBIA</t>
        </is>
      </c>
      <c r="J112" s="15" t="inlineStr">
        <is>
          <t>-</t>
        </is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>
        <f>SUM(K112:V112)</f>
        <v/>
      </c>
      <c r="X112" s="8" t="inlineStr">
        <is>
          <t>Sin dotación presupuestada según instrucción comercial.</t>
        </is>
      </c>
    </row>
    <row r="113">
      <c r="B113" t="n">
        <v>2027</v>
      </c>
      <c r="C113" s="15" t="inlineStr">
        <is>
          <t>Codiagro</t>
        </is>
      </c>
      <c r="D113" s="15" t="inlineStr">
        <is>
          <t>RESULTADO DEL EJERCICIO</t>
        </is>
      </c>
      <c r="E113" s="15" t="inlineStr">
        <is>
          <t>RESULTADO ANTES DE IMPUESTOS</t>
        </is>
      </c>
      <c r="F113" s="15" t="inlineStr">
        <is>
          <t>RESULTADO DE LA EXPLOTACION</t>
        </is>
      </c>
      <c r="G113" s="15" t="inlineStr">
        <is>
          <t>7.- Otros gastos de explotación</t>
        </is>
      </c>
      <c r="H113" s="15" t="inlineStr">
        <is>
          <t>(623) Servicios profesionales independientes</t>
        </is>
      </c>
      <c r="I113" s="15" t="inlineStr">
        <is>
          <t>623200021 - GASTOS MARCAS GUATEMALA</t>
        </is>
      </c>
      <c r="J113" s="15" t="inlineStr">
        <is>
          <t>-</t>
        </is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>
        <f>SUM(K113:V113)</f>
        <v/>
      </c>
      <c r="X113" s="8" t="inlineStr">
        <is>
          <t>Sin dotación presupuestada según instrucción comercial.</t>
        </is>
      </c>
    </row>
    <row r="114">
      <c r="B114" t="n">
        <v>2027</v>
      </c>
      <c r="C114" s="15" t="inlineStr">
        <is>
          <t>Codiagro</t>
        </is>
      </c>
      <c r="D114" s="15" t="inlineStr">
        <is>
          <t>RESULTADO DEL EJERCICIO</t>
        </is>
      </c>
      <c r="E114" s="15" t="inlineStr">
        <is>
          <t>RESULTADO ANTES DE IMPUESTOS</t>
        </is>
      </c>
      <c r="F114" s="15" t="inlineStr">
        <is>
          <t>RESULTADO DE LA EXPLOTACION</t>
        </is>
      </c>
      <c r="G114" s="15" t="inlineStr">
        <is>
          <t>7.- Otros gastos de explotación</t>
        </is>
      </c>
      <c r="H114" s="15" t="inlineStr">
        <is>
          <t>(623) Servicios profesionales independientes</t>
        </is>
      </c>
      <c r="I114" s="15" t="inlineStr">
        <is>
          <t>623200023 - GASTOS MARCAS ARGELIA</t>
        </is>
      </c>
      <c r="J114" s="15" t="inlineStr">
        <is>
          <t>-</t>
        </is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>
        <f>SUM(K114:V114)</f>
        <v/>
      </c>
      <c r="X114" s="8" t="inlineStr">
        <is>
          <t>Sin dotación presupuestada según instrucción comercial.</t>
        </is>
      </c>
    </row>
    <row r="115">
      <c r="B115" t="n">
        <v>2027</v>
      </c>
      <c r="C115" s="15" t="inlineStr">
        <is>
          <t>Codiagro</t>
        </is>
      </c>
      <c r="D115" s="15" t="inlineStr">
        <is>
          <t>RESULTADO DEL EJERCICIO</t>
        </is>
      </c>
      <c r="E115" s="15" t="inlineStr">
        <is>
          <t>RESULTADO ANTES DE IMPUESTOS</t>
        </is>
      </c>
      <c r="F115" s="15" t="inlineStr">
        <is>
          <t>RESULTADO DE LA EXPLOTACION</t>
        </is>
      </c>
      <c r="G115" s="15" t="inlineStr">
        <is>
          <t>7.- Otros gastos de explotación</t>
        </is>
      </c>
      <c r="H115" s="15" t="inlineStr">
        <is>
          <t>(623) Servicios profesionales independientes</t>
        </is>
      </c>
      <c r="I115" s="15" t="inlineStr">
        <is>
          <t>623200002 - GASTOS MARCAS MEXICO</t>
        </is>
      </c>
      <c r="J115" s="15" t="inlineStr">
        <is>
          <t>-</t>
        </is>
      </c>
      <c r="K115" s="13" t="n">
        <v>0</v>
      </c>
      <c r="L115" s="13" t="n">
        <v>0</v>
      </c>
      <c r="M115" s="13" t="n">
        <v>0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  <c r="V115" s="13" t="n">
        <v>0</v>
      </c>
      <c r="W115" s="13">
        <f>SUM(K115:V115)</f>
        <v/>
      </c>
      <c r="X115" s="8" t="inlineStr">
        <is>
          <t>Sin dotación presupuestada según instrucción comercial.</t>
        </is>
      </c>
    </row>
    <row r="116">
      <c r="B116" t="n">
        <v>2027</v>
      </c>
      <c r="C116" s="15" t="inlineStr">
        <is>
          <t>Codiagro</t>
        </is>
      </c>
      <c r="D116" s="15" t="inlineStr">
        <is>
          <t>RESULTADO DEL EJERCICIO</t>
        </is>
      </c>
      <c r="E116" s="15" t="inlineStr">
        <is>
          <t>RESULTADO ANTES DE IMPUESTOS</t>
        </is>
      </c>
      <c r="F116" s="15" t="inlineStr">
        <is>
          <t>RESULTADO DE LA EXPLOTACION</t>
        </is>
      </c>
      <c r="G116" s="15" t="inlineStr">
        <is>
          <t>7.- Otros gastos de explotación</t>
        </is>
      </c>
      <c r="H116" s="15" t="inlineStr">
        <is>
          <t>(623) Servicios profesionales independientes</t>
        </is>
      </c>
      <c r="I116" s="15" t="inlineStr">
        <is>
          <t>623200033 - GASTOS MARCAS MUNDIAL</t>
        </is>
      </c>
      <c r="J116" s="15" t="inlineStr">
        <is>
          <t>-</t>
        </is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>
        <f>SUM(K116:V116)</f>
        <v/>
      </c>
      <c r="X116" s="8" t="inlineStr">
        <is>
          <t>Sin dotación presupuestada según instrucción comercial.</t>
        </is>
      </c>
    </row>
    <row r="117">
      <c r="B117" t="n">
        <v>2027</v>
      </c>
      <c r="C117" s="15" t="inlineStr">
        <is>
          <t>Codiagro</t>
        </is>
      </c>
      <c r="D117" s="15" t="inlineStr">
        <is>
          <t>RESULTADO DEL EJERCICIO</t>
        </is>
      </c>
      <c r="E117" s="15" t="inlineStr">
        <is>
          <t>RESULTADO ANTES DE IMPUESTOS</t>
        </is>
      </c>
      <c r="F117" s="15" t="inlineStr">
        <is>
          <t>RESULTADO DE LA EXPLOTACION</t>
        </is>
      </c>
      <c r="G117" s="15" t="inlineStr">
        <is>
          <t>7.- Otros gastos de explotación</t>
        </is>
      </c>
      <c r="H117" s="15" t="inlineStr">
        <is>
          <t>(623) Servicios profesionales independientes</t>
        </is>
      </c>
      <c r="I117" s="15" t="inlineStr">
        <is>
          <t>623200008 - GASTOS MARCAS EGIPTO</t>
        </is>
      </c>
      <c r="J117" s="15" t="inlineStr">
        <is>
          <t>-</t>
        </is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>
        <f>SUM(K117:V117)</f>
        <v/>
      </c>
      <c r="X117" s="8" t="inlineStr">
        <is>
          <t>Sin dotación presupuestada según instrucción comercial.</t>
        </is>
      </c>
    </row>
    <row r="118">
      <c r="B118" t="n">
        <v>2027</v>
      </c>
      <c r="C118" s="15" t="inlineStr">
        <is>
          <t>Codiagro</t>
        </is>
      </c>
      <c r="D118" s="15" t="inlineStr">
        <is>
          <t>RESULTADO DEL EJERCICIO</t>
        </is>
      </c>
      <c r="E118" s="15" t="inlineStr">
        <is>
          <t>RESULTADO ANTES DE IMPUESTOS</t>
        </is>
      </c>
      <c r="F118" s="15" t="inlineStr">
        <is>
          <t>RESULTADO DE LA EXPLOTACION</t>
        </is>
      </c>
      <c r="G118" s="15" t="inlineStr">
        <is>
          <t>7.- Otros gastos de explotación</t>
        </is>
      </c>
      <c r="H118" s="15" t="inlineStr">
        <is>
          <t>(623) Servicios profesionales independientes</t>
        </is>
      </c>
      <c r="I118" s="15" t="inlineStr">
        <is>
          <t>623200009 - GASTOS MARCAS MARRUECOS</t>
        </is>
      </c>
      <c r="J118" s="15" t="inlineStr">
        <is>
          <t>-</t>
        </is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>
        <f>SUM(K118:V118)</f>
        <v/>
      </c>
      <c r="X118" s="8" t="inlineStr">
        <is>
          <t>Sin dotación presupuestada según instrucción comercial.</t>
        </is>
      </c>
    </row>
    <row r="119">
      <c r="B119" t="n">
        <v>2027</v>
      </c>
      <c r="C119" s="15" t="inlineStr">
        <is>
          <t>Codiagro</t>
        </is>
      </c>
      <c r="D119" s="15" t="inlineStr">
        <is>
          <t>RESULTADO DEL EJERCICIO</t>
        </is>
      </c>
      <c r="E119" s="15" t="inlineStr">
        <is>
          <t>RESULTADO ANTES DE IMPUESTOS</t>
        </is>
      </c>
      <c r="F119" s="15" t="inlineStr">
        <is>
          <t>RESULTADO DE LA EXPLOTACION</t>
        </is>
      </c>
      <c r="G119" s="15" t="inlineStr">
        <is>
          <t>7.- Otros gastos de explotación</t>
        </is>
      </c>
      <c r="H119" s="15" t="inlineStr">
        <is>
          <t>(623) Servicios profesionales independientes</t>
        </is>
      </c>
      <c r="I119" s="15" t="inlineStr">
        <is>
          <t>623200010 - GASTOS MARCAS TURQUIA</t>
        </is>
      </c>
      <c r="J119" s="15" t="inlineStr">
        <is>
          <t>-</t>
        </is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>
        <f>SUM(K119:V119)</f>
        <v/>
      </c>
      <c r="X119" s="8" t="inlineStr">
        <is>
          <t>Sin dotación presupuestada según instrucción comercial.</t>
        </is>
      </c>
    </row>
    <row r="120">
      <c r="B120" t="n">
        <v>2027</v>
      </c>
      <c r="C120" s="15" t="inlineStr">
        <is>
          <t>Codiagro</t>
        </is>
      </c>
      <c r="D120" s="15" t="inlineStr">
        <is>
          <t>RESULTADO DEL EJERCICIO</t>
        </is>
      </c>
      <c r="E120" s="15" t="inlineStr">
        <is>
          <t>RESULTADO ANTES DE IMPUESTOS</t>
        </is>
      </c>
      <c r="F120" s="15" t="inlineStr">
        <is>
          <t>RESULTADO DE LA EXPLOTACION</t>
        </is>
      </c>
      <c r="G120" s="15" t="inlineStr">
        <is>
          <t>7.- Otros gastos de explotación</t>
        </is>
      </c>
      <c r="H120" s="15" t="inlineStr">
        <is>
          <t>(623) Servicios profesionales independientes</t>
        </is>
      </c>
      <c r="I120" s="15" t="inlineStr">
        <is>
          <t>623200016 - GASTOS MARCAS ECUADOR</t>
        </is>
      </c>
      <c r="J120" s="15" t="inlineStr">
        <is>
          <t>-</t>
        </is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>
        <f>SUM(K120:V120)</f>
        <v/>
      </c>
      <c r="X120" s="8" t="inlineStr">
        <is>
          <t>Sin dotación presupuestada según instrucción comercial.</t>
        </is>
      </c>
    </row>
    <row r="121">
      <c r="B121" t="n">
        <v>2027</v>
      </c>
      <c r="C121" s="15" t="inlineStr">
        <is>
          <t>Codiagro</t>
        </is>
      </c>
      <c r="D121" s="15" t="inlineStr">
        <is>
          <t>RESULTADO DEL EJERCICIO</t>
        </is>
      </c>
      <c r="E121" s="15" t="inlineStr">
        <is>
          <t>RESULTADO ANTES DE IMPUESTOS</t>
        </is>
      </c>
      <c r="F121" s="15" t="inlineStr">
        <is>
          <t>RESULTADO DE LA EXPLOTACION</t>
        </is>
      </c>
      <c r="G121" s="15" t="inlineStr">
        <is>
          <t>7.- Otros gastos de explotación</t>
        </is>
      </c>
      <c r="H121" s="15" t="inlineStr">
        <is>
          <t>(623) Servicios profesionales independientes</t>
        </is>
      </c>
      <c r="I121" s="15" t="inlineStr">
        <is>
          <t>623200017 GASTOS MARCAS EL SALVADOR</t>
        </is>
      </c>
      <c r="J121" s="15" t="inlineStr">
        <is>
          <t>-</t>
        </is>
      </c>
      <c r="K121" s="13" t="n">
        <v>-4869.95</v>
      </c>
      <c r="L121" s="13" t="n">
        <v>-4869.95</v>
      </c>
      <c r="M121" s="13" t="n">
        <v>-4869.95</v>
      </c>
      <c r="N121" s="13" t="n">
        <v>-4869.95</v>
      </c>
      <c r="O121" s="13" t="n">
        <v>-4869.95</v>
      </c>
      <c r="P121" s="13" t="n">
        <v>-4869.95</v>
      </c>
      <c r="Q121" s="13" t="n">
        <v>-4869.95</v>
      </c>
      <c r="R121" s="13" t="n">
        <v>-4869.95</v>
      </c>
      <c r="S121" s="13" t="n">
        <v>-4869.95</v>
      </c>
      <c r="T121" s="13" t="n">
        <v>-4869.95</v>
      </c>
      <c r="U121" s="13" t="n">
        <v>-4869.95</v>
      </c>
      <c r="V121" s="13" t="n">
        <v>-4869.95</v>
      </c>
      <c r="W121" s="13">
        <f>SUM(K121:V121)</f>
        <v/>
      </c>
      <c r="X121" s="8" t="inlineStr">
        <is>
          <t>Gastos de registro y mantenimiento de marca en El Salvador (única partida de marcas presupuestada).</t>
        </is>
      </c>
    </row>
    <row r="122">
      <c r="B122" t="n">
        <v>2027</v>
      </c>
      <c r="C122" s="15" t="inlineStr">
        <is>
          <t>Codiagro</t>
        </is>
      </c>
      <c r="D122" s="15" t="inlineStr">
        <is>
          <t>RESULTADO DEL EJERCICIO</t>
        </is>
      </c>
      <c r="E122" s="15" t="inlineStr">
        <is>
          <t>RESULTADO ANTES DE IMPUESTOS</t>
        </is>
      </c>
      <c r="F122" s="15" t="inlineStr">
        <is>
          <t>RESULTADO DE LA EXPLOTACION</t>
        </is>
      </c>
      <c r="G122" s="15" t="inlineStr">
        <is>
          <t>7.- Otros gastos de explotación</t>
        </is>
      </c>
      <c r="H122" s="15" t="inlineStr">
        <is>
          <t>(623) Servicios profesionales independientes</t>
        </is>
      </c>
      <c r="I122" s="15" t="inlineStr">
        <is>
          <t>623200020 - GASTOS MARCAS TUNEZ</t>
        </is>
      </c>
      <c r="J122" s="15" t="inlineStr">
        <is>
          <t>-</t>
        </is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>
        <f>SUM(K122:V122)</f>
        <v/>
      </c>
      <c r="X122" s="8" t="inlineStr">
        <is>
          <t>Sin dotación presupuestada según instrucción comercial.</t>
        </is>
      </c>
    </row>
    <row r="123">
      <c r="B123" t="n">
        <v>2027</v>
      </c>
      <c r="C123" s="15" t="inlineStr">
        <is>
          <t>Codiagro</t>
        </is>
      </c>
      <c r="D123" s="15" t="inlineStr">
        <is>
          <t>RESULTADO DEL EJERCICIO</t>
        </is>
      </c>
      <c r="E123" s="15" t="inlineStr">
        <is>
          <t>RESULTADO ANTES DE IMPUESTOS</t>
        </is>
      </c>
      <c r="F123" s="15" t="inlineStr">
        <is>
          <t>RESULTADO DE LA EXPLOTACION</t>
        </is>
      </c>
      <c r="G123" s="15" t="inlineStr">
        <is>
          <t>7.- Otros gastos de explotación</t>
        </is>
      </c>
      <c r="H123" s="15" t="inlineStr">
        <is>
          <t>(623) Servicios profesionales independientes</t>
        </is>
      </c>
      <c r="I123" s="15" t="inlineStr">
        <is>
          <t>623200022 - GASTOS MARCAS BOLIVIA</t>
        </is>
      </c>
      <c r="J123" s="15" t="inlineStr">
        <is>
          <t>-</t>
        </is>
      </c>
      <c r="K123" s="13" t="n">
        <v>0</v>
      </c>
      <c r="L123" s="13" t="n">
        <v>0</v>
      </c>
      <c r="M123" s="13" t="n">
        <v>0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  <c r="V123" s="13" t="n">
        <v>0</v>
      </c>
      <c r="W123" s="13">
        <f>SUM(K123:V123)</f>
        <v/>
      </c>
      <c r="X123" s="8" t="inlineStr">
        <is>
          <t>Sin dotación presupuestada según instrucción comercial.</t>
        </is>
      </c>
    </row>
    <row r="124">
      <c r="B124" t="n">
        <v>2027</v>
      </c>
      <c r="C124" s="15" t="inlineStr">
        <is>
          <t>Codiagro</t>
        </is>
      </c>
      <c r="D124" s="15" t="inlineStr">
        <is>
          <t>RESULTADO DEL EJERCICIO</t>
        </is>
      </c>
      <c r="E124" s="15" t="inlineStr">
        <is>
          <t>RESULTADO ANTES DE IMPUESTOS</t>
        </is>
      </c>
      <c r="F124" s="15" t="inlineStr">
        <is>
          <t>RESULTADO DE LA EXPLOTACION</t>
        </is>
      </c>
      <c r="G124" s="15" t="inlineStr">
        <is>
          <t>7.- Otros gastos de explotación</t>
        </is>
      </c>
      <c r="H124" s="15" t="inlineStr">
        <is>
          <t>(623) Servicios profesionales independientes</t>
        </is>
      </c>
      <c r="I124" s="15" t="inlineStr">
        <is>
          <t>623200024 - GASTOS MARCAS INTERNACIONALES</t>
        </is>
      </c>
      <c r="J124" s="15" t="inlineStr">
        <is>
          <t>-</t>
        </is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>
        <f>SUM(K124:V124)</f>
        <v/>
      </c>
      <c r="X124" s="8" t="inlineStr">
        <is>
          <t>Sin dotación presupuestada según instrucción comercial.</t>
        </is>
      </c>
    </row>
    <row r="125">
      <c r="B125" t="n">
        <v>2027</v>
      </c>
      <c r="C125" s="15" t="inlineStr">
        <is>
          <t>Codiagro</t>
        </is>
      </c>
      <c r="D125" s="15" t="inlineStr">
        <is>
          <t>RESULTADO DEL EJERCICIO</t>
        </is>
      </c>
      <c r="E125" s="15" t="inlineStr">
        <is>
          <t>RESULTADO ANTES DE IMPUESTOS</t>
        </is>
      </c>
      <c r="F125" s="15" t="inlineStr">
        <is>
          <t>RESULTADO DE LA EXPLOTACION</t>
        </is>
      </c>
      <c r="G125" s="15" t="inlineStr">
        <is>
          <t>7.- Otros gastos de explotación</t>
        </is>
      </c>
      <c r="H125" s="15" t="inlineStr">
        <is>
          <t>(623) Servicios profesionales independientes</t>
        </is>
      </c>
      <c r="I125" s="15" t="inlineStr">
        <is>
          <t>623200029 - GASTOS MARCAS GEORGIA</t>
        </is>
      </c>
      <c r="J125" s="15" t="inlineStr">
        <is>
          <t>-</t>
        </is>
      </c>
      <c r="K125" s="13" t="n">
        <v>0</v>
      </c>
      <c r="L125" s="13" t="n">
        <v>0</v>
      </c>
      <c r="M125" s="13" t="n">
        <v>0</v>
      </c>
      <c r="N125" s="13" t="n">
        <v>0</v>
      </c>
      <c r="O125" s="13" t="n">
        <v>0</v>
      </c>
      <c r="P125" s="13" t="n">
        <v>0</v>
      </c>
      <c r="Q125" s="13" t="n">
        <v>0</v>
      </c>
      <c r="R125" s="13" t="n">
        <v>0</v>
      </c>
      <c r="S125" s="13" t="n">
        <v>0</v>
      </c>
      <c r="T125" s="13" t="n">
        <v>0</v>
      </c>
      <c r="U125" s="13" t="n">
        <v>0</v>
      </c>
      <c r="V125" s="13" t="n">
        <v>0</v>
      </c>
      <c r="W125" s="13">
        <f>SUM(K125:V125)</f>
        <v/>
      </c>
      <c r="X125" s="8" t="inlineStr">
        <is>
          <t>Sin dotación presupuestada según instrucción comercial.</t>
        </is>
      </c>
    </row>
    <row r="126">
      <c r="B126" t="n">
        <v>2027</v>
      </c>
      <c r="C126" s="15" t="inlineStr">
        <is>
          <t>Codiagro</t>
        </is>
      </c>
      <c r="D126" s="15" t="inlineStr">
        <is>
          <t>RESULTADO DEL EJERCICIO</t>
        </is>
      </c>
      <c r="E126" s="15" t="inlineStr">
        <is>
          <t>RESULTADO ANTES DE IMPUESTOS</t>
        </is>
      </c>
      <c r="F126" s="15" t="inlineStr">
        <is>
          <t>RESULTADO DE LA EXPLOTACION</t>
        </is>
      </c>
      <c r="G126" s="15" t="inlineStr">
        <is>
          <t>7.- Otros gastos de explotación</t>
        </is>
      </c>
      <c r="H126" s="15" t="inlineStr">
        <is>
          <t>(623) Servicios profesionales independientes</t>
        </is>
      </c>
      <c r="I126" s="15" t="inlineStr">
        <is>
          <t>623200030 - GASTOS MARCAS AZERBAIYAN</t>
        </is>
      </c>
      <c r="J126" s="15" t="inlineStr">
        <is>
          <t>-</t>
        </is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>
        <f>SUM(K126:V126)</f>
        <v/>
      </c>
      <c r="X126" s="8" t="inlineStr">
        <is>
          <t>Sin dotación presupuestada según instrucción comercial.</t>
        </is>
      </c>
    </row>
    <row r="127">
      <c r="B127" t="n">
        <v>2027</v>
      </c>
      <c r="C127" s="15" t="inlineStr">
        <is>
          <t>Codiagro</t>
        </is>
      </c>
      <c r="D127" s="15" t="inlineStr">
        <is>
          <t>RESULTADO DEL EJERCICIO</t>
        </is>
      </c>
      <c r="E127" s="15" t="inlineStr">
        <is>
          <t>RESULTADO ANTES DE IMPUESTOS</t>
        </is>
      </c>
      <c r="F127" s="15" t="inlineStr">
        <is>
          <t>RESULTADO DE LA EXPLOTACION</t>
        </is>
      </c>
      <c r="G127" s="15" t="inlineStr">
        <is>
          <t>7.- Otros gastos de explotación</t>
        </is>
      </c>
      <c r="H127" s="15" t="inlineStr">
        <is>
          <t>(623) Servicios profesionales independientes</t>
        </is>
      </c>
      <c r="I127" s="15" t="inlineStr">
        <is>
          <t>623200037 - GASTOS MARCAS ESTADOS UNIDOS</t>
        </is>
      </c>
      <c r="J127" s="15" t="inlineStr">
        <is>
          <t>-</t>
        </is>
      </c>
      <c r="K127" s="13" t="n">
        <v>0</v>
      </c>
      <c r="L127" s="13" t="n">
        <v>0</v>
      </c>
      <c r="M127" s="13" t="n">
        <v>0</v>
      </c>
      <c r="N127" s="13" t="n">
        <v>0</v>
      </c>
      <c r="O127" s="13" t="n">
        <v>0</v>
      </c>
      <c r="P127" s="13" t="n">
        <v>0</v>
      </c>
      <c r="Q127" s="13" t="n">
        <v>0</v>
      </c>
      <c r="R127" s="13" t="n">
        <v>0</v>
      </c>
      <c r="S127" s="13" t="n">
        <v>0</v>
      </c>
      <c r="T127" s="13" t="n">
        <v>0</v>
      </c>
      <c r="U127" s="13" t="n">
        <v>0</v>
      </c>
      <c r="V127" s="13" t="n">
        <v>0</v>
      </c>
      <c r="W127" s="13">
        <f>SUM(K127:V127)</f>
        <v/>
      </c>
      <c r="X127" s="8" t="inlineStr">
        <is>
          <t>Sin dotación presupuestada según instrucción comercial.</t>
        </is>
      </c>
    </row>
    <row r="128">
      <c r="B128" t="n">
        <v>2027</v>
      </c>
      <c r="C128" s="15" t="inlineStr">
        <is>
          <t>Codiagro</t>
        </is>
      </c>
      <c r="D128" s="15" t="inlineStr">
        <is>
          <t>RESULTADO DEL EJERCICIO</t>
        </is>
      </c>
      <c r="E128" s="15" t="inlineStr">
        <is>
          <t>RESULTADO ANTES DE IMPUESTOS</t>
        </is>
      </c>
      <c r="F128" s="15" t="inlineStr">
        <is>
          <t>RESULTADO DE LA EXPLOTACION</t>
        </is>
      </c>
      <c r="G128" s="15" t="inlineStr">
        <is>
          <t>7.- Otros gastos de explotación</t>
        </is>
      </c>
      <c r="H128" s="15" t="inlineStr">
        <is>
          <t>(624) Transportes ventas</t>
        </is>
      </c>
      <c r="I128" s="15" t="inlineStr">
        <is>
          <t>624000001 - TRANSPORTES NACIONAL</t>
        </is>
      </c>
      <c r="J128" s="15" t="inlineStr">
        <is>
          <t>-</t>
        </is>
      </c>
      <c r="K128" s="13" t="n">
        <v>-13724.79</v>
      </c>
      <c r="L128" s="13" t="n">
        <v>-22231.7</v>
      </c>
      <c r="M128" s="13" t="n">
        <v>-21325.61</v>
      </c>
      <c r="N128" s="13" t="n">
        <v>-17169.02</v>
      </c>
      <c r="O128" s="13" t="n">
        <v>-28188.38</v>
      </c>
      <c r="P128" s="13" t="n">
        <v>-27953.81</v>
      </c>
      <c r="Q128" s="13" t="n">
        <v>-17735.79</v>
      </c>
      <c r="R128" s="13" t="n">
        <v>-11318.66</v>
      </c>
      <c r="S128" s="13" t="n">
        <v>-6574.75</v>
      </c>
      <c r="T128" s="13" t="n">
        <v>-10995.56</v>
      </c>
      <c r="U128" s="13" t="n">
        <v>-16996.4</v>
      </c>
      <c r="V128" s="13" t="n">
        <v>-18643.46</v>
      </c>
      <c r="W128" s="13">
        <f>SUM(K128:V128)</f>
        <v/>
      </c>
      <c r="X128" s="8" t="inlineStr">
        <is>
          <t>Coste 100% variable: transporte nacional calculado en función del volumen de expediciones presupuestadas.</t>
        </is>
      </c>
    </row>
    <row r="129">
      <c r="B129" t="n">
        <v>2027</v>
      </c>
      <c r="C129" s="15" t="inlineStr">
        <is>
          <t>Codiagro</t>
        </is>
      </c>
      <c r="D129" s="15" t="inlineStr">
        <is>
          <t>RESULTADO DEL EJERCICIO</t>
        </is>
      </c>
      <c r="E129" s="15" t="inlineStr">
        <is>
          <t>RESULTADO ANTES DE IMPUESTOS</t>
        </is>
      </c>
      <c r="F129" s="15" t="inlineStr">
        <is>
          <t>RESULTADO DE LA EXPLOTACION</t>
        </is>
      </c>
      <c r="G129" s="15" t="inlineStr">
        <is>
          <t>7.- Otros gastos de explotación</t>
        </is>
      </c>
      <c r="H129" s="15" t="inlineStr">
        <is>
          <t>(624) Transportes ventas</t>
        </is>
      </c>
      <c r="I129" s="15" t="inlineStr">
        <is>
          <t>624000002 - TRANSPORTE INTERNACIONAL</t>
        </is>
      </c>
      <c r="J129" s="15" t="inlineStr">
        <is>
          <t>-</t>
        </is>
      </c>
      <c r="K129" s="13" t="n">
        <v>-9721.73</v>
      </c>
      <c r="L129" s="13" t="n">
        <v>-15747.45</v>
      </c>
      <c r="M129" s="13" t="n">
        <v>-15105.64</v>
      </c>
      <c r="N129" s="13" t="n">
        <v>-12161.39</v>
      </c>
      <c r="O129" s="13" t="n">
        <v>-19966.77</v>
      </c>
      <c r="P129" s="13" t="n">
        <v>-19800.61</v>
      </c>
      <c r="Q129" s="13" t="n">
        <v>-12562.85</v>
      </c>
      <c r="R129" s="13" t="n">
        <v>-8017.38</v>
      </c>
      <c r="S129" s="13" t="n">
        <v>-4657.12</v>
      </c>
      <c r="T129" s="13" t="n">
        <v>-7788.52</v>
      </c>
      <c r="U129" s="13" t="n">
        <v>-12039.12</v>
      </c>
      <c r="V129" s="13" t="n">
        <v>-13205.79</v>
      </c>
      <c r="W129" s="13">
        <f>SUM(K129:V129)</f>
        <v/>
      </c>
      <c r="X129" s="8" t="inlineStr">
        <is>
          <t>Coste variable: transporte marítimo y terrestre de exportación según volumen internacional presupuestado.</t>
        </is>
      </c>
    </row>
    <row r="130">
      <c r="B130" t="n">
        <v>2027</v>
      </c>
      <c r="C130" s="15" t="inlineStr">
        <is>
          <t>Codiagro</t>
        </is>
      </c>
      <c r="D130" s="15" t="inlineStr">
        <is>
          <t>RESULTADO DEL EJERCICIO</t>
        </is>
      </c>
      <c r="E130" s="15" t="inlineStr">
        <is>
          <t>RESULTADO ANTES DE IMPUESTOS</t>
        </is>
      </c>
      <c r="F130" s="15" t="inlineStr">
        <is>
          <t>RESULTADO DE LA EXPLOTACION</t>
        </is>
      </c>
      <c r="G130" s="15" t="inlineStr">
        <is>
          <t>7.- Otros gastos de explotación</t>
        </is>
      </c>
      <c r="H130" s="15" t="inlineStr">
        <is>
          <t>(624) Transportes ventas</t>
        </is>
      </c>
      <c r="I130" s="15" t="inlineStr">
        <is>
          <t>624000003 - TRANSPORTES CANARIAS</t>
        </is>
      </c>
      <c r="J130" s="15" t="inlineStr">
        <is>
          <t>-</t>
        </is>
      </c>
      <c r="K130" s="13" t="n">
        <v>-5718.66</v>
      </c>
      <c r="L130" s="13" t="n">
        <v>-9263.209999999999</v>
      </c>
      <c r="M130" s="13" t="n">
        <v>-8885.67</v>
      </c>
      <c r="N130" s="13" t="n">
        <v>-7153.76</v>
      </c>
      <c r="O130" s="13" t="n">
        <v>-11745.16</v>
      </c>
      <c r="P130" s="13" t="n">
        <v>-11647.42</v>
      </c>
      <c r="Q130" s="13" t="n">
        <v>-7389.91</v>
      </c>
      <c r="R130" s="13" t="n">
        <v>-4716.11</v>
      </c>
      <c r="S130" s="13" t="n">
        <v>-2739.48</v>
      </c>
      <c r="T130" s="13" t="n">
        <v>-4581.48</v>
      </c>
      <c r="U130" s="13" t="n">
        <v>-7081.83</v>
      </c>
      <c r="V130" s="13" t="n">
        <v>-7768.11</v>
      </c>
      <c r="W130" s="13">
        <f>SUM(K130:V130)</f>
        <v/>
      </c>
      <c r="X130" s="8" t="inlineStr">
        <is>
          <t>Coste variable: logística insular según previsión de ventas en Canarias.</t>
        </is>
      </c>
    </row>
    <row r="131">
      <c r="B131" t="n">
        <v>2027</v>
      </c>
      <c r="C131" s="15" t="inlineStr">
        <is>
          <t>Codiagro</t>
        </is>
      </c>
      <c r="D131" s="15" t="inlineStr">
        <is>
          <t>RESULTADO DEL EJERCICIO</t>
        </is>
      </c>
      <c r="E131" s="15" t="inlineStr">
        <is>
          <t>RESULTADO ANTES DE IMPUESTOS</t>
        </is>
      </c>
      <c r="F131" s="15" t="inlineStr">
        <is>
          <t>RESULTADO DE LA EXPLOTACION</t>
        </is>
      </c>
      <c r="G131" s="15" t="inlineStr">
        <is>
          <t>7.- Otros gastos de explotación</t>
        </is>
      </c>
      <c r="H131" s="15" t="inlineStr">
        <is>
          <t>(624) Transportes ventas</t>
        </is>
      </c>
      <c r="I131" s="15" t="inlineStr">
        <is>
          <t>624000004 - GTOS. FLETE REP. AL CLIENTE</t>
        </is>
      </c>
      <c r="J131" s="15" t="inlineStr">
        <is>
          <t>-</t>
        </is>
      </c>
      <c r="K131" s="13" t="n">
        <v>-5146.8</v>
      </c>
      <c r="L131" s="13" t="n">
        <v>-8336.889999999999</v>
      </c>
      <c r="M131" s="13" t="n">
        <v>-7997.1</v>
      </c>
      <c r="N131" s="13" t="n">
        <v>-6438.38</v>
      </c>
      <c r="O131" s="13" t="n">
        <v>-10570.64</v>
      </c>
      <c r="P131" s="13" t="n">
        <v>-10482.68</v>
      </c>
      <c r="Q131" s="13" t="n">
        <v>-6650.92</v>
      </c>
      <c r="R131" s="13" t="n">
        <v>-4244.5</v>
      </c>
      <c r="S131" s="13" t="n">
        <v>-2465.53</v>
      </c>
      <c r="T131" s="13" t="n">
        <v>-4123.34</v>
      </c>
      <c r="U131" s="13" t="n">
        <v>-6373.65</v>
      </c>
      <c r="V131" s="13" t="n">
        <v>-6991.3</v>
      </c>
      <c r="W131" s="13">
        <f>SUM(K131:V131)</f>
        <v/>
      </c>
      <c r="X131" s="8" t="inlineStr">
        <is>
          <t>Coste variable de fletes con repercusión comercial al cliente final.</t>
        </is>
      </c>
    </row>
    <row r="132">
      <c r="B132" t="n">
        <v>2027</v>
      </c>
      <c r="C132" s="15" t="inlineStr">
        <is>
          <t>Codiagro</t>
        </is>
      </c>
      <c r="D132" s="15" t="inlineStr">
        <is>
          <t>RESULTADO DEL EJERCICIO</t>
        </is>
      </c>
      <c r="E132" s="15" t="inlineStr">
        <is>
          <t>RESULTADO ANTES DE IMPUESTOS</t>
        </is>
      </c>
      <c r="F132" s="15" t="inlineStr">
        <is>
          <t>RESULTADO DE LA EXPLOTACION</t>
        </is>
      </c>
      <c r="G132" s="15" t="inlineStr">
        <is>
          <t>7.- Otros gastos de explotación</t>
        </is>
      </c>
      <c r="H132" s="15" t="inlineStr">
        <is>
          <t>(624) Transportes ventas</t>
        </is>
      </c>
      <c r="I132" s="15" t="inlineStr">
        <is>
          <t xml:space="preserve">624000005 - TTE. PAQUETERIA </t>
        </is>
      </c>
      <c r="J132" s="15" t="inlineStr">
        <is>
          <t>-</t>
        </is>
      </c>
      <c r="K132" s="13" t="n">
        <v>-591.46</v>
      </c>
      <c r="L132" s="13" t="n">
        <v>-591.46</v>
      </c>
      <c r="M132" s="13" t="n">
        <v>-591.46</v>
      </c>
      <c r="N132" s="13" t="n">
        <v>-591.46</v>
      </c>
      <c r="O132" s="13" t="n">
        <v>-591.46</v>
      </c>
      <c r="P132" s="13" t="n">
        <v>-591.46</v>
      </c>
      <c r="Q132" s="13" t="n">
        <v>-591.46</v>
      </c>
      <c r="R132" s="13" t="n">
        <v>-591.46</v>
      </c>
      <c r="S132" s="13" t="n">
        <v>-591.46</v>
      </c>
      <c r="T132" s="13" t="n">
        <v>-591.46</v>
      </c>
      <c r="U132" s="13" t="n">
        <v>-591.46</v>
      </c>
      <c r="V132" s="13" t="n">
        <v>-591.46</v>
      </c>
      <c r="W132" s="13">
        <f>SUM(K132:V132)</f>
        <v/>
      </c>
      <c r="X132" s="8" t="inlineStr">
        <is>
          <t>Proyección extrapolada de actividad recurrente.</t>
        </is>
      </c>
    </row>
    <row r="133">
      <c r="B133" t="n">
        <v>2027</v>
      </c>
      <c r="C133" s="15" t="inlineStr">
        <is>
          <t>Codiagro</t>
        </is>
      </c>
      <c r="D133" s="15" t="inlineStr">
        <is>
          <t>RESULTADO DEL EJERCICIO</t>
        </is>
      </c>
      <c r="E133" s="15" t="inlineStr">
        <is>
          <t>RESULTADO ANTES DE IMPUESTOS</t>
        </is>
      </c>
      <c r="F133" s="15" t="inlineStr">
        <is>
          <t>RESULTADO DE LA EXPLOTACION</t>
        </is>
      </c>
      <c r="G133" s="15" t="inlineStr">
        <is>
          <t>7.- Otros gastos de explotación</t>
        </is>
      </c>
      <c r="H133" s="15" t="inlineStr">
        <is>
          <t>(624) Transportes ventas</t>
        </is>
      </c>
      <c r="I133" s="15" t="inlineStr">
        <is>
          <t>624000006 - TRANSPORTES IMPORTACIÓN</t>
        </is>
      </c>
      <c r="J133" s="15" t="inlineStr">
        <is>
          <t>-</t>
        </is>
      </c>
      <c r="K133" s="13" t="n">
        <v>-1389.04</v>
      </c>
      <c r="L133" s="13" t="n">
        <v>-1389.04</v>
      </c>
      <c r="M133" s="13" t="n">
        <v>-1389.04</v>
      </c>
      <c r="N133" s="13" t="n">
        <v>-1389.04</v>
      </c>
      <c r="O133" s="13" t="n">
        <v>-1389.04</v>
      </c>
      <c r="P133" s="13" t="n">
        <v>-1389.04</v>
      </c>
      <c r="Q133" s="13" t="n">
        <v>-1389.04</v>
      </c>
      <c r="R133" s="13" t="n">
        <v>-1389.04</v>
      </c>
      <c r="S133" s="13" t="n">
        <v>-1389.04</v>
      </c>
      <c r="T133" s="13" t="n">
        <v>-1389.04</v>
      </c>
      <c r="U133" s="13" t="n">
        <v>-1389.04</v>
      </c>
      <c r="V133" s="13" t="n">
        <v>-1389.04</v>
      </c>
      <c r="W133" s="13">
        <f>SUM(K133:V133)</f>
        <v/>
      </c>
      <c r="X133" s="8" t="inlineStr">
        <is>
          <t>Proyección extrapolada de actividad recurrente.</t>
        </is>
      </c>
    </row>
    <row r="134">
      <c r="B134" t="n">
        <v>2027</v>
      </c>
      <c r="C134" s="15" t="inlineStr">
        <is>
          <t>Codiagro</t>
        </is>
      </c>
      <c r="D134" s="15" t="inlineStr">
        <is>
          <t>RESULTADO DEL EJERCICIO</t>
        </is>
      </c>
      <c r="E134" s="15" t="inlineStr">
        <is>
          <t>RESULTADO ANTES DE IMPUESTOS</t>
        </is>
      </c>
      <c r="F134" s="15" t="inlineStr">
        <is>
          <t>RESULTADO DE LA EXPLOTACION</t>
        </is>
      </c>
      <c r="G134" s="15" t="inlineStr">
        <is>
          <t>7.- Otros gastos de explotación</t>
        </is>
      </c>
      <c r="H134" s="15" t="inlineStr">
        <is>
          <t>(624) Transportes ventas</t>
        </is>
      </c>
      <c r="I134" s="15" t="inlineStr">
        <is>
          <t>624000007 - ENVIO MUESTRAS</t>
        </is>
      </c>
      <c r="J134" s="15" t="inlineStr">
        <is>
          <t>-</t>
        </is>
      </c>
      <c r="K134" s="13" t="n">
        <v>0</v>
      </c>
      <c r="L134" s="13" t="n">
        <v>0</v>
      </c>
      <c r="M134" s="13" t="n">
        <v>0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>
        <f>SUM(K134:V134)</f>
        <v/>
      </c>
      <c r="X134" s="8" t="inlineStr">
        <is>
          <t>Sin dotación presupuestada en 2027.</t>
        </is>
      </c>
    </row>
    <row r="135">
      <c r="B135" t="n">
        <v>2027</v>
      </c>
      <c r="C135" s="15" t="inlineStr">
        <is>
          <t>Codiagro</t>
        </is>
      </c>
      <c r="D135" s="15" t="inlineStr">
        <is>
          <t>RESULTADO DEL EJERCICIO</t>
        </is>
      </c>
      <c r="E135" s="15" t="inlineStr">
        <is>
          <t>RESULTADO ANTES DE IMPUESTOS</t>
        </is>
      </c>
      <c r="F135" s="15" t="inlineStr">
        <is>
          <t>RESULTADO DE LA EXPLOTACION</t>
        </is>
      </c>
      <c r="G135" s="15" t="inlineStr">
        <is>
          <t>7.- Otros gastos de explotación</t>
        </is>
      </c>
      <c r="H135" s="15" t="inlineStr">
        <is>
          <t>(625) Primas de seguros</t>
        </is>
      </c>
      <c r="I135" s="15" t="inlineStr">
        <is>
          <t>625000001 - SEGUROS VEHÍCULOS</t>
        </is>
      </c>
      <c r="J135" s="15" t="inlineStr">
        <is>
          <t>-</t>
        </is>
      </c>
      <c r="K135" s="13" t="n">
        <v>-188.17</v>
      </c>
      <c r="L135" s="13" t="n">
        <v>-188.17</v>
      </c>
      <c r="M135" s="13" t="n">
        <v>-188.17</v>
      </c>
      <c r="N135" s="13" t="n">
        <v>-188.17</v>
      </c>
      <c r="O135" s="13" t="n">
        <v>-188.17</v>
      </c>
      <c r="P135" s="13" t="n">
        <v>-188.17</v>
      </c>
      <c r="Q135" s="13" t="n">
        <v>-188.17</v>
      </c>
      <c r="R135" s="13" t="n">
        <v>-188.17</v>
      </c>
      <c r="S135" s="13" t="n">
        <v>-188.17</v>
      </c>
      <c r="T135" s="13" t="n">
        <v>-188.17</v>
      </c>
      <c r="U135" s="13" t="n">
        <v>-188.17</v>
      </c>
      <c r="V135" s="13" t="n">
        <v>-188.17</v>
      </c>
      <c r="W135" s="13">
        <f>SUM(K135:V135)</f>
        <v/>
      </c>
      <c r="X135" s="8" t="inlineStr">
        <is>
          <t>Coste fijo: prima mensualizada de pólizas de seguro industrial y responsabilidad civil.</t>
        </is>
      </c>
    </row>
    <row r="136">
      <c r="B136" t="n">
        <v>2027</v>
      </c>
      <c r="C136" s="15" t="inlineStr">
        <is>
          <t>Codiagro</t>
        </is>
      </c>
      <c r="D136" s="15" t="inlineStr">
        <is>
          <t>RESULTADO DEL EJERCICIO</t>
        </is>
      </c>
      <c r="E136" s="15" t="inlineStr">
        <is>
          <t>RESULTADO ANTES DE IMPUESTOS</t>
        </is>
      </c>
      <c r="F136" s="15" t="inlineStr">
        <is>
          <t>RESULTADO DE LA EXPLOTACION</t>
        </is>
      </c>
      <c r="G136" s="15" t="inlineStr">
        <is>
          <t>7.- Otros gastos de explotación</t>
        </is>
      </c>
      <c r="H136" s="15" t="inlineStr">
        <is>
          <t>(625) Primas de seguros</t>
        </is>
      </c>
      <c r="I136" s="15" t="inlineStr">
        <is>
          <t>625000003 SEGURO ACCIDENTES TRABAJADORES</t>
        </is>
      </c>
      <c r="J136" s="15" t="inlineStr">
        <is>
          <t>-</t>
        </is>
      </c>
      <c r="K136" s="13" t="n">
        <v>-194.64</v>
      </c>
      <c r="L136" s="13" t="n">
        <v>-194.64</v>
      </c>
      <c r="M136" s="13" t="n">
        <v>-194.64</v>
      </c>
      <c r="N136" s="13" t="n">
        <v>-194.64</v>
      </c>
      <c r="O136" s="13" t="n">
        <v>-194.64</v>
      </c>
      <c r="P136" s="13" t="n">
        <v>-194.64</v>
      </c>
      <c r="Q136" s="13" t="n">
        <v>-194.64</v>
      </c>
      <c r="R136" s="13" t="n">
        <v>-194.64</v>
      </c>
      <c r="S136" s="13" t="n">
        <v>-194.64</v>
      </c>
      <c r="T136" s="13" t="n">
        <v>-194.64</v>
      </c>
      <c r="U136" s="13" t="n">
        <v>-194.64</v>
      </c>
      <c r="V136" s="13" t="n">
        <v>-194.64</v>
      </c>
      <c r="W136" s="13">
        <f>SUM(K136:V136)</f>
        <v/>
      </c>
      <c r="X136" s="8" t="inlineStr">
        <is>
          <t>Coste fijo: prima mensualizada de pólizas de seguro industrial y responsabilidad civil.</t>
        </is>
      </c>
    </row>
    <row r="137">
      <c r="B137" t="n">
        <v>2027</v>
      </c>
      <c r="C137" s="15" t="inlineStr">
        <is>
          <t>Codiagro</t>
        </is>
      </c>
      <c r="D137" s="15" t="inlineStr">
        <is>
          <t>RESULTADO DEL EJERCICIO</t>
        </is>
      </c>
      <c r="E137" s="15" t="inlineStr">
        <is>
          <t>RESULTADO ANTES DE IMPUESTOS</t>
        </is>
      </c>
      <c r="F137" s="15" t="inlineStr">
        <is>
          <t>RESULTADO DE LA EXPLOTACION</t>
        </is>
      </c>
      <c r="G137" s="15" t="inlineStr">
        <is>
          <t>7.- Otros gastos de explotación</t>
        </is>
      </c>
      <c r="H137" s="15" t="inlineStr">
        <is>
          <t>(625) Primas de seguros</t>
        </is>
      </c>
      <c r="I137" s="15" t="inlineStr">
        <is>
          <t>625000004 - SEGURO RESP. CIVIL</t>
        </is>
      </c>
      <c r="J137" s="15" t="inlineStr">
        <is>
          <t>-</t>
        </is>
      </c>
      <c r="K137" s="13" t="n">
        <v>-3281.59</v>
      </c>
      <c r="L137" s="13" t="n">
        <v>-3281.59</v>
      </c>
      <c r="M137" s="13" t="n">
        <v>-3281.59</v>
      </c>
      <c r="N137" s="13" t="n">
        <v>-3281.59</v>
      </c>
      <c r="O137" s="13" t="n">
        <v>-3281.59</v>
      </c>
      <c r="P137" s="13" t="n">
        <v>-3281.59</v>
      </c>
      <c r="Q137" s="13" t="n">
        <v>-3281.59</v>
      </c>
      <c r="R137" s="13" t="n">
        <v>-3281.59</v>
      </c>
      <c r="S137" s="13" t="n">
        <v>-3281.59</v>
      </c>
      <c r="T137" s="13" t="n">
        <v>-3281.59</v>
      </c>
      <c r="U137" s="13" t="n">
        <v>-3281.59</v>
      </c>
      <c r="V137" s="13" t="n">
        <v>-3281.59</v>
      </c>
      <c r="W137" s="13">
        <f>SUM(K137:V137)</f>
        <v/>
      </c>
      <c r="X137" s="8" t="inlineStr">
        <is>
          <t>Coste fijo: prima mensualizada de pólizas de seguro industrial y responsabilidad civil.</t>
        </is>
      </c>
    </row>
    <row r="138">
      <c r="B138" t="n">
        <v>2027</v>
      </c>
      <c r="C138" s="15" t="inlineStr">
        <is>
          <t>Codiagro</t>
        </is>
      </c>
      <c r="D138" s="15" t="inlineStr">
        <is>
          <t>RESULTADO DEL EJERCICIO</t>
        </is>
      </c>
      <c r="E138" s="15" t="inlineStr">
        <is>
          <t>RESULTADO ANTES DE IMPUESTOS</t>
        </is>
      </c>
      <c r="F138" s="15" t="inlineStr">
        <is>
          <t>RESULTADO DE LA EXPLOTACION</t>
        </is>
      </c>
      <c r="G138" s="15" t="inlineStr">
        <is>
          <t>7.- Otros gastos de explotación</t>
        </is>
      </c>
      <c r="H138" s="15" t="inlineStr">
        <is>
          <t>(625) Primas de seguros</t>
        </is>
      </c>
      <c r="I138" s="15" t="inlineStr">
        <is>
          <t>625000005 - SEGUROS ACTIVIDAD</t>
        </is>
      </c>
      <c r="J138" s="15" t="inlineStr">
        <is>
          <t>-</t>
        </is>
      </c>
      <c r="K138" s="13" t="n">
        <v>-2975.68</v>
      </c>
      <c r="L138" s="13" t="n">
        <v>-2975.68</v>
      </c>
      <c r="M138" s="13" t="n">
        <v>-2975.68</v>
      </c>
      <c r="N138" s="13" t="n">
        <v>-2975.68</v>
      </c>
      <c r="O138" s="13" t="n">
        <v>-2975.68</v>
      </c>
      <c r="P138" s="13" t="n">
        <v>-2975.68</v>
      </c>
      <c r="Q138" s="13" t="n">
        <v>-2975.68</v>
      </c>
      <c r="R138" s="13" t="n">
        <v>-2975.68</v>
      </c>
      <c r="S138" s="13" t="n">
        <v>-2975.68</v>
      </c>
      <c r="T138" s="13" t="n">
        <v>-2975.68</v>
      </c>
      <c r="U138" s="13" t="n">
        <v>-2975.68</v>
      </c>
      <c r="V138" s="13" t="n">
        <v>-2975.68</v>
      </c>
      <c r="W138" s="13">
        <f>SUM(K138:V138)</f>
        <v/>
      </c>
      <c r="X138" s="8" t="inlineStr">
        <is>
          <t>Coste fijo: prima mensualizada de pólizas de seguro industrial y responsabilidad civil.</t>
        </is>
      </c>
    </row>
    <row r="139">
      <c r="B139" t="n">
        <v>2027</v>
      </c>
      <c r="C139" s="15" t="inlineStr">
        <is>
          <t>Codiagro</t>
        </is>
      </c>
      <c r="D139" s="15" t="inlineStr">
        <is>
          <t>RESULTADO DEL EJERCICIO</t>
        </is>
      </c>
      <c r="E139" s="15" t="inlineStr">
        <is>
          <t>RESULTADO ANTES DE IMPUESTOS</t>
        </is>
      </c>
      <c r="F139" s="15" t="inlineStr">
        <is>
          <t>RESULTADO DE LA EXPLOTACION</t>
        </is>
      </c>
      <c r="G139" s="15" t="inlineStr">
        <is>
          <t>7.- Otros gastos de explotación</t>
        </is>
      </c>
      <c r="H139" s="15" t="inlineStr">
        <is>
          <t>(626) Servicios bancarios</t>
        </is>
      </c>
      <c r="I139" s="15" t="inlineStr">
        <is>
          <t>626000000 - Servicios bancarios y similares</t>
        </is>
      </c>
      <c r="J139" s="15" t="inlineStr">
        <is>
          <t>-</t>
        </is>
      </c>
      <c r="K139" s="13" t="n">
        <v>0</v>
      </c>
      <c r="L139" s="13" t="n">
        <v>0</v>
      </c>
      <c r="M139" s="13" t="n">
        <v>0</v>
      </c>
      <c r="N139" s="13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3" t="n">
        <v>0</v>
      </c>
      <c r="U139" s="13" t="n">
        <v>0</v>
      </c>
      <c r="V139" s="13" t="n">
        <v>0</v>
      </c>
      <c r="W139" s="13">
        <f>SUM(K139:V139)</f>
        <v/>
      </c>
      <c r="X139" s="8" t="inlineStr">
        <is>
          <t>Sin dotación presupuestada en 2027.</t>
        </is>
      </c>
    </row>
    <row r="140">
      <c r="B140" t="n">
        <v>2027</v>
      </c>
      <c r="C140" s="15" t="inlineStr">
        <is>
          <t>Codiagro</t>
        </is>
      </c>
      <c r="D140" s="15" t="inlineStr">
        <is>
          <t>RESULTADO DEL EJERCICIO</t>
        </is>
      </c>
      <c r="E140" s="15" t="inlineStr">
        <is>
          <t>RESULTADO ANTES DE IMPUESTOS</t>
        </is>
      </c>
      <c r="F140" s="15" t="inlineStr">
        <is>
          <t>RESULTADO DE LA EXPLOTACION</t>
        </is>
      </c>
      <c r="G140" s="15" t="inlineStr">
        <is>
          <t>7.- Otros gastos de explotación</t>
        </is>
      </c>
      <c r="H140" s="15" t="inlineStr">
        <is>
          <t>(626) Servicios bancarios</t>
        </is>
      </c>
      <c r="I140" s="15" t="inlineStr">
        <is>
          <t>626000002 - GASTOS Y COMISIONES BANCO SABADELL</t>
        </is>
      </c>
      <c r="J140" s="15" t="inlineStr">
        <is>
          <t>-</t>
        </is>
      </c>
      <c r="K140" s="13" t="n">
        <v>-49.02</v>
      </c>
      <c r="L140" s="13" t="n">
        <v>-49.02</v>
      </c>
      <c r="M140" s="13" t="n">
        <v>-49.02</v>
      </c>
      <c r="N140" s="13" t="n">
        <v>-49.02</v>
      </c>
      <c r="O140" s="13" t="n">
        <v>-49.02</v>
      </c>
      <c r="P140" s="13" t="n">
        <v>-49.02</v>
      </c>
      <c r="Q140" s="13" t="n">
        <v>-49.02</v>
      </c>
      <c r="R140" s="13" t="n">
        <v>-49.02</v>
      </c>
      <c r="S140" s="13" t="n">
        <v>-49.02</v>
      </c>
      <c r="T140" s="13" t="n">
        <v>-49.02</v>
      </c>
      <c r="U140" s="13" t="n">
        <v>-49.02</v>
      </c>
      <c r="V140" s="13" t="n">
        <v>-49.02</v>
      </c>
      <c r="W140" s="13">
        <f>SUM(K140:V140)</f>
        <v/>
      </c>
      <c r="X140" s="8" t="inlineStr">
        <is>
          <t>Coste operativo recurrente por transaccionalidad bancaria y comisiones de gestión.</t>
        </is>
      </c>
    </row>
    <row r="141">
      <c r="B141" t="n">
        <v>2027</v>
      </c>
      <c r="C141" s="15" t="inlineStr">
        <is>
          <t>Codiagro</t>
        </is>
      </c>
      <c r="D141" s="15" t="inlineStr">
        <is>
          <t>RESULTADO DEL EJERCICIO</t>
        </is>
      </c>
      <c r="E141" s="15" t="inlineStr">
        <is>
          <t>RESULTADO ANTES DE IMPUESTOS</t>
        </is>
      </c>
      <c r="F141" s="15" t="inlineStr">
        <is>
          <t>RESULTADO DE LA EXPLOTACION</t>
        </is>
      </c>
      <c r="G141" s="15" t="inlineStr">
        <is>
          <t>7.- Otros gastos de explotación</t>
        </is>
      </c>
      <c r="H141" s="15" t="inlineStr">
        <is>
          <t>(626) Servicios bancarios</t>
        </is>
      </c>
      <c r="I141" s="15" t="inlineStr">
        <is>
          <t>626000005 - GASTOS Y COMISIONES CAIXALMASSORA</t>
        </is>
      </c>
      <c r="J141" s="15" t="inlineStr">
        <is>
          <t>-</t>
        </is>
      </c>
      <c r="K141" s="13" t="n">
        <v>-171.17</v>
      </c>
      <c r="L141" s="13" t="n">
        <v>-171.17</v>
      </c>
      <c r="M141" s="13" t="n">
        <v>-171.17</v>
      </c>
      <c r="N141" s="13" t="n">
        <v>-171.17</v>
      </c>
      <c r="O141" s="13" t="n">
        <v>-171.17</v>
      </c>
      <c r="P141" s="13" t="n">
        <v>-171.17</v>
      </c>
      <c r="Q141" s="13" t="n">
        <v>-171.17</v>
      </c>
      <c r="R141" s="13" t="n">
        <v>-171.17</v>
      </c>
      <c r="S141" s="13" t="n">
        <v>-171.17</v>
      </c>
      <c r="T141" s="13" t="n">
        <v>-171.17</v>
      </c>
      <c r="U141" s="13" t="n">
        <v>-171.17</v>
      </c>
      <c r="V141" s="13" t="n">
        <v>-171.17</v>
      </c>
      <c r="W141" s="13">
        <f>SUM(K141:V141)</f>
        <v/>
      </c>
      <c r="X141" s="8" t="inlineStr">
        <is>
          <t>Coste operativo recurrente por transaccionalidad bancaria y comisiones de gestión.</t>
        </is>
      </c>
    </row>
    <row r="142">
      <c r="B142" t="n">
        <v>2027</v>
      </c>
      <c r="C142" s="15" t="inlineStr">
        <is>
          <t>Codiagro</t>
        </is>
      </c>
      <c r="D142" s="15" t="inlineStr">
        <is>
          <t>RESULTADO DEL EJERCICIO</t>
        </is>
      </c>
      <c r="E142" s="15" t="inlineStr">
        <is>
          <t>RESULTADO ANTES DE IMPUESTOS</t>
        </is>
      </c>
      <c r="F142" s="15" t="inlineStr">
        <is>
          <t>RESULTADO DE LA EXPLOTACION</t>
        </is>
      </c>
      <c r="G142" s="15" t="inlineStr">
        <is>
          <t>7.- Otros gastos de explotación</t>
        </is>
      </c>
      <c r="H142" s="15" t="inlineStr">
        <is>
          <t>(626) Servicios bancarios</t>
        </is>
      </c>
      <c r="I142" s="15" t="inlineStr">
        <is>
          <t>626000007 - GASTOS Y COMISIONES BBVA</t>
        </is>
      </c>
      <c r="J142" s="15" t="inlineStr">
        <is>
          <t>-</t>
        </is>
      </c>
      <c r="K142" s="13" t="n">
        <v>-811.09</v>
      </c>
      <c r="L142" s="13" t="n">
        <v>-811.09</v>
      </c>
      <c r="M142" s="13" t="n">
        <v>-811.09</v>
      </c>
      <c r="N142" s="13" t="n">
        <v>-811.09</v>
      </c>
      <c r="O142" s="13" t="n">
        <v>-811.09</v>
      </c>
      <c r="P142" s="13" t="n">
        <v>-811.09</v>
      </c>
      <c r="Q142" s="13" t="n">
        <v>-811.09</v>
      </c>
      <c r="R142" s="13" t="n">
        <v>-811.09</v>
      </c>
      <c r="S142" s="13" t="n">
        <v>-811.09</v>
      </c>
      <c r="T142" s="13" t="n">
        <v>-811.09</v>
      </c>
      <c r="U142" s="13" t="n">
        <v>-811.09</v>
      </c>
      <c r="V142" s="13" t="n">
        <v>-811.09</v>
      </c>
      <c r="W142" s="13">
        <f>SUM(K142:V142)</f>
        <v/>
      </c>
      <c r="X142" s="8" t="inlineStr">
        <is>
          <t>Coste operativo recurrente por transaccionalidad bancaria y comisiones de gestión.</t>
        </is>
      </c>
    </row>
    <row r="143">
      <c r="B143" t="n">
        <v>2027</v>
      </c>
      <c r="C143" s="15" t="inlineStr">
        <is>
          <t>Codiagro</t>
        </is>
      </c>
      <c r="D143" s="15" t="inlineStr">
        <is>
          <t>RESULTADO DEL EJERCICIO</t>
        </is>
      </c>
      <c r="E143" s="15" t="inlineStr">
        <is>
          <t>RESULTADO ANTES DE IMPUESTOS</t>
        </is>
      </c>
      <c r="F143" s="15" t="inlineStr">
        <is>
          <t>RESULTADO DE LA EXPLOTACION</t>
        </is>
      </c>
      <c r="G143" s="15" t="inlineStr">
        <is>
          <t>7.- Otros gastos de explotación</t>
        </is>
      </c>
      <c r="H143" s="15" t="inlineStr">
        <is>
          <t>(627) Publicidad</t>
        </is>
      </c>
      <c r="I143" s="15" t="inlineStr">
        <is>
          <t>627000001 - GTOS. PUBLICIDAD EN INTERNET</t>
        </is>
      </c>
      <c r="J143" s="15" t="inlineStr">
        <is>
          <t>-</t>
        </is>
      </c>
      <c r="K143" s="13" t="n">
        <v>0</v>
      </c>
      <c r="L143" s="13" t="n">
        <v>0</v>
      </c>
      <c r="M143" s="13" t="n">
        <v>0</v>
      </c>
      <c r="N143" s="13" t="n">
        <v>0</v>
      </c>
      <c r="O143" s="13" t="n">
        <v>0</v>
      </c>
      <c r="P143" s="13" t="n">
        <v>0</v>
      </c>
      <c r="Q143" s="13" t="n">
        <v>0</v>
      </c>
      <c r="R143" s="13" t="n">
        <v>0</v>
      </c>
      <c r="S143" s="13" t="n">
        <v>0</v>
      </c>
      <c r="T143" s="13" t="n">
        <v>0</v>
      </c>
      <c r="U143" s="13" t="n">
        <v>0</v>
      </c>
      <c r="V143" s="13" t="n">
        <v>0</v>
      </c>
      <c r="W143" s="13">
        <f>SUM(K143:V143)</f>
        <v/>
      </c>
      <c r="X143" s="8" t="inlineStr">
        <is>
          <t>Sin dotación presupuestada en 2027.</t>
        </is>
      </c>
    </row>
    <row r="144">
      <c r="B144" t="n">
        <v>2027</v>
      </c>
      <c r="C144" s="15" t="inlineStr">
        <is>
          <t>Codiagro</t>
        </is>
      </c>
      <c r="D144" s="15" t="inlineStr">
        <is>
          <t>RESULTADO DEL EJERCICIO</t>
        </is>
      </c>
      <c r="E144" s="15" t="inlineStr">
        <is>
          <t>RESULTADO ANTES DE IMPUESTOS</t>
        </is>
      </c>
      <c r="F144" s="15" t="inlineStr">
        <is>
          <t>RESULTADO DE LA EXPLOTACION</t>
        </is>
      </c>
      <c r="G144" s="15" t="inlineStr">
        <is>
          <t>7.- Otros gastos de explotación</t>
        </is>
      </c>
      <c r="H144" s="15" t="inlineStr">
        <is>
          <t>(627) Publicidad</t>
        </is>
      </c>
      <c r="I144" s="15" t="inlineStr">
        <is>
          <t>627000004 - RELACIONES PUBLICAS</t>
        </is>
      </c>
      <c r="J144" s="15" t="inlineStr">
        <is>
          <t>-</t>
        </is>
      </c>
      <c r="K144" s="13" t="n">
        <v>-214.6</v>
      </c>
      <c r="L144" s="13" t="n">
        <v>-214.6</v>
      </c>
      <c r="M144" s="13" t="n">
        <v>-214.6</v>
      </c>
      <c r="N144" s="13" t="n">
        <v>-214.6</v>
      </c>
      <c r="O144" s="13" t="n">
        <v>-214.6</v>
      </c>
      <c r="P144" s="13" t="n">
        <v>-214.6</v>
      </c>
      <c r="Q144" s="13" t="n">
        <v>-214.6</v>
      </c>
      <c r="R144" s="13" t="n">
        <v>-214.6</v>
      </c>
      <c r="S144" s="13" t="n">
        <v>-214.6</v>
      </c>
      <c r="T144" s="13" t="n">
        <v>-321.9</v>
      </c>
      <c r="U144" s="13" t="n">
        <v>-214.6</v>
      </c>
      <c r="V144" s="13" t="n">
        <v>-214.6</v>
      </c>
      <c r="W144" s="13">
        <f>SUM(K144:V144)</f>
        <v/>
      </c>
      <c r="X144" s="8" t="inlineStr">
        <is>
          <t>Gasto comercial y marketing: promedio mensual con refuerzo en octubre por ferias del sector.</t>
        </is>
      </c>
    </row>
    <row r="145">
      <c r="B145" t="n">
        <v>2027</v>
      </c>
      <c r="C145" s="15" t="inlineStr">
        <is>
          <t>Codiagro</t>
        </is>
      </c>
      <c r="D145" s="15" t="inlineStr">
        <is>
          <t>RESULTADO DEL EJERCICIO</t>
        </is>
      </c>
      <c r="E145" s="15" t="inlineStr">
        <is>
          <t>RESULTADO ANTES DE IMPUESTOS</t>
        </is>
      </c>
      <c r="F145" s="15" t="inlineStr">
        <is>
          <t>RESULTADO DE LA EXPLOTACION</t>
        </is>
      </c>
      <c r="G145" s="15" t="inlineStr">
        <is>
          <t>7.- Otros gastos de explotación</t>
        </is>
      </c>
      <c r="H145" s="15" t="inlineStr">
        <is>
          <t>(627) Publicidad</t>
        </is>
      </c>
      <c r="I145" s="15" t="inlineStr">
        <is>
          <t>627000005 - INVITACIONES CLIENTES</t>
        </is>
      </c>
      <c r="J145" s="15" t="inlineStr">
        <is>
          <t>-</t>
        </is>
      </c>
      <c r="K145" s="13" t="n">
        <v>-407</v>
      </c>
      <c r="L145" s="13" t="n">
        <v>-407</v>
      </c>
      <c r="M145" s="13" t="n">
        <v>-407</v>
      </c>
      <c r="N145" s="13" t="n">
        <v>-407</v>
      </c>
      <c r="O145" s="13" t="n">
        <v>-407</v>
      </c>
      <c r="P145" s="13" t="n">
        <v>-407</v>
      </c>
      <c r="Q145" s="13" t="n">
        <v>-407</v>
      </c>
      <c r="R145" s="13" t="n">
        <v>-407</v>
      </c>
      <c r="S145" s="13" t="n">
        <v>-407</v>
      </c>
      <c r="T145" s="13" t="n">
        <v>-610.5</v>
      </c>
      <c r="U145" s="13" t="n">
        <v>-407</v>
      </c>
      <c r="V145" s="13" t="n">
        <v>-407</v>
      </c>
      <c r="W145" s="13">
        <f>SUM(K145:V145)</f>
        <v/>
      </c>
      <c r="X145" s="8" t="inlineStr">
        <is>
          <t>Gasto comercial y marketing: promedio mensual con refuerzo en octubre por ferias del sector.</t>
        </is>
      </c>
    </row>
    <row r="146">
      <c r="B146" t="n">
        <v>2027</v>
      </c>
      <c r="C146" s="15" t="inlineStr">
        <is>
          <t>Codiagro</t>
        </is>
      </c>
      <c r="D146" s="15" t="inlineStr">
        <is>
          <t>RESULTADO DEL EJERCICIO</t>
        </is>
      </c>
      <c r="E146" s="15" t="inlineStr">
        <is>
          <t>RESULTADO ANTES DE IMPUESTOS</t>
        </is>
      </c>
      <c r="F146" s="15" t="inlineStr">
        <is>
          <t>RESULTADO DE LA EXPLOTACION</t>
        </is>
      </c>
      <c r="G146" s="15" t="inlineStr">
        <is>
          <t>7.- Otros gastos de explotación</t>
        </is>
      </c>
      <c r="H146" s="15" t="inlineStr">
        <is>
          <t>(627) Publicidad</t>
        </is>
      </c>
      <c r="I146" s="15" t="inlineStr">
        <is>
          <t>627000006 - PUBLICIDAD CATALOGOS Y FOLLETOS</t>
        </is>
      </c>
      <c r="J146" s="15" t="inlineStr">
        <is>
          <t>-</t>
        </is>
      </c>
      <c r="K146" s="13" t="n">
        <v>-98.94</v>
      </c>
      <c r="L146" s="13" t="n">
        <v>-98.94</v>
      </c>
      <c r="M146" s="13" t="n">
        <v>-98.94</v>
      </c>
      <c r="N146" s="13" t="n">
        <v>-98.94</v>
      </c>
      <c r="O146" s="13" t="n">
        <v>-98.94</v>
      </c>
      <c r="P146" s="13" t="n">
        <v>-98.94</v>
      </c>
      <c r="Q146" s="13" t="n">
        <v>-98.94</v>
      </c>
      <c r="R146" s="13" t="n">
        <v>-98.94</v>
      </c>
      <c r="S146" s="13" t="n">
        <v>-98.94</v>
      </c>
      <c r="T146" s="13" t="n">
        <v>-148.41</v>
      </c>
      <c r="U146" s="13" t="n">
        <v>-98.94</v>
      </c>
      <c r="V146" s="13" t="n">
        <v>-98.94</v>
      </c>
      <c r="W146" s="13">
        <f>SUM(K146:V146)</f>
        <v/>
      </c>
      <c r="X146" s="8" t="inlineStr">
        <is>
          <t>Gasto comercial y marketing: promedio mensual con refuerzo en octubre por ferias del sector.</t>
        </is>
      </c>
    </row>
    <row r="147">
      <c r="B147" t="n">
        <v>2027</v>
      </c>
      <c r="C147" s="15" t="inlineStr">
        <is>
          <t>Codiagro</t>
        </is>
      </c>
      <c r="D147" s="15" t="inlineStr">
        <is>
          <t>RESULTADO DEL EJERCICIO</t>
        </is>
      </c>
      <c r="E147" s="15" t="inlineStr">
        <is>
          <t>RESULTADO ANTES DE IMPUESTOS</t>
        </is>
      </c>
      <c r="F147" s="15" t="inlineStr">
        <is>
          <t>RESULTADO DE LA EXPLOTACION</t>
        </is>
      </c>
      <c r="G147" s="15" t="inlineStr">
        <is>
          <t>7.- Otros gastos de explotación</t>
        </is>
      </c>
      <c r="H147" s="15" t="inlineStr">
        <is>
          <t>(627) Publicidad</t>
        </is>
      </c>
      <c r="I147" s="15" t="inlineStr">
        <is>
          <t>627000007 - FERIAS</t>
        </is>
      </c>
      <c r="J147" s="15" t="inlineStr">
        <is>
          <t>-</t>
        </is>
      </c>
      <c r="K147" s="13" t="n">
        <v>-308.46</v>
      </c>
      <c r="L147" s="13" t="n">
        <v>-308.46</v>
      </c>
      <c r="M147" s="13" t="n">
        <v>-308.46</v>
      </c>
      <c r="N147" s="13" t="n">
        <v>-308.46</v>
      </c>
      <c r="O147" s="13" t="n">
        <v>-308.46</v>
      </c>
      <c r="P147" s="13" t="n">
        <v>-308.46</v>
      </c>
      <c r="Q147" s="13" t="n">
        <v>-308.46</v>
      </c>
      <c r="R147" s="13" t="n">
        <v>-308.46</v>
      </c>
      <c r="S147" s="13" t="n">
        <v>-308.46</v>
      </c>
      <c r="T147" s="13" t="n">
        <v>-462.69</v>
      </c>
      <c r="U147" s="13" t="n">
        <v>-308.46</v>
      </c>
      <c r="V147" s="13" t="n">
        <v>-308.46</v>
      </c>
      <c r="W147" s="13">
        <f>SUM(K147:V147)</f>
        <v/>
      </c>
      <c r="X147" s="8" t="inlineStr">
        <is>
          <t>Gasto comercial y marketing: promedio mensual con refuerzo en octubre por ferias del sector.</t>
        </is>
      </c>
    </row>
    <row r="148">
      <c r="B148" t="n">
        <v>2027</v>
      </c>
      <c r="C148" s="15" t="inlineStr">
        <is>
          <t>Codiagro</t>
        </is>
      </c>
      <c r="D148" s="15" t="inlineStr">
        <is>
          <t>RESULTADO DEL EJERCICIO</t>
        </is>
      </c>
      <c r="E148" s="15" t="inlineStr">
        <is>
          <t>RESULTADO ANTES DE IMPUESTOS</t>
        </is>
      </c>
      <c r="F148" s="15" t="inlineStr">
        <is>
          <t>RESULTADO DE LA EXPLOTACION</t>
        </is>
      </c>
      <c r="G148" s="15" t="inlineStr">
        <is>
          <t>7.- Otros gastos de explotación</t>
        </is>
      </c>
      <c r="H148" s="15" t="inlineStr">
        <is>
          <t>(627) Publicidad</t>
        </is>
      </c>
      <c r="I148" s="15" t="inlineStr">
        <is>
          <t>627000008 - MARKETING</t>
        </is>
      </c>
      <c r="J148" s="15" t="inlineStr">
        <is>
          <t>-</t>
        </is>
      </c>
      <c r="K148" s="13" t="n">
        <v>-2277.14</v>
      </c>
      <c r="L148" s="13" t="n">
        <v>-2277.14</v>
      </c>
      <c r="M148" s="13" t="n">
        <v>-2277.14</v>
      </c>
      <c r="N148" s="13" t="n">
        <v>-2277.14</v>
      </c>
      <c r="O148" s="13" t="n">
        <v>-2277.14</v>
      </c>
      <c r="P148" s="13" t="n">
        <v>-2277.14</v>
      </c>
      <c r="Q148" s="13" t="n">
        <v>-2277.14</v>
      </c>
      <c r="R148" s="13" t="n">
        <v>-2277.14</v>
      </c>
      <c r="S148" s="13" t="n">
        <v>-2277.14</v>
      </c>
      <c r="T148" s="13" t="n">
        <v>-3415.71</v>
      </c>
      <c r="U148" s="13" t="n">
        <v>-2277.14</v>
      </c>
      <c r="V148" s="13" t="n">
        <v>-2277.14</v>
      </c>
      <c r="W148" s="13">
        <f>SUM(K148:V148)</f>
        <v/>
      </c>
      <c r="X148" s="8" t="inlineStr">
        <is>
          <t>Gasto comercial y marketing: promedio mensual con refuerzo en octubre por ferias del sector.</t>
        </is>
      </c>
    </row>
    <row r="149">
      <c r="B149" t="n">
        <v>2027</v>
      </c>
      <c r="C149" s="15" t="inlineStr">
        <is>
          <t>Codiagro</t>
        </is>
      </c>
      <c r="D149" s="15" t="inlineStr">
        <is>
          <t>RESULTADO DEL EJERCICIO</t>
        </is>
      </c>
      <c r="E149" s="15" t="inlineStr">
        <is>
          <t>RESULTADO ANTES DE IMPUESTOS</t>
        </is>
      </c>
      <c r="F149" s="15" t="inlineStr">
        <is>
          <t>RESULTADO DE LA EXPLOTACION</t>
        </is>
      </c>
      <c r="G149" s="15" t="inlineStr">
        <is>
          <t>7.- Otros gastos de explotación</t>
        </is>
      </c>
      <c r="H149" s="15" t="inlineStr">
        <is>
          <t>(627) Publicidad</t>
        </is>
      </c>
      <c r="I149" s="15" t="inlineStr">
        <is>
          <t>627000009 - ARTICULOS PUBLICIDAD</t>
        </is>
      </c>
      <c r="J149" s="15" t="inlineStr">
        <is>
          <t>-</t>
        </is>
      </c>
      <c r="K149" s="13" t="n">
        <v>-2000</v>
      </c>
      <c r="L149" s="13" t="n">
        <v>-2000</v>
      </c>
      <c r="M149" s="13" t="n">
        <v>-2000</v>
      </c>
      <c r="N149" s="13" t="n">
        <v>-2000</v>
      </c>
      <c r="O149" s="13" t="n">
        <v>-2000</v>
      </c>
      <c r="P149" s="13" t="n">
        <v>-2000</v>
      </c>
      <c r="Q149" s="13" t="n">
        <v>-2000</v>
      </c>
      <c r="R149" s="13" t="n">
        <v>-2000</v>
      </c>
      <c r="S149" s="13" t="n">
        <v>-2000</v>
      </c>
      <c r="T149" s="13" t="n">
        <v>-4500</v>
      </c>
      <c r="U149" s="13" t="n">
        <v>-2000</v>
      </c>
      <c r="V149" s="13" t="n">
        <v>-2000</v>
      </c>
      <c r="W149" s="13">
        <f>SUM(K149:V149)</f>
        <v/>
      </c>
      <c r="X149" s="8" t="inlineStr">
        <is>
          <t>Gasto comercial estratégico: refuerzo en octubre por ferias agrícolas (Fruit Attraction) y catálogos.</t>
        </is>
      </c>
    </row>
    <row r="150">
      <c r="B150" t="n">
        <v>2027</v>
      </c>
      <c r="C150" s="15" t="inlineStr">
        <is>
          <t>Codiagro</t>
        </is>
      </c>
      <c r="D150" s="15" t="inlineStr">
        <is>
          <t>RESULTADO DEL EJERCICIO</t>
        </is>
      </c>
      <c r="E150" s="15" t="inlineStr">
        <is>
          <t>RESULTADO ANTES DE IMPUESTOS</t>
        </is>
      </c>
      <c r="F150" s="15" t="inlineStr">
        <is>
          <t>RESULTADO DE LA EXPLOTACION</t>
        </is>
      </c>
      <c r="G150" s="15" t="inlineStr">
        <is>
          <t>7.- Otros gastos de explotación</t>
        </is>
      </c>
      <c r="H150" s="15" t="inlineStr">
        <is>
          <t>(627) Publicidad</t>
        </is>
      </c>
      <c r="I150" s="15" t="inlineStr">
        <is>
          <t>627000010 - RELACIONES PUBLICAS TEC. CLIENTES</t>
        </is>
      </c>
      <c r="J150" s="15" t="inlineStr">
        <is>
          <t>-</t>
        </is>
      </c>
      <c r="K150" s="13" t="n">
        <v>-826.76</v>
      </c>
      <c r="L150" s="13" t="n">
        <v>-826.76</v>
      </c>
      <c r="M150" s="13" t="n">
        <v>-826.76</v>
      </c>
      <c r="N150" s="13" t="n">
        <v>-826.76</v>
      </c>
      <c r="O150" s="13" t="n">
        <v>-826.76</v>
      </c>
      <c r="P150" s="13" t="n">
        <v>-826.76</v>
      </c>
      <c r="Q150" s="13" t="n">
        <v>-826.76</v>
      </c>
      <c r="R150" s="13" t="n">
        <v>-826.76</v>
      </c>
      <c r="S150" s="13" t="n">
        <v>-826.76</v>
      </c>
      <c r="T150" s="13" t="n">
        <v>-1240.14</v>
      </c>
      <c r="U150" s="13" t="n">
        <v>-826.76</v>
      </c>
      <c r="V150" s="13" t="n">
        <v>-826.76</v>
      </c>
      <c r="W150" s="13">
        <f>SUM(K150:V150)</f>
        <v/>
      </c>
      <c r="X150" s="8" t="inlineStr">
        <is>
          <t>Gasto comercial y marketing: promedio mensual con refuerzo en octubre por ferias del sector.</t>
        </is>
      </c>
    </row>
    <row r="151">
      <c r="B151" t="n">
        <v>2027</v>
      </c>
      <c r="C151" s="15" t="inlineStr">
        <is>
          <t>Codiagro</t>
        </is>
      </c>
      <c r="D151" s="15" t="inlineStr">
        <is>
          <t>RESULTADO DEL EJERCICIO</t>
        </is>
      </c>
      <c r="E151" s="15" t="inlineStr">
        <is>
          <t>RESULTADO ANTES DE IMPUESTOS</t>
        </is>
      </c>
      <c r="F151" s="15" t="inlineStr">
        <is>
          <t>RESULTADO DE LA EXPLOTACION</t>
        </is>
      </c>
      <c r="G151" s="15" t="inlineStr">
        <is>
          <t>7.- Otros gastos de explotación</t>
        </is>
      </c>
      <c r="H151" s="15" t="inlineStr">
        <is>
          <t>(628) Suministros</t>
        </is>
      </c>
      <c r="I151" s="15" t="inlineStr">
        <is>
          <t>628000001 - SUMINISTROS INFORMATICOS</t>
        </is>
      </c>
      <c r="J151" s="15" t="inlineStr">
        <is>
          <t>-</t>
        </is>
      </c>
      <c r="K151" s="13" t="n">
        <v>-489</v>
      </c>
      <c r="L151" s="13" t="n">
        <v>-489</v>
      </c>
      <c r="M151" s="13" t="n">
        <v>-489</v>
      </c>
      <c r="N151" s="13" t="n">
        <v>-489</v>
      </c>
      <c r="O151" s="13" t="n">
        <v>-489</v>
      </c>
      <c r="P151" s="13" t="n">
        <v>-489</v>
      </c>
      <c r="Q151" s="13" t="n">
        <v>-489</v>
      </c>
      <c r="R151" s="13" t="n">
        <v>-489</v>
      </c>
      <c r="S151" s="13" t="n">
        <v>-489</v>
      </c>
      <c r="T151" s="13" t="n">
        <v>-489</v>
      </c>
      <c r="U151" s="13" t="n">
        <v>-489</v>
      </c>
      <c r="V151" s="13" t="n">
        <v>-489</v>
      </c>
      <c r="W151" s="13">
        <f>SUM(K151:V151)</f>
        <v/>
      </c>
      <c r="X151" s="8" t="inlineStr">
        <is>
          <t>Proyección extrapolada de actividad recurrente.</t>
        </is>
      </c>
    </row>
    <row r="152">
      <c r="B152" t="n">
        <v>2027</v>
      </c>
      <c r="C152" s="15" t="inlineStr">
        <is>
          <t>Codiagro</t>
        </is>
      </c>
      <c r="D152" s="15" t="inlineStr">
        <is>
          <t>RESULTADO DEL EJERCICIO</t>
        </is>
      </c>
      <c r="E152" s="15" t="inlineStr">
        <is>
          <t>RESULTADO ANTES DE IMPUESTOS</t>
        </is>
      </c>
      <c r="F152" s="15" t="inlineStr">
        <is>
          <t>RESULTADO DE LA EXPLOTACION</t>
        </is>
      </c>
      <c r="G152" s="15" t="inlineStr">
        <is>
          <t>7.- Otros gastos de explotación</t>
        </is>
      </c>
      <c r="H152" s="15" t="inlineStr">
        <is>
          <t>(628) Suministros</t>
        </is>
      </c>
      <c r="I152" s="15" t="inlineStr">
        <is>
          <t>628000002 - SUMINISTROS ELECTRICIDAD</t>
        </is>
      </c>
      <c r="J152" s="15" t="inlineStr">
        <is>
          <t>-</t>
        </is>
      </c>
      <c r="K152" s="13" t="n">
        <v>-3500</v>
      </c>
      <c r="L152" s="13" t="n">
        <v>-4200</v>
      </c>
      <c r="M152" s="13" t="n">
        <v>-4200</v>
      </c>
      <c r="N152" s="13" t="n">
        <v>-4200</v>
      </c>
      <c r="O152" s="13" t="n">
        <v>-4200</v>
      </c>
      <c r="P152" s="13" t="n">
        <v>-4200</v>
      </c>
      <c r="Q152" s="13" t="n">
        <v>-4200</v>
      </c>
      <c r="R152" s="13" t="n">
        <v>-3500</v>
      </c>
      <c r="S152" s="13" t="n">
        <v>-3500</v>
      </c>
      <c r="T152" s="13" t="n">
        <v>-3500</v>
      </c>
      <c r="U152" s="13" t="n">
        <v>-4200</v>
      </c>
      <c r="V152" s="13" t="n">
        <v>-4200</v>
      </c>
      <c r="W152" s="13">
        <f>SUM(K152:V152)</f>
        <v/>
      </c>
      <c r="X152" s="8" t="inlineStr">
        <is>
          <t>Coste semi-variable: término fijo de potencia contratada + consumo eléctrico según horas de producción.</t>
        </is>
      </c>
    </row>
    <row r="153">
      <c r="B153" t="n">
        <v>2027</v>
      </c>
      <c r="C153" s="15" t="inlineStr">
        <is>
          <t>Codiagro</t>
        </is>
      </c>
      <c r="D153" s="15" t="inlineStr">
        <is>
          <t>RESULTADO DEL EJERCICIO</t>
        </is>
      </c>
      <c r="E153" s="15" t="inlineStr">
        <is>
          <t>RESULTADO ANTES DE IMPUESTOS</t>
        </is>
      </c>
      <c r="F153" s="15" t="inlineStr">
        <is>
          <t>RESULTADO DE LA EXPLOTACION</t>
        </is>
      </c>
      <c r="G153" s="15" t="inlineStr">
        <is>
          <t>7.- Otros gastos de explotación</t>
        </is>
      </c>
      <c r="H153" s="15" t="inlineStr">
        <is>
          <t>(628) Suministros</t>
        </is>
      </c>
      <c r="I153" s="15" t="inlineStr">
        <is>
          <t>628000003 - SUMINISTROS AGUA</t>
        </is>
      </c>
      <c r="J153" s="15" t="inlineStr">
        <is>
          <t>-</t>
        </is>
      </c>
      <c r="K153" s="13" t="n">
        <v>-1435.94</v>
      </c>
      <c r="L153" s="13" t="n">
        <v>-1435.94</v>
      </c>
      <c r="M153" s="13" t="n">
        <v>-1435.94</v>
      </c>
      <c r="N153" s="13" t="n">
        <v>-1435.94</v>
      </c>
      <c r="O153" s="13" t="n">
        <v>-1435.94</v>
      </c>
      <c r="P153" s="13" t="n">
        <v>-1435.94</v>
      </c>
      <c r="Q153" s="13" t="n">
        <v>-1435.94</v>
      </c>
      <c r="R153" s="13" t="n">
        <v>-1435.94</v>
      </c>
      <c r="S153" s="13" t="n">
        <v>-1435.94</v>
      </c>
      <c r="T153" s="13" t="n">
        <v>-1435.94</v>
      </c>
      <c r="U153" s="13" t="n">
        <v>-1435.94</v>
      </c>
      <c r="V153" s="13" t="n">
        <v>-1435.94</v>
      </c>
      <c r="W153" s="13">
        <f>SUM(K153:V153)</f>
        <v/>
      </c>
      <c r="X153" s="8" t="inlineStr">
        <is>
          <t>Proyección extrapolada de actividad recurrente.</t>
        </is>
      </c>
    </row>
    <row r="154">
      <c r="B154" t="n">
        <v>2027</v>
      </c>
      <c r="C154" s="15" t="inlineStr">
        <is>
          <t>Codiagro</t>
        </is>
      </c>
      <c r="D154" s="15" t="inlineStr">
        <is>
          <t>RESULTADO DEL EJERCICIO</t>
        </is>
      </c>
      <c r="E154" s="15" t="inlineStr">
        <is>
          <t>RESULTADO ANTES DE IMPUESTOS</t>
        </is>
      </c>
      <c r="F154" s="15" t="inlineStr">
        <is>
          <t>RESULTADO DE LA EXPLOTACION</t>
        </is>
      </c>
      <c r="G154" s="15" t="inlineStr">
        <is>
          <t>7.- Otros gastos de explotación</t>
        </is>
      </c>
      <c r="H154" s="15" t="inlineStr">
        <is>
          <t>(628) Suministros</t>
        </is>
      </c>
      <c r="I154" s="15" t="inlineStr">
        <is>
          <t>628000004 - SUMINISTROS TELEFONIA E INTERNET</t>
        </is>
      </c>
      <c r="J154" s="15" t="inlineStr">
        <is>
          <t>-</t>
        </is>
      </c>
      <c r="K154" s="13" t="n">
        <v>-800</v>
      </c>
      <c r="L154" s="13" t="n">
        <v>-800</v>
      </c>
      <c r="M154" s="13" t="n">
        <v>-250</v>
      </c>
      <c r="N154" s="13" t="n">
        <v>-250</v>
      </c>
      <c r="O154" s="13" t="n">
        <v>-250</v>
      </c>
      <c r="P154" s="13" t="n">
        <v>-250</v>
      </c>
      <c r="Q154" s="13" t="n">
        <v>-250</v>
      </c>
      <c r="R154" s="13" t="n">
        <v>-250</v>
      </c>
      <c r="S154" s="13" t="n">
        <v>-250</v>
      </c>
      <c r="T154" s="13" t="n">
        <v>-250</v>
      </c>
      <c r="U154" s="13" t="n">
        <v>-800</v>
      </c>
      <c r="V154" s="13" t="n">
        <v>-800</v>
      </c>
      <c r="W154" s="13">
        <f>SUM(K154:V154)</f>
        <v/>
      </c>
      <c r="X154" s="8" t="inlineStr">
        <is>
          <t>Coste semi-variable estacional: climatización de instalaciones y caldera en meses fríos.</t>
        </is>
      </c>
    </row>
    <row r="155">
      <c r="B155" t="n">
        <v>2027</v>
      </c>
      <c r="C155" s="15" t="inlineStr">
        <is>
          <t>Codiagro</t>
        </is>
      </c>
      <c r="D155" s="15" t="inlineStr">
        <is>
          <t>RESULTADO DEL EJERCICIO</t>
        </is>
      </c>
      <c r="E155" s="15" t="inlineStr">
        <is>
          <t>RESULTADO ANTES DE IMPUESTOS</t>
        </is>
      </c>
      <c r="F155" s="15" t="inlineStr">
        <is>
          <t>RESULTADO DE LA EXPLOTACION</t>
        </is>
      </c>
      <c r="G155" s="15" t="inlineStr">
        <is>
          <t>7.- Otros gastos de explotación</t>
        </is>
      </c>
      <c r="H155" s="15" t="inlineStr">
        <is>
          <t>(628) Suministros</t>
        </is>
      </c>
      <c r="I155" s="15" t="inlineStr">
        <is>
          <t>628000005 - SUMINISTROS GASOLEO</t>
        </is>
      </c>
      <c r="J155" s="15" t="inlineStr">
        <is>
          <t>-</t>
        </is>
      </c>
      <c r="K155" s="13" t="n">
        <v>-1693.78</v>
      </c>
      <c r="L155" s="13" t="n">
        <v>-1693.78</v>
      </c>
      <c r="M155" s="13" t="n">
        <v>-1693.78</v>
      </c>
      <c r="N155" s="13" t="n">
        <v>-1693.78</v>
      </c>
      <c r="O155" s="13" t="n">
        <v>-1693.78</v>
      </c>
      <c r="P155" s="13" t="n">
        <v>-1693.78</v>
      </c>
      <c r="Q155" s="13" t="n">
        <v>-1693.78</v>
      </c>
      <c r="R155" s="13" t="n">
        <v>-1693.78</v>
      </c>
      <c r="S155" s="13" t="n">
        <v>-1693.78</v>
      </c>
      <c r="T155" s="13" t="n">
        <v>-1693.78</v>
      </c>
      <c r="U155" s="13" t="n">
        <v>-1693.78</v>
      </c>
      <c r="V155" s="13" t="n">
        <v>-1693.78</v>
      </c>
      <c r="W155" s="13">
        <f>SUM(K155:V155)</f>
        <v/>
      </c>
      <c r="X155" s="8" t="inlineStr">
        <is>
          <t>Proyección extrapolada de actividad recurrente.</t>
        </is>
      </c>
    </row>
    <row r="156">
      <c r="B156" t="n">
        <v>2027</v>
      </c>
      <c r="C156" s="15" t="inlineStr">
        <is>
          <t>Codiagro</t>
        </is>
      </c>
      <c r="D156" s="15" t="inlineStr">
        <is>
          <t>RESULTADO DEL EJERCICIO</t>
        </is>
      </c>
      <c r="E156" s="15" t="inlineStr">
        <is>
          <t>RESULTADO ANTES DE IMPUESTOS</t>
        </is>
      </c>
      <c r="F156" s="15" t="inlineStr">
        <is>
          <t>RESULTADO DE LA EXPLOTACION</t>
        </is>
      </c>
      <c r="G156" s="15" t="inlineStr">
        <is>
          <t>7.- Otros gastos de explotación</t>
        </is>
      </c>
      <c r="H156" s="15" t="inlineStr">
        <is>
          <t>(629) Otros servicios</t>
        </is>
      </c>
      <c r="I156" s="15" t="inlineStr">
        <is>
          <t>629000001 - HOSPEDAJE WEB</t>
        </is>
      </c>
      <c r="J156" s="15" t="inlineStr">
        <is>
          <t>-</t>
        </is>
      </c>
      <c r="K156" s="13" t="n">
        <v>-213</v>
      </c>
      <c r="L156" s="13" t="n">
        <v>-213</v>
      </c>
      <c r="M156" s="13" t="n">
        <v>-213</v>
      </c>
      <c r="N156" s="13" t="n">
        <v>-213</v>
      </c>
      <c r="O156" s="13" t="n">
        <v>-213</v>
      </c>
      <c r="P156" s="13" t="n">
        <v>-213</v>
      </c>
      <c r="Q156" s="13" t="n">
        <v>-213</v>
      </c>
      <c r="R156" s="13" t="n">
        <v>-213</v>
      </c>
      <c r="S156" s="13" t="n">
        <v>-213</v>
      </c>
      <c r="T156" s="13" t="n">
        <v>-213</v>
      </c>
      <c r="U156" s="13" t="n">
        <v>-213</v>
      </c>
      <c r="V156" s="13" t="n">
        <v>-213</v>
      </c>
      <c r="W156" s="13">
        <f>SUM(K156:V156)</f>
        <v/>
      </c>
      <c r="X156" s="8" t="inlineStr">
        <is>
          <t>Coste operativo general de estructura y servicios de oficinas/fábrica.</t>
        </is>
      </c>
    </row>
    <row r="157">
      <c r="B157" t="n">
        <v>2027</v>
      </c>
      <c r="C157" s="15" t="inlineStr">
        <is>
          <t>Codiagro</t>
        </is>
      </c>
      <c r="D157" s="15" t="inlineStr">
        <is>
          <t>RESULTADO DEL EJERCICIO</t>
        </is>
      </c>
      <c r="E157" s="15" t="inlineStr">
        <is>
          <t>RESULTADO ANTES DE IMPUESTOS</t>
        </is>
      </c>
      <c r="F157" s="15" t="inlineStr">
        <is>
          <t>RESULTADO DE LA EXPLOTACION</t>
        </is>
      </c>
      <c r="G157" s="15" t="inlineStr">
        <is>
          <t>7.- Otros gastos de explotación</t>
        </is>
      </c>
      <c r="H157" s="15" t="inlineStr">
        <is>
          <t>(629) Otros servicios</t>
        </is>
      </c>
      <c r="I157" s="15" t="inlineStr">
        <is>
          <t>629000002 - OTROS GASTOS</t>
        </is>
      </c>
      <c r="J157" s="15" t="inlineStr">
        <is>
          <t>-</t>
        </is>
      </c>
      <c r="K157" s="13" t="n">
        <v>-948.3200000000001</v>
      </c>
      <c r="L157" s="13" t="n">
        <v>-948.3200000000001</v>
      </c>
      <c r="M157" s="13" t="n">
        <v>-948.3200000000001</v>
      </c>
      <c r="N157" s="13" t="n">
        <v>-948.3200000000001</v>
      </c>
      <c r="O157" s="13" t="n">
        <v>-948.3200000000001</v>
      </c>
      <c r="P157" s="13" t="n">
        <v>-948.3200000000001</v>
      </c>
      <c r="Q157" s="13" t="n">
        <v>-948.3200000000001</v>
      </c>
      <c r="R157" s="13" t="n">
        <v>-948.3200000000001</v>
      </c>
      <c r="S157" s="13" t="n">
        <v>-948.3200000000001</v>
      </c>
      <c r="T157" s="13" t="n">
        <v>-948.3200000000001</v>
      </c>
      <c r="U157" s="13" t="n">
        <v>-948.3200000000001</v>
      </c>
      <c r="V157" s="13" t="n">
        <v>-948.3200000000001</v>
      </c>
      <c r="W157" s="13">
        <f>SUM(K157:V157)</f>
        <v/>
      </c>
      <c r="X157" s="8" t="inlineStr">
        <is>
          <t>Coste operativo general de estructura y servicios de oficinas/fábrica.</t>
        </is>
      </c>
    </row>
    <row r="158">
      <c r="B158" t="n">
        <v>2027</v>
      </c>
      <c r="C158" s="15" t="inlineStr">
        <is>
          <t>Codiagro</t>
        </is>
      </c>
      <c r="D158" s="15" t="inlineStr">
        <is>
          <t>RESULTADO DEL EJERCICIO</t>
        </is>
      </c>
      <c r="E158" s="15" t="inlineStr">
        <is>
          <t>RESULTADO ANTES DE IMPUESTOS</t>
        </is>
      </c>
      <c r="F158" s="15" t="inlineStr">
        <is>
          <t>RESULTADO DE LA EXPLOTACION</t>
        </is>
      </c>
      <c r="G158" s="15" t="inlineStr">
        <is>
          <t>7.- Otros gastos de explotación</t>
        </is>
      </c>
      <c r="H158" s="15" t="inlineStr">
        <is>
          <t>(629) Otros servicios</t>
        </is>
      </c>
      <c r="I158" s="15" t="inlineStr">
        <is>
          <t>629000003 - SUSCRIPCIONES A REVISTAS Y PERIODICOS</t>
        </is>
      </c>
      <c r="J158" s="15" t="inlineStr">
        <is>
          <t>-</t>
        </is>
      </c>
      <c r="K158" s="13" t="n">
        <v>-460.58</v>
      </c>
      <c r="L158" s="13" t="n">
        <v>-460.58</v>
      </c>
      <c r="M158" s="13" t="n">
        <v>-460.58</v>
      </c>
      <c r="N158" s="13" t="n">
        <v>-460.58</v>
      </c>
      <c r="O158" s="13" t="n">
        <v>-460.58</v>
      </c>
      <c r="P158" s="13" t="n">
        <v>-460.58</v>
      </c>
      <c r="Q158" s="13" t="n">
        <v>-460.58</v>
      </c>
      <c r="R158" s="13" t="n">
        <v>-460.58</v>
      </c>
      <c r="S158" s="13" t="n">
        <v>-460.58</v>
      </c>
      <c r="T158" s="13" t="n">
        <v>-460.58</v>
      </c>
      <c r="U158" s="13" t="n">
        <v>-460.58</v>
      </c>
      <c r="V158" s="13" t="n">
        <v>-460.58</v>
      </c>
      <c r="W158" s="13">
        <f>SUM(K158:V158)</f>
        <v/>
      </c>
      <c r="X158" s="8" t="inlineStr">
        <is>
          <t>Coste operativo general de estructura y servicios de oficinas/fábrica.</t>
        </is>
      </c>
    </row>
    <row r="159">
      <c r="B159" t="n">
        <v>2027</v>
      </c>
      <c r="C159" s="15" t="inlineStr">
        <is>
          <t>Codiagro</t>
        </is>
      </c>
      <c r="D159" s="15" t="inlineStr">
        <is>
          <t>RESULTADO DEL EJERCICIO</t>
        </is>
      </c>
      <c r="E159" s="15" t="inlineStr">
        <is>
          <t>RESULTADO ANTES DE IMPUESTOS</t>
        </is>
      </c>
      <c r="F159" s="15" t="inlineStr">
        <is>
          <t>RESULTADO DE LA EXPLOTACION</t>
        </is>
      </c>
      <c r="G159" s="15" t="inlineStr">
        <is>
          <t>7.- Otros gastos de explotación</t>
        </is>
      </c>
      <c r="H159" s="15" t="inlineStr">
        <is>
          <t>(629) Otros servicios</t>
        </is>
      </c>
      <c r="I159" s="15" t="inlineStr">
        <is>
          <t>629000004 - GTOS. SERV. VIGILANCIA</t>
        </is>
      </c>
      <c r="J159" s="15" t="inlineStr">
        <is>
          <t>-</t>
        </is>
      </c>
      <c r="K159" s="13" t="n">
        <v>-74.98999999999999</v>
      </c>
      <c r="L159" s="13" t="n">
        <v>-74.98999999999999</v>
      </c>
      <c r="M159" s="13" t="n">
        <v>-74.98999999999999</v>
      </c>
      <c r="N159" s="13" t="n">
        <v>-74.98999999999999</v>
      </c>
      <c r="O159" s="13" t="n">
        <v>-74.98999999999999</v>
      </c>
      <c r="P159" s="13" t="n">
        <v>-74.98999999999999</v>
      </c>
      <c r="Q159" s="13" t="n">
        <v>-74.98999999999999</v>
      </c>
      <c r="R159" s="13" t="n">
        <v>-74.98999999999999</v>
      </c>
      <c r="S159" s="13" t="n">
        <v>-74.98999999999999</v>
      </c>
      <c r="T159" s="13" t="n">
        <v>-74.98999999999999</v>
      </c>
      <c r="U159" s="13" t="n">
        <v>-74.98999999999999</v>
      </c>
      <c r="V159" s="13" t="n">
        <v>-74.98999999999999</v>
      </c>
      <c r="W159" s="13">
        <f>SUM(K159:V159)</f>
        <v/>
      </c>
      <c r="X159" s="8" t="inlineStr">
        <is>
          <t>Coste operativo general de estructura y servicios de oficinas/fábrica.</t>
        </is>
      </c>
    </row>
    <row r="160">
      <c r="B160" t="n">
        <v>2027</v>
      </c>
      <c r="C160" s="15" t="inlineStr">
        <is>
          <t>Codiagro</t>
        </is>
      </c>
      <c r="D160" s="15" t="inlineStr">
        <is>
          <t>RESULTADO DEL EJERCICIO</t>
        </is>
      </c>
      <c r="E160" s="15" t="inlineStr">
        <is>
          <t>RESULTADO ANTES DE IMPUESTOS</t>
        </is>
      </c>
      <c r="F160" s="15" t="inlineStr">
        <is>
          <t>RESULTADO DE LA EXPLOTACION</t>
        </is>
      </c>
      <c r="G160" s="15" t="inlineStr">
        <is>
          <t>7.- Otros gastos de explotación</t>
        </is>
      </c>
      <c r="H160" s="15" t="inlineStr">
        <is>
          <t>(629) Otros servicios</t>
        </is>
      </c>
      <c r="I160" s="15" t="inlineStr">
        <is>
          <t>629000005 - GTOS. ANALISIS LABORATORIOS</t>
        </is>
      </c>
      <c r="J160" s="15" t="inlineStr">
        <is>
          <t>-</t>
        </is>
      </c>
      <c r="K160" s="13" t="n">
        <v>-941.27</v>
      </c>
      <c r="L160" s="13" t="n">
        <v>-941.27</v>
      </c>
      <c r="M160" s="13" t="n">
        <v>-941.27</v>
      </c>
      <c r="N160" s="13" t="n">
        <v>-941.27</v>
      </c>
      <c r="O160" s="13" t="n">
        <v>-941.27</v>
      </c>
      <c r="P160" s="13" t="n">
        <v>-941.27</v>
      </c>
      <c r="Q160" s="13" t="n">
        <v>-941.27</v>
      </c>
      <c r="R160" s="13" t="n">
        <v>-941.27</v>
      </c>
      <c r="S160" s="13" t="n">
        <v>-941.27</v>
      </c>
      <c r="T160" s="13" t="n">
        <v>-941.27</v>
      </c>
      <c r="U160" s="13" t="n">
        <v>-941.27</v>
      </c>
      <c r="V160" s="13" t="n">
        <v>-941.27</v>
      </c>
      <c r="W160" s="13">
        <f>SUM(K160:V160)</f>
        <v/>
      </c>
      <c r="X160" s="8" t="inlineStr">
        <is>
          <t>Coste operativo general de estructura y servicios de oficinas/fábrica.</t>
        </is>
      </c>
    </row>
    <row r="161">
      <c r="B161" t="n">
        <v>2027</v>
      </c>
      <c r="C161" s="15" t="inlineStr">
        <is>
          <t>Codiagro</t>
        </is>
      </c>
      <c r="D161" s="15" t="inlineStr">
        <is>
          <t>RESULTADO DEL EJERCICIO</t>
        </is>
      </c>
      <c r="E161" s="15" t="inlineStr">
        <is>
          <t>RESULTADO ANTES DE IMPUESTOS</t>
        </is>
      </c>
      <c r="F161" s="15" t="inlineStr">
        <is>
          <t>RESULTADO DE LA EXPLOTACION</t>
        </is>
      </c>
      <c r="G161" s="15" t="inlineStr">
        <is>
          <t>7.- Otros gastos de explotación</t>
        </is>
      </c>
      <c r="H161" s="15" t="inlineStr">
        <is>
          <t>(629) Otros servicios</t>
        </is>
      </c>
      <c r="I161" s="15" t="inlineStr">
        <is>
          <t>629000006 - GASTOS CORREOS</t>
        </is>
      </c>
      <c r="J161" s="15" t="inlineStr">
        <is>
          <t>-</t>
        </is>
      </c>
      <c r="K161" s="13" t="n">
        <v>-96</v>
      </c>
      <c r="L161" s="13" t="n">
        <v>-96</v>
      </c>
      <c r="M161" s="13" t="n">
        <v>-96</v>
      </c>
      <c r="N161" s="13" t="n">
        <v>-96</v>
      </c>
      <c r="O161" s="13" t="n">
        <v>-96</v>
      </c>
      <c r="P161" s="13" t="n">
        <v>-96</v>
      </c>
      <c r="Q161" s="13" t="n">
        <v>-96</v>
      </c>
      <c r="R161" s="13" t="n">
        <v>-96</v>
      </c>
      <c r="S161" s="13" t="n">
        <v>-96</v>
      </c>
      <c r="T161" s="13" t="n">
        <v>-96</v>
      </c>
      <c r="U161" s="13" t="n">
        <v>-96</v>
      </c>
      <c r="V161" s="13" t="n">
        <v>-96</v>
      </c>
      <c r="W161" s="13">
        <f>SUM(K161:V161)</f>
        <v/>
      </c>
      <c r="X161" s="8" t="inlineStr">
        <is>
          <t>Coste operativo general de estructura y servicios de oficinas/fábrica.</t>
        </is>
      </c>
    </row>
    <row r="162">
      <c r="B162" t="n">
        <v>2027</v>
      </c>
      <c r="C162" s="15" t="inlineStr">
        <is>
          <t>Codiagro</t>
        </is>
      </c>
      <c r="D162" s="15" t="inlineStr">
        <is>
          <t>RESULTADO DEL EJERCICIO</t>
        </is>
      </c>
      <c r="E162" s="15" t="inlineStr">
        <is>
          <t>RESULTADO ANTES DE IMPUESTOS</t>
        </is>
      </c>
      <c r="F162" s="15" t="inlineStr">
        <is>
          <t>RESULTADO DE LA EXPLOTACION</t>
        </is>
      </c>
      <c r="G162" s="15" t="inlineStr">
        <is>
          <t>7.- Otros gastos de explotación</t>
        </is>
      </c>
      <c r="H162" s="15" t="inlineStr">
        <is>
          <t>(629) Otros servicios</t>
        </is>
      </c>
      <c r="I162" s="15" t="inlineStr">
        <is>
          <t>629000007 - GASTOS RETIRADA DE RESIDUOS</t>
        </is>
      </c>
      <c r="J162" s="15" t="inlineStr">
        <is>
          <t>-</t>
        </is>
      </c>
      <c r="K162" s="13" t="n">
        <v>-2500</v>
      </c>
      <c r="L162" s="13" t="n">
        <v>-3000</v>
      </c>
      <c r="M162" s="13" t="n">
        <v>-3000</v>
      </c>
      <c r="N162" s="13" t="n">
        <v>-3000</v>
      </c>
      <c r="O162" s="13" t="n">
        <v>-3000</v>
      </c>
      <c r="P162" s="13" t="n">
        <v>-3000</v>
      </c>
      <c r="Q162" s="13" t="n">
        <v>-3000</v>
      </c>
      <c r="R162" s="13" t="n">
        <v>-2500</v>
      </c>
      <c r="S162" s="13" t="n">
        <v>-2500</v>
      </c>
      <c r="T162" s="13" t="n">
        <v>-2500</v>
      </c>
      <c r="U162" s="13" t="n">
        <v>-3000</v>
      </c>
      <c r="V162" s="13" t="n">
        <v>-3000</v>
      </c>
      <c r="W162" s="13">
        <f>SUM(K162:V162)</f>
        <v/>
      </c>
      <c r="X162" s="8" t="inlineStr">
        <is>
          <t>Coste semi-variable: gestión medioambiental y retirada autorizada de residuos fabriles.</t>
        </is>
      </c>
    </row>
    <row r="163">
      <c r="B163" t="n">
        <v>2027</v>
      </c>
      <c r="C163" s="15" t="inlineStr">
        <is>
          <t>Codiagro</t>
        </is>
      </c>
      <c r="D163" s="15" t="inlineStr">
        <is>
          <t>RESULTADO DEL EJERCICIO</t>
        </is>
      </c>
      <c r="E163" s="15" t="inlineStr">
        <is>
          <t>RESULTADO ANTES DE IMPUESTOS</t>
        </is>
      </c>
      <c r="F163" s="15" t="inlineStr">
        <is>
          <t>RESULTADO DE LA EXPLOTACION</t>
        </is>
      </c>
      <c r="G163" s="15" t="inlineStr">
        <is>
          <t>7.- Otros gastos de explotación</t>
        </is>
      </c>
      <c r="H163" s="15" t="inlineStr">
        <is>
          <t>(629) Otros servicios</t>
        </is>
      </c>
      <c r="I163" s="15" t="inlineStr">
        <is>
          <t>629000008 - CUOTAS ASOCIACIONES</t>
        </is>
      </c>
      <c r="J163" s="15" t="inlineStr">
        <is>
          <t>-</t>
        </is>
      </c>
      <c r="K163" s="13" t="n">
        <v>-801.8200000000001</v>
      </c>
      <c r="L163" s="13" t="n">
        <v>-801.8200000000001</v>
      </c>
      <c r="M163" s="13" t="n">
        <v>-801.8200000000001</v>
      </c>
      <c r="N163" s="13" t="n">
        <v>-801.8200000000001</v>
      </c>
      <c r="O163" s="13" t="n">
        <v>-801.8200000000001</v>
      </c>
      <c r="P163" s="13" t="n">
        <v>-801.8200000000001</v>
      </c>
      <c r="Q163" s="13" t="n">
        <v>-801.8200000000001</v>
      </c>
      <c r="R163" s="13" t="n">
        <v>-801.8200000000001</v>
      </c>
      <c r="S163" s="13" t="n">
        <v>-801.8200000000001</v>
      </c>
      <c r="T163" s="13" t="n">
        <v>-801.8200000000001</v>
      </c>
      <c r="U163" s="13" t="n">
        <v>-801.8200000000001</v>
      </c>
      <c r="V163" s="13" t="n">
        <v>-801.8200000000001</v>
      </c>
      <c r="W163" s="13">
        <f>SUM(K163:V163)</f>
        <v/>
      </c>
      <c r="X163" s="8" t="inlineStr">
        <is>
          <t>Coste operativo general de estructura y servicios de oficinas/fábrica.</t>
        </is>
      </c>
    </row>
    <row r="164">
      <c r="B164" t="n">
        <v>2027</v>
      </c>
      <c r="C164" s="15" t="inlineStr">
        <is>
          <t>Codiagro</t>
        </is>
      </c>
      <c r="D164" s="15" t="inlineStr">
        <is>
          <t>RESULTADO DEL EJERCICIO</t>
        </is>
      </c>
      <c r="E164" s="15" t="inlineStr">
        <is>
          <t>RESULTADO ANTES DE IMPUESTOS</t>
        </is>
      </c>
      <c r="F164" s="15" t="inlineStr">
        <is>
          <t>RESULTADO DE LA EXPLOTACION</t>
        </is>
      </c>
      <c r="G164" s="15" t="inlineStr">
        <is>
          <t>7.- Otros gastos de explotación</t>
        </is>
      </c>
      <c r="H164" s="15" t="inlineStr">
        <is>
          <t>(629) Otros servicios</t>
        </is>
      </c>
      <c r="I164" s="15" t="inlineStr">
        <is>
          <t>629000009 - SANCIONES Y MULTAS</t>
        </is>
      </c>
      <c r="J164" s="15" t="inlineStr">
        <is>
          <t>-</t>
        </is>
      </c>
      <c r="K164" s="13" t="n">
        <v>-90</v>
      </c>
      <c r="L164" s="13" t="n">
        <v>-90</v>
      </c>
      <c r="M164" s="13" t="n">
        <v>-90</v>
      </c>
      <c r="N164" s="13" t="n">
        <v>-90</v>
      </c>
      <c r="O164" s="13" t="n">
        <v>-90</v>
      </c>
      <c r="P164" s="13" t="n">
        <v>-90</v>
      </c>
      <c r="Q164" s="13" t="n">
        <v>-90</v>
      </c>
      <c r="R164" s="13" t="n">
        <v>-90</v>
      </c>
      <c r="S164" s="13" t="n">
        <v>-90</v>
      </c>
      <c r="T164" s="13" t="n">
        <v>-90</v>
      </c>
      <c r="U164" s="13" t="n">
        <v>-90</v>
      </c>
      <c r="V164" s="13" t="n">
        <v>-90</v>
      </c>
      <c r="W164" s="13">
        <f>SUM(K164:V164)</f>
        <v/>
      </c>
      <c r="X164" s="8" t="inlineStr">
        <is>
          <t>Coste operativo general de estructura y servicios de oficinas/fábrica.</t>
        </is>
      </c>
    </row>
    <row r="165">
      <c r="B165" t="n">
        <v>2027</v>
      </c>
      <c r="C165" s="15" t="inlineStr">
        <is>
          <t>Codiagro</t>
        </is>
      </c>
      <c r="D165" s="15" t="inlineStr">
        <is>
          <t>RESULTADO DEL EJERCICIO</t>
        </is>
      </c>
      <c r="E165" s="15" t="inlineStr">
        <is>
          <t>RESULTADO ANTES DE IMPUESTOS</t>
        </is>
      </c>
      <c r="F165" s="15" t="inlineStr">
        <is>
          <t>RESULTADO DE LA EXPLOTACION</t>
        </is>
      </c>
      <c r="G165" s="15" t="inlineStr">
        <is>
          <t>7.- Otros gastos de explotación</t>
        </is>
      </c>
      <c r="H165" s="15" t="inlineStr">
        <is>
          <t>(629) Otros servicios</t>
        </is>
      </c>
      <c r="I165" s="15" t="inlineStr">
        <is>
          <t>629000010 - GASTOS COMERCIALES</t>
        </is>
      </c>
      <c r="J165" s="15" t="inlineStr">
        <is>
          <t>-</t>
        </is>
      </c>
      <c r="K165" s="13" t="n">
        <v>-819.53</v>
      </c>
      <c r="L165" s="13" t="n">
        <v>-819.53</v>
      </c>
      <c r="M165" s="13" t="n">
        <v>-819.53</v>
      </c>
      <c r="N165" s="13" t="n">
        <v>-819.53</v>
      </c>
      <c r="O165" s="13" t="n">
        <v>-819.53</v>
      </c>
      <c r="P165" s="13" t="n">
        <v>-819.53</v>
      </c>
      <c r="Q165" s="13" t="n">
        <v>-819.53</v>
      </c>
      <c r="R165" s="13" t="n">
        <v>-819.53</v>
      </c>
      <c r="S165" s="13" t="n">
        <v>-819.53</v>
      </c>
      <c r="T165" s="13" t="n">
        <v>-819.53</v>
      </c>
      <c r="U165" s="13" t="n">
        <v>-819.53</v>
      </c>
      <c r="V165" s="13" t="n">
        <v>-819.53</v>
      </c>
      <c r="W165" s="13">
        <f>SUM(K165:V165)</f>
        <v/>
      </c>
      <c r="X165" s="8" t="inlineStr">
        <is>
          <t>Coste operativo general de estructura y servicios de oficinas/fábrica.</t>
        </is>
      </c>
    </row>
    <row r="166">
      <c r="B166" t="n">
        <v>2027</v>
      </c>
      <c r="C166" s="15" t="inlineStr">
        <is>
          <t>Codiagro</t>
        </is>
      </c>
      <c r="D166" s="15" t="inlineStr">
        <is>
          <t>RESULTADO DEL EJERCICIO</t>
        </is>
      </c>
      <c r="E166" s="15" t="inlineStr">
        <is>
          <t>RESULTADO ANTES DE IMPUESTOS</t>
        </is>
      </c>
      <c r="F166" s="15" t="inlineStr">
        <is>
          <t>RESULTADO DE LA EXPLOTACION</t>
        </is>
      </c>
      <c r="G166" s="15" t="inlineStr">
        <is>
          <t>7.- Otros gastos de explotación</t>
        </is>
      </c>
      <c r="H166" s="15" t="inlineStr">
        <is>
          <t>(629) Otros servicios</t>
        </is>
      </c>
      <c r="I166" s="15" t="inlineStr">
        <is>
          <t>629000011 - EPIS PERSONAL</t>
        </is>
      </c>
      <c r="J166" s="15" t="inlineStr">
        <is>
          <t>-</t>
        </is>
      </c>
      <c r="K166" s="13" t="n">
        <v>-295.08</v>
      </c>
      <c r="L166" s="13" t="n">
        <v>-295.08</v>
      </c>
      <c r="M166" s="13" t="n">
        <v>-295.08</v>
      </c>
      <c r="N166" s="13" t="n">
        <v>-295.08</v>
      </c>
      <c r="O166" s="13" t="n">
        <v>-295.08</v>
      </c>
      <c r="P166" s="13" t="n">
        <v>-295.08</v>
      </c>
      <c r="Q166" s="13" t="n">
        <v>-295.08</v>
      </c>
      <c r="R166" s="13" t="n">
        <v>-295.08</v>
      </c>
      <c r="S166" s="13" t="n">
        <v>-295.08</v>
      </c>
      <c r="T166" s="13" t="n">
        <v>-295.08</v>
      </c>
      <c r="U166" s="13" t="n">
        <v>-295.08</v>
      </c>
      <c r="V166" s="13" t="n">
        <v>-295.08</v>
      </c>
      <c r="W166" s="13">
        <f>SUM(K166:V166)</f>
        <v/>
      </c>
      <c r="X166" s="8" t="inlineStr">
        <is>
          <t>Coste operativo general de estructura y servicios de oficinas/fábrica.</t>
        </is>
      </c>
    </row>
    <row r="167">
      <c r="B167" t="n">
        <v>2027</v>
      </c>
      <c r="C167" s="15" t="inlineStr">
        <is>
          <t>Codiagro</t>
        </is>
      </c>
      <c r="D167" s="15" t="inlineStr">
        <is>
          <t>RESULTADO DEL EJERCICIO</t>
        </is>
      </c>
      <c r="E167" s="15" t="inlineStr">
        <is>
          <t>RESULTADO ANTES DE IMPUESTOS</t>
        </is>
      </c>
      <c r="F167" s="15" t="inlineStr">
        <is>
          <t>RESULTADO DE LA EXPLOTACION</t>
        </is>
      </c>
      <c r="G167" s="15" t="inlineStr">
        <is>
          <t>7.- Otros gastos de explotación</t>
        </is>
      </c>
      <c r="H167" s="15" t="inlineStr">
        <is>
          <t>(629) Otros servicios</t>
        </is>
      </c>
      <c r="I167" s="15" t="inlineStr">
        <is>
          <t>629000012 - GASTOS VARIOS PERSONAL</t>
        </is>
      </c>
      <c r="J167" s="15" t="inlineStr">
        <is>
          <t>-</t>
        </is>
      </c>
      <c r="K167" s="13" t="n">
        <v>-1326.15</v>
      </c>
      <c r="L167" s="13" t="n">
        <v>-1326.15</v>
      </c>
      <c r="M167" s="13" t="n">
        <v>-1326.15</v>
      </c>
      <c r="N167" s="13" t="n">
        <v>-1326.15</v>
      </c>
      <c r="O167" s="13" t="n">
        <v>-1326.15</v>
      </c>
      <c r="P167" s="13" t="n">
        <v>-1326.15</v>
      </c>
      <c r="Q167" s="13" t="n">
        <v>-1326.15</v>
      </c>
      <c r="R167" s="13" t="n">
        <v>-1326.15</v>
      </c>
      <c r="S167" s="13" t="n">
        <v>-1326.15</v>
      </c>
      <c r="T167" s="13" t="n">
        <v>-1326.15</v>
      </c>
      <c r="U167" s="13" t="n">
        <v>-1326.15</v>
      </c>
      <c r="V167" s="13" t="n">
        <v>-1326.15</v>
      </c>
      <c r="W167" s="13">
        <f>SUM(K167:V167)</f>
        <v/>
      </c>
      <c r="X167" s="8" t="inlineStr">
        <is>
          <t>Coste operativo general de estructura y servicios de oficinas/fábrica.</t>
        </is>
      </c>
    </row>
    <row r="168">
      <c r="B168" t="n">
        <v>2027</v>
      </c>
      <c r="C168" s="15" t="inlineStr">
        <is>
          <t>Codiagro</t>
        </is>
      </c>
      <c r="D168" s="15" t="inlineStr">
        <is>
          <t>RESULTADO DEL EJERCICIO</t>
        </is>
      </c>
      <c r="E168" s="15" t="inlineStr">
        <is>
          <t>RESULTADO ANTES DE IMPUESTOS</t>
        </is>
      </c>
      <c r="F168" s="15" t="inlineStr">
        <is>
          <t>RESULTADO DE LA EXPLOTACION</t>
        </is>
      </c>
      <c r="G168" s="15" t="inlineStr">
        <is>
          <t>7.- Otros gastos de explotación</t>
        </is>
      </c>
      <c r="H168" s="15" t="inlineStr">
        <is>
          <t>(629) Otros servicios</t>
        </is>
      </c>
      <c r="I168" s="15" t="inlineStr">
        <is>
          <t>629000013 - FORMACION NO BONIFICADA</t>
        </is>
      </c>
      <c r="J168" s="15" t="inlineStr">
        <is>
          <t>-</t>
        </is>
      </c>
      <c r="K168" s="13" t="n">
        <v>-1846.33</v>
      </c>
      <c r="L168" s="13" t="n">
        <v>-1846.33</v>
      </c>
      <c r="M168" s="13" t="n">
        <v>-1846.33</v>
      </c>
      <c r="N168" s="13" t="n">
        <v>-1846.33</v>
      </c>
      <c r="O168" s="13" t="n">
        <v>-1846.33</v>
      </c>
      <c r="P168" s="13" t="n">
        <v>-1846.33</v>
      </c>
      <c r="Q168" s="13" t="n">
        <v>-1846.33</v>
      </c>
      <c r="R168" s="13" t="n">
        <v>-1846.33</v>
      </c>
      <c r="S168" s="13" t="n">
        <v>-1846.33</v>
      </c>
      <c r="T168" s="13" t="n">
        <v>-1846.33</v>
      </c>
      <c r="U168" s="13" t="n">
        <v>-1846.33</v>
      </c>
      <c r="V168" s="13" t="n">
        <v>-1846.33</v>
      </c>
      <c r="W168" s="13">
        <f>SUM(K168:V168)</f>
        <v/>
      </c>
      <c r="X168" s="8" t="inlineStr">
        <is>
          <t>Coste operativo general de estructura y servicios de oficinas/fábrica.</t>
        </is>
      </c>
    </row>
    <row r="169">
      <c r="B169" t="n">
        <v>2027</v>
      </c>
      <c r="C169" s="15" t="inlineStr">
        <is>
          <t>Codiagro</t>
        </is>
      </c>
      <c r="D169" s="15" t="inlineStr">
        <is>
          <t>RESULTADO DEL EJERCICIO</t>
        </is>
      </c>
      <c r="E169" s="15" t="inlineStr">
        <is>
          <t>RESULTADO ANTES DE IMPUESTOS</t>
        </is>
      </c>
      <c r="F169" s="15" t="inlineStr">
        <is>
          <t>RESULTADO DE LA EXPLOTACION</t>
        </is>
      </c>
      <c r="G169" s="15" t="inlineStr">
        <is>
          <t>7.- Otros gastos de explotación</t>
        </is>
      </c>
      <c r="H169" s="15" t="inlineStr">
        <is>
          <t>(629) Otros servicios</t>
        </is>
      </c>
      <c r="I169" s="15" t="inlineStr">
        <is>
          <t>629000014 - ROPA LABORAL</t>
        </is>
      </c>
      <c r="J169" s="15" t="inlineStr">
        <is>
          <t>-</t>
        </is>
      </c>
      <c r="K169" s="13" t="n">
        <v>-263.4</v>
      </c>
      <c r="L169" s="13" t="n">
        <v>-263.4</v>
      </c>
      <c r="M169" s="13" t="n">
        <v>-263.4</v>
      </c>
      <c r="N169" s="13" t="n">
        <v>-263.4</v>
      </c>
      <c r="O169" s="13" t="n">
        <v>-263.4</v>
      </c>
      <c r="P169" s="13" t="n">
        <v>-263.4</v>
      </c>
      <c r="Q169" s="13" t="n">
        <v>-263.4</v>
      </c>
      <c r="R169" s="13" t="n">
        <v>-263.4</v>
      </c>
      <c r="S169" s="13" t="n">
        <v>-263.4</v>
      </c>
      <c r="T169" s="13" t="n">
        <v>-263.4</v>
      </c>
      <c r="U169" s="13" t="n">
        <v>-263.4</v>
      </c>
      <c r="V169" s="13" t="n">
        <v>-263.4</v>
      </c>
      <c r="W169" s="13">
        <f>SUM(K169:V169)</f>
        <v/>
      </c>
      <c r="X169" s="8" t="inlineStr">
        <is>
          <t>Coste operativo general de estructura y servicios de oficinas/fábrica.</t>
        </is>
      </c>
    </row>
    <row r="170">
      <c r="B170" t="n">
        <v>2027</v>
      </c>
      <c r="C170" s="15" t="inlineStr">
        <is>
          <t>Codiagro</t>
        </is>
      </c>
      <c r="D170" s="15" t="inlineStr">
        <is>
          <t>RESULTADO DEL EJERCICIO</t>
        </is>
      </c>
      <c r="E170" s="15" t="inlineStr">
        <is>
          <t>RESULTADO ANTES DE IMPUESTOS</t>
        </is>
      </c>
      <c r="F170" s="15" t="inlineStr">
        <is>
          <t>RESULTADO DE LA EXPLOTACION</t>
        </is>
      </c>
      <c r="G170" s="15" t="inlineStr">
        <is>
          <t>7.- Otros gastos de explotación</t>
        </is>
      </c>
      <c r="H170" s="15" t="inlineStr">
        <is>
          <t>(629) Otros servicios</t>
        </is>
      </c>
      <c r="I170" s="15" t="inlineStr">
        <is>
          <t>629000015 MATERIAL DE OFICINA</t>
        </is>
      </c>
      <c r="J170" s="15" t="inlineStr">
        <is>
          <t>-</t>
        </is>
      </c>
      <c r="K170" s="13" t="n">
        <v>-156.84</v>
      </c>
      <c r="L170" s="13" t="n">
        <v>-156.84</v>
      </c>
      <c r="M170" s="13" t="n">
        <v>-156.84</v>
      </c>
      <c r="N170" s="13" t="n">
        <v>-156.84</v>
      </c>
      <c r="O170" s="13" t="n">
        <v>-156.84</v>
      </c>
      <c r="P170" s="13" t="n">
        <v>-156.84</v>
      </c>
      <c r="Q170" s="13" t="n">
        <v>-156.84</v>
      </c>
      <c r="R170" s="13" t="n">
        <v>-156.84</v>
      </c>
      <c r="S170" s="13" t="n">
        <v>-156.84</v>
      </c>
      <c r="T170" s="13" t="n">
        <v>-156.84</v>
      </c>
      <c r="U170" s="13" t="n">
        <v>-156.84</v>
      </c>
      <c r="V170" s="13" t="n">
        <v>-156.84</v>
      </c>
      <c r="W170" s="13">
        <f>SUM(K170:V170)</f>
        <v/>
      </c>
      <c r="X170" s="8" t="inlineStr">
        <is>
          <t>Coste operativo general de estructura y servicios de oficinas/fábrica.</t>
        </is>
      </c>
    </row>
    <row r="171">
      <c r="B171" t="n">
        <v>2027</v>
      </c>
      <c r="C171" s="15" t="inlineStr">
        <is>
          <t>Codiagro</t>
        </is>
      </c>
      <c r="D171" s="15" t="inlineStr">
        <is>
          <t>RESULTADO DEL EJERCICIO</t>
        </is>
      </c>
      <c r="E171" s="15" t="inlineStr">
        <is>
          <t>RESULTADO ANTES DE IMPUESTOS</t>
        </is>
      </c>
      <c r="F171" s="15" t="inlineStr">
        <is>
          <t>RESULTADO DE LA EXPLOTACION</t>
        </is>
      </c>
      <c r="G171" s="15" t="inlineStr">
        <is>
          <t>7.- Otros gastos de explotación</t>
        </is>
      </c>
      <c r="H171" s="15" t="inlineStr">
        <is>
          <t>(629) Otros servicios</t>
        </is>
      </c>
      <c r="I171" s="15" t="inlineStr">
        <is>
          <t>629000016 HERRAMIENTAS</t>
        </is>
      </c>
      <c r="J171" s="15" t="inlineStr">
        <is>
          <t>-</t>
        </is>
      </c>
      <c r="K171" s="13" t="n">
        <v>-500.03</v>
      </c>
      <c r="L171" s="13" t="n">
        <v>-500.03</v>
      </c>
      <c r="M171" s="13" t="n">
        <v>-500.03</v>
      </c>
      <c r="N171" s="13" t="n">
        <v>-500.03</v>
      </c>
      <c r="O171" s="13" t="n">
        <v>-500.03</v>
      </c>
      <c r="P171" s="13" t="n">
        <v>-500.03</v>
      </c>
      <c r="Q171" s="13" t="n">
        <v>-500.03</v>
      </c>
      <c r="R171" s="13" t="n">
        <v>-500.03</v>
      </c>
      <c r="S171" s="13" t="n">
        <v>-500.03</v>
      </c>
      <c r="T171" s="13" t="n">
        <v>-500.03</v>
      </c>
      <c r="U171" s="13" t="n">
        <v>-500.03</v>
      </c>
      <c r="V171" s="13" t="n">
        <v>-500.03</v>
      </c>
      <c r="W171" s="13">
        <f>SUM(K171:V171)</f>
        <v/>
      </c>
      <c r="X171" s="8" t="inlineStr">
        <is>
          <t>Coste operativo general de estructura y servicios de oficinas/fábrica.</t>
        </is>
      </c>
    </row>
    <row r="172">
      <c r="B172" t="n">
        <v>2027</v>
      </c>
      <c r="C172" s="15" t="inlineStr">
        <is>
          <t>Codiagro</t>
        </is>
      </c>
      <c r="D172" s="15" t="inlineStr">
        <is>
          <t>RESULTADO DEL EJERCICIO</t>
        </is>
      </c>
      <c r="E172" s="15" t="inlineStr">
        <is>
          <t>RESULTADO ANTES DE IMPUESTOS</t>
        </is>
      </c>
      <c r="F172" s="15" t="inlineStr">
        <is>
          <t>RESULTADO DE LA EXPLOTACION</t>
        </is>
      </c>
      <c r="G172" s="15" t="inlineStr">
        <is>
          <t>7.- Otros gastos de explotación</t>
        </is>
      </c>
      <c r="H172" s="15" t="inlineStr">
        <is>
          <t>(629) Otros servicios</t>
        </is>
      </c>
      <c r="I172" s="15" t="inlineStr">
        <is>
          <t>629100001 - GASTOS COMERCIALES PERE PORTA</t>
        </is>
      </c>
      <c r="J172" s="15" t="inlineStr">
        <is>
          <t>-</t>
        </is>
      </c>
      <c r="K172" s="13" t="n">
        <v>-3200</v>
      </c>
      <c r="L172" s="13" t="n">
        <v>-3200</v>
      </c>
      <c r="M172" s="13" t="n">
        <v>-3200</v>
      </c>
      <c r="N172" s="13" t="n">
        <v>-3200</v>
      </c>
      <c r="O172" s="13" t="n">
        <v>-3200</v>
      </c>
      <c r="P172" s="13" t="n">
        <v>-3200</v>
      </c>
      <c r="Q172" s="13" t="n">
        <v>-3200</v>
      </c>
      <c r="R172" s="13" t="n">
        <v>-3200</v>
      </c>
      <c r="S172" s="13" t="n">
        <v>-3200</v>
      </c>
      <c r="T172" s="13" t="n">
        <v>-3200</v>
      </c>
      <c r="U172" s="13" t="n">
        <v>-3200</v>
      </c>
      <c r="V172" s="13" t="n">
        <v>-3200</v>
      </c>
      <c r="W172" s="13">
        <f>SUM(K172:V172)</f>
        <v/>
      </c>
      <c r="X172" s="8" t="inlineStr">
        <is>
          <t>Gastos comerciales de viaje, kilometraje y dietas vinculados a visitas y prospección de clientes.</t>
        </is>
      </c>
    </row>
    <row r="173">
      <c r="B173" t="n">
        <v>2027</v>
      </c>
      <c r="C173" s="15" t="inlineStr">
        <is>
          <t>Codiagro</t>
        </is>
      </c>
      <c r="D173" s="15" t="inlineStr">
        <is>
          <t>RESULTADO DEL EJERCICIO</t>
        </is>
      </c>
      <c r="E173" s="15" t="inlineStr">
        <is>
          <t>RESULTADO ANTES DE IMPUESTOS</t>
        </is>
      </c>
      <c r="F173" s="15" t="inlineStr">
        <is>
          <t>RESULTADO DE LA EXPLOTACION</t>
        </is>
      </c>
      <c r="G173" s="15" t="inlineStr">
        <is>
          <t>7.- Otros gastos de explotación</t>
        </is>
      </c>
      <c r="H173" s="15" t="inlineStr">
        <is>
          <t>(629) Otros servicios</t>
        </is>
      </c>
      <c r="I173" s="15" t="inlineStr">
        <is>
          <t>629100002 - GASTOS RICARDO PEREZ-SANTAMARINA</t>
        </is>
      </c>
      <c r="J173" s="15" t="inlineStr">
        <is>
          <t>-</t>
        </is>
      </c>
      <c r="K173" s="13" t="n">
        <v>-2300</v>
      </c>
      <c r="L173" s="13" t="n">
        <v>-2300</v>
      </c>
      <c r="M173" s="13" t="n">
        <v>-2300</v>
      </c>
      <c r="N173" s="13" t="n">
        <v>-2300</v>
      </c>
      <c r="O173" s="13" t="n">
        <v>-2300</v>
      </c>
      <c r="P173" s="13" t="n">
        <v>-2300</v>
      </c>
      <c r="Q173" s="13" t="n">
        <v>-2300</v>
      </c>
      <c r="R173" s="13" t="n">
        <v>-2300</v>
      </c>
      <c r="S173" s="13" t="n">
        <v>-2300</v>
      </c>
      <c r="T173" s="13" t="n">
        <v>-2300</v>
      </c>
      <c r="U173" s="13" t="n">
        <v>-2300</v>
      </c>
      <c r="V173" s="13" t="n">
        <v>-2300</v>
      </c>
      <c r="W173" s="13">
        <f>SUM(K173:V173)</f>
        <v/>
      </c>
      <c r="X173" s="8" t="inlineStr">
        <is>
          <t>Gastos comerciales de viaje, representación y prospección comercial en zona asignada.</t>
        </is>
      </c>
    </row>
    <row r="174">
      <c r="B174" t="n">
        <v>2027</v>
      </c>
      <c r="C174" s="15" t="inlineStr">
        <is>
          <t>Codiagro</t>
        </is>
      </c>
      <c r="D174" s="15" t="inlineStr">
        <is>
          <t>RESULTADO DEL EJERCICIO</t>
        </is>
      </c>
      <c r="E174" s="15" t="inlineStr">
        <is>
          <t>RESULTADO ANTES DE IMPUESTOS</t>
        </is>
      </c>
      <c r="F174" s="15" t="inlineStr">
        <is>
          <t>RESULTADO DE LA EXPLOTACION</t>
        </is>
      </c>
      <c r="G174" s="15" t="inlineStr">
        <is>
          <t>7.- Otros gastos de explotación</t>
        </is>
      </c>
      <c r="H174" s="15" t="inlineStr">
        <is>
          <t>(629) Otros servicios</t>
        </is>
      </c>
      <c r="I174" s="15" t="inlineStr">
        <is>
          <t>629100003 - GASTOS JAVIER PAREDES</t>
        </is>
      </c>
      <c r="J174" s="15" t="inlineStr">
        <is>
          <t>-</t>
        </is>
      </c>
      <c r="K174" s="13" t="n">
        <v>-1092.45</v>
      </c>
      <c r="L174" s="13" t="n">
        <v>-1092.45</v>
      </c>
      <c r="M174" s="13" t="n">
        <v>-1092.45</v>
      </c>
      <c r="N174" s="13" t="n">
        <v>-1092.45</v>
      </c>
      <c r="O174" s="13" t="n">
        <v>-1092.45</v>
      </c>
      <c r="P174" s="13" t="n">
        <v>-1092.45</v>
      </c>
      <c r="Q174" s="13" t="n">
        <v>-1092.45</v>
      </c>
      <c r="R174" s="13" t="n">
        <v>-1092.45</v>
      </c>
      <c r="S174" s="13" t="n">
        <v>-1092.45</v>
      </c>
      <c r="T174" s="13" t="n">
        <v>-1092.45</v>
      </c>
      <c r="U174" s="13" t="n">
        <v>-1092.45</v>
      </c>
      <c r="V174" s="13" t="n">
        <v>-1092.45</v>
      </c>
      <c r="W174" s="13">
        <f>SUM(K174:V174)</f>
        <v/>
      </c>
      <c r="X174" s="8" t="inlineStr">
        <is>
          <t>Coste operativo general de estructura y servicios de oficinas/fábrica.</t>
        </is>
      </c>
    </row>
    <row r="175">
      <c r="B175" t="n">
        <v>2027</v>
      </c>
      <c r="C175" s="15" t="inlineStr">
        <is>
          <t>Codiagro</t>
        </is>
      </c>
      <c r="D175" s="15" t="inlineStr">
        <is>
          <t>RESULTADO DEL EJERCICIO</t>
        </is>
      </c>
      <c r="E175" s="15" t="inlineStr">
        <is>
          <t>RESULTADO ANTES DE IMPUESTOS</t>
        </is>
      </c>
      <c r="F175" s="15" t="inlineStr">
        <is>
          <t>RESULTADO DE LA EXPLOTACION</t>
        </is>
      </c>
      <c r="G175" s="15" t="inlineStr">
        <is>
          <t>7.- Otros gastos de explotación</t>
        </is>
      </c>
      <c r="H175" s="15" t="inlineStr">
        <is>
          <t>(629) Otros servicios</t>
        </is>
      </c>
      <c r="I175" s="15" t="inlineStr">
        <is>
          <t>629100004 - GASTOS GARCIA</t>
        </is>
      </c>
      <c r="J175" s="15" t="inlineStr">
        <is>
          <t>-</t>
        </is>
      </c>
      <c r="K175" s="13" t="n">
        <v>-800.04</v>
      </c>
      <c r="L175" s="13" t="n">
        <v>-800.04</v>
      </c>
      <c r="M175" s="13" t="n">
        <v>-800.04</v>
      </c>
      <c r="N175" s="13" t="n">
        <v>-800.04</v>
      </c>
      <c r="O175" s="13" t="n">
        <v>-800.04</v>
      </c>
      <c r="P175" s="13" t="n">
        <v>-800.04</v>
      </c>
      <c r="Q175" s="13" t="n">
        <v>-800.04</v>
      </c>
      <c r="R175" s="13" t="n">
        <v>-800.04</v>
      </c>
      <c r="S175" s="13" t="n">
        <v>-800.04</v>
      </c>
      <c r="T175" s="13" t="n">
        <v>-800.04</v>
      </c>
      <c r="U175" s="13" t="n">
        <v>-800.04</v>
      </c>
      <c r="V175" s="13" t="n">
        <v>-800.04</v>
      </c>
      <c r="W175" s="13">
        <f>SUM(K175:V175)</f>
        <v/>
      </c>
      <c r="X175" s="8" t="inlineStr">
        <is>
          <t>Coste operativo general de estructura y servicios de oficinas/fábrica.</t>
        </is>
      </c>
    </row>
    <row r="176">
      <c r="B176" t="n">
        <v>2027</v>
      </c>
      <c r="C176" s="15" t="inlineStr">
        <is>
          <t>Codiagro</t>
        </is>
      </c>
      <c r="D176" s="15" t="inlineStr">
        <is>
          <t>RESULTADO DEL EJERCICIO</t>
        </is>
      </c>
      <c r="E176" s="15" t="inlineStr">
        <is>
          <t>RESULTADO ANTES DE IMPUESTOS</t>
        </is>
      </c>
      <c r="F176" s="15" t="inlineStr">
        <is>
          <t>RESULTADO DE LA EXPLOTACION</t>
        </is>
      </c>
      <c r="G176" s="15" t="inlineStr">
        <is>
          <t>7.- Otros gastos de explotación</t>
        </is>
      </c>
      <c r="H176" s="15" t="inlineStr">
        <is>
          <t>(629) Otros servicios</t>
        </is>
      </c>
      <c r="I176" s="15" t="inlineStr">
        <is>
          <t>629100005 - GASTOS IRENE</t>
        </is>
      </c>
      <c r="J176" s="15" t="inlineStr">
        <is>
          <t>-</t>
        </is>
      </c>
      <c r="K176" s="13" t="n">
        <v>-422.84</v>
      </c>
      <c r="L176" s="13" t="n">
        <v>-422.84</v>
      </c>
      <c r="M176" s="13" t="n">
        <v>-422.84</v>
      </c>
      <c r="N176" s="13" t="n">
        <v>-422.84</v>
      </c>
      <c r="O176" s="13" t="n">
        <v>-422.84</v>
      </c>
      <c r="P176" s="13" t="n">
        <v>-422.84</v>
      </c>
      <c r="Q176" s="13" t="n">
        <v>-422.84</v>
      </c>
      <c r="R176" s="13" t="n">
        <v>-422.84</v>
      </c>
      <c r="S176" s="13" t="n">
        <v>-422.84</v>
      </c>
      <c r="T176" s="13" t="n">
        <v>-422.84</v>
      </c>
      <c r="U176" s="13" t="n">
        <v>-422.84</v>
      </c>
      <c r="V176" s="13" t="n">
        <v>-422.84</v>
      </c>
      <c r="W176" s="13">
        <f>SUM(K176:V176)</f>
        <v/>
      </c>
      <c r="X176" s="8" t="inlineStr">
        <is>
          <t>Coste operativo general de estructura y servicios de oficinas/fábrica.</t>
        </is>
      </c>
    </row>
    <row r="177">
      <c r="B177" t="n">
        <v>2027</v>
      </c>
      <c r="C177" s="15" t="inlineStr">
        <is>
          <t>Codiagro</t>
        </is>
      </c>
      <c r="D177" s="15" t="inlineStr">
        <is>
          <t>RESULTADO DEL EJERCICIO</t>
        </is>
      </c>
      <c r="E177" s="15" t="inlineStr">
        <is>
          <t>RESULTADO ANTES DE IMPUESTOS</t>
        </is>
      </c>
      <c r="F177" s="15" t="inlineStr">
        <is>
          <t>RESULTADO DE LA EXPLOTACION</t>
        </is>
      </c>
      <c r="G177" s="15" t="inlineStr">
        <is>
          <t>7.- Otros gastos de explotación</t>
        </is>
      </c>
      <c r="H177" s="15" t="inlineStr">
        <is>
          <t>(629) Otros servicios</t>
        </is>
      </c>
      <c r="I177" s="15" t="inlineStr">
        <is>
          <t>629100006 - GASTOS ANTONIO ANDREU</t>
        </is>
      </c>
      <c r="J177" s="15" t="inlineStr">
        <is>
          <t>-</t>
        </is>
      </c>
      <c r="K177" s="13" t="n">
        <v>-202.44</v>
      </c>
      <c r="L177" s="13" t="n">
        <v>-202.44</v>
      </c>
      <c r="M177" s="13" t="n">
        <v>-202.44</v>
      </c>
      <c r="N177" s="13" t="n">
        <v>-202.44</v>
      </c>
      <c r="O177" s="13" t="n">
        <v>-202.44</v>
      </c>
      <c r="P177" s="13" t="n">
        <v>-202.44</v>
      </c>
      <c r="Q177" s="13" t="n">
        <v>-202.44</v>
      </c>
      <c r="R177" s="13" t="n">
        <v>-202.44</v>
      </c>
      <c r="S177" s="13" t="n">
        <v>-202.44</v>
      </c>
      <c r="T177" s="13" t="n">
        <v>-202.44</v>
      </c>
      <c r="U177" s="13" t="n">
        <v>-202.44</v>
      </c>
      <c r="V177" s="13" t="n">
        <v>-202.44</v>
      </c>
      <c r="W177" s="13">
        <f>SUM(K177:V177)</f>
        <v/>
      </c>
      <c r="X177" s="8" t="inlineStr">
        <is>
          <t>Coste operativo general de estructura y servicios de oficinas/fábrica.</t>
        </is>
      </c>
    </row>
    <row r="178">
      <c r="B178" t="n">
        <v>2027</v>
      </c>
      <c r="C178" s="15" t="inlineStr">
        <is>
          <t>Codiagro</t>
        </is>
      </c>
      <c r="D178" s="15" t="inlineStr">
        <is>
          <t>RESULTADO DEL EJERCICIO</t>
        </is>
      </c>
      <c r="E178" s="15" t="inlineStr">
        <is>
          <t>RESULTADO ANTES DE IMPUESTOS</t>
        </is>
      </c>
      <c r="F178" s="15" t="inlineStr">
        <is>
          <t>RESULTADO DE LA EXPLOTACION</t>
        </is>
      </c>
      <c r="G178" s="15" t="inlineStr">
        <is>
          <t>7.- Otros gastos de explotación</t>
        </is>
      </c>
      <c r="H178" s="15" t="inlineStr">
        <is>
          <t>(629) Otros servicios</t>
        </is>
      </c>
      <c r="I178" s="15" t="inlineStr">
        <is>
          <t>629100007 - GASTOS CURRO</t>
        </is>
      </c>
      <c r="J178" s="15" t="inlineStr">
        <is>
          <t>-</t>
        </is>
      </c>
      <c r="K178" s="13" t="n">
        <v>-91.05</v>
      </c>
      <c r="L178" s="13" t="n">
        <v>-91.05</v>
      </c>
      <c r="M178" s="13" t="n">
        <v>-91.05</v>
      </c>
      <c r="N178" s="13" t="n">
        <v>-91.05</v>
      </c>
      <c r="O178" s="13" t="n">
        <v>-91.05</v>
      </c>
      <c r="P178" s="13" t="n">
        <v>-91.05</v>
      </c>
      <c r="Q178" s="13" t="n">
        <v>-91.05</v>
      </c>
      <c r="R178" s="13" t="n">
        <v>-91.05</v>
      </c>
      <c r="S178" s="13" t="n">
        <v>-91.05</v>
      </c>
      <c r="T178" s="13" t="n">
        <v>-91.05</v>
      </c>
      <c r="U178" s="13" t="n">
        <v>-91.05</v>
      </c>
      <c r="V178" s="13" t="n">
        <v>-91.05</v>
      </c>
      <c r="W178" s="13">
        <f>SUM(K178:V178)</f>
        <v/>
      </c>
      <c r="X178" s="8" t="inlineStr">
        <is>
          <t>Coste operativo general de estructura y servicios de oficinas/fábrica.</t>
        </is>
      </c>
    </row>
    <row r="179">
      <c r="B179" t="n">
        <v>2027</v>
      </c>
      <c r="C179" s="15" t="inlineStr">
        <is>
          <t>Codiagro</t>
        </is>
      </c>
      <c r="D179" s="15" t="inlineStr">
        <is>
          <t>RESULTADO DEL EJERCICIO</t>
        </is>
      </c>
      <c r="E179" s="15" t="inlineStr">
        <is>
          <t>RESULTADO ANTES DE IMPUESTOS</t>
        </is>
      </c>
      <c r="F179" s="15" t="inlineStr">
        <is>
          <t>RESULTADO DE LA EXPLOTACION</t>
        </is>
      </c>
      <c r="G179" s="15" t="inlineStr">
        <is>
          <t>7.- Otros gastos de explotación</t>
        </is>
      </c>
      <c r="H179" s="15" t="inlineStr">
        <is>
          <t>(629) Otros servicios</t>
        </is>
      </c>
      <c r="I179" s="15" t="inlineStr">
        <is>
          <t>629100008 GASTOS PEDRO MEDINA</t>
        </is>
      </c>
      <c r="J179" s="15" t="inlineStr">
        <is>
          <t>-</t>
        </is>
      </c>
      <c r="K179" s="13" t="n">
        <v>-141.14</v>
      </c>
      <c r="L179" s="13" t="n">
        <v>-141.14</v>
      </c>
      <c r="M179" s="13" t="n">
        <v>-141.14</v>
      </c>
      <c r="N179" s="13" t="n">
        <v>-141.14</v>
      </c>
      <c r="O179" s="13" t="n">
        <v>-141.14</v>
      </c>
      <c r="P179" s="13" t="n">
        <v>-141.14</v>
      </c>
      <c r="Q179" s="13" t="n">
        <v>-141.14</v>
      </c>
      <c r="R179" s="13" t="n">
        <v>-141.14</v>
      </c>
      <c r="S179" s="13" t="n">
        <v>-141.14</v>
      </c>
      <c r="T179" s="13" t="n">
        <v>-141.14</v>
      </c>
      <c r="U179" s="13" t="n">
        <v>-141.14</v>
      </c>
      <c r="V179" s="13" t="n">
        <v>-141.14</v>
      </c>
      <c r="W179" s="13">
        <f>SUM(K179:V179)</f>
        <v/>
      </c>
      <c r="X179" s="8" t="inlineStr">
        <is>
          <t>Coste operativo general de estructura y servicios de oficinas/fábrica.</t>
        </is>
      </c>
    </row>
    <row r="180">
      <c r="B180" t="n">
        <v>2027</v>
      </c>
      <c r="C180" s="15" t="inlineStr">
        <is>
          <t>Codiagro</t>
        </is>
      </c>
      <c r="D180" s="15" t="inlineStr">
        <is>
          <t>RESULTADO DEL EJERCICIO</t>
        </is>
      </c>
      <c r="E180" s="15" t="inlineStr">
        <is>
          <t>RESULTADO ANTES DE IMPUESTOS</t>
        </is>
      </c>
      <c r="F180" s="15" t="inlineStr">
        <is>
          <t>RESULTADO DE LA EXPLOTACION</t>
        </is>
      </c>
      <c r="G180" s="15" t="inlineStr">
        <is>
          <t>7.- Otros gastos de explotación</t>
        </is>
      </c>
      <c r="H180" s="15" t="inlineStr">
        <is>
          <t>(631) Otros tributos</t>
        </is>
      </c>
      <c r="I180" s="15" t="inlineStr">
        <is>
          <t>631000001 - IMPUESTOS VEHÍCULOS</t>
        </is>
      </c>
      <c r="J180" s="15" t="inlineStr">
        <is>
          <t>-</t>
        </is>
      </c>
      <c r="K180" s="13" t="n">
        <v>-156.06</v>
      </c>
      <c r="L180" s="13" t="n">
        <v>-156.06</v>
      </c>
      <c r="M180" s="13" t="n">
        <v>-156.06</v>
      </c>
      <c r="N180" s="13" t="n">
        <v>-156.06</v>
      </c>
      <c r="O180" s="13" t="n">
        <v>-156.06</v>
      </c>
      <c r="P180" s="13" t="n">
        <v>-156.06</v>
      </c>
      <c r="Q180" s="13" t="n">
        <v>-156.06</v>
      </c>
      <c r="R180" s="13" t="n">
        <v>-156.06</v>
      </c>
      <c r="S180" s="13" t="n">
        <v>-156.06</v>
      </c>
      <c r="T180" s="13" t="n">
        <v>-156.06</v>
      </c>
      <c r="U180" s="13" t="n">
        <v>-156.06</v>
      </c>
      <c r="V180" s="13" t="n">
        <v>-156.06</v>
      </c>
      <c r="W180" s="13">
        <f>SUM(K180:V180)</f>
        <v/>
      </c>
      <c r="X180" s="8" t="inlineStr">
        <is>
          <t>Coste fijo tributario: tasas municipales y tributos recurrentes de la actividad.</t>
        </is>
      </c>
    </row>
    <row r="181">
      <c r="B181" t="n">
        <v>2027</v>
      </c>
      <c r="C181" s="15" t="inlineStr">
        <is>
          <t>Codiagro</t>
        </is>
      </c>
      <c r="D181" s="15" t="inlineStr">
        <is>
          <t>RESULTADO DEL EJERCICIO</t>
        </is>
      </c>
      <c r="E181" s="15" t="inlineStr">
        <is>
          <t>RESULTADO ANTES DE IMPUESTOS</t>
        </is>
      </c>
      <c r="F181" s="15" t="inlineStr">
        <is>
          <t>RESULTADO DE LA EXPLOTACION</t>
        </is>
      </c>
      <c r="G181" s="15" t="inlineStr">
        <is>
          <t>7.- Otros gastos de explotación</t>
        </is>
      </c>
      <c r="H181" s="15" t="inlineStr">
        <is>
          <t>(631) Otros tributos</t>
        </is>
      </c>
      <c r="I181" s="15" t="inlineStr">
        <is>
          <t>631000002 - TASAS</t>
        </is>
      </c>
      <c r="J181" s="15" t="inlineStr">
        <is>
          <t>-</t>
        </is>
      </c>
      <c r="K181" s="13" t="n">
        <v>-581.49</v>
      </c>
      <c r="L181" s="13" t="n">
        <v>-581.49</v>
      </c>
      <c r="M181" s="13" t="n">
        <v>-581.49</v>
      </c>
      <c r="N181" s="13" t="n">
        <v>-581.49</v>
      </c>
      <c r="O181" s="13" t="n">
        <v>-581.49</v>
      </c>
      <c r="P181" s="13" t="n">
        <v>-581.49</v>
      </c>
      <c r="Q181" s="13" t="n">
        <v>-581.49</v>
      </c>
      <c r="R181" s="13" t="n">
        <v>-581.49</v>
      </c>
      <c r="S181" s="13" t="n">
        <v>-581.49</v>
      </c>
      <c r="T181" s="13" t="n">
        <v>-581.49</v>
      </c>
      <c r="U181" s="13" t="n">
        <v>-581.49</v>
      </c>
      <c r="V181" s="13" t="n">
        <v>-581.49</v>
      </c>
      <c r="W181" s="13">
        <f>SUM(K181:V181)</f>
        <v/>
      </c>
      <c r="X181" s="8" t="inlineStr">
        <is>
          <t>Coste fijo tributario: tasas municipales y tributos recurrentes de la actividad.</t>
        </is>
      </c>
    </row>
    <row r="182">
      <c r="B182" t="n">
        <v>2027</v>
      </c>
      <c r="C182" s="15" t="inlineStr">
        <is>
          <t>Codiagro</t>
        </is>
      </c>
      <c r="D182" s="15" t="inlineStr">
        <is>
          <t>RESULTADO DEL EJERCICIO</t>
        </is>
      </c>
      <c r="E182" s="15" t="inlineStr">
        <is>
          <t>RESULTADO ANTES DE IMPUESTOS</t>
        </is>
      </c>
      <c r="F182" s="15" t="inlineStr">
        <is>
          <t>RESULTADO DE LA EXPLOTACION</t>
        </is>
      </c>
      <c r="G182" s="15" t="inlineStr">
        <is>
          <t>7.- Otros gastos de explotación</t>
        </is>
      </c>
      <c r="H182" s="15" t="inlineStr">
        <is>
          <t>(631) Otros tributos</t>
        </is>
      </c>
      <c r="I182" s="15" t="inlineStr">
        <is>
          <t>631000004 IBIB</t>
        </is>
      </c>
      <c r="J182" s="15" t="inlineStr">
        <is>
          <t>-</t>
        </is>
      </c>
      <c r="K182" s="13" t="n">
        <v>-7396.59</v>
      </c>
      <c r="L182" s="13" t="n">
        <v>-7396.59</v>
      </c>
      <c r="M182" s="13" t="n">
        <v>-7396.59</v>
      </c>
      <c r="N182" s="13" t="n">
        <v>-7396.59</v>
      </c>
      <c r="O182" s="13" t="n">
        <v>-7396.59</v>
      </c>
      <c r="P182" s="13" t="n">
        <v>-7396.59</v>
      </c>
      <c r="Q182" s="13" t="n">
        <v>-7396.59</v>
      </c>
      <c r="R182" s="13" t="n">
        <v>-7396.59</v>
      </c>
      <c r="S182" s="13" t="n">
        <v>-7396.59</v>
      </c>
      <c r="T182" s="13" t="n">
        <v>-7396.59</v>
      </c>
      <c r="U182" s="13" t="n">
        <v>-7396.59</v>
      </c>
      <c r="V182" s="13" t="n">
        <v>-7396.59</v>
      </c>
      <c r="W182" s="13">
        <f>SUM(K182:V182)</f>
        <v/>
      </c>
      <c r="X182" s="8" t="inlineStr">
        <is>
          <t>Coste fijo tributario: tasas municipales y tributos recurrentes de la actividad.</t>
        </is>
      </c>
    </row>
    <row r="183">
      <c r="B183" t="n">
        <v>2027</v>
      </c>
      <c r="C183" s="15" t="inlineStr">
        <is>
          <t>Codiagro</t>
        </is>
      </c>
      <c r="D183" s="15" t="inlineStr">
        <is>
          <t>RESULTADO DEL EJERCICIO</t>
        </is>
      </c>
      <c r="E183" s="15" t="inlineStr">
        <is>
          <t>RESULTADO ANTES DE IMPUESTOS</t>
        </is>
      </c>
      <c r="F183" s="15" t="inlineStr">
        <is>
          <t>RESULTADO DE LA EXPLOTACION</t>
        </is>
      </c>
      <c r="G183" s="15" t="inlineStr">
        <is>
          <t>7.- Otros gastos de explotación</t>
        </is>
      </c>
      <c r="H183" s="15" t="inlineStr">
        <is>
          <t>(631) Otros tributos</t>
        </is>
      </c>
      <c r="I183" s="15" t="inlineStr">
        <is>
          <t>631000006 - IMPUESTO PLASTICO NO RECICLADO</t>
        </is>
      </c>
      <c r="J183" s="15" t="inlineStr">
        <is>
          <t>-</t>
        </is>
      </c>
      <c r="K183" s="13" t="n">
        <v>-2516.21</v>
      </c>
      <c r="L183" s="13" t="n">
        <v>-4075.81</v>
      </c>
      <c r="M183" s="13" t="n">
        <v>-3909.7</v>
      </c>
      <c r="N183" s="13" t="n">
        <v>-3147.65</v>
      </c>
      <c r="O183" s="13" t="n">
        <v>-5167.87</v>
      </c>
      <c r="P183" s="13" t="n">
        <v>-5124.86</v>
      </c>
      <c r="Q183" s="13" t="n">
        <v>-3251.56</v>
      </c>
      <c r="R183" s="13" t="n">
        <v>-2075.09</v>
      </c>
      <c r="S183" s="13" t="n">
        <v>-1205.37</v>
      </c>
      <c r="T183" s="13" t="n">
        <v>-2015.85</v>
      </c>
      <c r="U183" s="13" t="n">
        <v>-3116.01</v>
      </c>
      <c r="V183" s="13" t="n">
        <v>-3417.97</v>
      </c>
      <c r="W183" s="13">
        <f>SUM(K183:V183)</f>
        <v/>
      </c>
      <c r="X183" s="8" t="inlineStr">
        <is>
          <t>Coste variable regulatorio sobre envases de plástico virgen envasados.</t>
        </is>
      </c>
    </row>
    <row r="184">
      <c r="B184" t="n">
        <v>2027</v>
      </c>
      <c r="C184" s="15" t="inlineStr">
        <is>
          <t>Codiagro</t>
        </is>
      </c>
      <c r="D184" s="15" t="inlineStr">
        <is>
          <t>RESULTADO DEL EJERCICIO</t>
        </is>
      </c>
      <c r="E184" s="15" t="inlineStr">
        <is>
          <t>RESULTADO ANTES DE IMPUESTOS</t>
        </is>
      </c>
      <c r="F184" s="15" t="inlineStr">
        <is>
          <t>RESULTADO DE LA EXPLOTACION</t>
        </is>
      </c>
      <c r="G184" s="15" t="inlineStr">
        <is>
          <t>7.- Otros gastos de explotación</t>
        </is>
      </c>
      <c r="H184" s="15" t="inlineStr">
        <is>
          <t>(634) Ajustes negativos en la imposición indirecta</t>
        </is>
      </c>
      <c r="I184" s="15" t="inlineStr">
        <is>
          <t>634100000 - Ajustes negat. IVA circulante</t>
        </is>
      </c>
      <c r="J184" s="15" t="inlineStr">
        <is>
          <t>-</t>
        </is>
      </c>
      <c r="K184" s="13" t="n">
        <v>-691.02</v>
      </c>
      <c r="L184" s="13" t="n">
        <v>-691.02</v>
      </c>
      <c r="M184" s="13" t="n">
        <v>-691.02</v>
      </c>
      <c r="N184" s="13" t="n">
        <v>-691.02</v>
      </c>
      <c r="O184" s="13" t="n">
        <v>-691.02</v>
      </c>
      <c r="P184" s="13" t="n">
        <v>-691.02</v>
      </c>
      <c r="Q184" s="13" t="n">
        <v>-691.02</v>
      </c>
      <c r="R184" s="13" t="n">
        <v>-691.02</v>
      </c>
      <c r="S184" s="13" t="n">
        <v>-691.02</v>
      </c>
      <c r="T184" s="13" t="n">
        <v>-691.02</v>
      </c>
      <c r="U184" s="13" t="n">
        <v>-691.02</v>
      </c>
      <c r="V184" s="13" t="n">
        <v>-691.02</v>
      </c>
      <c r="W184" s="13">
        <f>SUM(K184:V184)</f>
        <v/>
      </c>
      <c r="X184" s="8" t="inlineStr">
        <is>
          <t>Proyección extrapolada de actividad recurrente.</t>
        </is>
      </c>
    </row>
    <row r="185">
      <c r="B185" t="n">
        <v>2027</v>
      </c>
      <c r="C185" s="15" t="inlineStr">
        <is>
          <t>Codiagro</t>
        </is>
      </c>
      <c r="D185" s="15" t="inlineStr">
        <is>
          <t>RESULTADO DEL EJERCICIO</t>
        </is>
      </c>
      <c r="E185" s="15" t="inlineStr">
        <is>
          <t>RESULTADO ANTES DE IMPUESTOS</t>
        </is>
      </c>
      <c r="F185" s="15" t="inlineStr">
        <is>
          <t>RESULTADO DE LA EXPLOTACION</t>
        </is>
      </c>
      <c r="G185" s="15" t="inlineStr">
        <is>
          <t>7.- Otros gastos de explotación</t>
        </is>
      </c>
      <c r="H185" s="15" t="inlineStr">
        <is>
          <t>(694) Pérdidas por op. Comerciales</t>
        </is>
      </c>
      <c r="I185" s="15" t="inlineStr">
        <is>
          <t>694000000 - Pérdidas deterioro de créditos por op.comerciales</t>
        </is>
      </c>
      <c r="J185" s="15" t="inlineStr">
        <is>
          <t>-</t>
        </is>
      </c>
      <c r="K185" s="13" t="n">
        <v>-211.6</v>
      </c>
      <c r="L185" s="13" t="n">
        <v>-211.6</v>
      </c>
      <c r="M185" s="13" t="n">
        <v>-211.6</v>
      </c>
      <c r="N185" s="13" t="n">
        <v>-211.6</v>
      </c>
      <c r="O185" s="13" t="n">
        <v>-211.6</v>
      </c>
      <c r="P185" s="13" t="n">
        <v>-211.6</v>
      </c>
      <c r="Q185" s="13" t="n">
        <v>-211.6</v>
      </c>
      <c r="R185" s="13" t="n">
        <v>-211.6</v>
      </c>
      <c r="S185" s="13" t="n">
        <v>-211.6</v>
      </c>
      <c r="T185" s="13" t="n">
        <v>-211.6</v>
      </c>
      <c r="U185" s="13" t="n">
        <v>-211.6</v>
      </c>
      <c r="V185" s="13" t="n">
        <v>-211.6</v>
      </c>
      <c r="W185" s="13">
        <f>SUM(K185:V185)</f>
        <v/>
      </c>
      <c r="X185" s="8" t="inlineStr">
        <is>
          <t>Proyección extrapolada de actividad recurrente.</t>
        </is>
      </c>
    </row>
    <row r="186">
      <c r="B186" t="n">
        <v>2027</v>
      </c>
      <c r="C186" s="15" t="inlineStr">
        <is>
          <t>Codiagro</t>
        </is>
      </c>
      <c r="D186" s="15" t="inlineStr">
        <is>
          <t>RESULTADO DEL EJERCICIO</t>
        </is>
      </c>
      <c r="E186" s="15" t="inlineStr">
        <is>
          <t>RESULTADO ANTES DE IMPUESTOS</t>
        </is>
      </c>
      <c r="F186" s="15" t="inlineStr">
        <is>
          <t>RESULTADO DE LA EXPLOTACION</t>
        </is>
      </c>
      <c r="G186" s="15" t="inlineStr">
        <is>
          <t>8.- Amortización del inmovilizado</t>
        </is>
      </c>
      <c r="H186" s="15" t="inlineStr">
        <is>
          <t>(681) Amortización del inmovilizado material</t>
        </is>
      </c>
      <c r="I186" s="15" t="inlineStr">
        <is>
          <t>681100000 - Amortización de construcciones</t>
        </is>
      </c>
      <c r="J186" s="15" t="inlineStr">
        <is>
          <t>-</t>
        </is>
      </c>
      <c r="K186" s="13" t="n">
        <v>-3154.35</v>
      </c>
      <c r="L186" s="13" t="n">
        <v>-3154.35</v>
      </c>
      <c r="M186" s="13" t="n">
        <v>-3154.35</v>
      </c>
      <c r="N186" s="13" t="n">
        <v>-3154.35</v>
      </c>
      <c r="O186" s="13" t="n">
        <v>-3154.35</v>
      </c>
      <c r="P186" s="13" t="n">
        <v>-3154.35</v>
      </c>
      <c r="Q186" s="13" t="n">
        <v>-3154.35</v>
      </c>
      <c r="R186" s="13" t="n">
        <v>-3154.35</v>
      </c>
      <c r="S186" s="13" t="n">
        <v>-3154.35</v>
      </c>
      <c r="T186" s="13" t="n">
        <v>-3154.35</v>
      </c>
      <c r="U186" s="13" t="n">
        <v>-3154.35</v>
      </c>
      <c r="V186" s="13" t="n">
        <v>-3154.35</v>
      </c>
      <c r="W186" s="13">
        <f>SUM(K186:V186)</f>
        <v/>
      </c>
      <c r="X186" s="8" t="inlineStr">
        <is>
          <t>Coste fijo estricto: dotación lineal mensual calculada según las tablas oficiales de amortización fiscal y vida útil del inmovilizado.</t>
        </is>
      </c>
    </row>
    <row r="187">
      <c r="B187" t="n">
        <v>2027</v>
      </c>
      <c r="C187" s="15" t="inlineStr">
        <is>
          <t>Codiagro</t>
        </is>
      </c>
      <c r="D187" s="15" t="inlineStr">
        <is>
          <t>RESULTADO DEL EJERCICIO</t>
        </is>
      </c>
      <c r="E187" s="15" t="inlineStr">
        <is>
          <t>RESULTADO ANTES DE IMPUESTOS</t>
        </is>
      </c>
      <c r="F187" s="15" t="inlineStr">
        <is>
          <t>RESULTADO DE LA EXPLOTACION</t>
        </is>
      </c>
      <c r="G187" s="15" t="inlineStr">
        <is>
          <t>8.- Amortización del inmovilizado</t>
        </is>
      </c>
      <c r="H187" s="15" t="inlineStr">
        <is>
          <t>(681) Amortización del inmovilizado material</t>
        </is>
      </c>
      <c r="I187" s="15" t="inlineStr">
        <is>
          <t>681200000 - Amortización de instalaciones técnicas</t>
        </is>
      </c>
      <c r="J187" s="15" t="inlineStr">
        <is>
          <t>-</t>
        </is>
      </c>
      <c r="K187" s="13" t="n">
        <v>-5772</v>
      </c>
      <c r="L187" s="13" t="n">
        <v>-5772</v>
      </c>
      <c r="M187" s="13" t="n">
        <v>-5772</v>
      </c>
      <c r="N187" s="13" t="n">
        <v>-5772</v>
      </c>
      <c r="O187" s="13" t="n">
        <v>-5772</v>
      </c>
      <c r="P187" s="13" t="n">
        <v>-5772</v>
      </c>
      <c r="Q187" s="13" t="n">
        <v>-5772</v>
      </c>
      <c r="R187" s="13" t="n">
        <v>-5772</v>
      </c>
      <c r="S187" s="13" t="n">
        <v>-5772</v>
      </c>
      <c r="T187" s="13" t="n">
        <v>-5772</v>
      </c>
      <c r="U187" s="13" t="n">
        <v>-5772</v>
      </c>
      <c r="V187" s="13" t="n">
        <v>-5772</v>
      </c>
      <c r="W187" s="13">
        <f>SUM(K187:V187)</f>
        <v/>
      </c>
      <c r="X187" s="8" t="inlineStr">
        <is>
          <t>Coste fijo estricto: dotación lineal mensual calculada según las tablas oficiales de amortización fiscal y vida útil del inmovilizado.</t>
        </is>
      </c>
    </row>
    <row r="188">
      <c r="B188" t="n">
        <v>2027</v>
      </c>
      <c r="C188" s="15" t="inlineStr">
        <is>
          <t>Codiagro</t>
        </is>
      </c>
      <c r="D188" s="15" t="inlineStr">
        <is>
          <t>RESULTADO DEL EJERCICIO</t>
        </is>
      </c>
      <c r="E188" s="15" t="inlineStr">
        <is>
          <t>RESULTADO ANTES DE IMPUESTOS</t>
        </is>
      </c>
      <c r="F188" s="15" t="inlineStr">
        <is>
          <t>RESULTADO DE LA EXPLOTACION</t>
        </is>
      </c>
      <c r="G188" s="15" t="inlineStr">
        <is>
          <t>8.- Amortización del inmovilizado</t>
        </is>
      </c>
      <c r="H188" s="15" t="inlineStr">
        <is>
          <t>(681) Amortización del inmovilizado material</t>
        </is>
      </c>
      <c r="I188" s="15" t="inlineStr">
        <is>
          <t>681300000 - Amortización de maquinaria</t>
        </is>
      </c>
      <c r="J188" s="15" t="inlineStr">
        <is>
          <t>-</t>
        </is>
      </c>
      <c r="K188" s="13" t="n">
        <v>-6419</v>
      </c>
      <c r="L188" s="13" t="n">
        <v>-6419</v>
      </c>
      <c r="M188" s="13" t="n">
        <v>-6419</v>
      </c>
      <c r="N188" s="13" t="n">
        <v>-6419</v>
      </c>
      <c r="O188" s="13" t="n">
        <v>-6419</v>
      </c>
      <c r="P188" s="13" t="n">
        <v>-6419</v>
      </c>
      <c r="Q188" s="13" t="n">
        <v>-6419</v>
      </c>
      <c r="R188" s="13" t="n">
        <v>-6419</v>
      </c>
      <c r="S188" s="13" t="n">
        <v>-6419</v>
      </c>
      <c r="T188" s="13" t="n">
        <v>-6419</v>
      </c>
      <c r="U188" s="13" t="n">
        <v>-6419</v>
      </c>
      <c r="V188" s="13" t="n">
        <v>-6419</v>
      </c>
      <c r="W188" s="13">
        <f>SUM(K188:V188)</f>
        <v/>
      </c>
      <c r="X188" s="8" t="inlineStr">
        <is>
          <t>Coste fijo estricto: dotación lineal mensual calculada según las tablas oficiales de amortización fiscal y vida útil del inmovilizado.</t>
        </is>
      </c>
    </row>
    <row r="189">
      <c r="B189" t="n">
        <v>2027</v>
      </c>
      <c r="C189" s="15" t="inlineStr">
        <is>
          <t>Codiagro</t>
        </is>
      </c>
      <c r="D189" s="15" t="inlineStr">
        <is>
          <t>RESULTADO DEL EJERCICIO</t>
        </is>
      </c>
      <c r="E189" s="15" t="inlineStr">
        <is>
          <t>RESULTADO ANTES DE IMPUESTOS</t>
        </is>
      </c>
      <c r="F189" s="15" t="inlineStr">
        <is>
          <t>RESULTADO DE LA EXPLOTACION</t>
        </is>
      </c>
      <c r="G189" s="15" t="inlineStr">
        <is>
          <t>8.- Amortización del inmovilizado</t>
        </is>
      </c>
      <c r="H189" s="15" t="inlineStr">
        <is>
          <t>(681) Amortización del inmovilizado material</t>
        </is>
      </c>
      <c r="I189" s="15" t="inlineStr">
        <is>
          <t>681500000 - Amortización de otras instalaciones</t>
        </is>
      </c>
      <c r="J189" s="15" t="inlineStr">
        <is>
          <t>-</t>
        </is>
      </c>
      <c r="K189" s="13" t="n">
        <v>-1642</v>
      </c>
      <c r="L189" s="13" t="n">
        <v>-1642</v>
      </c>
      <c r="M189" s="13" t="n">
        <v>-1642</v>
      </c>
      <c r="N189" s="13" t="n">
        <v>-1642</v>
      </c>
      <c r="O189" s="13" t="n">
        <v>-1642</v>
      </c>
      <c r="P189" s="13" t="n">
        <v>-1642</v>
      </c>
      <c r="Q189" s="13" t="n">
        <v>-1642</v>
      </c>
      <c r="R189" s="13" t="n">
        <v>-1642</v>
      </c>
      <c r="S189" s="13" t="n">
        <v>-1642</v>
      </c>
      <c r="T189" s="13" t="n">
        <v>-1642</v>
      </c>
      <c r="U189" s="13" t="n">
        <v>-1642</v>
      </c>
      <c r="V189" s="13" t="n">
        <v>-1642</v>
      </c>
      <c r="W189" s="13">
        <f>SUM(K189:V189)</f>
        <v/>
      </c>
      <c r="X189" s="8" t="inlineStr">
        <is>
          <t>Coste fijo estricto: dotación lineal mensual calculada según las tablas oficiales de amortización fiscal y vida útil del inmovilizado.</t>
        </is>
      </c>
    </row>
    <row r="190">
      <c r="B190" t="n">
        <v>2027</v>
      </c>
      <c r="C190" s="15" t="inlineStr">
        <is>
          <t>Codiagro</t>
        </is>
      </c>
      <c r="D190" s="15" t="inlineStr">
        <is>
          <t>RESULTADO DEL EJERCICIO</t>
        </is>
      </c>
      <c r="E190" s="15" t="inlineStr">
        <is>
          <t>RESULTADO ANTES DE IMPUESTOS</t>
        </is>
      </c>
      <c r="F190" s="15" t="inlineStr">
        <is>
          <t>RESULTADO DE LA EXPLOTACION</t>
        </is>
      </c>
      <c r="G190" s="15" t="inlineStr">
        <is>
          <t>8.- Amortización del inmovilizado</t>
        </is>
      </c>
      <c r="H190" s="15" t="inlineStr">
        <is>
          <t>(681) Amortización del inmovilizado material</t>
        </is>
      </c>
      <c r="I190" s="15" t="inlineStr">
        <is>
          <t>681600000 - Amortización de mobiliario</t>
        </is>
      </c>
      <c r="J190" s="15" t="inlineStr">
        <is>
          <t>-</t>
        </is>
      </c>
      <c r="K190" s="13" t="n">
        <v>-1337</v>
      </c>
      <c r="L190" s="13" t="n">
        <v>-1337</v>
      </c>
      <c r="M190" s="13" t="n">
        <v>-1337</v>
      </c>
      <c r="N190" s="13" t="n">
        <v>-1337</v>
      </c>
      <c r="O190" s="13" t="n">
        <v>-1337</v>
      </c>
      <c r="P190" s="13" t="n">
        <v>-1337</v>
      </c>
      <c r="Q190" s="13" t="n">
        <v>-1337</v>
      </c>
      <c r="R190" s="13" t="n">
        <v>-1337</v>
      </c>
      <c r="S190" s="13" t="n">
        <v>-1337</v>
      </c>
      <c r="T190" s="13" t="n">
        <v>-1337</v>
      </c>
      <c r="U190" s="13" t="n">
        <v>-1337</v>
      </c>
      <c r="V190" s="13" t="n">
        <v>-1337</v>
      </c>
      <c r="W190" s="13">
        <f>SUM(K190:V190)</f>
        <v/>
      </c>
      <c r="X190" s="8" t="inlineStr">
        <is>
          <t>Coste fijo estricto: dotación lineal mensual calculada según las tablas oficiales de amortización fiscal y vida útil del inmovilizado.</t>
        </is>
      </c>
    </row>
    <row r="191">
      <c r="B191" t="n">
        <v>2027</v>
      </c>
      <c r="C191" s="15" t="inlineStr">
        <is>
          <t>Codiagro</t>
        </is>
      </c>
      <c r="D191" s="15" t="inlineStr">
        <is>
          <t>RESULTADO DEL EJERCICIO</t>
        </is>
      </c>
      <c r="E191" s="15" t="inlineStr">
        <is>
          <t>RESULTADO ANTES DE IMPUESTOS</t>
        </is>
      </c>
      <c r="F191" s="15" t="inlineStr">
        <is>
          <t>RESULTADO DE LA EXPLOTACION</t>
        </is>
      </c>
      <c r="G191" s="15" t="inlineStr">
        <is>
          <t>8.- Amortización del inmovilizado</t>
        </is>
      </c>
      <c r="H191" s="15" t="inlineStr">
        <is>
          <t>(681) Amortización del inmovilizado material</t>
        </is>
      </c>
      <c r="I191" s="15" t="inlineStr">
        <is>
          <t>681700000 - Amortización de equipos para procesos de informac.</t>
        </is>
      </c>
      <c r="J191" s="15" t="inlineStr">
        <is>
          <t>-</t>
        </is>
      </c>
      <c r="K191" s="13" t="n">
        <v>-856</v>
      </c>
      <c r="L191" s="13" t="n">
        <v>-856</v>
      </c>
      <c r="M191" s="13" t="n">
        <v>-856</v>
      </c>
      <c r="N191" s="13" t="n">
        <v>-856</v>
      </c>
      <c r="O191" s="13" t="n">
        <v>-856</v>
      </c>
      <c r="P191" s="13" t="n">
        <v>-856</v>
      </c>
      <c r="Q191" s="13" t="n">
        <v>-856</v>
      </c>
      <c r="R191" s="13" t="n">
        <v>-856</v>
      </c>
      <c r="S191" s="13" t="n">
        <v>-856</v>
      </c>
      <c r="T191" s="13" t="n">
        <v>-856</v>
      </c>
      <c r="U191" s="13" t="n">
        <v>-856</v>
      </c>
      <c r="V191" s="13" t="n">
        <v>-856</v>
      </c>
      <c r="W191" s="13">
        <f>SUM(K191:V191)</f>
        <v/>
      </c>
      <c r="X191" s="8" t="inlineStr">
        <is>
          <t>Coste fijo estricto: dotación lineal mensual calculada según las tablas oficiales de amortización fiscal y vida útil del inmovilizado.</t>
        </is>
      </c>
    </row>
    <row r="192">
      <c r="B192" t="n">
        <v>2027</v>
      </c>
      <c r="C192" s="15" t="inlineStr">
        <is>
          <t>Codiagro</t>
        </is>
      </c>
      <c r="D192" s="15" t="inlineStr">
        <is>
          <t>RESULTADO DEL EJERCICIO</t>
        </is>
      </c>
      <c r="E192" s="15" t="inlineStr">
        <is>
          <t>RESULTADO ANTES DE IMPUESTOS</t>
        </is>
      </c>
      <c r="F192" s="15" t="inlineStr">
        <is>
          <t>RESULTADO DE LA EXPLOTACION</t>
        </is>
      </c>
      <c r="G192" s="15" t="inlineStr">
        <is>
          <t>8.- Amortización del inmovilizado</t>
        </is>
      </c>
      <c r="H192" s="15" t="inlineStr">
        <is>
          <t>(681) Amortización del inmovilizado material</t>
        </is>
      </c>
      <c r="I192" s="15" t="inlineStr">
        <is>
          <t>681800000 - Amortización de elementos de transporte</t>
        </is>
      </c>
      <c r="J192" s="15" t="inlineStr">
        <is>
          <t>-</t>
        </is>
      </c>
      <c r="K192" s="13" t="n">
        <v>-45</v>
      </c>
      <c r="L192" s="13" t="n">
        <v>-45</v>
      </c>
      <c r="M192" s="13" t="n">
        <v>-45</v>
      </c>
      <c r="N192" s="13" t="n">
        <v>-45</v>
      </c>
      <c r="O192" s="13" t="n">
        <v>-45</v>
      </c>
      <c r="P192" s="13" t="n">
        <v>-45</v>
      </c>
      <c r="Q192" s="13" t="n">
        <v>-45</v>
      </c>
      <c r="R192" s="13" t="n">
        <v>-45</v>
      </c>
      <c r="S192" s="13" t="n">
        <v>-45</v>
      </c>
      <c r="T192" s="13" t="n">
        <v>-45</v>
      </c>
      <c r="U192" s="13" t="n">
        <v>-45</v>
      </c>
      <c r="V192" s="13" t="n">
        <v>-45</v>
      </c>
      <c r="W192" s="13">
        <f>SUM(K192:V192)</f>
        <v/>
      </c>
      <c r="X192" s="8" t="inlineStr">
        <is>
          <t>Coste fijo estricto: dotación lineal mensual calculada según las tablas oficiales de amortización fiscal y vida útil del inmovilizado.</t>
        </is>
      </c>
    </row>
    <row r="193">
      <c r="B193" t="n">
        <v>2027</v>
      </c>
      <c r="C193" s="15" t="inlineStr">
        <is>
          <t>Codiagro</t>
        </is>
      </c>
      <c r="D193" s="15" t="inlineStr">
        <is>
          <t>RESULTADO DEL EJERCICIO</t>
        </is>
      </c>
      <c r="E193" s="15" t="inlineStr">
        <is>
          <t>RESULTADO ANTES DE IMPUESTOS</t>
        </is>
      </c>
      <c r="F193" s="15" t="inlineStr">
        <is>
          <t>RESULTADO FINANCIERO</t>
        </is>
      </c>
      <c r="G193" s="15" t="inlineStr">
        <is>
          <t>15.- Gastos financieros</t>
        </is>
      </c>
      <c r="H193" s="15" t="inlineStr">
        <is>
          <t>(706) Dto. s/vtas p.p.</t>
        </is>
      </c>
      <c r="I193" s="15" t="inlineStr">
        <is>
          <t>706000001 - DESCUENTO POR PRONTO PAGO DEFINITIVO</t>
        </is>
      </c>
      <c r="J193" s="15" t="inlineStr">
        <is>
          <t>-</t>
        </is>
      </c>
      <c r="K193" s="13" t="n">
        <v>-30880.78</v>
      </c>
      <c r="L193" s="13" t="n">
        <v>-50021.31</v>
      </c>
      <c r="M193" s="13" t="n">
        <v>-47982.62</v>
      </c>
      <c r="N193" s="13" t="n">
        <v>-38630.3</v>
      </c>
      <c r="O193" s="13" t="n">
        <v>-63423.85</v>
      </c>
      <c r="P193" s="13" t="n">
        <v>-62896.06</v>
      </c>
      <c r="Q193" s="13" t="n">
        <v>-39905.52</v>
      </c>
      <c r="R193" s="13" t="n">
        <v>-25466.97</v>
      </c>
      <c r="S193" s="13" t="n">
        <v>-14793.2</v>
      </c>
      <c r="T193" s="13" t="n">
        <v>-24740.02</v>
      </c>
      <c r="U193" s="13" t="n">
        <v>-38241.9</v>
      </c>
      <c r="V193" s="13" t="n">
        <v>-41947.79</v>
      </c>
      <c r="W193" s="13">
        <f>SUM(K193:V193)</f>
        <v/>
      </c>
      <c r="X193" s="8" t="inlineStr">
        <is>
          <t>Coste financiero variable: descuentos por pronto pago concedidos a clientes (2,70% s/ventas presupuestadas).</t>
        </is>
      </c>
    </row>
    <row r="194">
      <c r="B194" t="n">
        <v>2027</v>
      </c>
      <c r="C194" s="15" t="inlineStr">
        <is>
          <t>Codiagro</t>
        </is>
      </c>
      <c r="D194" s="15" t="inlineStr">
        <is>
          <t>RESULTADO DEL EJERCICIO</t>
        </is>
      </c>
      <c r="E194" s="15" t="inlineStr">
        <is>
          <t>RESULTADO ANTES DE IMPUESTOS</t>
        </is>
      </c>
      <c r="F194" s="15" t="inlineStr">
        <is>
          <t>RESULTADO FINANCIERO</t>
        </is>
      </c>
      <c r="G194" s="15" t="inlineStr">
        <is>
          <t>15.- Gastos financieros</t>
        </is>
      </c>
      <c r="H194" s="15" t="inlineStr">
        <is>
          <t>(665) Intereses por descuento de efectos y operaciones de "factoring"</t>
        </is>
      </c>
      <c r="I194" s="15" t="inlineStr">
        <is>
          <t>665700015 - INTERESES PAGO FINANCIADO POR BBVA</t>
        </is>
      </c>
      <c r="J194" s="15" t="inlineStr">
        <is>
          <t>-</t>
        </is>
      </c>
      <c r="K194" s="13" t="n">
        <v>-500</v>
      </c>
      <c r="L194" s="13" t="n">
        <v>-800</v>
      </c>
      <c r="M194" s="13" t="n">
        <v>-800</v>
      </c>
      <c r="N194" s="13" t="n">
        <v>-800</v>
      </c>
      <c r="O194" s="13" t="n">
        <v>-800</v>
      </c>
      <c r="P194" s="13" t="n">
        <v>-800</v>
      </c>
      <c r="Q194" s="13" t="n">
        <v>-800</v>
      </c>
      <c r="R194" s="13" t="n">
        <v>-500</v>
      </c>
      <c r="S194" s="13" t="n">
        <v>-500</v>
      </c>
      <c r="T194" s="13" t="n">
        <v>-500</v>
      </c>
      <c r="U194" s="13" t="n">
        <v>-800</v>
      </c>
      <c r="V194" s="13" t="n">
        <v>-800</v>
      </c>
      <c r="W194" s="13">
        <f>SUM(K194:V194)</f>
        <v/>
      </c>
      <c r="X194" s="8" t="inlineStr">
        <is>
          <t>Coste financiero por descuento comercial y confirming de proveedores vinculado al volumen de compras.</t>
        </is>
      </c>
    </row>
    <row r="195">
      <c r="B195" t="n">
        <v>2027</v>
      </c>
      <c r="C195" s="15" t="inlineStr">
        <is>
          <t>Codiagro</t>
        </is>
      </c>
      <c r="D195" s="15" t="inlineStr">
        <is>
          <t>RESULTADO DEL EJERCICIO</t>
        </is>
      </c>
      <c r="E195" s="15" t="inlineStr">
        <is>
          <t>RESULTADO ANTES DE IMPUESTOS</t>
        </is>
      </c>
      <c r="F195" s="15" t="inlineStr">
        <is>
          <t>RESULTADO FINANCIERO</t>
        </is>
      </c>
      <c r="G195" s="15" t="inlineStr">
        <is>
          <t>15.- Gastos financieros</t>
        </is>
      </c>
      <c r="H195" s="15" t="inlineStr">
        <is>
          <t>(662) Intereses de deudas con entidades de crédito</t>
        </is>
      </c>
      <c r="I195" s="15" t="inlineStr">
        <is>
          <t>662310005 - INTERESES PRESTAMO CAIXALMASSORA</t>
        </is>
      </c>
      <c r="J195" s="15" t="inlineStr">
        <is>
          <t>-</t>
        </is>
      </c>
      <c r="K195" s="13" t="n">
        <v>-37.05</v>
      </c>
      <c r="L195" s="13" t="n">
        <v>-37.05</v>
      </c>
      <c r="M195" s="13" t="n">
        <v>-37.05</v>
      </c>
      <c r="N195" s="13" t="n">
        <v>-37.05</v>
      </c>
      <c r="O195" s="13" t="n">
        <v>-37.05</v>
      </c>
      <c r="P195" s="13" t="n">
        <v>-37.05</v>
      </c>
      <c r="Q195" s="13" t="n">
        <v>-37.05</v>
      </c>
      <c r="R195" s="13" t="n">
        <v>-37.05</v>
      </c>
      <c r="S195" s="13" t="n">
        <v>-37.05</v>
      </c>
      <c r="T195" s="13" t="n">
        <v>-37.05</v>
      </c>
      <c r="U195" s="13" t="n">
        <v>-37.05</v>
      </c>
      <c r="V195" s="13" t="n">
        <v>-37.05</v>
      </c>
      <c r="W195" s="13">
        <f>SUM(K195:V195)</f>
        <v/>
      </c>
      <c r="X195" s="8" t="inlineStr">
        <is>
          <t>Proyección extrapolada basada en la estructura de costes consolidada.</t>
        </is>
      </c>
    </row>
    <row r="196">
      <c r="B196" t="n">
        <v>2027</v>
      </c>
      <c r="C196" s="15" t="inlineStr">
        <is>
          <t>Codiagro</t>
        </is>
      </c>
      <c r="D196" s="15" t="inlineStr">
        <is>
          <t>RESULTADO DEL EJERCICIO</t>
        </is>
      </c>
      <c r="E196" s="15" t="inlineStr">
        <is>
          <t>RESULTADO ANTES DE IMPUESTOS</t>
        </is>
      </c>
      <c r="F196" s="15" t="inlineStr">
        <is>
          <t>RESULTADO FINANCIERO</t>
        </is>
      </c>
      <c r="G196" s="15" t="inlineStr">
        <is>
          <t>15.- Gastos financieros</t>
        </is>
      </c>
      <c r="H196" s="15" t="inlineStr">
        <is>
          <t>(669) Otros gastos financieros</t>
        </is>
      </c>
      <c r="I196" s="15" t="inlineStr">
        <is>
          <t>669000002 - OTROS GTOS. DTO. EFECTOS SABADELL</t>
        </is>
      </c>
      <c r="J196" s="15" t="inlineStr">
        <is>
          <t>-</t>
        </is>
      </c>
      <c r="K196" s="13" t="n">
        <v>0</v>
      </c>
      <c r="L196" s="13" t="n">
        <v>0</v>
      </c>
      <c r="M196" s="13" t="n">
        <v>0</v>
      </c>
      <c r="N196" s="13" t="n">
        <v>0</v>
      </c>
      <c r="O196" s="13" t="n">
        <v>0</v>
      </c>
      <c r="P196" s="13" t="n">
        <v>0</v>
      </c>
      <c r="Q196" s="13" t="n">
        <v>0</v>
      </c>
      <c r="R196" s="13" t="n">
        <v>0</v>
      </c>
      <c r="S196" s="13" t="n">
        <v>0</v>
      </c>
      <c r="T196" s="13" t="n">
        <v>0</v>
      </c>
      <c r="U196" s="13" t="n">
        <v>0</v>
      </c>
      <c r="V196" s="13" t="n">
        <v>0</v>
      </c>
      <c r="W196" s="13">
        <f>SUM(K196:V196)</f>
        <v/>
      </c>
      <c r="X196" s="8" t="inlineStr">
        <is>
          <t>Cuenta inactiva / sin saldo previsto en 2027.</t>
        </is>
      </c>
    </row>
    <row r="197">
      <c r="B197" t="n">
        <v>2027</v>
      </c>
      <c r="C197" s="15" t="inlineStr">
        <is>
          <t>Codiagro</t>
        </is>
      </c>
      <c r="D197" s="15" t="inlineStr">
        <is>
          <t>RESULTADO DEL EJERCICIO</t>
        </is>
      </c>
      <c r="E197" s="15" t="inlineStr">
        <is>
          <t>RESULTADO ANTES DE IMPUESTOS</t>
        </is>
      </c>
      <c r="F197" s="15" t="inlineStr">
        <is>
          <t>RESULTADO FINANCIERO</t>
        </is>
      </c>
      <c r="G197" s="15" t="inlineStr">
        <is>
          <t>15.- Gastos financieros</t>
        </is>
      </c>
      <c r="H197" s="15" t="inlineStr">
        <is>
          <t>(669) Otros gastos financieros</t>
        </is>
      </c>
      <c r="I197" s="15" t="inlineStr">
        <is>
          <t>669000007 - OTROS GTOS. DTO.EFECTOS BBVA</t>
        </is>
      </c>
      <c r="J197" s="15" t="inlineStr">
        <is>
          <t>-</t>
        </is>
      </c>
      <c r="K197" s="13" t="n">
        <v>0</v>
      </c>
      <c r="L197" s="13" t="n">
        <v>0</v>
      </c>
      <c r="M197" s="13" t="n">
        <v>0</v>
      </c>
      <c r="N197" s="13" t="n">
        <v>0</v>
      </c>
      <c r="O197" s="13" t="n">
        <v>0</v>
      </c>
      <c r="P197" s="13" t="n">
        <v>0</v>
      </c>
      <c r="Q197" s="13" t="n">
        <v>0</v>
      </c>
      <c r="R197" s="13" t="n">
        <v>0</v>
      </c>
      <c r="S197" s="13" t="n">
        <v>0</v>
      </c>
      <c r="T197" s="13" t="n">
        <v>0</v>
      </c>
      <c r="U197" s="13" t="n">
        <v>0</v>
      </c>
      <c r="V197" s="13" t="n">
        <v>0</v>
      </c>
      <c r="W197" s="13">
        <f>SUM(K197:V197)</f>
        <v/>
      </c>
      <c r="X197" s="8" t="inlineStr">
        <is>
          <t>Cuenta inactiva / sin saldo previsto en 2027.</t>
        </is>
      </c>
    </row>
    <row r="198">
      <c r="B198" t="n">
        <v>2027</v>
      </c>
      <c r="C198" s="15" t="inlineStr">
        <is>
          <t>Codiagro</t>
        </is>
      </c>
      <c r="D198" s="15" t="inlineStr">
        <is>
          <t>RESULTADO DEL EJERCICIO</t>
        </is>
      </c>
      <c r="E198" s="15" t="inlineStr">
        <is>
          <t>RESULTADO ANTES DE IMPUESTOS</t>
        </is>
      </c>
      <c r="F198" s="15" t="inlineStr">
        <is>
          <t>RESULTADO FINANCIERO</t>
        </is>
      </c>
      <c r="G198" s="15" t="inlineStr">
        <is>
          <t>15.- Gastos financieros</t>
        </is>
      </c>
      <c r="H198" s="15" t="inlineStr">
        <is>
          <t>(669) Otros gastos financieros</t>
        </is>
      </c>
      <c r="I198" s="15" t="inlineStr">
        <is>
          <t>669100002 - OTROS GTOS. FINAN. SABADELL</t>
        </is>
      </c>
      <c r="J198" s="15" t="inlineStr">
        <is>
          <t>-</t>
        </is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</v>
      </c>
      <c r="P198" s="13" t="n">
        <v>0</v>
      </c>
      <c r="Q198" s="13" t="n">
        <v>0</v>
      </c>
      <c r="R198" s="13" t="n">
        <v>0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>
        <f>SUM(K198:V198)</f>
        <v/>
      </c>
      <c r="X198" s="8" t="inlineStr">
        <is>
          <t>Cuenta inactiva / sin saldo previsto en 2027.</t>
        </is>
      </c>
    </row>
    <row r="199">
      <c r="B199" t="n">
        <v>2027</v>
      </c>
      <c r="C199" s="15" t="inlineStr">
        <is>
          <t>Codiagro</t>
        </is>
      </c>
      <c r="D199" s="15" t="inlineStr">
        <is>
          <t>RESULTADO DEL EJERCICIO</t>
        </is>
      </c>
      <c r="E199" s="15" t="inlineStr">
        <is>
          <t>RESULTADO ANTES DE IMPUESTOS</t>
        </is>
      </c>
      <c r="F199" s="15" t="inlineStr">
        <is>
          <t>RESULTADO FINANCIERO</t>
        </is>
      </c>
      <c r="G199" s="15" t="inlineStr">
        <is>
          <t>15.- Gastos financieros</t>
        </is>
      </c>
      <c r="H199" s="15" t="inlineStr">
        <is>
          <t>(669) Otros gastos financieros</t>
        </is>
      </c>
      <c r="I199" s="15" t="inlineStr">
        <is>
          <t>669100005 - OTROS GTOS. FINAN. C.RURAL ALMASSORA</t>
        </is>
      </c>
      <c r="J199" s="15" t="inlineStr">
        <is>
          <t>-</t>
        </is>
      </c>
      <c r="K199" s="13" t="n">
        <v>0</v>
      </c>
      <c r="L199" s="13" t="n">
        <v>0</v>
      </c>
      <c r="M199" s="13" t="n">
        <v>0</v>
      </c>
      <c r="N199" s="13" t="n">
        <v>0</v>
      </c>
      <c r="O199" s="13" t="n">
        <v>0</v>
      </c>
      <c r="P199" s="13" t="n">
        <v>0</v>
      </c>
      <c r="Q199" s="13" t="n">
        <v>0</v>
      </c>
      <c r="R199" s="13" t="n">
        <v>0</v>
      </c>
      <c r="S199" s="13" t="n">
        <v>0</v>
      </c>
      <c r="T199" s="13" t="n">
        <v>0</v>
      </c>
      <c r="U199" s="13" t="n">
        <v>0</v>
      </c>
      <c r="V199" s="13" t="n">
        <v>0</v>
      </c>
      <c r="W199" s="13">
        <f>SUM(K199:V199)</f>
        <v/>
      </c>
      <c r="X199" s="8" t="inlineStr">
        <is>
          <t>Cuenta inactiva / sin saldo previsto en 2027.</t>
        </is>
      </c>
    </row>
    <row r="200">
      <c r="B200" t="n">
        <v>2027</v>
      </c>
      <c r="C200" s="15" t="inlineStr">
        <is>
          <t>Codiagro</t>
        </is>
      </c>
      <c r="D200" s="15" t="inlineStr">
        <is>
          <t>RESULTADO DEL EJERCICIO</t>
        </is>
      </c>
      <c r="E200" s="15" t="inlineStr">
        <is>
          <t>RESULTADO ANTES DE IMPUESTOS</t>
        </is>
      </c>
      <c r="F200" s="15" t="inlineStr">
        <is>
          <t>RESULTADO FINANCIERO</t>
        </is>
      </c>
      <c r="G200" s="15" t="inlineStr">
        <is>
          <t>15.- Gastos financieros</t>
        </is>
      </c>
      <c r="H200" s="15" t="inlineStr">
        <is>
          <t>(669) Otros gastos financieros</t>
        </is>
      </c>
      <c r="I200" s="15" t="inlineStr">
        <is>
          <t>669100007 - OTROS GTOS. FINAN. BBVA.</t>
        </is>
      </c>
      <c r="J200" s="15" t="inlineStr">
        <is>
          <t>-</t>
        </is>
      </c>
      <c r="K200" s="13" t="n">
        <v>0</v>
      </c>
      <c r="L200" s="13" t="n">
        <v>0</v>
      </c>
      <c r="M200" s="13" t="n">
        <v>0</v>
      </c>
      <c r="N200" s="13" t="n">
        <v>0</v>
      </c>
      <c r="O200" s="13" t="n">
        <v>0</v>
      </c>
      <c r="P200" s="13" t="n">
        <v>0</v>
      </c>
      <c r="Q200" s="13" t="n">
        <v>0</v>
      </c>
      <c r="R200" s="13" t="n">
        <v>0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>
        <f>SUM(K200:V200)</f>
        <v/>
      </c>
      <c r="X200" s="8" t="inlineStr">
        <is>
          <t>Cuenta inactiva / sin saldo previsto en 2027.</t>
        </is>
      </c>
    </row>
    <row r="201">
      <c r="B201" t="n">
        <v>2027</v>
      </c>
      <c r="C201" s="15" t="inlineStr">
        <is>
          <t>Codiagro</t>
        </is>
      </c>
      <c r="D201" s="15" t="inlineStr">
        <is>
          <t>RESULTADO DEL EJERCICIO</t>
        </is>
      </c>
      <c r="E201" s="15" t="inlineStr">
        <is>
          <t>RESULTADO ANTES DE IMPUESTOS</t>
        </is>
      </c>
      <c r="F201" s="15" t="inlineStr">
        <is>
          <t>RESULTADO FINANCIERO</t>
        </is>
      </c>
      <c r="G201" s="15" t="inlineStr">
        <is>
          <t>15.- Gastos financieros</t>
        </is>
      </c>
      <c r="H201" s="15" t="inlineStr">
        <is>
          <t>(669) Otros gastos financieros</t>
        </is>
      </c>
      <c r="I201" s="15" t="inlineStr">
        <is>
          <t>669200002 - GTOS. COBRO EXPORT B.SABADELL</t>
        </is>
      </c>
      <c r="J201" s="15" t="inlineStr">
        <is>
          <t>-</t>
        </is>
      </c>
      <c r="K201" s="13" t="n">
        <v>0</v>
      </c>
      <c r="L201" s="13" t="n">
        <v>0</v>
      </c>
      <c r="M201" s="13" t="n">
        <v>0</v>
      </c>
      <c r="N201" s="13" t="n">
        <v>0</v>
      </c>
      <c r="O201" s="13" t="n">
        <v>0</v>
      </c>
      <c r="P201" s="13" t="n">
        <v>0</v>
      </c>
      <c r="Q201" s="13" t="n">
        <v>0</v>
      </c>
      <c r="R201" s="13" t="n">
        <v>0</v>
      </c>
      <c r="S201" s="13" t="n">
        <v>0</v>
      </c>
      <c r="T201" s="13" t="n">
        <v>0</v>
      </c>
      <c r="U201" s="13" t="n">
        <v>0</v>
      </c>
      <c r="V201" s="13" t="n">
        <v>0</v>
      </c>
      <c r="W201" s="13">
        <f>SUM(K201:V201)</f>
        <v/>
      </c>
      <c r="X201" s="8" t="inlineStr">
        <is>
          <t>Cuenta inactiva / sin saldo previsto en 2027.</t>
        </is>
      </c>
    </row>
    <row r="202">
      <c r="B202" t="n">
        <v>2027</v>
      </c>
      <c r="C202" s="15" t="inlineStr">
        <is>
          <t>Codiagro</t>
        </is>
      </c>
      <c r="D202" s="15" t="inlineStr">
        <is>
          <t>RESULTADO DEL EJERCICIO</t>
        </is>
      </c>
      <c r="E202" s="15" t="inlineStr">
        <is>
          <t>RESULTADO ANTES DE IMPUESTOS</t>
        </is>
      </c>
      <c r="F202" s="15" t="inlineStr">
        <is>
          <t>RESULTADO FINANCIERO</t>
        </is>
      </c>
      <c r="G202" s="15" t="inlineStr">
        <is>
          <t>15.- Gastos financieros</t>
        </is>
      </c>
      <c r="H202" s="15" t="inlineStr">
        <is>
          <t>(669) Otros gastos financieros</t>
        </is>
      </c>
      <c r="I202" s="15" t="inlineStr">
        <is>
          <t>669200007 - GTOS. COBRO EXPORT. BBVA</t>
        </is>
      </c>
      <c r="J202" s="15" t="inlineStr">
        <is>
          <t>-</t>
        </is>
      </c>
      <c r="K202" s="13" t="n">
        <v>0</v>
      </c>
      <c r="L202" s="13" t="n">
        <v>0</v>
      </c>
      <c r="M202" s="13" t="n">
        <v>0</v>
      </c>
      <c r="N202" s="13" t="n">
        <v>0</v>
      </c>
      <c r="O202" s="13" t="n">
        <v>0</v>
      </c>
      <c r="P202" s="13" t="n">
        <v>0</v>
      </c>
      <c r="Q202" s="13" t="n">
        <v>0</v>
      </c>
      <c r="R202" s="13" t="n">
        <v>0</v>
      </c>
      <c r="S202" s="13" t="n">
        <v>0</v>
      </c>
      <c r="T202" s="13" t="n">
        <v>0</v>
      </c>
      <c r="U202" s="13" t="n">
        <v>0</v>
      </c>
      <c r="V202" s="13" t="n">
        <v>0</v>
      </c>
      <c r="W202" s="13">
        <f>SUM(K202:V202)</f>
        <v/>
      </c>
      <c r="X202" s="8" t="inlineStr">
        <is>
          <t>Cuenta inactiva / sin saldo previsto en 2027.</t>
        </is>
      </c>
    </row>
    <row r="203">
      <c r="B203" t="n">
        <v>2027</v>
      </c>
      <c r="C203" s="15" t="inlineStr">
        <is>
          <t>Codiagro</t>
        </is>
      </c>
      <c r="D203" s="15" t="inlineStr">
        <is>
          <t>RESULTADO DEL EJERCICIO</t>
        </is>
      </c>
      <c r="E203" s="15" t="inlineStr">
        <is>
          <t>RESULTADO ANTES DE IMPUESTOS</t>
        </is>
      </c>
      <c r="F203" s="15" t="inlineStr">
        <is>
          <t>RESULTADO FINANCIERO</t>
        </is>
      </c>
      <c r="G203" s="15" t="inlineStr">
        <is>
          <t>17.- Diferencias de cambio</t>
        </is>
      </c>
      <c r="H203" s="15" t="inlineStr">
        <is>
          <t>(768) Diferencias positivas de cambio</t>
        </is>
      </c>
      <c r="I203" s="15" t="inlineStr">
        <is>
          <t>768000000 - Diferencias positivas de cambio</t>
        </is>
      </c>
      <c r="J203" s="15" t="inlineStr">
        <is>
          <t>-</t>
        </is>
      </c>
      <c r="K203" s="13" t="n">
        <v>600</v>
      </c>
      <c r="L203" s="13" t="n">
        <v>600</v>
      </c>
      <c r="M203" s="13" t="n">
        <v>600</v>
      </c>
      <c r="N203" s="13" t="n">
        <v>600</v>
      </c>
      <c r="O203" s="13" t="n">
        <v>600</v>
      </c>
      <c r="P203" s="13" t="n">
        <v>600</v>
      </c>
      <c r="Q203" s="13" t="n">
        <v>600</v>
      </c>
      <c r="R203" s="13" t="n">
        <v>600</v>
      </c>
      <c r="S203" s="13" t="n">
        <v>600</v>
      </c>
      <c r="T203" s="13" t="n">
        <v>600</v>
      </c>
      <c r="U203" s="13" t="n">
        <v>600</v>
      </c>
      <c r="V203" s="13" t="n">
        <v>600</v>
      </c>
      <c r="W203" s="13">
        <f>SUM(K203:V203)</f>
        <v/>
      </c>
      <c r="X203" s="8" t="inlineStr">
        <is>
          <t>Estimación conservadora basada en liquidaciones de divisas en exportación a tipos de cambio de mercado.</t>
        </is>
      </c>
    </row>
    <row r="204">
      <c r="B204" t="n">
        <v>2027</v>
      </c>
      <c r="C204" s="15" t="inlineStr">
        <is>
          <t>Codiagro</t>
        </is>
      </c>
      <c r="D204" s="15" t="inlineStr">
        <is>
          <t>RESULTADO DEL EJERCICIO</t>
        </is>
      </c>
      <c r="E204" s="15" t="inlineStr">
        <is>
          <t>RESULTADO ANTES DE IMPUESTOS</t>
        </is>
      </c>
      <c r="F204" s="15" t="inlineStr">
        <is>
          <t>RESULTADO DE LA EXPLOTACION</t>
        </is>
      </c>
      <c r="G204" s="15" t="inlineStr">
        <is>
          <t>7.- Otros gastos de explotación</t>
        </is>
      </c>
      <c r="H204" s="15" t="inlineStr">
        <is>
          <t>(709) Publicidad</t>
        </is>
      </c>
      <c r="I204" s="15" t="inlineStr">
        <is>
          <t>709001500 - RAPPEL BONIFICACIONES POR PMK DEFINITIVO</t>
        </is>
      </c>
      <c r="J204" s="15" t="inlineStr">
        <is>
          <t>-</t>
        </is>
      </c>
      <c r="K204" s="13" t="n">
        <v>0</v>
      </c>
      <c r="L204" s="13" t="n">
        <v>0</v>
      </c>
      <c r="M204" s="13" t="n">
        <v>0</v>
      </c>
      <c r="N204" s="13" t="n">
        <v>0</v>
      </c>
      <c r="O204" s="13" t="n">
        <v>0</v>
      </c>
      <c r="P204" s="13" t="n">
        <v>0</v>
      </c>
      <c r="Q204" s="13" t="n">
        <v>0</v>
      </c>
      <c r="R204" s="13" t="n">
        <v>0</v>
      </c>
      <c r="S204" s="13" t="n">
        <v>0</v>
      </c>
      <c r="T204" s="13" t="n">
        <v>0</v>
      </c>
      <c r="U204" s="13" t="n">
        <v>0</v>
      </c>
      <c r="V204" s="13" t="n">
        <v>0</v>
      </c>
      <c r="W204" s="13">
        <f>SUM(K204:V204)</f>
        <v/>
      </c>
      <c r="X204" s="8" t="inlineStr">
        <is>
          <t>Sin dotación presupuestada en 2027 por corresponder a partidas singulares/no recurrentes.</t>
        </is>
      </c>
    </row>
    <row r="205">
      <c r="B205" t="n">
        <v>2027</v>
      </c>
      <c r="C205" s="15" t="inlineStr">
        <is>
          <t>Codiagro</t>
        </is>
      </c>
      <c r="D205" s="15" t="inlineStr">
        <is>
          <t>RESULTADO DEL EJERCICIO</t>
        </is>
      </c>
      <c r="E205" s="15" t="inlineStr">
        <is>
          <t>RESULTADO ANTES DE IMPUESTOS</t>
        </is>
      </c>
      <c r="F205" s="15" t="inlineStr">
        <is>
          <t>RESULTADO FINANCIERO</t>
        </is>
      </c>
      <c r="G205" s="15" t="inlineStr">
        <is>
          <t>14.- Ingresos financieros</t>
        </is>
      </c>
      <c r="H205" s="15" t="inlineStr">
        <is>
          <t>(769) Otros ingresos financieros</t>
        </is>
      </c>
      <c r="I205" s="15" t="inlineStr">
        <is>
          <t>769000000 - Otros ingresos financieros</t>
        </is>
      </c>
      <c r="J205" s="15" t="inlineStr">
        <is>
          <t>-</t>
        </is>
      </c>
      <c r="K205" s="13" t="n">
        <v>0</v>
      </c>
      <c r="L205" s="13" t="n">
        <v>0</v>
      </c>
      <c r="M205" s="13" t="n">
        <v>0</v>
      </c>
      <c r="N205" s="13" t="n">
        <v>0</v>
      </c>
      <c r="O205" s="13" t="n">
        <v>0</v>
      </c>
      <c r="P205" s="13" t="n">
        <v>0</v>
      </c>
      <c r="Q205" s="13" t="n">
        <v>0</v>
      </c>
      <c r="R205" s="13" t="n">
        <v>0</v>
      </c>
      <c r="S205" s="13" t="n">
        <v>0</v>
      </c>
      <c r="T205" s="13" t="n">
        <v>0</v>
      </c>
      <c r="U205" s="13" t="n">
        <v>0</v>
      </c>
      <c r="V205" s="13" t="n">
        <v>3000</v>
      </c>
      <c r="W205" s="13">
        <f>SUM(K205:V205)</f>
        <v/>
      </c>
      <c r="X205" s="8" t="inlineStr">
        <is>
          <t>Rendimientos financieros por saldos de tesorería y cuentas remuneradas a cierre de año.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Oscar Ocampo</dc:creator>
  <dcterms:created xmlns:dcterms="http://purl.org/dc/terms/" xmlns:xsi="http://www.w3.org/2001/XMLSchema-instance" xsi:type="dcterms:W3CDTF">2026-09-24T10:16:55Z</dcterms:created>
  <dcterms:modified xmlns:dcterms="http://purl.org/dc/terms/" xmlns:xsi="http://www.w3.org/2001/XMLSchema-instance" xsi:type="dcterms:W3CDTF">2026-09-25T07:08:15Z</dcterms:modified>
  <cp:lastModifiedBy>Oscar Ocampo</cp:lastModifiedBy>
</cp:coreProperties>
</file>