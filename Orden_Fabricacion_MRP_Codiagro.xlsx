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Resumen por Envase" sheetId="2" state="visible" r:id="rId2"/>
  </sheets>
  <definedNames>
    <definedName name="_xlnm._FilterDatabase" localSheetId="0" hidden="1">'Orden de Fabricación'!$A$8:$P$267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0"/>
    <numFmt numFmtId="165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3"/>
    </font>
    <font>
      <name val="Calibri"/>
      <b val="1"/>
      <color rgb="00D97706"/>
      <sz val="13"/>
    </font>
    <font>
      <name val="Calibri"/>
      <b val="1"/>
      <color rgb="000F172A"/>
      <sz val="13"/>
    </font>
    <font>
      <name val="Calibri"/>
      <b val="1"/>
      <color rgb="00059669"/>
      <sz val="13"/>
    </font>
    <font>
      <name val="Calibri"/>
      <b val="1"/>
      <color rgb="00FFFFFF"/>
      <sz val="10"/>
    </font>
    <font>
      <name val="Calibri"/>
      <b val="1"/>
      <color rgb="00FFFFFF"/>
      <sz val="9.5"/>
    </font>
    <font>
      <name val="Calibri"/>
      <b val="1"/>
      <color rgb="000F172A"/>
      <sz val="9.5"/>
    </font>
    <font>
      <name val="Calibri"/>
      <color rgb="001E293B"/>
      <sz val="9.5"/>
    </font>
    <font>
      <name val="Calibri"/>
      <b val="1"/>
      <color rgb="00991B1B"/>
      <sz val="10"/>
    </font>
    <font>
      <name val="Calibri"/>
      <b val="1"/>
      <color rgb="00991B1B"/>
      <sz val="9.5"/>
    </font>
    <font>
      <name val="Calibri"/>
      <b val="1"/>
      <color rgb="0092400E"/>
      <sz val="9.5"/>
    </font>
    <font>
      <name val="Calibri"/>
      <b val="1"/>
      <color rgb="000F172A"/>
      <sz val="10"/>
    </font>
    <font>
      <name val="Calibri"/>
      <b val="1"/>
      <color rgb="00065F46"/>
      <sz val="9.5"/>
    </font>
  </fonts>
  <fills count="1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E2E8F0"/>
        <bgColor rgb="00E2E8F0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left"/>
    </xf>
    <xf numFmtId="0" fontId="11" fillId="8" borderId="2" applyAlignment="1" pivotButton="0" quotePrefix="0" xfId="0">
      <alignment horizontal="center"/>
    </xf>
    <xf numFmtId="3" fontId="11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164" fontId="10" fillId="8" borderId="2" applyAlignment="1" pivotButton="0" quotePrefix="0" xfId="0">
      <alignment horizontal="right"/>
    </xf>
    <xf numFmtId="3" fontId="11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165" fontId="11" fillId="8" borderId="2" applyAlignment="1" pivotButton="0" quotePrefix="0" xfId="0">
      <alignment horizontal="center"/>
    </xf>
    <xf numFmtId="0" fontId="13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left"/>
    </xf>
    <xf numFmtId="0" fontId="11" fillId="3" borderId="2" applyAlignment="1" pivotButton="0" quotePrefix="0" xfId="0">
      <alignment horizontal="center"/>
    </xf>
    <xf numFmtId="3" fontId="11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164" fontId="10" fillId="3" borderId="2" applyAlignment="1" pivotButton="0" quotePrefix="0" xfId="0">
      <alignment horizontal="right"/>
    </xf>
    <xf numFmtId="3" fontId="11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165" fontId="11" fillId="3" borderId="2" applyAlignment="1" pivotButton="0" quotePrefix="0" xfId="0">
      <alignment horizontal="center"/>
    </xf>
    <xf numFmtId="0" fontId="14" fillId="9" borderId="2" applyAlignment="1" pivotButton="0" quotePrefix="0" xfId="0">
      <alignment horizontal="center"/>
    </xf>
    <xf numFmtId="3" fontId="15" fillId="3" borderId="2" applyAlignment="1" pivotButton="0" quotePrefix="0" xfId="0">
      <alignment horizontal="right"/>
    </xf>
    <xf numFmtId="0" fontId="16" fillId="10" borderId="2" applyAlignment="1" pivotButton="0" quotePrefix="0" xfId="0">
      <alignment horizontal="center"/>
    </xf>
    <xf numFmtId="3" fontId="15" fillId="8" borderId="2" applyAlignment="1" pivotButton="0" quotePrefix="0" xfId="0">
      <alignment horizontal="right"/>
    </xf>
    <xf numFmtId="0" fontId="15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5" fillId="11" borderId="3" applyAlignment="1" pivotButton="0" quotePrefix="0" xfId="0">
      <alignment horizontal="right" vertical="center"/>
    </xf>
    <xf numFmtId="165" fontId="15" fillId="11" borderId="3" applyAlignment="1" pivotButton="0" quotePrefix="0" xfId="0">
      <alignment horizontal="center" vertical="center"/>
    </xf>
    <xf numFmtId="0" fontId="0" fillId="11" borderId="3" applyAlignment="1" pivotButton="0" quotePrefix="0" xfId="0">
      <alignment horizontal="center"/>
    </xf>
    <xf numFmtId="0" fontId="9" fillId="4" borderId="2" applyAlignment="1" pivotButton="0" quotePrefix="0" xfId="0">
      <alignment horizontal="right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5" fillId="11" borderId="3" applyAlignment="1" pivotButton="0" quotePrefix="0" xfId="0">
      <alignment horizontal="left"/>
    </xf>
    <xf numFmtId="0" fontId="15" fillId="11" borderId="3" applyAlignment="1" pivotButton="0" quotePrefix="0" xfId="0">
      <alignment horizontal="center"/>
    </xf>
    <xf numFmtId="3" fontId="15" fillId="11" borderId="3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12" customWidth="1" min="3" max="3"/>
    <col width="18" customWidth="1" min="4" max="4"/>
    <col width="16" customWidth="1" min="5" max="5"/>
    <col width="16" customWidth="1" min="6" max="6"/>
    <col width="16" customWidth="1" min="7" max="7"/>
    <col width="17" customWidth="1" min="8" max="8"/>
    <col width="17" customWidth="1" min="9" max="9"/>
    <col width="16" customWidth="1" min="10" max="10"/>
    <col width="16" customWidth="1" min="11" max="11"/>
    <col width="11" customWidth="1" min="12" max="12"/>
    <col width="20" customWidth="1" min="13" max="13"/>
    <col width="13" customWidth="1" min="14" max="14"/>
    <col width="20" customWidth="1" min="15" max="15"/>
    <col width="22" customWidth="1" min="16" max="16"/>
  </cols>
  <sheetData>
    <row r="1" ht="28" customHeight="1">
      <c r="A1" s="1" t="inlineStr">
        <is>
          <t xml:space="preserve">  CODIAGRO S.L.  |  ORDEN DE FABRICACIÓN Y PLANIFICACIÓN DE PRODUCCIÓN (MRP)</t>
        </is>
      </c>
    </row>
    <row r="2" ht="18" customHeight="1">
      <c r="A2" s="2" t="inlineStr">
        <is>
          <t xml:space="preserve">  Horizonte: Oct 26 (N) + Nov 26 + Dic 26 (3 meses)  |  Ámbito: Global (Nacional + Exportación)  |  Criterio Lotes: Exacto (Sin redondeo a lote)  |  Fecha Emisión: 06/10/2026 08:26</t>
        </is>
      </c>
    </row>
    <row r="3" ht="8" customHeight="1"/>
    <row r="4" ht="16" customHeight="1">
      <c r="A4" s="3" t="inlineStr">
        <is>
          <t>TOTAL A FABRICAR</t>
        </is>
      </c>
      <c r="B4" s="4" t="n"/>
      <c r="C4" s="4" t="n"/>
      <c r="D4" s="3" t="inlineStr">
        <is>
          <t>LOTES SUGERIDOS</t>
        </is>
      </c>
      <c r="E4" s="4" t="n"/>
      <c r="F4" s="4" t="n"/>
      <c r="G4" s="3" t="inlineStr">
        <is>
          <t>ARTÍCULOS URGENTES</t>
        </is>
      </c>
      <c r="H4" s="4" t="n"/>
      <c r="I4" s="4" t="n"/>
      <c r="J4" s="3" t="inlineStr">
        <is>
          <t>SOLO ENVASAR</t>
        </is>
      </c>
      <c r="K4" s="4" t="n"/>
      <c r="L4" s="4" t="n"/>
      <c r="M4" s="3" t="inlineStr">
        <is>
          <t>PEDIDOS CARTERA</t>
        </is>
      </c>
      <c r="N4" s="4" t="n"/>
      <c r="O4" s="3" t="inlineStr">
        <is>
          <t>STOCK ENVASADO</t>
        </is>
      </c>
      <c r="P4" s="4" t="n"/>
    </row>
    <row r="5" ht="24" customHeight="1">
      <c r="A5" s="5" t="inlineStr">
        <is>
          <t>993.501 u</t>
        </is>
      </c>
      <c r="B5" s="4" t="n"/>
      <c r="C5" s="4" t="n"/>
      <c r="D5" s="6" t="inlineStr">
        <is>
          <t>0 lotes</t>
        </is>
      </c>
      <c r="E5" s="4" t="n"/>
      <c r="F5" s="4" t="n"/>
      <c r="G5" s="5" t="inlineStr">
        <is>
          <t>95 SKUs (Déficit Granel)</t>
        </is>
      </c>
      <c r="H5" s="4" t="n"/>
      <c r="I5" s="4" t="n"/>
      <c r="J5" s="6" t="inlineStr">
        <is>
          <t>46 SKUs (Granel OK)</t>
        </is>
      </c>
      <c r="K5" s="4" t="n"/>
      <c r="L5" s="4" t="n"/>
      <c r="M5" s="7" t="inlineStr">
        <is>
          <t>36.769 u</t>
        </is>
      </c>
      <c r="N5" s="4" t="n"/>
      <c r="O5" s="8" t="inlineStr">
        <is>
          <t>261.783 u</t>
        </is>
      </c>
      <c r="P5" s="4" t="n"/>
    </row>
    <row r="6" ht="10" customHeight="1"/>
    <row r="7" ht="20" customHeight="1">
      <c r="A7" s="9" t="inlineStr">
        <is>
          <t>1. IDENTIFICACIÓN DEL ARTÍCULO</t>
        </is>
      </c>
      <c r="F7" s="10" t="inlineStr">
        <is>
          <t>2. SITUACIÓN ACTUAL DE STOCK Y DEMANDA</t>
        </is>
      </c>
      <c r="K7" s="11" t="inlineStr">
        <is>
          <t>3. PLAN DE FABRICACIÓN Y ACCIÓN MRP</t>
        </is>
      </c>
    </row>
    <row r="8" ht="26" customHeight="1">
      <c r="A8" s="12" t="inlineStr">
        <is>
          <t>Código SKU</t>
        </is>
      </c>
      <c r="B8" s="13" t="inlineStr">
        <is>
          <t>Producto / Descripción</t>
        </is>
      </c>
      <c r="C8" s="12" t="inlineStr">
        <is>
          <t>Envase</t>
        </is>
      </c>
      <c r="D8" s="12" t="inlineStr">
        <is>
          <t>Línea Envasado</t>
        </is>
      </c>
      <c r="E8" s="12" t="inlineStr">
        <is>
          <t>Mercado</t>
        </is>
      </c>
      <c r="F8" s="14" t="inlineStr">
        <is>
          <t>Stock Envasado (u)</t>
        </is>
      </c>
      <c r="G8" s="14" t="inlineStr">
        <is>
          <t>Pedidos Cartera (u)</t>
        </is>
      </c>
      <c r="H8" s="14" t="inlineStr">
        <is>
          <t>Previsión Período (u)</t>
        </is>
      </c>
      <c r="I8" s="14" t="inlineStr">
        <is>
          <t>Demanda Total (u)</t>
        </is>
      </c>
      <c r="J8" s="14" t="inlineStr">
        <is>
          <t>Balance Neto (u)</t>
        </is>
      </c>
      <c r="K8" s="15" t="inlineStr">
        <is>
          <t>Déficit Neto (u)</t>
        </is>
      </c>
      <c r="L8" s="16" t="inlineStr">
        <is>
          <t>Lotes</t>
        </is>
      </c>
      <c r="M8" s="15" t="inlineStr">
        <is>
          <t>A Fabricar Sugerido (u)</t>
        </is>
      </c>
      <c r="N8" s="16" t="inlineStr">
        <is>
          <t>Cobertura</t>
        </is>
      </c>
      <c r="O8" s="16" t="inlineStr">
        <is>
          <t>Agotamiento Stock</t>
        </is>
      </c>
      <c r="P8" s="16" t="inlineStr">
        <is>
          <t>Prioridad / Acción</t>
        </is>
      </c>
    </row>
    <row r="9" ht="20" customHeight="1">
      <c r="A9" s="17" t="inlineStr">
        <is>
          <t>W330020</t>
        </is>
      </c>
      <c r="B9" s="18" t="inlineStr">
        <is>
          <t>BAYFOLAN SUN, 20 KG</t>
        </is>
      </c>
      <c r="C9" s="19" t="inlineStr">
        <is>
          <t>20</t>
        </is>
      </c>
      <c r="D9" s="19" t="inlineStr">
        <is>
          <t>Garrafas 20L</t>
        </is>
      </c>
      <c r="E9" s="19" t="inlineStr">
        <is>
          <t>Exportación</t>
        </is>
      </c>
      <c r="F9" s="20" t="n">
        <v>0</v>
      </c>
      <c r="G9" s="20" t="n">
        <v>0</v>
      </c>
      <c r="H9" s="20" t="n">
        <v>220000</v>
      </c>
      <c r="I9" s="21">
        <f>G9+H9</f>
        <v/>
      </c>
      <c r="J9" s="22">
        <f>F9-I9</f>
        <v/>
      </c>
      <c r="K9" s="21" t="n">
        <v>220000</v>
      </c>
      <c r="L9" s="23" t="n">
        <v>0</v>
      </c>
      <c r="M9" s="24" t="n">
        <v>220000</v>
      </c>
      <c r="N9" s="25" t="n">
        <v>0</v>
      </c>
      <c r="O9" s="19" t="inlineStr">
        <is>
          <t>Dic 26</t>
        </is>
      </c>
      <c r="P9" s="26" t="inlineStr">
        <is>
          <t>FABRICACIÓN URGENTE</t>
        </is>
      </c>
    </row>
    <row r="10" ht="20" customHeight="1">
      <c r="A10" s="27" t="inlineStr">
        <is>
          <t>AO0020</t>
        </is>
      </c>
      <c r="B10" s="28" t="inlineStr">
        <is>
          <t>ALCAPLANT NEW</t>
        </is>
      </c>
      <c r="C10" s="29" t="inlineStr">
        <is>
          <t>20</t>
        </is>
      </c>
      <c r="D10" s="29" t="inlineStr">
        <is>
          <t>Garrafas 20L</t>
        </is>
      </c>
      <c r="E10" s="29" t="inlineStr">
        <is>
          <t>Exportación</t>
        </is>
      </c>
      <c r="F10" s="30" t="n">
        <v>0</v>
      </c>
      <c r="G10" s="30" t="n">
        <v>0</v>
      </c>
      <c r="H10" s="30" t="n">
        <v>176000</v>
      </c>
      <c r="I10" s="31">
        <f>G10+H10</f>
        <v/>
      </c>
      <c r="J10" s="32">
        <f>F10-I10</f>
        <v/>
      </c>
      <c r="K10" s="31" t="n">
        <v>175500</v>
      </c>
      <c r="L10" s="33" t="n">
        <v>0</v>
      </c>
      <c r="M10" s="34" t="n">
        <v>175500</v>
      </c>
      <c r="N10" s="35" t="n">
        <v>0.002840909090909091</v>
      </c>
      <c r="O10" s="29" t="inlineStr">
        <is>
          <t>Oct 26 (N)</t>
        </is>
      </c>
      <c r="P10" s="26" t="inlineStr">
        <is>
          <t>FABRICACIÓN URGENTE</t>
        </is>
      </c>
    </row>
    <row r="11" ht="20" customHeight="1">
      <c r="A11" s="17" t="inlineStr">
        <is>
          <t>AN0005</t>
        </is>
      </c>
      <c r="B11" s="18" t="inlineStr">
        <is>
          <t>ALCAPLANT NEW, 5 KG</t>
        </is>
      </c>
      <c r="C11" s="19" t="inlineStr">
        <is>
          <t>5</t>
        </is>
      </c>
      <c r="D11" s="19" t="inlineStr">
        <is>
          <t>Garrafas 5L</t>
        </is>
      </c>
      <c r="E11" s="19" t="inlineStr">
        <is>
          <t>Nacional+Export</t>
        </is>
      </c>
      <c r="F11" s="20" t="n">
        <v>220</v>
      </c>
      <c r="G11" s="21" t="n">
        <v>20</v>
      </c>
      <c r="H11" s="20" t="n">
        <v>62000</v>
      </c>
      <c r="I11" s="21">
        <f>G11+H11</f>
        <v/>
      </c>
      <c r="J11" s="22">
        <f>F11-I11</f>
        <v/>
      </c>
      <c r="K11" s="21" t="n">
        <v>61300</v>
      </c>
      <c r="L11" s="23" t="n">
        <v>0</v>
      </c>
      <c r="M11" s="24" t="n">
        <v>61300</v>
      </c>
      <c r="N11" s="25" t="n">
        <v>0.01160915833602064</v>
      </c>
      <c r="O11" s="19" t="inlineStr">
        <is>
          <t>Oct 26 (N)</t>
        </is>
      </c>
      <c r="P11" s="26" t="inlineStr">
        <is>
          <t>FABRICACIÓN URGENTE</t>
        </is>
      </c>
    </row>
    <row r="12" ht="20" customHeight="1">
      <c r="A12" s="27" t="inlineStr">
        <is>
          <t>AN0020</t>
        </is>
      </c>
      <c r="B12" s="28" t="inlineStr">
        <is>
          <t>ALCAPLANT NEW, 20 KG</t>
        </is>
      </c>
      <c r="C12" s="29" t="inlineStr">
        <is>
          <t>20</t>
        </is>
      </c>
      <c r="D12" s="29" t="inlineStr">
        <is>
          <t>Garrafas 20L</t>
        </is>
      </c>
      <c r="E12" s="29" t="inlineStr">
        <is>
          <t>Nacional+Export</t>
        </is>
      </c>
      <c r="F12" s="30" t="n">
        <v>36280</v>
      </c>
      <c r="G12" s="31" t="n">
        <v>5100</v>
      </c>
      <c r="H12" s="30" t="n">
        <v>86300</v>
      </c>
      <c r="I12" s="31">
        <f>G12+H12</f>
        <v/>
      </c>
      <c r="J12" s="32">
        <f>F12-I12</f>
        <v/>
      </c>
      <c r="K12" s="31" t="n">
        <v>54620</v>
      </c>
      <c r="L12" s="33" t="n">
        <v>0</v>
      </c>
      <c r="M12" s="34" t="n">
        <v>54620</v>
      </c>
      <c r="N12" s="35" t="n">
        <v>0.4024070021881838</v>
      </c>
      <c r="O12" s="29" t="inlineStr">
        <is>
          <t>Oct 26 (N)</t>
        </is>
      </c>
      <c r="P12" s="26" t="inlineStr">
        <is>
          <t>FABRICACIÓN URGENTE</t>
        </is>
      </c>
    </row>
    <row r="13" ht="20" customHeight="1">
      <c r="A13" s="17" t="inlineStr">
        <is>
          <t>AGXK0020</t>
        </is>
      </c>
      <c r="B13" s="18" t="inlineStr">
        <is>
          <t>AGROXILATO-K, 20 L</t>
        </is>
      </c>
      <c r="C13" s="19" t="inlineStr">
        <is>
          <t>20</t>
        </is>
      </c>
      <c r="D13" s="19" t="inlineStr">
        <is>
          <t>Garrafas 20L</t>
        </is>
      </c>
      <c r="E13" s="19" t="inlineStr">
        <is>
          <t>Nacional+Export</t>
        </is>
      </c>
      <c r="F13" s="20" t="n">
        <v>25480</v>
      </c>
      <c r="G13" s="20" t="n">
        <v>0</v>
      </c>
      <c r="H13" s="20" t="n">
        <v>89000</v>
      </c>
      <c r="I13" s="21">
        <f>G13+H13</f>
        <v/>
      </c>
      <c r="J13" s="22">
        <f>F13-I13</f>
        <v/>
      </c>
      <c r="K13" s="21" t="n">
        <v>51718</v>
      </c>
      <c r="L13" s="23" t="n">
        <v>0</v>
      </c>
      <c r="M13" s="24" t="n">
        <v>51718</v>
      </c>
      <c r="N13" s="25" t="n">
        <v>0.4188988764044944</v>
      </c>
      <c r="O13" s="19" t="inlineStr">
        <is>
          <t>Oct 26 (N)</t>
        </is>
      </c>
      <c r="P13" s="26" t="inlineStr">
        <is>
          <t>FABRICACIÓN URGENTE</t>
        </is>
      </c>
    </row>
    <row r="14" ht="20" customHeight="1">
      <c r="A14" s="27" t="inlineStr">
        <is>
          <t>SSEG0005</t>
        </is>
      </c>
      <c r="B14" s="28" t="inlineStr">
        <is>
          <t>SALWAX CALCIO EGIPTO, 5 KG</t>
        </is>
      </c>
      <c r="C14" s="29" t="inlineStr">
        <is>
          <t>5</t>
        </is>
      </c>
      <c r="D14" s="29" t="inlineStr">
        <is>
          <t>Garrafas 5L</t>
        </is>
      </c>
      <c r="E14" s="29" t="inlineStr">
        <is>
          <t>Exportación</t>
        </is>
      </c>
      <c r="F14" s="30" t="n">
        <v>715</v>
      </c>
      <c r="G14" s="31" t="n">
        <v>480</v>
      </c>
      <c r="H14" s="30" t="n">
        <v>42000</v>
      </c>
      <c r="I14" s="31">
        <f>G14+H14</f>
        <v/>
      </c>
      <c r="J14" s="32">
        <f>F14-I14</f>
        <v/>
      </c>
      <c r="K14" s="31" t="n">
        <v>41515</v>
      </c>
      <c r="L14" s="33" t="n">
        <v>0</v>
      </c>
      <c r="M14" s="34" t="n">
        <v>41515</v>
      </c>
      <c r="N14" s="35" t="n">
        <v>0.0227165725047081</v>
      </c>
      <c r="O14" s="29" t="inlineStr">
        <is>
          <t>Oct 26 (N)</t>
        </is>
      </c>
      <c r="P14" s="26" t="inlineStr">
        <is>
          <t>FABRICACIÓN URGENTE</t>
        </is>
      </c>
    </row>
    <row r="15" ht="20" customHeight="1">
      <c r="A15" s="17" t="inlineStr">
        <is>
          <t>BIO0020</t>
        </is>
      </c>
      <c r="B15" s="18" t="inlineStr">
        <is>
          <t>BIORAD-20, 20 L</t>
        </is>
      </c>
      <c r="C15" s="19" t="inlineStr">
        <is>
          <t>20</t>
        </is>
      </c>
      <c r="D15" s="19" t="inlineStr">
        <is>
          <t>Garrafas 20L</t>
        </is>
      </c>
      <c r="E15" s="19" t="inlineStr">
        <is>
          <t>Nacional+Export</t>
        </is>
      </c>
      <c r="F15" s="20" t="n">
        <v>5780</v>
      </c>
      <c r="G15" s="21" t="n">
        <v>10700</v>
      </c>
      <c r="H15" s="20" t="n">
        <v>56220</v>
      </c>
      <c r="I15" s="21">
        <f>G15+H15</f>
        <v/>
      </c>
      <c r="J15" s="22">
        <f>F15-I15</f>
        <v/>
      </c>
      <c r="K15" s="21" t="n">
        <v>40033</v>
      </c>
      <c r="L15" s="23" t="n">
        <v>0</v>
      </c>
      <c r="M15" s="24" t="n">
        <v>40033</v>
      </c>
      <c r="N15" s="25" t="n">
        <v>0.4017782426778242</v>
      </c>
      <c r="O15" s="17" t="inlineStr">
        <is>
          <t>Inmediato (Cartera)</t>
        </is>
      </c>
      <c r="P15" s="26" t="inlineStr">
        <is>
          <t>FABRICACIÓN URGENTE</t>
        </is>
      </c>
    </row>
    <row r="16" ht="20" customHeight="1">
      <c r="A16" s="27" t="inlineStr">
        <is>
          <t>AN1000</t>
        </is>
      </c>
      <c r="B16" s="28" t="inlineStr">
        <is>
          <t>ALCAPLANT-NEW</t>
        </is>
      </c>
      <c r="C16" s="29" t="inlineStr">
        <is>
          <t>1000</t>
        </is>
      </c>
      <c r="D16" s="29" t="inlineStr">
        <is>
          <t>Botellas 1L</t>
        </is>
      </c>
      <c r="E16" s="29" t="inlineStr">
        <is>
          <t>Exportación</t>
        </is>
      </c>
      <c r="F16" s="30" t="n">
        <v>0</v>
      </c>
      <c r="G16" s="30" t="n">
        <v>0</v>
      </c>
      <c r="H16" s="30" t="n">
        <v>20000</v>
      </c>
      <c r="I16" s="31">
        <f>G16+H16</f>
        <v/>
      </c>
      <c r="J16" s="32">
        <f>F16-I16</f>
        <v/>
      </c>
      <c r="K16" s="31" t="n">
        <v>19500</v>
      </c>
      <c r="L16" s="33" t="n">
        <v>0</v>
      </c>
      <c r="M16" s="34" t="n">
        <v>19500</v>
      </c>
      <c r="N16" s="35" t="n">
        <v>0.025</v>
      </c>
      <c r="O16" s="29" t="inlineStr">
        <is>
          <t>Nov 26</t>
        </is>
      </c>
      <c r="P16" s="26" t="inlineStr">
        <is>
          <t>FABRICACIÓN URGENTE</t>
        </is>
      </c>
    </row>
    <row r="17" ht="20" customHeight="1">
      <c r="A17" s="17" t="inlineStr">
        <is>
          <t>SPCE2B0001</t>
        </is>
      </c>
      <c r="B17" s="18" t="inlineStr">
        <is>
          <t>SPRINTENE CON BORO, 1 L</t>
        </is>
      </c>
      <c r="C17" s="19" t="inlineStr">
        <is>
          <t>1</t>
        </is>
      </c>
      <c r="D17" s="19" t="inlineStr">
        <is>
          <t>Botellas 1L</t>
        </is>
      </c>
      <c r="E17" s="19" t="inlineStr">
        <is>
          <t>Nacional+Export</t>
        </is>
      </c>
      <c r="F17" s="20" t="n">
        <v>168</v>
      </c>
      <c r="G17" s="20" t="n">
        <v>0</v>
      </c>
      <c r="H17" s="20" t="n">
        <v>15360</v>
      </c>
      <c r="I17" s="21">
        <f>G17+H17</f>
        <v/>
      </c>
      <c r="J17" s="22">
        <f>F17-I17</f>
        <v/>
      </c>
      <c r="K17" s="21" t="n">
        <v>14252</v>
      </c>
      <c r="L17" s="23" t="n">
        <v>0</v>
      </c>
      <c r="M17" s="24" t="n">
        <v>14252</v>
      </c>
      <c r="N17" s="25" t="n">
        <v>0.07213541666666666</v>
      </c>
      <c r="O17" s="19" t="inlineStr">
        <is>
          <t>Oct 26 (N)</t>
        </is>
      </c>
      <c r="P17" s="26" t="inlineStr">
        <is>
          <t>FABRICACIÓN URGENTE</t>
        </is>
      </c>
    </row>
    <row r="18" ht="20" customHeight="1">
      <c r="A18" s="27" t="inlineStr">
        <is>
          <t>FTK0005</t>
        </is>
      </c>
      <c r="B18" s="28" t="inlineStr">
        <is>
          <t>FITOKONTROL CA FLOW, 5 KG</t>
        </is>
      </c>
      <c r="C18" s="29" t="inlineStr">
        <is>
          <t>5</t>
        </is>
      </c>
      <c r="D18" s="29" t="inlineStr">
        <is>
          <t>Garrafas 5L</t>
        </is>
      </c>
      <c r="E18" s="29" t="inlineStr">
        <is>
          <t>Nacional+Export</t>
        </is>
      </c>
      <c r="F18" s="30" t="n">
        <v>440</v>
      </c>
      <c r="G18" s="30" t="n">
        <v>0</v>
      </c>
      <c r="H18" s="30" t="n">
        <v>14100</v>
      </c>
      <c r="I18" s="31">
        <f>G18+H18</f>
        <v/>
      </c>
      <c r="J18" s="32">
        <f>F18-I18</f>
        <v/>
      </c>
      <c r="K18" s="31" t="n">
        <v>13660</v>
      </c>
      <c r="L18" s="33" t="n">
        <v>0</v>
      </c>
      <c r="M18" s="34" t="n">
        <v>13660</v>
      </c>
      <c r="N18" s="35" t="n">
        <v>0.03120567375886525</v>
      </c>
      <c r="O18" s="29" t="inlineStr">
        <is>
          <t>Nov 26</t>
        </is>
      </c>
      <c r="P18" s="26" t="inlineStr">
        <is>
          <t>FABRICACIÓN URGENTE</t>
        </is>
      </c>
    </row>
    <row r="19" ht="20" customHeight="1">
      <c r="A19" s="17" t="inlineStr">
        <is>
          <t>SSEG0020</t>
        </is>
      </c>
      <c r="B19" s="18" t="inlineStr">
        <is>
          <t>SAL-WAX Ca</t>
        </is>
      </c>
      <c r="C19" s="19" t="inlineStr">
        <is>
          <t>20</t>
        </is>
      </c>
      <c r="D19" s="19" t="inlineStr">
        <is>
          <t>Garrafas 20L</t>
        </is>
      </c>
      <c r="E19" s="19" t="inlineStr">
        <is>
          <t>Exportación</t>
        </is>
      </c>
      <c r="F19" s="20" t="n">
        <v>0</v>
      </c>
      <c r="G19" s="21" t="n">
        <v>1200</v>
      </c>
      <c r="H19" s="20" t="n">
        <v>10000</v>
      </c>
      <c r="I19" s="21">
        <f>G19+H19</f>
        <v/>
      </c>
      <c r="J19" s="22">
        <f>F19-I19</f>
        <v/>
      </c>
      <c r="K19" s="21" t="n">
        <v>10950</v>
      </c>
      <c r="L19" s="23" t="n">
        <v>0</v>
      </c>
      <c r="M19" s="24" t="n">
        <v>10950</v>
      </c>
      <c r="N19" s="25" t="n">
        <v>0.02232142857142857</v>
      </c>
      <c r="O19" s="17" t="inlineStr">
        <is>
          <t>Inmediato (Cartera)</t>
        </is>
      </c>
      <c r="P19" s="26" t="inlineStr">
        <is>
          <t>FABRICACIÓN URGENTE</t>
        </is>
      </c>
    </row>
    <row r="20" ht="20" customHeight="1">
      <c r="A20" s="27" t="inlineStr">
        <is>
          <t>VITA0001</t>
        </is>
      </c>
      <c r="B20" s="28" t="inlineStr">
        <is>
          <t>VITA-S</t>
        </is>
      </c>
      <c r="C20" s="29" t="inlineStr">
        <is>
          <t>1</t>
        </is>
      </c>
      <c r="D20" s="29" t="inlineStr">
        <is>
          <t>Botellas 1L</t>
        </is>
      </c>
      <c r="E20" s="29" t="inlineStr">
        <is>
          <t>Exportación</t>
        </is>
      </c>
      <c r="F20" s="30" t="n">
        <v>0</v>
      </c>
      <c r="G20" s="30" t="n">
        <v>0</v>
      </c>
      <c r="H20" s="30" t="n">
        <v>10000</v>
      </c>
      <c r="I20" s="31">
        <f>G20+H20</f>
        <v/>
      </c>
      <c r="J20" s="32">
        <f>F20-I20</f>
        <v/>
      </c>
      <c r="K20" s="31" t="n">
        <v>10000</v>
      </c>
      <c r="L20" s="33" t="n">
        <v>0</v>
      </c>
      <c r="M20" s="34" t="n">
        <v>10000</v>
      </c>
      <c r="N20" s="35" t="n">
        <v>0</v>
      </c>
      <c r="O20" s="29" t="inlineStr">
        <is>
          <t>Dic 26</t>
        </is>
      </c>
      <c r="P20" s="26" t="inlineStr">
        <is>
          <t>FABRICACIÓN URGENTE</t>
        </is>
      </c>
    </row>
    <row r="21" ht="20" customHeight="1">
      <c r="A21" s="17" t="inlineStr">
        <is>
          <t>VITA0005</t>
        </is>
      </c>
      <c r="B21" s="18" t="inlineStr">
        <is>
          <t>VITA-S</t>
        </is>
      </c>
      <c r="C21" s="19" t="inlineStr">
        <is>
          <t>5</t>
        </is>
      </c>
      <c r="D21" s="19" t="inlineStr">
        <is>
          <t>Garrafas 5L</t>
        </is>
      </c>
      <c r="E21" s="19" t="inlineStr">
        <is>
          <t>Exportación</t>
        </is>
      </c>
      <c r="F21" s="20" t="n">
        <v>0</v>
      </c>
      <c r="G21" s="20" t="n">
        <v>0</v>
      </c>
      <c r="H21" s="20" t="n">
        <v>10000</v>
      </c>
      <c r="I21" s="21">
        <f>G21+H21</f>
        <v/>
      </c>
      <c r="J21" s="22">
        <f>F21-I21</f>
        <v/>
      </c>
      <c r="K21" s="21" t="n">
        <v>10000</v>
      </c>
      <c r="L21" s="23" t="n">
        <v>0</v>
      </c>
      <c r="M21" s="24" t="n">
        <v>10000</v>
      </c>
      <c r="N21" s="25" t="n">
        <v>0</v>
      </c>
      <c r="O21" s="19" t="inlineStr">
        <is>
          <t>Dic 26</t>
        </is>
      </c>
      <c r="P21" s="26" t="inlineStr">
        <is>
          <t>FABRICACIÓN URGENTE</t>
        </is>
      </c>
    </row>
    <row r="22" ht="20" customHeight="1">
      <c r="A22" s="27" t="inlineStr">
        <is>
          <t>PT0020</t>
        </is>
      </c>
      <c r="B22" s="28" t="inlineStr">
        <is>
          <t>AGROPOTASION, 20 L</t>
        </is>
      </c>
      <c r="C22" s="29" t="inlineStr">
        <is>
          <t>20</t>
        </is>
      </c>
      <c r="D22" s="29" t="inlineStr">
        <is>
          <t>Garrafas 20L</t>
        </is>
      </c>
      <c r="E22" s="29" t="inlineStr">
        <is>
          <t>Nacional+Export</t>
        </is>
      </c>
      <c r="F22" s="30" t="n">
        <v>10648</v>
      </c>
      <c r="G22" s="30" t="n">
        <v>0</v>
      </c>
      <c r="H22" s="30" t="n">
        <v>21260</v>
      </c>
      <c r="I22" s="31">
        <f>G22+H22</f>
        <v/>
      </c>
      <c r="J22" s="32">
        <f>F22-I22</f>
        <v/>
      </c>
      <c r="K22" s="31" t="n">
        <v>9506</v>
      </c>
      <c r="L22" s="33" t="n">
        <v>0</v>
      </c>
      <c r="M22" s="34" t="n">
        <v>9506</v>
      </c>
      <c r="N22" s="35" t="n">
        <v>0.5528692380056444</v>
      </c>
      <c r="O22" s="29" t="inlineStr">
        <is>
          <t>Oct 26 (N)</t>
        </is>
      </c>
      <c r="P22" s="26" t="inlineStr">
        <is>
          <t>FABRICACIÓN URGENTE</t>
        </is>
      </c>
    </row>
    <row r="23" ht="20" customHeight="1">
      <c r="A23" s="17" t="inlineStr">
        <is>
          <t>BC0005</t>
        </is>
      </c>
      <c r="B23" s="18" t="inlineStr">
        <is>
          <t>BITTER-CAL, 5 KG</t>
        </is>
      </c>
      <c r="C23" s="19" t="inlineStr">
        <is>
          <t>5</t>
        </is>
      </c>
      <c r="D23" s="19" t="inlineStr">
        <is>
          <t>Garrafas 5L</t>
        </is>
      </c>
      <c r="E23" s="19" t="inlineStr">
        <is>
          <t>Exportación</t>
        </is>
      </c>
      <c r="F23" s="20" t="n">
        <v>545</v>
      </c>
      <c r="G23" s="20" t="n">
        <v>0</v>
      </c>
      <c r="H23" s="20" t="n">
        <v>10000</v>
      </c>
      <c r="I23" s="21">
        <f>G23+H23</f>
        <v/>
      </c>
      <c r="J23" s="22">
        <f>F23-I23</f>
        <v/>
      </c>
      <c r="K23" s="21" t="n">
        <v>9455</v>
      </c>
      <c r="L23" s="23" t="n">
        <v>0</v>
      </c>
      <c r="M23" s="24" t="n">
        <v>9455</v>
      </c>
      <c r="N23" s="25" t="n">
        <v>0.0545</v>
      </c>
      <c r="O23" s="19" t="inlineStr">
        <is>
          <t>Dic 26</t>
        </is>
      </c>
      <c r="P23" s="26" t="inlineStr">
        <is>
          <t>FABRICACIÓN URGENTE</t>
        </is>
      </c>
    </row>
    <row r="24" ht="20" customHeight="1">
      <c r="A24" s="27" t="inlineStr">
        <is>
          <t>S1000</t>
        </is>
      </c>
      <c r="B24" s="28" t="inlineStr">
        <is>
          <t>SAL-WAX STAR, 1000 L</t>
        </is>
      </c>
      <c r="C24" s="29" t="inlineStr">
        <is>
          <t>1000</t>
        </is>
      </c>
      <c r="D24" s="29" t="inlineStr">
        <is>
          <t>Botellas 1L</t>
        </is>
      </c>
      <c r="E24" s="29" t="inlineStr">
        <is>
          <t>Nacional</t>
        </is>
      </c>
      <c r="F24" s="30" t="n">
        <v>6000</v>
      </c>
      <c r="G24" s="30" t="n">
        <v>0</v>
      </c>
      <c r="H24" s="30" t="n">
        <v>39000</v>
      </c>
      <c r="I24" s="31">
        <f>G24+H24</f>
        <v/>
      </c>
      <c r="J24" s="32">
        <f>F24-I24</f>
        <v/>
      </c>
      <c r="K24" s="31" t="n">
        <v>9260</v>
      </c>
      <c r="L24" s="33" t="n">
        <v>0</v>
      </c>
      <c r="M24" s="34" t="n">
        <v>9260</v>
      </c>
      <c r="N24" s="35" t="n">
        <v>0.7625641025641027</v>
      </c>
      <c r="O24" s="29" t="inlineStr">
        <is>
          <t>Oct 26 (N)</t>
        </is>
      </c>
      <c r="P24" s="26" t="inlineStr">
        <is>
          <t>FABRICACIÓN URGENTE</t>
        </is>
      </c>
    </row>
    <row r="25" ht="20" customHeight="1">
      <c r="A25" s="17" t="inlineStr">
        <is>
          <t>PIV0020</t>
        </is>
      </c>
      <c r="B25" s="18" t="inlineStr">
        <is>
          <t>PGR IV, 20 L</t>
        </is>
      </c>
      <c r="C25" s="19" t="inlineStr">
        <is>
          <t>20</t>
        </is>
      </c>
      <c r="D25" s="19" t="inlineStr">
        <is>
          <t>Garrafas 20L</t>
        </is>
      </c>
      <c r="E25" s="19" t="inlineStr">
        <is>
          <t>Nacional</t>
        </is>
      </c>
      <c r="F25" s="20" t="n">
        <v>1820</v>
      </c>
      <c r="G25" s="21" t="n">
        <v>200</v>
      </c>
      <c r="H25" s="20" t="n">
        <v>10240</v>
      </c>
      <c r="I25" s="21">
        <f>G25+H25</f>
        <v/>
      </c>
      <c r="J25" s="22">
        <f>F25-I25</f>
        <v/>
      </c>
      <c r="K25" s="21" t="n">
        <v>8480</v>
      </c>
      <c r="L25" s="23" t="n">
        <v>0</v>
      </c>
      <c r="M25" s="24" t="n">
        <v>8480</v>
      </c>
      <c r="N25" s="25" t="n">
        <v>0.1877394636015326</v>
      </c>
      <c r="O25" s="19" t="inlineStr">
        <is>
          <t>Oct 26 (N)</t>
        </is>
      </c>
      <c r="P25" s="26" t="inlineStr">
        <is>
          <t>FABRICACIÓN URGENTE</t>
        </is>
      </c>
    </row>
    <row r="26" ht="20" customHeight="1">
      <c r="A26" s="27" t="inlineStr">
        <is>
          <t>GRE10001</t>
        </is>
      </c>
      <c r="B26" s="28" t="inlineStr">
        <is>
          <t>TONAZ</t>
        </is>
      </c>
      <c r="C26" s="29" t="inlineStr">
        <is>
          <t>1</t>
        </is>
      </c>
      <c r="D26" s="29" t="inlineStr">
        <is>
          <t>Botellas 1L</t>
        </is>
      </c>
      <c r="E26" s="29" t="inlineStr">
        <is>
          <t>Exportación</t>
        </is>
      </c>
      <c r="F26" s="30" t="n">
        <v>0</v>
      </c>
      <c r="G26" s="30" t="n">
        <v>0</v>
      </c>
      <c r="H26" s="30" t="n">
        <v>8000</v>
      </c>
      <c r="I26" s="31">
        <f>G26+H26</f>
        <v/>
      </c>
      <c r="J26" s="32">
        <f>F26-I26</f>
        <v/>
      </c>
      <c r="K26" s="31" t="n">
        <v>7795</v>
      </c>
      <c r="L26" s="33" t="n">
        <v>0</v>
      </c>
      <c r="M26" s="34" t="n">
        <v>7795</v>
      </c>
      <c r="N26" s="35" t="n">
        <v>0.025625</v>
      </c>
      <c r="O26" s="29" t="inlineStr">
        <is>
          <t>Dic 26</t>
        </is>
      </c>
      <c r="P26" s="26" t="inlineStr">
        <is>
          <t>FABRICACIÓN URGENTE</t>
        </is>
      </c>
    </row>
    <row r="27" ht="20" customHeight="1">
      <c r="A27" s="17" t="inlineStr">
        <is>
          <t>C-CU20001</t>
        </is>
      </c>
      <c r="B27" s="18" t="inlineStr">
        <is>
          <t>CODICOBRE</t>
        </is>
      </c>
      <c r="C27" s="19" t="inlineStr">
        <is>
          <t>1</t>
        </is>
      </c>
      <c r="D27" s="19" t="inlineStr">
        <is>
          <t>Botellas 1L</t>
        </is>
      </c>
      <c r="E27" s="19" t="inlineStr">
        <is>
          <t>Exportación</t>
        </is>
      </c>
      <c r="F27" s="20" t="n">
        <v>0</v>
      </c>
      <c r="G27" s="20" t="n">
        <v>0</v>
      </c>
      <c r="H27" s="20" t="n">
        <v>7920</v>
      </c>
      <c r="I27" s="21">
        <f>G27+H27</f>
        <v/>
      </c>
      <c r="J27" s="22">
        <f>F27-I27</f>
        <v/>
      </c>
      <c r="K27" s="21" t="n">
        <v>7300</v>
      </c>
      <c r="L27" s="23" t="n">
        <v>0</v>
      </c>
      <c r="M27" s="24" t="n">
        <v>7300</v>
      </c>
      <c r="N27" s="25" t="n">
        <v>0.07828282828282829</v>
      </c>
      <c r="O27" s="19" t="inlineStr">
        <is>
          <t>Nov 26</t>
        </is>
      </c>
      <c r="P27" s="26" t="inlineStr">
        <is>
          <t>FABRICACIÓN URGENTE</t>
        </is>
      </c>
    </row>
    <row r="28" ht="20" customHeight="1">
      <c r="A28" s="27" t="inlineStr">
        <is>
          <t>AGXK0200</t>
        </is>
      </c>
      <c r="B28" s="28" t="inlineStr">
        <is>
          <t>AGROXILATO-K, 200 L</t>
        </is>
      </c>
      <c r="C28" s="29" t="inlineStr">
        <is>
          <t>200</t>
        </is>
      </c>
      <c r="D28" s="29" t="inlineStr">
        <is>
          <t>Garrafas 20L</t>
        </is>
      </c>
      <c r="E28" s="29" t="inlineStr">
        <is>
          <t>Nacional+Export</t>
        </is>
      </c>
      <c r="F28" s="30" t="n">
        <v>0</v>
      </c>
      <c r="G28" s="30" t="n">
        <v>0</v>
      </c>
      <c r="H28" s="30" t="n">
        <v>19000</v>
      </c>
      <c r="I28" s="31">
        <f>G28+H28</f>
        <v/>
      </c>
      <c r="J28" s="32">
        <f>F28-I28</f>
        <v/>
      </c>
      <c r="K28" s="31" t="n">
        <v>7198</v>
      </c>
      <c r="L28" s="33" t="n">
        <v>0</v>
      </c>
      <c r="M28" s="34" t="n">
        <v>7198</v>
      </c>
      <c r="N28" s="35" t="n">
        <v>0.6211578947368421</v>
      </c>
      <c r="O28" s="29" t="inlineStr">
        <is>
          <t>Oct 26 (N)</t>
        </is>
      </c>
      <c r="P28" s="26" t="inlineStr">
        <is>
          <t>FABRICACIÓN URGENTE</t>
        </is>
      </c>
    </row>
    <row r="29" ht="20" customHeight="1">
      <c r="A29" s="17" t="inlineStr">
        <is>
          <t>AGMG0005</t>
        </is>
      </c>
      <c r="B29" s="18" t="inlineStr">
        <is>
          <t>AGROXILATO-MG, 5 KG (EXPORT)</t>
        </is>
      </c>
      <c r="C29" s="19" t="inlineStr">
        <is>
          <t>5</t>
        </is>
      </c>
      <c r="D29" s="19" t="inlineStr">
        <is>
          <t>Garrafas 5L</t>
        </is>
      </c>
      <c r="E29" s="19" t="inlineStr">
        <is>
          <t>Exportación</t>
        </is>
      </c>
      <c r="F29" s="20" t="n">
        <v>0</v>
      </c>
      <c r="G29" s="20" t="n">
        <v>0</v>
      </c>
      <c r="H29" s="20" t="n">
        <v>6000</v>
      </c>
      <c r="I29" s="21">
        <f>G29+H29</f>
        <v/>
      </c>
      <c r="J29" s="22">
        <f>F29-I29</f>
        <v/>
      </c>
      <c r="K29" s="21" t="n">
        <v>5848</v>
      </c>
      <c r="L29" s="23" t="n">
        <v>0</v>
      </c>
      <c r="M29" s="24" t="n">
        <v>5848</v>
      </c>
      <c r="N29" s="25" t="n">
        <v>0.02533333333333333</v>
      </c>
      <c r="O29" s="19" t="inlineStr">
        <is>
          <t>Oct 26 (N)</t>
        </is>
      </c>
      <c r="P29" s="26" t="inlineStr">
        <is>
          <t>FABRICACIÓN URGENTE</t>
        </is>
      </c>
    </row>
    <row r="30" ht="20" customHeight="1">
      <c r="A30" s="27" t="inlineStr">
        <is>
          <t>SS0020</t>
        </is>
      </c>
      <c r="B30" s="28" t="inlineStr">
        <is>
          <t>SAL-WAX-Ca sólido, 20 KG</t>
        </is>
      </c>
      <c r="C30" s="29" t="inlineStr">
        <is>
          <t>20</t>
        </is>
      </c>
      <c r="D30" s="29" t="inlineStr">
        <is>
          <t>Garrafas 20L</t>
        </is>
      </c>
      <c r="E30" s="29" t="inlineStr">
        <is>
          <t>Nacional+Export</t>
        </is>
      </c>
      <c r="F30" s="30" t="n">
        <v>10100</v>
      </c>
      <c r="G30" s="30" t="n">
        <v>0</v>
      </c>
      <c r="H30" s="30" t="n">
        <v>16160</v>
      </c>
      <c r="I30" s="31">
        <f>G30+H30</f>
        <v/>
      </c>
      <c r="J30" s="32">
        <f>F30-I30</f>
        <v/>
      </c>
      <c r="K30" s="31" t="n">
        <v>5323</v>
      </c>
      <c r="L30" s="33" t="n">
        <v>0</v>
      </c>
      <c r="M30" s="34" t="n">
        <v>5323</v>
      </c>
      <c r="N30" s="35" t="n">
        <v>0.6706064356435644</v>
      </c>
      <c r="O30" s="29" t="inlineStr">
        <is>
          <t>Nov 26</t>
        </is>
      </c>
      <c r="P30" s="26" t="inlineStr">
        <is>
          <t>FABRICACIÓN URGENTE</t>
        </is>
      </c>
    </row>
    <row r="31" ht="20" customHeight="1">
      <c r="A31" s="17" t="inlineStr">
        <is>
          <t>B1000CRCO</t>
        </is>
      </c>
      <c r="B31" s="18" t="inlineStr">
        <is>
          <t>BOROCAL, 1000 L</t>
        </is>
      </c>
      <c r="C31" s="19" t="inlineStr">
        <is>
          <t>1000</t>
        </is>
      </c>
      <c r="D31" s="19" t="inlineStr">
        <is>
          <t>Botellas 1L</t>
        </is>
      </c>
      <c r="E31" s="19" t="inlineStr">
        <is>
          <t>Exportación</t>
        </is>
      </c>
      <c r="F31" s="20" t="n">
        <v>0</v>
      </c>
      <c r="G31" s="20" t="n">
        <v>0</v>
      </c>
      <c r="H31" s="20" t="n">
        <v>6000</v>
      </c>
      <c r="I31" s="21">
        <f>G31+H31</f>
        <v/>
      </c>
      <c r="J31" s="22">
        <f>F31-I31</f>
        <v/>
      </c>
      <c r="K31" s="21" t="n">
        <v>5290</v>
      </c>
      <c r="L31" s="23" t="n">
        <v>0</v>
      </c>
      <c r="M31" s="24" t="n">
        <v>5290</v>
      </c>
      <c r="N31" s="25" t="n">
        <v>0.1183333333333333</v>
      </c>
      <c r="O31" s="19" t="inlineStr">
        <is>
          <t>Oct 26 (N)</t>
        </is>
      </c>
      <c r="P31" s="26" t="inlineStr">
        <is>
          <t>FABRICACIÓN URGENTE</t>
        </is>
      </c>
    </row>
    <row r="32" ht="20" customHeight="1">
      <c r="A32" s="27" t="inlineStr">
        <is>
          <t>AGXK1000</t>
        </is>
      </c>
      <c r="B32" s="28" t="inlineStr">
        <is>
          <t>AGROXILATO-K, 1000 L</t>
        </is>
      </c>
      <c r="C32" s="29" t="inlineStr">
        <is>
          <t>1000</t>
        </is>
      </c>
      <c r="D32" s="29" t="inlineStr">
        <is>
          <t>Botellas 1L</t>
        </is>
      </c>
      <c r="E32" s="29" t="inlineStr">
        <is>
          <t>Nacional</t>
        </is>
      </c>
      <c r="F32" s="30" t="n">
        <v>0</v>
      </c>
      <c r="G32" s="30" t="n">
        <v>0</v>
      </c>
      <c r="H32" s="30" t="n">
        <v>17000</v>
      </c>
      <c r="I32" s="31">
        <f>G32+H32</f>
        <v/>
      </c>
      <c r="J32" s="32">
        <f>F32-I32</f>
        <v/>
      </c>
      <c r="K32" s="31" t="n">
        <v>5198</v>
      </c>
      <c r="L32" s="33" t="n">
        <v>0</v>
      </c>
      <c r="M32" s="34" t="n">
        <v>5198</v>
      </c>
      <c r="N32" s="35" t="n">
        <v>0.6942352941176471</v>
      </c>
      <c r="O32" s="29" t="inlineStr">
        <is>
          <t>Oct 26 (N)</t>
        </is>
      </c>
      <c r="P32" s="26" t="inlineStr">
        <is>
          <t>FABRICACIÓN URGENTE</t>
        </is>
      </c>
    </row>
    <row r="33" ht="20" customHeight="1">
      <c r="A33" s="17" t="inlineStr">
        <is>
          <t>NAZAZ</t>
        </is>
      </c>
      <c r="B33" s="18" t="inlineStr">
        <is>
          <t>AMINOG AL , 1L</t>
        </is>
      </c>
      <c r="C33" s="19" t="inlineStr">
        <is>
          <t>1</t>
        </is>
      </c>
      <c r="D33" s="19" t="inlineStr">
        <is>
          <t>Botellas 1L</t>
        </is>
      </c>
      <c r="E33" s="19" t="inlineStr">
        <is>
          <t>Exportación</t>
        </is>
      </c>
      <c r="F33" s="20" t="n">
        <v>0</v>
      </c>
      <c r="G33" s="20" t="n">
        <v>0</v>
      </c>
      <c r="H33" s="20" t="n">
        <v>4920</v>
      </c>
      <c r="I33" s="21">
        <f>G33+H33</f>
        <v/>
      </c>
      <c r="J33" s="22">
        <f>F33-I33</f>
        <v/>
      </c>
      <c r="K33" s="21" t="n">
        <v>4920</v>
      </c>
      <c r="L33" s="23" t="n">
        <v>0</v>
      </c>
      <c r="M33" s="24" t="n">
        <v>4920</v>
      </c>
      <c r="N33" s="25" t="n">
        <v>0</v>
      </c>
      <c r="O33" s="19" t="inlineStr">
        <is>
          <t>Dic 26</t>
        </is>
      </c>
      <c r="P33" s="26" t="inlineStr">
        <is>
          <t>FABRICACIÓN URGENTE</t>
        </is>
      </c>
    </row>
    <row r="34" ht="20" customHeight="1">
      <c r="A34" s="27" t="inlineStr">
        <is>
          <t>CPLUS0020</t>
        </is>
      </c>
      <c r="B34" s="28" t="inlineStr">
        <is>
          <t>CALCIPLUS, 20 L</t>
        </is>
      </c>
      <c r="C34" s="29" t="inlineStr">
        <is>
          <t>20</t>
        </is>
      </c>
      <c r="D34" s="29" t="inlineStr">
        <is>
          <t>Garrafas 20L</t>
        </is>
      </c>
      <c r="E34" s="29" t="inlineStr">
        <is>
          <t>Nacional</t>
        </is>
      </c>
      <c r="F34" s="30" t="n">
        <v>5000</v>
      </c>
      <c r="G34" s="30" t="n">
        <v>0</v>
      </c>
      <c r="H34" s="30" t="n">
        <v>11280</v>
      </c>
      <c r="I34" s="31">
        <f>G34+H34</f>
        <v/>
      </c>
      <c r="J34" s="32">
        <f>F34-I34</f>
        <v/>
      </c>
      <c r="K34" s="31" t="n">
        <v>4800</v>
      </c>
      <c r="L34" s="33" t="n">
        <v>0</v>
      </c>
      <c r="M34" s="34" t="n">
        <v>4800</v>
      </c>
      <c r="N34" s="35" t="n">
        <v>0.574468085106383</v>
      </c>
      <c r="O34" s="29" t="inlineStr">
        <is>
          <t>Nov 26</t>
        </is>
      </c>
      <c r="P34" s="26" t="inlineStr">
        <is>
          <t>FABRICACIÓN URGENTE</t>
        </is>
      </c>
    </row>
    <row r="35" ht="20" customHeight="1">
      <c r="A35" s="17" t="inlineStr">
        <is>
          <t>A-50EG0001</t>
        </is>
      </c>
      <c r="B35" s="18" t="inlineStr">
        <is>
          <t>CODIORGAN-A50</t>
        </is>
      </c>
      <c r="C35" s="19" t="inlineStr">
        <is>
          <t>1</t>
        </is>
      </c>
      <c r="D35" s="19" t="inlineStr">
        <is>
          <t>Botellas 1L</t>
        </is>
      </c>
      <c r="E35" s="19" t="inlineStr">
        <is>
          <t>Exportación</t>
        </is>
      </c>
      <c r="F35" s="20" t="n">
        <v>81</v>
      </c>
      <c r="G35" s="20" t="n">
        <v>0</v>
      </c>
      <c r="H35" s="20" t="n">
        <v>5000</v>
      </c>
      <c r="I35" s="21">
        <f>G35+H35</f>
        <v/>
      </c>
      <c r="J35" s="22">
        <f>F35-I35</f>
        <v/>
      </c>
      <c r="K35" s="21" t="n">
        <v>4763</v>
      </c>
      <c r="L35" s="23" t="n">
        <v>0</v>
      </c>
      <c r="M35" s="24" t="n">
        <v>4763</v>
      </c>
      <c r="N35" s="25" t="n">
        <v>0.0474</v>
      </c>
      <c r="O35" s="19" t="inlineStr">
        <is>
          <t>Dic 26</t>
        </is>
      </c>
      <c r="P35" s="26" t="inlineStr">
        <is>
          <t>FABRICACIÓN URGENTE</t>
        </is>
      </c>
    </row>
    <row r="36" ht="20" customHeight="1">
      <c r="A36" s="27" t="inlineStr">
        <is>
          <t>AVAN0001</t>
        </is>
      </c>
      <c r="B36" s="28" t="inlineStr">
        <is>
          <t>CODI-FLOR AVANCE, 1 L</t>
        </is>
      </c>
      <c r="C36" s="29" t="inlineStr">
        <is>
          <t>1</t>
        </is>
      </c>
      <c r="D36" s="29" t="inlineStr">
        <is>
          <t>Botellas 1L</t>
        </is>
      </c>
      <c r="E36" s="29" t="inlineStr">
        <is>
          <t>Nacional+Export</t>
        </is>
      </c>
      <c r="F36" s="30" t="n">
        <v>324</v>
      </c>
      <c r="G36" s="30" t="n">
        <v>0</v>
      </c>
      <c r="H36" s="30" t="n">
        <v>6300</v>
      </c>
      <c r="I36" s="31">
        <f>G36+H36</f>
        <v/>
      </c>
      <c r="J36" s="32">
        <f>F36-I36</f>
        <v/>
      </c>
      <c r="K36" s="31" t="n">
        <v>4499</v>
      </c>
      <c r="L36" s="33" t="n">
        <v>0</v>
      </c>
      <c r="M36" s="34" t="n">
        <v>4499</v>
      </c>
      <c r="N36" s="35" t="n">
        <v>0.2858730158730159</v>
      </c>
      <c r="O36" s="29" t="inlineStr">
        <is>
          <t>Oct 26 (N)</t>
        </is>
      </c>
      <c r="P36" s="26" t="inlineStr">
        <is>
          <t>FABRICACIÓN URGENTE</t>
        </is>
      </c>
    </row>
    <row r="37" ht="20" customHeight="1">
      <c r="A37" s="17" t="inlineStr">
        <is>
          <t>SS0005</t>
        </is>
      </c>
      <c r="B37" s="18" t="inlineStr">
        <is>
          <t>SALWAX-CA, 5 KG</t>
        </is>
      </c>
      <c r="C37" s="19" t="inlineStr">
        <is>
          <t>5</t>
        </is>
      </c>
      <c r="D37" s="19" t="inlineStr">
        <is>
          <t>Garrafas 5L</t>
        </is>
      </c>
      <c r="E37" s="19" t="inlineStr">
        <is>
          <t>Nacional+Export</t>
        </is>
      </c>
      <c r="F37" s="20" t="n">
        <v>1010</v>
      </c>
      <c r="G37" s="20" t="n">
        <v>0</v>
      </c>
      <c r="H37" s="20" t="n">
        <v>6150</v>
      </c>
      <c r="I37" s="21">
        <f>G37+H37</f>
        <v/>
      </c>
      <c r="J37" s="22">
        <f>F37-I37</f>
        <v/>
      </c>
      <c r="K37" s="21" t="n">
        <v>4403</v>
      </c>
      <c r="L37" s="23" t="n">
        <v>0</v>
      </c>
      <c r="M37" s="24" t="n">
        <v>4403</v>
      </c>
      <c r="N37" s="25" t="n">
        <v>0.2840650406504065</v>
      </c>
      <c r="O37" s="19" t="inlineStr">
        <is>
          <t>Nov 26</t>
        </is>
      </c>
      <c r="P37" s="26" t="inlineStr">
        <is>
          <t>FABRICACIÓN URGENTE</t>
        </is>
      </c>
    </row>
    <row r="38" ht="20" customHeight="1">
      <c r="A38" s="27" t="inlineStr">
        <is>
          <t>AVAN0020</t>
        </is>
      </c>
      <c r="B38" s="28" t="inlineStr">
        <is>
          <t>FLORAMEC AVANCE, 20 L</t>
        </is>
      </c>
      <c r="C38" s="29" t="inlineStr">
        <is>
          <t>20</t>
        </is>
      </c>
      <c r="D38" s="29" t="inlineStr">
        <is>
          <t>Garrafas 20L</t>
        </is>
      </c>
      <c r="E38" s="29" t="inlineStr">
        <is>
          <t>Nacional+Export</t>
        </is>
      </c>
      <c r="F38" s="30" t="n">
        <v>360</v>
      </c>
      <c r="G38" s="30" t="n">
        <v>0</v>
      </c>
      <c r="H38" s="30" t="n">
        <v>6120</v>
      </c>
      <c r="I38" s="31">
        <f>G38+H38</f>
        <v/>
      </c>
      <c r="J38" s="32">
        <f>F38-I38</f>
        <v/>
      </c>
      <c r="K38" s="31" t="n">
        <v>4283</v>
      </c>
      <c r="L38" s="33" t="n">
        <v>0</v>
      </c>
      <c r="M38" s="34" t="n">
        <v>4283</v>
      </c>
      <c r="N38" s="35" t="n">
        <v>0.3001633986928104</v>
      </c>
      <c r="O38" s="29" t="inlineStr">
        <is>
          <t>Oct 26 (N)</t>
        </is>
      </c>
      <c r="P38" s="26" t="inlineStr">
        <is>
          <t>FABRICACIÓN URGENTE</t>
        </is>
      </c>
    </row>
    <row r="39" ht="20" customHeight="1">
      <c r="A39" s="17" t="inlineStr">
        <is>
          <t>FLORCR1000</t>
        </is>
      </c>
      <c r="B39" s="18" t="inlineStr">
        <is>
          <t>FLORAMEC</t>
        </is>
      </c>
      <c r="C39" s="19" t="inlineStr">
        <is>
          <t>1000</t>
        </is>
      </c>
      <c r="D39" s="19" t="inlineStr">
        <is>
          <t>Botellas 1L</t>
        </is>
      </c>
      <c r="E39" s="19" t="inlineStr">
        <is>
          <t>Exportación</t>
        </is>
      </c>
      <c r="F39" s="20" t="n">
        <v>0</v>
      </c>
      <c r="G39" s="20" t="n">
        <v>0</v>
      </c>
      <c r="H39" s="20" t="n">
        <v>6000</v>
      </c>
      <c r="I39" s="21">
        <f>G39+H39</f>
        <v/>
      </c>
      <c r="J39" s="22">
        <f>F39-I39</f>
        <v/>
      </c>
      <c r="K39" s="21" t="n">
        <v>4200</v>
      </c>
      <c r="L39" s="23" t="n">
        <v>0</v>
      </c>
      <c r="M39" s="24" t="n">
        <v>4200</v>
      </c>
      <c r="N39" s="25" t="n">
        <v>0.3</v>
      </c>
      <c r="O39" s="19" t="inlineStr">
        <is>
          <t>Oct 26 (N)</t>
        </is>
      </c>
      <c r="P39" s="26" t="inlineStr">
        <is>
          <t>FABRICACIÓN URGENTE</t>
        </is>
      </c>
    </row>
    <row r="40" ht="20" customHeight="1">
      <c r="A40" s="27" t="inlineStr">
        <is>
          <t>AGXKC1000</t>
        </is>
      </c>
      <c r="B40" s="28" t="inlineStr">
        <is>
          <t>AGROXILATO-COMPLET, 1000 L</t>
        </is>
      </c>
      <c r="C40" s="29" t="inlineStr">
        <is>
          <t>1000</t>
        </is>
      </c>
      <c r="D40" s="29" t="inlineStr">
        <is>
          <t>Botellas 1L</t>
        </is>
      </c>
      <c r="E40" s="29" t="inlineStr">
        <is>
          <t>Nacional</t>
        </is>
      </c>
      <c r="F40" s="30" t="n">
        <v>0</v>
      </c>
      <c r="G40" s="30" t="n">
        <v>0</v>
      </c>
      <c r="H40" s="30" t="n">
        <v>5000</v>
      </c>
      <c r="I40" s="31">
        <f>G40+H40</f>
        <v/>
      </c>
      <c r="J40" s="32">
        <f>F40-I40</f>
        <v/>
      </c>
      <c r="K40" s="31" t="n">
        <v>4113</v>
      </c>
      <c r="L40" s="33" t="n">
        <v>0</v>
      </c>
      <c r="M40" s="34" t="n">
        <v>4113</v>
      </c>
      <c r="N40" s="35" t="n">
        <v>0.1774</v>
      </c>
      <c r="O40" s="29" t="inlineStr">
        <is>
          <t>Nov 26</t>
        </is>
      </c>
      <c r="P40" s="26" t="inlineStr">
        <is>
          <t>FABRICACIÓN URGENTE</t>
        </is>
      </c>
    </row>
    <row r="41" ht="20" customHeight="1">
      <c r="A41" s="17" t="inlineStr">
        <is>
          <t>GRE10005</t>
        </is>
      </c>
      <c r="B41" s="18" t="inlineStr">
        <is>
          <t>TONAZ</t>
        </is>
      </c>
      <c r="C41" s="19" t="inlineStr">
        <is>
          <t>5</t>
        </is>
      </c>
      <c r="D41" s="19" t="inlineStr">
        <is>
          <t>Garrafas 5L</t>
        </is>
      </c>
      <c r="E41" s="19" t="inlineStr">
        <is>
          <t>Exportación</t>
        </is>
      </c>
      <c r="F41" s="20" t="n">
        <v>0</v>
      </c>
      <c r="G41" s="20" t="n">
        <v>0</v>
      </c>
      <c r="H41" s="20" t="n">
        <v>4000</v>
      </c>
      <c r="I41" s="21">
        <f>G41+H41</f>
        <v/>
      </c>
      <c r="J41" s="22">
        <f>F41-I41</f>
        <v/>
      </c>
      <c r="K41" s="21" t="n">
        <v>4000</v>
      </c>
      <c r="L41" s="23" t="n">
        <v>0</v>
      </c>
      <c r="M41" s="24" t="n">
        <v>4000</v>
      </c>
      <c r="N41" s="25" t="n">
        <v>0</v>
      </c>
      <c r="O41" s="19" t="inlineStr">
        <is>
          <t>Dic 26</t>
        </is>
      </c>
      <c r="P41" s="26" t="inlineStr">
        <is>
          <t>FABRICACIÓN URGENTE</t>
        </is>
      </c>
    </row>
    <row r="42" ht="20" customHeight="1">
      <c r="A42" s="27" t="inlineStr">
        <is>
          <t>PT1000</t>
        </is>
      </c>
      <c r="B42" s="28" t="inlineStr">
        <is>
          <t>AGROPOTASION, 1000 L</t>
        </is>
      </c>
      <c r="C42" s="29" t="inlineStr">
        <is>
          <t>1000</t>
        </is>
      </c>
      <c r="D42" s="29" t="inlineStr">
        <is>
          <t>Botellas 1L</t>
        </is>
      </c>
      <c r="E42" s="29" t="inlineStr">
        <is>
          <t>Nacional+Export</t>
        </is>
      </c>
      <c r="F42" s="30" t="n">
        <v>1000</v>
      </c>
      <c r="G42" s="30" t="n">
        <v>0</v>
      </c>
      <c r="H42" s="30" t="n">
        <v>6000</v>
      </c>
      <c r="I42" s="31">
        <f>G42+H42</f>
        <v/>
      </c>
      <c r="J42" s="32">
        <f>F42-I42</f>
        <v/>
      </c>
      <c r="K42" s="31" t="n">
        <v>3894</v>
      </c>
      <c r="L42" s="33" t="n">
        <v>0</v>
      </c>
      <c r="M42" s="34" t="n">
        <v>3894</v>
      </c>
      <c r="N42" s="35" t="n">
        <v>0.3509999999999999</v>
      </c>
      <c r="O42" s="29" t="inlineStr">
        <is>
          <t>Oct 26 (N)</t>
        </is>
      </c>
      <c r="P42" s="26" t="inlineStr">
        <is>
          <t>FABRICACIÓN URGENTE</t>
        </is>
      </c>
    </row>
    <row r="43" ht="20" customHeight="1">
      <c r="A43" s="17" t="inlineStr">
        <is>
          <t>FIORI1000</t>
        </is>
      </c>
      <c r="B43" s="18" t="inlineStr">
        <is>
          <t>RADIFIORI, 1000 L</t>
        </is>
      </c>
      <c r="C43" s="19" t="inlineStr">
        <is>
          <t>1000</t>
        </is>
      </c>
      <c r="D43" s="19" t="inlineStr">
        <is>
          <t>Botellas 1L</t>
        </is>
      </c>
      <c r="E43" s="19" t="inlineStr">
        <is>
          <t>Exportación</t>
        </is>
      </c>
      <c r="F43" s="20" t="n">
        <v>0</v>
      </c>
      <c r="G43" s="20" t="n">
        <v>0</v>
      </c>
      <c r="H43" s="20" t="n">
        <v>3000</v>
      </c>
      <c r="I43" s="21">
        <f>G43+H43</f>
        <v/>
      </c>
      <c r="J43" s="22">
        <f>F43-I43</f>
        <v/>
      </c>
      <c r="K43" s="21" t="n">
        <v>3000</v>
      </c>
      <c r="L43" s="23" t="n">
        <v>0</v>
      </c>
      <c r="M43" s="24" t="n">
        <v>3000</v>
      </c>
      <c r="N43" s="25" t="n">
        <v>0</v>
      </c>
      <c r="O43" s="19" t="inlineStr">
        <is>
          <t>Dic 26</t>
        </is>
      </c>
      <c r="P43" s="26" t="inlineStr">
        <is>
          <t>FABRICACIÓN URGENTE</t>
        </is>
      </c>
    </row>
    <row r="44" ht="20" customHeight="1">
      <c r="A44" s="27" t="inlineStr">
        <is>
          <t>SS0001</t>
        </is>
      </c>
      <c r="B44" s="28" t="inlineStr">
        <is>
          <t>SAL-WAX Ca</t>
        </is>
      </c>
      <c r="C44" s="29" t="inlineStr">
        <is>
          <t>1</t>
        </is>
      </c>
      <c r="D44" s="29" t="inlineStr">
        <is>
          <t>Botellas 1L</t>
        </is>
      </c>
      <c r="E44" s="29" t="inlineStr">
        <is>
          <t>Exportación</t>
        </is>
      </c>
      <c r="F44" s="30" t="n">
        <v>0</v>
      </c>
      <c r="G44" s="30" t="n">
        <v>0</v>
      </c>
      <c r="H44" s="30" t="n">
        <v>3680</v>
      </c>
      <c r="I44" s="31">
        <f>G44+H44</f>
        <v/>
      </c>
      <c r="J44" s="32">
        <f>F44-I44</f>
        <v/>
      </c>
      <c r="K44" s="31" t="n">
        <v>2943</v>
      </c>
      <c r="L44" s="33" t="n">
        <v>0</v>
      </c>
      <c r="M44" s="34" t="n">
        <v>2943</v>
      </c>
      <c r="N44" s="35" t="n">
        <v>0.2002717391304348</v>
      </c>
      <c r="O44" s="29" t="inlineStr">
        <is>
          <t>Oct 26 (N)</t>
        </is>
      </c>
      <c r="P44" s="26" t="inlineStr">
        <is>
          <t>FABRICACIÓN URGENTE</t>
        </is>
      </c>
    </row>
    <row r="45" ht="20" customHeight="1">
      <c r="A45" s="17" t="inlineStr">
        <is>
          <t>A-500005</t>
        </is>
      </c>
      <c r="B45" s="18" t="inlineStr">
        <is>
          <t>CODIORGAN  A-50</t>
        </is>
      </c>
      <c r="C45" s="19" t="inlineStr">
        <is>
          <t>5</t>
        </is>
      </c>
      <c r="D45" s="19" t="inlineStr">
        <is>
          <t>Garrafas 5L</t>
        </is>
      </c>
      <c r="E45" s="19" t="inlineStr">
        <is>
          <t>Exportación</t>
        </is>
      </c>
      <c r="F45" s="20" t="n">
        <v>0</v>
      </c>
      <c r="G45" s="20" t="n">
        <v>0</v>
      </c>
      <c r="H45" s="20" t="n">
        <v>3000</v>
      </c>
      <c r="I45" s="21">
        <f>G45+H45</f>
        <v/>
      </c>
      <c r="J45" s="22">
        <f>F45-I45</f>
        <v/>
      </c>
      <c r="K45" s="21" t="n">
        <v>2844</v>
      </c>
      <c r="L45" s="23" t="n">
        <v>0</v>
      </c>
      <c r="M45" s="24" t="n">
        <v>2844</v>
      </c>
      <c r="N45" s="25" t="n">
        <v>0.052</v>
      </c>
      <c r="O45" s="19" t="inlineStr">
        <is>
          <t>Oct 26 (N)</t>
        </is>
      </c>
      <c r="P45" s="26" t="inlineStr">
        <is>
          <t>FABRICACIÓN URGENTE</t>
        </is>
      </c>
    </row>
    <row r="46" ht="20" customHeight="1">
      <c r="A46" s="27" t="inlineStr">
        <is>
          <t>A-500001</t>
        </is>
      </c>
      <c r="B46" s="28" t="inlineStr">
        <is>
          <t>CODIORGAN-A50, 1 KG</t>
        </is>
      </c>
      <c r="C46" s="29" t="inlineStr">
        <is>
          <t>1</t>
        </is>
      </c>
      <c r="D46" s="29" t="inlineStr">
        <is>
          <t>Botellas 1L</t>
        </is>
      </c>
      <c r="E46" s="29" t="inlineStr">
        <is>
          <t>Nacional+Export</t>
        </is>
      </c>
      <c r="F46" s="30" t="n">
        <v>0</v>
      </c>
      <c r="G46" s="30" t="n">
        <v>0</v>
      </c>
      <c r="H46" s="30" t="n">
        <v>2976</v>
      </c>
      <c r="I46" s="31">
        <f>G46+H46</f>
        <v/>
      </c>
      <c r="J46" s="32">
        <f>F46-I46</f>
        <v/>
      </c>
      <c r="K46" s="31" t="n">
        <v>2820</v>
      </c>
      <c r="L46" s="33" t="n">
        <v>0</v>
      </c>
      <c r="M46" s="34" t="n">
        <v>2820</v>
      </c>
      <c r="N46" s="35" t="n">
        <v>0.05241935483870968</v>
      </c>
      <c r="O46" s="29" t="inlineStr">
        <is>
          <t>Oct 26 (N)</t>
        </is>
      </c>
      <c r="P46" s="26" t="inlineStr">
        <is>
          <t>FABRICACIÓN URGENTE</t>
        </is>
      </c>
    </row>
    <row r="47" ht="20" customHeight="1">
      <c r="A47" s="17" t="inlineStr">
        <is>
          <t>CODIR1000</t>
        </is>
      </c>
      <c r="B47" s="18" t="inlineStr">
        <is>
          <t>CODIRESIST</t>
        </is>
      </c>
      <c r="C47" s="19" t="inlineStr">
        <is>
          <t>1000</t>
        </is>
      </c>
      <c r="D47" s="19" t="inlineStr">
        <is>
          <t>Botellas 1L</t>
        </is>
      </c>
      <c r="E47" s="19" t="inlineStr">
        <is>
          <t>Exportación</t>
        </is>
      </c>
      <c r="F47" s="20" t="n">
        <v>0</v>
      </c>
      <c r="G47" s="20" t="n">
        <v>0</v>
      </c>
      <c r="H47" s="20" t="n">
        <v>3000</v>
      </c>
      <c r="I47" s="21">
        <f>G47+H47</f>
        <v/>
      </c>
      <c r="J47" s="22">
        <f>F47-I47</f>
        <v/>
      </c>
      <c r="K47" s="21" t="n">
        <v>2800</v>
      </c>
      <c r="L47" s="23" t="n">
        <v>0</v>
      </c>
      <c r="M47" s="24" t="n">
        <v>2800</v>
      </c>
      <c r="N47" s="25" t="n">
        <v>0.06666666666666667</v>
      </c>
      <c r="O47" s="19" t="inlineStr">
        <is>
          <t>Oct 26 (N)</t>
        </is>
      </c>
      <c r="P47" s="26" t="inlineStr">
        <is>
          <t>FABRICACIÓN URGENTE</t>
        </is>
      </c>
    </row>
    <row r="48" ht="20" customHeight="1">
      <c r="A48" s="27" t="inlineStr">
        <is>
          <t>A-50(2)0001</t>
        </is>
      </c>
      <c r="B48" s="28" t="inlineStr">
        <is>
          <t>CODIORGAN-A50</t>
        </is>
      </c>
      <c r="C48" s="29" t="inlineStr">
        <is>
          <t>1</t>
        </is>
      </c>
      <c r="D48" s="29" t="inlineStr">
        <is>
          <t>Botellas 1L</t>
        </is>
      </c>
      <c r="E48" s="29" t="inlineStr">
        <is>
          <t>Exportación</t>
        </is>
      </c>
      <c r="F48" s="30" t="n">
        <v>0</v>
      </c>
      <c r="G48" s="30" t="n">
        <v>0</v>
      </c>
      <c r="H48" s="30" t="n">
        <v>2800</v>
      </c>
      <c r="I48" s="31">
        <f>G48+H48</f>
        <v/>
      </c>
      <c r="J48" s="32">
        <f>F48-I48</f>
        <v/>
      </c>
      <c r="K48" s="31" t="n">
        <v>2767</v>
      </c>
      <c r="L48" s="33" t="n">
        <v>0</v>
      </c>
      <c r="M48" s="34" t="n">
        <v>2767</v>
      </c>
      <c r="N48" s="35" t="n">
        <v>0.01178571428571429</v>
      </c>
      <c r="O48" s="29" t="inlineStr">
        <is>
          <t>Nov 26</t>
        </is>
      </c>
      <c r="P48" s="26" t="inlineStr">
        <is>
          <t>FABRICACIÓN URGENTE</t>
        </is>
      </c>
    </row>
    <row r="49" ht="20" customHeight="1">
      <c r="A49" s="17" t="inlineStr">
        <is>
          <t>PREZN0005</t>
        </is>
      </c>
      <c r="B49" s="18" t="inlineStr">
        <is>
          <t>PREZINC, 5 kg</t>
        </is>
      </c>
      <c r="C49" s="19" t="inlineStr">
        <is>
          <t>5</t>
        </is>
      </c>
      <c r="D49" s="19" t="inlineStr">
        <is>
          <t>Garrafas 5L</t>
        </is>
      </c>
      <c r="E49" s="19" t="inlineStr">
        <is>
          <t>Nacional</t>
        </is>
      </c>
      <c r="F49" s="20" t="n">
        <v>160</v>
      </c>
      <c r="G49" s="20" t="n">
        <v>0</v>
      </c>
      <c r="H49" s="20" t="n">
        <v>3000</v>
      </c>
      <c r="I49" s="21">
        <f>G49+H49</f>
        <v/>
      </c>
      <c r="J49" s="22">
        <f>F49-I49</f>
        <v/>
      </c>
      <c r="K49" s="21" t="n">
        <v>2740</v>
      </c>
      <c r="L49" s="23" t="n">
        <v>0</v>
      </c>
      <c r="M49" s="24" t="n">
        <v>2740</v>
      </c>
      <c r="N49" s="25" t="n">
        <v>0.08666666666666668</v>
      </c>
      <c r="O49" s="19" t="inlineStr">
        <is>
          <t>Dic 26</t>
        </is>
      </c>
      <c r="P49" s="26" t="inlineStr">
        <is>
          <t>FABRICACIÓN URGENTE</t>
        </is>
      </c>
    </row>
    <row r="50" ht="20" customHeight="1">
      <c r="A50" s="27" t="inlineStr">
        <is>
          <t>C-CU0001</t>
        </is>
      </c>
      <c r="B50" s="28" t="inlineStr">
        <is>
          <t>CODICOBRE</t>
        </is>
      </c>
      <c r="C50" s="29" t="inlineStr">
        <is>
          <t>1</t>
        </is>
      </c>
      <c r="D50" s="29" t="inlineStr">
        <is>
          <t>Botellas 1L</t>
        </is>
      </c>
      <c r="E50" s="29" t="inlineStr">
        <is>
          <t>Nacional+Export</t>
        </is>
      </c>
      <c r="F50" s="30" t="n">
        <v>588</v>
      </c>
      <c r="G50" s="30" t="n">
        <v>0</v>
      </c>
      <c r="H50" s="30" t="n">
        <v>4496</v>
      </c>
      <c r="I50" s="31">
        <f>G50+H50</f>
        <v/>
      </c>
      <c r="J50" s="32">
        <f>F50-I50</f>
        <v/>
      </c>
      <c r="K50" s="31" t="n">
        <v>2566</v>
      </c>
      <c r="L50" s="33" t="n">
        <v>0</v>
      </c>
      <c r="M50" s="34" t="n">
        <v>2566</v>
      </c>
      <c r="N50" s="35" t="n">
        <v>0.429270462633452</v>
      </c>
      <c r="O50" s="29" t="inlineStr">
        <is>
          <t>Oct 26 (N)</t>
        </is>
      </c>
      <c r="P50" s="26" t="inlineStr">
        <is>
          <t>FABRICACIÓN URGENTE</t>
        </is>
      </c>
    </row>
    <row r="51" ht="20" customHeight="1">
      <c r="A51" s="17" t="inlineStr">
        <is>
          <t>A-50(2)0020</t>
        </is>
      </c>
      <c r="B51" s="18" t="inlineStr">
        <is>
          <t>CODIORGAN A-50, 20 KG</t>
        </is>
      </c>
      <c r="C51" s="19" t="inlineStr">
        <is>
          <t>20</t>
        </is>
      </c>
      <c r="D51" s="19" t="inlineStr">
        <is>
          <t>Garrafas 20L</t>
        </is>
      </c>
      <c r="E51" s="19" t="inlineStr">
        <is>
          <t>Nacional+Export</t>
        </is>
      </c>
      <c r="F51" s="20" t="n">
        <v>580</v>
      </c>
      <c r="G51" s="21" t="n">
        <v>100</v>
      </c>
      <c r="H51" s="20" t="n">
        <v>3000</v>
      </c>
      <c r="I51" s="21">
        <f>G51+H51</f>
        <v/>
      </c>
      <c r="J51" s="22">
        <f>F51-I51</f>
        <v/>
      </c>
      <c r="K51" s="21" t="n">
        <v>2487</v>
      </c>
      <c r="L51" s="23" t="n">
        <v>0</v>
      </c>
      <c r="M51" s="24" t="n">
        <v>2487</v>
      </c>
      <c r="N51" s="25" t="n">
        <v>0.197741935483871</v>
      </c>
      <c r="O51" s="19" t="inlineStr">
        <is>
          <t>Oct 26 (N)</t>
        </is>
      </c>
      <c r="P51" s="26" t="inlineStr">
        <is>
          <t>FABRICACIÓN URGENTE</t>
        </is>
      </c>
    </row>
    <row r="52" ht="20" customHeight="1">
      <c r="A52" s="27" t="inlineStr">
        <is>
          <t>AVAN0005</t>
        </is>
      </c>
      <c r="B52" s="28" t="inlineStr">
        <is>
          <t>FLORAMEC AVANCE, 5 L</t>
        </is>
      </c>
      <c r="C52" s="29" t="inlineStr">
        <is>
          <t>5</t>
        </is>
      </c>
      <c r="D52" s="29" t="inlineStr">
        <is>
          <t>Garrafas 5L</t>
        </is>
      </c>
      <c r="E52" s="29" t="inlineStr">
        <is>
          <t>Nacional+Export</t>
        </is>
      </c>
      <c r="F52" s="30" t="n">
        <v>3320</v>
      </c>
      <c r="G52" s="30" t="n">
        <v>0</v>
      </c>
      <c r="H52" s="30" t="n">
        <v>7100</v>
      </c>
      <c r="I52" s="31">
        <f>G52+H52</f>
        <v/>
      </c>
      <c r="J52" s="32">
        <f>F52-I52</f>
        <v/>
      </c>
      <c r="K52" s="31" t="n">
        <v>2303</v>
      </c>
      <c r="L52" s="33" t="n">
        <v>0</v>
      </c>
      <c r="M52" s="34" t="n">
        <v>2303</v>
      </c>
      <c r="N52" s="35" t="n">
        <v>0.6756338028169014</v>
      </c>
      <c r="O52" s="29" t="inlineStr">
        <is>
          <t>Dic 26</t>
        </is>
      </c>
      <c r="P52" s="26" t="inlineStr">
        <is>
          <t>FABRICACIÓN URGENTE</t>
        </is>
      </c>
    </row>
    <row r="53" ht="20" customHeight="1">
      <c r="A53" s="17" t="inlineStr">
        <is>
          <t>FTK0020</t>
        </is>
      </c>
      <c r="B53" s="18" t="inlineStr">
        <is>
          <t>FITOKONTROL CA FLOW, 20 KG</t>
        </is>
      </c>
      <c r="C53" s="19" t="inlineStr">
        <is>
          <t>20</t>
        </is>
      </c>
      <c r="D53" s="19" t="inlineStr">
        <is>
          <t>Garrafas 20L</t>
        </is>
      </c>
      <c r="E53" s="19" t="inlineStr">
        <is>
          <t>Exportación</t>
        </is>
      </c>
      <c r="F53" s="20" t="n">
        <v>0</v>
      </c>
      <c r="G53" s="20" t="n">
        <v>0</v>
      </c>
      <c r="H53" s="20" t="n">
        <v>2200</v>
      </c>
      <c r="I53" s="21">
        <f>G53+H53</f>
        <v/>
      </c>
      <c r="J53" s="22">
        <f>F53-I53</f>
        <v/>
      </c>
      <c r="K53" s="21" t="n">
        <v>2200</v>
      </c>
      <c r="L53" s="23" t="n">
        <v>0</v>
      </c>
      <c r="M53" s="24" t="n">
        <v>2200</v>
      </c>
      <c r="N53" s="25" t="n">
        <v>0</v>
      </c>
      <c r="O53" s="19" t="inlineStr">
        <is>
          <t>Dic 26</t>
        </is>
      </c>
      <c r="P53" s="26" t="inlineStr">
        <is>
          <t>FABRICACIÓN URGENTE</t>
        </is>
      </c>
    </row>
    <row r="54" ht="20" customHeight="1">
      <c r="A54" s="27" t="inlineStr">
        <is>
          <t>DECA0005</t>
        </is>
      </c>
      <c r="B54" s="28" t="inlineStr">
        <is>
          <t>DEFENS-CA-AE</t>
        </is>
      </c>
      <c r="C54" s="29" t="inlineStr">
        <is>
          <t>5</t>
        </is>
      </c>
      <c r="D54" s="29" t="inlineStr">
        <is>
          <t>Garrafas 5L</t>
        </is>
      </c>
      <c r="E54" s="29" t="inlineStr">
        <is>
          <t>Exportación</t>
        </is>
      </c>
      <c r="F54" s="30" t="n">
        <v>10</v>
      </c>
      <c r="G54" s="30" t="n">
        <v>0</v>
      </c>
      <c r="H54" s="30" t="n">
        <v>3300</v>
      </c>
      <c r="I54" s="31">
        <f>G54+H54</f>
        <v/>
      </c>
      <c r="J54" s="32">
        <f>F54-I54</f>
        <v/>
      </c>
      <c r="K54" s="31" t="n">
        <v>2150</v>
      </c>
      <c r="L54" s="33" t="n">
        <v>0</v>
      </c>
      <c r="M54" s="34" t="n">
        <v>2150</v>
      </c>
      <c r="N54" s="35" t="n">
        <v>0.3484848484848485</v>
      </c>
      <c r="O54" s="29" t="inlineStr">
        <is>
          <t>Oct 26 (N)</t>
        </is>
      </c>
      <c r="P54" s="26" t="inlineStr">
        <is>
          <t>FABRICACIÓN URGENTE</t>
        </is>
      </c>
    </row>
    <row r="55" ht="20" customHeight="1">
      <c r="A55" s="17" t="inlineStr">
        <is>
          <t>CZNMNES0001</t>
        </is>
      </c>
      <c r="B55" s="18" t="inlineStr">
        <is>
          <t>CODIFOL ZN-MN, 1 KG</t>
        </is>
      </c>
      <c r="C55" s="19" t="inlineStr">
        <is>
          <t>1</t>
        </is>
      </c>
      <c r="D55" s="19" t="inlineStr">
        <is>
          <t>Botellas 1L</t>
        </is>
      </c>
      <c r="E55" s="19" t="inlineStr">
        <is>
          <t>Exportación</t>
        </is>
      </c>
      <c r="F55" s="20" t="n">
        <v>0</v>
      </c>
      <c r="G55" s="20" t="n">
        <v>0</v>
      </c>
      <c r="H55" s="20" t="n">
        <v>2000</v>
      </c>
      <c r="I55" s="21">
        <f>G55+H55</f>
        <v/>
      </c>
      <c r="J55" s="22">
        <f>F55-I55</f>
        <v/>
      </c>
      <c r="K55" s="21" t="n">
        <v>2000</v>
      </c>
      <c r="L55" s="23" t="n">
        <v>0</v>
      </c>
      <c r="M55" s="24" t="n">
        <v>2000</v>
      </c>
      <c r="N55" s="25" t="n">
        <v>0</v>
      </c>
      <c r="O55" s="19" t="inlineStr">
        <is>
          <t>Dic 26</t>
        </is>
      </c>
      <c r="P55" s="26" t="inlineStr">
        <is>
          <t>FABRICACIÓN URGENTE</t>
        </is>
      </c>
    </row>
    <row r="56" ht="20" customHeight="1">
      <c r="A56" s="27" t="inlineStr">
        <is>
          <t>CZNMNES1000</t>
        </is>
      </c>
      <c r="B56" s="28" t="inlineStr">
        <is>
          <t>CODIFOL ZN-MN, 1000 KG</t>
        </is>
      </c>
      <c r="C56" s="29" t="inlineStr">
        <is>
          <t>1000</t>
        </is>
      </c>
      <c r="D56" s="29" t="inlineStr">
        <is>
          <t>Botellas 1L</t>
        </is>
      </c>
      <c r="E56" s="29" t="inlineStr">
        <is>
          <t>Exportación</t>
        </is>
      </c>
      <c r="F56" s="30" t="n">
        <v>0</v>
      </c>
      <c r="G56" s="30" t="n">
        <v>0</v>
      </c>
      <c r="H56" s="30" t="n">
        <v>2000</v>
      </c>
      <c r="I56" s="31">
        <f>G56+H56</f>
        <v/>
      </c>
      <c r="J56" s="32">
        <f>F56-I56</f>
        <v/>
      </c>
      <c r="K56" s="31" t="n">
        <v>2000</v>
      </c>
      <c r="L56" s="33" t="n">
        <v>0</v>
      </c>
      <c r="M56" s="34" t="n">
        <v>2000</v>
      </c>
      <c r="N56" s="35" t="n">
        <v>0</v>
      </c>
      <c r="O56" s="29" t="inlineStr">
        <is>
          <t>Dic 26</t>
        </is>
      </c>
      <c r="P56" s="26" t="inlineStr">
        <is>
          <t>FABRICACIÓN URGENTE</t>
        </is>
      </c>
    </row>
    <row r="57" ht="20" customHeight="1">
      <c r="A57" s="17" t="inlineStr">
        <is>
          <t>CBROT0020</t>
        </is>
      </c>
      <c r="B57" s="18" t="inlineStr">
        <is>
          <t>CODIBROT, 20 L</t>
        </is>
      </c>
      <c r="C57" s="19" t="inlineStr">
        <is>
          <t>20</t>
        </is>
      </c>
      <c r="D57" s="19" t="inlineStr">
        <is>
          <t>Garrafas 20L</t>
        </is>
      </c>
      <c r="E57" s="19" t="inlineStr">
        <is>
          <t>Nacional+Export</t>
        </is>
      </c>
      <c r="F57" s="20" t="n">
        <v>620</v>
      </c>
      <c r="G57" s="20" t="n">
        <v>0</v>
      </c>
      <c r="H57" s="20" t="n">
        <v>3000</v>
      </c>
      <c r="I57" s="21">
        <f>G57+H57</f>
        <v/>
      </c>
      <c r="J57" s="22">
        <f>F57-I57</f>
        <v/>
      </c>
      <c r="K57" s="21" t="n">
        <v>1980</v>
      </c>
      <c r="L57" s="23" t="n">
        <v>0</v>
      </c>
      <c r="M57" s="24" t="n">
        <v>1980</v>
      </c>
      <c r="N57" s="25" t="n">
        <v>0.34</v>
      </c>
      <c r="O57" s="19" t="inlineStr">
        <is>
          <t>Dic 26</t>
        </is>
      </c>
      <c r="P57" s="26" t="inlineStr">
        <is>
          <t>FABRICACIÓN URGENTE</t>
        </is>
      </c>
    </row>
    <row r="58" ht="20" customHeight="1">
      <c r="A58" s="27" t="inlineStr">
        <is>
          <t>GRE20005</t>
        </is>
      </c>
      <c r="B58" s="28" t="inlineStr">
        <is>
          <t>EGERSIS</t>
        </is>
      </c>
      <c r="C58" s="29" t="inlineStr">
        <is>
          <t>5</t>
        </is>
      </c>
      <c r="D58" s="29" t="inlineStr">
        <is>
          <t>Garrafas 5L</t>
        </is>
      </c>
      <c r="E58" s="29" t="inlineStr">
        <is>
          <t>Exportación</t>
        </is>
      </c>
      <c r="F58" s="30" t="n">
        <v>0</v>
      </c>
      <c r="G58" s="30" t="n">
        <v>0</v>
      </c>
      <c r="H58" s="30" t="n">
        <v>2000</v>
      </c>
      <c r="I58" s="31">
        <f>G58+H58</f>
        <v/>
      </c>
      <c r="J58" s="32">
        <f>F58-I58</f>
        <v/>
      </c>
      <c r="K58" s="31" t="n">
        <v>1950</v>
      </c>
      <c r="L58" s="33" t="n">
        <v>0</v>
      </c>
      <c r="M58" s="34" t="n">
        <v>1950</v>
      </c>
      <c r="N58" s="35" t="n">
        <v>0.025</v>
      </c>
      <c r="O58" s="29" t="inlineStr">
        <is>
          <t>Dic 26</t>
        </is>
      </c>
      <c r="P58" s="26" t="inlineStr">
        <is>
          <t>FABRICACIÓN URGENTE</t>
        </is>
      </c>
    </row>
    <row r="59" ht="20" customHeight="1">
      <c r="A59" s="17" t="inlineStr">
        <is>
          <t>CZNMNES0005</t>
        </is>
      </c>
      <c r="B59" s="18" t="inlineStr">
        <is>
          <t>CODIFOL ZN-MN, 5 KG</t>
        </is>
      </c>
      <c r="C59" s="19" t="inlineStr">
        <is>
          <t>5</t>
        </is>
      </c>
      <c r="D59" s="19" t="inlineStr">
        <is>
          <t>Garrafas 5L</t>
        </is>
      </c>
      <c r="E59" s="19" t="inlineStr">
        <is>
          <t>Nacional+Export</t>
        </is>
      </c>
      <c r="F59" s="20" t="n">
        <v>105</v>
      </c>
      <c r="G59" s="20" t="n">
        <v>0</v>
      </c>
      <c r="H59" s="20" t="n">
        <v>2000</v>
      </c>
      <c r="I59" s="21">
        <f>G59+H59</f>
        <v/>
      </c>
      <c r="J59" s="22">
        <f>F59-I59</f>
        <v/>
      </c>
      <c r="K59" s="21" t="n">
        <v>1895</v>
      </c>
      <c r="L59" s="23" t="n">
        <v>0</v>
      </c>
      <c r="M59" s="24" t="n">
        <v>1895</v>
      </c>
      <c r="N59" s="25" t="n">
        <v>0.0525</v>
      </c>
      <c r="O59" s="19" t="inlineStr">
        <is>
          <t>Dic 26</t>
        </is>
      </c>
      <c r="P59" s="26" t="inlineStr">
        <is>
          <t>FABRICACIÓN URGENTE</t>
        </is>
      </c>
    </row>
    <row r="60" ht="20" customHeight="1">
      <c r="A60" s="27" t="inlineStr">
        <is>
          <t>A-501000</t>
        </is>
      </c>
      <c r="B60" s="28" t="inlineStr">
        <is>
          <t>CODIORGAN-A50, 1000 KG</t>
        </is>
      </c>
      <c r="C60" s="29" t="inlineStr">
        <is>
          <t>1000</t>
        </is>
      </c>
      <c r="D60" s="29" t="inlineStr">
        <is>
          <t>Botellas 1L</t>
        </is>
      </c>
      <c r="E60" s="29" t="inlineStr">
        <is>
          <t>Exportación</t>
        </is>
      </c>
      <c r="F60" s="30" t="n">
        <v>0</v>
      </c>
      <c r="G60" s="30" t="n">
        <v>0</v>
      </c>
      <c r="H60" s="30" t="n">
        <v>2000</v>
      </c>
      <c r="I60" s="31">
        <f>G60+H60</f>
        <v/>
      </c>
      <c r="J60" s="32">
        <f>F60-I60</f>
        <v/>
      </c>
      <c r="K60" s="31" t="n">
        <v>1844</v>
      </c>
      <c r="L60" s="33" t="n">
        <v>0</v>
      </c>
      <c r="M60" s="34" t="n">
        <v>1844</v>
      </c>
      <c r="N60" s="35" t="n">
        <v>0.078</v>
      </c>
      <c r="O60" s="29" t="inlineStr">
        <is>
          <t>Dic 26</t>
        </is>
      </c>
      <c r="P60" s="26" t="inlineStr">
        <is>
          <t>FABRICACIÓN URGENTE</t>
        </is>
      </c>
    </row>
    <row r="61" ht="20" customHeight="1">
      <c r="A61" s="17" t="inlineStr">
        <is>
          <t>RUN0001</t>
        </is>
      </c>
      <c r="B61" s="18" t="inlineStr">
        <is>
          <t>RUN STRESS</t>
        </is>
      </c>
      <c r="C61" s="19" t="inlineStr">
        <is>
          <t>1</t>
        </is>
      </c>
      <c r="D61" s="19" t="inlineStr">
        <is>
          <t>Botellas 1L</t>
        </is>
      </c>
      <c r="E61" s="19" t="inlineStr">
        <is>
          <t>Exportación</t>
        </is>
      </c>
      <c r="F61" s="20" t="n">
        <v>6</v>
      </c>
      <c r="G61" s="20" t="n">
        <v>0</v>
      </c>
      <c r="H61" s="20" t="n">
        <v>1920</v>
      </c>
      <c r="I61" s="21">
        <f>G61+H61</f>
        <v/>
      </c>
      <c r="J61" s="22">
        <f>F61-I61</f>
        <v/>
      </c>
      <c r="K61" s="21" t="n">
        <v>1782</v>
      </c>
      <c r="L61" s="23" t="n">
        <v>0</v>
      </c>
      <c r="M61" s="24" t="n">
        <v>1782</v>
      </c>
      <c r="N61" s="25" t="n">
        <v>0.07187499999999999</v>
      </c>
      <c r="O61" s="19" t="inlineStr">
        <is>
          <t>Dic 26</t>
        </is>
      </c>
      <c r="P61" s="26" t="inlineStr">
        <is>
          <t>FABRICACIÓN URGENTE</t>
        </is>
      </c>
    </row>
    <row r="62" ht="20" customHeight="1">
      <c r="A62" s="27" t="inlineStr">
        <is>
          <t>LP0001</t>
        </is>
      </c>
      <c r="B62" s="28" t="inlineStr">
        <is>
          <t>LAVAPLANT GRANEL</t>
        </is>
      </c>
      <c r="C62" s="29" t="inlineStr">
        <is>
          <t>1</t>
        </is>
      </c>
      <c r="D62" s="29" t="inlineStr">
        <is>
          <t>Botellas 1L</t>
        </is>
      </c>
      <c r="E62" s="29" t="inlineStr">
        <is>
          <t>Exportación</t>
        </is>
      </c>
      <c r="F62" s="30" t="n">
        <v>0</v>
      </c>
      <c r="G62" s="30" t="n">
        <v>0</v>
      </c>
      <c r="H62" s="30" t="n">
        <v>2000</v>
      </c>
      <c r="I62" s="31">
        <f>G62+H62</f>
        <v/>
      </c>
      <c r="J62" s="32">
        <f>F62-I62</f>
        <v/>
      </c>
      <c r="K62" s="31" t="n">
        <v>1700</v>
      </c>
      <c r="L62" s="33" t="n">
        <v>0</v>
      </c>
      <c r="M62" s="34" t="n">
        <v>1700</v>
      </c>
      <c r="N62" s="35" t="n">
        <v>0.15</v>
      </c>
      <c r="O62" s="29" t="inlineStr">
        <is>
          <t>Nov 26</t>
        </is>
      </c>
      <c r="P62" s="26" t="inlineStr">
        <is>
          <t>FABRICACIÓN URGENTE</t>
        </is>
      </c>
    </row>
    <row r="63" ht="20" customHeight="1">
      <c r="A63" s="17" t="inlineStr">
        <is>
          <t>AGZNP0001</t>
        </is>
      </c>
      <c r="B63" s="18" t="inlineStr">
        <is>
          <t>AGROXILATO-ZN PLUS</t>
        </is>
      </c>
      <c r="C63" s="19" t="inlineStr">
        <is>
          <t>1</t>
        </is>
      </c>
      <c r="D63" s="19" t="inlineStr">
        <is>
          <t>Botellas 1L</t>
        </is>
      </c>
      <c r="E63" s="19" t="inlineStr">
        <is>
          <t>Exportación</t>
        </is>
      </c>
      <c r="F63" s="20" t="n">
        <v>128</v>
      </c>
      <c r="G63" s="20" t="n">
        <v>0</v>
      </c>
      <c r="H63" s="20" t="n">
        <v>2000</v>
      </c>
      <c r="I63" s="21">
        <f>G63+H63</f>
        <v/>
      </c>
      <c r="J63" s="22">
        <f>F63-I63</f>
        <v/>
      </c>
      <c r="K63" s="21" t="n">
        <v>1687</v>
      </c>
      <c r="L63" s="23" t="n">
        <v>0</v>
      </c>
      <c r="M63" s="24" t="n">
        <v>1687</v>
      </c>
      <c r="N63" s="25" t="n">
        <v>0.1565</v>
      </c>
      <c r="O63" s="19" t="inlineStr">
        <is>
          <t>Oct 26 (N)</t>
        </is>
      </c>
      <c r="P63" s="26" t="inlineStr">
        <is>
          <t>FABRICACIÓN URGENTE</t>
        </is>
      </c>
    </row>
    <row r="64" ht="20" customHeight="1">
      <c r="A64" s="27" t="inlineStr">
        <is>
          <t>AGXCR1000</t>
        </is>
      </c>
      <c r="B64" s="28" t="inlineStr">
        <is>
          <t>AGROXILATO-K</t>
        </is>
      </c>
      <c r="C64" s="29" t="inlineStr">
        <is>
          <t>1000</t>
        </is>
      </c>
      <c r="D64" s="29" t="inlineStr">
        <is>
          <t>Botellas 1L</t>
        </is>
      </c>
      <c r="E64" s="29" t="inlineStr">
        <is>
          <t>Exportación</t>
        </is>
      </c>
      <c r="F64" s="30" t="n">
        <v>0</v>
      </c>
      <c r="G64" s="30" t="n">
        <v>0</v>
      </c>
      <c r="H64" s="30" t="n">
        <v>13000</v>
      </c>
      <c r="I64" s="31">
        <f>G64+H64</f>
        <v/>
      </c>
      <c r="J64" s="32">
        <f>F64-I64</f>
        <v/>
      </c>
      <c r="K64" s="31" t="n">
        <v>1638</v>
      </c>
      <c r="L64" s="33" t="n">
        <v>0</v>
      </c>
      <c r="M64" s="34" t="n">
        <v>1638</v>
      </c>
      <c r="N64" s="35" t="n">
        <v>0.8740000000000001</v>
      </c>
      <c r="O64" s="29" t="inlineStr">
        <is>
          <t>Oct 26 (N)</t>
        </is>
      </c>
      <c r="P64" s="26" t="inlineStr">
        <is>
          <t>FABRICACIÓN URGENTE</t>
        </is>
      </c>
    </row>
    <row r="65" ht="20" customHeight="1">
      <c r="A65" s="17" t="inlineStr">
        <is>
          <t>CPLUS1000</t>
        </is>
      </c>
      <c r="B65" s="18" t="inlineStr">
        <is>
          <t>CALCIPLUS, 1000 L</t>
        </is>
      </c>
      <c r="C65" s="19" t="inlineStr">
        <is>
          <t>1000</t>
        </is>
      </c>
      <c r="D65" s="19" t="inlineStr">
        <is>
          <t>Botellas 1L</t>
        </is>
      </c>
      <c r="E65" s="19" t="inlineStr">
        <is>
          <t>Nacional</t>
        </is>
      </c>
      <c r="F65" s="20" t="n">
        <v>1000</v>
      </c>
      <c r="G65" s="20" t="n">
        <v>0</v>
      </c>
      <c r="H65" s="20" t="n">
        <v>4000</v>
      </c>
      <c r="I65" s="21">
        <f>G65+H65</f>
        <v/>
      </c>
      <c r="J65" s="22">
        <f>F65-I65</f>
        <v/>
      </c>
      <c r="K65" s="21" t="n">
        <v>1520</v>
      </c>
      <c r="L65" s="23" t="n">
        <v>0</v>
      </c>
      <c r="M65" s="24" t="n">
        <v>1520</v>
      </c>
      <c r="N65" s="25" t="n">
        <v>0.62</v>
      </c>
      <c r="O65" s="19" t="inlineStr">
        <is>
          <t>Oct 26 (N)</t>
        </is>
      </c>
      <c r="P65" s="26" t="inlineStr">
        <is>
          <t>FABRICACIÓN URGENTE</t>
        </is>
      </c>
    </row>
    <row r="66" ht="20" customHeight="1">
      <c r="A66" s="27" t="inlineStr">
        <is>
          <t>CM3M0001</t>
        </is>
      </c>
      <c r="B66" s="28" t="inlineStr">
        <is>
          <t>TENSOLINE-MAX, 1 L</t>
        </is>
      </c>
      <c r="C66" s="29" t="inlineStr">
        <is>
          <t>1</t>
        </is>
      </c>
      <c r="D66" s="29" t="inlineStr">
        <is>
          <t>Botellas 1L</t>
        </is>
      </c>
      <c r="E66" s="29" t="inlineStr">
        <is>
          <t>Exportación</t>
        </is>
      </c>
      <c r="F66" s="30" t="n">
        <v>0</v>
      </c>
      <c r="G66" s="30" t="n">
        <v>0</v>
      </c>
      <c r="H66" s="30" t="n">
        <v>2000</v>
      </c>
      <c r="I66" s="31">
        <f>G66+H66</f>
        <v/>
      </c>
      <c r="J66" s="32">
        <f>F66-I66</f>
        <v/>
      </c>
      <c r="K66" s="31" t="n">
        <v>1520</v>
      </c>
      <c r="L66" s="33" t="n">
        <v>0</v>
      </c>
      <c r="M66" s="34" t="n">
        <v>1520</v>
      </c>
      <c r="N66" s="35" t="n">
        <v>0.24</v>
      </c>
      <c r="O66" s="29" t="inlineStr">
        <is>
          <t>Dic 26</t>
        </is>
      </c>
      <c r="P66" s="26" t="inlineStr">
        <is>
          <t>FABRICACIÓN URGENTE</t>
        </is>
      </c>
    </row>
    <row r="67" ht="20" customHeight="1">
      <c r="A67" s="17" t="inlineStr">
        <is>
          <t>G1000CRCO</t>
        </is>
      </c>
      <c r="B67" s="18" t="inlineStr">
        <is>
          <t>TRANSLOCADOR</t>
        </is>
      </c>
      <c r="C67" s="19" t="inlineStr">
        <is>
          <t>1000</t>
        </is>
      </c>
      <c r="D67" s="19" t="inlineStr">
        <is>
          <t>Botellas 1L</t>
        </is>
      </c>
      <c r="E67" s="19" t="inlineStr">
        <is>
          <t>Exportación</t>
        </is>
      </c>
      <c r="F67" s="20" t="n">
        <v>0</v>
      </c>
      <c r="G67" s="20" t="n">
        <v>0</v>
      </c>
      <c r="H67" s="20" t="n">
        <v>1500</v>
      </c>
      <c r="I67" s="21">
        <f>G67+H67</f>
        <v/>
      </c>
      <c r="J67" s="22">
        <f>F67-I67</f>
        <v/>
      </c>
      <c r="K67" s="21" t="n">
        <v>1500</v>
      </c>
      <c r="L67" s="23" t="n">
        <v>0</v>
      </c>
      <c r="M67" s="24" t="n">
        <v>1500</v>
      </c>
      <c r="N67" s="25" t="n">
        <v>0</v>
      </c>
      <c r="O67" s="19" t="inlineStr">
        <is>
          <t>Oct 26 (N)</t>
        </is>
      </c>
      <c r="P67" s="26" t="inlineStr">
        <is>
          <t>FABRICACIÓN URGENTE</t>
        </is>
      </c>
    </row>
    <row r="68" ht="20" customHeight="1">
      <c r="A68" s="27" t="inlineStr">
        <is>
          <t>AGZN0005</t>
        </is>
      </c>
      <c r="B68" s="28" t="inlineStr">
        <is>
          <t>AGROXILATO-ZN 16%,  5 KG (EXPORT)</t>
        </is>
      </c>
      <c r="C68" s="29" t="inlineStr">
        <is>
          <t>5</t>
        </is>
      </c>
      <c r="D68" s="29" t="inlineStr">
        <is>
          <t>Garrafas 5L</t>
        </is>
      </c>
      <c r="E68" s="29" t="inlineStr">
        <is>
          <t>Exportación</t>
        </is>
      </c>
      <c r="F68" s="30" t="n">
        <v>0</v>
      </c>
      <c r="G68" s="30" t="n">
        <v>0</v>
      </c>
      <c r="H68" s="30" t="n">
        <v>1500</v>
      </c>
      <c r="I68" s="31">
        <f>G68+H68</f>
        <v/>
      </c>
      <c r="J68" s="32">
        <f>F68-I68</f>
        <v/>
      </c>
      <c r="K68" s="31" t="n">
        <v>1465</v>
      </c>
      <c r="L68" s="33" t="n">
        <v>0</v>
      </c>
      <c r="M68" s="34" t="n">
        <v>1465</v>
      </c>
      <c r="N68" s="35" t="n">
        <v>0.02333333333333333</v>
      </c>
      <c r="O68" s="29" t="inlineStr">
        <is>
          <t>Oct 26 (N)</t>
        </is>
      </c>
      <c r="P68" s="26" t="inlineStr">
        <is>
          <t>FABRICACIÓN URGENTE</t>
        </is>
      </c>
    </row>
    <row r="69" ht="20" customHeight="1">
      <c r="A69" s="17" t="inlineStr">
        <is>
          <t>START20001</t>
        </is>
      </c>
      <c r="B69" s="18" t="inlineStr">
        <is>
          <t>RADISOL</t>
        </is>
      </c>
      <c r="C69" s="19" t="inlineStr">
        <is>
          <t>1</t>
        </is>
      </c>
      <c r="D69" s="19" t="inlineStr">
        <is>
          <t>Botellas 1L</t>
        </is>
      </c>
      <c r="E69" s="19" t="inlineStr">
        <is>
          <t>Exportación</t>
        </is>
      </c>
      <c r="F69" s="20" t="n">
        <v>0</v>
      </c>
      <c r="G69" s="20" t="n">
        <v>0</v>
      </c>
      <c r="H69" s="20" t="n">
        <v>2000</v>
      </c>
      <c r="I69" s="21">
        <f>G69+H69</f>
        <v/>
      </c>
      <c r="J69" s="22">
        <f>F69-I69</f>
        <v/>
      </c>
      <c r="K69" s="21" t="n">
        <v>1386</v>
      </c>
      <c r="L69" s="23" t="n">
        <v>0</v>
      </c>
      <c r="M69" s="24" t="n">
        <v>1386</v>
      </c>
      <c r="N69" s="25" t="n">
        <v>0.307</v>
      </c>
      <c r="O69" s="19" t="inlineStr">
        <is>
          <t>Nov 26</t>
        </is>
      </c>
      <c r="P69" s="26" t="inlineStr">
        <is>
          <t>FABRICACIÓN URGENTE</t>
        </is>
      </c>
    </row>
    <row r="70" ht="20" customHeight="1">
      <c r="A70" s="27" t="inlineStr">
        <is>
          <t>CODIR0001</t>
        </is>
      </c>
      <c r="B70" s="28" t="inlineStr">
        <is>
          <t>CODIRESIST, 1 L</t>
        </is>
      </c>
      <c r="C70" s="29" t="inlineStr">
        <is>
          <t>1</t>
        </is>
      </c>
      <c r="D70" s="29" t="inlineStr">
        <is>
          <t>Botellas 1L</t>
        </is>
      </c>
      <c r="E70" s="29" t="inlineStr">
        <is>
          <t>Exportación</t>
        </is>
      </c>
      <c r="F70" s="30" t="n">
        <v>23</v>
      </c>
      <c r="G70" s="30" t="n">
        <v>0</v>
      </c>
      <c r="H70" s="30" t="n">
        <v>1584</v>
      </c>
      <c r="I70" s="31">
        <f>G70+H70</f>
        <v/>
      </c>
      <c r="J70" s="32">
        <f>F70-I70</f>
        <v/>
      </c>
      <c r="K70" s="31" t="n">
        <v>1361</v>
      </c>
      <c r="L70" s="33" t="n">
        <v>0</v>
      </c>
      <c r="M70" s="34" t="n">
        <v>1361</v>
      </c>
      <c r="N70" s="35" t="n">
        <v>0.1407828282828283</v>
      </c>
      <c r="O70" s="29" t="inlineStr">
        <is>
          <t>Dic 26</t>
        </is>
      </c>
      <c r="P70" s="26" t="inlineStr">
        <is>
          <t>FABRICACIÓN URGENTE</t>
        </is>
      </c>
    </row>
    <row r="71" ht="20" customHeight="1">
      <c r="A71" s="17" t="inlineStr">
        <is>
          <t>JF0020</t>
        </is>
      </c>
      <c r="B71" s="18" t="inlineStr">
        <is>
          <t>DRAGO-FOS, 20 L</t>
        </is>
      </c>
      <c r="C71" s="19" t="inlineStr">
        <is>
          <t>20</t>
        </is>
      </c>
      <c r="D71" s="19" t="inlineStr">
        <is>
          <t>Garrafas 20L</t>
        </is>
      </c>
      <c r="E71" s="19" t="inlineStr">
        <is>
          <t>Nacional</t>
        </is>
      </c>
      <c r="F71" s="20" t="n">
        <v>1200</v>
      </c>
      <c r="G71" s="20" t="n">
        <v>0</v>
      </c>
      <c r="H71" s="20" t="n">
        <v>2560</v>
      </c>
      <c r="I71" s="21">
        <f>G71+H71</f>
        <v/>
      </c>
      <c r="J71" s="22">
        <f>F71-I71</f>
        <v/>
      </c>
      <c r="K71" s="21" t="n">
        <v>1360</v>
      </c>
      <c r="L71" s="23" t="n">
        <v>0</v>
      </c>
      <c r="M71" s="24" t="n">
        <v>1360</v>
      </c>
      <c r="N71" s="25" t="n">
        <v>0.46875</v>
      </c>
      <c r="O71" s="19" t="inlineStr">
        <is>
          <t>Nov 26</t>
        </is>
      </c>
      <c r="P71" s="26" t="inlineStr">
        <is>
          <t>FABRICACIÓN URGENTE</t>
        </is>
      </c>
    </row>
    <row r="72" ht="20" customHeight="1">
      <c r="A72" s="27" t="inlineStr">
        <is>
          <t>FROST-P0020</t>
        </is>
      </c>
      <c r="B72" s="28" t="inlineStr">
        <is>
          <t>CODIFROST PLUS, 20 L</t>
        </is>
      </c>
      <c r="C72" s="29" t="inlineStr">
        <is>
          <t>20</t>
        </is>
      </c>
      <c r="D72" s="29" t="inlineStr">
        <is>
          <t>Garrafas 20L</t>
        </is>
      </c>
      <c r="E72" s="29" t="inlineStr">
        <is>
          <t>Nacional</t>
        </is>
      </c>
      <c r="F72" s="30" t="n">
        <v>280</v>
      </c>
      <c r="G72" s="30" t="n">
        <v>0</v>
      </c>
      <c r="H72" s="30" t="n">
        <v>1780</v>
      </c>
      <c r="I72" s="31">
        <f>G72+H72</f>
        <v/>
      </c>
      <c r="J72" s="32">
        <f>F72-I72</f>
        <v/>
      </c>
      <c r="K72" s="31" t="n">
        <v>1200</v>
      </c>
      <c r="L72" s="33" t="n">
        <v>0</v>
      </c>
      <c r="M72" s="34" t="n">
        <v>1200</v>
      </c>
      <c r="N72" s="35" t="n">
        <v>0.3258426966292135</v>
      </c>
      <c r="O72" s="29" t="inlineStr">
        <is>
          <t>Nov 26</t>
        </is>
      </c>
      <c r="P72" s="26" t="inlineStr">
        <is>
          <t>FABRICACIÓN URGENTE</t>
        </is>
      </c>
    </row>
    <row r="73" ht="20" customHeight="1">
      <c r="A73" s="17" t="inlineStr">
        <is>
          <t>PHD0005</t>
        </is>
      </c>
      <c r="B73" s="18" t="inlineStr">
        <is>
          <t>PH-DOWNER, 5 L</t>
        </is>
      </c>
      <c r="C73" s="19" t="inlineStr">
        <is>
          <t>5</t>
        </is>
      </c>
      <c r="D73" s="19" t="inlineStr">
        <is>
          <t>Garrafas 5L</t>
        </is>
      </c>
      <c r="E73" s="19" t="inlineStr">
        <is>
          <t>Nacional+Export</t>
        </is>
      </c>
      <c r="F73" s="20" t="n">
        <v>20</v>
      </c>
      <c r="G73" s="20" t="n">
        <v>0</v>
      </c>
      <c r="H73" s="20" t="n">
        <v>1700</v>
      </c>
      <c r="I73" s="21">
        <f>G73+H73</f>
        <v/>
      </c>
      <c r="J73" s="22">
        <f>F73-I73</f>
        <v/>
      </c>
      <c r="K73" s="21" t="n">
        <v>1080</v>
      </c>
      <c r="L73" s="23" t="n">
        <v>0</v>
      </c>
      <c r="M73" s="24" t="n">
        <v>1080</v>
      </c>
      <c r="N73" s="25" t="n">
        <v>0.3647058823529412</v>
      </c>
      <c r="O73" s="19" t="inlineStr">
        <is>
          <t>Oct 26 (N)</t>
        </is>
      </c>
      <c r="P73" s="26" t="inlineStr">
        <is>
          <t>FABRICACIÓN URGENTE</t>
        </is>
      </c>
    </row>
    <row r="74" ht="20" customHeight="1">
      <c r="A74" s="27" t="inlineStr">
        <is>
          <t>AGZN0001</t>
        </is>
      </c>
      <c r="B74" s="28" t="inlineStr">
        <is>
          <t>AGROXILATO Zn</t>
        </is>
      </c>
      <c r="C74" s="29" t="inlineStr">
        <is>
          <t>1</t>
        </is>
      </c>
      <c r="D74" s="29" t="inlineStr">
        <is>
          <t>Botellas 1L</t>
        </is>
      </c>
      <c r="E74" s="29" t="inlineStr">
        <is>
          <t>Exportación</t>
        </is>
      </c>
      <c r="F74" s="30" t="n">
        <v>0</v>
      </c>
      <c r="G74" s="30" t="n">
        <v>0</v>
      </c>
      <c r="H74" s="30" t="n">
        <v>1056</v>
      </c>
      <c r="I74" s="31">
        <f>G74+H74</f>
        <v/>
      </c>
      <c r="J74" s="32">
        <f>F74-I74</f>
        <v/>
      </c>
      <c r="K74" s="31" t="n">
        <v>1021</v>
      </c>
      <c r="L74" s="33" t="n">
        <v>0</v>
      </c>
      <c r="M74" s="34" t="n">
        <v>1021</v>
      </c>
      <c r="N74" s="35" t="n">
        <v>0.03314393939393939</v>
      </c>
      <c r="O74" s="29" t="inlineStr">
        <is>
          <t>Nov 26</t>
        </is>
      </c>
      <c r="P74" s="26" t="inlineStr">
        <is>
          <t>FABRICACIÓN URGENTE</t>
        </is>
      </c>
    </row>
    <row r="75" ht="20" customHeight="1">
      <c r="A75" s="17" t="inlineStr">
        <is>
          <t>BPLUS0005</t>
        </is>
      </c>
      <c r="B75" s="18" t="inlineStr">
        <is>
          <t>BOROCAL PLUS, 5 KG</t>
        </is>
      </c>
      <c r="C75" s="19" t="inlineStr">
        <is>
          <t>5</t>
        </is>
      </c>
      <c r="D75" s="19" t="inlineStr">
        <is>
          <t>Garrafas 5L</t>
        </is>
      </c>
      <c r="E75" s="19" t="inlineStr">
        <is>
          <t>Exportación</t>
        </is>
      </c>
      <c r="F75" s="20" t="n">
        <v>0</v>
      </c>
      <c r="G75" s="20" t="n">
        <v>0</v>
      </c>
      <c r="H75" s="20" t="n">
        <v>1000</v>
      </c>
      <c r="I75" s="21">
        <f>G75+H75</f>
        <v/>
      </c>
      <c r="J75" s="22">
        <f>F75-I75</f>
        <v/>
      </c>
      <c r="K75" s="21" t="n">
        <v>1000</v>
      </c>
      <c r="L75" s="23" t="n">
        <v>0</v>
      </c>
      <c r="M75" s="24" t="n">
        <v>1000</v>
      </c>
      <c r="N75" s="25" t="n">
        <v>0</v>
      </c>
      <c r="O75" s="19" t="inlineStr">
        <is>
          <t>Dic 26</t>
        </is>
      </c>
      <c r="P75" s="26" t="inlineStr">
        <is>
          <t>FABRICACIÓN URGENTE</t>
        </is>
      </c>
    </row>
    <row r="76" ht="20" customHeight="1">
      <c r="A76" s="27" t="inlineStr">
        <is>
          <t>F-MIX0020</t>
        </is>
      </c>
      <c r="B76" s="28" t="inlineStr">
        <is>
          <t>FITOLIN-MIX, 20 L</t>
        </is>
      </c>
      <c r="C76" s="29" t="inlineStr">
        <is>
          <t>20</t>
        </is>
      </c>
      <c r="D76" s="29" t="inlineStr">
        <is>
          <t>Garrafas 20L</t>
        </is>
      </c>
      <c r="E76" s="29" t="inlineStr">
        <is>
          <t>Exportación</t>
        </is>
      </c>
      <c r="F76" s="30" t="n">
        <v>0</v>
      </c>
      <c r="G76" s="30" t="n">
        <v>0</v>
      </c>
      <c r="H76" s="30" t="n">
        <v>1000</v>
      </c>
      <c r="I76" s="31">
        <f>G76+H76</f>
        <v/>
      </c>
      <c r="J76" s="32">
        <f>F76-I76</f>
        <v/>
      </c>
      <c r="K76" s="31" t="n">
        <v>1000</v>
      </c>
      <c r="L76" s="33" t="n">
        <v>0</v>
      </c>
      <c r="M76" s="34" t="n">
        <v>1000</v>
      </c>
      <c r="N76" s="35" t="n">
        <v>0</v>
      </c>
      <c r="O76" s="29" t="inlineStr">
        <is>
          <t>Nov 26</t>
        </is>
      </c>
      <c r="P76" s="26" t="inlineStr">
        <is>
          <t>FABRICACIÓN URGENTE</t>
        </is>
      </c>
    </row>
    <row r="77" ht="20" customHeight="1">
      <c r="A77" s="17" t="inlineStr">
        <is>
          <t>PT0001</t>
        </is>
      </c>
      <c r="B77" s="18" t="inlineStr">
        <is>
          <t>AGROPOTASION, 1 L</t>
        </is>
      </c>
      <c r="C77" s="19" t="inlineStr">
        <is>
          <t>1</t>
        </is>
      </c>
      <c r="D77" s="19" t="inlineStr">
        <is>
          <t>Botellas 1L</t>
        </is>
      </c>
      <c r="E77" s="19" t="inlineStr">
        <is>
          <t>Nacional+Export</t>
        </is>
      </c>
      <c r="F77" s="20" t="n">
        <v>1104</v>
      </c>
      <c r="G77" s="20" t="n">
        <v>0</v>
      </c>
      <c r="H77" s="20" t="n">
        <v>3128</v>
      </c>
      <c r="I77" s="21">
        <f>G77+H77</f>
        <v/>
      </c>
      <c r="J77" s="22">
        <f>F77-I77</f>
        <v/>
      </c>
      <c r="K77" s="21" t="n">
        <v>918</v>
      </c>
      <c r="L77" s="23" t="n">
        <v>0</v>
      </c>
      <c r="M77" s="24" t="n">
        <v>918</v>
      </c>
      <c r="N77" s="25" t="n">
        <v>0.7065217391304348</v>
      </c>
      <c r="O77" s="19" t="inlineStr">
        <is>
          <t>Nov 26</t>
        </is>
      </c>
      <c r="P77" s="26" t="inlineStr">
        <is>
          <t>FABRICACIÓN URGENTE</t>
        </is>
      </c>
    </row>
    <row r="78" ht="20" customHeight="1">
      <c r="A78" s="27" t="inlineStr">
        <is>
          <t>CM30005</t>
        </is>
      </c>
      <c r="B78" s="28" t="inlineStr">
        <is>
          <t>TENSOLINE, 5 L</t>
        </is>
      </c>
      <c r="C78" s="29" t="inlineStr">
        <is>
          <t>5</t>
        </is>
      </c>
      <c r="D78" s="29" t="inlineStr">
        <is>
          <t>Garrafas 5L</t>
        </is>
      </c>
      <c r="E78" s="29" t="inlineStr">
        <is>
          <t>Exportación</t>
        </is>
      </c>
      <c r="F78" s="30" t="n">
        <v>0</v>
      </c>
      <c r="G78" s="30" t="n">
        <v>0</v>
      </c>
      <c r="H78" s="30" t="n">
        <v>1000</v>
      </c>
      <c r="I78" s="31">
        <f>G78+H78</f>
        <v/>
      </c>
      <c r="J78" s="32">
        <f>F78-I78</f>
        <v/>
      </c>
      <c r="K78" s="31" t="n">
        <v>870</v>
      </c>
      <c r="L78" s="33" t="n">
        <v>0</v>
      </c>
      <c r="M78" s="34" t="n">
        <v>870</v>
      </c>
      <c r="N78" s="35" t="n">
        <v>0.13</v>
      </c>
      <c r="O78" s="29" t="inlineStr">
        <is>
          <t>Dic 26</t>
        </is>
      </c>
      <c r="P78" s="26" t="inlineStr">
        <is>
          <t>FABRICACIÓN URGENTE</t>
        </is>
      </c>
    </row>
    <row r="79" ht="20" customHeight="1">
      <c r="A79" s="17" t="inlineStr">
        <is>
          <t>A-500020</t>
        </is>
      </c>
      <c r="B79" s="18" t="inlineStr">
        <is>
          <t>CODIORGAN  A-50</t>
        </is>
      </c>
      <c r="C79" s="19" t="inlineStr">
        <is>
          <t>20</t>
        </is>
      </c>
      <c r="D79" s="19" t="inlineStr">
        <is>
          <t>Garrafas 20L</t>
        </is>
      </c>
      <c r="E79" s="19" t="inlineStr">
        <is>
          <t>Exportación</t>
        </is>
      </c>
      <c r="F79" s="20" t="n">
        <v>0</v>
      </c>
      <c r="G79" s="20" t="n">
        <v>0</v>
      </c>
      <c r="H79" s="20" t="n">
        <v>1000</v>
      </c>
      <c r="I79" s="21">
        <f>G79+H79</f>
        <v/>
      </c>
      <c r="J79" s="22">
        <f>F79-I79</f>
        <v/>
      </c>
      <c r="K79" s="21" t="n">
        <v>844</v>
      </c>
      <c r="L79" s="23" t="n">
        <v>0</v>
      </c>
      <c r="M79" s="24" t="n">
        <v>844</v>
      </c>
      <c r="N79" s="25" t="n">
        <v>0.156</v>
      </c>
      <c r="O79" s="19" t="inlineStr">
        <is>
          <t>Nov 26</t>
        </is>
      </c>
      <c r="P79" s="26" t="inlineStr">
        <is>
          <t>FABRICACIÓN URGENTE</t>
        </is>
      </c>
    </row>
    <row r="80" ht="20" customHeight="1">
      <c r="A80" s="27" t="inlineStr">
        <is>
          <t>G0001PAPA</t>
        </is>
      </c>
      <c r="B80" s="28" t="inlineStr">
        <is>
          <t>TRANSLOCADOR</t>
        </is>
      </c>
      <c r="C80" s="29" t="inlineStr">
        <is>
          <t>1</t>
        </is>
      </c>
      <c r="D80" s="29" t="inlineStr">
        <is>
          <t>Botellas 1L</t>
        </is>
      </c>
      <c r="E80" s="29" t="inlineStr">
        <is>
          <t>Exportación</t>
        </is>
      </c>
      <c r="F80" s="30" t="n">
        <v>0</v>
      </c>
      <c r="G80" s="30" t="n">
        <v>0</v>
      </c>
      <c r="H80" s="30" t="n">
        <v>792</v>
      </c>
      <c r="I80" s="31">
        <f>G80+H80</f>
        <v/>
      </c>
      <c r="J80" s="32">
        <f>F80-I80</f>
        <v/>
      </c>
      <c r="K80" s="31" t="n">
        <v>792</v>
      </c>
      <c r="L80" s="33" t="n">
        <v>0</v>
      </c>
      <c r="M80" s="34" t="n">
        <v>792</v>
      </c>
      <c r="N80" s="35" t="n">
        <v>0</v>
      </c>
      <c r="O80" s="29" t="inlineStr">
        <is>
          <t>Dic 26</t>
        </is>
      </c>
      <c r="P80" s="26" t="inlineStr">
        <is>
          <t>FABRICACIÓN URGENTE</t>
        </is>
      </c>
    </row>
    <row r="81" ht="20" customHeight="1">
      <c r="A81" s="17" t="inlineStr">
        <is>
          <t>RUN0005</t>
        </is>
      </c>
      <c r="B81" s="18" t="inlineStr">
        <is>
          <t>RUN STRESS, 5 L</t>
        </is>
      </c>
      <c r="C81" s="19" t="inlineStr">
        <is>
          <t>5</t>
        </is>
      </c>
      <c r="D81" s="19" t="inlineStr">
        <is>
          <t>Garrafas 5L</t>
        </is>
      </c>
      <c r="E81" s="19" t="inlineStr">
        <is>
          <t>Nacional+Export</t>
        </is>
      </c>
      <c r="F81" s="20" t="n">
        <v>80</v>
      </c>
      <c r="G81" s="20" t="n">
        <v>0</v>
      </c>
      <c r="H81" s="20" t="n">
        <v>1000</v>
      </c>
      <c r="I81" s="21">
        <f>G81+H81</f>
        <v/>
      </c>
      <c r="J81" s="22">
        <f>F81-I81</f>
        <v/>
      </c>
      <c r="K81" s="21" t="n">
        <v>788</v>
      </c>
      <c r="L81" s="23" t="n">
        <v>0</v>
      </c>
      <c r="M81" s="24" t="n">
        <v>788</v>
      </c>
      <c r="N81" s="25" t="n">
        <v>0.212</v>
      </c>
      <c r="O81" s="19" t="inlineStr">
        <is>
          <t>Dic 26</t>
        </is>
      </c>
      <c r="P81" s="26" t="inlineStr">
        <is>
          <t>FABRICACIÓN URGENTE</t>
        </is>
      </c>
    </row>
    <row r="82" ht="20" customHeight="1">
      <c r="A82" s="27" t="inlineStr">
        <is>
          <t>G0001RORU</t>
        </is>
      </c>
      <c r="B82" s="28" t="inlineStr">
        <is>
          <t>GREEN-UP</t>
        </is>
      </c>
      <c r="C82" s="29" t="inlineStr">
        <is>
          <t>1</t>
        </is>
      </c>
      <c r="D82" s="29" t="inlineStr">
        <is>
          <t>Botellas 1L</t>
        </is>
      </c>
      <c r="E82" s="29" t="inlineStr">
        <is>
          <t>Exportación</t>
        </is>
      </c>
      <c r="F82" s="30" t="n">
        <v>0</v>
      </c>
      <c r="G82" s="30" t="n">
        <v>0</v>
      </c>
      <c r="H82" s="30" t="n">
        <v>660</v>
      </c>
      <c r="I82" s="31">
        <f>G82+H82</f>
        <v/>
      </c>
      <c r="J82" s="32">
        <f>F82-I82</f>
        <v/>
      </c>
      <c r="K82" s="31" t="n">
        <v>660</v>
      </c>
      <c r="L82" s="33" t="n">
        <v>0</v>
      </c>
      <c r="M82" s="34" t="n">
        <v>660</v>
      </c>
      <c r="N82" s="35" t="n">
        <v>0</v>
      </c>
      <c r="O82" s="29" t="inlineStr">
        <is>
          <t>Nov 26</t>
        </is>
      </c>
      <c r="P82" s="26" t="inlineStr">
        <is>
          <t>FABRICACIÓN URGENTE</t>
        </is>
      </c>
    </row>
    <row r="83" ht="20" customHeight="1">
      <c r="A83" s="17" t="inlineStr">
        <is>
          <t>C-CU1000</t>
        </is>
      </c>
      <c r="B83" s="18" t="inlineStr">
        <is>
          <t>CODICOBRE, 1000 L</t>
        </is>
      </c>
      <c r="C83" s="19" t="inlineStr">
        <is>
          <t>1000</t>
        </is>
      </c>
      <c r="D83" s="19" t="inlineStr">
        <is>
          <t>Botellas 1L</t>
        </is>
      </c>
      <c r="E83" s="19" t="inlineStr">
        <is>
          <t>Nacional+Export</t>
        </is>
      </c>
      <c r="F83" s="20" t="n">
        <v>0</v>
      </c>
      <c r="G83" s="20" t="n">
        <v>0</v>
      </c>
      <c r="H83" s="20" t="n">
        <v>2000</v>
      </c>
      <c r="I83" s="21">
        <f>G83+H83</f>
        <v/>
      </c>
      <c r="J83" s="22">
        <f>F83-I83</f>
        <v/>
      </c>
      <c r="K83" s="21" t="n">
        <v>658</v>
      </c>
      <c r="L83" s="23" t="n">
        <v>0</v>
      </c>
      <c r="M83" s="24" t="n">
        <v>658</v>
      </c>
      <c r="N83" s="25" t="n">
        <v>0.671</v>
      </c>
      <c r="O83" s="19" t="inlineStr">
        <is>
          <t>Nov 26</t>
        </is>
      </c>
      <c r="P83" s="26" t="inlineStr">
        <is>
          <t>FABRICACIÓN URGENTE</t>
        </is>
      </c>
    </row>
    <row r="84" ht="20" customHeight="1">
      <c r="A84" s="27" t="inlineStr">
        <is>
          <t>AGMG0020</t>
        </is>
      </c>
      <c r="B84" s="28" t="inlineStr">
        <is>
          <t>AGROXILATO MG, 20 KG (EXPORT)</t>
        </is>
      </c>
      <c r="C84" s="29" t="inlineStr">
        <is>
          <t>20</t>
        </is>
      </c>
      <c r="D84" s="29" t="inlineStr">
        <is>
          <t>Garrafas 20L</t>
        </is>
      </c>
      <c r="E84" s="29" t="inlineStr">
        <is>
          <t>Exportación</t>
        </is>
      </c>
      <c r="F84" s="30" t="n">
        <v>0</v>
      </c>
      <c r="G84" s="30" t="n">
        <v>0</v>
      </c>
      <c r="H84" s="30" t="n">
        <v>800</v>
      </c>
      <c r="I84" s="31">
        <f>G84+H84</f>
        <v/>
      </c>
      <c r="J84" s="32">
        <f>F84-I84</f>
        <v/>
      </c>
      <c r="K84" s="31" t="n">
        <v>648</v>
      </c>
      <c r="L84" s="33" t="n">
        <v>0</v>
      </c>
      <c r="M84" s="34" t="n">
        <v>648</v>
      </c>
      <c r="N84" s="35" t="n">
        <v>0.19</v>
      </c>
      <c r="O84" s="29" t="inlineStr">
        <is>
          <t>Nov 26</t>
        </is>
      </c>
      <c r="P84" s="26" t="inlineStr">
        <is>
          <t>FABRICACIÓN URGENTE</t>
        </is>
      </c>
    </row>
    <row r="85" ht="20" customHeight="1">
      <c r="A85" s="17" t="inlineStr">
        <is>
          <t>CODIR0005</t>
        </is>
      </c>
      <c r="B85" s="18" t="inlineStr">
        <is>
          <t>CODIRESIST, 5 L</t>
        </is>
      </c>
      <c r="C85" s="19" t="inlineStr">
        <is>
          <t>5</t>
        </is>
      </c>
      <c r="D85" s="19" t="inlineStr">
        <is>
          <t>Garrafas 5L</t>
        </is>
      </c>
      <c r="E85" s="19" t="inlineStr">
        <is>
          <t>Exportación</t>
        </is>
      </c>
      <c r="F85" s="20" t="n">
        <v>0</v>
      </c>
      <c r="G85" s="20" t="n">
        <v>0</v>
      </c>
      <c r="H85" s="20" t="n">
        <v>800</v>
      </c>
      <c r="I85" s="21">
        <f>G85+H85</f>
        <v/>
      </c>
      <c r="J85" s="22">
        <f>F85-I85</f>
        <v/>
      </c>
      <c r="K85" s="21" t="n">
        <v>600</v>
      </c>
      <c r="L85" s="23" t="n">
        <v>0</v>
      </c>
      <c r="M85" s="24" t="n">
        <v>600</v>
      </c>
      <c r="N85" s="25" t="n">
        <v>0.25</v>
      </c>
      <c r="O85" s="19" t="inlineStr">
        <is>
          <t>Dic 26</t>
        </is>
      </c>
      <c r="P85" s="26" t="inlineStr">
        <is>
          <t>FABRICACIÓN URGENTE</t>
        </is>
      </c>
    </row>
    <row r="86" ht="20" customHeight="1">
      <c r="A86" s="27" t="inlineStr">
        <is>
          <t>SASM0217</t>
        </is>
      </c>
      <c r="B86" s="28" t="inlineStr">
        <is>
          <t>SASM0217 AMINOACIDO 80/80 VEGETAL H. ACIDA</t>
        </is>
      </c>
      <c r="C86" s="29" t="inlineStr"/>
      <c r="D86" s="29" t="inlineStr">
        <is>
          <t>Otros</t>
        </is>
      </c>
      <c r="E86" s="29" t="inlineStr">
        <is>
          <t>Nacional</t>
        </is>
      </c>
      <c r="F86" s="30" t="n">
        <v>0</v>
      </c>
      <c r="G86" s="31" t="n">
        <v>575</v>
      </c>
      <c r="H86" s="30" t="n">
        <v>0</v>
      </c>
      <c r="I86" s="31">
        <f>G86+H86</f>
        <v/>
      </c>
      <c r="J86" s="32">
        <f>F86-I86</f>
        <v/>
      </c>
      <c r="K86" s="31" t="n">
        <v>575</v>
      </c>
      <c r="L86" s="33" t="n">
        <v>0</v>
      </c>
      <c r="M86" s="34" t="n">
        <v>575</v>
      </c>
      <c r="N86" s="35" t="n">
        <v>0</v>
      </c>
      <c r="O86" s="27" t="inlineStr">
        <is>
          <t>Inmediato (Cartera)</t>
        </is>
      </c>
      <c r="P86" s="26" t="inlineStr">
        <is>
          <t>FABRICACIÓN URGENTE</t>
        </is>
      </c>
    </row>
    <row r="87" ht="20" customHeight="1">
      <c r="A87" s="17" t="inlineStr">
        <is>
          <t>HST0020</t>
        </is>
      </c>
      <c r="B87" s="18" t="inlineStr">
        <is>
          <t>HIDROSTRESS-40, 20 L</t>
        </is>
      </c>
      <c r="C87" s="19" t="inlineStr">
        <is>
          <t>20</t>
        </is>
      </c>
      <c r="D87" s="19" t="inlineStr">
        <is>
          <t>Garrafas 20L</t>
        </is>
      </c>
      <c r="E87" s="19" t="inlineStr">
        <is>
          <t>Nacional</t>
        </is>
      </c>
      <c r="F87" s="20" t="n">
        <v>400</v>
      </c>
      <c r="G87" s="20" t="n">
        <v>0</v>
      </c>
      <c r="H87" s="20" t="n">
        <v>2560</v>
      </c>
      <c r="I87" s="21">
        <f>G87+H87</f>
        <v/>
      </c>
      <c r="J87" s="22">
        <f>F87-I87</f>
        <v/>
      </c>
      <c r="K87" s="21" t="n">
        <v>560</v>
      </c>
      <c r="L87" s="23" t="n">
        <v>0</v>
      </c>
      <c r="M87" s="24" t="n">
        <v>560</v>
      </c>
      <c r="N87" s="25" t="n">
        <v>0.78125</v>
      </c>
      <c r="O87" s="19" t="inlineStr">
        <is>
          <t>Oct 26 (N)</t>
        </is>
      </c>
      <c r="P87" s="26" t="inlineStr">
        <is>
          <t>FABRICACIÓN URGENTE</t>
        </is>
      </c>
    </row>
    <row r="88" ht="20" customHeight="1">
      <c r="A88" s="27" t="inlineStr">
        <is>
          <t>MPH0001</t>
        </is>
      </c>
      <c r="B88" s="28" t="inlineStr">
        <is>
          <t>MOJALINE</t>
        </is>
      </c>
      <c r="C88" s="29" t="inlineStr">
        <is>
          <t>1</t>
        </is>
      </c>
      <c r="D88" s="29" t="inlineStr">
        <is>
          <t>Botellas 1L</t>
        </is>
      </c>
      <c r="E88" s="29" t="inlineStr">
        <is>
          <t>Exportación</t>
        </is>
      </c>
      <c r="F88" s="30" t="n">
        <v>0</v>
      </c>
      <c r="G88" s="30" t="n">
        <v>0</v>
      </c>
      <c r="H88" s="30" t="n">
        <v>500</v>
      </c>
      <c r="I88" s="31">
        <f>G88+H88</f>
        <v/>
      </c>
      <c r="J88" s="32">
        <f>F88-I88</f>
        <v/>
      </c>
      <c r="K88" s="31" t="n">
        <v>500</v>
      </c>
      <c r="L88" s="33" t="n">
        <v>0</v>
      </c>
      <c r="M88" s="34" t="n">
        <v>500</v>
      </c>
      <c r="N88" s="35" t="n">
        <v>0</v>
      </c>
      <c r="O88" s="29" t="inlineStr">
        <is>
          <t>Nov 26</t>
        </is>
      </c>
      <c r="P88" s="26" t="inlineStr">
        <is>
          <t>FABRICACIÓN URGENTE</t>
        </is>
      </c>
    </row>
    <row r="89" ht="20" customHeight="1">
      <c r="A89" s="17" t="inlineStr">
        <is>
          <t>G0200RORU</t>
        </is>
      </c>
      <c r="B89" s="18" t="inlineStr">
        <is>
          <t>GREEN-UP EXPORTACION, 200 L</t>
        </is>
      </c>
      <c r="C89" s="19" t="inlineStr">
        <is>
          <t>200</t>
        </is>
      </c>
      <c r="D89" s="19" t="inlineStr">
        <is>
          <t>Garrafas 20L</t>
        </is>
      </c>
      <c r="E89" s="19" t="inlineStr">
        <is>
          <t>Exportación</t>
        </is>
      </c>
      <c r="F89" s="20" t="n">
        <v>0</v>
      </c>
      <c r="G89" s="20" t="n">
        <v>0</v>
      </c>
      <c r="H89" s="20" t="n">
        <v>400</v>
      </c>
      <c r="I89" s="21">
        <f>G89+H89</f>
        <v/>
      </c>
      <c r="J89" s="22">
        <f>F89-I89</f>
        <v/>
      </c>
      <c r="K89" s="21" t="n">
        <v>400</v>
      </c>
      <c r="L89" s="23" t="n">
        <v>0</v>
      </c>
      <c r="M89" s="24" t="n">
        <v>400</v>
      </c>
      <c r="N89" s="25" t="n">
        <v>0</v>
      </c>
      <c r="O89" s="19" t="inlineStr">
        <is>
          <t>Nov 26</t>
        </is>
      </c>
      <c r="P89" s="26" t="inlineStr">
        <is>
          <t>FABRICACIÓN URGENTE</t>
        </is>
      </c>
    </row>
    <row r="90" ht="20" customHeight="1">
      <c r="A90" s="27" t="inlineStr">
        <is>
          <t>G0005PAPA</t>
        </is>
      </c>
      <c r="B90" s="28" t="inlineStr">
        <is>
          <t>TRANSLOCADOR</t>
        </is>
      </c>
      <c r="C90" s="29" t="inlineStr">
        <is>
          <t>5</t>
        </is>
      </c>
      <c r="D90" s="29" t="inlineStr">
        <is>
          <t>Garrafas 5L</t>
        </is>
      </c>
      <c r="E90" s="29" t="inlineStr">
        <is>
          <t>Exportación</t>
        </is>
      </c>
      <c r="F90" s="30" t="n">
        <v>0</v>
      </c>
      <c r="G90" s="30" t="n">
        <v>0</v>
      </c>
      <c r="H90" s="30" t="n">
        <v>400</v>
      </c>
      <c r="I90" s="31">
        <f>G90+H90</f>
        <v/>
      </c>
      <c r="J90" s="32">
        <f>F90-I90</f>
        <v/>
      </c>
      <c r="K90" s="31" t="n">
        <v>400</v>
      </c>
      <c r="L90" s="33" t="n">
        <v>0</v>
      </c>
      <c r="M90" s="34" t="n">
        <v>400</v>
      </c>
      <c r="N90" s="35" t="n">
        <v>0</v>
      </c>
      <c r="O90" s="29" t="inlineStr">
        <is>
          <t>Dic 26</t>
        </is>
      </c>
      <c r="P90" s="26" t="inlineStr">
        <is>
          <t>FABRICACIÓN URGENTE</t>
        </is>
      </c>
    </row>
    <row r="91" ht="20" customHeight="1">
      <c r="A91" s="17" t="inlineStr">
        <is>
          <t>AGMG0001</t>
        </is>
      </c>
      <c r="B91" s="18" t="inlineStr">
        <is>
          <t>AGROXILATO Mg</t>
        </is>
      </c>
      <c r="C91" s="19" t="inlineStr">
        <is>
          <t>1</t>
        </is>
      </c>
      <c r="D91" s="19" t="inlineStr">
        <is>
          <t>Botellas 1L</t>
        </is>
      </c>
      <c r="E91" s="19" t="inlineStr">
        <is>
          <t>Exportación</t>
        </is>
      </c>
      <c r="F91" s="20" t="n">
        <v>0</v>
      </c>
      <c r="G91" s="20" t="n">
        <v>0</v>
      </c>
      <c r="H91" s="20" t="n">
        <v>528</v>
      </c>
      <c r="I91" s="21">
        <f>G91+H91</f>
        <v/>
      </c>
      <c r="J91" s="22">
        <f>F91-I91</f>
        <v/>
      </c>
      <c r="K91" s="21" t="n">
        <v>376</v>
      </c>
      <c r="L91" s="23" t="n">
        <v>0</v>
      </c>
      <c r="M91" s="24" t="n">
        <v>376</v>
      </c>
      <c r="N91" s="25" t="n">
        <v>0.2878787878787879</v>
      </c>
      <c r="O91" s="19" t="inlineStr">
        <is>
          <t>Oct 26 (N)</t>
        </is>
      </c>
      <c r="P91" s="26" t="inlineStr">
        <is>
          <t>FABRICACIÓN URGENTE</t>
        </is>
      </c>
    </row>
    <row r="92" ht="20" customHeight="1">
      <c r="A92" s="27" t="inlineStr">
        <is>
          <t>SASM0072</t>
        </is>
      </c>
      <c r="B92" s="28" t="inlineStr">
        <is>
          <t>SASM0072 NITRATO CALCIO</t>
        </is>
      </c>
      <c r="C92" s="29" t="inlineStr"/>
      <c r="D92" s="29" t="inlineStr">
        <is>
          <t>Otros</t>
        </is>
      </c>
      <c r="E92" s="29" t="inlineStr">
        <is>
          <t>Nacional</t>
        </is>
      </c>
      <c r="F92" s="30" t="n">
        <v>0</v>
      </c>
      <c r="G92" s="31" t="n">
        <v>325</v>
      </c>
      <c r="H92" s="30" t="n">
        <v>0</v>
      </c>
      <c r="I92" s="31">
        <f>G92+H92</f>
        <v/>
      </c>
      <c r="J92" s="32">
        <f>F92-I92</f>
        <v/>
      </c>
      <c r="K92" s="31" t="n">
        <v>325</v>
      </c>
      <c r="L92" s="33" t="n">
        <v>0</v>
      </c>
      <c r="M92" s="34" t="n">
        <v>325</v>
      </c>
      <c r="N92" s="35" t="n">
        <v>0</v>
      </c>
      <c r="O92" s="27" t="inlineStr">
        <is>
          <t>Inmediato (Cartera)</t>
        </is>
      </c>
      <c r="P92" s="26" t="inlineStr">
        <is>
          <t>FABRICACIÓN URGENTE</t>
        </is>
      </c>
    </row>
    <row r="93" ht="20" customHeight="1">
      <c r="A93" s="17" t="inlineStr">
        <is>
          <t>BPLUS0001</t>
        </is>
      </c>
      <c r="B93" s="18" t="inlineStr">
        <is>
          <t>BOROCAL PLUS, 1 KG</t>
        </is>
      </c>
      <c r="C93" s="19" t="inlineStr">
        <is>
          <t>1</t>
        </is>
      </c>
      <c r="D93" s="19" t="inlineStr">
        <is>
          <t>Botellas 1L</t>
        </is>
      </c>
      <c r="E93" s="19" t="inlineStr">
        <is>
          <t>Exportación</t>
        </is>
      </c>
      <c r="F93" s="20" t="n">
        <v>0</v>
      </c>
      <c r="G93" s="20" t="n">
        <v>0</v>
      </c>
      <c r="H93" s="20" t="n">
        <v>320</v>
      </c>
      <c r="I93" s="21">
        <f>G93+H93</f>
        <v/>
      </c>
      <c r="J93" s="22">
        <f>F93-I93</f>
        <v/>
      </c>
      <c r="K93" s="21" t="n">
        <v>320</v>
      </c>
      <c r="L93" s="23" t="n">
        <v>0</v>
      </c>
      <c r="M93" s="24" t="n">
        <v>320</v>
      </c>
      <c r="N93" s="25" t="n">
        <v>0</v>
      </c>
      <c r="O93" s="19" t="inlineStr">
        <is>
          <t>Nov 26</t>
        </is>
      </c>
      <c r="P93" s="26" t="inlineStr">
        <is>
          <t>FABRICACIÓN URGENTE</t>
        </is>
      </c>
    </row>
    <row r="94" ht="20" customHeight="1">
      <c r="A94" s="27" t="inlineStr">
        <is>
          <t>JF0005</t>
        </is>
      </c>
      <c r="B94" s="28" t="inlineStr">
        <is>
          <t>CODIGIN-FOS, 5 L</t>
        </is>
      </c>
      <c r="C94" s="29" t="inlineStr">
        <is>
          <t>5</t>
        </is>
      </c>
      <c r="D94" s="29" t="inlineStr">
        <is>
          <t>Garrafas 5L</t>
        </is>
      </c>
      <c r="E94" s="29" t="inlineStr">
        <is>
          <t>Nacional+Export</t>
        </is>
      </c>
      <c r="F94" s="30" t="n">
        <v>790</v>
      </c>
      <c r="G94" s="30" t="n">
        <v>0</v>
      </c>
      <c r="H94" s="30" t="n">
        <v>1100</v>
      </c>
      <c r="I94" s="31">
        <f>G94+H94</f>
        <v/>
      </c>
      <c r="J94" s="32">
        <f>F94-I94</f>
        <v/>
      </c>
      <c r="K94" s="31" t="n">
        <v>310</v>
      </c>
      <c r="L94" s="33" t="n">
        <v>0</v>
      </c>
      <c r="M94" s="34" t="n">
        <v>310</v>
      </c>
      <c r="N94" s="35" t="n">
        <v>0.7181818181818181</v>
      </c>
      <c r="O94" s="29" t="inlineStr">
        <is>
          <t>Dic 26</t>
        </is>
      </c>
      <c r="P94" s="26" t="inlineStr">
        <is>
          <t>FABRICACIÓN URGENTE</t>
        </is>
      </c>
    </row>
    <row r="95" ht="20" customHeight="1">
      <c r="A95" s="17" t="inlineStr">
        <is>
          <t>MPH0005</t>
        </is>
      </c>
      <c r="B95" s="18" t="inlineStr">
        <is>
          <t>MOJALINE NL, 5 L</t>
        </is>
      </c>
      <c r="C95" s="19" t="inlineStr">
        <is>
          <t>5</t>
        </is>
      </c>
      <c r="D95" s="19" t="inlineStr">
        <is>
          <t>Garrafas 5L</t>
        </is>
      </c>
      <c r="E95" s="19" t="inlineStr">
        <is>
          <t>Exportación</t>
        </is>
      </c>
      <c r="F95" s="20" t="n">
        <v>0</v>
      </c>
      <c r="G95" s="20" t="n">
        <v>0</v>
      </c>
      <c r="H95" s="20" t="n">
        <v>300</v>
      </c>
      <c r="I95" s="21">
        <f>G95+H95</f>
        <v/>
      </c>
      <c r="J95" s="22">
        <f>F95-I95</f>
        <v/>
      </c>
      <c r="K95" s="21" t="n">
        <v>300</v>
      </c>
      <c r="L95" s="23" t="n">
        <v>0</v>
      </c>
      <c r="M95" s="24" t="n">
        <v>300</v>
      </c>
      <c r="N95" s="25" t="n">
        <v>0</v>
      </c>
      <c r="O95" s="19" t="inlineStr">
        <is>
          <t>Nov 26</t>
        </is>
      </c>
      <c r="P95" s="26" t="inlineStr">
        <is>
          <t>FABRICACIÓN URGENTE</t>
        </is>
      </c>
    </row>
    <row r="96" ht="20" customHeight="1">
      <c r="A96" s="27" t="inlineStr">
        <is>
          <t>B1000RORU</t>
        </is>
      </c>
      <c r="B96" s="28" t="inlineStr">
        <is>
          <t>BOROCAL, 1000 L</t>
        </is>
      </c>
      <c r="C96" s="29" t="inlineStr">
        <is>
          <t>1000</t>
        </is>
      </c>
      <c r="D96" s="29" t="inlineStr">
        <is>
          <t>Botellas 1L</t>
        </is>
      </c>
      <c r="E96" s="29" t="inlineStr">
        <is>
          <t>Exportación</t>
        </is>
      </c>
      <c r="F96" s="30" t="n">
        <v>0</v>
      </c>
      <c r="G96" s="30" t="n">
        <v>0</v>
      </c>
      <c r="H96" s="30" t="n">
        <v>1000</v>
      </c>
      <c r="I96" s="31">
        <f>G96+H96</f>
        <v/>
      </c>
      <c r="J96" s="32">
        <f>F96-I96</f>
        <v/>
      </c>
      <c r="K96" s="31" t="n">
        <v>290</v>
      </c>
      <c r="L96" s="33" t="n">
        <v>0</v>
      </c>
      <c r="M96" s="34" t="n">
        <v>290</v>
      </c>
      <c r="N96" s="35" t="n">
        <v>0.71</v>
      </c>
      <c r="O96" s="29" t="inlineStr">
        <is>
          <t>Nov 26</t>
        </is>
      </c>
      <c r="P96" s="26" t="inlineStr">
        <is>
          <t>FABRICACIÓN URGENTE</t>
        </is>
      </c>
    </row>
    <row r="97" ht="20" customHeight="1">
      <c r="A97" s="17" t="inlineStr">
        <is>
          <t>B0001DODO</t>
        </is>
      </c>
      <c r="B97" s="18" t="inlineStr">
        <is>
          <t>BOROCAL</t>
        </is>
      </c>
      <c r="C97" s="19" t="inlineStr">
        <is>
          <t>1</t>
        </is>
      </c>
      <c r="D97" s="19" t="inlineStr">
        <is>
          <t>Botellas 1L</t>
        </is>
      </c>
      <c r="E97" s="19" t="inlineStr">
        <is>
          <t>Exportación</t>
        </is>
      </c>
      <c r="F97" s="20" t="n">
        <v>0</v>
      </c>
      <c r="G97" s="20" t="n">
        <v>0</v>
      </c>
      <c r="H97" s="20" t="n">
        <v>1000</v>
      </c>
      <c r="I97" s="21">
        <f>G97+H97</f>
        <v/>
      </c>
      <c r="J97" s="22">
        <f>F97-I97</f>
        <v/>
      </c>
      <c r="K97" s="21" t="n">
        <v>290</v>
      </c>
      <c r="L97" s="23" t="n">
        <v>0</v>
      </c>
      <c r="M97" s="24" t="n">
        <v>290</v>
      </c>
      <c r="N97" s="25" t="n">
        <v>0.71</v>
      </c>
      <c r="O97" s="19" t="inlineStr">
        <is>
          <t>Nov 26</t>
        </is>
      </c>
      <c r="P97" s="26" t="inlineStr">
        <is>
          <t>FABRICACIÓN URGENTE</t>
        </is>
      </c>
    </row>
    <row r="98" ht="20" customHeight="1">
      <c r="A98" s="27" t="inlineStr">
        <is>
          <t>LP0005</t>
        </is>
      </c>
      <c r="B98" s="28" t="inlineStr">
        <is>
          <t>LAVAPLANT, 5 L</t>
        </is>
      </c>
      <c r="C98" s="29" t="inlineStr">
        <is>
          <t>5</t>
        </is>
      </c>
      <c r="D98" s="29" t="inlineStr">
        <is>
          <t>Garrafas 5L</t>
        </is>
      </c>
      <c r="E98" s="29" t="inlineStr">
        <is>
          <t>Exportación</t>
        </is>
      </c>
      <c r="F98" s="30" t="n">
        <v>0</v>
      </c>
      <c r="G98" s="30" t="n">
        <v>0</v>
      </c>
      <c r="H98" s="30" t="n">
        <v>500</v>
      </c>
      <c r="I98" s="31">
        <f>G98+H98</f>
        <v/>
      </c>
      <c r="J98" s="32">
        <f>F98-I98</f>
        <v/>
      </c>
      <c r="K98" s="31" t="n">
        <v>200</v>
      </c>
      <c r="L98" s="33" t="n">
        <v>0</v>
      </c>
      <c r="M98" s="34" t="n">
        <v>200</v>
      </c>
      <c r="N98" s="35" t="n">
        <v>0.6</v>
      </c>
      <c r="O98" s="29" t="inlineStr">
        <is>
          <t>Nov 26</t>
        </is>
      </c>
      <c r="P98" s="26" t="inlineStr">
        <is>
          <t>FABRICACIÓN URGENTE</t>
        </is>
      </c>
    </row>
    <row r="99" ht="20" customHeight="1">
      <c r="A99" s="17" t="inlineStr">
        <is>
          <t>SSEG0001</t>
        </is>
      </c>
      <c r="B99" s="18" t="inlineStr">
        <is>
          <t>SALWAX CALCIO</t>
        </is>
      </c>
      <c r="C99" s="19" t="inlineStr">
        <is>
          <t>1</t>
        </is>
      </c>
      <c r="D99" s="19" t="inlineStr">
        <is>
          <t>Botellas 1L</t>
        </is>
      </c>
      <c r="E99" s="19" t="inlineStr">
        <is>
          <t>Exportación</t>
        </is>
      </c>
      <c r="F99" s="20" t="n">
        <v>0</v>
      </c>
      <c r="G99" s="21" t="n">
        <v>324</v>
      </c>
      <c r="H99" s="20" t="n">
        <v>0</v>
      </c>
      <c r="I99" s="21">
        <f>G99+H99</f>
        <v/>
      </c>
      <c r="J99" s="22">
        <f>F99-I99</f>
        <v/>
      </c>
      <c r="K99" s="21" t="n">
        <v>74</v>
      </c>
      <c r="L99" s="23" t="n">
        <v>0</v>
      </c>
      <c r="M99" s="24" t="n">
        <v>74</v>
      </c>
      <c r="N99" s="25" t="n">
        <v>0.7716049382716049</v>
      </c>
      <c r="O99" s="17" t="inlineStr">
        <is>
          <t>Inmediato (Cartera)</t>
        </is>
      </c>
      <c r="P99" s="26" t="inlineStr">
        <is>
          <t>FABRICACIÓN URGENTE</t>
        </is>
      </c>
    </row>
    <row r="100" ht="20" customHeight="1">
      <c r="A100" s="27" t="inlineStr">
        <is>
          <t>BROTA0020</t>
        </is>
      </c>
      <c r="B100" s="28" t="inlineStr">
        <is>
          <t>BROTAMEC, 20 L</t>
        </is>
      </c>
      <c r="C100" s="29" t="inlineStr">
        <is>
          <t>20</t>
        </is>
      </c>
      <c r="D100" s="29" t="inlineStr">
        <is>
          <t>Garrafas 20L</t>
        </is>
      </c>
      <c r="E100" s="29" t="inlineStr">
        <is>
          <t>Nacional</t>
        </is>
      </c>
      <c r="F100" s="30" t="n">
        <v>2100</v>
      </c>
      <c r="G100" s="30" t="n">
        <v>0</v>
      </c>
      <c r="H100" s="30" t="n">
        <v>2240</v>
      </c>
      <c r="I100" s="31">
        <f>G100+H100</f>
        <v/>
      </c>
      <c r="J100" s="32">
        <f>F100-I100</f>
        <v/>
      </c>
      <c r="K100" s="31" t="n">
        <v>40</v>
      </c>
      <c r="L100" s="33" t="n">
        <v>0</v>
      </c>
      <c r="M100" s="34" t="n">
        <v>40</v>
      </c>
      <c r="N100" s="35" t="n">
        <v>0.9821428571428571</v>
      </c>
      <c r="O100" s="29" t="inlineStr">
        <is>
          <t>Dic 26</t>
        </is>
      </c>
      <c r="P100" s="26" t="inlineStr">
        <is>
          <t>FABRICACIÓN URGENTE</t>
        </is>
      </c>
    </row>
    <row r="101" ht="20" customHeight="1">
      <c r="A101" s="17" t="inlineStr">
        <is>
          <t>SASE0011</t>
        </is>
      </c>
      <c r="B101" s="18" t="inlineStr">
        <is>
          <t>CANTONERAS DE CARTON SAS 2MTR</t>
        </is>
      </c>
      <c r="C101" s="19" t="inlineStr"/>
      <c r="D101" s="19" t="inlineStr">
        <is>
          <t>Otros</t>
        </is>
      </c>
      <c r="E101" s="19" t="inlineStr">
        <is>
          <t>Nacional</t>
        </is>
      </c>
      <c r="F101" s="20" t="n">
        <v>0</v>
      </c>
      <c r="G101" s="21" t="n">
        <v>26</v>
      </c>
      <c r="H101" s="20" t="n">
        <v>0</v>
      </c>
      <c r="I101" s="21">
        <f>G101+H101</f>
        <v/>
      </c>
      <c r="J101" s="22">
        <f>F101-I101</f>
        <v/>
      </c>
      <c r="K101" s="21" t="n">
        <v>26</v>
      </c>
      <c r="L101" s="23" t="n">
        <v>0</v>
      </c>
      <c r="M101" s="24" t="n">
        <v>26</v>
      </c>
      <c r="N101" s="25" t="n">
        <v>0</v>
      </c>
      <c r="O101" s="17" t="inlineStr">
        <is>
          <t>Inmediato (Cartera)</t>
        </is>
      </c>
      <c r="P101" s="26" t="inlineStr">
        <is>
          <t>FABRICACIÓN URGENTE</t>
        </is>
      </c>
    </row>
    <row r="102" ht="20" customHeight="1">
      <c r="A102" s="27" t="inlineStr">
        <is>
          <t>SASE0052</t>
        </is>
      </c>
      <c r="B102" s="28" t="inlineStr">
        <is>
          <t>PALET 115 X 0,75</t>
        </is>
      </c>
      <c r="C102" s="29" t="inlineStr"/>
      <c r="D102" s="29" t="inlineStr">
        <is>
          <t>Otros</t>
        </is>
      </c>
      <c r="E102" s="29" t="inlineStr">
        <is>
          <t>Nacional</t>
        </is>
      </c>
      <c r="F102" s="30" t="n">
        <v>0</v>
      </c>
      <c r="G102" s="31" t="n">
        <v>9</v>
      </c>
      <c r="H102" s="30" t="n">
        <v>0</v>
      </c>
      <c r="I102" s="31">
        <f>G102+H102</f>
        <v/>
      </c>
      <c r="J102" s="32">
        <f>F102-I102</f>
        <v/>
      </c>
      <c r="K102" s="31" t="n">
        <v>9</v>
      </c>
      <c r="L102" s="33" t="n">
        <v>0</v>
      </c>
      <c r="M102" s="34" t="n">
        <v>9</v>
      </c>
      <c r="N102" s="35" t="n">
        <v>0</v>
      </c>
      <c r="O102" s="27" t="inlineStr">
        <is>
          <t>Inmediato (Cartera)</t>
        </is>
      </c>
      <c r="P102" s="26" t="inlineStr">
        <is>
          <t>FABRICACIÓN URGENTE</t>
        </is>
      </c>
    </row>
    <row r="103" ht="20" customHeight="1">
      <c r="A103" s="17" t="inlineStr">
        <is>
          <t>A-50(2)0005</t>
        </is>
      </c>
      <c r="B103" s="18" t="inlineStr">
        <is>
          <t>CODIORGAN-A50, 5 KG</t>
        </is>
      </c>
      <c r="C103" s="19" t="inlineStr">
        <is>
          <t>5</t>
        </is>
      </c>
      <c r="D103" s="19" t="inlineStr">
        <is>
          <t>Garrafas 5L</t>
        </is>
      </c>
      <c r="E103" s="19" t="inlineStr">
        <is>
          <t>Nacional+Export</t>
        </is>
      </c>
      <c r="F103" s="20" t="n">
        <v>2085</v>
      </c>
      <c r="G103" s="21" t="n">
        <v>250</v>
      </c>
      <c r="H103" s="20" t="n">
        <v>1875</v>
      </c>
      <c r="I103" s="21">
        <f>G103+H103</f>
        <v/>
      </c>
      <c r="J103" s="22">
        <f>F103-I103</f>
        <v/>
      </c>
      <c r="K103" s="21" t="n">
        <v>7</v>
      </c>
      <c r="L103" s="23" t="n">
        <v>0</v>
      </c>
      <c r="M103" s="24" t="n">
        <v>7</v>
      </c>
      <c r="N103" s="25" t="n">
        <v>0.9967058823529412</v>
      </c>
      <c r="O103" s="19" t="inlineStr">
        <is>
          <t>Dic 26</t>
        </is>
      </c>
      <c r="P103" s="26" t="inlineStr">
        <is>
          <t>FABRICACIÓN URGENTE</t>
        </is>
      </c>
    </row>
    <row r="104" ht="20" customHeight="1">
      <c r="A104" s="27" t="inlineStr">
        <is>
          <t>BIO1000</t>
        </is>
      </c>
      <c r="B104" s="28" t="inlineStr">
        <is>
          <t>BIORAD-20, 1000 L</t>
        </is>
      </c>
      <c r="C104" s="29" t="inlineStr">
        <is>
          <t>1000</t>
        </is>
      </c>
      <c r="D104" s="29" t="inlineStr">
        <is>
          <t>Botellas 1L</t>
        </is>
      </c>
      <c r="E104" s="29" t="inlineStr">
        <is>
          <t>Nacional+Export</t>
        </is>
      </c>
      <c r="F104" s="30" t="n">
        <v>3000</v>
      </c>
      <c r="G104" s="31" t="n">
        <v>11000</v>
      </c>
      <c r="H104" s="30" t="n">
        <v>9000</v>
      </c>
      <c r="I104" s="31">
        <f>G104+H104</f>
        <v/>
      </c>
      <c r="J104" s="32">
        <f>F104-I104</f>
        <v/>
      </c>
      <c r="K104" s="31" t="n">
        <v>17000</v>
      </c>
      <c r="L104" s="33" t="n">
        <v>0</v>
      </c>
      <c r="M104" s="34" t="n">
        <v>17000</v>
      </c>
      <c r="N104" s="35" t="n">
        <v>1</v>
      </c>
      <c r="O104" s="27" t="inlineStr">
        <is>
          <t>Inmediato (Cartera)</t>
        </is>
      </c>
      <c r="P104" s="36" t="inlineStr">
        <is>
          <t>PROGRAMAR LOTE</t>
        </is>
      </c>
    </row>
    <row r="105" ht="20" customHeight="1">
      <c r="A105" s="17" t="inlineStr">
        <is>
          <t>AGXCR0020</t>
        </is>
      </c>
      <c r="B105" s="18" t="inlineStr">
        <is>
          <t>AGROXILATO-K, (0-5-20), 20 LtS.</t>
        </is>
      </c>
      <c r="C105" s="19" t="inlineStr">
        <is>
          <t>20</t>
        </is>
      </c>
      <c r="D105" s="19" t="inlineStr">
        <is>
          <t>Garrafas 20L</t>
        </is>
      </c>
      <c r="E105" s="19" t="inlineStr">
        <is>
          <t>Nacional+Export</t>
        </is>
      </c>
      <c r="F105" s="20" t="n">
        <v>0</v>
      </c>
      <c r="G105" s="21" t="n">
        <v>2000</v>
      </c>
      <c r="H105" s="20" t="n">
        <v>5640</v>
      </c>
      <c r="I105" s="21">
        <f>G105+H105</f>
        <v/>
      </c>
      <c r="J105" s="22">
        <f>F105-I105</f>
        <v/>
      </c>
      <c r="K105" s="21" t="n">
        <v>7640</v>
      </c>
      <c r="L105" s="23" t="n">
        <v>0</v>
      </c>
      <c r="M105" s="24" t="n">
        <v>7640</v>
      </c>
      <c r="N105" s="25" t="n">
        <v>1</v>
      </c>
      <c r="O105" s="17" t="inlineStr">
        <is>
          <t>Inmediato (Cartera)</t>
        </is>
      </c>
      <c r="P105" s="36" t="inlineStr">
        <is>
          <t>PROGRAMAR LOTE</t>
        </is>
      </c>
    </row>
    <row r="106" ht="20" customHeight="1">
      <c r="A106" s="27" t="inlineStr">
        <is>
          <t>BIO0005</t>
        </is>
      </c>
      <c r="B106" s="28" t="inlineStr">
        <is>
          <t>BIORAD-20, 5L</t>
        </is>
      </c>
      <c r="C106" s="29" t="inlineStr">
        <is>
          <t>5</t>
        </is>
      </c>
      <c r="D106" s="29" t="inlineStr">
        <is>
          <t>Garrafas 5L</t>
        </is>
      </c>
      <c r="E106" s="29" t="inlineStr">
        <is>
          <t>Nacional+Export</t>
        </is>
      </c>
      <c r="F106" s="30" t="n">
        <v>1540</v>
      </c>
      <c r="G106" s="30" t="n">
        <v>0</v>
      </c>
      <c r="H106" s="30" t="n">
        <v>6660</v>
      </c>
      <c r="I106" s="31">
        <f>G106+H106</f>
        <v/>
      </c>
      <c r="J106" s="32">
        <f>F106-I106</f>
        <v/>
      </c>
      <c r="K106" s="31" t="n">
        <v>5120</v>
      </c>
      <c r="L106" s="33" t="n">
        <v>0</v>
      </c>
      <c r="M106" s="34" t="n">
        <v>5120</v>
      </c>
      <c r="N106" s="35" t="n">
        <v>1</v>
      </c>
      <c r="O106" s="29" t="inlineStr">
        <is>
          <t>Nov 26</t>
        </is>
      </c>
      <c r="P106" s="36" t="inlineStr">
        <is>
          <t>PROGRAMAR LOTE</t>
        </is>
      </c>
    </row>
    <row r="107" ht="20" customHeight="1">
      <c r="A107" s="17" t="inlineStr">
        <is>
          <t>AGXCR0001</t>
        </is>
      </c>
      <c r="B107" s="18" t="inlineStr">
        <is>
          <t>AGROXILATO-K</t>
        </is>
      </c>
      <c r="C107" s="19" t="inlineStr">
        <is>
          <t>1</t>
        </is>
      </c>
      <c r="D107" s="19" t="inlineStr">
        <is>
          <t>Botellas 1L</t>
        </is>
      </c>
      <c r="E107" s="19" t="inlineStr">
        <is>
          <t>Exportación</t>
        </is>
      </c>
      <c r="F107" s="20" t="n">
        <v>0</v>
      </c>
      <c r="G107" s="21" t="n">
        <v>840</v>
      </c>
      <c r="H107" s="20" t="n">
        <v>2184</v>
      </c>
      <c r="I107" s="21">
        <f>G107+H107</f>
        <v/>
      </c>
      <c r="J107" s="22">
        <f>F107-I107</f>
        <v/>
      </c>
      <c r="K107" s="21" t="n">
        <v>3024</v>
      </c>
      <c r="L107" s="23" t="n">
        <v>0</v>
      </c>
      <c r="M107" s="24" t="n">
        <v>3024</v>
      </c>
      <c r="N107" s="25" t="n">
        <v>1</v>
      </c>
      <c r="O107" s="17" t="inlineStr">
        <is>
          <t>Inmediato (Cartera)</t>
        </is>
      </c>
      <c r="P107" s="36" t="inlineStr">
        <is>
          <t>PROGRAMAR LOTE</t>
        </is>
      </c>
    </row>
    <row r="108" ht="20" customHeight="1">
      <c r="A108" s="27" t="inlineStr">
        <is>
          <t>C-L0005</t>
        </is>
      </c>
      <c r="B108" s="28" t="inlineStr">
        <is>
          <t>CODIBOR-L, 5 L</t>
        </is>
      </c>
      <c r="C108" s="29" t="inlineStr">
        <is>
          <t>5</t>
        </is>
      </c>
      <c r="D108" s="29" t="inlineStr">
        <is>
          <t>Garrafas 5L</t>
        </is>
      </c>
      <c r="E108" s="29" t="inlineStr">
        <is>
          <t>Nacional+Export</t>
        </is>
      </c>
      <c r="F108" s="30" t="n">
        <v>1040</v>
      </c>
      <c r="G108" s="31" t="n">
        <v>300</v>
      </c>
      <c r="H108" s="30" t="n">
        <v>3400</v>
      </c>
      <c r="I108" s="31">
        <f>G108+H108</f>
        <v/>
      </c>
      <c r="J108" s="32">
        <f>F108-I108</f>
        <v/>
      </c>
      <c r="K108" s="31" t="n">
        <v>2660</v>
      </c>
      <c r="L108" s="33" t="n">
        <v>0</v>
      </c>
      <c r="M108" s="34" t="n">
        <v>2660</v>
      </c>
      <c r="N108" s="35" t="n">
        <v>1</v>
      </c>
      <c r="O108" s="29" t="inlineStr">
        <is>
          <t>Dic 26</t>
        </is>
      </c>
      <c r="P108" s="36" t="inlineStr">
        <is>
          <t>PROGRAMAR LOTE</t>
        </is>
      </c>
    </row>
    <row r="109" ht="20" customHeight="1">
      <c r="A109" s="17" t="inlineStr">
        <is>
          <t>S0020</t>
        </is>
      </c>
      <c r="B109" s="18" t="inlineStr">
        <is>
          <t>SALWAX STAR, 20 L</t>
        </is>
      </c>
      <c r="C109" s="19" t="inlineStr">
        <is>
          <t>20</t>
        </is>
      </c>
      <c r="D109" s="19" t="inlineStr">
        <is>
          <t>Garrafas 20L</t>
        </is>
      </c>
      <c r="E109" s="19" t="inlineStr">
        <is>
          <t>Nacional</t>
        </is>
      </c>
      <c r="F109" s="20" t="n">
        <v>3800</v>
      </c>
      <c r="G109" s="20" t="n">
        <v>0</v>
      </c>
      <c r="H109" s="20" t="n">
        <v>6400</v>
      </c>
      <c r="I109" s="21">
        <f>G109+H109</f>
        <v/>
      </c>
      <c r="J109" s="22">
        <f>F109-I109</f>
        <v/>
      </c>
      <c r="K109" s="21" t="n">
        <v>2600</v>
      </c>
      <c r="L109" s="23" t="n">
        <v>0</v>
      </c>
      <c r="M109" s="24" t="n">
        <v>2600</v>
      </c>
      <c r="N109" s="25" t="n">
        <v>1</v>
      </c>
      <c r="O109" s="19" t="inlineStr">
        <is>
          <t>Nov 26</t>
        </is>
      </c>
      <c r="P109" s="36" t="inlineStr">
        <is>
          <t>PROGRAMAR LOTE</t>
        </is>
      </c>
    </row>
    <row r="110" ht="20" customHeight="1">
      <c r="A110" s="27" t="inlineStr">
        <is>
          <t>AGXK0005</t>
        </is>
      </c>
      <c r="B110" s="28" t="inlineStr">
        <is>
          <t>AGROXILATO-K, 5 L</t>
        </is>
      </c>
      <c r="C110" s="29" t="inlineStr">
        <is>
          <t>5</t>
        </is>
      </c>
      <c r="D110" s="29" t="inlineStr">
        <is>
          <t>Garrafas 5L</t>
        </is>
      </c>
      <c r="E110" s="29" t="inlineStr">
        <is>
          <t>Nacional+Export</t>
        </is>
      </c>
      <c r="F110" s="30" t="n">
        <v>820</v>
      </c>
      <c r="G110" s="30" t="n">
        <v>0</v>
      </c>
      <c r="H110" s="30" t="n">
        <v>3200</v>
      </c>
      <c r="I110" s="31">
        <f>G110+H110</f>
        <v/>
      </c>
      <c r="J110" s="32">
        <f>F110-I110</f>
        <v/>
      </c>
      <c r="K110" s="31" t="n">
        <v>2380</v>
      </c>
      <c r="L110" s="33" t="n">
        <v>0</v>
      </c>
      <c r="M110" s="34" t="n">
        <v>2380</v>
      </c>
      <c r="N110" s="35" t="n">
        <v>1</v>
      </c>
      <c r="O110" s="29" t="inlineStr">
        <is>
          <t>Nov 26</t>
        </is>
      </c>
      <c r="P110" s="36" t="inlineStr">
        <is>
          <t>PROGRAMAR LOTE</t>
        </is>
      </c>
    </row>
    <row r="111" ht="20" customHeight="1">
      <c r="A111" s="17" t="inlineStr">
        <is>
          <t>C-L0020</t>
        </is>
      </c>
      <c r="B111" s="18" t="inlineStr">
        <is>
          <t>CODIBOR-L, 20 L</t>
        </is>
      </c>
      <c r="C111" s="19" t="inlineStr">
        <is>
          <t>20</t>
        </is>
      </c>
      <c r="D111" s="19" t="inlineStr">
        <is>
          <t>Garrafas 20L</t>
        </is>
      </c>
      <c r="E111" s="19" t="inlineStr">
        <is>
          <t>Nacional+Export</t>
        </is>
      </c>
      <c r="F111" s="20" t="n">
        <v>260</v>
      </c>
      <c r="G111" s="21" t="n">
        <v>320</v>
      </c>
      <c r="H111" s="20" t="n">
        <v>2000</v>
      </c>
      <c r="I111" s="21">
        <f>G111+H111</f>
        <v/>
      </c>
      <c r="J111" s="22">
        <f>F111-I111</f>
        <v/>
      </c>
      <c r="K111" s="21" t="n">
        <v>2060</v>
      </c>
      <c r="L111" s="23" t="n">
        <v>0</v>
      </c>
      <c r="M111" s="24" t="n">
        <v>2060</v>
      </c>
      <c r="N111" s="25" t="n">
        <v>1</v>
      </c>
      <c r="O111" s="17" t="inlineStr">
        <is>
          <t>Inmediato (Cartera)</t>
        </is>
      </c>
      <c r="P111" s="36" t="inlineStr">
        <is>
          <t>PROGRAMAR LOTE</t>
        </is>
      </c>
    </row>
    <row r="112" ht="20" customHeight="1">
      <c r="A112" s="27" t="inlineStr">
        <is>
          <t>BIO0001</t>
        </is>
      </c>
      <c r="B112" s="28" t="inlineStr">
        <is>
          <t>BIORAD-20</t>
        </is>
      </c>
      <c r="C112" s="29" t="inlineStr">
        <is>
          <t>1</t>
        </is>
      </c>
      <c r="D112" s="29" t="inlineStr">
        <is>
          <t>Botellas 1L</t>
        </is>
      </c>
      <c r="E112" s="29" t="inlineStr">
        <is>
          <t>Exportación</t>
        </is>
      </c>
      <c r="F112" s="30" t="n">
        <v>6</v>
      </c>
      <c r="G112" s="30" t="n">
        <v>0</v>
      </c>
      <c r="H112" s="30" t="n">
        <v>2016</v>
      </c>
      <c r="I112" s="31">
        <f>G112+H112</f>
        <v/>
      </c>
      <c r="J112" s="32">
        <f>F112-I112</f>
        <v/>
      </c>
      <c r="K112" s="31" t="n">
        <v>2010</v>
      </c>
      <c r="L112" s="33" t="n">
        <v>0</v>
      </c>
      <c r="M112" s="34" t="n">
        <v>2010</v>
      </c>
      <c r="N112" s="35" t="n">
        <v>1</v>
      </c>
      <c r="O112" s="29" t="inlineStr">
        <is>
          <t>Oct 26 (N)</t>
        </is>
      </c>
      <c r="P112" s="36" t="inlineStr">
        <is>
          <t>PROGRAMAR LOTE</t>
        </is>
      </c>
    </row>
    <row r="113" ht="20" customHeight="1">
      <c r="A113" s="17" t="inlineStr">
        <is>
          <t>AGXCR0005</t>
        </is>
      </c>
      <c r="B113" s="18" t="inlineStr">
        <is>
          <t>AGROXILATO-K</t>
        </is>
      </c>
      <c r="C113" s="19" t="inlineStr">
        <is>
          <t>5</t>
        </is>
      </c>
      <c r="D113" s="19" t="inlineStr">
        <is>
          <t>Garrafas 5L</t>
        </is>
      </c>
      <c r="E113" s="19" t="inlineStr">
        <is>
          <t>Exportación</t>
        </is>
      </c>
      <c r="F113" s="20" t="n">
        <v>0</v>
      </c>
      <c r="G113" s="20" t="n">
        <v>0</v>
      </c>
      <c r="H113" s="20" t="n">
        <v>1800</v>
      </c>
      <c r="I113" s="21">
        <f>G113+H113</f>
        <v/>
      </c>
      <c r="J113" s="22">
        <f>F113-I113</f>
        <v/>
      </c>
      <c r="K113" s="21" t="n">
        <v>1800</v>
      </c>
      <c r="L113" s="23" t="n">
        <v>0</v>
      </c>
      <c r="M113" s="24" t="n">
        <v>1800</v>
      </c>
      <c r="N113" s="25" t="n">
        <v>1</v>
      </c>
      <c r="O113" s="19" t="inlineStr">
        <is>
          <t>Dic 26</t>
        </is>
      </c>
      <c r="P113" s="36" t="inlineStr">
        <is>
          <t>PROGRAMAR LOTE</t>
        </is>
      </c>
    </row>
    <row r="114" ht="20" customHeight="1">
      <c r="A114" s="27" t="inlineStr">
        <is>
          <t>FLORCR0001</t>
        </is>
      </c>
      <c r="B114" s="28" t="inlineStr">
        <is>
          <t>FLORAMEC CR, 1 L</t>
        </is>
      </c>
      <c r="C114" s="29" t="inlineStr">
        <is>
          <t>1</t>
        </is>
      </c>
      <c r="D114" s="29" t="inlineStr">
        <is>
          <t>Botellas 1L</t>
        </is>
      </c>
      <c r="E114" s="29" t="inlineStr">
        <is>
          <t>Exportación</t>
        </is>
      </c>
      <c r="F114" s="30" t="n">
        <v>0</v>
      </c>
      <c r="G114" s="30" t="n">
        <v>0</v>
      </c>
      <c r="H114" s="30" t="n">
        <v>1784</v>
      </c>
      <c r="I114" s="31">
        <f>G114+H114</f>
        <v/>
      </c>
      <c r="J114" s="32">
        <f>F114-I114</f>
        <v/>
      </c>
      <c r="K114" s="31" t="n">
        <v>1784</v>
      </c>
      <c r="L114" s="33" t="n">
        <v>0</v>
      </c>
      <c r="M114" s="34" t="n">
        <v>1784</v>
      </c>
      <c r="N114" s="35" t="n">
        <v>1</v>
      </c>
      <c r="O114" s="29" t="inlineStr">
        <is>
          <t>Nov 26</t>
        </is>
      </c>
      <c r="P114" s="36" t="inlineStr">
        <is>
          <t>PROGRAMAR LOTE</t>
        </is>
      </c>
    </row>
    <row r="115" ht="20" customHeight="1">
      <c r="A115" s="17" t="inlineStr">
        <is>
          <t>F-A0005</t>
        </is>
      </c>
      <c r="B115" s="18" t="inlineStr">
        <is>
          <t>FITOLIN-AGRO, 5 L</t>
        </is>
      </c>
      <c r="C115" s="19" t="inlineStr">
        <is>
          <t>5</t>
        </is>
      </c>
      <c r="D115" s="19" t="inlineStr">
        <is>
          <t>Garrafas 5L</t>
        </is>
      </c>
      <c r="E115" s="19" t="inlineStr">
        <is>
          <t>Exportación</t>
        </is>
      </c>
      <c r="F115" s="20" t="n">
        <v>0</v>
      </c>
      <c r="G115" s="20" t="n">
        <v>0</v>
      </c>
      <c r="H115" s="20" t="n">
        <v>1700</v>
      </c>
      <c r="I115" s="21">
        <f>G115+H115</f>
        <v/>
      </c>
      <c r="J115" s="22">
        <f>F115-I115</f>
        <v/>
      </c>
      <c r="K115" s="21" t="n">
        <v>1700</v>
      </c>
      <c r="L115" s="23" t="n">
        <v>0</v>
      </c>
      <c r="M115" s="24" t="n">
        <v>1700</v>
      </c>
      <c r="N115" s="25" t="n">
        <v>1</v>
      </c>
      <c r="O115" s="19" t="inlineStr">
        <is>
          <t>Nov 26</t>
        </is>
      </c>
      <c r="P115" s="36" t="inlineStr">
        <is>
          <t>PROGRAMAR LOTE</t>
        </is>
      </c>
    </row>
    <row r="116" ht="20" customHeight="1">
      <c r="A116" s="27" t="inlineStr">
        <is>
          <t>F-A0001</t>
        </is>
      </c>
      <c r="B116" s="28" t="inlineStr">
        <is>
          <t>FITOLIN-AGRO, 1 L</t>
        </is>
      </c>
      <c r="C116" s="29" t="inlineStr">
        <is>
          <t>1</t>
        </is>
      </c>
      <c r="D116" s="29" t="inlineStr">
        <is>
          <t>Botellas 1L</t>
        </is>
      </c>
      <c r="E116" s="29" t="inlineStr">
        <is>
          <t>Exportación</t>
        </is>
      </c>
      <c r="F116" s="30" t="n">
        <v>0</v>
      </c>
      <c r="G116" s="30" t="n">
        <v>0</v>
      </c>
      <c r="H116" s="30" t="n">
        <v>1240</v>
      </c>
      <c r="I116" s="31">
        <f>G116+H116</f>
        <v/>
      </c>
      <c r="J116" s="32">
        <f>F116-I116</f>
        <v/>
      </c>
      <c r="K116" s="31" t="n">
        <v>1240</v>
      </c>
      <c r="L116" s="33" t="n">
        <v>0</v>
      </c>
      <c r="M116" s="34" t="n">
        <v>1240</v>
      </c>
      <c r="N116" s="35" t="n">
        <v>1</v>
      </c>
      <c r="O116" s="29" t="inlineStr">
        <is>
          <t>Nov 26</t>
        </is>
      </c>
      <c r="P116" s="36" t="inlineStr">
        <is>
          <t>PROGRAMAR LOTE</t>
        </is>
      </c>
    </row>
    <row r="117" ht="20" customHeight="1">
      <c r="A117" s="17" t="inlineStr">
        <is>
          <t>FLOR0001</t>
        </is>
      </c>
      <c r="B117" s="18" t="inlineStr">
        <is>
          <t>FLORAMEC</t>
        </is>
      </c>
      <c r="C117" s="19" t="inlineStr">
        <is>
          <t>1</t>
        </is>
      </c>
      <c r="D117" s="19" t="inlineStr">
        <is>
          <t>Botellas 1L</t>
        </is>
      </c>
      <c r="E117" s="19" t="inlineStr">
        <is>
          <t>Exportación</t>
        </is>
      </c>
      <c r="F117" s="20" t="n">
        <v>12</v>
      </c>
      <c r="G117" s="20" t="n">
        <v>0</v>
      </c>
      <c r="H117" s="20" t="n">
        <v>1100</v>
      </c>
      <c r="I117" s="21">
        <f>G117+H117</f>
        <v/>
      </c>
      <c r="J117" s="22">
        <f>F117-I117</f>
        <v/>
      </c>
      <c r="K117" s="21" t="n">
        <v>1088</v>
      </c>
      <c r="L117" s="23" t="n">
        <v>0</v>
      </c>
      <c r="M117" s="24" t="n">
        <v>1088</v>
      </c>
      <c r="N117" s="25" t="n">
        <v>1</v>
      </c>
      <c r="O117" s="19" t="inlineStr">
        <is>
          <t>Nov 26</t>
        </is>
      </c>
      <c r="P117" s="36" t="inlineStr">
        <is>
          <t>PROGRAMAR LOTE</t>
        </is>
      </c>
    </row>
    <row r="118" ht="20" customHeight="1">
      <c r="A118" s="27" t="inlineStr">
        <is>
          <t>C-L0001</t>
        </is>
      </c>
      <c r="B118" s="28" t="inlineStr">
        <is>
          <t>CODIBOR-L, 1 L</t>
        </is>
      </c>
      <c r="C118" s="29" t="inlineStr">
        <is>
          <t>1</t>
        </is>
      </c>
      <c r="D118" s="29" t="inlineStr">
        <is>
          <t>Botellas 1L</t>
        </is>
      </c>
      <c r="E118" s="29" t="inlineStr">
        <is>
          <t>Nacional+Export</t>
        </is>
      </c>
      <c r="F118" s="30" t="n">
        <v>60</v>
      </c>
      <c r="G118" s="30" t="n">
        <v>0</v>
      </c>
      <c r="H118" s="30" t="n">
        <v>1092</v>
      </c>
      <c r="I118" s="31">
        <f>G118+H118</f>
        <v/>
      </c>
      <c r="J118" s="32">
        <f>F118-I118</f>
        <v/>
      </c>
      <c r="K118" s="31" t="n">
        <v>1032</v>
      </c>
      <c r="L118" s="33" t="n">
        <v>0</v>
      </c>
      <c r="M118" s="34" t="n">
        <v>1032</v>
      </c>
      <c r="N118" s="35" t="n">
        <v>1</v>
      </c>
      <c r="O118" s="29" t="inlineStr">
        <is>
          <t>Oct 26 (N)</t>
        </is>
      </c>
      <c r="P118" s="36" t="inlineStr">
        <is>
          <t>PROGRAMAR LOTE</t>
        </is>
      </c>
    </row>
    <row r="119" ht="20" customHeight="1">
      <c r="A119" s="17" t="inlineStr">
        <is>
          <t>AGXK0001</t>
        </is>
      </c>
      <c r="B119" s="18" t="inlineStr">
        <is>
          <t>AGROXILATO-K</t>
        </is>
      </c>
      <c r="C119" s="19" t="inlineStr">
        <is>
          <t>1</t>
        </is>
      </c>
      <c r="D119" s="19" t="inlineStr">
        <is>
          <t>Botellas 1L</t>
        </is>
      </c>
      <c r="E119" s="19" t="inlineStr">
        <is>
          <t>Exportación</t>
        </is>
      </c>
      <c r="F119" s="20" t="n">
        <v>0</v>
      </c>
      <c r="G119" s="20" t="n">
        <v>0</v>
      </c>
      <c r="H119" s="20" t="n">
        <v>1000</v>
      </c>
      <c r="I119" s="21">
        <f>G119+H119</f>
        <v/>
      </c>
      <c r="J119" s="22">
        <f>F119-I119</f>
        <v/>
      </c>
      <c r="K119" s="21" t="n">
        <v>1000</v>
      </c>
      <c r="L119" s="23" t="n">
        <v>0</v>
      </c>
      <c r="M119" s="24" t="n">
        <v>1000</v>
      </c>
      <c r="N119" s="25" t="n">
        <v>1</v>
      </c>
      <c r="O119" s="19" t="inlineStr">
        <is>
          <t>Nov 26</t>
        </is>
      </c>
      <c r="P119" s="36" t="inlineStr">
        <is>
          <t>PROGRAMAR LOTE</t>
        </is>
      </c>
    </row>
    <row r="120" ht="20" customHeight="1">
      <c r="A120" s="27" t="inlineStr">
        <is>
          <t>FU1000</t>
        </is>
      </c>
      <c r="B120" s="28" t="inlineStr">
        <is>
          <t>FULVIGIN, 1000 L</t>
        </is>
      </c>
      <c r="C120" s="29" t="inlineStr">
        <is>
          <t>1000</t>
        </is>
      </c>
      <c r="D120" s="29" t="inlineStr">
        <is>
          <t>Botellas 1L</t>
        </is>
      </c>
      <c r="E120" s="29" t="inlineStr">
        <is>
          <t>Exportación</t>
        </is>
      </c>
      <c r="F120" s="30" t="n">
        <v>0</v>
      </c>
      <c r="G120" s="30" t="n">
        <v>0</v>
      </c>
      <c r="H120" s="30" t="n">
        <v>1000</v>
      </c>
      <c r="I120" s="31">
        <f>G120+H120</f>
        <v/>
      </c>
      <c r="J120" s="32">
        <f>F120-I120</f>
        <v/>
      </c>
      <c r="K120" s="31" t="n">
        <v>1000</v>
      </c>
      <c r="L120" s="33" t="n">
        <v>0</v>
      </c>
      <c r="M120" s="34" t="n">
        <v>1000</v>
      </c>
      <c r="N120" s="35" t="n">
        <v>1</v>
      </c>
      <c r="O120" s="29" t="inlineStr">
        <is>
          <t>Dic 26</t>
        </is>
      </c>
      <c r="P120" s="36" t="inlineStr">
        <is>
          <t>PROGRAMAR LOTE</t>
        </is>
      </c>
    </row>
    <row r="121" ht="20" customHeight="1">
      <c r="A121" s="17" t="inlineStr">
        <is>
          <t>F-A1000</t>
        </is>
      </c>
      <c r="B121" s="18" t="inlineStr">
        <is>
          <t>FITOLIN AGRO</t>
        </is>
      </c>
      <c r="C121" s="19" t="inlineStr">
        <is>
          <t>1000</t>
        </is>
      </c>
      <c r="D121" s="19" t="inlineStr">
        <is>
          <t>Botellas 1L</t>
        </is>
      </c>
      <c r="E121" s="19" t="inlineStr">
        <is>
          <t>Exportación</t>
        </is>
      </c>
      <c r="F121" s="20" t="n">
        <v>1000</v>
      </c>
      <c r="G121" s="20" t="n">
        <v>0</v>
      </c>
      <c r="H121" s="20" t="n">
        <v>2000</v>
      </c>
      <c r="I121" s="21">
        <f>G121+H121</f>
        <v/>
      </c>
      <c r="J121" s="22">
        <f>F121-I121</f>
        <v/>
      </c>
      <c r="K121" s="21" t="n">
        <v>1000</v>
      </c>
      <c r="L121" s="23" t="n">
        <v>0</v>
      </c>
      <c r="M121" s="24" t="n">
        <v>1000</v>
      </c>
      <c r="N121" s="25" t="n">
        <v>1</v>
      </c>
      <c r="O121" s="19" t="inlineStr">
        <is>
          <t>Dic 26</t>
        </is>
      </c>
      <c r="P121" s="36" t="inlineStr">
        <is>
          <t>PROGRAMAR LOTE</t>
        </is>
      </c>
    </row>
    <row r="122" ht="20" customHeight="1">
      <c r="A122" s="27" t="inlineStr">
        <is>
          <t>G30020</t>
        </is>
      </c>
      <c r="B122" s="28" t="inlineStr">
        <is>
          <t>GREEN-UP, 20 L</t>
        </is>
      </c>
      <c r="C122" s="29" t="inlineStr">
        <is>
          <t>20</t>
        </is>
      </c>
      <c r="D122" s="29" t="inlineStr">
        <is>
          <t>Garrafas 20L</t>
        </is>
      </c>
      <c r="E122" s="29" t="inlineStr">
        <is>
          <t>Nacional</t>
        </is>
      </c>
      <c r="F122" s="30" t="n">
        <v>1720</v>
      </c>
      <c r="G122" s="30" t="n">
        <v>0</v>
      </c>
      <c r="H122" s="30" t="n">
        <v>2560</v>
      </c>
      <c r="I122" s="31">
        <f>G122+H122</f>
        <v/>
      </c>
      <c r="J122" s="32">
        <f>F122-I122</f>
        <v/>
      </c>
      <c r="K122" s="31" t="n">
        <v>840</v>
      </c>
      <c r="L122" s="33" t="n">
        <v>0</v>
      </c>
      <c r="M122" s="34" t="n">
        <v>840</v>
      </c>
      <c r="N122" s="35" t="n">
        <v>1</v>
      </c>
      <c r="O122" s="29" t="inlineStr">
        <is>
          <t>Nov 26</t>
        </is>
      </c>
      <c r="P122" s="36" t="inlineStr">
        <is>
          <t>PROGRAMAR LOTE</t>
        </is>
      </c>
    </row>
    <row r="123" ht="20" customHeight="1">
      <c r="A123" s="17" t="inlineStr">
        <is>
          <t>C-CU0020</t>
        </is>
      </c>
      <c r="B123" s="18" t="inlineStr">
        <is>
          <t>CODICOBRE, 20 L</t>
        </is>
      </c>
      <c r="C123" s="19" t="inlineStr">
        <is>
          <t>20</t>
        </is>
      </c>
      <c r="D123" s="19" t="inlineStr">
        <is>
          <t>Garrafas 20L</t>
        </is>
      </c>
      <c r="E123" s="19" t="inlineStr">
        <is>
          <t>Nacional+Export</t>
        </is>
      </c>
      <c r="F123" s="20" t="n">
        <v>3620</v>
      </c>
      <c r="G123" s="21" t="n">
        <v>320</v>
      </c>
      <c r="H123" s="20" t="n">
        <v>4120</v>
      </c>
      <c r="I123" s="21">
        <f>G123+H123</f>
        <v/>
      </c>
      <c r="J123" s="22">
        <f>F123-I123</f>
        <v/>
      </c>
      <c r="K123" s="21" t="n">
        <v>820</v>
      </c>
      <c r="L123" s="23" t="n">
        <v>0</v>
      </c>
      <c r="M123" s="24" t="n">
        <v>820</v>
      </c>
      <c r="N123" s="25" t="n">
        <v>1</v>
      </c>
      <c r="O123" s="19" t="inlineStr">
        <is>
          <t>Nov 26</t>
        </is>
      </c>
      <c r="P123" s="36" t="inlineStr">
        <is>
          <t>PROGRAMAR LOTE</t>
        </is>
      </c>
    </row>
    <row r="124" ht="20" customHeight="1">
      <c r="A124" s="27" t="inlineStr">
        <is>
          <t>CPLUS0200</t>
        </is>
      </c>
      <c r="B124" s="28" t="inlineStr">
        <is>
          <t>CALCIPLUS, 200 L</t>
        </is>
      </c>
      <c r="C124" s="29" t="inlineStr">
        <is>
          <t>200</t>
        </is>
      </c>
      <c r="D124" s="29" t="inlineStr">
        <is>
          <t>Garrafas 20L</t>
        </is>
      </c>
      <c r="E124" s="29" t="inlineStr">
        <is>
          <t>Nacional</t>
        </is>
      </c>
      <c r="F124" s="30" t="n">
        <v>0</v>
      </c>
      <c r="G124" s="30" t="n">
        <v>0</v>
      </c>
      <c r="H124" s="30" t="n">
        <v>800</v>
      </c>
      <c r="I124" s="31">
        <f>G124+H124</f>
        <v/>
      </c>
      <c r="J124" s="32">
        <f>F124-I124</f>
        <v/>
      </c>
      <c r="K124" s="31" t="n">
        <v>800</v>
      </c>
      <c r="L124" s="33" t="n">
        <v>0</v>
      </c>
      <c r="M124" s="34" t="n">
        <v>800</v>
      </c>
      <c r="N124" s="35" t="n">
        <v>1</v>
      </c>
      <c r="O124" s="29" t="inlineStr">
        <is>
          <t>Nov 26</t>
        </is>
      </c>
      <c r="P124" s="36" t="inlineStr">
        <is>
          <t>PROGRAMAR LOTE</t>
        </is>
      </c>
    </row>
    <row r="125" ht="20" customHeight="1">
      <c r="A125" s="17" t="inlineStr">
        <is>
          <t>SPCE20005</t>
        </is>
      </c>
      <c r="B125" s="18" t="inlineStr">
        <is>
          <t>SPRINTENE ZNMN 5L</t>
        </is>
      </c>
      <c r="C125" s="19" t="inlineStr">
        <is>
          <t>5</t>
        </is>
      </c>
      <c r="D125" s="19" t="inlineStr">
        <is>
          <t>Garrafas 5L</t>
        </is>
      </c>
      <c r="E125" s="19" t="inlineStr">
        <is>
          <t>Exportación</t>
        </is>
      </c>
      <c r="F125" s="20" t="n">
        <v>0</v>
      </c>
      <c r="G125" s="20" t="n">
        <v>0</v>
      </c>
      <c r="H125" s="20" t="n">
        <v>800</v>
      </c>
      <c r="I125" s="21">
        <f>G125+H125</f>
        <v/>
      </c>
      <c r="J125" s="22">
        <f>F125-I125</f>
        <v/>
      </c>
      <c r="K125" s="21" t="n">
        <v>800</v>
      </c>
      <c r="L125" s="23" t="n">
        <v>0</v>
      </c>
      <c r="M125" s="24" t="n">
        <v>800</v>
      </c>
      <c r="N125" s="25" t="n">
        <v>1</v>
      </c>
      <c r="O125" s="19" t="inlineStr">
        <is>
          <t>Oct 26 (N)</t>
        </is>
      </c>
      <c r="P125" s="36" t="inlineStr">
        <is>
          <t>PROGRAMAR LOTE</t>
        </is>
      </c>
    </row>
    <row r="126" ht="20" customHeight="1">
      <c r="A126" s="27" t="inlineStr">
        <is>
          <t>B0001RORU</t>
        </is>
      </c>
      <c r="B126" s="28" t="inlineStr">
        <is>
          <t>BOROCAL</t>
        </is>
      </c>
      <c r="C126" s="29" t="inlineStr">
        <is>
          <t>1</t>
        </is>
      </c>
      <c r="D126" s="29" t="inlineStr">
        <is>
          <t>Botellas 1L</t>
        </is>
      </c>
      <c r="E126" s="29" t="inlineStr">
        <is>
          <t>Exportación</t>
        </is>
      </c>
      <c r="F126" s="30" t="n">
        <v>0</v>
      </c>
      <c r="G126" s="30" t="n">
        <v>0</v>
      </c>
      <c r="H126" s="30" t="n">
        <v>660</v>
      </c>
      <c r="I126" s="31">
        <f>G126+H126</f>
        <v/>
      </c>
      <c r="J126" s="32">
        <f>F126-I126</f>
        <v/>
      </c>
      <c r="K126" s="31" t="n">
        <v>660</v>
      </c>
      <c r="L126" s="33" t="n">
        <v>0</v>
      </c>
      <c r="M126" s="34" t="n">
        <v>660</v>
      </c>
      <c r="N126" s="35" t="n">
        <v>1</v>
      </c>
      <c r="O126" s="29" t="inlineStr">
        <is>
          <t>Nov 26</t>
        </is>
      </c>
      <c r="P126" s="36" t="inlineStr">
        <is>
          <t>PROGRAMAR LOTE</t>
        </is>
      </c>
    </row>
    <row r="127" ht="20" customHeight="1">
      <c r="A127" s="17" t="inlineStr">
        <is>
          <t>PML0001</t>
        </is>
      </c>
      <c r="B127" s="18" t="inlineStr">
        <is>
          <t>POLIGREEN MIX L</t>
        </is>
      </c>
      <c r="C127" s="19" t="inlineStr">
        <is>
          <t>1</t>
        </is>
      </c>
      <c r="D127" s="19" t="inlineStr">
        <is>
          <t>Botellas 1L</t>
        </is>
      </c>
      <c r="E127" s="19" t="inlineStr">
        <is>
          <t>Exportación</t>
        </is>
      </c>
      <c r="F127" s="20" t="n">
        <v>0</v>
      </c>
      <c r="G127" s="20" t="n">
        <v>0</v>
      </c>
      <c r="H127" s="20" t="n">
        <v>660</v>
      </c>
      <c r="I127" s="21">
        <f>G127+H127</f>
        <v/>
      </c>
      <c r="J127" s="22">
        <f>F127-I127</f>
        <v/>
      </c>
      <c r="K127" s="21" t="n">
        <v>660</v>
      </c>
      <c r="L127" s="23" t="n">
        <v>0</v>
      </c>
      <c r="M127" s="24" t="n">
        <v>660</v>
      </c>
      <c r="N127" s="25" t="n">
        <v>1</v>
      </c>
      <c r="O127" s="19" t="inlineStr">
        <is>
          <t>Nov 26</t>
        </is>
      </c>
      <c r="P127" s="36" t="inlineStr">
        <is>
          <t>PROGRAMAR LOTE</t>
        </is>
      </c>
    </row>
    <row r="128" ht="20" customHeight="1">
      <c r="A128" s="27" t="inlineStr">
        <is>
          <t>B0020RORU</t>
        </is>
      </c>
      <c r="B128" s="28" t="inlineStr">
        <is>
          <t>BOROCAL</t>
        </is>
      </c>
      <c r="C128" s="29" t="inlineStr">
        <is>
          <t>20</t>
        </is>
      </c>
      <c r="D128" s="29" t="inlineStr">
        <is>
          <t>Garrafas 20L</t>
        </is>
      </c>
      <c r="E128" s="29" t="inlineStr">
        <is>
          <t>Exportación</t>
        </is>
      </c>
      <c r="F128" s="30" t="n">
        <v>0</v>
      </c>
      <c r="G128" s="30" t="n">
        <v>0</v>
      </c>
      <c r="H128" s="30" t="n">
        <v>640</v>
      </c>
      <c r="I128" s="31">
        <f>G128+H128</f>
        <v/>
      </c>
      <c r="J128" s="32">
        <f>F128-I128</f>
        <v/>
      </c>
      <c r="K128" s="31" t="n">
        <v>640</v>
      </c>
      <c r="L128" s="33" t="n">
        <v>0</v>
      </c>
      <c r="M128" s="34" t="n">
        <v>640</v>
      </c>
      <c r="N128" s="35" t="n">
        <v>1</v>
      </c>
      <c r="O128" s="29" t="inlineStr">
        <is>
          <t>Nov 26</t>
        </is>
      </c>
      <c r="P128" s="36" t="inlineStr">
        <is>
          <t>PROGRAMAR LOTE</t>
        </is>
      </c>
    </row>
    <row r="129" ht="20" customHeight="1">
      <c r="A129" s="17" t="inlineStr">
        <is>
          <t>PK500020</t>
        </is>
      </c>
      <c r="B129" s="18" t="inlineStr">
        <is>
          <t>POLIFRUIT K50</t>
        </is>
      </c>
      <c r="C129" s="19" t="inlineStr">
        <is>
          <t>20</t>
        </is>
      </c>
      <c r="D129" s="19" t="inlineStr">
        <is>
          <t>Garrafas 20L</t>
        </is>
      </c>
      <c r="E129" s="19" t="inlineStr">
        <is>
          <t>Exportación</t>
        </is>
      </c>
      <c r="F129" s="20" t="n">
        <v>0</v>
      </c>
      <c r="G129" s="20" t="n">
        <v>0</v>
      </c>
      <c r="H129" s="20" t="n">
        <v>640</v>
      </c>
      <c r="I129" s="21">
        <f>G129+H129</f>
        <v/>
      </c>
      <c r="J129" s="22">
        <f>F129-I129</f>
        <v/>
      </c>
      <c r="K129" s="21" t="n">
        <v>640</v>
      </c>
      <c r="L129" s="23" t="n">
        <v>0</v>
      </c>
      <c r="M129" s="24" t="n">
        <v>640</v>
      </c>
      <c r="N129" s="25" t="n">
        <v>1</v>
      </c>
      <c r="O129" s="19" t="inlineStr">
        <is>
          <t>Nov 26</t>
        </is>
      </c>
      <c r="P129" s="36" t="inlineStr">
        <is>
          <t>PROGRAMAR LOTE</t>
        </is>
      </c>
    </row>
    <row r="130" ht="20" customHeight="1">
      <c r="A130" s="27" t="inlineStr">
        <is>
          <t>AGN0005</t>
        </is>
      </c>
      <c r="B130" s="28" t="inlineStr">
        <is>
          <t>AGROXILATO N, 5 L</t>
        </is>
      </c>
      <c r="C130" s="29" t="inlineStr">
        <is>
          <t>5</t>
        </is>
      </c>
      <c r="D130" s="29" t="inlineStr">
        <is>
          <t>Garrafas 5L</t>
        </is>
      </c>
      <c r="E130" s="29" t="inlineStr">
        <is>
          <t>Nacional+Export</t>
        </is>
      </c>
      <c r="F130" s="30" t="n">
        <v>0</v>
      </c>
      <c r="G130" s="30" t="n">
        <v>0</v>
      </c>
      <c r="H130" s="30" t="n">
        <v>600</v>
      </c>
      <c r="I130" s="31">
        <f>G130+H130</f>
        <v/>
      </c>
      <c r="J130" s="32">
        <f>F130-I130</f>
        <v/>
      </c>
      <c r="K130" s="31" t="n">
        <v>600</v>
      </c>
      <c r="L130" s="33" t="n">
        <v>0</v>
      </c>
      <c r="M130" s="34" t="n">
        <v>600</v>
      </c>
      <c r="N130" s="35" t="n">
        <v>1</v>
      </c>
      <c r="O130" s="29" t="inlineStr">
        <is>
          <t>Oct 26 (N)</t>
        </is>
      </c>
      <c r="P130" s="36" t="inlineStr">
        <is>
          <t>PROGRAMAR LOTE</t>
        </is>
      </c>
    </row>
    <row r="131" ht="20" customHeight="1">
      <c r="A131" s="17" t="inlineStr">
        <is>
          <t>FLORCR0005</t>
        </is>
      </c>
      <c r="B131" s="18" t="inlineStr">
        <is>
          <t>FLORAMEC</t>
        </is>
      </c>
      <c r="C131" s="19" t="inlineStr">
        <is>
          <t>5</t>
        </is>
      </c>
      <c r="D131" s="19" t="inlineStr">
        <is>
          <t>Garrafas 5L</t>
        </is>
      </c>
      <c r="E131" s="19" t="inlineStr">
        <is>
          <t>Exportación</t>
        </is>
      </c>
      <c r="F131" s="20" t="n">
        <v>0</v>
      </c>
      <c r="G131" s="20" t="n">
        <v>0</v>
      </c>
      <c r="H131" s="20" t="n">
        <v>600</v>
      </c>
      <c r="I131" s="21">
        <f>G131+H131</f>
        <v/>
      </c>
      <c r="J131" s="22">
        <f>F131-I131</f>
        <v/>
      </c>
      <c r="K131" s="21" t="n">
        <v>600</v>
      </c>
      <c r="L131" s="23" t="n">
        <v>0</v>
      </c>
      <c r="M131" s="24" t="n">
        <v>600</v>
      </c>
      <c r="N131" s="25" t="n">
        <v>1</v>
      </c>
      <c r="O131" s="19" t="inlineStr">
        <is>
          <t>Nov 26</t>
        </is>
      </c>
      <c r="P131" s="36" t="inlineStr">
        <is>
          <t>PROGRAMAR LOTE</t>
        </is>
      </c>
    </row>
    <row r="132" ht="20" customHeight="1">
      <c r="A132" s="27" t="inlineStr">
        <is>
          <t>C-MB0005</t>
        </is>
      </c>
      <c r="B132" s="28" t="inlineStr">
        <is>
          <t>CODIFOL-MB</t>
        </is>
      </c>
      <c r="C132" s="29" t="inlineStr">
        <is>
          <t>5</t>
        </is>
      </c>
      <c r="D132" s="29" t="inlineStr">
        <is>
          <t>Garrafas 5L</t>
        </is>
      </c>
      <c r="E132" s="29" t="inlineStr">
        <is>
          <t>Nacional+Export</t>
        </is>
      </c>
      <c r="F132" s="30" t="n">
        <v>1040</v>
      </c>
      <c r="G132" s="30" t="n">
        <v>0</v>
      </c>
      <c r="H132" s="30" t="n">
        <v>1600</v>
      </c>
      <c r="I132" s="31">
        <f>G132+H132</f>
        <v/>
      </c>
      <c r="J132" s="32">
        <f>F132-I132</f>
        <v/>
      </c>
      <c r="K132" s="31" t="n">
        <v>560</v>
      </c>
      <c r="L132" s="33" t="n">
        <v>0</v>
      </c>
      <c r="M132" s="34" t="n">
        <v>560</v>
      </c>
      <c r="N132" s="35" t="n">
        <v>1</v>
      </c>
      <c r="O132" s="29" t="inlineStr">
        <is>
          <t>Dic 26</t>
        </is>
      </c>
      <c r="P132" s="36" t="inlineStr">
        <is>
          <t>PROGRAMAR LOTE</t>
        </is>
      </c>
    </row>
    <row r="133" ht="20" customHeight="1">
      <c r="A133" s="17" t="inlineStr">
        <is>
          <t>AMIMG0020</t>
        </is>
      </c>
      <c r="B133" s="18" t="inlineStr">
        <is>
          <t>AMINOSOIL MG, 20 L</t>
        </is>
      </c>
      <c r="C133" s="19" t="inlineStr">
        <is>
          <t>20</t>
        </is>
      </c>
      <c r="D133" s="19" t="inlineStr">
        <is>
          <t>Garrafas 20L</t>
        </is>
      </c>
      <c r="E133" s="19" t="inlineStr">
        <is>
          <t>Nacional</t>
        </is>
      </c>
      <c r="F133" s="20" t="n">
        <v>400</v>
      </c>
      <c r="G133" s="20" t="n">
        <v>0</v>
      </c>
      <c r="H133" s="20" t="n">
        <v>940</v>
      </c>
      <c r="I133" s="21">
        <f>G133+H133</f>
        <v/>
      </c>
      <c r="J133" s="22">
        <f>F133-I133</f>
        <v/>
      </c>
      <c r="K133" s="21" t="n">
        <v>540</v>
      </c>
      <c r="L133" s="23" t="n">
        <v>0</v>
      </c>
      <c r="M133" s="24" t="n">
        <v>540</v>
      </c>
      <c r="N133" s="25" t="n">
        <v>1</v>
      </c>
      <c r="O133" s="19" t="inlineStr">
        <is>
          <t>Nov 26</t>
        </is>
      </c>
      <c r="P133" s="36" t="inlineStr">
        <is>
          <t>PROGRAMAR LOTE</t>
        </is>
      </c>
    </row>
    <row r="134" ht="20" customHeight="1">
      <c r="A134" s="27" t="inlineStr">
        <is>
          <t>SPCE20001</t>
        </is>
      </c>
      <c r="B134" s="28" t="inlineStr">
        <is>
          <t>SPRINTENE ZNMN 1L</t>
        </is>
      </c>
      <c r="C134" s="29" t="inlineStr">
        <is>
          <t>1</t>
        </is>
      </c>
      <c r="D134" s="29" t="inlineStr">
        <is>
          <t>Botellas 1L</t>
        </is>
      </c>
      <c r="E134" s="29" t="inlineStr">
        <is>
          <t>Exportación</t>
        </is>
      </c>
      <c r="F134" s="30" t="n">
        <v>0</v>
      </c>
      <c r="G134" s="30" t="n">
        <v>0</v>
      </c>
      <c r="H134" s="30" t="n">
        <v>500</v>
      </c>
      <c r="I134" s="31">
        <f>G134+H134</f>
        <v/>
      </c>
      <c r="J134" s="32">
        <f>F134-I134</f>
        <v/>
      </c>
      <c r="K134" s="31" t="n">
        <v>500</v>
      </c>
      <c r="L134" s="33" t="n">
        <v>0</v>
      </c>
      <c r="M134" s="34" t="n">
        <v>500</v>
      </c>
      <c r="N134" s="35" t="n">
        <v>1</v>
      </c>
      <c r="O134" s="29" t="inlineStr">
        <is>
          <t>Nov 26</t>
        </is>
      </c>
      <c r="P134" s="36" t="inlineStr">
        <is>
          <t>PROGRAMAR LOTE</t>
        </is>
      </c>
    </row>
    <row r="135" ht="20" customHeight="1">
      <c r="A135" s="17" t="inlineStr">
        <is>
          <t>TRI0005</t>
        </is>
      </c>
      <c r="B135" s="18" t="inlineStr">
        <is>
          <t>TRIFENO-94, 5L</t>
        </is>
      </c>
      <c r="C135" s="19" t="inlineStr">
        <is>
          <t>5</t>
        </is>
      </c>
      <c r="D135" s="19" t="inlineStr">
        <is>
          <t>Garrafas 5L</t>
        </is>
      </c>
      <c r="E135" s="19" t="inlineStr">
        <is>
          <t>Nacional</t>
        </is>
      </c>
      <c r="F135" s="20" t="n">
        <v>900</v>
      </c>
      <c r="G135" s="21" t="n">
        <v>20</v>
      </c>
      <c r="H135" s="20" t="n">
        <v>1320</v>
      </c>
      <c r="I135" s="21">
        <f>G135+H135</f>
        <v/>
      </c>
      <c r="J135" s="22">
        <f>F135-I135</f>
        <v/>
      </c>
      <c r="K135" s="21" t="n">
        <v>440</v>
      </c>
      <c r="L135" s="23" t="n">
        <v>0</v>
      </c>
      <c r="M135" s="24" t="n">
        <v>440</v>
      </c>
      <c r="N135" s="25" t="n">
        <v>1</v>
      </c>
      <c r="O135" s="19" t="inlineStr">
        <is>
          <t>Dic 26</t>
        </is>
      </c>
      <c r="P135" s="36" t="inlineStr">
        <is>
          <t>PROGRAMAR LOTE</t>
        </is>
      </c>
    </row>
    <row r="136" ht="20" customHeight="1">
      <c r="A136" s="27" t="inlineStr">
        <is>
          <t>ANAE0005</t>
        </is>
      </c>
      <c r="B136" s="28" t="inlineStr">
        <is>
          <t>ALCAPLANT NEW AE, 5 KG</t>
        </is>
      </c>
      <c r="C136" s="29" t="inlineStr">
        <is>
          <t>5</t>
        </is>
      </c>
      <c r="D136" s="29" t="inlineStr">
        <is>
          <t>Garrafas 5L</t>
        </is>
      </c>
      <c r="E136" s="29" t="inlineStr">
        <is>
          <t>Nacional</t>
        </is>
      </c>
      <c r="F136" s="30" t="n">
        <v>12840</v>
      </c>
      <c r="G136" s="31" t="n">
        <v>2200</v>
      </c>
      <c r="H136" s="30" t="n">
        <v>11050</v>
      </c>
      <c r="I136" s="31">
        <f>G136+H136</f>
        <v/>
      </c>
      <c r="J136" s="32">
        <f>F136-I136</f>
        <v/>
      </c>
      <c r="K136" s="31" t="n">
        <v>410</v>
      </c>
      <c r="L136" s="33" t="n">
        <v>0</v>
      </c>
      <c r="M136" s="34" t="n">
        <v>410</v>
      </c>
      <c r="N136" s="35" t="n">
        <v>1</v>
      </c>
      <c r="O136" s="29" t="inlineStr">
        <is>
          <t>Nov 26</t>
        </is>
      </c>
      <c r="P136" s="36" t="inlineStr">
        <is>
          <t>PROGRAMAR LOTE</t>
        </is>
      </c>
    </row>
    <row r="137" ht="20" customHeight="1">
      <c r="A137" s="17" t="inlineStr">
        <is>
          <t>PT0200</t>
        </is>
      </c>
      <c r="B137" s="18" t="inlineStr">
        <is>
          <t>AGROPOTASION, 200 L</t>
        </is>
      </c>
      <c r="C137" s="19" t="inlineStr">
        <is>
          <t>200</t>
        </is>
      </c>
      <c r="D137" s="19" t="inlineStr">
        <is>
          <t>Garrafas 20L</t>
        </is>
      </c>
      <c r="E137" s="19" t="inlineStr">
        <is>
          <t>Nacional+Export</t>
        </is>
      </c>
      <c r="F137" s="20" t="n">
        <v>0</v>
      </c>
      <c r="G137" s="20" t="n">
        <v>0</v>
      </c>
      <c r="H137" s="20" t="n">
        <v>400</v>
      </c>
      <c r="I137" s="21">
        <f>G137+H137</f>
        <v/>
      </c>
      <c r="J137" s="22">
        <f>F137-I137</f>
        <v/>
      </c>
      <c r="K137" s="21" t="n">
        <v>400</v>
      </c>
      <c r="L137" s="23" t="n">
        <v>0</v>
      </c>
      <c r="M137" s="24" t="n">
        <v>400</v>
      </c>
      <c r="N137" s="25" t="n">
        <v>1</v>
      </c>
      <c r="O137" s="19" t="inlineStr">
        <is>
          <t>Oct 26 (N)</t>
        </is>
      </c>
      <c r="P137" s="36" t="inlineStr">
        <is>
          <t>PROGRAMAR LOTE</t>
        </is>
      </c>
    </row>
    <row r="138" ht="20" customHeight="1">
      <c r="A138" s="27" t="inlineStr">
        <is>
          <t>AVAN0200</t>
        </is>
      </c>
      <c r="B138" s="28" t="inlineStr">
        <is>
          <t>FLORAMEC AVANCE, 200 L</t>
        </is>
      </c>
      <c r="C138" s="29" t="inlineStr">
        <is>
          <t>200</t>
        </is>
      </c>
      <c r="D138" s="29" t="inlineStr">
        <is>
          <t>Garrafas 20L</t>
        </is>
      </c>
      <c r="E138" s="29" t="inlineStr">
        <is>
          <t>Nacional+Export</t>
        </is>
      </c>
      <c r="F138" s="30" t="n">
        <v>0</v>
      </c>
      <c r="G138" s="30" t="n">
        <v>0</v>
      </c>
      <c r="H138" s="30" t="n">
        <v>400</v>
      </c>
      <c r="I138" s="31">
        <f>G138+H138</f>
        <v/>
      </c>
      <c r="J138" s="32">
        <f>F138-I138</f>
        <v/>
      </c>
      <c r="K138" s="31" t="n">
        <v>400</v>
      </c>
      <c r="L138" s="33" t="n">
        <v>0</v>
      </c>
      <c r="M138" s="34" t="n">
        <v>400</v>
      </c>
      <c r="N138" s="35" t="n">
        <v>1</v>
      </c>
      <c r="O138" s="29" t="inlineStr">
        <is>
          <t>Nov 26</t>
        </is>
      </c>
      <c r="P138" s="36" t="inlineStr">
        <is>
          <t>PROGRAMAR LOTE</t>
        </is>
      </c>
    </row>
    <row r="139" ht="20" customHeight="1">
      <c r="A139" s="17" t="inlineStr">
        <is>
          <t>AGXKAE0001</t>
        </is>
      </c>
      <c r="B139" s="18" t="inlineStr">
        <is>
          <t>BIOCULTURE POTASIO</t>
        </is>
      </c>
      <c r="C139" s="19" t="inlineStr">
        <is>
          <t>1</t>
        </is>
      </c>
      <c r="D139" s="19" t="inlineStr">
        <is>
          <t>Botellas 1L</t>
        </is>
      </c>
      <c r="E139" s="19" t="inlineStr">
        <is>
          <t>Exportación</t>
        </is>
      </c>
      <c r="F139" s="20" t="n">
        <v>0</v>
      </c>
      <c r="G139" s="20" t="n">
        <v>0</v>
      </c>
      <c r="H139" s="20" t="n">
        <v>396</v>
      </c>
      <c r="I139" s="21">
        <f>G139+H139</f>
        <v/>
      </c>
      <c r="J139" s="22">
        <f>F139-I139</f>
        <v/>
      </c>
      <c r="K139" s="21" t="n">
        <v>396</v>
      </c>
      <c r="L139" s="23" t="n">
        <v>0</v>
      </c>
      <c r="M139" s="24" t="n">
        <v>396</v>
      </c>
      <c r="N139" s="25" t="n">
        <v>1</v>
      </c>
      <c r="O139" s="19" t="inlineStr">
        <is>
          <t>Oct 26 (N)</t>
        </is>
      </c>
      <c r="P139" s="36" t="inlineStr">
        <is>
          <t>PROGRAMAR LOTE</t>
        </is>
      </c>
    </row>
    <row r="140" ht="20" customHeight="1">
      <c r="A140" s="27" t="inlineStr">
        <is>
          <t>C-CU0005</t>
        </is>
      </c>
      <c r="B140" s="28" t="inlineStr">
        <is>
          <t>CODICOBRE, 5 L</t>
        </is>
      </c>
      <c r="C140" s="29" t="inlineStr">
        <is>
          <t>5</t>
        </is>
      </c>
      <c r="D140" s="29" t="inlineStr">
        <is>
          <t>Garrafas 5L</t>
        </is>
      </c>
      <c r="E140" s="29" t="inlineStr">
        <is>
          <t>Nacional+Export</t>
        </is>
      </c>
      <c r="F140" s="30" t="n">
        <v>1840</v>
      </c>
      <c r="G140" s="30" t="n">
        <v>0</v>
      </c>
      <c r="H140" s="30" t="n">
        <v>2200</v>
      </c>
      <c r="I140" s="31">
        <f>G140+H140</f>
        <v/>
      </c>
      <c r="J140" s="32">
        <f>F140-I140</f>
        <v/>
      </c>
      <c r="K140" s="31" t="n">
        <v>360</v>
      </c>
      <c r="L140" s="33" t="n">
        <v>0</v>
      </c>
      <c r="M140" s="34" t="n">
        <v>360</v>
      </c>
      <c r="N140" s="35" t="n">
        <v>1</v>
      </c>
      <c r="O140" s="29" t="inlineStr">
        <is>
          <t>Dic 26</t>
        </is>
      </c>
      <c r="P140" s="36" t="inlineStr">
        <is>
          <t>PROGRAMAR LOTE</t>
        </is>
      </c>
    </row>
    <row r="141" ht="20" customHeight="1">
      <c r="A141" s="17" t="inlineStr">
        <is>
          <t>PK500001</t>
        </is>
      </c>
      <c r="B141" s="18" t="inlineStr">
        <is>
          <t>POLIFRUIT K50</t>
        </is>
      </c>
      <c r="C141" s="19" t="inlineStr">
        <is>
          <t>1</t>
        </is>
      </c>
      <c r="D141" s="19" t="inlineStr">
        <is>
          <t>Botellas 1L</t>
        </is>
      </c>
      <c r="E141" s="19" t="inlineStr">
        <is>
          <t>Exportación</t>
        </is>
      </c>
      <c r="F141" s="20" t="n">
        <v>0</v>
      </c>
      <c r="G141" s="20" t="n">
        <v>0</v>
      </c>
      <c r="H141" s="20" t="n">
        <v>300</v>
      </c>
      <c r="I141" s="21">
        <f>G141+H141</f>
        <v/>
      </c>
      <c r="J141" s="22">
        <f>F141-I141</f>
        <v/>
      </c>
      <c r="K141" s="21" t="n">
        <v>300</v>
      </c>
      <c r="L141" s="23" t="n">
        <v>0</v>
      </c>
      <c r="M141" s="24" t="n">
        <v>300</v>
      </c>
      <c r="N141" s="25" t="n">
        <v>1</v>
      </c>
      <c r="O141" s="19" t="inlineStr">
        <is>
          <t>Nov 26</t>
        </is>
      </c>
      <c r="P141" s="36" t="inlineStr">
        <is>
          <t>PROGRAMAR LOTE</t>
        </is>
      </c>
    </row>
    <row r="142" ht="20" customHeight="1">
      <c r="A142" s="27" t="inlineStr">
        <is>
          <t>AGXKC0020</t>
        </is>
      </c>
      <c r="B142" s="28" t="inlineStr">
        <is>
          <t>AGROXILATO-COMPLET, 20 L</t>
        </is>
      </c>
      <c r="C142" s="29" t="inlineStr">
        <is>
          <t>20</t>
        </is>
      </c>
      <c r="D142" s="29" t="inlineStr">
        <is>
          <t>Garrafas 20L</t>
        </is>
      </c>
      <c r="E142" s="29" t="inlineStr">
        <is>
          <t>Nacional</t>
        </is>
      </c>
      <c r="F142" s="30" t="n">
        <v>1020</v>
      </c>
      <c r="G142" s="30" t="n">
        <v>0</v>
      </c>
      <c r="H142" s="30" t="n">
        <v>1280</v>
      </c>
      <c r="I142" s="31">
        <f>G142+H142</f>
        <v/>
      </c>
      <c r="J142" s="32">
        <f>F142-I142</f>
        <v/>
      </c>
      <c r="K142" s="31" t="n">
        <v>260</v>
      </c>
      <c r="L142" s="33" t="n">
        <v>0</v>
      </c>
      <c r="M142" s="34" t="n">
        <v>260</v>
      </c>
      <c r="N142" s="35" t="n">
        <v>1</v>
      </c>
      <c r="O142" s="29" t="inlineStr">
        <is>
          <t>Nov 26</t>
        </is>
      </c>
      <c r="P142" s="36" t="inlineStr">
        <is>
          <t>PROGRAMAR LOTE</t>
        </is>
      </c>
    </row>
    <row r="143" ht="20" customHeight="1">
      <c r="A143" s="17" t="inlineStr">
        <is>
          <t>G30001</t>
        </is>
      </c>
      <c r="B143" s="18" t="inlineStr">
        <is>
          <t>GREEN-UP, 1 L</t>
        </is>
      </c>
      <c r="C143" s="19" t="inlineStr">
        <is>
          <t>1</t>
        </is>
      </c>
      <c r="D143" s="19" t="inlineStr">
        <is>
          <t>Botellas 1L</t>
        </is>
      </c>
      <c r="E143" s="19" t="inlineStr">
        <is>
          <t>Nacional+Export</t>
        </is>
      </c>
      <c r="F143" s="20" t="n">
        <v>0</v>
      </c>
      <c r="G143" s="21" t="n">
        <v>240</v>
      </c>
      <c r="H143" s="20" t="n">
        <v>0</v>
      </c>
      <c r="I143" s="21">
        <f>G143+H143</f>
        <v/>
      </c>
      <c r="J143" s="22">
        <f>F143-I143</f>
        <v/>
      </c>
      <c r="K143" s="21" t="n">
        <v>240</v>
      </c>
      <c r="L143" s="23" t="n">
        <v>0</v>
      </c>
      <c r="M143" s="24" t="n">
        <v>240</v>
      </c>
      <c r="N143" s="25" t="n">
        <v>1</v>
      </c>
      <c r="O143" s="17" t="inlineStr">
        <is>
          <t>Inmediato (Cartera)</t>
        </is>
      </c>
      <c r="P143" s="36" t="inlineStr">
        <is>
          <t>PROGRAMAR LOTE</t>
        </is>
      </c>
    </row>
    <row r="144" ht="20" customHeight="1">
      <c r="A144" s="27" t="inlineStr">
        <is>
          <t>AQUOM0020</t>
        </is>
      </c>
      <c r="B144" s="28" t="inlineStr">
        <is>
          <t>AQUOM, 20 L</t>
        </is>
      </c>
      <c r="C144" s="29" t="inlineStr">
        <is>
          <t>20</t>
        </is>
      </c>
      <c r="D144" s="29" t="inlineStr">
        <is>
          <t>Garrafas 20L</t>
        </is>
      </c>
      <c r="E144" s="29" t="inlineStr">
        <is>
          <t>Nacional</t>
        </is>
      </c>
      <c r="F144" s="30" t="n">
        <v>0</v>
      </c>
      <c r="G144" s="30" t="n">
        <v>0</v>
      </c>
      <c r="H144" s="30" t="n">
        <v>200</v>
      </c>
      <c r="I144" s="31">
        <f>G144+H144</f>
        <v/>
      </c>
      <c r="J144" s="32">
        <f>F144-I144</f>
        <v/>
      </c>
      <c r="K144" s="31" t="n">
        <v>200</v>
      </c>
      <c r="L144" s="33" t="n">
        <v>0</v>
      </c>
      <c r="M144" s="34" t="n">
        <v>200</v>
      </c>
      <c r="N144" s="35" t="n">
        <v>1</v>
      </c>
      <c r="O144" s="29" t="inlineStr">
        <is>
          <t>Oct 26 (N)</t>
        </is>
      </c>
      <c r="P144" s="36" t="inlineStr">
        <is>
          <t>PROGRAMAR LOTE</t>
        </is>
      </c>
    </row>
    <row r="145" ht="20" customHeight="1">
      <c r="A145" s="17" t="inlineStr">
        <is>
          <t>FLOR0200</t>
        </is>
      </c>
      <c r="B145" s="18" t="inlineStr">
        <is>
          <t>FLORAMEC, 200 L</t>
        </is>
      </c>
      <c r="C145" s="19" t="inlineStr">
        <is>
          <t>200</t>
        </is>
      </c>
      <c r="D145" s="19" t="inlineStr">
        <is>
          <t>Garrafas 20L</t>
        </is>
      </c>
      <c r="E145" s="19" t="inlineStr">
        <is>
          <t>Nacional</t>
        </is>
      </c>
      <c r="F145" s="20" t="n">
        <v>0</v>
      </c>
      <c r="G145" s="20" t="n">
        <v>0</v>
      </c>
      <c r="H145" s="20" t="n">
        <v>200</v>
      </c>
      <c r="I145" s="21">
        <f>G145+H145</f>
        <v/>
      </c>
      <c r="J145" s="22">
        <f>F145-I145</f>
        <v/>
      </c>
      <c r="K145" s="21" t="n">
        <v>200</v>
      </c>
      <c r="L145" s="23" t="n">
        <v>0</v>
      </c>
      <c r="M145" s="24" t="n">
        <v>200</v>
      </c>
      <c r="N145" s="25" t="n">
        <v>1</v>
      </c>
      <c r="O145" s="19" t="inlineStr">
        <is>
          <t>Oct 26 (N)</t>
        </is>
      </c>
      <c r="P145" s="36" t="inlineStr">
        <is>
          <t>PROGRAMAR LOTE</t>
        </is>
      </c>
    </row>
    <row r="146" ht="20" customHeight="1">
      <c r="A146" s="27" t="inlineStr">
        <is>
          <t>C-CUAE0005</t>
        </is>
      </c>
      <c r="B146" s="28" t="inlineStr">
        <is>
          <t>CUPRAMEC, 5 L</t>
        </is>
      </c>
      <c r="C146" s="29" t="inlineStr">
        <is>
          <t>5</t>
        </is>
      </c>
      <c r="D146" s="29" t="inlineStr">
        <is>
          <t>Garrafas 5L</t>
        </is>
      </c>
      <c r="E146" s="29" t="inlineStr">
        <is>
          <t>Nacional+Export</t>
        </is>
      </c>
      <c r="F146" s="30" t="n">
        <v>1340</v>
      </c>
      <c r="G146" s="30" t="n">
        <v>0</v>
      </c>
      <c r="H146" s="30" t="n">
        <v>1500</v>
      </c>
      <c r="I146" s="31">
        <f>G146+H146</f>
        <v/>
      </c>
      <c r="J146" s="32">
        <f>F146-I146</f>
        <v/>
      </c>
      <c r="K146" s="31" t="n">
        <v>160</v>
      </c>
      <c r="L146" s="33" t="n">
        <v>0</v>
      </c>
      <c r="M146" s="34" t="n">
        <v>160</v>
      </c>
      <c r="N146" s="35" t="n">
        <v>1</v>
      </c>
      <c r="O146" s="29" t="inlineStr">
        <is>
          <t>Dic 26</t>
        </is>
      </c>
      <c r="P146" s="36" t="inlineStr">
        <is>
          <t>PROGRAMAR LOTE</t>
        </is>
      </c>
    </row>
    <row r="147" ht="20" customHeight="1">
      <c r="A147" s="17" t="inlineStr">
        <is>
          <t>HST0005</t>
        </is>
      </c>
      <c r="B147" s="18" t="inlineStr">
        <is>
          <t>HIDROSTRESS-40, 5 L</t>
        </is>
      </c>
      <c r="C147" s="19" t="inlineStr">
        <is>
          <t>5</t>
        </is>
      </c>
      <c r="D147" s="19" t="inlineStr">
        <is>
          <t>Garrafas 5L</t>
        </is>
      </c>
      <c r="E147" s="19" t="inlineStr">
        <is>
          <t>Nacional+Export</t>
        </is>
      </c>
      <c r="F147" s="20" t="n">
        <v>180</v>
      </c>
      <c r="G147" s="20" t="n">
        <v>0</v>
      </c>
      <c r="H147" s="20" t="n">
        <v>220</v>
      </c>
      <c r="I147" s="21">
        <f>G147+H147</f>
        <v/>
      </c>
      <c r="J147" s="22">
        <f>F147-I147</f>
        <v/>
      </c>
      <c r="K147" s="21" t="n">
        <v>40</v>
      </c>
      <c r="L147" s="23" t="n">
        <v>0</v>
      </c>
      <c r="M147" s="24" t="n">
        <v>40</v>
      </c>
      <c r="N147" s="25" t="n">
        <v>1</v>
      </c>
      <c r="O147" s="19" t="inlineStr">
        <is>
          <t>Dic 26</t>
        </is>
      </c>
      <c r="P147" s="36" t="inlineStr">
        <is>
          <t>PROGRAMAR LOTE</t>
        </is>
      </c>
    </row>
    <row r="148" ht="20" customHeight="1">
      <c r="A148" s="27" t="inlineStr">
        <is>
          <t>PT0005</t>
        </is>
      </c>
      <c r="B148" s="28" t="inlineStr">
        <is>
          <t>AGROPOTASION, 5 L</t>
        </is>
      </c>
      <c r="C148" s="29" t="inlineStr">
        <is>
          <t>5</t>
        </is>
      </c>
      <c r="D148" s="29" t="inlineStr">
        <is>
          <t>Garrafas 5L</t>
        </is>
      </c>
      <c r="E148" s="29" t="inlineStr">
        <is>
          <t>Nacional+Export</t>
        </is>
      </c>
      <c r="F148" s="30" t="n">
        <v>1680</v>
      </c>
      <c r="G148" s="30" t="n">
        <v>0</v>
      </c>
      <c r="H148" s="30" t="n">
        <v>1700</v>
      </c>
      <c r="I148" s="31">
        <f>G148+H148</f>
        <v/>
      </c>
      <c r="J148" s="32">
        <f>F148-I148</f>
        <v/>
      </c>
      <c r="K148" s="31" t="n">
        <v>20</v>
      </c>
      <c r="L148" s="33" t="n">
        <v>0</v>
      </c>
      <c r="M148" s="34" t="n">
        <v>20</v>
      </c>
      <c r="N148" s="35" t="n">
        <v>1</v>
      </c>
      <c r="O148" s="29" t="inlineStr">
        <is>
          <t>Dic 26</t>
        </is>
      </c>
      <c r="P148" s="36" t="inlineStr">
        <is>
          <t>PROGRAMAR LOTE</t>
        </is>
      </c>
    </row>
    <row r="149" ht="20" customHeight="1">
      <c r="A149" s="17" t="inlineStr">
        <is>
          <t>B0001</t>
        </is>
      </c>
      <c r="B149" s="18" t="inlineStr">
        <is>
          <t>BOROCAL,1 L</t>
        </is>
      </c>
      <c r="C149" s="19" t="inlineStr">
        <is>
          <t>1</t>
        </is>
      </c>
      <c r="D149" s="19" t="inlineStr">
        <is>
          <t>Botellas 1L</t>
        </is>
      </c>
      <c r="E149" s="19" t="inlineStr">
        <is>
          <t>Nacional</t>
        </is>
      </c>
      <c r="F149" s="20" t="n">
        <v>48</v>
      </c>
      <c r="G149" s="20" t="n">
        <v>0</v>
      </c>
      <c r="H149" s="20" t="n">
        <v>60</v>
      </c>
      <c r="I149" s="21">
        <f>G149+H149</f>
        <v/>
      </c>
      <c r="J149" s="22">
        <f>F149-I149</f>
        <v/>
      </c>
      <c r="K149" s="21" t="n">
        <v>12</v>
      </c>
      <c r="L149" s="23" t="n">
        <v>0</v>
      </c>
      <c r="M149" s="24" t="n">
        <v>12</v>
      </c>
      <c r="N149" s="25" t="n">
        <v>1</v>
      </c>
      <c r="O149" s="19" t="inlineStr">
        <is>
          <t>Dic 26</t>
        </is>
      </c>
      <c r="P149" s="36" t="inlineStr">
        <is>
          <t>PROGRAMAR LOTE</t>
        </is>
      </c>
    </row>
    <row r="150" ht="20" customHeight="1">
      <c r="A150" s="27" t="inlineStr">
        <is>
          <t>FU0020</t>
        </is>
      </c>
      <c r="B150" s="28" t="inlineStr">
        <is>
          <t>FULVIGIN, 20 L</t>
        </is>
      </c>
      <c r="C150" s="29" t="inlineStr">
        <is>
          <t>20</t>
        </is>
      </c>
      <c r="D150" s="29" t="inlineStr">
        <is>
          <t>Garrafas 20L</t>
        </is>
      </c>
      <c r="E150" s="29" t="inlineStr">
        <is>
          <t>Nacional+Export</t>
        </is>
      </c>
      <c r="F150" s="30" t="n">
        <v>900</v>
      </c>
      <c r="G150" s="30" t="n">
        <v>0</v>
      </c>
      <c r="H150" s="30" t="n">
        <v>0</v>
      </c>
      <c r="I150" s="31">
        <f>G150+H150</f>
        <v/>
      </c>
      <c r="J150" s="32">
        <f>F150-I150</f>
        <v/>
      </c>
      <c r="K150" s="30" t="n">
        <v>0</v>
      </c>
      <c r="L150" s="33" t="n">
        <v>0</v>
      </c>
      <c r="M150" s="37" t="n">
        <v>0</v>
      </c>
      <c r="N150" s="35" t="n">
        <v>1</v>
      </c>
      <c r="O150" s="29" t="inlineStr">
        <is>
          <t>Feb 27</t>
        </is>
      </c>
      <c r="P150" s="38" t="inlineStr">
        <is>
          <t>CUBIERTO</t>
        </is>
      </c>
    </row>
    <row r="151" ht="20" customHeight="1">
      <c r="A151" s="17" t="inlineStr">
        <is>
          <t>BR-590005</t>
        </is>
      </c>
      <c r="B151" s="18" t="inlineStr">
        <is>
          <t>BR-59, 5 KG</t>
        </is>
      </c>
      <c r="C151" s="19" t="inlineStr">
        <is>
          <t>5</t>
        </is>
      </c>
      <c r="D151" s="19" t="inlineStr">
        <is>
          <t>Garrafas 5L</t>
        </is>
      </c>
      <c r="E151" s="19" t="inlineStr">
        <is>
          <t>Nacional+Export</t>
        </is>
      </c>
      <c r="F151" s="20" t="n">
        <v>3580</v>
      </c>
      <c r="G151" s="20" t="n">
        <v>0</v>
      </c>
      <c r="H151" s="20" t="n">
        <v>300</v>
      </c>
      <c r="I151" s="21">
        <f>G151+H151</f>
        <v/>
      </c>
      <c r="J151" s="22">
        <f>F151-I151</f>
        <v/>
      </c>
      <c r="K151" s="20" t="n">
        <v>0</v>
      </c>
      <c r="L151" s="23" t="n">
        <v>0</v>
      </c>
      <c r="M151" s="39" t="n">
        <v>0</v>
      </c>
      <c r="N151" s="25" t="n">
        <v>11.93333333333333</v>
      </c>
      <c r="O151" s="19" t="inlineStr">
        <is>
          <t>May 27</t>
        </is>
      </c>
      <c r="P151" s="38" t="inlineStr">
        <is>
          <t>CUBIERTO</t>
        </is>
      </c>
    </row>
    <row r="152" ht="20" customHeight="1">
      <c r="A152" s="27" t="inlineStr">
        <is>
          <t>START20005</t>
        </is>
      </c>
      <c r="B152" s="28" t="inlineStr">
        <is>
          <t>RADISOL STARTER, 5 L</t>
        </is>
      </c>
      <c r="C152" s="29" t="inlineStr">
        <is>
          <t>5</t>
        </is>
      </c>
      <c r="D152" s="29" t="inlineStr">
        <is>
          <t>Garrafas 5L</t>
        </is>
      </c>
      <c r="E152" s="29" t="inlineStr">
        <is>
          <t>Nacional</t>
        </is>
      </c>
      <c r="F152" s="30" t="n">
        <v>0</v>
      </c>
      <c r="G152" s="30" t="n">
        <v>0</v>
      </c>
      <c r="H152" s="30" t="n">
        <v>0</v>
      </c>
      <c r="I152" s="31">
        <f>G152+H152</f>
        <v/>
      </c>
      <c r="J152" s="32">
        <f>F152-I152</f>
        <v/>
      </c>
      <c r="K152" s="30" t="n">
        <v>0</v>
      </c>
      <c r="L152" s="33" t="n">
        <v>0</v>
      </c>
      <c r="M152" s="37" t="n">
        <v>0</v>
      </c>
      <c r="N152" s="35" t="n">
        <v>1</v>
      </c>
      <c r="O152" s="29" t="inlineStr">
        <is>
          <t>Feb 27</t>
        </is>
      </c>
      <c r="P152" s="38" t="inlineStr">
        <is>
          <t>CUBIERTO</t>
        </is>
      </c>
    </row>
    <row r="153" ht="20" customHeight="1">
      <c r="A153" s="17" t="inlineStr">
        <is>
          <t>AGFEL0001</t>
        </is>
      </c>
      <c r="B153" s="18" t="inlineStr">
        <is>
          <t>AGROXILATO-FE-L, 1 L</t>
        </is>
      </c>
      <c r="C153" s="19" t="inlineStr">
        <is>
          <t>1</t>
        </is>
      </c>
      <c r="D153" s="19" t="inlineStr">
        <is>
          <t>Botellas 1L</t>
        </is>
      </c>
      <c r="E153" s="19" t="inlineStr">
        <is>
          <t>Nacional+Export</t>
        </is>
      </c>
      <c r="F153" s="20" t="n">
        <v>732</v>
      </c>
      <c r="G153" s="20" t="n">
        <v>0</v>
      </c>
      <c r="H153" s="20" t="n">
        <v>0</v>
      </c>
      <c r="I153" s="21">
        <f>G153+H153</f>
        <v/>
      </c>
      <c r="J153" s="22">
        <f>F153-I153</f>
        <v/>
      </c>
      <c r="K153" s="20" t="n">
        <v>0</v>
      </c>
      <c r="L153" s="23" t="n">
        <v>0</v>
      </c>
      <c r="M153" s="39" t="n">
        <v>0</v>
      </c>
      <c r="N153" s="25" t="n">
        <v>1</v>
      </c>
      <c r="O153" s="19" t="inlineStr">
        <is>
          <t>Jul 27</t>
        </is>
      </c>
      <c r="P153" s="38" t="inlineStr">
        <is>
          <t>CUBIERTO</t>
        </is>
      </c>
    </row>
    <row r="154" ht="20" customHeight="1">
      <c r="A154" s="27" t="inlineStr">
        <is>
          <t>AGFEL0005</t>
        </is>
      </c>
      <c r="B154" s="28" t="inlineStr">
        <is>
          <t>AGROXILATO-FE-L, 5 L</t>
        </is>
      </c>
      <c r="C154" s="29" t="inlineStr">
        <is>
          <t>5</t>
        </is>
      </c>
      <c r="D154" s="29" t="inlineStr">
        <is>
          <t>Garrafas 5L</t>
        </is>
      </c>
      <c r="E154" s="29" t="inlineStr">
        <is>
          <t>Nacional</t>
        </is>
      </c>
      <c r="F154" s="30" t="n">
        <v>2125</v>
      </c>
      <c r="G154" s="30" t="n">
        <v>0</v>
      </c>
      <c r="H154" s="30" t="n">
        <v>0</v>
      </c>
      <c r="I154" s="31">
        <f>G154+H154</f>
        <v/>
      </c>
      <c r="J154" s="32">
        <f>F154-I154</f>
        <v/>
      </c>
      <c r="K154" s="30" t="n">
        <v>0</v>
      </c>
      <c r="L154" s="33" t="n">
        <v>0</v>
      </c>
      <c r="M154" s="37" t="n">
        <v>0</v>
      </c>
      <c r="N154" s="35" t="n">
        <v>1</v>
      </c>
      <c r="O154" s="29" t="inlineStr">
        <is>
          <t>Cubierto &gt;15 meses</t>
        </is>
      </c>
      <c r="P154" s="38" t="inlineStr">
        <is>
          <t>CUBIERTO</t>
        </is>
      </c>
    </row>
    <row r="155" ht="20" customHeight="1">
      <c r="A155" s="17" t="inlineStr">
        <is>
          <t>AGRMG0005</t>
        </is>
      </c>
      <c r="B155" s="18" t="inlineStr">
        <is>
          <t>AGROXIGREEN-MG, 5 L</t>
        </is>
      </c>
      <c r="C155" s="19" t="inlineStr">
        <is>
          <t>5</t>
        </is>
      </c>
      <c r="D155" s="19" t="inlineStr">
        <is>
          <t>Garrafas 5L</t>
        </is>
      </c>
      <c r="E155" s="19" t="inlineStr">
        <is>
          <t>Nacional+Export</t>
        </is>
      </c>
      <c r="F155" s="20" t="n">
        <v>775</v>
      </c>
      <c r="G155" s="20" t="n">
        <v>0</v>
      </c>
      <c r="H155" s="20" t="n">
        <v>0</v>
      </c>
      <c r="I155" s="21">
        <f>G155+H155</f>
        <v/>
      </c>
      <c r="J155" s="22">
        <f>F155-I155</f>
        <v/>
      </c>
      <c r="K155" s="20" t="n">
        <v>0</v>
      </c>
      <c r="L155" s="23" t="n">
        <v>0</v>
      </c>
      <c r="M155" s="39" t="n">
        <v>0</v>
      </c>
      <c r="N155" s="25" t="n">
        <v>1</v>
      </c>
      <c r="O155" s="19" t="inlineStr">
        <is>
          <t>Abr 27</t>
        </is>
      </c>
      <c r="P155" s="38" t="inlineStr">
        <is>
          <t>CUBIERTO</t>
        </is>
      </c>
    </row>
    <row r="156" ht="20" customHeight="1">
      <c r="A156" s="27" t="inlineStr">
        <is>
          <t>AMIMG0005</t>
        </is>
      </c>
      <c r="B156" s="28" t="inlineStr">
        <is>
          <t>AMINOSOIL-MG, 5L</t>
        </is>
      </c>
      <c r="C156" s="29" t="inlineStr">
        <is>
          <t>5</t>
        </is>
      </c>
      <c r="D156" s="29" t="inlineStr">
        <is>
          <t>Garrafas 5L</t>
        </is>
      </c>
      <c r="E156" s="29" t="inlineStr">
        <is>
          <t>Nacional</t>
        </is>
      </c>
      <c r="F156" s="30" t="n">
        <v>140</v>
      </c>
      <c r="G156" s="30" t="n">
        <v>0</v>
      </c>
      <c r="H156" s="30" t="n">
        <v>0</v>
      </c>
      <c r="I156" s="31">
        <f>G156+H156</f>
        <v/>
      </c>
      <c r="J156" s="32">
        <f>F156-I156</f>
        <v/>
      </c>
      <c r="K156" s="30" t="n">
        <v>0</v>
      </c>
      <c r="L156" s="33" t="n">
        <v>0</v>
      </c>
      <c r="M156" s="37" t="n">
        <v>0</v>
      </c>
      <c r="N156" s="35" t="n">
        <v>1</v>
      </c>
      <c r="O156" s="29" t="inlineStr">
        <is>
          <t>Jun 27</t>
        </is>
      </c>
      <c r="P156" s="38" t="inlineStr">
        <is>
          <t>CUBIERTO</t>
        </is>
      </c>
    </row>
    <row r="157" ht="20" customHeight="1">
      <c r="A157" s="17" t="inlineStr">
        <is>
          <t>AQUOM0005</t>
        </is>
      </c>
      <c r="B157" s="18" t="inlineStr">
        <is>
          <t>AQUOM, 5 L</t>
        </is>
      </c>
      <c r="C157" s="19" t="inlineStr">
        <is>
          <t>5</t>
        </is>
      </c>
      <c r="D157" s="19" t="inlineStr">
        <is>
          <t>Garrafas 5L</t>
        </is>
      </c>
      <c r="E157" s="19" t="inlineStr">
        <is>
          <t>Nacional</t>
        </is>
      </c>
      <c r="F157" s="20" t="n">
        <v>830</v>
      </c>
      <c r="G157" s="20" t="n">
        <v>0</v>
      </c>
      <c r="H157" s="20" t="n">
        <v>0</v>
      </c>
      <c r="I157" s="21">
        <f>G157+H157</f>
        <v/>
      </c>
      <c r="J157" s="22">
        <f>F157-I157</f>
        <v/>
      </c>
      <c r="K157" s="20" t="n">
        <v>0</v>
      </c>
      <c r="L157" s="23" t="n">
        <v>0</v>
      </c>
      <c r="M157" s="39" t="n">
        <v>0</v>
      </c>
      <c r="N157" s="25" t="n">
        <v>1</v>
      </c>
      <c r="O157" s="19" t="inlineStr">
        <is>
          <t>Abr 27</t>
        </is>
      </c>
      <c r="P157" s="38" t="inlineStr">
        <is>
          <t>CUBIERTO</t>
        </is>
      </c>
    </row>
    <row r="158" ht="20" customHeight="1">
      <c r="A158" s="27" t="inlineStr">
        <is>
          <t>BR-59AE0005</t>
        </is>
      </c>
      <c r="B158" s="28" t="inlineStr">
        <is>
          <t>BR-59 AE, 5 KG</t>
        </is>
      </c>
      <c r="C158" s="29" t="inlineStr">
        <is>
          <t>5</t>
        </is>
      </c>
      <c r="D158" s="29" t="inlineStr">
        <is>
          <t>Garrafas 5L</t>
        </is>
      </c>
      <c r="E158" s="29" t="inlineStr">
        <is>
          <t>Nacional</t>
        </is>
      </c>
      <c r="F158" s="30" t="n">
        <v>2715</v>
      </c>
      <c r="G158" s="30" t="n">
        <v>0</v>
      </c>
      <c r="H158" s="30" t="n">
        <v>0</v>
      </c>
      <c r="I158" s="31">
        <f>G158+H158</f>
        <v/>
      </c>
      <c r="J158" s="32">
        <f>F158-I158</f>
        <v/>
      </c>
      <c r="K158" s="30" t="n">
        <v>0</v>
      </c>
      <c r="L158" s="33" t="n">
        <v>0</v>
      </c>
      <c r="M158" s="37" t="n">
        <v>0</v>
      </c>
      <c r="N158" s="35" t="n">
        <v>1</v>
      </c>
      <c r="O158" s="29" t="inlineStr">
        <is>
          <t>Jul 27</t>
        </is>
      </c>
      <c r="P158" s="38" t="inlineStr">
        <is>
          <t>CUBIERTO</t>
        </is>
      </c>
    </row>
    <row r="159" ht="20" customHeight="1">
      <c r="A159" s="17" t="inlineStr">
        <is>
          <t>WHITE0020</t>
        </is>
      </c>
      <c r="B159" s="18" t="inlineStr">
        <is>
          <t>AGROWHITE, 20 KG</t>
        </is>
      </c>
      <c r="C159" s="19" t="inlineStr">
        <is>
          <t>20</t>
        </is>
      </c>
      <c r="D159" s="19" t="inlineStr">
        <is>
          <t>Garrafas 20L</t>
        </is>
      </c>
      <c r="E159" s="19" t="inlineStr">
        <is>
          <t>Nacional+Export</t>
        </is>
      </c>
      <c r="F159" s="20" t="n">
        <v>11680</v>
      </c>
      <c r="G159" s="20" t="n">
        <v>0</v>
      </c>
      <c r="H159" s="20" t="n">
        <v>1100</v>
      </c>
      <c r="I159" s="21">
        <f>G159+H159</f>
        <v/>
      </c>
      <c r="J159" s="22">
        <f>F159-I159</f>
        <v/>
      </c>
      <c r="K159" s="20" t="n">
        <v>0</v>
      </c>
      <c r="L159" s="23" t="n">
        <v>0</v>
      </c>
      <c r="M159" s="39" t="n">
        <v>0</v>
      </c>
      <c r="N159" s="25" t="n">
        <v>10.61818181818182</v>
      </c>
      <c r="O159" s="19" t="inlineStr">
        <is>
          <t>May 27</t>
        </is>
      </c>
      <c r="P159" s="38" t="inlineStr">
        <is>
          <t>CUBIERTO</t>
        </is>
      </c>
    </row>
    <row r="160" ht="20" customHeight="1">
      <c r="A160" s="27" t="inlineStr">
        <is>
          <t>BROTA0005</t>
        </is>
      </c>
      <c r="B160" s="28" t="inlineStr">
        <is>
          <t>BROTAMEC, 5 L</t>
        </is>
      </c>
      <c r="C160" s="29" t="inlineStr">
        <is>
          <t>5</t>
        </is>
      </c>
      <c r="D160" s="29" t="inlineStr">
        <is>
          <t>Garrafas 5L</t>
        </is>
      </c>
      <c r="E160" s="29" t="inlineStr">
        <is>
          <t>Nacional</t>
        </is>
      </c>
      <c r="F160" s="30" t="n">
        <v>2300</v>
      </c>
      <c r="G160" s="30" t="n">
        <v>0</v>
      </c>
      <c r="H160" s="30" t="n">
        <v>2300</v>
      </c>
      <c r="I160" s="31">
        <f>G160+H160</f>
        <v/>
      </c>
      <c r="J160" s="32">
        <f>F160-I160</f>
        <v/>
      </c>
      <c r="K160" s="30" t="n">
        <v>0</v>
      </c>
      <c r="L160" s="33" t="n">
        <v>0</v>
      </c>
      <c r="M160" s="37" t="n">
        <v>0</v>
      </c>
      <c r="N160" s="35" t="n">
        <v>1</v>
      </c>
      <c r="O160" s="29" t="inlineStr">
        <is>
          <t>Ene 27</t>
        </is>
      </c>
      <c r="P160" s="38" t="inlineStr">
        <is>
          <t>CUBIERTO</t>
        </is>
      </c>
    </row>
    <row r="161" ht="20" customHeight="1">
      <c r="A161" s="17" t="inlineStr">
        <is>
          <t>C-GLB0001</t>
        </is>
      </c>
      <c r="B161" s="18" t="inlineStr">
        <is>
          <t>CODIORGAN GLB, 1 KG</t>
        </is>
      </c>
      <c r="C161" s="19" t="inlineStr">
        <is>
          <t>1</t>
        </is>
      </c>
      <c r="D161" s="19" t="inlineStr">
        <is>
          <t>Botellas 1L</t>
        </is>
      </c>
      <c r="E161" s="19" t="inlineStr">
        <is>
          <t>Nacional+Export</t>
        </is>
      </c>
      <c r="F161" s="20" t="n">
        <v>809</v>
      </c>
      <c r="G161" s="20" t="n">
        <v>0</v>
      </c>
      <c r="H161" s="20" t="n">
        <v>552</v>
      </c>
      <c r="I161" s="21">
        <f>G161+H161</f>
        <v/>
      </c>
      <c r="J161" s="22">
        <f>F161-I161</f>
        <v/>
      </c>
      <c r="K161" s="20" t="n">
        <v>0</v>
      </c>
      <c r="L161" s="23" t="n">
        <v>0</v>
      </c>
      <c r="M161" s="39" t="n">
        <v>0</v>
      </c>
      <c r="N161" s="25" t="n">
        <v>1.465579710144927</v>
      </c>
      <c r="O161" s="19" t="inlineStr">
        <is>
          <t>Mar 27</t>
        </is>
      </c>
      <c r="P161" s="38" t="inlineStr">
        <is>
          <t>CUBIERTO</t>
        </is>
      </c>
    </row>
    <row r="162" ht="20" customHeight="1">
      <c r="A162" s="27" t="inlineStr">
        <is>
          <t>CSIL0020</t>
        </is>
      </c>
      <c r="B162" s="28" t="inlineStr">
        <is>
          <t>FITOKONTROL-K, 20 L</t>
        </is>
      </c>
      <c r="C162" s="29" t="inlineStr">
        <is>
          <t>20</t>
        </is>
      </c>
      <c r="D162" s="29" t="inlineStr">
        <is>
          <t>Garrafas 20L</t>
        </is>
      </c>
      <c r="E162" s="29" t="inlineStr">
        <is>
          <t>Nacional</t>
        </is>
      </c>
      <c r="F162" s="30" t="n">
        <v>80</v>
      </c>
      <c r="G162" s="30" t="n">
        <v>0</v>
      </c>
      <c r="H162" s="30" t="n">
        <v>0</v>
      </c>
      <c r="I162" s="31">
        <f>G162+H162</f>
        <v/>
      </c>
      <c r="J162" s="32">
        <f>F162-I162</f>
        <v/>
      </c>
      <c r="K162" s="30" t="n">
        <v>0</v>
      </c>
      <c r="L162" s="33" t="n">
        <v>0</v>
      </c>
      <c r="M162" s="37" t="n">
        <v>0</v>
      </c>
      <c r="N162" s="35" t="n">
        <v>1</v>
      </c>
      <c r="O162" s="29" t="inlineStr">
        <is>
          <t>Abr 27</t>
        </is>
      </c>
      <c r="P162" s="38" t="inlineStr">
        <is>
          <t>CUBIERTO</t>
        </is>
      </c>
    </row>
    <row r="163" ht="20" customHeight="1">
      <c r="A163" s="17" t="inlineStr">
        <is>
          <t>FU0005</t>
        </is>
      </c>
      <c r="B163" s="18" t="inlineStr">
        <is>
          <t>FULVIGIN, 5 L</t>
        </is>
      </c>
      <c r="C163" s="19" t="inlineStr">
        <is>
          <t>5</t>
        </is>
      </c>
      <c r="D163" s="19" t="inlineStr">
        <is>
          <t>Garrafas 5L</t>
        </is>
      </c>
      <c r="E163" s="19" t="inlineStr">
        <is>
          <t>Nacional+Export</t>
        </is>
      </c>
      <c r="F163" s="20" t="n">
        <v>600</v>
      </c>
      <c r="G163" s="20" t="n">
        <v>0</v>
      </c>
      <c r="H163" s="20" t="n">
        <v>0</v>
      </c>
      <c r="I163" s="21">
        <f>G163+H163</f>
        <v/>
      </c>
      <c r="J163" s="22">
        <f>F163-I163</f>
        <v/>
      </c>
      <c r="K163" s="20" t="n">
        <v>0</v>
      </c>
      <c r="L163" s="23" t="n">
        <v>0</v>
      </c>
      <c r="M163" s="39" t="n">
        <v>0</v>
      </c>
      <c r="N163" s="25" t="n">
        <v>1</v>
      </c>
      <c r="O163" s="19" t="inlineStr">
        <is>
          <t>Abr 27</t>
        </is>
      </c>
      <c r="P163" s="38" t="inlineStr">
        <is>
          <t>CUBIERTO</t>
        </is>
      </c>
    </row>
    <row r="164" ht="20" customHeight="1">
      <c r="A164" s="27" t="inlineStr">
        <is>
          <t>N0005</t>
        </is>
      </c>
      <c r="B164" s="28" t="inlineStr">
        <is>
          <t>NUTRICALE, 5 L</t>
        </is>
      </c>
      <c r="C164" s="29" t="inlineStr">
        <is>
          <t>5</t>
        </is>
      </c>
      <c r="D164" s="29" t="inlineStr">
        <is>
          <t>Garrafas 5L</t>
        </is>
      </c>
      <c r="E164" s="29" t="inlineStr">
        <is>
          <t>Nacional</t>
        </is>
      </c>
      <c r="F164" s="30" t="n">
        <v>0</v>
      </c>
      <c r="G164" s="30" t="n">
        <v>0</v>
      </c>
      <c r="H164" s="30" t="n">
        <v>0</v>
      </c>
      <c r="I164" s="31">
        <f>G164+H164</f>
        <v/>
      </c>
      <c r="J164" s="32">
        <f>F164-I164</f>
        <v/>
      </c>
      <c r="K164" s="30" t="n">
        <v>0</v>
      </c>
      <c r="L164" s="33" t="n">
        <v>0</v>
      </c>
      <c r="M164" s="37" t="n">
        <v>0</v>
      </c>
      <c r="N164" s="35" t="n">
        <v>1</v>
      </c>
      <c r="O164" s="29" t="inlineStr">
        <is>
          <t>Mar 27</t>
        </is>
      </c>
      <c r="P164" s="38" t="inlineStr">
        <is>
          <t>CUBIERTO</t>
        </is>
      </c>
    </row>
    <row r="165" ht="20" customHeight="1">
      <c r="A165" s="17" t="inlineStr">
        <is>
          <t>AGRMGN0020</t>
        </is>
      </c>
      <c r="B165" s="18" t="inlineStr">
        <is>
          <t>AGROXIGREEN-MG, 20 L</t>
        </is>
      </c>
      <c r="C165" s="19" t="inlineStr">
        <is>
          <t>20</t>
        </is>
      </c>
      <c r="D165" s="19" t="inlineStr">
        <is>
          <t>Garrafas 20L</t>
        </is>
      </c>
      <c r="E165" s="19" t="inlineStr">
        <is>
          <t>Nacional+Export</t>
        </is>
      </c>
      <c r="F165" s="20" t="n">
        <v>2700</v>
      </c>
      <c r="G165" s="20" t="n">
        <v>0</v>
      </c>
      <c r="H165" s="20" t="n">
        <v>0</v>
      </c>
      <c r="I165" s="21">
        <f>G165+H165</f>
        <v/>
      </c>
      <c r="J165" s="22">
        <f>F165-I165</f>
        <v/>
      </c>
      <c r="K165" s="20" t="n">
        <v>0</v>
      </c>
      <c r="L165" s="23" t="n">
        <v>0</v>
      </c>
      <c r="M165" s="39" t="n">
        <v>0</v>
      </c>
      <c r="N165" s="25" t="n">
        <v>1</v>
      </c>
      <c r="O165" s="19" t="inlineStr">
        <is>
          <t>Mar 27</t>
        </is>
      </c>
      <c r="P165" s="38" t="inlineStr">
        <is>
          <t>CUBIERTO</t>
        </is>
      </c>
    </row>
    <row r="166" ht="20" customHeight="1">
      <c r="A166" s="27" t="inlineStr">
        <is>
          <t>C-CUAE0020</t>
        </is>
      </c>
      <c r="B166" s="28" t="inlineStr">
        <is>
          <t>CUPRAMEC, 20 L</t>
        </is>
      </c>
      <c r="C166" s="29" t="inlineStr">
        <is>
          <t>20</t>
        </is>
      </c>
      <c r="D166" s="29" t="inlineStr">
        <is>
          <t>Garrafas 20L</t>
        </is>
      </c>
      <c r="E166" s="29" t="inlineStr">
        <is>
          <t>Nacional</t>
        </is>
      </c>
      <c r="F166" s="30" t="n">
        <v>740</v>
      </c>
      <c r="G166" s="30" t="n">
        <v>0</v>
      </c>
      <c r="H166" s="30" t="n">
        <v>0</v>
      </c>
      <c r="I166" s="31">
        <f>G166+H166</f>
        <v/>
      </c>
      <c r="J166" s="32">
        <f>F166-I166</f>
        <v/>
      </c>
      <c r="K166" s="30" t="n">
        <v>0</v>
      </c>
      <c r="L166" s="33" t="n">
        <v>0</v>
      </c>
      <c r="M166" s="37" t="n">
        <v>0</v>
      </c>
      <c r="N166" s="35" t="n">
        <v>1</v>
      </c>
      <c r="O166" s="29" t="inlineStr">
        <is>
          <t>Mar 27</t>
        </is>
      </c>
      <c r="P166" s="38" t="inlineStr">
        <is>
          <t>CUBIERTO</t>
        </is>
      </c>
    </row>
    <row r="167" ht="20" customHeight="1">
      <c r="A167" s="17" t="inlineStr">
        <is>
          <t>FROST-P0005</t>
        </is>
      </c>
      <c r="B167" s="18" t="inlineStr">
        <is>
          <t>CODIFROST PLUS, 5 L</t>
        </is>
      </c>
      <c r="C167" s="19" t="inlineStr">
        <is>
          <t>5</t>
        </is>
      </c>
      <c r="D167" s="19" t="inlineStr">
        <is>
          <t>Garrafas 5L</t>
        </is>
      </c>
      <c r="E167" s="19" t="inlineStr">
        <is>
          <t>Nacional</t>
        </is>
      </c>
      <c r="F167" s="20" t="n">
        <v>480</v>
      </c>
      <c r="G167" s="20" t="n">
        <v>0</v>
      </c>
      <c r="H167" s="20" t="n">
        <v>0</v>
      </c>
      <c r="I167" s="21">
        <f>G167+H167</f>
        <v/>
      </c>
      <c r="J167" s="22">
        <f>F167-I167</f>
        <v/>
      </c>
      <c r="K167" s="20" t="n">
        <v>0</v>
      </c>
      <c r="L167" s="23" t="n">
        <v>0</v>
      </c>
      <c r="M167" s="39" t="n">
        <v>0</v>
      </c>
      <c r="N167" s="25" t="n">
        <v>1</v>
      </c>
      <c r="O167" s="19" t="inlineStr">
        <is>
          <t>Cubierto &gt;15 meses</t>
        </is>
      </c>
      <c r="P167" s="38" t="inlineStr">
        <is>
          <t>CUBIERTO</t>
        </is>
      </c>
    </row>
    <row r="168" ht="20" customHeight="1">
      <c r="A168" s="27" t="inlineStr">
        <is>
          <t>RUN0020</t>
        </is>
      </c>
      <c r="B168" s="28" t="inlineStr">
        <is>
          <t>RUN STRESS, 20 L</t>
        </is>
      </c>
      <c r="C168" s="29" t="inlineStr">
        <is>
          <t>20</t>
        </is>
      </c>
      <c r="D168" s="29" t="inlineStr">
        <is>
          <t>Garrafas 20L</t>
        </is>
      </c>
      <c r="E168" s="29" t="inlineStr">
        <is>
          <t>Nacional</t>
        </is>
      </c>
      <c r="F168" s="30" t="n">
        <v>140</v>
      </c>
      <c r="G168" s="30" t="n">
        <v>0</v>
      </c>
      <c r="H168" s="30" t="n">
        <v>0</v>
      </c>
      <c r="I168" s="31">
        <f>G168+H168</f>
        <v/>
      </c>
      <c r="J168" s="32">
        <f>F168-I168</f>
        <v/>
      </c>
      <c r="K168" s="30" t="n">
        <v>0</v>
      </c>
      <c r="L168" s="33" t="n">
        <v>0</v>
      </c>
      <c r="M168" s="37" t="n">
        <v>0</v>
      </c>
      <c r="N168" s="35" t="n">
        <v>1</v>
      </c>
      <c r="O168" s="29" t="inlineStr">
        <is>
          <t>Ene 27</t>
        </is>
      </c>
      <c r="P168" s="38" t="inlineStr">
        <is>
          <t>CUBIERTO</t>
        </is>
      </c>
    </row>
    <row r="169" ht="20" customHeight="1">
      <c r="A169" s="17" t="inlineStr">
        <is>
          <t>BEY0005</t>
        </is>
      </c>
      <c r="B169" s="18" t="inlineStr">
        <is>
          <t>BERRY-FLOR, 5 L</t>
        </is>
      </c>
      <c r="C169" s="19" t="inlineStr">
        <is>
          <t>5</t>
        </is>
      </c>
      <c r="D169" s="19" t="inlineStr">
        <is>
          <t>Garrafas 5L</t>
        </is>
      </c>
      <c r="E169" s="19" t="inlineStr">
        <is>
          <t>Nacional</t>
        </is>
      </c>
      <c r="F169" s="20" t="n">
        <v>0</v>
      </c>
      <c r="G169" s="20" t="n">
        <v>0</v>
      </c>
      <c r="H169" s="20" t="n">
        <v>0</v>
      </c>
      <c r="I169" s="21">
        <f>G169+H169</f>
        <v/>
      </c>
      <c r="J169" s="22">
        <f>F169-I169</f>
        <v/>
      </c>
      <c r="K169" s="20" t="n">
        <v>0</v>
      </c>
      <c r="L169" s="23" t="n">
        <v>0</v>
      </c>
      <c r="M169" s="39" t="n">
        <v>0</v>
      </c>
      <c r="N169" s="25" t="n">
        <v>1</v>
      </c>
      <c r="O169" s="19" t="inlineStr">
        <is>
          <t>Ene 27</t>
        </is>
      </c>
      <c r="P169" s="38" t="inlineStr">
        <is>
          <t>CUBIERTO</t>
        </is>
      </c>
    </row>
    <row r="170" ht="20" customHeight="1">
      <c r="A170" s="27" t="inlineStr">
        <is>
          <t>AQUOM0001</t>
        </is>
      </c>
      <c r="B170" s="28" t="inlineStr">
        <is>
          <t>AQUOM, 1 L</t>
        </is>
      </c>
      <c r="C170" s="29" t="inlineStr">
        <is>
          <t>1</t>
        </is>
      </c>
      <c r="D170" s="29" t="inlineStr">
        <is>
          <t>Botellas 1L</t>
        </is>
      </c>
      <c r="E170" s="29" t="inlineStr">
        <is>
          <t>Nacional</t>
        </is>
      </c>
      <c r="F170" s="30" t="n">
        <v>36</v>
      </c>
      <c r="G170" s="30" t="n">
        <v>0</v>
      </c>
      <c r="H170" s="30" t="n">
        <v>0</v>
      </c>
      <c r="I170" s="31">
        <f>G170+H170</f>
        <v/>
      </c>
      <c r="J170" s="32">
        <f>F170-I170</f>
        <v/>
      </c>
      <c r="K170" s="30" t="n">
        <v>0</v>
      </c>
      <c r="L170" s="33" t="n">
        <v>0</v>
      </c>
      <c r="M170" s="37" t="n">
        <v>0</v>
      </c>
      <c r="N170" s="35" t="n">
        <v>1</v>
      </c>
      <c r="O170" s="29" t="inlineStr">
        <is>
          <t>Jul 27</t>
        </is>
      </c>
      <c r="P170" s="38" t="inlineStr">
        <is>
          <t>CUBIERTO</t>
        </is>
      </c>
    </row>
    <row r="171" ht="20" customHeight="1">
      <c r="A171" s="17" t="inlineStr">
        <is>
          <t>B0005</t>
        </is>
      </c>
      <c r="B171" s="18" t="inlineStr">
        <is>
          <t>BOROCAL, 5 L</t>
        </is>
      </c>
      <c r="C171" s="19" t="inlineStr">
        <is>
          <t>5</t>
        </is>
      </c>
      <c r="D171" s="19" t="inlineStr">
        <is>
          <t>Garrafas 5L</t>
        </is>
      </c>
      <c r="E171" s="19" t="inlineStr">
        <is>
          <t>Nacional</t>
        </is>
      </c>
      <c r="F171" s="20" t="n">
        <v>590</v>
      </c>
      <c r="G171" s="20" t="n">
        <v>0</v>
      </c>
      <c r="H171" s="20" t="n">
        <v>520</v>
      </c>
      <c r="I171" s="21">
        <f>G171+H171</f>
        <v/>
      </c>
      <c r="J171" s="22">
        <f>F171-I171</f>
        <v/>
      </c>
      <c r="K171" s="20" t="n">
        <v>0</v>
      </c>
      <c r="L171" s="23" t="n">
        <v>0</v>
      </c>
      <c r="M171" s="39" t="n">
        <v>0</v>
      </c>
      <c r="N171" s="25" t="n">
        <v>1.134615384615385</v>
      </c>
      <c r="O171" s="19" t="inlineStr">
        <is>
          <t>Ene 27</t>
        </is>
      </c>
      <c r="P171" s="38" t="inlineStr">
        <is>
          <t>CUBIERTO</t>
        </is>
      </c>
    </row>
    <row r="172" ht="20" customHeight="1">
      <c r="A172" s="27" t="inlineStr">
        <is>
          <t>C-GLB0005</t>
        </is>
      </c>
      <c r="B172" s="28" t="inlineStr">
        <is>
          <t>CODIORGAN GLB, 5 KG</t>
        </is>
      </c>
      <c r="C172" s="29" t="inlineStr">
        <is>
          <t>5</t>
        </is>
      </c>
      <c r="D172" s="29" t="inlineStr">
        <is>
          <t>Garrafas 5L</t>
        </is>
      </c>
      <c r="E172" s="29" t="inlineStr">
        <is>
          <t>Nacional+Export</t>
        </is>
      </c>
      <c r="F172" s="30" t="n">
        <v>265</v>
      </c>
      <c r="G172" s="31" t="n">
        <v>20</v>
      </c>
      <c r="H172" s="30" t="n">
        <v>0</v>
      </c>
      <c r="I172" s="31">
        <f>G172+H172</f>
        <v/>
      </c>
      <c r="J172" s="32">
        <f>F172-I172</f>
        <v/>
      </c>
      <c r="K172" s="30" t="n">
        <v>0</v>
      </c>
      <c r="L172" s="33" t="n">
        <v>0</v>
      </c>
      <c r="M172" s="37" t="n">
        <v>0</v>
      </c>
      <c r="N172" s="35" t="n">
        <v>13.25</v>
      </c>
      <c r="O172" s="29" t="inlineStr">
        <is>
          <t>May 27</t>
        </is>
      </c>
      <c r="P172" s="38" t="inlineStr">
        <is>
          <t>CUBIERTO</t>
        </is>
      </c>
    </row>
    <row r="173" ht="20" customHeight="1">
      <c r="A173" s="17" t="inlineStr">
        <is>
          <t>PIV0005</t>
        </is>
      </c>
      <c r="B173" s="18" t="inlineStr">
        <is>
          <t>PGR IV, 5 L</t>
        </is>
      </c>
      <c r="C173" s="19" t="inlineStr">
        <is>
          <t>5</t>
        </is>
      </c>
      <c r="D173" s="19" t="inlineStr">
        <is>
          <t>Garrafas 5L</t>
        </is>
      </c>
      <c r="E173" s="19" t="inlineStr">
        <is>
          <t>Nacional</t>
        </is>
      </c>
      <c r="F173" s="20" t="n">
        <v>200</v>
      </c>
      <c r="G173" s="21" t="n">
        <v>200</v>
      </c>
      <c r="H173" s="20" t="n">
        <v>0</v>
      </c>
      <c r="I173" s="21">
        <f>G173+H173</f>
        <v/>
      </c>
      <c r="J173" s="22">
        <f>F173-I173</f>
        <v/>
      </c>
      <c r="K173" s="20" t="n">
        <v>0</v>
      </c>
      <c r="L173" s="23" t="n">
        <v>0</v>
      </c>
      <c r="M173" s="39" t="n">
        <v>0</v>
      </c>
      <c r="N173" s="25" t="n">
        <v>1</v>
      </c>
      <c r="O173" s="19" t="inlineStr">
        <is>
          <t>May 27</t>
        </is>
      </c>
      <c r="P173" s="38" t="inlineStr">
        <is>
          <t>CUBIERTO</t>
        </is>
      </c>
    </row>
    <row r="174" ht="20" customHeight="1">
      <c r="A174" s="27" t="inlineStr">
        <is>
          <t>S0005</t>
        </is>
      </c>
      <c r="B174" s="28" t="inlineStr">
        <is>
          <t>SAL-WAX STAR, 5 L</t>
        </is>
      </c>
      <c r="C174" s="29" t="inlineStr">
        <is>
          <t>5</t>
        </is>
      </c>
      <c r="D174" s="29" t="inlineStr">
        <is>
          <t>Garrafas 5L</t>
        </is>
      </c>
      <c r="E174" s="29" t="inlineStr">
        <is>
          <t>Nacional</t>
        </is>
      </c>
      <c r="F174" s="30" t="n">
        <v>800</v>
      </c>
      <c r="G174" s="30" t="n">
        <v>0</v>
      </c>
      <c r="H174" s="30" t="n">
        <v>0</v>
      </c>
      <c r="I174" s="31">
        <f>G174+H174</f>
        <v/>
      </c>
      <c r="J174" s="32">
        <f>F174-I174</f>
        <v/>
      </c>
      <c r="K174" s="30" t="n">
        <v>0</v>
      </c>
      <c r="L174" s="33" t="n">
        <v>0</v>
      </c>
      <c r="M174" s="37" t="n">
        <v>0</v>
      </c>
      <c r="N174" s="35" t="n">
        <v>1</v>
      </c>
      <c r="O174" s="29" t="inlineStr">
        <is>
          <t>Ago 27</t>
        </is>
      </c>
      <c r="P174" s="38" t="inlineStr">
        <is>
          <t>CUBIERTO</t>
        </is>
      </c>
    </row>
    <row r="175" ht="20" customHeight="1">
      <c r="A175" s="17" t="inlineStr">
        <is>
          <t>CBROT0005</t>
        </is>
      </c>
      <c r="B175" s="18" t="inlineStr">
        <is>
          <t>CODIBROT, 5 L</t>
        </is>
      </c>
      <c r="C175" s="19" t="inlineStr">
        <is>
          <t>5</t>
        </is>
      </c>
      <c r="D175" s="19" t="inlineStr">
        <is>
          <t>Garrafas 5L</t>
        </is>
      </c>
      <c r="E175" s="19" t="inlineStr">
        <is>
          <t>Nacional+Export</t>
        </is>
      </c>
      <c r="F175" s="20" t="n">
        <v>720</v>
      </c>
      <c r="G175" s="20" t="n">
        <v>0</v>
      </c>
      <c r="H175" s="20" t="n">
        <v>0</v>
      </c>
      <c r="I175" s="21">
        <f>G175+H175</f>
        <v/>
      </c>
      <c r="J175" s="22">
        <f>F175-I175</f>
        <v/>
      </c>
      <c r="K175" s="20" t="n">
        <v>0</v>
      </c>
      <c r="L175" s="23" t="n">
        <v>0</v>
      </c>
      <c r="M175" s="39" t="n">
        <v>0</v>
      </c>
      <c r="N175" s="25" t="n">
        <v>1</v>
      </c>
      <c r="O175" s="19" t="inlineStr">
        <is>
          <t>Abr 27</t>
        </is>
      </c>
      <c r="P175" s="38" t="inlineStr">
        <is>
          <t>CUBIERTO</t>
        </is>
      </c>
    </row>
    <row r="176" ht="20" customHeight="1">
      <c r="A176" s="27" t="inlineStr">
        <is>
          <t>CBASI0005</t>
        </is>
      </c>
      <c r="B176" s="28" t="inlineStr">
        <is>
          <t>BIOCULTURE BASI, 5 KG</t>
        </is>
      </c>
      <c r="C176" s="29" t="inlineStr">
        <is>
          <t>5</t>
        </is>
      </c>
      <c r="D176" s="29" t="inlineStr">
        <is>
          <t>Garrafas 5L</t>
        </is>
      </c>
      <c r="E176" s="29" t="inlineStr">
        <is>
          <t>Nacional</t>
        </is>
      </c>
      <c r="F176" s="30" t="n">
        <v>770</v>
      </c>
      <c r="G176" s="30" t="n">
        <v>0</v>
      </c>
      <c r="H176" s="30" t="n">
        <v>500</v>
      </c>
      <c r="I176" s="31">
        <f>G176+H176</f>
        <v/>
      </c>
      <c r="J176" s="32">
        <f>F176-I176</f>
        <v/>
      </c>
      <c r="K176" s="30" t="n">
        <v>0</v>
      </c>
      <c r="L176" s="33" t="n">
        <v>0</v>
      </c>
      <c r="M176" s="37" t="n">
        <v>0</v>
      </c>
      <c r="N176" s="35" t="n">
        <v>1.54</v>
      </c>
      <c r="O176" s="29" t="inlineStr">
        <is>
          <t>Abr 27</t>
        </is>
      </c>
      <c r="P176" s="38" t="inlineStr">
        <is>
          <t>CUBIERTO</t>
        </is>
      </c>
    </row>
    <row r="177" ht="20" customHeight="1">
      <c r="A177" s="17" t="inlineStr">
        <is>
          <t>AGFE0001</t>
        </is>
      </c>
      <c r="B177" s="18" t="inlineStr">
        <is>
          <t>AGROXILATO-FE, 1 KG</t>
        </is>
      </c>
      <c r="C177" s="19" t="inlineStr">
        <is>
          <t>1</t>
        </is>
      </c>
      <c r="D177" s="19" t="inlineStr">
        <is>
          <t>Botellas 1L</t>
        </is>
      </c>
      <c r="E177" s="19" t="inlineStr">
        <is>
          <t>Nacional+Export</t>
        </is>
      </c>
      <c r="F177" s="20" t="n">
        <v>10</v>
      </c>
      <c r="G177" s="20" t="n">
        <v>0</v>
      </c>
      <c r="H177" s="20" t="n">
        <v>0</v>
      </c>
      <c r="I177" s="21">
        <f>G177+H177</f>
        <v/>
      </c>
      <c r="J177" s="22">
        <f>F177-I177</f>
        <v/>
      </c>
      <c r="K177" s="20" t="n">
        <v>0</v>
      </c>
      <c r="L177" s="23" t="n">
        <v>0</v>
      </c>
      <c r="M177" s="39" t="n">
        <v>0</v>
      </c>
      <c r="N177" s="25" t="n">
        <v>1</v>
      </c>
      <c r="O177" s="19" t="inlineStr">
        <is>
          <t>Mar 27</t>
        </is>
      </c>
      <c r="P177" s="38" t="inlineStr">
        <is>
          <t>CUBIERTO</t>
        </is>
      </c>
    </row>
    <row r="178" ht="20" customHeight="1">
      <c r="A178" s="27" t="inlineStr">
        <is>
          <t>B0020</t>
        </is>
      </c>
      <c r="B178" s="28" t="inlineStr">
        <is>
          <t>BOROCAL, 20 L</t>
        </is>
      </c>
      <c r="C178" s="29" t="inlineStr">
        <is>
          <t>20</t>
        </is>
      </c>
      <c r="D178" s="29" t="inlineStr">
        <is>
          <t>Garrafas 20L</t>
        </is>
      </c>
      <c r="E178" s="29" t="inlineStr">
        <is>
          <t>Nacional</t>
        </is>
      </c>
      <c r="F178" s="30" t="n">
        <v>4520</v>
      </c>
      <c r="G178" s="30" t="n">
        <v>0</v>
      </c>
      <c r="H178" s="30" t="n">
        <v>3840</v>
      </c>
      <c r="I178" s="31">
        <f>G178+H178</f>
        <v/>
      </c>
      <c r="J178" s="32">
        <f>F178-I178</f>
        <v/>
      </c>
      <c r="K178" s="30" t="n">
        <v>0</v>
      </c>
      <c r="L178" s="33" t="n">
        <v>0</v>
      </c>
      <c r="M178" s="37" t="n">
        <v>0</v>
      </c>
      <c r="N178" s="35" t="n">
        <v>1.177083333333333</v>
      </c>
      <c r="O178" s="29" t="inlineStr">
        <is>
          <t>Feb 27</t>
        </is>
      </c>
      <c r="P178" s="38" t="inlineStr">
        <is>
          <t>CUBIERTO</t>
        </is>
      </c>
    </row>
    <row r="179" ht="20" customHeight="1">
      <c r="A179" s="17" t="inlineStr">
        <is>
          <t>G30005</t>
        </is>
      </c>
      <c r="B179" s="18" t="inlineStr">
        <is>
          <t>GREEN-UP, 5 L</t>
        </is>
      </c>
      <c r="C179" s="19" t="inlineStr">
        <is>
          <t>5</t>
        </is>
      </c>
      <c r="D179" s="19" t="inlineStr">
        <is>
          <t>Garrafas 5L</t>
        </is>
      </c>
      <c r="E179" s="19" t="inlineStr">
        <is>
          <t>Nacional+Export</t>
        </is>
      </c>
      <c r="F179" s="20" t="n">
        <v>400</v>
      </c>
      <c r="G179" s="20" t="n">
        <v>0</v>
      </c>
      <c r="H179" s="20" t="n">
        <v>240</v>
      </c>
      <c r="I179" s="21">
        <f>G179+H179</f>
        <v/>
      </c>
      <c r="J179" s="22">
        <f>F179-I179</f>
        <v/>
      </c>
      <c r="K179" s="20" t="n">
        <v>0</v>
      </c>
      <c r="L179" s="23" t="n">
        <v>0</v>
      </c>
      <c r="M179" s="39" t="n">
        <v>0</v>
      </c>
      <c r="N179" s="25" t="n">
        <v>1.666666666666667</v>
      </c>
      <c r="O179" s="19" t="inlineStr">
        <is>
          <t>Abr 27</t>
        </is>
      </c>
      <c r="P179" s="38" t="inlineStr">
        <is>
          <t>CUBIERTO</t>
        </is>
      </c>
    </row>
    <row r="180" ht="20" customHeight="1">
      <c r="A180" s="27" t="inlineStr">
        <is>
          <t>G30200</t>
        </is>
      </c>
      <c r="B180" s="28" t="inlineStr">
        <is>
          <t>GREEN-UP, 200 L</t>
        </is>
      </c>
      <c r="C180" s="29" t="inlineStr">
        <is>
          <t>200</t>
        </is>
      </c>
      <c r="D180" s="29" t="inlineStr">
        <is>
          <t>Garrafas 20L</t>
        </is>
      </c>
      <c r="E180" s="29" t="inlineStr">
        <is>
          <t>Nacional</t>
        </is>
      </c>
      <c r="F180" s="30" t="n">
        <v>0</v>
      </c>
      <c r="G180" s="30" t="n">
        <v>0</v>
      </c>
      <c r="H180" s="30" t="n">
        <v>0</v>
      </c>
      <c r="I180" s="31">
        <f>G180+H180</f>
        <v/>
      </c>
      <c r="J180" s="32">
        <f>F180-I180</f>
        <v/>
      </c>
      <c r="K180" s="30" t="n">
        <v>0</v>
      </c>
      <c r="L180" s="33" t="n">
        <v>0</v>
      </c>
      <c r="M180" s="37" t="n">
        <v>0</v>
      </c>
      <c r="N180" s="35" t="n">
        <v>1</v>
      </c>
      <c r="O180" s="29" t="inlineStr">
        <is>
          <t>May 27</t>
        </is>
      </c>
      <c r="P180" s="38" t="inlineStr">
        <is>
          <t>CUBIERTO</t>
        </is>
      </c>
    </row>
    <row r="181" ht="20" customHeight="1">
      <c r="A181" s="17" t="inlineStr">
        <is>
          <t>N0020</t>
        </is>
      </c>
      <c r="B181" s="18" t="inlineStr">
        <is>
          <t>NUTRICALE, 20 L</t>
        </is>
      </c>
      <c r="C181" s="19" t="inlineStr">
        <is>
          <t>20</t>
        </is>
      </c>
      <c r="D181" s="19" t="inlineStr">
        <is>
          <t>Garrafas 20L</t>
        </is>
      </c>
      <c r="E181" s="19" t="inlineStr">
        <is>
          <t>Nacional</t>
        </is>
      </c>
      <c r="F181" s="20" t="n">
        <v>3080</v>
      </c>
      <c r="G181" s="20" t="n">
        <v>0</v>
      </c>
      <c r="H181" s="20" t="n">
        <v>2560</v>
      </c>
      <c r="I181" s="21">
        <f>G181+H181</f>
        <v/>
      </c>
      <c r="J181" s="22">
        <f>F181-I181</f>
        <v/>
      </c>
      <c r="K181" s="20" t="n">
        <v>0</v>
      </c>
      <c r="L181" s="23" t="n">
        <v>0</v>
      </c>
      <c r="M181" s="39" t="n">
        <v>0</v>
      </c>
      <c r="N181" s="25" t="n">
        <v>1.203125</v>
      </c>
      <c r="O181" s="19" t="inlineStr">
        <is>
          <t>Mar 27</t>
        </is>
      </c>
      <c r="P181" s="38" t="inlineStr">
        <is>
          <t>CUBIERTO</t>
        </is>
      </c>
    </row>
    <row r="182" ht="20" customHeight="1">
      <c r="A182" s="27" t="inlineStr">
        <is>
          <t>S0200</t>
        </is>
      </c>
      <c r="B182" s="28" t="inlineStr">
        <is>
          <t>SAL-WAX STAR, 200 L</t>
        </is>
      </c>
      <c r="C182" s="29" t="inlineStr">
        <is>
          <t>200</t>
        </is>
      </c>
      <c r="D182" s="29" t="inlineStr">
        <is>
          <t>Garrafas 20L</t>
        </is>
      </c>
      <c r="E182" s="29" t="inlineStr">
        <is>
          <t>Nacional</t>
        </is>
      </c>
      <c r="F182" s="30" t="n">
        <v>11200</v>
      </c>
      <c r="G182" s="30" t="n">
        <v>0</v>
      </c>
      <c r="H182" s="30" t="n">
        <v>5600</v>
      </c>
      <c r="I182" s="31">
        <f>G182+H182</f>
        <v/>
      </c>
      <c r="J182" s="32">
        <f>F182-I182</f>
        <v/>
      </c>
      <c r="K182" s="30" t="n">
        <v>0</v>
      </c>
      <c r="L182" s="33" t="n">
        <v>0</v>
      </c>
      <c r="M182" s="37" t="n">
        <v>0</v>
      </c>
      <c r="N182" s="35" t="n">
        <v>2</v>
      </c>
      <c r="O182" s="29" t="inlineStr">
        <is>
          <t>May 27</t>
        </is>
      </c>
      <c r="P182" s="38" t="inlineStr">
        <is>
          <t>CUBIERTO</t>
        </is>
      </c>
    </row>
    <row r="183" ht="20" customHeight="1">
      <c r="A183" s="17" t="inlineStr">
        <is>
          <t>AGMGL0005</t>
        </is>
      </c>
      <c r="B183" s="18" t="inlineStr">
        <is>
          <t>AGROXILATO-MG-L, 5 L</t>
        </is>
      </c>
      <c r="C183" s="19" t="inlineStr">
        <is>
          <t>5</t>
        </is>
      </c>
      <c r="D183" s="19" t="inlineStr">
        <is>
          <t>Garrafas 5L</t>
        </is>
      </c>
      <c r="E183" s="19" t="inlineStr">
        <is>
          <t>Nacional</t>
        </is>
      </c>
      <c r="F183" s="20" t="n">
        <v>0</v>
      </c>
      <c r="G183" s="20" t="n">
        <v>0</v>
      </c>
      <c r="H183" s="20" t="n">
        <v>0</v>
      </c>
      <c r="I183" s="21">
        <f>G183+H183</f>
        <v/>
      </c>
      <c r="J183" s="22">
        <f>F183-I183</f>
        <v/>
      </c>
      <c r="K183" s="20" t="n">
        <v>0</v>
      </c>
      <c r="L183" s="23" t="n">
        <v>0</v>
      </c>
      <c r="M183" s="39" t="n">
        <v>0</v>
      </c>
      <c r="N183" s="25" t="n">
        <v>1</v>
      </c>
      <c r="O183" s="19" t="inlineStr">
        <is>
          <t>May 27</t>
        </is>
      </c>
      <c r="P183" s="38" t="inlineStr">
        <is>
          <t>CUBIERTO</t>
        </is>
      </c>
    </row>
    <row r="184" ht="20" customHeight="1">
      <c r="A184" s="27" t="inlineStr">
        <is>
          <t>CSIL0001</t>
        </is>
      </c>
      <c r="B184" s="28" t="inlineStr">
        <is>
          <t>FITOKONTROL-K, 1 L</t>
        </is>
      </c>
      <c r="C184" s="29" t="inlineStr">
        <is>
          <t>1</t>
        </is>
      </c>
      <c r="D184" s="29" t="inlineStr">
        <is>
          <t>Botellas 1L</t>
        </is>
      </c>
      <c r="E184" s="29" t="inlineStr">
        <is>
          <t>Nacional</t>
        </is>
      </c>
      <c r="F184" s="30" t="n">
        <v>24</v>
      </c>
      <c r="G184" s="30" t="n">
        <v>0</v>
      </c>
      <c r="H184" s="30" t="n">
        <v>0</v>
      </c>
      <c r="I184" s="31">
        <f>G184+H184</f>
        <v/>
      </c>
      <c r="J184" s="32">
        <f>F184-I184</f>
        <v/>
      </c>
      <c r="K184" s="30" t="n">
        <v>0</v>
      </c>
      <c r="L184" s="33" t="n">
        <v>0</v>
      </c>
      <c r="M184" s="37" t="n">
        <v>0</v>
      </c>
      <c r="N184" s="35" t="n">
        <v>1</v>
      </c>
      <c r="O184" s="29" t="inlineStr">
        <is>
          <t>Jul 27</t>
        </is>
      </c>
      <c r="P184" s="38" t="inlineStr">
        <is>
          <t>CUBIERTO</t>
        </is>
      </c>
    </row>
    <row r="185" ht="20" customHeight="1">
      <c r="A185" s="17" t="inlineStr">
        <is>
          <t>CSIL0005</t>
        </is>
      </c>
      <c r="B185" s="18" t="inlineStr">
        <is>
          <t>FITOKONTROL-K, 5 L</t>
        </is>
      </c>
      <c r="C185" s="19" t="inlineStr">
        <is>
          <t>5</t>
        </is>
      </c>
      <c r="D185" s="19" t="inlineStr">
        <is>
          <t>Garrafas 5L</t>
        </is>
      </c>
      <c r="E185" s="19" t="inlineStr">
        <is>
          <t>Nacional+Export</t>
        </is>
      </c>
      <c r="F185" s="20" t="n">
        <v>800</v>
      </c>
      <c r="G185" s="20" t="n">
        <v>0</v>
      </c>
      <c r="H185" s="20" t="n">
        <v>0</v>
      </c>
      <c r="I185" s="21">
        <f>G185+H185</f>
        <v/>
      </c>
      <c r="J185" s="22">
        <f>F185-I185</f>
        <v/>
      </c>
      <c r="K185" s="20" t="n">
        <v>0</v>
      </c>
      <c r="L185" s="23" t="n">
        <v>0</v>
      </c>
      <c r="M185" s="39" t="n">
        <v>0</v>
      </c>
      <c r="N185" s="25" t="n">
        <v>1</v>
      </c>
      <c r="O185" s="19" t="inlineStr">
        <is>
          <t>Cubierto &gt;15 meses</t>
        </is>
      </c>
      <c r="P185" s="38" t="inlineStr">
        <is>
          <t>CUBIERTO</t>
        </is>
      </c>
    </row>
    <row r="186" ht="20" customHeight="1">
      <c r="A186" s="27" t="inlineStr">
        <is>
          <t>FLOR0020</t>
        </is>
      </c>
      <c r="B186" s="28" t="inlineStr">
        <is>
          <t>FLORAMEC, 20 L</t>
        </is>
      </c>
      <c r="C186" s="29" t="inlineStr">
        <is>
          <t>20</t>
        </is>
      </c>
      <c r="D186" s="29" t="inlineStr">
        <is>
          <t>Garrafas 20L</t>
        </is>
      </c>
      <c r="E186" s="29" t="inlineStr">
        <is>
          <t>Nacional+Export</t>
        </is>
      </c>
      <c r="F186" s="30" t="n">
        <v>140</v>
      </c>
      <c r="G186" s="30" t="n">
        <v>0</v>
      </c>
      <c r="H186" s="30" t="n">
        <v>0</v>
      </c>
      <c r="I186" s="31">
        <f>G186+H186</f>
        <v/>
      </c>
      <c r="J186" s="32">
        <f>F186-I186</f>
        <v/>
      </c>
      <c r="K186" s="30" t="n">
        <v>0</v>
      </c>
      <c r="L186" s="33" t="n">
        <v>0</v>
      </c>
      <c r="M186" s="37" t="n">
        <v>0</v>
      </c>
      <c r="N186" s="35" t="n">
        <v>1</v>
      </c>
      <c r="O186" s="29" t="inlineStr">
        <is>
          <t>Mar 27</t>
        </is>
      </c>
      <c r="P186" s="38" t="inlineStr">
        <is>
          <t>CUBIERTO</t>
        </is>
      </c>
    </row>
    <row r="187" ht="20" customHeight="1">
      <c r="A187" s="17" t="inlineStr">
        <is>
          <t>AQUOMAR0005</t>
        </is>
      </c>
      <c r="B187" s="18" t="inlineStr">
        <is>
          <t>AQUOM ARABIA, 5 L</t>
        </is>
      </c>
      <c r="C187" s="19" t="inlineStr">
        <is>
          <t>5</t>
        </is>
      </c>
      <c r="D187" s="19" t="inlineStr">
        <is>
          <t>Garrafas 5L</t>
        </is>
      </c>
      <c r="E187" s="19" t="inlineStr">
        <is>
          <t>Exportación</t>
        </is>
      </c>
      <c r="F187" s="20" t="n">
        <v>15</v>
      </c>
      <c r="G187" s="20" t="n">
        <v>0</v>
      </c>
      <c r="H187" s="20" t="n">
        <v>0</v>
      </c>
      <c r="I187" s="21">
        <f>G187+H187</f>
        <v/>
      </c>
      <c r="J187" s="22">
        <f>F187-I187</f>
        <v/>
      </c>
      <c r="K187" s="20" t="n">
        <v>0</v>
      </c>
      <c r="L187" s="23" t="n">
        <v>0</v>
      </c>
      <c r="M187" s="39" t="n">
        <v>0</v>
      </c>
      <c r="N187" s="25" t="n">
        <v>1</v>
      </c>
      <c r="O187" s="19" t="inlineStr">
        <is>
          <t>Abr 27</t>
        </is>
      </c>
      <c r="P187" s="38" t="inlineStr">
        <is>
          <t>CUBIERTO</t>
        </is>
      </c>
    </row>
    <row r="188" ht="20" customHeight="1">
      <c r="A188" s="27" t="inlineStr">
        <is>
          <t>SPAR0001</t>
        </is>
      </c>
      <c r="B188" s="28" t="inlineStr">
        <is>
          <t>SPRINTENE ARABIA, 1 L</t>
        </is>
      </c>
      <c r="C188" s="29" t="inlineStr">
        <is>
          <t>1</t>
        </is>
      </c>
      <c r="D188" s="29" t="inlineStr">
        <is>
          <t>Botellas 1L</t>
        </is>
      </c>
      <c r="E188" s="29" t="inlineStr">
        <is>
          <t>Exportación</t>
        </is>
      </c>
      <c r="F188" s="30" t="n">
        <v>0</v>
      </c>
      <c r="G188" s="30" t="n">
        <v>0</v>
      </c>
      <c r="H188" s="30" t="n">
        <v>0</v>
      </c>
      <c r="I188" s="31">
        <f>G188+H188</f>
        <v/>
      </c>
      <c r="J188" s="32">
        <f>F188-I188</f>
        <v/>
      </c>
      <c r="K188" s="30" t="n">
        <v>0</v>
      </c>
      <c r="L188" s="33" t="n">
        <v>0</v>
      </c>
      <c r="M188" s="37" t="n">
        <v>0</v>
      </c>
      <c r="N188" s="35" t="n">
        <v>1</v>
      </c>
      <c r="O188" s="29" t="inlineStr">
        <is>
          <t>Abr 27</t>
        </is>
      </c>
      <c r="P188" s="38" t="inlineStr">
        <is>
          <t>CUBIERTO</t>
        </is>
      </c>
    </row>
    <row r="189" ht="20" customHeight="1">
      <c r="A189" s="17" t="inlineStr">
        <is>
          <t>AGRMG20005</t>
        </is>
      </c>
      <c r="B189" s="18" t="inlineStr">
        <is>
          <t>C-SET</t>
        </is>
      </c>
      <c r="C189" s="19" t="inlineStr">
        <is>
          <t>5</t>
        </is>
      </c>
      <c r="D189" s="19" t="inlineStr">
        <is>
          <t>Garrafas 5L</t>
        </is>
      </c>
      <c r="E189" s="19" t="inlineStr">
        <is>
          <t>Exportación</t>
        </is>
      </c>
      <c r="F189" s="20" t="n">
        <v>0</v>
      </c>
      <c r="G189" s="20" t="n">
        <v>0</v>
      </c>
      <c r="H189" s="20" t="n">
        <v>0</v>
      </c>
      <c r="I189" s="21">
        <f>G189+H189</f>
        <v/>
      </c>
      <c r="J189" s="22">
        <f>F189-I189</f>
        <v/>
      </c>
      <c r="K189" s="20" t="n">
        <v>0</v>
      </c>
      <c r="L189" s="23" t="n">
        <v>0</v>
      </c>
      <c r="M189" s="39" t="n">
        <v>0</v>
      </c>
      <c r="N189" s="25" t="n">
        <v>0</v>
      </c>
      <c r="O189" s="19" t="inlineStr">
        <is>
          <t>Ene 27</t>
        </is>
      </c>
      <c r="P189" s="38" t="inlineStr">
        <is>
          <t>CUBIERTO</t>
        </is>
      </c>
    </row>
    <row r="190" ht="20" customHeight="1">
      <c r="A190" s="27" t="inlineStr">
        <is>
          <t>AGZNP0005</t>
        </is>
      </c>
      <c r="B190" s="28" t="inlineStr">
        <is>
          <t>AGROXILATO ZN PLUS, 5 KG</t>
        </is>
      </c>
      <c r="C190" s="29" t="inlineStr">
        <is>
          <t>5</t>
        </is>
      </c>
      <c r="D190" s="29" t="inlineStr">
        <is>
          <t>Garrafas 5L</t>
        </is>
      </c>
      <c r="E190" s="29" t="inlineStr">
        <is>
          <t>Nacional</t>
        </is>
      </c>
      <c r="F190" s="30" t="n">
        <v>1000</v>
      </c>
      <c r="G190" s="30" t="n">
        <v>0</v>
      </c>
      <c r="H190" s="30" t="n">
        <v>950</v>
      </c>
      <c r="I190" s="31">
        <f>G190+H190</f>
        <v/>
      </c>
      <c r="J190" s="32">
        <f>F190-I190</f>
        <v/>
      </c>
      <c r="K190" s="30" t="n">
        <v>0</v>
      </c>
      <c r="L190" s="33" t="n">
        <v>0</v>
      </c>
      <c r="M190" s="37" t="n">
        <v>0</v>
      </c>
      <c r="N190" s="35" t="n">
        <v>1.052631578947368</v>
      </c>
      <c r="O190" s="29" t="inlineStr">
        <is>
          <t>Ene 27</t>
        </is>
      </c>
      <c r="P190" s="38" t="inlineStr">
        <is>
          <t>CUBIERTO</t>
        </is>
      </c>
    </row>
    <row r="191" ht="20" customHeight="1">
      <c r="A191" s="17" t="inlineStr">
        <is>
          <t>AGZ-M0005</t>
        </is>
      </c>
      <c r="B191" s="18" t="inlineStr">
        <is>
          <t>AGROXILATO-ZN-MN, 5 KG</t>
        </is>
      </c>
      <c r="C191" s="19" t="inlineStr">
        <is>
          <t>5</t>
        </is>
      </c>
      <c r="D191" s="19" t="inlineStr">
        <is>
          <t>Garrafas 5L</t>
        </is>
      </c>
      <c r="E191" s="19" t="inlineStr">
        <is>
          <t>Nacional</t>
        </is>
      </c>
      <c r="F191" s="20" t="n">
        <v>1545</v>
      </c>
      <c r="G191" s="20" t="n">
        <v>0</v>
      </c>
      <c r="H191" s="20" t="n">
        <v>200</v>
      </c>
      <c r="I191" s="21">
        <f>G191+H191</f>
        <v/>
      </c>
      <c r="J191" s="22">
        <f>F191-I191</f>
        <v/>
      </c>
      <c r="K191" s="20" t="n">
        <v>0</v>
      </c>
      <c r="L191" s="23" t="n">
        <v>0</v>
      </c>
      <c r="M191" s="39" t="n">
        <v>0</v>
      </c>
      <c r="N191" s="25" t="n">
        <v>7.725</v>
      </c>
      <c r="O191" s="19" t="inlineStr">
        <is>
          <t>Sep 27</t>
        </is>
      </c>
      <c r="P191" s="38" t="inlineStr">
        <is>
          <t>CUBIERTO</t>
        </is>
      </c>
    </row>
    <row r="192" ht="20" customHeight="1">
      <c r="A192" s="27" t="inlineStr">
        <is>
          <t>ANAE0020</t>
        </is>
      </c>
      <c r="B192" s="28" t="inlineStr">
        <is>
          <t>ALCAPLANT NEW AE, 20 KG</t>
        </is>
      </c>
      <c r="C192" s="29" t="inlineStr">
        <is>
          <t>20</t>
        </is>
      </c>
      <c r="D192" s="29" t="inlineStr">
        <is>
          <t>Garrafas 20L</t>
        </is>
      </c>
      <c r="E192" s="29" t="inlineStr">
        <is>
          <t>Nacional</t>
        </is>
      </c>
      <c r="F192" s="30" t="n">
        <v>16020</v>
      </c>
      <c r="G192" s="30" t="n">
        <v>0</v>
      </c>
      <c r="H192" s="30" t="n">
        <v>7700</v>
      </c>
      <c r="I192" s="31">
        <f>G192+H192</f>
        <v/>
      </c>
      <c r="J192" s="32">
        <f>F192-I192</f>
        <v/>
      </c>
      <c r="K192" s="30" t="n">
        <v>0</v>
      </c>
      <c r="L192" s="33" t="n">
        <v>0</v>
      </c>
      <c r="M192" s="37" t="n">
        <v>0</v>
      </c>
      <c r="N192" s="35" t="n">
        <v>2.08051948051948</v>
      </c>
      <c r="O192" s="29" t="inlineStr">
        <is>
          <t>Abr 27</t>
        </is>
      </c>
      <c r="P192" s="38" t="inlineStr">
        <is>
          <t>CUBIERTO</t>
        </is>
      </c>
    </row>
    <row r="193" ht="20" customHeight="1">
      <c r="A193" s="17" t="inlineStr">
        <is>
          <t>C-MB0020</t>
        </is>
      </c>
      <c r="B193" s="18" t="inlineStr">
        <is>
          <t>CODIFOL-MB, 20 L</t>
        </is>
      </c>
      <c r="C193" s="19" t="inlineStr">
        <is>
          <t>20</t>
        </is>
      </c>
      <c r="D193" s="19" t="inlineStr">
        <is>
          <t>Garrafas 20L</t>
        </is>
      </c>
      <c r="E193" s="19" t="inlineStr">
        <is>
          <t>Nacional</t>
        </is>
      </c>
      <c r="F193" s="20" t="n">
        <v>1320</v>
      </c>
      <c r="G193" s="20" t="n">
        <v>0</v>
      </c>
      <c r="H193" s="20" t="n">
        <v>0</v>
      </c>
      <c r="I193" s="21">
        <f>G193+H193</f>
        <v/>
      </c>
      <c r="J193" s="22">
        <f>F193-I193</f>
        <v/>
      </c>
      <c r="K193" s="20" t="n">
        <v>0</v>
      </c>
      <c r="L193" s="23" t="n">
        <v>0</v>
      </c>
      <c r="M193" s="39" t="n">
        <v>0</v>
      </c>
      <c r="N193" s="25" t="n">
        <v>1</v>
      </c>
      <c r="O193" s="19" t="inlineStr">
        <is>
          <t>Feb 27</t>
        </is>
      </c>
      <c r="P193" s="38" t="inlineStr">
        <is>
          <t>CUBIERTO</t>
        </is>
      </c>
    </row>
    <row r="194" ht="20" customHeight="1">
      <c r="A194" s="27" t="inlineStr">
        <is>
          <t>N0200</t>
        </is>
      </c>
      <c r="B194" s="28" t="inlineStr">
        <is>
          <t>NUTRICALE, 200 L</t>
        </is>
      </c>
      <c r="C194" s="29" t="inlineStr">
        <is>
          <t>200</t>
        </is>
      </c>
      <c r="D194" s="29" t="inlineStr">
        <is>
          <t>Garrafas 20L</t>
        </is>
      </c>
      <c r="E194" s="29" t="inlineStr">
        <is>
          <t>Nacional</t>
        </is>
      </c>
      <c r="F194" s="30" t="n">
        <v>0</v>
      </c>
      <c r="G194" s="30" t="n">
        <v>0</v>
      </c>
      <c r="H194" s="30" t="n">
        <v>0</v>
      </c>
      <c r="I194" s="31">
        <f>G194+H194</f>
        <v/>
      </c>
      <c r="J194" s="32">
        <f>F194-I194</f>
        <v/>
      </c>
      <c r="K194" s="30" t="n">
        <v>0</v>
      </c>
      <c r="L194" s="33" t="n">
        <v>0</v>
      </c>
      <c r="M194" s="37" t="n">
        <v>0</v>
      </c>
      <c r="N194" s="35" t="n">
        <v>1</v>
      </c>
      <c r="O194" s="29" t="inlineStr">
        <is>
          <t>Mar 27</t>
        </is>
      </c>
      <c r="P194" s="38" t="inlineStr">
        <is>
          <t>CUBIERTO</t>
        </is>
      </c>
    </row>
    <row r="195" ht="20" customHeight="1">
      <c r="A195" s="17" t="inlineStr">
        <is>
          <t>AVAN1000</t>
        </is>
      </c>
      <c r="B195" s="18" t="inlineStr">
        <is>
          <t>FLORAMEC AVANCE, 1000 L</t>
        </is>
      </c>
      <c r="C195" s="19" t="inlineStr">
        <is>
          <t>1000</t>
        </is>
      </c>
      <c r="D195" s="19" t="inlineStr">
        <is>
          <t>Botellas 1L</t>
        </is>
      </c>
      <c r="E195" s="19" t="inlineStr">
        <is>
          <t>Nacional</t>
        </is>
      </c>
      <c r="F195" s="20" t="n">
        <v>0</v>
      </c>
      <c r="G195" s="20" t="n">
        <v>0</v>
      </c>
      <c r="H195" s="20" t="n">
        <v>0</v>
      </c>
      <c r="I195" s="21">
        <f>G195+H195</f>
        <v/>
      </c>
      <c r="J195" s="22">
        <f>F195-I195</f>
        <v/>
      </c>
      <c r="K195" s="20" t="n">
        <v>0</v>
      </c>
      <c r="L195" s="23" t="n">
        <v>0</v>
      </c>
      <c r="M195" s="39" t="n">
        <v>0</v>
      </c>
      <c r="N195" s="25" t="n">
        <v>1</v>
      </c>
      <c r="O195" s="19" t="inlineStr">
        <is>
          <t>Abr 27</t>
        </is>
      </c>
      <c r="P195" s="38" t="inlineStr">
        <is>
          <t>CUBIERTO</t>
        </is>
      </c>
    </row>
    <row r="196" ht="20" customHeight="1">
      <c r="A196" s="27" t="inlineStr">
        <is>
          <t>P-5X0005</t>
        </is>
      </c>
      <c r="B196" s="28" t="inlineStr">
        <is>
          <t>P.M.S. 5x, 5 L</t>
        </is>
      </c>
      <c r="C196" s="29" t="inlineStr">
        <is>
          <t>5</t>
        </is>
      </c>
      <c r="D196" s="29" t="inlineStr">
        <is>
          <t>Garrafas 5L</t>
        </is>
      </c>
      <c r="E196" s="29" t="inlineStr">
        <is>
          <t>Nacional</t>
        </is>
      </c>
      <c r="F196" s="30" t="n">
        <v>100</v>
      </c>
      <c r="G196" s="30" t="n">
        <v>0</v>
      </c>
      <c r="H196" s="30" t="n">
        <v>100</v>
      </c>
      <c r="I196" s="31">
        <f>G196+H196</f>
        <v/>
      </c>
      <c r="J196" s="32">
        <f>F196-I196</f>
        <v/>
      </c>
      <c r="K196" s="30" t="n">
        <v>0</v>
      </c>
      <c r="L196" s="33" t="n">
        <v>0</v>
      </c>
      <c r="M196" s="37" t="n">
        <v>0</v>
      </c>
      <c r="N196" s="35" t="n">
        <v>1</v>
      </c>
      <c r="O196" s="29" t="inlineStr">
        <is>
          <t>Ene 27</t>
        </is>
      </c>
      <c r="P196" s="38" t="inlineStr">
        <is>
          <t>CUBIERTO</t>
        </is>
      </c>
    </row>
    <row r="197" ht="20" customHeight="1">
      <c r="A197" s="17" t="inlineStr">
        <is>
          <t>P-5X0020</t>
        </is>
      </c>
      <c r="B197" s="18" t="inlineStr">
        <is>
          <t>P.M.S. 5x, 20 L</t>
        </is>
      </c>
      <c r="C197" s="19" t="inlineStr">
        <is>
          <t>20</t>
        </is>
      </c>
      <c r="D197" s="19" t="inlineStr">
        <is>
          <t>Garrafas 20L</t>
        </is>
      </c>
      <c r="E197" s="19" t="inlineStr">
        <is>
          <t>Nacional</t>
        </is>
      </c>
      <c r="F197" s="20" t="n">
        <v>820</v>
      </c>
      <c r="G197" s="20" t="n">
        <v>0</v>
      </c>
      <c r="H197" s="20" t="n">
        <v>0</v>
      </c>
      <c r="I197" s="21">
        <f>G197+H197</f>
        <v/>
      </c>
      <c r="J197" s="22">
        <f>F197-I197</f>
        <v/>
      </c>
      <c r="K197" s="20" t="n">
        <v>0</v>
      </c>
      <c r="L197" s="23" t="n">
        <v>0</v>
      </c>
      <c r="M197" s="39" t="n">
        <v>0</v>
      </c>
      <c r="N197" s="25" t="n">
        <v>1</v>
      </c>
      <c r="O197" s="19" t="inlineStr">
        <is>
          <t>Mar 27</t>
        </is>
      </c>
      <c r="P197" s="38" t="inlineStr">
        <is>
          <t>CUBIERTO</t>
        </is>
      </c>
    </row>
    <row r="198" ht="20" customHeight="1">
      <c r="A198" s="27" t="inlineStr">
        <is>
          <t>AGXKAE0020</t>
        </is>
      </c>
      <c r="B198" s="28" t="inlineStr">
        <is>
          <t>BIOCULTURE POTASIO, 20 L</t>
        </is>
      </c>
      <c r="C198" s="29" t="inlineStr">
        <is>
          <t>20</t>
        </is>
      </c>
      <c r="D198" s="29" t="inlineStr">
        <is>
          <t>Garrafas 20L</t>
        </is>
      </c>
      <c r="E198" s="29" t="inlineStr">
        <is>
          <t>Nacional</t>
        </is>
      </c>
      <c r="F198" s="30" t="n">
        <v>640</v>
      </c>
      <c r="G198" s="30" t="n">
        <v>0</v>
      </c>
      <c r="H198" s="30" t="n">
        <v>640</v>
      </c>
      <c r="I198" s="31">
        <f>G198+H198</f>
        <v/>
      </c>
      <c r="J198" s="32">
        <f>F198-I198</f>
        <v/>
      </c>
      <c r="K198" s="30" t="n">
        <v>0</v>
      </c>
      <c r="L198" s="33" t="n">
        <v>0</v>
      </c>
      <c r="M198" s="37" t="n">
        <v>0</v>
      </c>
      <c r="N198" s="35" t="n">
        <v>1</v>
      </c>
      <c r="O198" s="29" t="inlineStr">
        <is>
          <t>Feb 27</t>
        </is>
      </c>
      <c r="P198" s="38" t="inlineStr">
        <is>
          <t>CUBIERTO</t>
        </is>
      </c>
    </row>
    <row r="199" ht="20" customHeight="1">
      <c r="A199" s="17" t="inlineStr">
        <is>
          <t>CALCIO0005</t>
        </is>
      </c>
      <c r="B199" s="18" t="inlineStr">
        <is>
          <t>CALCIAMEC, 5 KG</t>
        </is>
      </c>
      <c r="C199" s="19" t="inlineStr">
        <is>
          <t>5</t>
        </is>
      </c>
      <c r="D199" s="19" t="inlineStr">
        <is>
          <t>Garrafas 5L</t>
        </is>
      </c>
      <c r="E199" s="19" t="inlineStr">
        <is>
          <t>Nacional+Export</t>
        </is>
      </c>
      <c r="F199" s="20" t="n">
        <v>4630</v>
      </c>
      <c r="G199" s="20" t="n">
        <v>0</v>
      </c>
      <c r="H199" s="20" t="n">
        <v>3425</v>
      </c>
      <c r="I199" s="21">
        <f>G199+H199</f>
        <v/>
      </c>
      <c r="J199" s="22">
        <f>F199-I199</f>
        <v/>
      </c>
      <c r="K199" s="20" t="n">
        <v>0</v>
      </c>
      <c r="L199" s="23" t="n">
        <v>0</v>
      </c>
      <c r="M199" s="39" t="n">
        <v>0</v>
      </c>
      <c r="N199" s="25" t="n">
        <v>1.351824817518248</v>
      </c>
      <c r="O199" s="19" t="inlineStr">
        <is>
          <t>Abr 27</t>
        </is>
      </c>
      <c r="P199" s="38" t="inlineStr">
        <is>
          <t>CUBIERTO</t>
        </is>
      </c>
    </row>
    <row r="200" ht="20" customHeight="1">
      <c r="A200" s="27" t="inlineStr">
        <is>
          <t>SSAE0005</t>
        </is>
      </c>
      <c r="B200" s="28" t="inlineStr">
        <is>
          <t>MAGNIFIC-VIETS-AE, 5 KG</t>
        </is>
      </c>
      <c r="C200" s="29" t="inlineStr">
        <is>
          <t>5</t>
        </is>
      </c>
      <c r="D200" s="29" t="inlineStr">
        <is>
          <t>Garrafas 5L</t>
        </is>
      </c>
      <c r="E200" s="29" t="inlineStr">
        <is>
          <t>Nacional+Export</t>
        </is>
      </c>
      <c r="F200" s="30" t="n">
        <v>485</v>
      </c>
      <c r="G200" s="30" t="n">
        <v>0</v>
      </c>
      <c r="H200" s="30" t="n">
        <v>200</v>
      </c>
      <c r="I200" s="31">
        <f>G200+H200</f>
        <v/>
      </c>
      <c r="J200" s="32">
        <f>F200-I200</f>
        <v/>
      </c>
      <c r="K200" s="30" t="n">
        <v>0</v>
      </c>
      <c r="L200" s="33" t="n">
        <v>0</v>
      </c>
      <c r="M200" s="37" t="n">
        <v>0</v>
      </c>
      <c r="N200" s="35" t="n">
        <v>2.425</v>
      </c>
      <c r="O200" s="29" t="inlineStr">
        <is>
          <t>Mar 27</t>
        </is>
      </c>
      <c r="P200" s="38" t="inlineStr">
        <is>
          <t>CUBIERTO</t>
        </is>
      </c>
    </row>
    <row r="201" ht="20" customHeight="1">
      <c r="A201" s="17" t="inlineStr">
        <is>
          <t>GRE20001</t>
        </is>
      </c>
      <c r="B201" s="18" t="inlineStr">
        <is>
          <t>EGERSIS</t>
        </is>
      </c>
      <c r="C201" s="19" t="inlineStr">
        <is>
          <t>1</t>
        </is>
      </c>
      <c r="D201" s="19" t="inlineStr">
        <is>
          <t>Botellas 1L</t>
        </is>
      </c>
      <c r="E201" s="19" t="inlineStr">
        <is>
          <t>Exportación</t>
        </is>
      </c>
      <c r="F201" s="20" t="n">
        <v>0</v>
      </c>
      <c r="G201" s="20" t="n">
        <v>0</v>
      </c>
      <c r="H201" s="20" t="n">
        <v>0</v>
      </c>
      <c r="I201" s="21">
        <f>G201+H201</f>
        <v/>
      </c>
      <c r="J201" s="22">
        <f>F201-I201</f>
        <v/>
      </c>
      <c r="K201" s="20" t="n">
        <v>0</v>
      </c>
      <c r="L201" s="23" t="n">
        <v>0</v>
      </c>
      <c r="M201" s="39" t="n">
        <v>0</v>
      </c>
      <c r="N201" s="25" t="n">
        <v>1</v>
      </c>
      <c r="O201" s="19" t="inlineStr">
        <is>
          <t>Feb 27</t>
        </is>
      </c>
      <c r="P201" s="38" t="inlineStr">
        <is>
          <t>CUBIERTO</t>
        </is>
      </c>
    </row>
    <row r="202" ht="20" customHeight="1">
      <c r="A202" s="27" t="inlineStr">
        <is>
          <t>AGNF0020</t>
        </is>
      </c>
      <c r="B202" s="28" t="inlineStr">
        <is>
          <t>CODIGREEN, 20 L</t>
        </is>
      </c>
      <c r="C202" s="29" t="inlineStr">
        <is>
          <t>20</t>
        </is>
      </c>
      <c r="D202" s="29" t="inlineStr">
        <is>
          <t>Garrafas 20L</t>
        </is>
      </c>
      <c r="E202" s="29" t="inlineStr">
        <is>
          <t>Exportación</t>
        </is>
      </c>
      <c r="F202" s="30" t="n">
        <v>0</v>
      </c>
      <c r="G202" s="30" t="n">
        <v>0</v>
      </c>
      <c r="H202" s="30" t="n">
        <v>0</v>
      </c>
      <c r="I202" s="31">
        <f>G202+H202</f>
        <v/>
      </c>
      <c r="J202" s="32">
        <f>F202-I202</f>
        <v/>
      </c>
      <c r="K202" s="30" t="n">
        <v>0</v>
      </c>
      <c r="L202" s="33" t="n">
        <v>0</v>
      </c>
      <c r="M202" s="37" t="n">
        <v>0</v>
      </c>
      <c r="N202" s="35" t="n">
        <v>1</v>
      </c>
      <c r="O202" s="29" t="inlineStr">
        <is>
          <t>Jun 27</t>
        </is>
      </c>
      <c r="P202" s="38" t="inlineStr">
        <is>
          <t>CUBIERTO</t>
        </is>
      </c>
    </row>
    <row r="203" ht="20" customHeight="1">
      <c r="A203" s="17" t="inlineStr">
        <is>
          <t>BIO0200</t>
        </is>
      </c>
      <c r="B203" s="18" t="inlineStr">
        <is>
          <t>RADISOL-20, 200 L</t>
        </is>
      </c>
      <c r="C203" s="19" t="inlineStr">
        <is>
          <t>200</t>
        </is>
      </c>
      <c r="D203" s="19" t="inlineStr">
        <is>
          <t>Garrafas 20L</t>
        </is>
      </c>
      <c r="E203" s="19" t="inlineStr">
        <is>
          <t>Nacional+Export</t>
        </is>
      </c>
      <c r="F203" s="20" t="n">
        <v>0</v>
      </c>
      <c r="G203" s="20" t="n">
        <v>0</v>
      </c>
      <c r="H203" s="20" t="n">
        <v>0</v>
      </c>
      <c r="I203" s="21">
        <f>G203+H203</f>
        <v/>
      </c>
      <c r="J203" s="22">
        <f>F203-I203</f>
        <v/>
      </c>
      <c r="K203" s="20" t="n">
        <v>0</v>
      </c>
      <c r="L203" s="23" t="n">
        <v>0</v>
      </c>
      <c r="M203" s="39" t="n">
        <v>0</v>
      </c>
      <c r="N203" s="25" t="n">
        <v>1</v>
      </c>
      <c r="O203" s="19" t="inlineStr">
        <is>
          <t>Ene 27</t>
        </is>
      </c>
      <c r="P203" s="38" t="inlineStr">
        <is>
          <t>CUBIERTO</t>
        </is>
      </c>
    </row>
    <row r="204" ht="20" customHeight="1">
      <c r="A204" s="27" t="inlineStr">
        <is>
          <t>BM0005</t>
        </is>
      </c>
      <c r="B204" s="28" t="inlineStr">
        <is>
          <t>BOROCAL MAROC</t>
        </is>
      </c>
      <c r="C204" s="29" t="inlineStr">
        <is>
          <t>5</t>
        </is>
      </c>
      <c r="D204" s="29" t="inlineStr">
        <is>
          <t>Garrafas 5L</t>
        </is>
      </c>
      <c r="E204" s="29" t="inlineStr">
        <is>
          <t>Exportación</t>
        </is>
      </c>
      <c r="F204" s="30" t="n">
        <v>0</v>
      </c>
      <c r="G204" s="30" t="n">
        <v>0</v>
      </c>
      <c r="H204" s="30" t="n">
        <v>0</v>
      </c>
      <c r="I204" s="31">
        <f>G204+H204</f>
        <v/>
      </c>
      <c r="J204" s="32">
        <f>F204-I204</f>
        <v/>
      </c>
      <c r="K204" s="30" t="n">
        <v>0</v>
      </c>
      <c r="L204" s="33" t="n">
        <v>0</v>
      </c>
      <c r="M204" s="37" t="n">
        <v>0</v>
      </c>
      <c r="N204" s="35" t="n">
        <v>1</v>
      </c>
      <c r="O204" s="29" t="inlineStr">
        <is>
          <t>Jul 27</t>
        </is>
      </c>
      <c r="P204" s="38" t="inlineStr">
        <is>
          <t>CUBIERTO</t>
        </is>
      </c>
    </row>
    <row r="205" ht="20" customHeight="1">
      <c r="A205" s="17" t="inlineStr">
        <is>
          <t>C-M-P0005</t>
        </is>
      </c>
      <c r="B205" s="18" t="inlineStr">
        <is>
          <t>CODIFOL-MO-PLUS, 5 L</t>
        </is>
      </c>
      <c r="C205" s="19" t="inlineStr">
        <is>
          <t>5</t>
        </is>
      </c>
      <c r="D205" s="19" t="inlineStr">
        <is>
          <t>Garrafas 5L</t>
        </is>
      </c>
      <c r="E205" s="19" t="inlineStr">
        <is>
          <t>Nacional+Export</t>
        </is>
      </c>
      <c r="F205" s="20" t="n">
        <v>860</v>
      </c>
      <c r="G205" s="20" t="n">
        <v>0</v>
      </c>
      <c r="H205" s="20" t="n">
        <v>0</v>
      </c>
      <c r="I205" s="21">
        <f>G205+H205</f>
        <v/>
      </c>
      <c r="J205" s="22">
        <f>F205-I205</f>
        <v/>
      </c>
      <c r="K205" s="20" t="n">
        <v>0</v>
      </c>
      <c r="L205" s="23" t="n">
        <v>0</v>
      </c>
      <c r="M205" s="39" t="n">
        <v>0</v>
      </c>
      <c r="N205" s="25" t="n">
        <v>1</v>
      </c>
      <c r="O205" s="19" t="inlineStr">
        <is>
          <t>Cubierto &gt;15 meses</t>
        </is>
      </c>
      <c r="P205" s="38" t="inlineStr">
        <is>
          <t>CUBIERTO</t>
        </is>
      </c>
    </row>
    <row r="206" ht="20" customHeight="1">
      <c r="A206" s="27" t="inlineStr">
        <is>
          <t>F-MIX0005</t>
        </is>
      </c>
      <c r="B206" s="28" t="inlineStr">
        <is>
          <t>FITOLIN-MIX, 5 L</t>
        </is>
      </c>
      <c r="C206" s="29" t="inlineStr">
        <is>
          <t>5</t>
        </is>
      </c>
      <c r="D206" s="29" t="inlineStr">
        <is>
          <t>Garrafas 5L</t>
        </is>
      </c>
      <c r="E206" s="29" t="inlineStr">
        <is>
          <t>Exportación</t>
        </is>
      </c>
      <c r="F206" s="30" t="n">
        <v>0</v>
      </c>
      <c r="G206" s="30" t="n">
        <v>0</v>
      </c>
      <c r="H206" s="30" t="n">
        <v>0</v>
      </c>
      <c r="I206" s="31">
        <f>G206+H206</f>
        <v/>
      </c>
      <c r="J206" s="32">
        <f>F206-I206</f>
        <v/>
      </c>
      <c r="K206" s="30" t="n">
        <v>0</v>
      </c>
      <c r="L206" s="33" t="n">
        <v>0</v>
      </c>
      <c r="M206" s="37" t="n">
        <v>0</v>
      </c>
      <c r="N206" s="35" t="n">
        <v>0</v>
      </c>
      <c r="O206" s="29" t="inlineStr">
        <is>
          <t>Jul 27</t>
        </is>
      </c>
      <c r="P206" s="38" t="inlineStr">
        <is>
          <t>CUBIERTO</t>
        </is>
      </c>
    </row>
    <row r="207" ht="20" customHeight="1">
      <c r="A207" s="17" t="inlineStr">
        <is>
          <t>NI0005</t>
        </is>
      </c>
      <c r="B207" s="18" t="inlineStr">
        <is>
          <t>NUTRICALE</t>
        </is>
      </c>
      <c r="C207" s="19" t="inlineStr">
        <is>
          <t>5</t>
        </is>
      </c>
      <c r="D207" s="19" t="inlineStr">
        <is>
          <t>Garrafas 5L</t>
        </is>
      </c>
      <c r="E207" s="19" t="inlineStr">
        <is>
          <t>Exportación</t>
        </is>
      </c>
      <c r="F207" s="20" t="n">
        <v>400</v>
      </c>
      <c r="G207" s="20" t="n">
        <v>0</v>
      </c>
      <c r="H207" s="20" t="n">
        <v>0</v>
      </c>
      <c r="I207" s="21">
        <f>G207+H207</f>
        <v/>
      </c>
      <c r="J207" s="22">
        <f>F207-I207</f>
        <v/>
      </c>
      <c r="K207" s="20" t="n">
        <v>0</v>
      </c>
      <c r="L207" s="23" t="n">
        <v>0</v>
      </c>
      <c r="M207" s="39" t="n">
        <v>0</v>
      </c>
      <c r="N207" s="25" t="n">
        <v>1</v>
      </c>
      <c r="O207" s="19" t="inlineStr">
        <is>
          <t>May 27</t>
        </is>
      </c>
      <c r="P207" s="38" t="inlineStr">
        <is>
          <t>CUBIERTO</t>
        </is>
      </c>
    </row>
    <row r="208" ht="20" customHeight="1">
      <c r="A208" s="27" t="inlineStr">
        <is>
          <t>PHD0020</t>
        </is>
      </c>
      <c r="B208" s="28" t="inlineStr">
        <is>
          <t>PH-DOWNER</t>
        </is>
      </c>
      <c r="C208" s="29" t="inlineStr">
        <is>
          <t>20</t>
        </is>
      </c>
      <c r="D208" s="29" t="inlineStr">
        <is>
          <t>Garrafas 20L</t>
        </is>
      </c>
      <c r="E208" s="29" t="inlineStr">
        <is>
          <t>Nacional+Export</t>
        </is>
      </c>
      <c r="F208" s="30" t="n">
        <v>1420</v>
      </c>
      <c r="G208" s="30" t="n">
        <v>0</v>
      </c>
      <c r="H208" s="30" t="n">
        <v>1240</v>
      </c>
      <c r="I208" s="31">
        <f>G208+H208</f>
        <v/>
      </c>
      <c r="J208" s="32">
        <f>F208-I208</f>
        <v/>
      </c>
      <c r="K208" s="30" t="n">
        <v>0</v>
      </c>
      <c r="L208" s="33" t="n">
        <v>0</v>
      </c>
      <c r="M208" s="37" t="n">
        <v>0</v>
      </c>
      <c r="N208" s="35" t="n">
        <v>1.145161290322581</v>
      </c>
      <c r="O208" s="29" t="inlineStr">
        <is>
          <t>Feb 27</t>
        </is>
      </c>
      <c r="P208" s="38" t="inlineStr">
        <is>
          <t>CUBIERTO</t>
        </is>
      </c>
    </row>
    <row r="209" ht="20" customHeight="1">
      <c r="A209" s="17" t="inlineStr">
        <is>
          <t>SPCE2B0020</t>
        </is>
      </c>
      <c r="B209" s="18" t="inlineStr">
        <is>
          <t>SPRINTENE CON BORO</t>
        </is>
      </c>
      <c r="C209" s="19" t="inlineStr">
        <is>
          <t>20</t>
        </is>
      </c>
      <c r="D209" s="19" t="inlineStr">
        <is>
          <t>Garrafas 20L</t>
        </is>
      </c>
      <c r="E209" s="19" t="inlineStr">
        <is>
          <t>Nacional+Export</t>
        </is>
      </c>
      <c r="F209" s="20" t="n">
        <v>1720</v>
      </c>
      <c r="G209" s="20" t="n">
        <v>0</v>
      </c>
      <c r="H209" s="20" t="n">
        <v>1280</v>
      </c>
      <c r="I209" s="21">
        <f>G209+H209</f>
        <v/>
      </c>
      <c r="J209" s="22">
        <f>F209-I209</f>
        <v/>
      </c>
      <c r="K209" s="20" t="n">
        <v>0</v>
      </c>
      <c r="L209" s="23" t="n">
        <v>0</v>
      </c>
      <c r="M209" s="39" t="n">
        <v>0</v>
      </c>
      <c r="N209" s="25" t="n">
        <v>1.34375</v>
      </c>
      <c r="O209" s="19" t="inlineStr">
        <is>
          <t>Feb 27</t>
        </is>
      </c>
      <c r="P209" s="38" t="inlineStr">
        <is>
          <t>CUBIERTO</t>
        </is>
      </c>
    </row>
    <row r="210" ht="20" customHeight="1">
      <c r="A210" s="27" t="inlineStr">
        <is>
          <t>AGNF0001</t>
        </is>
      </c>
      <c r="B210" s="28" t="inlineStr">
        <is>
          <t>CODIGREEN</t>
        </is>
      </c>
      <c r="C210" s="29" t="inlineStr">
        <is>
          <t>1</t>
        </is>
      </c>
      <c r="D210" s="29" t="inlineStr">
        <is>
          <t>Botellas 1L</t>
        </is>
      </c>
      <c r="E210" s="29" t="inlineStr">
        <is>
          <t>Exportación</t>
        </is>
      </c>
      <c r="F210" s="30" t="n">
        <v>0</v>
      </c>
      <c r="G210" s="30" t="n">
        <v>0</v>
      </c>
      <c r="H210" s="30" t="n">
        <v>0</v>
      </c>
      <c r="I210" s="31">
        <f>G210+H210</f>
        <v/>
      </c>
      <c r="J210" s="32">
        <f>F210-I210</f>
        <v/>
      </c>
      <c r="K210" s="30" t="n">
        <v>0</v>
      </c>
      <c r="L210" s="33" t="n">
        <v>0</v>
      </c>
      <c r="M210" s="37" t="n">
        <v>0</v>
      </c>
      <c r="N210" s="35" t="n">
        <v>1</v>
      </c>
      <c r="O210" s="29" t="inlineStr">
        <is>
          <t>Ene 27</t>
        </is>
      </c>
      <c r="P210" s="38" t="inlineStr">
        <is>
          <t>CUBIERTO</t>
        </is>
      </c>
    </row>
    <row r="211" ht="20" customHeight="1">
      <c r="A211" s="17" t="inlineStr">
        <is>
          <t>AGXCR0200</t>
        </is>
      </c>
      <c r="B211" s="18" t="inlineStr">
        <is>
          <t>AGROXILATO-K</t>
        </is>
      </c>
      <c r="C211" s="19" t="inlineStr">
        <is>
          <t>200</t>
        </is>
      </c>
      <c r="D211" s="19" t="inlineStr">
        <is>
          <t>Garrafas 20L</t>
        </is>
      </c>
      <c r="E211" s="19" t="inlineStr">
        <is>
          <t>Exportación</t>
        </is>
      </c>
      <c r="F211" s="20" t="n">
        <v>0</v>
      </c>
      <c r="G211" s="20" t="n">
        <v>0</v>
      </c>
      <c r="H211" s="20" t="n">
        <v>0</v>
      </c>
      <c r="I211" s="21">
        <f>G211+H211</f>
        <v/>
      </c>
      <c r="J211" s="22">
        <f>F211-I211</f>
        <v/>
      </c>
      <c r="K211" s="20" t="n">
        <v>0</v>
      </c>
      <c r="L211" s="23" t="n">
        <v>0</v>
      </c>
      <c r="M211" s="39" t="n">
        <v>0</v>
      </c>
      <c r="N211" s="25" t="n">
        <v>1</v>
      </c>
      <c r="O211" s="19" t="inlineStr">
        <is>
          <t>Mar 27</t>
        </is>
      </c>
      <c r="P211" s="38" t="inlineStr">
        <is>
          <t>CUBIERTO</t>
        </is>
      </c>
    </row>
    <row r="212" ht="20" customHeight="1">
      <c r="A212" s="27" t="inlineStr">
        <is>
          <t>AO0005</t>
        </is>
      </c>
      <c r="B212" s="28" t="inlineStr">
        <is>
          <t>ALCAPLANT OMRI, 5 KG</t>
        </is>
      </c>
      <c r="C212" s="29" t="inlineStr">
        <is>
          <t>5</t>
        </is>
      </c>
      <c r="D212" s="29" t="inlineStr">
        <is>
          <t>Garrafas 5L</t>
        </is>
      </c>
      <c r="E212" s="29" t="inlineStr">
        <is>
          <t>Exportación</t>
        </is>
      </c>
      <c r="F212" s="30" t="n">
        <v>7210</v>
      </c>
      <c r="G212" s="30" t="n">
        <v>0</v>
      </c>
      <c r="H212" s="30" t="n">
        <v>0</v>
      </c>
      <c r="I212" s="31">
        <f>G212+H212</f>
        <v/>
      </c>
      <c r="J212" s="32">
        <f>F212-I212</f>
        <v/>
      </c>
      <c r="K212" s="30" t="n">
        <v>0</v>
      </c>
      <c r="L212" s="33" t="n">
        <v>0</v>
      </c>
      <c r="M212" s="37" t="n">
        <v>0</v>
      </c>
      <c r="N212" s="35" t="n">
        <v>1</v>
      </c>
      <c r="O212" s="29" t="inlineStr">
        <is>
          <t>Cubierto &gt;15 meses</t>
        </is>
      </c>
      <c r="P212" s="38" t="inlineStr">
        <is>
          <t>CUBIERTO</t>
        </is>
      </c>
    </row>
    <row r="213" ht="20" customHeight="1">
      <c r="A213" s="17" t="inlineStr">
        <is>
          <t>B0200RORU</t>
        </is>
      </c>
      <c r="B213" s="18" t="inlineStr">
        <is>
          <t>BOROCAL</t>
        </is>
      </c>
      <c r="C213" s="19" t="inlineStr">
        <is>
          <t>200</t>
        </is>
      </c>
      <c r="D213" s="19" t="inlineStr">
        <is>
          <t>Garrafas 20L</t>
        </is>
      </c>
      <c r="E213" s="19" t="inlineStr">
        <is>
          <t>Exportación</t>
        </is>
      </c>
      <c r="F213" s="20" t="n">
        <v>0</v>
      </c>
      <c r="G213" s="20" t="n">
        <v>0</v>
      </c>
      <c r="H213" s="20" t="n">
        <v>0</v>
      </c>
      <c r="I213" s="21">
        <f>G213+H213</f>
        <v/>
      </c>
      <c r="J213" s="22">
        <f>F213-I213</f>
        <v/>
      </c>
      <c r="K213" s="20" t="n">
        <v>0</v>
      </c>
      <c r="L213" s="23" t="n">
        <v>0</v>
      </c>
      <c r="M213" s="39" t="n">
        <v>0</v>
      </c>
      <c r="N213" s="25" t="n">
        <v>1</v>
      </c>
      <c r="O213" s="19" t="inlineStr">
        <is>
          <t>Jun 27</t>
        </is>
      </c>
      <c r="P213" s="38" t="inlineStr">
        <is>
          <t>CUBIERTO</t>
        </is>
      </c>
    </row>
    <row r="214" ht="20" customHeight="1">
      <c r="A214" s="27" t="inlineStr">
        <is>
          <t>CALCIO0001</t>
        </is>
      </c>
      <c r="B214" s="28" t="inlineStr">
        <is>
          <t>CALCIAMEC</t>
        </is>
      </c>
      <c r="C214" s="29" t="inlineStr">
        <is>
          <t>1</t>
        </is>
      </c>
      <c r="D214" s="29" t="inlineStr">
        <is>
          <t>Botellas 1L</t>
        </is>
      </c>
      <c r="E214" s="29" t="inlineStr">
        <is>
          <t>Exportación</t>
        </is>
      </c>
      <c r="F214" s="30" t="n">
        <v>1200</v>
      </c>
      <c r="G214" s="30" t="n">
        <v>0</v>
      </c>
      <c r="H214" s="30" t="n">
        <v>0</v>
      </c>
      <c r="I214" s="31">
        <f>G214+H214</f>
        <v/>
      </c>
      <c r="J214" s="32">
        <f>F214-I214</f>
        <v/>
      </c>
      <c r="K214" s="30" t="n">
        <v>0</v>
      </c>
      <c r="L214" s="33" t="n">
        <v>0</v>
      </c>
      <c r="M214" s="37" t="n">
        <v>0</v>
      </c>
      <c r="N214" s="35" t="n">
        <v>1</v>
      </c>
      <c r="O214" s="29" t="inlineStr">
        <is>
          <t>Feb 27</t>
        </is>
      </c>
      <c r="P214" s="38" t="inlineStr">
        <is>
          <t>CUBIERTO</t>
        </is>
      </c>
    </row>
    <row r="215" ht="20" customHeight="1">
      <c r="A215" s="17" t="inlineStr">
        <is>
          <t>CALCIO0020</t>
        </is>
      </c>
      <c r="B215" s="18" t="inlineStr">
        <is>
          <t>CALCIAMEC</t>
        </is>
      </c>
      <c r="C215" s="19" t="inlineStr">
        <is>
          <t>20</t>
        </is>
      </c>
      <c r="D215" s="19" t="inlineStr">
        <is>
          <t>Garrafas 20L</t>
        </is>
      </c>
      <c r="E215" s="19" t="inlineStr">
        <is>
          <t>Nacional+Export</t>
        </is>
      </c>
      <c r="F215" s="20" t="n">
        <v>2400</v>
      </c>
      <c r="G215" s="20" t="n">
        <v>0</v>
      </c>
      <c r="H215" s="20" t="n">
        <v>1000</v>
      </c>
      <c r="I215" s="21">
        <f>G215+H215</f>
        <v/>
      </c>
      <c r="J215" s="22">
        <f>F215-I215</f>
        <v/>
      </c>
      <c r="K215" s="20" t="n">
        <v>0</v>
      </c>
      <c r="L215" s="23" t="n">
        <v>0</v>
      </c>
      <c r="M215" s="39" t="n">
        <v>0</v>
      </c>
      <c r="N215" s="25" t="n">
        <v>2.4</v>
      </c>
      <c r="O215" s="19" t="inlineStr">
        <is>
          <t>Feb 27</t>
        </is>
      </c>
      <c r="P215" s="38" t="inlineStr">
        <is>
          <t>CUBIERTO</t>
        </is>
      </c>
    </row>
    <row r="216" ht="20" customHeight="1">
      <c r="A216" s="27" t="inlineStr">
        <is>
          <t>FROST-P0001</t>
        </is>
      </c>
      <c r="B216" s="28" t="inlineStr">
        <is>
          <t>CODIFROST PLUS, 1 L</t>
        </is>
      </c>
      <c r="C216" s="29" t="inlineStr">
        <is>
          <t>1</t>
        </is>
      </c>
      <c r="D216" s="29" t="inlineStr">
        <is>
          <t>Botellas 1L</t>
        </is>
      </c>
      <c r="E216" s="29" t="inlineStr">
        <is>
          <t>Exportación</t>
        </is>
      </c>
      <c r="F216" s="30" t="n">
        <v>0</v>
      </c>
      <c r="G216" s="30" t="n">
        <v>0</v>
      </c>
      <c r="H216" s="30" t="n">
        <v>0</v>
      </c>
      <c r="I216" s="31">
        <f>G216+H216</f>
        <v/>
      </c>
      <c r="J216" s="32">
        <f>F216-I216</f>
        <v/>
      </c>
      <c r="K216" s="30" t="n">
        <v>0</v>
      </c>
      <c r="L216" s="33" t="n">
        <v>0</v>
      </c>
      <c r="M216" s="37" t="n">
        <v>0</v>
      </c>
      <c r="N216" s="35" t="n">
        <v>1</v>
      </c>
      <c r="O216" s="29" t="inlineStr">
        <is>
          <t>Jul 27</t>
        </is>
      </c>
      <c r="P216" s="38" t="inlineStr">
        <is>
          <t>CUBIERTO</t>
        </is>
      </c>
    </row>
    <row r="217" ht="20" customHeight="1">
      <c r="A217" s="17" t="inlineStr">
        <is>
          <t>G0020RORU</t>
        </is>
      </c>
      <c r="B217" s="18" t="inlineStr">
        <is>
          <t>GREEN-UP</t>
        </is>
      </c>
      <c r="C217" s="19" t="inlineStr">
        <is>
          <t>20</t>
        </is>
      </c>
      <c r="D217" s="19" t="inlineStr">
        <is>
          <t>Garrafas 20L</t>
        </is>
      </c>
      <c r="E217" s="19" t="inlineStr">
        <is>
          <t>Exportación</t>
        </is>
      </c>
      <c r="F217" s="20" t="n">
        <v>0</v>
      </c>
      <c r="G217" s="20" t="n">
        <v>0</v>
      </c>
      <c r="H217" s="20" t="n">
        <v>0</v>
      </c>
      <c r="I217" s="21">
        <f>G217+H217</f>
        <v/>
      </c>
      <c r="J217" s="22">
        <f>F217-I217</f>
        <v/>
      </c>
      <c r="K217" s="20" t="n">
        <v>0</v>
      </c>
      <c r="L217" s="23" t="n">
        <v>0</v>
      </c>
      <c r="M217" s="39" t="n">
        <v>0</v>
      </c>
      <c r="N217" s="25" t="n">
        <v>0</v>
      </c>
      <c r="O217" s="19" t="inlineStr">
        <is>
          <t>Feb 27</t>
        </is>
      </c>
      <c r="P217" s="38" t="inlineStr">
        <is>
          <t>CUBIERTO</t>
        </is>
      </c>
    </row>
    <row r="218" ht="20" customHeight="1">
      <c r="A218" s="27" t="inlineStr">
        <is>
          <t>PHD0001</t>
        </is>
      </c>
      <c r="B218" s="28" t="inlineStr">
        <is>
          <t>PH-DOWNER</t>
        </is>
      </c>
      <c r="C218" s="29" t="inlineStr">
        <is>
          <t>1</t>
        </is>
      </c>
      <c r="D218" s="29" t="inlineStr">
        <is>
          <t>Botellas 1L</t>
        </is>
      </c>
      <c r="E218" s="29" t="inlineStr">
        <is>
          <t>Nacional+Export</t>
        </is>
      </c>
      <c r="F218" s="30" t="n">
        <v>144</v>
      </c>
      <c r="G218" s="30" t="n">
        <v>0</v>
      </c>
      <c r="H218" s="30" t="n">
        <v>0</v>
      </c>
      <c r="I218" s="31">
        <f>G218+H218</f>
        <v/>
      </c>
      <c r="J218" s="32">
        <f>F218-I218</f>
        <v/>
      </c>
      <c r="K218" s="30" t="n">
        <v>0</v>
      </c>
      <c r="L218" s="33" t="n">
        <v>0</v>
      </c>
      <c r="M218" s="37" t="n">
        <v>0</v>
      </c>
      <c r="N218" s="35" t="n">
        <v>1</v>
      </c>
      <c r="O218" s="29" t="inlineStr">
        <is>
          <t>Jun 27</t>
        </is>
      </c>
      <c r="P218" s="38" t="inlineStr">
        <is>
          <t>CUBIERTO</t>
        </is>
      </c>
    </row>
    <row r="219" ht="20" customHeight="1">
      <c r="A219" s="17" t="inlineStr">
        <is>
          <t>SPCE0001</t>
        </is>
      </c>
      <c r="B219" s="18" t="inlineStr">
        <is>
          <t>SPRINTENE</t>
        </is>
      </c>
      <c r="C219" s="19" t="inlineStr">
        <is>
          <t>1</t>
        </is>
      </c>
      <c r="D219" s="19" t="inlineStr">
        <is>
          <t>Botellas 1L</t>
        </is>
      </c>
      <c r="E219" s="19" t="inlineStr">
        <is>
          <t>Exportación</t>
        </is>
      </c>
      <c r="F219" s="20" t="n">
        <v>792</v>
      </c>
      <c r="G219" s="20" t="n">
        <v>0</v>
      </c>
      <c r="H219" s="20" t="n">
        <v>792</v>
      </c>
      <c r="I219" s="21">
        <f>G219+H219</f>
        <v/>
      </c>
      <c r="J219" s="22">
        <f>F219-I219</f>
        <v/>
      </c>
      <c r="K219" s="20" t="n">
        <v>0</v>
      </c>
      <c r="L219" s="23" t="n">
        <v>0</v>
      </c>
      <c r="M219" s="39" t="n">
        <v>0</v>
      </c>
      <c r="N219" s="25" t="n">
        <v>1</v>
      </c>
      <c r="O219" s="19" t="inlineStr">
        <is>
          <t>Ene 27</t>
        </is>
      </c>
      <c r="P219" s="38" t="inlineStr">
        <is>
          <t>CUBIERTO</t>
        </is>
      </c>
    </row>
    <row r="220" ht="20" customHeight="1">
      <c r="A220" s="27" t="inlineStr">
        <is>
          <t>SPCE0020</t>
        </is>
      </c>
      <c r="B220" s="28" t="inlineStr">
        <is>
          <t>SPRINTENE</t>
        </is>
      </c>
      <c r="C220" s="29" t="inlineStr">
        <is>
          <t>20</t>
        </is>
      </c>
      <c r="D220" s="29" t="inlineStr">
        <is>
          <t>Garrafas 20L</t>
        </is>
      </c>
      <c r="E220" s="29" t="inlineStr">
        <is>
          <t>Exportación</t>
        </is>
      </c>
      <c r="F220" s="30" t="n">
        <v>640</v>
      </c>
      <c r="G220" s="30" t="n">
        <v>0</v>
      </c>
      <c r="H220" s="30" t="n">
        <v>640</v>
      </c>
      <c r="I220" s="31">
        <f>G220+H220</f>
        <v/>
      </c>
      <c r="J220" s="32">
        <f>F220-I220</f>
        <v/>
      </c>
      <c r="K220" s="30" t="n">
        <v>0</v>
      </c>
      <c r="L220" s="33" t="n">
        <v>0</v>
      </c>
      <c r="M220" s="37" t="n">
        <v>0</v>
      </c>
      <c r="N220" s="35" t="n">
        <v>1</v>
      </c>
      <c r="O220" s="29" t="inlineStr">
        <is>
          <t>Feb 27</t>
        </is>
      </c>
      <c r="P220" s="38" t="inlineStr">
        <is>
          <t>CUBIERTO</t>
        </is>
      </c>
    </row>
    <row r="221" ht="20" customHeight="1">
      <c r="A221" s="17" t="inlineStr">
        <is>
          <t>SPCE0200</t>
        </is>
      </c>
      <c r="B221" s="18" t="inlineStr">
        <is>
          <t>SPRINTENE ABONO CE, 200 L</t>
        </is>
      </c>
      <c r="C221" s="19" t="inlineStr">
        <is>
          <t>200</t>
        </is>
      </c>
      <c r="D221" s="19" t="inlineStr">
        <is>
          <t>Garrafas 20L</t>
        </is>
      </c>
      <c r="E221" s="19" t="inlineStr">
        <is>
          <t>Exportación</t>
        </is>
      </c>
      <c r="F221" s="20" t="n">
        <v>0</v>
      </c>
      <c r="G221" s="20" t="n">
        <v>0</v>
      </c>
      <c r="H221" s="20" t="n">
        <v>0</v>
      </c>
      <c r="I221" s="21">
        <f>G221+H221</f>
        <v/>
      </c>
      <c r="J221" s="22">
        <f>F221-I221</f>
        <v/>
      </c>
      <c r="K221" s="20" t="n">
        <v>0</v>
      </c>
      <c r="L221" s="23" t="n">
        <v>0</v>
      </c>
      <c r="M221" s="39" t="n">
        <v>0</v>
      </c>
      <c r="N221" s="25" t="n">
        <v>0</v>
      </c>
      <c r="O221" s="19" t="inlineStr">
        <is>
          <t>Nov 27</t>
        </is>
      </c>
      <c r="P221" s="38" t="inlineStr">
        <is>
          <t>CUBIERTO</t>
        </is>
      </c>
    </row>
    <row r="222" ht="20" customHeight="1">
      <c r="A222" s="27" t="inlineStr">
        <is>
          <t>SPCE1000</t>
        </is>
      </c>
      <c r="B222" s="28" t="inlineStr">
        <is>
          <t>SPRINTENE ABONO CE, 1000 L</t>
        </is>
      </c>
      <c r="C222" s="29" t="inlineStr">
        <is>
          <t>1000</t>
        </is>
      </c>
      <c r="D222" s="29" t="inlineStr">
        <is>
          <t>Botellas 1L</t>
        </is>
      </c>
      <c r="E222" s="29" t="inlineStr">
        <is>
          <t>Exportación</t>
        </is>
      </c>
      <c r="F222" s="30" t="n">
        <v>0</v>
      </c>
      <c r="G222" s="30" t="n">
        <v>0</v>
      </c>
      <c r="H222" s="30" t="n">
        <v>0</v>
      </c>
      <c r="I222" s="31">
        <f>G222+H222</f>
        <v/>
      </c>
      <c r="J222" s="32">
        <f>F222-I222</f>
        <v/>
      </c>
      <c r="K222" s="30" t="n">
        <v>0</v>
      </c>
      <c r="L222" s="33" t="n">
        <v>0</v>
      </c>
      <c r="M222" s="37" t="n">
        <v>0</v>
      </c>
      <c r="N222" s="35" t="n">
        <v>0</v>
      </c>
      <c r="O222" s="29" t="inlineStr">
        <is>
          <t>Jul 27</t>
        </is>
      </c>
      <c r="P222" s="38" t="inlineStr">
        <is>
          <t>CUBIERTO</t>
        </is>
      </c>
    </row>
    <row r="223" ht="20" customHeight="1">
      <c r="A223" s="17" t="inlineStr">
        <is>
          <t>WHITE0005</t>
        </is>
      </c>
      <c r="B223" s="18" t="inlineStr">
        <is>
          <t>AGROWHITE</t>
        </is>
      </c>
      <c r="C223" s="19" t="inlineStr">
        <is>
          <t>5</t>
        </is>
      </c>
      <c r="D223" s="19" t="inlineStr">
        <is>
          <t>Garrafas 5L</t>
        </is>
      </c>
      <c r="E223" s="19" t="inlineStr">
        <is>
          <t>Exportación</t>
        </is>
      </c>
      <c r="F223" s="20" t="n">
        <v>135</v>
      </c>
      <c r="G223" s="20" t="n">
        <v>0</v>
      </c>
      <c r="H223" s="20" t="n">
        <v>0</v>
      </c>
      <c r="I223" s="21">
        <f>G223+H223</f>
        <v/>
      </c>
      <c r="J223" s="22">
        <f>F223-I223</f>
        <v/>
      </c>
      <c r="K223" s="20" t="n">
        <v>0</v>
      </c>
      <c r="L223" s="23" t="n">
        <v>0</v>
      </c>
      <c r="M223" s="39" t="n">
        <v>0</v>
      </c>
      <c r="N223" s="25" t="n">
        <v>1</v>
      </c>
      <c r="O223" s="19" t="inlineStr">
        <is>
          <t>Feb 27</t>
        </is>
      </c>
      <c r="P223" s="38" t="inlineStr">
        <is>
          <t>CUBIERTO</t>
        </is>
      </c>
    </row>
    <row r="224" ht="20" customHeight="1">
      <c r="A224" s="27" t="inlineStr">
        <is>
          <t>C-M-P0001</t>
        </is>
      </c>
      <c r="B224" s="28" t="inlineStr">
        <is>
          <t>CODIFOL Mo-PLUS, 1 L</t>
        </is>
      </c>
      <c r="C224" s="29" t="inlineStr">
        <is>
          <t>1</t>
        </is>
      </c>
      <c r="D224" s="29" t="inlineStr">
        <is>
          <t>Botellas 1L</t>
        </is>
      </c>
      <c r="E224" s="29" t="inlineStr">
        <is>
          <t>Nacional+Export</t>
        </is>
      </c>
      <c r="F224" s="30" t="n">
        <v>72</v>
      </c>
      <c r="G224" s="30" t="n">
        <v>0</v>
      </c>
      <c r="H224" s="30" t="n">
        <v>0</v>
      </c>
      <c r="I224" s="31">
        <f>G224+H224</f>
        <v/>
      </c>
      <c r="J224" s="32">
        <f>F224-I224</f>
        <v/>
      </c>
      <c r="K224" s="30" t="n">
        <v>0</v>
      </c>
      <c r="L224" s="33" t="n">
        <v>0</v>
      </c>
      <c r="M224" s="37" t="n">
        <v>0</v>
      </c>
      <c r="N224" s="35" t="n">
        <v>1</v>
      </c>
      <c r="O224" s="29" t="inlineStr">
        <is>
          <t>Feb 27</t>
        </is>
      </c>
      <c r="P224" s="38" t="inlineStr">
        <is>
          <t>CUBIERTO</t>
        </is>
      </c>
    </row>
    <row r="225" ht="20" customHeight="1">
      <c r="A225" s="17" t="inlineStr">
        <is>
          <t>C-MB0001</t>
        </is>
      </c>
      <c r="B225" s="18" t="inlineStr">
        <is>
          <t>CODIFOL-MB, 1 L</t>
        </is>
      </c>
      <c r="C225" s="19" t="inlineStr">
        <is>
          <t>1</t>
        </is>
      </c>
      <c r="D225" s="19" t="inlineStr">
        <is>
          <t>Botellas 1L</t>
        </is>
      </c>
      <c r="E225" s="19" t="inlineStr">
        <is>
          <t>Nacional+Export</t>
        </is>
      </c>
      <c r="F225" s="20" t="n">
        <v>84</v>
      </c>
      <c r="G225" s="20" t="n">
        <v>0</v>
      </c>
      <c r="H225" s="20" t="n">
        <v>0</v>
      </c>
      <c r="I225" s="21">
        <f>G225+H225</f>
        <v/>
      </c>
      <c r="J225" s="22">
        <f>F225-I225</f>
        <v/>
      </c>
      <c r="K225" s="20" t="n">
        <v>0</v>
      </c>
      <c r="L225" s="23" t="n">
        <v>0</v>
      </c>
      <c r="M225" s="39" t="n">
        <v>0</v>
      </c>
      <c r="N225" s="25" t="n">
        <v>1</v>
      </c>
      <c r="O225" s="19" t="inlineStr">
        <is>
          <t>Mar 27</t>
        </is>
      </c>
      <c r="P225" s="38" t="inlineStr">
        <is>
          <t>CUBIERTO</t>
        </is>
      </c>
    </row>
    <row r="226" ht="20" customHeight="1">
      <c r="A226" s="27" t="inlineStr">
        <is>
          <t>HST0001</t>
        </is>
      </c>
      <c r="B226" s="28" t="inlineStr">
        <is>
          <t>HIDROSTRESS, 1 L</t>
        </is>
      </c>
      <c r="C226" s="29" t="inlineStr">
        <is>
          <t>1</t>
        </is>
      </c>
      <c r="D226" s="29" t="inlineStr">
        <is>
          <t>Botellas 1L</t>
        </is>
      </c>
      <c r="E226" s="29" t="inlineStr">
        <is>
          <t>Nacional</t>
        </is>
      </c>
      <c r="F226" s="30" t="n">
        <v>156</v>
      </c>
      <c r="G226" s="30" t="n">
        <v>0</v>
      </c>
      <c r="H226" s="30" t="n">
        <v>0</v>
      </c>
      <c r="I226" s="31">
        <f>G226+H226</f>
        <v/>
      </c>
      <c r="J226" s="32">
        <f>F226-I226</f>
        <v/>
      </c>
      <c r="K226" s="30" t="n">
        <v>0</v>
      </c>
      <c r="L226" s="33" t="n">
        <v>0</v>
      </c>
      <c r="M226" s="37" t="n">
        <v>0</v>
      </c>
      <c r="N226" s="35" t="n">
        <v>1</v>
      </c>
      <c r="O226" s="29" t="inlineStr">
        <is>
          <t>Cubierto &gt;15 meses</t>
        </is>
      </c>
      <c r="P226" s="38" t="inlineStr">
        <is>
          <t>CUBIERTO</t>
        </is>
      </c>
    </row>
    <row r="227" ht="20" customHeight="1">
      <c r="A227" s="17" t="inlineStr">
        <is>
          <t>TRI0001</t>
        </is>
      </c>
      <c r="B227" s="18" t="inlineStr">
        <is>
          <t>TRIFENO-94, 1 L</t>
        </is>
      </c>
      <c r="C227" s="19" t="inlineStr">
        <is>
          <t>1</t>
        </is>
      </c>
      <c r="D227" s="19" t="inlineStr">
        <is>
          <t>Botellas 1L</t>
        </is>
      </c>
      <c r="E227" s="19" t="inlineStr">
        <is>
          <t>Nacional+Export</t>
        </is>
      </c>
      <c r="F227" s="20" t="n">
        <v>292</v>
      </c>
      <c r="G227" s="20" t="n">
        <v>0</v>
      </c>
      <c r="H227" s="20" t="n">
        <v>216</v>
      </c>
      <c r="I227" s="21">
        <f>G227+H227</f>
        <v/>
      </c>
      <c r="J227" s="22">
        <f>F227-I227</f>
        <v/>
      </c>
      <c r="K227" s="20" t="n">
        <v>0</v>
      </c>
      <c r="L227" s="23" t="n">
        <v>0</v>
      </c>
      <c r="M227" s="39" t="n">
        <v>0</v>
      </c>
      <c r="N227" s="25" t="n">
        <v>1.351851851851852</v>
      </c>
      <c r="O227" s="19" t="inlineStr">
        <is>
          <t>Ene 27</t>
        </is>
      </c>
      <c r="P227" s="38" t="inlineStr">
        <is>
          <t>CUBIERTO</t>
        </is>
      </c>
    </row>
    <row r="228" ht="20" customHeight="1">
      <c r="A228" s="27" t="inlineStr">
        <is>
          <t>AGZ-M0001</t>
        </is>
      </c>
      <c r="B228" s="28" t="inlineStr">
        <is>
          <t>AGROXILATO-ZN-MN, 1 KG</t>
        </is>
      </c>
      <c r="C228" s="29" t="inlineStr">
        <is>
          <t>1</t>
        </is>
      </c>
      <c r="D228" s="29" t="inlineStr">
        <is>
          <t>Botellas 1L</t>
        </is>
      </c>
      <c r="E228" s="29" t="inlineStr">
        <is>
          <t>Nacional</t>
        </is>
      </c>
      <c r="F228" s="30" t="n">
        <v>155</v>
      </c>
      <c r="G228" s="30" t="n">
        <v>0</v>
      </c>
      <c r="H228" s="30" t="n">
        <v>112</v>
      </c>
      <c r="I228" s="31">
        <f>G228+H228</f>
        <v/>
      </c>
      <c r="J228" s="32">
        <f>F228-I228</f>
        <v/>
      </c>
      <c r="K228" s="30" t="n">
        <v>0</v>
      </c>
      <c r="L228" s="33" t="n">
        <v>0</v>
      </c>
      <c r="M228" s="37" t="n">
        <v>0</v>
      </c>
      <c r="N228" s="35" t="n">
        <v>1.383928571428571</v>
      </c>
      <c r="O228" s="29" t="inlineStr">
        <is>
          <t>Nov 27</t>
        </is>
      </c>
      <c r="P228" s="38" t="inlineStr">
        <is>
          <t>CUBIERTO</t>
        </is>
      </c>
    </row>
    <row r="229" ht="20" customHeight="1">
      <c r="A229" s="17" t="inlineStr">
        <is>
          <t>AGN0020</t>
        </is>
      </c>
      <c r="B229" s="18" t="inlineStr">
        <is>
          <t>AGROXILATO N, 20 L</t>
        </is>
      </c>
      <c r="C229" s="19" t="inlineStr">
        <is>
          <t>20</t>
        </is>
      </c>
      <c r="D229" s="19" t="inlineStr">
        <is>
          <t>Garrafas 20L</t>
        </is>
      </c>
      <c r="E229" s="19" t="inlineStr">
        <is>
          <t>Nacional</t>
        </is>
      </c>
      <c r="F229" s="20" t="n">
        <v>200</v>
      </c>
      <c r="G229" s="20" t="n">
        <v>0</v>
      </c>
      <c r="H229" s="20" t="n">
        <v>0</v>
      </c>
      <c r="I229" s="21">
        <f>G229+H229</f>
        <v/>
      </c>
      <c r="J229" s="22">
        <f>F229-I229</f>
        <v/>
      </c>
      <c r="K229" s="20" t="n">
        <v>0</v>
      </c>
      <c r="L229" s="23" t="n">
        <v>0</v>
      </c>
      <c r="M229" s="39" t="n">
        <v>0</v>
      </c>
      <c r="N229" s="25" t="n">
        <v>1</v>
      </c>
      <c r="O229" s="19" t="inlineStr">
        <is>
          <t>Cubierto &gt;15 meses</t>
        </is>
      </c>
      <c r="P229" s="38" t="inlineStr">
        <is>
          <t>CUBIERTO</t>
        </is>
      </c>
    </row>
    <row r="230" ht="20" customHeight="1">
      <c r="A230" s="27" t="inlineStr">
        <is>
          <t>BEY0020</t>
        </is>
      </c>
      <c r="B230" s="28" t="inlineStr">
        <is>
          <t>FLORAMEC PLUS 20 L</t>
        </is>
      </c>
      <c r="C230" s="29" t="inlineStr">
        <is>
          <t>20</t>
        </is>
      </c>
      <c r="D230" s="29" t="inlineStr">
        <is>
          <t>Garrafas 20L</t>
        </is>
      </c>
      <c r="E230" s="29" t="inlineStr">
        <is>
          <t>Nacional+Export</t>
        </is>
      </c>
      <c r="F230" s="30" t="n">
        <v>80</v>
      </c>
      <c r="G230" s="30" t="n">
        <v>0</v>
      </c>
      <c r="H230" s="30" t="n">
        <v>0</v>
      </c>
      <c r="I230" s="31">
        <f>G230+H230</f>
        <v/>
      </c>
      <c r="J230" s="32">
        <f>F230-I230</f>
        <v/>
      </c>
      <c r="K230" s="30" t="n">
        <v>0</v>
      </c>
      <c r="L230" s="33" t="n">
        <v>0</v>
      </c>
      <c r="M230" s="37" t="n">
        <v>0</v>
      </c>
      <c r="N230" s="35" t="n">
        <v>1</v>
      </c>
      <c r="O230" s="29" t="inlineStr">
        <is>
          <t>Ene 27</t>
        </is>
      </c>
      <c r="P230" s="38" t="inlineStr">
        <is>
          <t>CUBIERTO</t>
        </is>
      </c>
    </row>
    <row r="231" ht="20" customHeight="1">
      <c r="A231" s="17" t="inlineStr">
        <is>
          <t>BROTA0001</t>
        </is>
      </c>
      <c r="B231" s="18" t="inlineStr">
        <is>
          <t>BROTAMEC, 1 L</t>
        </is>
      </c>
      <c r="C231" s="19" t="inlineStr">
        <is>
          <t>1</t>
        </is>
      </c>
      <c r="D231" s="19" t="inlineStr">
        <is>
          <t>Botellas 1L</t>
        </is>
      </c>
      <c r="E231" s="19" t="inlineStr">
        <is>
          <t>Nacional</t>
        </is>
      </c>
      <c r="F231" s="20" t="n">
        <v>48</v>
      </c>
      <c r="G231" s="20" t="n">
        <v>0</v>
      </c>
      <c r="H231" s="20" t="n">
        <v>0</v>
      </c>
      <c r="I231" s="21">
        <f>G231+H231</f>
        <v/>
      </c>
      <c r="J231" s="22">
        <f>F231-I231</f>
        <v/>
      </c>
      <c r="K231" s="20" t="n">
        <v>0</v>
      </c>
      <c r="L231" s="23" t="n">
        <v>0</v>
      </c>
      <c r="M231" s="39" t="n">
        <v>0</v>
      </c>
      <c r="N231" s="25" t="n">
        <v>1</v>
      </c>
      <c r="O231" s="19" t="inlineStr">
        <is>
          <t>Cubierto &gt;15 meses</t>
        </is>
      </c>
      <c r="P231" s="38" t="inlineStr">
        <is>
          <t>CUBIERTO</t>
        </is>
      </c>
    </row>
    <row r="232" ht="20" customHeight="1">
      <c r="A232" s="27" t="inlineStr">
        <is>
          <t>CM3M0005</t>
        </is>
      </c>
      <c r="B232" s="28" t="inlineStr">
        <is>
          <t>TENSOLINE-MAX, 5 L</t>
        </is>
      </c>
      <c r="C232" s="29" t="inlineStr">
        <is>
          <t>5</t>
        </is>
      </c>
      <c r="D232" s="29" t="inlineStr">
        <is>
          <t>Garrafas 5L</t>
        </is>
      </c>
      <c r="E232" s="29" t="inlineStr">
        <is>
          <t>Nacional</t>
        </is>
      </c>
      <c r="F232" s="30" t="n">
        <v>0</v>
      </c>
      <c r="G232" s="30" t="n">
        <v>0</v>
      </c>
      <c r="H232" s="30" t="n">
        <v>0</v>
      </c>
      <c r="I232" s="31">
        <f>G232+H232</f>
        <v/>
      </c>
      <c r="J232" s="32">
        <f>F232-I232</f>
        <v/>
      </c>
      <c r="K232" s="30" t="n">
        <v>0</v>
      </c>
      <c r="L232" s="33" t="n">
        <v>0</v>
      </c>
      <c r="M232" s="37" t="n">
        <v>0</v>
      </c>
      <c r="N232" s="35" t="n">
        <v>1</v>
      </c>
      <c r="O232" s="29" t="inlineStr">
        <is>
          <t>Ene 27</t>
        </is>
      </c>
      <c r="P232" s="38" t="inlineStr">
        <is>
          <t>CUBIERTO</t>
        </is>
      </c>
    </row>
    <row r="233" ht="20" customHeight="1">
      <c r="A233" s="17" t="inlineStr">
        <is>
          <t>JF0001</t>
        </is>
      </c>
      <c r="B233" s="18" t="inlineStr">
        <is>
          <t>DRAGO-FOS, 1 L</t>
        </is>
      </c>
      <c r="C233" s="19" t="inlineStr">
        <is>
          <t>1</t>
        </is>
      </c>
      <c r="D233" s="19" t="inlineStr">
        <is>
          <t>Botellas 1L</t>
        </is>
      </c>
      <c r="E233" s="19" t="inlineStr">
        <is>
          <t>Nacional+Export</t>
        </is>
      </c>
      <c r="F233" s="20" t="n">
        <v>0</v>
      </c>
      <c r="G233" s="20" t="n">
        <v>0</v>
      </c>
      <c r="H233" s="20" t="n">
        <v>0</v>
      </c>
      <c r="I233" s="21">
        <f>G233+H233</f>
        <v/>
      </c>
      <c r="J233" s="22">
        <f>F233-I233</f>
        <v/>
      </c>
      <c r="K233" s="20" t="n">
        <v>0</v>
      </c>
      <c r="L233" s="23" t="n">
        <v>0</v>
      </c>
      <c r="M233" s="39" t="n">
        <v>0</v>
      </c>
      <c r="N233" s="25" t="n">
        <v>0</v>
      </c>
      <c r="O233" s="19" t="inlineStr">
        <is>
          <t>Feb 27</t>
        </is>
      </c>
      <c r="P233" s="38" t="inlineStr">
        <is>
          <t>CUBIERTO</t>
        </is>
      </c>
    </row>
    <row r="234" ht="20" customHeight="1">
      <c r="A234" s="27" t="inlineStr">
        <is>
          <t>PIV0200</t>
        </is>
      </c>
      <c r="B234" s="28" t="inlineStr">
        <is>
          <t>PGR IV, 200 Lts.</t>
        </is>
      </c>
      <c r="C234" s="29" t="inlineStr">
        <is>
          <t>200</t>
        </is>
      </c>
      <c r="D234" s="29" t="inlineStr">
        <is>
          <t>Garrafas 20L</t>
        </is>
      </c>
      <c r="E234" s="29" t="inlineStr">
        <is>
          <t>Nacional</t>
        </is>
      </c>
      <c r="F234" s="30" t="n">
        <v>0</v>
      </c>
      <c r="G234" s="30" t="n">
        <v>0</v>
      </c>
      <c r="H234" s="30" t="n">
        <v>0</v>
      </c>
      <c r="I234" s="31">
        <f>G234+H234</f>
        <v/>
      </c>
      <c r="J234" s="32">
        <f>F234-I234</f>
        <v/>
      </c>
      <c r="K234" s="30" t="n">
        <v>0</v>
      </c>
      <c r="L234" s="33" t="n">
        <v>0</v>
      </c>
      <c r="M234" s="37" t="n">
        <v>0</v>
      </c>
      <c r="N234" s="35" t="n">
        <v>1</v>
      </c>
      <c r="O234" s="29" t="inlineStr">
        <is>
          <t>Feb 27</t>
        </is>
      </c>
      <c r="P234" s="38" t="inlineStr">
        <is>
          <t>CUBIERTO</t>
        </is>
      </c>
    </row>
    <row r="235" ht="20" customHeight="1">
      <c r="A235" s="17" t="inlineStr">
        <is>
          <t>AGXKAE1000</t>
        </is>
      </c>
      <c r="B235" s="18" t="inlineStr">
        <is>
          <t>BIOCULTURE POTASIO, 1000 l</t>
        </is>
      </c>
      <c r="C235" s="19" t="inlineStr">
        <is>
          <t>1000</t>
        </is>
      </c>
      <c r="D235" s="19" t="inlineStr">
        <is>
          <t>Botellas 1L</t>
        </is>
      </c>
      <c r="E235" s="19" t="inlineStr">
        <is>
          <t>Nacional</t>
        </is>
      </c>
      <c r="F235" s="20" t="n">
        <v>0</v>
      </c>
      <c r="G235" s="20" t="n">
        <v>0</v>
      </c>
      <c r="H235" s="20" t="n">
        <v>0</v>
      </c>
      <c r="I235" s="21">
        <f>G235+H235</f>
        <v/>
      </c>
      <c r="J235" s="22">
        <f>F235-I235</f>
        <v/>
      </c>
      <c r="K235" s="20" t="n">
        <v>0</v>
      </c>
      <c r="L235" s="23" t="n">
        <v>0</v>
      </c>
      <c r="M235" s="39" t="n">
        <v>0</v>
      </c>
      <c r="N235" s="25" t="n">
        <v>1</v>
      </c>
      <c r="O235" s="19" t="inlineStr">
        <is>
          <t>May 27</t>
        </is>
      </c>
      <c r="P235" s="38" t="inlineStr">
        <is>
          <t>CUBIERTO</t>
        </is>
      </c>
    </row>
    <row r="236" ht="20" customHeight="1">
      <c r="A236" s="27" t="inlineStr">
        <is>
          <t>B0200</t>
        </is>
      </c>
      <c r="B236" s="28" t="inlineStr">
        <is>
          <t>BOROCAL, 200 L</t>
        </is>
      </c>
      <c r="C236" s="29" t="inlineStr">
        <is>
          <t>200</t>
        </is>
      </c>
      <c r="D236" s="29" t="inlineStr">
        <is>
          <t>Garrafas 20L</t>
        </is>
      </c>
      <c r="E236" s="29" t="inlineStr">
        <is>
          <t>Nacional</t>
        </is>
      </c>
      <c r="F236" s="30" t="n">
        <v>0</v>
      </c>
      <c r="G236" s="30" t="n">
        <v>0</v>
      </c>
      <c r="H236" s="30" t="n">
        <v>0</v>
      </c>
      <c r="I236" s="31">
        <f>G236+H236</f>
        <v/>
      </c>
      <c r="J236" s="32">
        <f>F236-I236</f>
        <v/>
      </c>
      <c r="K236" s="30" t="n">
        <v>0</v>
      </c>
      <c r="L236" s="33" t="n">
        <v>0</v>
      </c>
      <c r="M236" s="37" t="n">
        <v>0</v>
      </c>
      <c r="N236" s="35" t="n">
        <v>1</v>
      </c>
      <c r="O236" s="29" t="inlineStr">
        <is>
          <t>Feb 27</t>
        </is>
      </c>
      <c r="P236" s="38" t="inlineStr">
        <is>
          <t>CUBIERTO</t>
        </is>
      </c>
    </row>
    <row r="237" ht="20" customHeight="1">
      <c r="A237" s="17" t="inlineStr">
        <is>
          <t>B1000</t>
        </is>
      </c>
      <c r="B237" s="18" t="inlineStr">
        <is>
          <t>BOROCAL, 1000 L</t>
        </is>
      </c>
      <c r="C237" s="19" t="inlineStr">
        <is>
          <t>1000</t>
        </is>
      </c>
      <c r="D237" s="19" t="inlineStr">
        <is>
          <t>Botellas 1L</t>
        </is>
      </c>
      <c r="E237" s="19" t="inlineStr">
        <is>
          <t>Nacional</t>
        </is>
      </c>
      <c r="F237" s="20" t="n">
        <v>0</v>
      </c>
      <c r="G237" s="20" t="n">
        <v>0</v>
      </c>
      <c r="H237" s="20" t="n">
        <v>0</v>
      </c>
      <c r="I237" s="21">
        <f>G237+H237</f>
        <v/>
      </c>
      <c r="J237" s="22">
        <f>F237-I237</f>
        <v/>
      </c>
      <c r="K237" s="20" t="n">
        <v>0</v>
      </c>
      <c r="L237" s="23" t="n">
        <v>0</v>
      </c>
      <c r="M237" s="39" t="n">
        <v>0</v>
      </c>
      <c r="N237" s="25" t="n">
        <v>1</v>
      </c>
      <c r="O237" s="19" t="inlineStr">
        <is>
          <t>Jul 27</t>
        </is>
      </c>
      <c r="P237" s="38" t="inlineStr">
        <is>
          <t>CUBIERTO</t>
        </is>
      </c>
    </row>
    <row r="238" ht="20" customHeight="1">
      <c r="A238" s="27" t="inlineStr">
        <is>
          <t>BPLUS20005</t>
        </is>
      </c>
      <c r="B238" s="28" t="inlineStr">
        <is>
          <t>BOROCAL PLUS, 5 KG</t>
        </is>
      </c>
      <c r="C238" s="29" t="inlineStr">
        <is>
          <t>5</t>
        </is>
      </c>
      <c r="D238" s="29" t="inlineStr">
        <is>
          <t>Garrafas 5L</t>
        </is>
      </c>
      <c r="E238" s="29" t="inlineStr">
        <is>
          <t>Nacional</t>
        </is>
      </c>
      <c r="F238" s="30" t="n">
        <v>235</v>
      </c>
      <c r="G238" s="30" t="n">
        <v>0</v>
      </c>
      <c r="H238" s="30" t="n">
        <v>0</v>
      </c>
      <c r="I238" s="31">
        <f>G238+H238</f>
        <v/>
      </c>
      <c r="J238" s="32">
        <f>F238-I238</f>
        <v/>
      </c>
      <c r="K238" s="30" t="n">
        <v>0</v>
      </c>
      <c r="L238" s="33" t="n">
        <v>0</v>
      </c>
      <c r="M238" s="37" t="n">
        <v>0</v>
      </c>
      <c r="N238" s="35" t="n">
        <v>1</v>
      </c>
      <c r="O238" s="29" t="inlineStr">
        <is>
          <t>Mar 27</t>
        </is>
      </c>
      <c r="P238" s="38" t="inlineStr">
        <is>
          <t>CUBIERTO</t>
        </is>
      </c>
    </row>
    <row r="239" ht="20" customHeight="1">
      <c r="A239" s="17" t="inlineStr">
        <is>
          <t>JF1000</t>
        </is>
      </c>
      <c r="B239" s="18" t="inlineStr">
        <is>
          <t>CODIGIN-FOS, 1000 L</t>
        </is>
      </c>
      <c r="C239" s="19" t="inlineStr">
        <is>
          <t>1000</t>
        </is>
      </c>
      <c r="D239" s="19" t="inlineStr">
        <is>
          <t>Botellas 1L</t>
        </is>
      </c>
      <c r="E239" s="19" t="inlineStr">
        <is>
          <t>Nacional</t>
        </is>
      </c>
      <c r="F239" s="20" t="n">
        <v>0</v>
      </c>
      <c r="G239" s="20" t="n">
        <v>0</v>
      </c>
      <c r="H239" s="20" t="n">
        <v>0</v>
      </c>
      <c r="I239" s="21">
        <f>G239+H239</f>
        <v/>
      </c>
      <c r="J239" s="22">
        <f>F239-I239</f>
        <v/>
      </c>
      <c r="K239" s="20" t="n">
        <v>0</v>
      </c>
      <c r="L239" s="23" t="n">
        <v>0</v>
      </c>
      <c r="M239" s="39" t="n">
        <v>0</v>
      </c>
      <c r="N239" s="25" t="n">
        <v>0</v>
      </c>
      <c r="O239" s="19" t="inlineStr">
        <is>
          <t>Abr 27</t>
        </is>
      </c>
      <c r="P239" s="38" t="inlineStr">
        <is>
          <t>CUBIERTO</t>
        </is>
      </c>
    </row>
    <row r="240" ht="20" customHeight="1">
      <c r="A240" s="27" t="inlineStr">
        <is>
          <t>PK500005</t>
        </is>
      </c>
      <c r="B240" s="28" t="inlineStr">
        <is>
          <t>POLIFRUIT K50, 5 L</t>
        </is>
      </c>
      <c r="C240" s="29" t="inlineStr">
        <is>
          <t>5</t>
        </is>
      </c>
      <c r="D240" s="29" t="inlineStr">
        <is>
          <t>Garrafas 5L</t>
        </is>
      </c>
      <c r="E240" s="29" t="inlineStr">
        <is>
          <t>Nacional</t>
        </is>
      </c>
      <c r="F240" s="30" t="n">
        <v>0</v>
      </c>
      <c r="G240" s="30" t="n">
        <v>0</v>
      </c>
      <c r="H240" s="30" t="n">
        <v>0</v>
      </c>
      <c r="I240" s="31">
        <f>G240+H240</f>
        <v/>
      </c>
      <c r="J240" s="32">
        <f>F240-I240</f>
        <v/>
      </c>
      <c r="K240" s="30" t="n">
        <v>0</v>
      </c>
      <c r="L240" s="33" t="n">
        <v>0</v>
      </c>
      <c r="M240" s="37" t="n">
        <v>0</v>
      </c>
      <c r="N240" s="35" t="n">
        <v>1</v>
      </c>
      <c r="O240" s="29" t="inlineStr">
        <is>
          <t>Jul 27</t>
        </is>
      </c>
      <c r="P240" s="38" t="inlineStr">
        <is>
          <t>CUBIERTO</t>
        </is>
      </c>
    </row>
    <row r="241" ht="20" customHeight="1">
      <c r="A241" s="17" t="inlineStr">
        <is>
          <t>AGMNP0005</t>
        </is>
      </c>
      <c r="B241" s="18" t="inlineStr">
        <is>
          <t>AGROXILATO MN PLUS, 5 KG</t>
        </is>
      </c>
      <c r="C241" s="19" t="inlineStr">
        <is>
          <t>5</t>
        </is>
      </c>
      <c r="D241" s="19" t="inlineStr">
        <is>
          <t>Garrafas 5L</t>
        </is>
      </c>
      <c r="E241" s="19" t="inlineStr">
        <is>
          <t>Nacional</t>
        </is>
      </c>
      <c r="F241" s="20" t="n">
        <v>510</v>
      </c>
      <c r="G241" s="20" t="n">
        <v>0</v>
      </c>
      <c r="H241" s="20" t="n">
        <v>0</v>
      </c>
      <c r="I241" s="21">
        <f>G241+H241</f>
        <v/>
      </c>
      <c r="J241" s="22">
        <f>F241-I241</f>
        <v/>
      </c>
      <c r="K241" s="20" t="n">
        <v>0</v>
      </c>
      <c r="L241" s="23" t="n">
        <v>0</v>
      </c>
      <c r="M241" s="39" t="n">
        <v>0</v>
      </c>
      <c r="N241" s="25" t="n">
        <v>1</v>
      </c>
      <c r="O241" s="19" t="inlineStr">
        <is>
          <t>Cubierto &gt;15 meses</t>
        </is>
      </c>
      <c r="P241" s="38" t="inlineStr">
        <is>
          <t>CUBIERTO</t>
        </is>
      </c>
    </row>
    <row r="242" ht="20" customHeight="1">
      <c r="A242" s="27" t="inlineStr">
        <is>
          <t>CBROT0001</t>
        </is>
      </c>
      <c r="B242" s="28" t="inlineStr">
        <is>
          <t>CODIBROT, 1 L</t>
        </is>
      </c>
      <c r="C242" s="29" t="inlineStr">
        <is>
          <t>1</t>
        </is>
      </c>
      <c r="D242" s="29" t="inlineStr">
        <is>
          <t>Botellas 1L</t>
        </is>
      </c>
      <c r="E242" s="29" t="inlineStr">
        <is>
          <t>Nacional</t>
        </is>
      </c>
      <c r="F242" s="30" t="n">
        <v>24</v>
      </c>
      <c r="G242" s="30" t="n">
        <v>0</v>
      </c>
      <c r="H242" s="30" t="n">
        <v>0</v>
      </c>
      <c r="I242" s="31">
        <f>G242+H242</f>
        <v/>
      </c>
      <c r="J242" s="32">
        <f>F242-I242</f>
        <v/>
      </c>
      <c r="K242" s="30" t="n">
        <v>0</v>
      </c>
      <c r="L242" s="33" t="n">
        <v>0</v>
      </c>
      <c r="M242" s="37" t="n">
        <v>0</v>
      </c>
      <c r="N242" s="35" t="n">
        <v>1</v>
      </c>
      <c r="O242" s="29" t="inlineStr">
        <is>
          <t>Feb 27</t>
        </is>
      </c>
      <c r="P242" s="38" t="inlineStr">
        <is>
          <t>CUBIERTO</t>
        </is>
      </c>
    </row>
    <row r="243" ht="20" customHeight="1">
      <c r="A243" s="17" t="inlineStr">
        <is>
          <t>FU0001</t>
        </is>
      </c>
      <c r="B243" s="18" t="inlineStr">
        <is>
          <t>FULVIGIN, 1 L</t>
        </is>
      </c>
      <c r="C243" s="19" t="inlineStr">
        <is>
          <t>1</t>
        </is>
      </c>
      <c r="D243" s="19" t="inlineStr">
        <is>
          <t>Botellas 1L</t>
        </is>
      </c>
      <c r="E243" s="19" t="inlineStr">
        <is>
          <t>Nacional+Export</t>
        </is>
      </c>
      <c r="F243" s="20" t="n">
        <v>996</v>
      </c>
      <c r="G243" s="20" t="n">
        <v>0</v>
      </c>
      <c r="H243" s="20" t="n">
        <v>500</v>
      </c>
      <c r="I243" s="21">
        <f>G243+H243</f>
        <v/>
      </c>
      <c r="J243" s="22">
        <f>F243-I243</f>
        <v/>
      </c>
      <c r="K243" s="20" t="n">
        <v>0</v>
      </c>
      <c r="L243" s="23" t="n">
        <v>0</v>
      </c>
      <c r="M243" s="39" t="n">
        <v>0</v>
      </c>
      <c r="N243" s="25" t="n">
        <v>1.992</v>
      </c>
      <c r="O243" s="19" t="inlineStr">
        <is>
          <t>May 27</t>
        </is>
      </c>
      <c r="P243" s="38" t="inlineStr">
        <is>
          <t>CUBIERTO</t>
        </is>
      </c>
    </row>
    <row r="244" ht="20" customHeight="1">
      <c r="A244" s="27" t="inlineStr">
        <is>
          <t>N0001</t>
        </is>
      </c>
      <c r="B244" s="28" t="inlineStr">
        <is>
          <t>NUTRICALE, 1 L</t>
        </is>
      </c>
      <c r="C244" s="29" t="inlineStr">
        <is>
          <t>1</t>
        </is>
      </c>
      <c r="D244" s="29" t="inlineStr">
        <is>
          <t>Botellas 1L</t>
        </is>
      </c>
      <c r="E244" s="29" t="inlineStr">
        <is>
          <t>Nacional</t>
        </is>
      </c>
      <c r="F244" s="30" t="n">
        <v>132</v>
      </c>
      <c r="G244" s="30" t="n">
        <v>0</v>
      </c>
      <c r="H244" s="30" t="n">
        <v>0</v>
      </c>
      <c r="I244" s="31">
        <f>G244+H244</f>
        <v/>
      </c>
      <c r="J244" s="32">
        <f>F244-I244</f>
        <v/>
      </c>
      <c r="K244" s="30" t="n">
        <v>0</v>
      </c>
      <c r="L244" s="33" t="n">
        <v>0</v>
      </c>
      <c r="M244" s="37" t="n">
        <v>0</v>
      </c>
      <c r="N244" s="35" t="n">
        <v>1</v>
      </c>
      <c r="O244" s="29" t="inlineStr">
        <is>
          <t>Cubierto &gt;15 meses</t>
        </is>
      </c>
      <c r="P244" s="38" t="inlineStr">
        <is>
          <t>CUBIERTO</t>
        </is>
      </c>
    </row>
    <row r="245" ht="20" customHeight="1">
      <c r="A245" s="17" t="inlineStr">
        <is>
          <t>P-ZM3.50020</t>
        </is>
      </c>
      <c r="B245" s="18" t="inlineStr">
        <is>
          <t>POLIGREEN-ZNMN, 20 L</t>
        </is>
      </c>
      <c r="C245" s="19" t="inlineStr">
        <is>
          <t>20</t>
        </is>
      </c>
      <c r="D245" s="19" t="inlineStr">
        <is>
          <t>Garrafas 20L</t>
        </is>
      </c>
      <c r="E245" s="19" t="inlineStr">
        <is>
          <t>Nacional</t>
        </is>
      </c>
      <c r="F245" s="20" t="n">
        <v>1280</v>
      </c>
      <c r="G245" s="20" t="n">
        <v>0</v>
      </c>
      <c r="H245" s="20" t="n">
        <v>0</v>
      </c>
      <c r="I245" s="21">
        <f>G245+H245</f>
        <v/>
      </c>
      <c r="J245" s="22">
        <f>F245-I245</f>
        <v/>
      </c>
      <c r="K245" s="20" t="n">
        <v>0</v>
      </c>
      <c r="L245" s="23" t="n">
        <v>0</v>
      </c>
      <c r="M245" s="39" t="n">
        <v>0</v>
      </c>
      <c r="N245" s="25" t="n">
        <v>1</v>
      </c>
      <c r="O245" s="19" t="inlineStr">
        <is>
          <t>Mar 27</t>
        </is>
      </c>
      <c r="P245" s="38" t="inlineStr">
        <is>
          <t>CUBIERTO</t>
        </is>
      </c>
    </row>
    <row r="246" ht="20" customHeight="1">
      <c r="A246" s="27" t="inlineStr">
        <is>
          <t>AGRMG0001</t>
        </is>
      </c>
      <c r="B246" s="28" t="inlineStr">
        <is>
          <t>AGROXIGREEN-Mg</t>
        </is>
      </c>
      <c r="C246" s="29" t="inlineStr">
        <is>
          <t>1</t>
        </is>
      </c>
      <c r="D246" s="29" t="inlineStr">
        <is>
          <t>Botellas 1L</t>
        </is>
      </c>
      <c r="E246" s="29" t="inlineStr">
        <is>
          <t>Exportación</t>
        </is>
      </c>
      <c r="F246" s="30" t="n">
        <v>0</v>
      </c>
      <c r="G246" s="30" t="n">
        <v>0</v>
      </c>
      <c r="H246" s="30" t="n">
        <v>0</v>
      </c>
      <c r="I246" s="31">
        <f>G246+H246</f>
        <v/>
      </c>
      <c r="J246" s="32">
        <f>F246-I246</f>
        <v/>
      </c>
      <c r="K246" s="30" t="n">
        <v>0</v>
      </c>
      <c r="L246" s="33" t="n">
        <v>0</v>
      </c>
      <c r="M246" s="37" t="n">
        <v>0</v>
      </c>
      <c r="N246" s="35" t="n">
        <v>1</v>
      </c>
      <c r="O246" s="29" t="inlineStr">
        <is>
          <t>Jun 27</t>
        </is>
      </c>
      <c r="P246" s="38" t="inlineStr">
        <is>
          <t>CUBIERTO</t>
        </is>
      </c>
    </row>
    <row r="247" ht="20" customHeight="1">
      <c r="A247" s="17" t="inlineStr">
        <is>
          <t>AMGF0001</t>
        </is>
      </c>
      <c r="B247" s="18" t="inlineStr">
        <is>
          <t>AMINOGAL , 1 L  (Tap.Válv)</t>
        </is>
      </c>
      <c r="C247" s="19" t="inlineStr">
        <is>
          <t>1</t>
        </is>
      </c>
      <c r="D247" s="19" t="inlineStr">
        <is>
          <t>Botellas 1L</t>
        </is>
      </c>
      <c r="E247" s="19" t="inlineStr">
        <is>
          <t>Exportación</t>
        </is>
      </c>
      <c r="F247" s="20" t="n">
        <v>0</v>
      </c>
      <c r="G247" s="20" t="n">
        <v>0</v>
      </c>
      <c r="H247" s="20" t="n">
        <v>0</v>
      </c>
      <c r="I247" s="21">
        <f>G247+H247</f>
        <v/>
      </c>
      <c r="J247" s="22">
        <f>F247-I247</f>
        <v/>
      </c>
      <c r="K247" s="20" t="n">
        <v>0</v>
      </c>
      <c r="L247" s="23" t="n">
        <v>0</v>
      </c>
      <c r="M247" s="39" t="n">
        <v>0</v>
      </c>
      <c r="N247" s="25" t="n">
        <v>1</v>
      </c>
      <c r="O247" s="19" t="inlineStr">
        <is>
          <t>Jun 27</t>
        </is>
      </c>
      <c r="P247" s="38" t="inlineStr">
        <is>
          <t>CUBIERTO</t>
        </is>
      </c>
    </row>
    <row r="248" ht="20" customHeight="1">
      <c r="A248" s="27" t="inlineStr">
        <is>
          <t>A-50TRTU</t>
        </is>
      </c>
      <c r="B248" s="28" t="inlineStr">
        <is>
          <t>CODIORGAN-A50, BB</t>
        </is>
      </c>
      <c r="C248" s="29" t="inlineStr">
        <is>
          <t>1000</t>
        </is>
      </c>
      <c r="D248" s="29" t="inlineStr">
        <is>
          <t>Botellas 1L</t>
        </is>
      </c>
      <c r="E248" s="29" t="inlineStr">
        <is>
          <t>Exportación</t>
        </is>
      </c>
      <c r="F248" s="30" t="n">
        <v>0</v>
      </c>
      <c r="G248" s="30" t="n">
        <v>0</v>
      </c>
      <c r="H248" s="30" t="n">
        <v>0</v>
      </c>
      <c r="I248" s="31">
        <f>G248+H248</f>
        <v/>
      </c>
      <c r="J248" s="32">
        <f>F248-I248</f>
        <v/>
      </c>
      <c r="K248" s="30" t="n">
        <v>0</v>
      </c>
      <c r="L248" s="33" t="n">
        <v>0</v>
      </c>
      <c r="M248" s="37" t="n">
        <v>0</v>
      </c>
      <c r="N248" s="35" t="n">
        <v>0</v>
      </c>
      <c r="O248" s="29" t="inlineStr">
        <is>
          <t>Abr 27</t>
        </is>
      </c>
      <c r="P248" s="38" t="inlineStr">
        <is>
          <t>CUBIERTO</t>
        </is>
      </c>
    </row>
    <row r="249" ht="20" customHeight="1">
      <c r="A249" s="17" t="inlineStr">
        <is>
          <t>RUN1000</t>
        </is>
      </c>
      <c r="B249" s="18" t="inlineStr">
        <is>
          <t>CORDELIA</t>
        </is>
      </c>
      <c r="C249" s="19" t="inlineStr">
        <is>
          <t>1000</t>
        </is>
      </c>
      <c r="D249" s="19" t="inlineStr">
        <is>
          <t>Botellas 1L</t>
        </is>
      </c>
      <c r="E249" s="19" t="inlineStr">
        <is>
          <t>Exportación</t>
        </is>
      </c>
      <c r="F249" s="20" t="n">
        <v>0</v>
      </c>
      <c r="G249" s="20" t="n">
        <v>0</v>
      </c>
      <c r="H249" s="20" t="n">
        <v>0</v>
      </c>
      <c r="I249" s="21">
        <f>G249+H249</f>
        <v/>
      </c>
      <c r="J249" s="22">
        <f>F249-I249</f>
        <v/>
      </c>
      <c r="K249" s="20" t="n">
        <v>0</v>
      </c>
      <c r="L249" s="23" t="n">
        <v>0</v>
      </c>
      <c r="M249" s="39" t="n">
        <v>0</v>
      </c>
      <c r="N249" s="25" t="n">
        <v>1</v>
      </c>
      <c r="O249" s="19" t="inlineStr">
        <is>
          <t>Feb 27</t>
        </is>
      </c>
      <c r="P249" s="38" t="inlineStr">
        <is>
          <t>CUBIERTO</t>
        </is>
      </c>
    </row>
    <row r="250" ht="20" customHeight="1">
      <c r="A250" s="27" t="inlineStr">
        <is>
          <t>BC0020</t>
        </is>
      </c>
      <c r="B250" s="28" t="inlineStr">
        <is>
          <t>BITTER-CAL, 20 KG</t>
        </is>
      </c>
      <c r="C250" s="29" t="inlineStr">
        <is>
          <t>20</t>
        </is>
      </c>
      <c r="D250" s="29" t="inlineStr">
        <is>
          <t>Garrafas 20L</t>
        </is>
      </c>
      <c r="E250" s="29" t="inlineStr">
        <is>
          <t>Nacional</t>
        </is>
      </c>
      <c r="F250" s="30" t="n">
        <v>200</v>
      </c>
      <c r="G250" s="30" t="n">
        <v>0</v>
      </c>
      <c r="H250" s="30" t="n">
        <v>0</v>
      </c>
      <c r="I250" s="31">
        <f>G250+H250</f>
        <v/>
      </c>
      <c r="J250" s="32">
        <f>F250-I250</f>
        <v/>
      </c>
      <c r="K250" s="30" t="n">
        <v>0</v>
      </c>
      <c r="L250" s="33" t="n">
        <v>0</v>
      </c>
      <c r="M250" s="37" t="n">
        <v>0</v>
      </c>
      <c r="N250" s="35" t="n">
        <v>1</v>
      </c>
      <c r="O250" s="29" t="inlineStr">
        <is>
          <t>Cubierto &gt;15 meses</t>
        </is>
      </c>
      <c r="P250" s="38" t="inlineStr">
        <is>
          <t>CUBIERTO</t>
        </is>
      </c>
    </row>
    <row r="251" ht="20" customHeight="1">
      <c r="A251" s="17" t="inlineStr">
        <is>
          <t>AGRMG1000</t>
        </is>
      </c>
      <c r="B251" s="18" t="inlineStr">
        <is>
          <t>AGROXIGREEN-Mg, 1000 L</t>
        </is>
      </c>
      <c r="C251" s="19" t="inlineStr">
        <is>
          <t>1000</t>
        </is>
      </c>
      <c r="D251" s="19" t="inlineStr">
        <is>
          <t>Botellas 1L</t>
        </is>
      </c>
      <c r="E251" s="19" t="inlineStr">
        <is>
          <t>Nacional</t>
        </is>
      </c>
      <c r="F251" s="20" t="n">
        <v>0</v>
      </c>
      <c r="G251" s="20" t="n">
        <v>0</v>
      </c>
      <c r="H251" s="20" t="n">
        <v>0</v>
      </c>
      <c r="I251" s="21">
        <f>G251+H251</f>
        <v/>
      </c>
      <c r="J251" s="22">
        <f>F251-I251</f>
        <v/>
      </c>
      <c r="K251" s="20" t="n">
        <v>0</v>
      </c>
      <c r="L251" s="23" t="n">
        <v>0</v>
      </c>
      <c r="M251" s="39" t="n">
        <v>0</v>
      </c>
      <c r="N251" s="25" t="n">
        <v>1</v>
      </c>
      <c r="O251" s="19" t="inlineStr">
        <is>
          <t>May 27</t>
        </is>
      </c>
      <c r="P251" s="38" t="inlineStr">
        <is>
          <t>CUBIERTO</t>
        </is>
      </c>
    </row>
    <row r="252" ht="20" customHeight="1">
      <c r="A252" s="27" t="inlineStr">
        <is>
          <t>AGXKAEP0005</t>
        </is>
      </c>
      <c r="B252" s="28" t="inlineStr">
        <is>
          <t>BIOCULTURE POTASIO PLUS, 5 L</t>
        </is>
      </c>
      <c r="C252" s="29" t="inlineStr">
        <is>
          <t>5</t>
        </is>
      </c>
      <c r="D252" s="29" t="inlineStr">
        <is>
          <t>Garrafas 5L</t>
        </is>
      </c>
      <c r="E252" s="29" t="inlineStr">
        <is>
          <t>Nacional</t>
        </is>
      </c>
      <c r="F252" s="30" t="n">
        <v>100</v>
      </c>
      <c r="G252" s="30" t="n">
        <v>0</v>
      </c>
      <c r="H252" s="30" t="n">
        <v>0</v>
      </c>
      <c r="I252" s="31">
        <f>G252+H252</f>
        <v/>
      </c>
      <c r="J252" s="32">
        <f>F252-I252</f>
        <v/>
      </c>
      <c r="K252" s="30" t="n">
        <v>0</v>
      </c>
      <c r="L252" s="33" t="n">
        <v>0</v>
      </c>
      <c r="M252" s="37" t="n">
        <v>0</v>
      </c>
      <c r="N252" s="35" t="n">
        <v>1</v>
      </c>
      <c r="O252" s="29" t="inlineStr">
        <is>
          <t>Mar 27</t>
        </is>
      </c>
      <c r="P252" s="38" t="inlineStr">
        <is>
          <t>CUBIERTO</t>
        </is>
      </c>
    </row>
    <row r="253" ht="20" customHeight="1">
      <c r="A253" s="17" t="inlineStr">
        <is>
          <t>AGXKAEP0020</t>
        </is>
      </c>
      <c r="B253" s="18" t="inlineStr">
        <is>
          <t>BIOCULTURE POTASIO PLUS, 20 L</t>
        </is>
      </c>
      <c r="C253" s="19" t="inlineStr">
        <is>
          <t>20</t>
        </is>
      </c>
      <c r="D253" s="19" t="inlineStr">
        <is>
          <t>Garrafas 20L</t>
        </is>
      </c>
      <c r="E253" s="19" t="inlineStr">
        <is>
          <t>Nacional</t>
        </is>
      </c>
      <c r="F253" s="20" t="n">
        <v>0</v>
      </c>
      <c r="G253" s="20" t="n">
        <v>0</v>
      </c>
      <c r="H253" s="20" t="n">
        <v>0</v>
      </c>
      <c r="I253" s="21">
        <f>G253+H253</f>
        <v/>
      </c>
      <c r="J253" s="22">
        <f>F253-I253</f>
        <v/>
      </c>
      <c r="K253" s="20" t="n">
        <v>0</v>
      </c>
      <c r="L253" s="23" t="n">
        <v>0</v>
      </c>
      <c r="M253" s="39" t="n">
        <v>0</v>
      </c>
      <c r="N253" s="25" t="n">
        <v>0</v>
      </c>
      <c r="O253" s="19" t="inlineStr">
        <is>
          <t>Mar 27</t>
        </is>
      </c>
      <c r="P253" s="38" t="inlineStr">
        <is>
          <t>CUBIERTO</t>
        </is>
      </c>
    </row>
    <row r="254" ht="20" customHeight="1">
      <c r="A254" s="27" t="inlineStr">
        <is>
          <t>AGXKC0200</t>
        </is>
      </c>
      <c r="B254" s="28" t="inlineStr">
        <is>
          <t>AGROXILATO-COMPLET, 200 L</t>
        </is>
      </c>
      <c r="C254" s="29" t="inlineStr">
        <is>
          <t>200</t>
        </is>
      </c>
      <c r="D254" s="29" t="inlineStr">
        <is>
          <t>Garrafas 20L</t>
        </is>
      </c>
      <c r="E254" s="29" t="inlineStr">
        <is>
          <t>Nacional</t>
        </is>
      </c>
      <c r="F254" s="30" t="n">
        <v>0</v>
      </c>
      <c r="G254" s="30" t="n">
        <v>0</v>
      </c>
      <c r="H254" s="30" t="n">
        <v>0</v>
      </c>
      <c r="I254" s="31">
        <f>G254+H254</f>
        <v/>
      </c>
      <c r="J254" s="32">
        <f>F254-I254</f>
        <v/>
      </c>
      <c r="K254" s="30" t="n">
        <v>0</v>
      </c>
      <c r="L254" s="33" t="n">
        <v>0</v>
      </c>
      <c r="M254" s="37" t="n">
        <v>0</v>
      </c>
      <c r="N254" s="35" t="n">
        <v>1</v>
      </c>
      <c r="O254" s="29" t="inlineStr">
        <is>
          <t>Mar 27</t>
        </is>
      </c>
      <c r="P254" s="38" t="inlineStr">
        <is>
          <t>CUBIERTO</t>
        </is>
      </c>
    </row>
    <row r="255" ht="20" customHeight="1">
      <c r="A255" s="17" t="inlineStr">
        <is>
          <t>C-M-P0020</t>
        </is>
      </c>
      <c r="B255" s="18" t="inlineStr">
        <is>
          <t>CODIFOL MO-PLUS, 20 L</t>
        </is>
      </c>
      <c r="C255" s="19" t="inlineStr">
        <is>
          <t>20</t>
        </is>
      </c>
      <c r="D255" s="19" t="inlineStr">
        <is>
          <t>Garrafas 20L</t>
        </is>
      </c>
      <c r="E255" s="19" t="inlineStr">
        <is>
          <t>Nacional</t>
        </is>
      </c>
      <c r="F255" s="20" t="n">
        <v>0</v>
      </c>
      <c r="G255" s="20" t="n">
        <v>0</v>
      </c>
      <c r="H255" s="20" t="n">
        <v>0</v>
      </c>
      <c r="I255" s="21">
        <f>G255+H255</f>
        <v/>
      </c>
      <c r="J255" s="22">
        <f>F255-I255</f>
        <v/>
      </c>
      <c r="K255" s="20" t="n">
        <v>0</v>
      </c>
      <c r="L255" s="23" t="n">
        <v>0</v>
      </c>
      <c r="M255" s="39" t="n">
        <v>0</v>
      </c>
      <c r="N255" s="25" t="n">
        <v>1</v>
      </c>
      <c r="O255" s="19" t="inlineStr">
        <is>
          <t>Mar 27</t>
        </is>
      </c>
      <c r="P255" s="38" t="inlineStr">
        <is>
          <t>CUBIERTO</t>
        </is>
      </c>
    </row>
    <row r="256" ht="20" customHeight="1">
      <c r="A256" s="27" t="inlineStr">
        <is>
          <t>P-5X1000</t>
        </is>
      </c>
      <c r="B256" s="28" t="inlineStr">
        <is>
          <t>P.M.S. 5x, 1000 L</t>
        </is>
      </c>
      <c r="C256" s="29" t="inlineStr">
        <is>
          <t>1000</t>
        </is>
      </c>
      <c r="D256" s="29" t="inlineStr">
        <is>
          <t>Botellas 1L</t>
        </is>
      </c>
      <c r="E256" s="29" t="inlineStr">
        <is>
          <t>Nacional</t>
        </is>
      </c>
      <c r="F256" s="30" t="n">
        <v>0</v>
      </c>
      <c r="G256" s="30" t="n">
        <v>0</v>
      </c>
      <c r="H256" s="30" t="n">
        <v>0</v>
      </c>
      <c r="I256" s="31">
        <f>G256+H256</f>
        <v/>
      </c>
      <c r="J256" s="32">
        <f>F256-I256</f>
        <v/>
      </c>
      <c r="K256" s="30" t="n">
        <v>0</v>
      </c>
      <c r="L256" s="33" t="n">
        <v>0</v>
      </c>
      <c r="M256" s="37" t="n">
        <v>0</v>
      </c>
      <c r="N256" s="35" t="n">
        <v>1</v>
      </c>
      <c r="O256" s="29" t="inlineStr">
        <is>
          <t>Feb 27</t>
        </is>
      </c>
      <c r="P256" s="38" t="inlineStr">
        <is>
          <t>CUBIERTO</t>
        </is>
      </c>
    </row>
    <row r="257" ht="20" customHeight="1">
      <c r="A257" s="17" t="inlineStr">
        <is>
          <t>P-ZM3.50005</t>
        </is>
      </c>
      <c r="B257" s="18" t="inlineStr">
        <is>
          <t>POLIGREEN Zn-Mn 3.5, 5 L</t>
        </is>
      </c>
      <c r="C257" s="19" t="inlineStr">
        <is>
          <t>5</t>
        </is>
      </c>
      <c r="D257" s="19" t="inlineStr">
        <is>
          <t>Garrafas 5L</t>
        </is>
      </c>
      <c r="E257" s="19" t="inlineStr">
        <is>
          <t>Nacional</t>
        </is>
      </c>
      <c r="F257" s="20" t="n">
        <v>0</v>
      </c>
      <c r="G257" s="20" t="n">
        <v>0</v>
      </c>
      <c r="H257" s="20" t="n">
        <v>0</v>
      </c>
      <c r="I257" s="21">
        <f>G257+H257</f>
        <v/>
      </c>
      <c r="J257" s="22">
        <f>F257-I257</f>
        <v/>
      </c>
      <c r="K257" s="20" t="n">
        <v>0</v>
      </c>
      <c r="L257" s="23" t="n">
        <v>0</v>
      </c>
      <c r="M257" s="39" t="n">
        <v>0</v>
      </c>
      <c r="N257" s="25" t="n">
        <v>1</v>
      </c>
      <c r="O257" s="19" t="inlineStr">
        <is>
          <t>Feb 27</t>
        </is>
      </c>
      <c r="P257" s="38" t="inlineStr">
        <is>
          <t>CUBIERTO</t>
        </is>
      </c>
    </row>
    <row r="258" ht="20" customHeight="1">
      <c r="A258" s="27" t="inlineStr">
        <is>
          <t>P-ZM3.51000</t>
        </is>
      </c>
      <c r="B258" s="28" t="inlineStr">
        <is>
          <t>POLIGREEN ZNMN 3.5, 1000 L</t>
        </is>
      </c>
      <c r="C258" s="29" t="inlineStr">
        <is>
          <t>1000</t>
        </is>
      </c>
      <c r="D258" s="29" t="inlineStr">
        <is>
          <t>Botellas 1L</t>
        </is>
      </c>
      <c r="E258" s="29" t="inlineStr">
        <is>
          <t>Nacional</t>
        </is>
      </c>
      <c r="F258" s="30" t="n">
        <v>0</v>
      </c>
      <c r="G258" s="30" t="n">
        <v>0</v>
      </c>
      <c r="H258" s="30" t="n">
        <v>0</v>
      </c>
      <c r="I258" s="31">
        <f>G258+H258</f>
        <v/>
      </c>
      <c r="J258" s="32">
        <f>F258-I258</f>
        <v/>
      </c>
      <c r="K258" s="30" t="n">
        <v>0</v>
      </c>
      <c r="L258" s="33" t="n">
        <v>0</v>
      </c>
      <c r="M258" s="37" t="n">
        <v>0</v>
      </c>
      <c r="N258" s="35" t="n">
        <v>1</v>
      </c>
      <c r="O258" s="29" t="inlineStr">
        <is>
          <t>Mar 27</t>
        </is>
      </c>
      <c r="P258" s="38" t="inlineStr">
        <is>
          <t>CUBIERTO</t>
        </is>
      </c>
    </row>
    <row r="259" ht="20" customHeight="1">
      <c r="A259" s="17" t="inlineStr">
        <is>
          <t>SPCE2B0005</t>
        </is>
      </c>
      <c r="B259" s="18" t="inlineStr">
        <is>
          <t>SPRINTENE CON BORO, 5 L</t>
        </is>
      </c>
      <c r="C259" s="19" t="inlineStr">
        <is>
          <t>5</t>
        </is>
      </c>
      <c r="D259" s="19" t="inlineStr">
        <is>
          <t>Garrafas 5L</t>
        </is>
      </c>
      <c r="E259" s="19" t="inlineStr">
        <is>
          <t>Nacional</t>
        </is>
      </c>
      <c r="F259" s="20" t="n">
        <v>0</v>
      </c>
      <c r="G259" s="20" t="n">
        <v>0</v>
      </c>
      <c r="H259" s="20" t="n">
        <v>0</v>
      </c>
      <c r="I259" s="21">
        <f>G259+H259</f>
        <v/>
      </c>
      <c r="J259" s="22">
        <f>F259-I259</f>
        <v/>
      </c>
      <c r="K259" s="20" t="n">
        <v>0</v>
      </c>
      <c r="L259" s="23" t="n">
        <v>0</v>
      </c>
      <c r="M259" s="39" t="n">
        <v>0</v>
      </c>
      <c r="N259" s="25" t="n">
        <v>1</v>
      </c>
      <c r="O259" s="19" t="inlineStr">
        <is>
          <t>Feb 27</t>
        </is>
      </c>
      <c r="P259" s="38" t="inlineStr">
        <is>
          <t>CUBIERTO</t>
        </is>
      </c>
    </row>
    <row r="260" ht="20" customHeight="1">
      <c r="A260" s="27" t="inlineStr">
        <is>
          <t>BAYCAL0020</t>
        </is>
      </c>
      <c r="B260" s="28" t="inlineStr">
        <is>
          <t>BAYFOLAN CALCIO</t>
        </is>
      </c>
      <c r="C260" s="29" t="inlineStr">
        <is>
          <t>20</t>
        </is>
      </c>
      <c r="D260" s="29" t="inlineStr">
        <is>
          <t>Garrafas 20L</t>
        </is>
      </c>
      <c r="E260" s="29" t="inlineStr">
        <is>
          <t>Exportación</t>
        </is>
      </c>
      <c r="F260" s="30" t="n">
        <v>100</v>
      </c>
      <c r="G260" s="30" t="n">
        <v>0</v>
      </c>
      <c r="H260" s="30" t="n">
        <v>0</v>
      </c>
      <c r="I260" s="31">
        <f>G260+H260</f>
        <v/>
      </c>
      <c r="J260" s="32">
        <f>F260-I260</f>
        <v/>
      </c>
      <c r="K260" s="30" t="n">
        <v>0</v>
      </c>
      <c r="L260" s="33" t="n">
        <v>0</v>
      </c>
      <c r="M260" s="37" t="n">
        <v>0</v>
      </c>
      <c r="N260" s="35" t="n">
        <v>1</v>
      </c>
      <c r="O260" s="29" t="inlineStr">
        <is>
          <t>Mar 27</t>
        </is>
      </c>
      <c r="P260" s="38" t="inlineStr">
        <is>
          <t>CUBIERTO</t>
        </is>
      </c>
    </row>
    <row r="261" ht="20" customHeight="1">
      <c r="A261" s="17" t="inlineStr">
        <is>
          <t>FLORCR0020</t>
        </is>
      </c>
      <c r="B261" s="18" t="inlineStr">
        <is>
          <t>FLORAMEC</t>
        </is>
      </c>
      <c r="C261" s="19" t="inlineStr">
        <is>
          <t>20</t>
        </is>
      </c>
      <c r="D261" s="19" t="inlineStr">
        <is>
          <t>Garrafas 20L</t>
        </is>
      </c>
      <c r="E261" s="19" t="inlineStr">
        <is>
          <t>Exportación</t>
        </is>
      </c>
      <c r="F261" s="20" t="n">
        <v>0</v>
      </c>
      <c r="G261" s="20" t="n">
        <v>0</v>
      </c>
      <c r="H261" s="20" t="n">
        <v>0</v>
      </c>
      <c r="I261" s="21">
        <f>G261+H261</f>
        <v/>
      </c>
      <c r="J261" s="22">
        <f>F261-I261</f>
        <v/>
      </c>
      <c r="K261" s="20" t="n">
        <v>0</v>
      </c>
      <c r="L261" s="23" t="n">
        <v>0</v>
      </c>
      <c r="M261" s="39" t="n">
        <v>0</v>
      </c>
      <c r="N261" s="25" t="n">
        <v>1</v>
      </c>
      <c r="O261" s="19" t="inlineStr">
        <is>
          <t>May 27</t>
        </is>
      </c>
      <c r="P261" s="38" t="inlineStr">
        <is>
          <t>CUBIERTO</t>
        </is>
      </c>
    </row>
    <row r="262" ht="20" customHeight="1">
      <c r="A262" s="27" t="inlineStr">
        <is>
          <t>NB1000</t>
        </is>
      </c>
      <c r="B262" s="28" t="inlineStr">
        <is>
          <t>NITROBALANCE</t>
        </is>
      </c>
      <c r="C262" s="29" t="inlineStr">
        <is>
          <t>1000</t>
        </is>
      </c>
      <c r="D262" s="29" t="inlineStr">
        <is>
          <t>Botellas 1L</t>
        </is>
      </c>
      <c r="E262" s="29" t="inlineStr">
        <is>
          <t>Exportación</t>
        </is>
      </c>
      <c r="F262" s="30" t="n">
        <v>0</v>
      </c>
      <c r="G262" s="30" t="n">
        <v>0</v>
      </c>
      <c r="H262" s="30" t="n">
        <v>0</v>
      </c>
      <c r="I262" s="31">
        <f>G262+H262</f>
        <v/>
      </c>
      <c r="J262" s="32">
        <f>F262-I262</f>
        <v/>
      </c>
      <c r="K262" s="30" t="n">
        <v>0</v>
      </c>
      <c r="L262" s="33" t="n">
        <v>0</v>
      </c>
      <c r="M262" s="37" t="n">
        <v>0</v>
      </c>
      <c r="N262" s="35" t="n">
        <v>1</v>
      </c>
      <c r="O262" s="29" t="inlineStr">
        <is>
          <t>Mar 27</t>
        </is>
      </c>
      <c r="P262" s="38" t="inlineStr">
        <is>
          <t>CUBIERTO</t>
        </is>
      </c>
    </row>
    <row r="263" ht="20" customHeight="1">
      <c r="A263" s="17" t="inlineStr">
        <is>
          <t>SPCE0005</t>
        </is>
      </c>
      <c r="B263" s="18" t="inlineStr">
        <is>
          <t>SPRINTENE</t>
        </is>
      </c>
      <c r="C263" s="19" t="inlineStr">
        <is>
          <t>5</t>
        </is>
      </c>
      <c r="D263" s="19" t="inlineStr">
        <is>
          <t>Garrafas 5L</t>
        </is>
      </c>
      <c r="E263" s="19" t="inlineStr">
        <is>
          <t>Exportación</t>
        </is>
      </c>
      <c r="F263" s="20" t="n">
        <v>0</v>
      </c>
      <c r="G263" s="20" t="n">
        <v>0</v>
      </c>
      <c r="H263" s="20" t="n">
        <v>0</v>
      </c>
      <c r="I263" s="21">
        <f>G263+H263</f>
        <v/>
      </c>
      <c r="J263" s="22">
        <f>F263-I263</f>
        <v/>
      </c>
      <c r="K263" s="20" t="n">
        <v>0</v>
      </c>
      <c r="L263" s="23" t="n">
        <v>0</v>
      </c>
      <c r="M263" s="39" t="n">
        <v>0</v>
      </c>
      <c r="N263" s="25" t="n">
        <v>0</v>
      </c>
      <c r="O263" s="19" t="inlineStr">
        <is>
          <t>Mar 27</t>
        </is>
      </c>
      <c r="P263" s="38" t="inlineStr">
        <is>
          <t>CUBIERTO</t>
        </is>
      </c>
    </row>
    <row r="264" ht="20" customHeight="1">
      <c r="A264" s="27" t="inlineStr">
        <is>
          <t>BEY0001</t>
        </is>
      </c>
      <c r="B264" s="28" t="inlineStr">
        <is>
          <t>BERRY-FLOR, 1 L</t>
        </is>
      </c>
      <c r="C264" s="29" t="inlineStr">
        <is>
          <t>1</t>
        </is>
      </c>
      <c r="D264" s="29" t="inlineStr">
        <is>
          <t>Botellas 1L</t>
        </is>
      </c>
      <c r="E264" s="29" t="inlineStr">
        <is>
          <t>Exportación</t>
        </is>
      </c>
      <c r="F264" s="30" t="n">
        <v>0</v>
      </c>
      <c r="G264" s="30" t="n">
        <v>0</v>
      </c>
      <c r="H264" s="30" t="n">
        <v>0</v>
      </c>
      <c r="I264" s="31">
        <f>G264+H264</f>
        <v/>
      </c>
      <c r="J264" s="32">
        <f>F264-I264</f>
        <v/>
      </c>
      <c r="K264" s="30" t="n">
        <v>0</v>
      </c>
      <c r="L264" s="33" t="n">
        <v>0</v>
      </c>
      <c r="M264" s="37" t="n">
        <v>0</v>
      </c>
      <c r="N264" s="35" t="n">
        <v>1</v>
      </c>
      <c r="O264" s="29" t="inlineStr">
        <is>
          <t>Ago 27</t>
        </is>
      </c>
      <c r="P264" s="38" t="inlineStr">
        <is>
          <t>CUBIERTO</t>
        </is>
      </c>
    </row>
    <row r="265" ht="20" customHeight="1">
      <c r="A265" s="17" t="inlineStr">
        <is>
          <t>AQUOMB0001</t>
        </is>
      </c>
      <c r="B265" s="18" t="inlineStr">
        <is>
          <t>AQUOM-BORO, 1 L</t>
        </is>
      </c>
      <c r="C265" s="19" t="inlineStr">
        <is>
          <t>1</t>
        </is>
      </c>
      <c r="D265" s="19" t="inlineStr">
        <is>
          <t>Botellas 1L</t>
        </is>
      </c>
      <c r="E265" s="19" t="inlineStr">
        <is>
          <t>Exportación</t>
        </is>
      </c>
      <c r="F265" s="20" t="n">
        <v>6</v>
      </c>
      <c r="G265" s="20" t="n">
        <v>0</v>
      </c>
      <c r="H265" s="20" t="n">
        <v>0</v>
      </c>
      <c r="I265" s="21">
        <f>G265+H265</f>
        <v/>
      </c>
      <c r="J265" s="22">
        <f>F265-I265</f>
        <v/>
      </c>
      <c r="K265" s="20" t="n">
        <v>0</v>
      </c>
      <c r="L265" s="23" t="n">
        <v>0</v>
      </c>
      <c r="M265" s="39" t="n">
        <v>0</v>
      </c>
      <c r="N265" s="25" t="n">
        <v>1</v>
      </c>
      <c r="O265" s="19" t="inlineStr">
        <is>
          <t>Cubierto &gt;15 meses</t>
        </is>
      </c>
      <c r="P265" s="38" t="inlineStr">
        <is>
          <t>CUBIERTO</t>
        </is>
      </c>
    </row>
    <row r="266" ht="20" customHeight="1">
      <c r="A266" s="27" t="inlineStr">
        <is>
          <t>AO1000</t>
        </is>
      </c>
      <c r="B266" s="28" t="inlineStr">
        <is>
          <t>ALCAPLANT OMRI, 1000 KG</t>
        </is>
      </c>
      <c r="C266" s="29" t="inlineStr">
        <is>
          <t>1000</t>
        </is>
      </c>
      <c r="D266" s="29" t="inlineStr">
        <is>
          <t>Botellas 1L</t>
        </is>
      </c>
      <c r="E266" s="29" t="inlineStr">
        <is>
          <t>Exportación</t>
        </is>
      </c>
      <c r="F266" s="30" t="n">
        <v>0</v>
      </c>
      <c r="G266" s="30" t="n">
        <v>0</v>
      </c>
      <c r="H266" s="30" t="n">
        <v>0</v>
      </c>
      <c r="I266" s="31">
        <f>G266+H266</f>
        <v/>
      </c>
      <c r="J266" s="32">
        <f>F266-I266</f>
        <v/>
      </c>
      <c r="K266" s="30" t="n">
        <v>0</v>
      </c>
      <c r="L266" s="33" t="n">
        <v>0</v>
      </c>
      <c r="M266" s="37" t="n">
        <v>0</v>
      </c>
      <c r="N266" s="35" t="n">
        <v>1</v>
      </c>
      <c r="O266" s="29" t="inlineStr">
        <is>
          <t>Jun 27</t>
        </is>
      </c>
      <c r="P266" s="38" t="inlineStr">
        <is>
          <t>CUBIERTO</t>
        </is>
      </c>
    </row>
    <row r="267" ht="20" customHeight="1">
      <c r="A267" s="17" t="inlineStr">
        <is>
          <t>CSIL1000</t>
        </is>
      </c>
      <c r="B267" s="18" t="inlineStr">
        <is>
          <t>FITOKONTROL-K, 1000 L</t>
        </is>
      </c>
      <c r="C267" s="19" t="inlineStr">
        <is>
          <t>1000</t>
        </is>
      </c>
      <c r="D267" s="19" t="inlineStr">
        <is>
          <t>Botellas 1L</t>
        </is>
      </c>
      <c r="E267" s="19" t="inlineStr">
        <is>
          <t>Exportación</t>
        </is>
      </c>
      <c r="F267" s="20" t="n">
        <v>0</v>
      </c>
      <c r="G267" s="20" t="n">
        <v>0</v>
      </c>
      <c r="H267" s="20" t="n">
        <v>0</v>
      </c>
      <c r="I267" s="21">
        <f>G267+H267</f>
        <v/>
      </c>
      <c r="J267" s="22">
        <f>F267-I267</f>
        <v/>
      </c>
      <c r="K267" s="20" t="n">
        <v>0</v>
      </c>
      <c r="L267" s="23" t="n">
        <v>0</v>
      </c>
      <c r="M267" s="39" t="n">
        <v>0</v>
      </c>
      <c r="N267" s="25" t="n">
        <v>1</v>
      </c>
      <c r="O267" s="19" t="inlineStr">
        <is>
          <t>Feb 27</t>
        </is>
      </c>
      <c r="P267" s="38" t="inlineStr">
        <is>
          <t>CUBIERTO</t>
        </is>
      </c>
    </row>
    <row r="268" ht="26" customHeight="1">
      <c r="A268" s="40" t="inlineStr">
        <is>
          <t>TOTAL GENERAL (259 SKUs)</t>
        </is>
      </c>
      <c r="B268" s="41" t="n"/>
      <c r="C268" s="41" t="n"/>
      <c r="D268" s="41" t="n"/>
      <c r="E268" s="41" t="n"/>
      <c r="F268" s="42">
        <f>SUM(F9:F267)</f>
        <v/>
      </c>
      <c r="G268" s="42">
        <f>SUM(G9:G267)</f>
        <v/>
      </c>
      <c r="H268" s="42">
        <f>SUM(H9:H267)</f>
        <v/>
      </c>
      <c r="I268" s="42">
        <f>SUM(I9:I267)</f>
        <v/>
      </c>
      <c r="J268" s="42">
        <f>SUM(J9:J267)</f>
        <v/>
      </c>
      <c r="K268" s="42">
        <f>SUM(K9:K267)</f>
        <v/>
      </c>
      <c r="L268" s="42">
        <f>SUM(L9:L267)</f>
        <v/>
      </c>
      <c r="M268" s="42">
        <f>SUM(M9:M267)</f>
        <v/>
      </c>
      <c r="N268" s="43">
        <f>IF(I268&gt;0, F268/I268, 1)</f>
        <v/>
      </c>
      <c r="O268" s="44" t="inlineStr"/>
      <c r="P268" s="44" t="inlineStr"/>
    </row>
  </sheetData>
  <autoFilter ref="A8:P267"/>
  <mergeCells count="18">
    <mergeCell ref="K7:P7"/>
    <mergeCell ref="J5:L5"/>
    <mergeCell ref="F7:J7"/>
    <mergeCell ref="D5:F5"/>
    <mergeCell ref="A5:C5"/>
    <mergeCell ref="G5:I5"/>
    <mergeCell ref="A1:P1"/>
    <mergeCell ref="O5:P5"/>
    <mergeCell ref="A7:E7"/>
    <mergeCell ref="D4:F4"/>
    <mergeCell ref="A268:E268"/>
    <mergeCell ref="G4:I4"/>
    <mergeCell ref="J4:L4"/>
    <mergeCell ref="M5:N5"/>
    <mergeCell ref="A4:C4"/>
    <mergeCell ref="O4:P4"/>
    <mergeCell ref="M4:N4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18" customWidth="1" min="6" max="6"/>
    <col width="22" customWidth="1" min="7" max="7"/>
  </cols>
  <sheetData>
    <row r="1" ht="28" customHeight="1">
      <c r="A1" s="1" t="inlineStr">
        <is>
          <t xml:space="preserve">  CODIAGRO S.L.  |  RESUMEN DE NECESIDADES POR LÍNEA DE ENVASADO</t>
        </is>
      </c>
    </row>
    <row r="3" ht="24" customHeight="1">
      <c r="A3" s="13" t="inlineStr">
        <is>
          <t>Línea / Tipo Envase</t>
        </is>
      </c>
      <c r="B3" s="12" t="inlineStr">
        <is>
          <t>Nº SKUs</t>
        </is>
      </c>
      <c r="C3" s="45" t="inlineStr">
        <is>
          <t>Stock Actual (u)</t>
        </is>
      </c>
      <c r="D3" s="45" t="inlineStr">
        <is>
          <t>Pedidos Cartera (u)</t>
        </is>
      </c>
      <c r="E3" s="45" t="inlineStr">
        <is>
          <t>Previsión (u)</t>
        </is>
      </c>
      <c r="F3" s="45" t="inlineStr">
        <is>
          <t>Demanda Total (u)</t>
        </is>
      </c>
      <c r="G3" s="45" t="inlineStr">
        <is>
          <t>A Fabricar Sugerido (u)</t>
        </is>
      </c>
    </row>
    <row r="4" ht="20" customHeight="1">
      <c r="A4" s="46" t="inlineStr">
        <is>
          <t>Botellas 1L</t>
        </is>
      </c>
      <c r="B4" s="29" t="n">
        <v>99</v>
      </c>
      <c r="C4" s="30" t="n">
        <v>20260</v>
      </c>
      <c r="D4" s="30" t="n">
        <v>12404</v>
      </c>
      <c r="E4" s="30" t="n">
        <v>250604</v>
      </c>
      <c r="F4" s="30" t="n">
        <v>263008</v>
      </c>
      <c r="G4" s="31" t="n">
        <v>180663</v>
      </c>
    </row>
    <row r="5" ht="20" customHeight="1">
      <c r="A5" s="47" t="inlineStr">
        <is>
          <t>Garrafas 20L</t>
        </is>
      </c>
      <c r="B5" s="19" t="n">
        <v>74</v>
      </c>
      <c r="C5" s="20" t="n">
        <v>173488</v>
      </c>
      <c r="D5" s="20" t="n">
        <v>19940</v>
      </c>
      <c r="E5" s="20" t="n">
        <v>793940</v>
      </c>
      <c r="F5" s="20" t="n">
        <v>813880</v>
      </c>
      <c r="G5" s="21" t="n">
        <v>623170</v>
      </c>
    </row>
    <row r="6" ht="20" customHeight="1">
      <c r="A6" s="46" t="inlineStr">
        <is>
          <t>Garrafas 5L</t>
        </is>
      </c>
      <c r="B6" s="29" t="n">
        <v>82</v>
      </c>
      <c r="C6" s="30" t="n">
        <v>68035</v>
      </c>
      <c r="D6" s="30" t="n">
        <v>3490</v>
      </c>
      <c r="E6" s="30" t="n">
        <v>232910</v>
      </c>
      <c r="F6" s="30" t="n">
        <v>236400</v>
      </c>
      <c r="G6" s="31" t="n">
        <v>188733</v>
      </c>
    </row>
    <row r="7" ht="20" customHeight="1">
      <c r="A7" s="47" t="inlineStr">
        <is>
          <t>Otros</t>
        </is>
      </c>
      <c r="B7" s="19" t="n">
        <v>4</v>
      </c>
      <c r="C7" s="20" t="n">
        <v>0</v>
      </c>
      <c r="D7" s="20" t="n">
        <v>935</v>
      </c>
      <c r="E7" s="20" t="n">
        <v>0</v>
      </c>
      <c r="F7" s="20" t="n">
        <v>935</v>
      </c>
      <c r="G7" s="21" t="n">
        <v>935</v>
      </c>
    </row>
    <row r="8" ht="24" customHeight="1">
      <c r="A8" s="48" t="inlineStr">
        <is>
          <t>TOTAL PLANTA</t>
        </is>
      </c>
      <c r="B8" s="49">
        <f>SUM(B4:B7)</f>
        <v/>
      </c>
      <c r="C8" s="50">
        <f>SUM(C4:C7)</f>
        <v/>
      </c>
      <c r="D8" s="50">
        <f>SUM(D4:D7)</f>
        <v/>
      </c>
      <c r="E8" s="50">
        <f>SUM(E4:E7)</f>
        <v/>
      </c>
      <c r="F8" s="50">
        <f>SUM(F4:F7)</f>
        <v/>
      </c>
      <c r="G8" s="50">
        <f>SUM(G4:G7)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2026-10-06T06:26:33Z</dcterms:created>
  <dcterms:modified xmlns:dcterms="http://purl.org/dc/terms/" xmlns:xsi="http://www.w3.org/2001/XMLSchema-instance" xsi:type="dcterms:W3CDTF">2026-10-06T06:26:33Z</dcterms:modified>
</cp:coreProperties>
</file>