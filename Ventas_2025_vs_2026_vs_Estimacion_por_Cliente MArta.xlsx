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"/>
    </mc:Choice>
  </mc:AlternateContent>
  <xr:revisionPtr revIDLastSave="0" documentId="8_{C8029ADA-FEC0-4848-94C4-CAA767A29631}" xr6:coauthVersionLast="47" xr6:coauthVersionMax="47" xr10:uidLastSave="{00000000-0000-0000-0000-000000000000}"/>
  <bookViews>
    <workbookView xWindow="-110" yWindow="-110" windowWidth="25820" windowHeight="14620" tabRatio="500" xr2:uid="{00000000-000D-0000-FFFF-FFFF00000000}"/>
  </bookViews>
  <sheets>
    <sheet name="Comparativa Clientes" sheetId="1" r:id="rId1"/>
    <sheet name="Resumen por Comercial" sheetId="2" r:id="rId2"/>
    <sheet name="Notas y supuestos" sheetId="3" r:id="rId3"/>
  </sheets>
  <definedNames>
    <definedName name="_xlnm._FilterDatabase" localSheetId="0" hidden="1">'Comparativa Clientes'!$A$7:$Q$122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7" i="1" l="1"/>
  <c r="G37" i="1"/>
  <c r="F11" i="2"/>
  <c r="D11" i="2"/>
  <c r="C11" i="2"/>
  <c r="B11" i="2"/>
  <c r="F10" i="2"/>
  <c r="D10" i="2"/>
  <c r="C10" i="2"/>
  <c r="B10" i="2"/>
  <c r="G9" i="2"/>
  <c r="F9" i="2"/>
  <c r="D9" i="2"/>
  <c r="C9" i="2"/>
  <c r="B9" i="2"/>
  <c r="F8" i="2"/>
  <c r="D8" i="2"/>
  <c r="C8" i="2"/>
  <c r="B8" i="2"/>
  <c r="F7" i="2"/>
  <c r="E7" i="2"/>
  <c r="D7" i="2"/>
  <c r="H7" i="2" s="1"/>
  <c r="C7" i="2"/>
  <c r="B7" i="2"/>
  <c r="F6" i="2"/>
  <c r="D6" i="2"/>
  <c r="C6" i="2"/>
  <c r="B6" i="2"/>
  <c r="F5" i="2"/>
  <c r="D5" i="2"/>
  <c r="H5" i="2" s="1"/>
  <c r="C5" i="2"/>
  <c r="B5" i="2"/>
  <c r="F4" i="2"/>
  <c r="D4" i="2"/>
  <c r="C4" i="2"/>
  <c r="B4" i="2"/>
  <c r="Q122" i="1"/>
  <c r="P122" i="1"/>
  <c r="H122" i="1"/>
  <c r="F122" i="1"/>
  <c r="E122" i="1"/>
  <c r="K121" i="1"/>
  <c r="J121" i="1"/>
  <c r="I121" i="1"/>
  <c r="G121" i="1"/>
  <c r="K120" i="1"/>
  <c r="J120" i="1"/>
  <c r="I120" i="1"/>
  <c r="G120" i="1"/>
  <c r="K119" i="1"/>
  <c r="J119" i="1"/>
  <c r="I119" i="1"/>
  <c r="G119" i="1"/>
  <c r="K118" i="1"/>
  <c r="J118" i="1"/>
  <c r="I118" i="1"/>
  <c r="G118" i="1"/>
  <c r="O117" i="1"/>
  <c r="N117" i="1"/>
  <c r="J117" i="1"/>
  <c r="I117" i="1"/>
  <c r="M117" i="1" s="1"/>
  <c r="G117" i="1"/>
  <c r="J116" i="1"/>
  <c r="I116" i="1"/>
  <c r="G116" i="1"/>
  <c r="J115" i="1"/>
  <c r="I115" i="1"/>
  <c r="G115" i="1"/>
  <c r="J114" i="1"/>
  <c r="I114" i="1"/>
  <c r="G114" i="1"/>
  <c r="J113" i="1"/>
  <c r="I113" i="1"/>
  <c r="G113" i="1"/>
  <c r="J112" i="1"/>
  <c r="I112" i="1"/>
  <c r="G112" i="1"/>
  <c r="J111" i="1"/>
  <c r="I111" i="1"/>
  <c r="G111" i="1"/>
  <c r="J110" i="1"/>
  <c r="I110" i="1"/>
  <c r="G110" i="1"/>
  <c r="J109" i="1"/>
  <c r="I109" i="1"/>
  <c r="G109" i="1"/>
  <c r="J108" i="1"/>
  <c r="I108" i="1"/>
  <c r="K108" i="1" s="1"/>
  <c r="G108" i="1"/>
  <c r="J107" i="1"/>
  <c r="I107" i="1"/>
  <c r="G107" i="1"/>
  <c r="J106" i="1"/>
  <c r="I106" i="1"/>
  <c r="G106" i="1"/>
  <c r="J105" i="1"/>
  <c r="I105" i="1"/>
  <c r="K105" i="1" s="1"/>
  <c r="G105" i="1"/>
  <c r="J104" i="1"/>
  <c r="I104" i="1"/>
  <c r="G104" i="1"/>
  <c r="J103" i="1"/>
  <c r="I103" i="1"/>
  <c r="G103" i="1"/>
  <c r="J102" i="1"/>
  <c r="I102" i="1"/>
  <c r="G102" i="1"/>
  <c r="J101" i="1"/>
  <c r="I101" i="1"/>
  <c r="G101" i="1"/>
  <c r="J100" i="1"/>
  <c r="I100" i="1"/>
  <c r="G100" i="1"/>
  <c r="J99" i="1"/>
  <c r="I99" i="1"/>
  <c r="G99" i="1"/>
  <c r="J98" i="1"/>
  <c r="I98" i="1"/>
  <c r="G98" i="1"/>
  <c r="J97" i="1"/>
  <c r="I97" i="1"/>
  <c r="G97" i="1"/>
  <c r="J96" i="1"/>
  <c r="I96" i="1"/>
  <c r="G96" i="1"/>
  <c r="J95" i="1"/>
  <c r="I95" i="1"/>
  <c r="G95" i="1"/>
  <c r="J94" i="1"/>
  <c r="I94" i="1"/>
  <c r="G94" i="1"/>
  <c r="J93" i="1"/>
  <c r="I93" i="1"/>
  <c r="G93" i="1"/>
  <c r="J92" i="1"/>
  <c r="I92" i="1"/>
  <c r="G92" i="1"/>
  <c r="J91" i="1"/>
  <c r="I91" i="1"/>
  <c r="G91" i="1"/>
  <c r="J90" i="1"/>
  <c r="I90" i="1"/>
  <c r="G90" i="1"/>
  <c r="J89" i="1"/>
  <c r="I89" i="1"/>
  <c r="G89" i="1"/>
  <c r="K88" i="1"/>
  <c r="J88" i="1"/>
  <c r="I88" i="1"/>
  <c r="G88" i="1"/>
  <c r="J87" i="1"/>
  <c r="I87" i="1"/>
  <c r="G87" i="1"/>
  <c r="J86" i="1"/>
  <c r="I86" i="1"/>
  <c r="G86" i="1"/>
  <c r="J85" i="1"/>
  <c r="I85" i="1"/>
  <c r="G85" i="1"/>
  <c r="J84" i="1"/>
  <c r="I84" i="1"/>
  <c r="G84" i="1"/>
  <c r="J83" i="1"/>
  <c r="I83" i="1"/>
  <c r="G83" i="1"/>
  <c r="J82" i="1"/>
  <c r="I82" i="1"/>
  <c r="G82" i="1"/>
  <c r="J81" i="1"/>
  <c r="I81" i="1"/>
  <c r="G81" i="1"/>
  <c r="J80" i="1"/>
  <c r="I80" i="1"/>
  <c r="G80" i="1"/>
  <c r="J79" i="1"/>
  <c r="I79" i="1"/>
  <c r="G10" i="2" s="1"/>
  <c r="G79" i="1"/>
  <c r="E10" i="2" s="1"/>
  <c r="J78" i="1"/>
  <c r="I78" i="1"/>
  <c r="G78" i="1"/>
  <c r="J77" i="1"/>
  <c r="I77" i="1"/>
  <c r="G77" i="1"/>
  <c r="J76" i="1"/>
  <c r="I76" i="1"/>
  <c r="G76" i="1"/>
  <c r="E9" i="2" s="1"/>
  <c r="K75" i="1"/>
  <c r="J75" i="1"/>
  <c r="I75" i="1"/>
  <c r="G75" i="1"/>
  <c r="K74" i="1"/>
  <c r="J74" i="1"/>
  <c r="I74" i="1"/>
  <c r="G74" i="1"/>
  <c r="J73" i="1"/>
  <c r="I73" i="1"/>
  <c r="G73" i="1"/>
  <c r="E8" i="2" s="1"/>
  <c r="J72" i="1"/>
  <c r="I72" i="1"/>
  <c r="G72" i="1"/>
  <c r="J71" i="1"/>
  <c r="I71" i="1"/>
  <c r="K71" i="1" s="1"/>
  <c r="G71" i="1"/>
  <c r="J70" i="1"/>
  <c r="I70" i="1"/>
  <c r="G70" i="1"/>
  <c r="J69" i="1"/>
  <c r="I69" i="1"/>
  <c r="G69" i="1"/>
  <c r="J68" i="1"/>
  <c r="I68" i="1"/>
  <c r="G7" i="2" s="1"/>
  <c r="G68" i="1"/>
  <c r="J67" i="1"/>
  <c r="I67" i="1"/>
  <c r="G67" i="1"/>
  <c r="J66" i="1"/>
  <c r="I66" i="1"/>
  <c r="G66" i="1"/>
  <c r="J65" i="1"/>
  <c r="I65" i="1"/>
  <c r="G65" i="1"/>
  <c r="J64" i="1"/>
  <c r="I64" i="1"/>
  <c r="L64" i="1" s="1"/>
  <c r="G64" i="1"/>
  <c r="J63" i="1"/>
  <c r="I63" i="1"/>
  <c r="G63" i="1"/>
  <c r="J62" i="1"/>
  <c r="I62" i="1"/>
  <c r="G62" i="1"/>
  <c r="J61" i="1"/>
  <c r="I61" i="1"/>
  <c r="G61" i="1"/>
  <c r="J60" i="1"/>
  <c r="I60" i="1"/>
  <c r="G6" i="2" s="1"/>
  <c r="G60" i="1"/>
  <c r="E6" i="2" s="1"/>
  <c r="K59" i="1"/>
  <c r="J59" i="1"/>
  <c r="I59" i="1"/>
  <c r="G59" i="1"/>
  <c r="K58" i="1"/>
  <c r="J58" i="1"/>
  <c r="I58" i="1"/>
  <c r="G58" i="1"/>
  <c r="J57" i="1"/>
  <c r="I57" i="1"/>
  <c r="G57" i="1"/>
  <c r="J56" i="1"/>
  <c r="I56" i="1"/>
  <c r="G56" i="1"/>
  <c r="J55" i="1"/>
  <c r="I55" i="1"/>
  <c r="G55" i="1"/>
  <c r="J54" i="1"/>
  <c r="I54" i="1"/>
  <c r="G54" i="1"/>
  <c r="J53" i="1"/>
  <c r="I53" i="1"/>
  <c r="N53" i="1" s="1"/>
  <c r="G53" i="1"/>
  <c r="J52" i="1"/>
  <c r="I52" i="1"/>
  <c r="G52" i="1"/>
  <c r="J51" i="1"/>
  <c r="I51" i="1"/>
  <c r="G51" i="1"/>
  <c r="J50" i="1"/>
  <c r="I50" i="1"/>
  <c r="G50" i="1"/>
  <c r="J49" i="1"/>
  <c r="I49" i="1"/>
  <c r="G49" i="1"/>
  <c r="J48" i="1"/>
  <c r="I48" i="1"/>
  <c r="G48" i="1"/>
  <c r="J47" i="1"/>
  <c r="I47" i="1"/>
  <c r="G47" i="1"/>
  <c r="J46" i="1"/>
  <c r="I46" i="1"/>
  <c r="G46" i="1"/>
  <c r="J45" i="1"/>
  <c r="I45" i="1"/>
  <c r="G45" i="1"/>
  <c r="J44" i="1"/>
  <c r="I44" i="1"/>
  <c r="G44" i="1"/>
  <c r="J43" i="1"/>
  <c r="I43" i="1"/>
  <c r="G43" i="1"/>
  <c r="J42" i="1"/>
  <c r="I42" i="1"/>
  <c r="G42" i="1"/>
  <c r="J41" i="1"/>
  <c r="I41" i="1"/>
  <c r="G41" i="1"/>
  <c r="E5" i="2" s="1"/>
  <c r="J40" i="1"/>
  <c r="I40" i="1"/>
  <c r="G40" i="1"/>
  <c r="J39" i="1"/>
  <c r="I39" i="1"/>
  <c r="G39" i="1"/>
  <c r="J38" i="1"/>
  <c r="I38" i="1"/>
  <c r="G5" i="2" s="1"/>
  <c r="G38" i="1"/>
  <c r="J37" i="1"/>
  <c r="K36" i="1"/>
  <c r="J36" i="1"/>
  <c r="I36" i="1"/>
  <c r="G36" i="1"/>
  <c r="J35" i="1"/>
  <c r="I35" i="1"/>
  <c r="G35" i="1"/>
  <c r="J34" i="1"/>
  <c r="I34" i="1"/>
  <c r="G34" i="1"/>
  <c r="J33" i="1"/>
  <c r="I33" i="1"/>
  <c r="G33" i="1"/>
  <c r="J32" i="1"/>
  <c r="I32" i="1"/>
  <c r="G32" i="1"/>
  <c r="J31" i="1"/>
  <c r="I31" i="1"/>
  <c r="G31" i="1"/>
  <c r="J30" i="1"/>
  <c r="I30" i="1"/>
  <c r="G30" i="1"/>
  <c r="J29" i="1"/>
  <c r="I29" i="1"/>
  <c r="G29" i="1"/>
  <c r="J28" i="1"/>
  <c r="I28" i="1"/>
  <c r="G28" i="1"/>
  <c r="J27" i="1"/>
  <c r="I27" i="1"/>
  <c r="G27" i="1"/>
  <c r="J26" i="1"/>
  <c r="I26" i="1"/>
  <c r="G26" i="1"/>
  <c r="J25" i="1"/>
  <c r="I25" i="1"/>
  <c r="G25" i="1"/>
  <c r="J24" i="1"/>
  <c r="I24" i="1"/>
  <c r="G24" i="1"/>
  <c r="J23" i="1"/>
  <c r="I23" i="1"/>
  <c r="G23" i="1"/>
  <c r="J22" i="1"/>
  <c r="I22" i="1"/>
  <c r="G22" i="1"/>
  <c r="J21" i="1"/>
  <c r="I21" i="1"/>
  <c r="G21" i="1"/>
  <c r="J20" i="1"/>
  <c r="I20" i="1"/>
  <c r="G20" i="1"/>
  <c r="J19" i="1"/>
  <c r="I19" i="1"/>
  <c r="G19" i="1"/>
  <c r="J18" i="1"/>
  <c r="I18" i="1"/>
  <c r="G18" i="1"/>
  <c r="J17" i="1"/>
  <c r="I17" i="1"/>
  <c r="G17" i="1"/>
  <c r="J16" i="1"/>
  <c r="I16" i="1"/>
  <c r="G16" i="1"/>
  <c r="J15" i="1"/>
  <c r="I15" i="1"/>
  <c r="G15" i="1"/>
  <c r="J14" i="1"/>
  <c r="I14" i="1"/>
  <c r="G14" i="1"/>
  <c r="J13" i="1"/>
  <c r="I13" i="1"/>
  <c r="G13" i="1"/>
  <c r="J12" i="1"/>
  <c r="I12" i="1"/>
  <c r="G12" i="1"/>
  <c r="J11" i="1"/>
  <c r="I11" i="1"/>
  <c r="G11" i="1"/>
  <c r="J10" i="1"/>
  <c r="I10" i="1"/>
  <c r="G10" i="1"/>
  <c r="J9" i="1"/>
  <c r="I9" i="1"/>
  <c r="G9" i="1"/>
  <c r="J8" i="1"/>
  <c r="I8" i="1"/>
  <c r="G4" i="2" s="1"/>
  <c r="G8" i="1"/>
  <c r="E4" i="2" s="1"/>
  <c r="I5" i="2" l="1"/>
  <c r="G8" i="2"/>
  <c r="G12" i="2" s="1"/>
  <c r="G11" i="2"/>
  <c r="I7" i="2"/>
  <c r="I10" i="2"/>
  <c r="H10" i="2"/>
  <c r="L5" i="2"/>
  <c r="H6" i="2"/>
  <c r="I6" i="2"/>
  <c r="H11" i="2"/>
  <c r="I9" i="2"/>
  <c r="H9" i="2"/>
  <c r="L9" i="2"/>
  <c r="L8" i="2"/>
  <c r="H8" i="2"/>
  <c r="I8" i="2"/>
  <c r="L7" i="2"/>
  <c r="F12" i="2"/>
  <c r="B12" i="2"/>
  <c r="L10" i="2"/>
  <c r="L6" i="2"/>
  <c r="G122" i="1"/>
  <c r="E11" i="2"/>
  <c r="O99" i="1"/>
  <c r="N99" i="1"/>
  <c r="M99" i="1"/>
  <c r="L99" i="1"/>
  <c r="K99" i="1"/>
  <c r="O90" i="1"/>
  <c r="N90" i="1"/>
  <c r="M90" i="1"/>
  <c r="L90" i="1"/>
  <c r="K90" i="1"/>
  <c r="I11" i="2"/>
  <c r="L11" i="2"/>
  <c r="K35" i="1"/>
  <c r="N35" i="1"/>
  <c r="M35" i="1"/>
  <c r="L35" i="1"/>
  <c r="O35" i="1" s="1"/>
  <c r="N26" i="1"/>
  <c r="M26" i="1"/>
  <c r="L26" i="1"/>
  <c r="O26" i="1" s="1"/>
  <c r="K26" i="1"/>
  <c r="L4" i="2"/>
  <c r="H4" i="2"/>
  <c r="D12" i="2"/>
  <c r="I4" i="2"/>
  <c r="C12" i="2"/>
  <c r="J122" i="1"/>
  <c r="M121" i="1"/>
  <c r="O121" i="1"/>
  <c r="N121" i="1"/>
  <c r="L121" i="1"/>
  <c r="M120" i="1"/>
  <c r="N120" i="1"/>
  <c r="L120" i="1"/>
  <c r="O120" i="1"/>
  <c r="M119" i="1"/>
  <c r="L119" i="1"/>
  <c r="O119" i="1"/>
  <c r="N119" i="1"/>
  <c r="L118" i="1"/>
  <c r="M118" i="1"/>
  <c r="I122" i="1"/>
  <c r="O118" i="1"/>
  <c r="N118" i="1"/>
  <c r="K117" i="1"/>
  <c r="L117" i="1"/>
  <c r="O116" i="1"/>
  <c r="N116" i="1"/>
  <c r="M116" i="1"/>
  <c r="L116" i="1"/>
  <c r="K116" i="1"/>
  <c r="K115" i="1"/>
  <c r="M115" i="1"/>
  <c r="N115" i="1"/>
  <c r="O115" i="1"/>
  <c r="L115" i="1"/>
  <c r="N114" i="1"/>
  <c r="O114" i="1"/>
  <c r="K114" i="1"/>
  <c r="L114" i="1"/>
  <c r="M114" i="1"/>
  <c r="M113" i="1"/>
  <c r="N113" i="1"/>
  <c r="O113" i="1"/>
  <c r="K113" i="1"/>
  <c r="L113" i="1"/>
  <c r="K112" i="1"/>
  <c r="L112" i="1"/>
  <c r="M112" i="1"/>
  <c r="N112" i="1"/>
  <c r="O112" i="1"/>
  <c r="K111" i="1"/>
  <c r="L111" i="1"/>
  <c r="M111" i="1"/>
  <c r="N111" i="1"/>
  <c r="O111" i="1"/>
  <c r="K110" i="1"/>
  <c r="L110" i="1"/>
  <c r="N110" i="1"/>
  <c r="O110" i="1"/>
  <c r="M110" i="1"/>
  <c r="N109" i="1"/>
  <c r="M109" i="1"/>
  <c r="L109" i="1"/>
  <c r="K109" i="1"/>
  <c r="O109" i="1"/>
  <c r="O108" i="1"/>
  <c r="N108" i="1"/>
  <c r="M108" i="1"/>
  <c r="L108" i="1"/>
  <c r="O107" i="1"/>
  <c r="N107" i="1"/>
  <c r="M107" i="1"/>
  <c r="L107" i="1"/>
  <c r="K107" i="1"/>
  <c r="O106" i="1"/>
  <c r="N106" i="1"/>
  <c r="M106" i="1"/>
  <c r="L106" i="1"/>
  <c r="K106" i="1"/>
  <c r="O105" i="1"/>
  <c r="N105" i="1"/>
  <c r="M105" i="1"/>
  <c r="L105" i="1"/>
  <c r="O104" i="1"/>
  <c r="N104" i="1"/>
  <c r="M104" i="1"/>
  <c r="L104" i="1"/>
  <c r="K104" i="1"/>
  <c r="O103" i="1"/>
  <c r="M103" i="1"/>
  <c r="L103" i="1"/>
  <c r="N103" i="1"/>
  <c r="K103" i="1"/>
  <c r="O102" i="1"/>
  <c r="M102" i="1"/>
  <c r="K102" i="1"/>
  <c r="L102" i="1"/>
  <c r="N102" i="1"/>
  <c r="O101" i="1"/>
  <c r="M101" i="1"/>
  <c r="L101" i="1"/>
  <c r="N101" i="1"/>
  <c r="K101" i="1"/>
  <c r="N100" i="1"/>
  <c r="L100" i="1"/>
  <c r="O100" i="1"/>
  <c r="M100" i="1"/>
  <c r="K100" i="1"/>
  <c r="O98" i="1"/>
  <c r="N98" i="1"/>
  <c r="M98" i="1"/>
  <c r="L98" i="1"/>
  <c r="K98" i="1"/>
  <c r="O97" i="1"/>
  <c r="N97" i="1"/>
  <c r="M97" i="1"/>
  <c r="L97" i="1"/>
  <c r="K97" i="1"/>
  <c r="O96" i="1"/>
  <c r="N96" i="1"/>
  <c r="M96" i="1"/>
  <c r="L96" i="1"/>
  <c r="K96" i="1"/>
  <c r="O95" i="1"/>
  <c r="N95" i="1"/>
  <c r="L95" i="1"/>
  <c r="M95" i="1"/>
  <c r="K95" i="1"/>
  <c r="O94" i="1"/>
  <c r="N94" i="1"/>
  <c r="M94" i="1"/>
  <c r="K94" i="1"/>
  <c r="L94" i="1"/>
  <c r="O93" i="1"/>
  <c r="N93" i="1"/>
  <c r="M93" i="1"/>
  <c r="L93" i="1"/>
  <c r="K93" i="1"/>
  <c r="M92" i="1"/>
  <c r="N92" i="1"/>
  <c r="O92" i="1"/>
  <c r="K92" i="1"/>
  <c r="L92" i="1"/>
  <c r="O91" i="1"/>
  <c r="N91" i="1"/>
  <c r="M91" i="1"/>
  <c r="L91" i="1"/>
  <c r="K91" i="1"/>
  <c r="N89" i="1"/>
  <c r="M89" i="1"/>
  <c r="K89" i="1"/>
  <c r="O89" i="1"/>
  <c r="L89" i="1"/>
  <c r="L88" i="1"/>
  <c r="O88" i="1" s="1"/>
  <c r="M88" i="1"/>
  <c r="N88" i="1"/>
  <c r="M87" i="1"/>
  <c r="L87" i="1"/>
  <c r="O87" i="1" s="1"/>
  <c r="K87" i="1"/>
  <c r="N87" i="1"/>
  <c r="L86" i="1"/>
  <c r="M86" i="1" s="1"/>
  <c r="O86" i="1" s="1"/>
  <c r="N86" i="1"/>
  <c r="K86" i="1"/>
  <c r="N85" i="1"/>
  <c r="M85" i="1"/>
  <c r="L85" i="1"/>
  <c r="O85" i="1" s="1"/>
  <c r="K85" i="1"/>
  <c r="M84" i="1"/>
  <c r="L84" i="1"/>
  <c r="K84" i="1"/>
  <c r="N84" i="1"/>
  <c r="O84" i="1"/>
  <c r="L83" i="1"/>
  <c r="M83" i="1" s="1"/>
  <c r="O83" i="1" s="1"/>
  <c r="N83" i="1"/>
  <c r="K83" i="1"/>
  <c r="K82" i="1"/>
  <c r="L82" i="1"/>
  <c r="O82" i="1" s="1"/>
  <c r="M82" i="1"/>
  <c r="N82" i="1"/>
  <c r="K81" i="1"/>
  <c r="L81" i="1"/>
  <c r="M81" i="1" s="1"/>
  <c r="O81" i="1" s="1"/>
  <c r="N81" i="1"/>
  <c r="N80" i="1"/>
  <c r="L80" i="1"/>
  <c r="K80" i="1"/>
  <c r="K79" i="1"/>
  <c r="L79" i="1"/>
  <c r="M79" i="1"/>
  <c r="N79" i="1"/>
  <c r="K78" i="1"/>
  <c r="L78" i="1"/>
  <c r="M78" i="1" s="1"/>
  <c r="O78" i="1" s="1"/>
  <c r="N78" i="1"/>
  <c r="N77" i="1"/>
  <c r="L77" i="1"/>
  <c r="K77" i="1"/>
  <c r="N76" i="1"/>
  <c r="L76" i="1"/>
  <c r="K76" i="1"/>
  <c r="M75" i="1"/>
  <c r="L75" i="1"/>
  <c r="O75" i="1" s="1"/>
  <c r="N75" i="1"/>
  <c r="L74" i="1"/>
  <c r="O74" i="1" s="1"/>
  <c r="M74" i="1"/>
  <c r="N74" i="1"/>
  <c r="K73" i="1"/>
  <c r="L73" i="1"/>
  <c r="M73" i="1" s="1"/>
  <c r="N73" i="1"/>
  <c r="L72" i="1"/>
  <c r="N72" i="1"/>
  <c r="O72" i="1"/>
  <c r="K72" i="1"/>
  <c r="M72" i="1"/>
  <c r="L71" i="1"/>
  <c r="O71" i="1" s="1"/>
  <c r="M71" i="1"/>
  <c r="N71" i="1"/>
  <c r="N70" i="1"/>
  <c r="L70" i="1"/>
  <c r="M70" i="1" s="1"/>
  <c r="O70" i="1" s="1"/>
  <c r="K70" i="1"/>
  <c r="N69" i="1"/>
  <c r="L69" i="1"/>
  <c r="K69" i="1"/>
  <c r="M69" i="1"/>
  <c r="L68" i="1"/>
  <c r="N68" i="1"/>
  <c r="M68" i="1"/>
  <c r="O68" i="1" s="1"/>
  <c r="K68" i="1"/>
  <c r="N67" i="1"/>
  <c r="L67" i="1"/>
  <c r="K67" i="1"/>
  <c r="K66" i="1"/>
  <c r="N66" i="1"/>
  <c r="L66" i="1"/>
  <c r="K65" i="1"/>
  <c r="L65" i="1"/>
  <c r="M65" i="1" s="1"/>
  <c r="N65" i="1"/>
  <c r="O65" i="1"/>
  <c r="K64" i="1"/>
  <c r="N64" i="1"/>
  <c r="M64" i="1"/>
  <c r="O64" i="1"/>
  <c r="N63" i="1"/>
  <c r="K63" i="1"/>
  <c r="L63" i="1"/>
  <c r="K62" i="1"/>
  <c r="L62" i="1"/>
  <c r="N62" i="1"/>
  <c r="L61" i="1"/>
  <c r="M61" i="1" s="1"/>
  <c r="O61" i="1" s="1"/>
  <c r="K61" i="1"/>
  <c r="N61" i="1"/>
  <c r="K60" i="1"/>
  <c r="L60" i="1"/>
  <c r="N60" i="1"/>
  <c r="N59" i="1"/>
  <c r="L59" i="1"/>
  <c r="O59" i="1" s="1"/>
  <c r="M59" i="1"/>
  <c r="L58" i="1"/>
  <c r="O58" i="1" s="1"/>
  <c r="M58" i="1"/>
  <c r="N58" i="1"/>
  <c r="K57" i="1"/>
  <c r="L57" i="1"/>
  <c r="O57" i="1" s="1"/>
  <c r="M57" i="1"/>
  <c r="N57" i="1"/>
  <c r="N56" i="1"/>
  <c r="L56" i="1"/>
  <c r="M56" i="1"/>
  <c r="O56" i="1" s="1"/>
  <c r="K56" i="1"/>
  <c r="N55" i="1"/>
  <c r="L55" i="1"/>
  <c r="O55" i="1" s="1"/>
  <c r="K55" i="1"/>
  <c r="M55" i="1"/>
  <c r="N54" i="1"/>
  <c r="K54" i="1"/>
  <c r="L54" i="1"/>
  <c r="O54" i="1" s="1"/>
  <c r="M54" i="1"/>
  <c r="K53" i="1"/>
  <c r="L53" i="1"/>
  <c r="M53" i="1"/>
  <c r="L52" i="1"/>
  <c r="O52" i="1" s="1"/>
  <c r="M52" i="1"/>
  <c r="N52" i="1"/>
  <c r="K52" i="1"/>
  <c r="L51" i="1"/>
  <c r="O51" i="1" s="1"/>
  <c r="K51" i="1"/>
  <c r="N51" i="1"/>
  <c r="M51" i="1"/>
  <c r="K50" i="1"/>
  <c r="L50" i="1"/>
  <c r="M50" i="1"/>
  <c r="N50" i="1"/>
  <c r="O50" i="1"/>
  <c r="K49" i="1"/>
  <c r="L49" i="1"/>
  <c r="M49" i="1" s="1"/>
  <c r="N49" i="1"/>
  <c r="K48" i="1"/>
  <c r="L48" i="1"/>
  <c r="O48" i="1" s="1"/>
  <c r="M48" i="1"/>
  <c r="N48" i="1"/>
  <c r="K47" i="1"/>
  <c r="L47" i="1"/>
  <c r="M47" i="1"/>
  <c r="N47" i="1"/>
  <c r="O47" i="1"/>
  <c r="N46" i="1"/>
  <c r="K46" i="1"/>
  <c r="L46" i="1"/>
  <c r="M46" i="1" s="1"/>
  <c r="N45" i="1"/>
  <c r="L45" i="1"/>
  <c r="K45" i="1"/>
  <c r="N44" i="1"/>
  <c r="K44" i="1"/>
  <c r="L44" i="1"/>
  <c r="L43" i="1"/>
  <c r="M43" i="1"/>
  <c r="N43" i="1"/>
  <c r="K43" i="1"/>
  <c r="L42" i="1"/>
  <c r="M42" i="1" s="1"/>
  <c r="O42" i="1" s="1"/>
  <c r="N42" i="1"/>
  <c r="K42" i="1"/>
  <c r="M41" i="1"/>
  <c r="K41" i="1"/>
  <c r="N41" i="1"/>
  <c r="L41" i="1"/>
  <c r="O41" i="1" s="1"/>
  <c r="N40" i="1"/>
  <c r="K40" i="1"/>
  <c r="L40" i="1"/>
  <c r="M40" i="1"/>
  <c r="O40" i="1"/>
  <c r="N39" i="1"/>
  <c r="L39" i="1"/>
  <c r="K39" i="1"/>
  <c r="N38" i="1"/>
  <c r="M38" i="1"/>
  <c r="L38" i="1"/>
  <c r="O38" i="1" s="1"/>
  <c r="K38" i="1"/>
  <c r="K37" i="1"/>
  <c r="N37" i="1"/>
  <c r="L37" i="1"/>
  <c r="L36" i="1"/>
  <c r="O36" i="1" s="1"/>
  <c r="M36" i="1"/>
  <c r="N36" i="1"/>
  <c r="K34" i="1"/>
  <c r="L34" i="1"/>
  <c r="O34" i="1" s="1"/>
  <c r="M34" i="1"/>
  <c r="N34" i="1"/>
  <c r="M33" i="1"/>
  <c r="L33" i="1"/>
  <c r="K33" i="1"/>
  <c r="N33" i="1"/>
  <c r="O33" i="1"/>
  <c r="L32" i="1"/>
  <c r="O32" i="1" s="1"/>
  <c r="K32" i="1"/>
  <c r="M32" i="1"/>
  <c r="N32" i="1"/>
  <c r="N31" i="1"/>
  <c r="L31" i="1"/>
  <c r="O31" i="1" s="1"/>
  <c r="K31" i="1"/>
  <c r="M31" i="1"/>
  <c r="N30" i="1"/>
  <c r="L30" i="1"/>
  <c r="K30" i="1"/>
  <c r="L29" i="1"/>
  <c r="O29" i="1" s="1"/>
  <c r="K29" i="1"/>
  <c r="N29" i="1"/>
  <c r="M29" i="1"/>
  <c r="N28" i="1"/>
  <c r="M28" i="1"/>
  <c r="L28" i="1"/>
  <c r="O28" i="1" s="1"/>
  <c r="K28" i="1"/>
  <c r="M27" i="1"/>
  <c r="K27" i="1"/>
  <c r="L27" i="1"/>
  <c r="O27" i="1" s="1"/>
  <c r="N27" i="1"/>
  <c r="L25" i="1"/>
  <c r="M25" i="1"/>
  <c r="N25" i="1"/>
  <c r="O25" i="1"/>
  <c r="K25" i="1"/>
  <c r="K24" i="1"/>
  <c r="L24" i="1"/>
  <c r="O24" i="1" s="1"/>
  <c r="M24" i="1"/>
  <c r="N24" i="1"/>
  <c r="K23" i="1"/>
  <c r="L23" i="1"/>
  <c r="M23" i="1" s="1"/>
  <c r="N23" i="1"/>
  <c r="O23" i="1"/>
  <c r="M22" i="1"/>
  <c r="N22" i="1"/>
  <c r="K22" i="1"/>
  <c r="L22" i="1"/>
  <c r="O22" i="1" s="1"/>
  <c r="N21" i="1"/>
  <c r="L21" i="1"/>
  <c r="O21" i="1"/>
  <c r="K21" i="1"/>
  <c r="M21" i="1"/>
  <c r="K20" i="1"/>
  <c r="M20" i="1"/>
  <c r="N20" i="1"/>
  <c r="L20" i="1"/>
  <c r="O20" i="1" s="1"/>
  <c r="N19" i="1"/>
  <c r="L19" i="1"/>
  <c r="K19" i="1"/>
  <c r="M19" i="1"/>
  <c r="K18" i="1"/>
  <c r="L18" i="1"/>
  <c r="M18" i="1" s="1"/>
  <c r="N18" i="1"/>
  <c r="O18" i="1"/>
  <c r="N17" i="1"/>
  <c r="K17" i="1"/>
  <c r="M17" i="1"/>
  <c r="L17" i="1"/>
  <c r="O17" i="1" s="1"/>
  <c r="L16" i="1"/>
  <c r="M16" i="1" s="1"/>
  <c r="N16" i="1"/>
  <c r="K16" i="1"/>
  <c r="O16" i="1"/>
  <c r="N15" i="1"/>
  <c r="K15" i="1"/>
  <c r="M15" i="1"/>
  <c r="L15" i="1"/>
  <c r="O15" i="1" s="1"/>
  <c r="K14" i="1"/>
  <c r="N14" i="1"/>
  <c r="L14" i="1"/>
  <c r="N13" i="1"/>
  <c r="L13" i="1"/>
  <c r="K13" i="1"/>
  <c r="N12" i="1"/>
  <c r="L12" i="1"/>
  <c r="O12" i="1" s="1"/>
  <c r="K12" i="1"/>
  <c r="N11" i="1"/>
  <c r="L11" i="1"/>
  <c r="O11" i="1" s="1"/>
  <c r="M11" i="1"/>
  <c r="K11" i="1"/>
  <c r="K10" i="1"/>
  <c r="N10" i="1"/>
  <c r="L10" i="1"/>
  <c r="N9" i="1"/>
  <c r="K9" i="1"/>
  <c r="L9" i="1"/>
  <c r="K8" i="1"/>
  <c r="M8" i="1"/>
  <c r="L8" i="1"/>
  <c r="N8" i="1"/>
  <c r="O8" i="1"/>
  <c r="M12" i="1" l="1"/>
  <c r="O73" i="1"/>
  <c r="O49" i="1"/>
  <c r="H12" i="2"/>
  <c r="O19" i="1"/>
  <c r="O69" i="1"/>
  <c r="O46" i="1"/>
  <c r="O43" i="1"/>
  <c r="K11" i="2"/>
  <c r="E12" i="2"/>
  <c r="J4" i="2"/>
  <c r="L122" i="1"/>
  <c r="M122" i="1" s="1"/>
  <c r="J11" i="2"/>
  <c r="J8" i="2"/>
  <c r="K8" i="2" s="1"/>
  <c r="O53" i="1"/>
  <c r="J5" i="2"/>
  <c r="K5" i="2" s="1"/>
  <c r="I12" i="2"/>
  <c r="L12" i="2"/>
  <c r="K122" i="1"/>
  <c r="N122" i="1"/>
  <c r="M80" i="1"/>
  <c r="O80" i="1" s="1"/>
  <c r="J10" i="2"/>
  <c r="K10" i="2" s="1"/>
  <c r="O79" i="1"/>
  <c r="M77" i="1"/>
  <c r="O77" i="1"/>
  <c r="J9" i="2"/>
  <c r="K9" i="2" s="1"/>
  <c r="M76" i="1"/>
  <c r="O76" i="1"/>
  <c r="M67" i="1"/>
  <c r="O67" i="1" s="1"/>
  <c r="J7" i="2"/>
  <c r="K7" i="2" s="1"/>
  <c r="M66" i="1"/>
  <c r="O66" i="1"/>
  <c r="M63" i="1"/>
  <c r="O63" i="1" s="1"/>
  <c r="M62" i="1"/>
  <c r="O62" i="1" s="1"/>
  <c r="J6" i="2"/>
  <c r="K6" i="2" s="1"/>
  <c r="M60" i="1"/>
  <c r="O60" i="1" s="1"/>
  <c r="M45" i="1"/>
  <c r="O45" i="1"/>
  <c r="M44" i="1"/>
  <c r="O44" i="1"/>
  <c r="O39" i="1"/>
  <c r="M39" i="1"/>
  <c r="M37" i="1"/>
  <c r="O37" i="1" s="1"/>
  <c r="O30" i="1"/>
  <c r="M30" i="1"/>
  <c r="M14" i="1"/>
  <c r="O14" i="1"/>
  <c r="O13" i="1"/>
  <c r="M13" i="1"/>
  <c r="O10" i="1"/>
  <c r="M10" i="1"/>
  <c r="M9" i="1"/>
  <c r="O9" i="1"/>
  <c r="K4" i="2" l="1"/>
  <c r="J12" i="2"/>
  <c r="K12" i="2" s="1"/>
</calcChain>
</file>

<file path=xl/sharedStrings.xml><?xml version="1.0" encoding="utf-8"?>
<sst xmlns="http://schemas.openxmlformats.org/spreadsheetml/2006/main" count="523" uniqueCount="198">
  <si>
    <t>CODIAGRO – Ventas por cliente: 2025 vs 2026 (real a 30/09) vs estimación de cierre 2026</t>
  </si>
  <si>
    <t>Importes en € (Importe Neto). Estimación 2026 = Real ene-ago + Previsión sep-dic del fichero de presupuesto de los comerciales.</t>
  </si>
  <si>
    <t>Umbrales de valoración (editables):</t>
  </si>
  <si>
    <t>'Alcanzable' si el crecimiento necesario en oct-dic vs oct-dic 2025 es ≤</t>
  </si>
  <si>
    <t>'Exigente' si es ≤ (por encima: 'Poco realista')</t>
  </si>
  <si>
    <t>Comercial</t>
  </si>
  <si>
    <t>País</t>
  </si>
  <si>
    <t>Cliente</t>
  </si>
  <si>
    <t>Clasificación cliente</t>
  </si>
  <si>
    <t>Ventas 2025
(año completo)</t>
  </si>
  <si>
    <t>Ventas
ene-sep 2025</t>
  </si>
  <si>
    <t>Ventas
oct-dic 2025</t>
  </si>
  <si>
    <t>Ventas 2026
ene-sep (real)</t>
  </si>
  <si>
    <t>Estimación
cierre 2026</t>
  </si>
  <si>
    <t>Crec. real
ene-sep 26 vs 25</t>
  </si>
  <si>
    <t>Crec. estimado
2026 vs 2025</t>
  </si>
  <si>
    <t>Pendiente por vender
oct-dic 2026</t>
  </si>
  <si>
    <t>Crec. necesario oct-dic
26 vs oct-dic 25</t>
  </si>
  <si>
    <t>% de la estimación
ya vendido</t>
  </si>
  <si>
    <t>Valoración</t>
  </si>
  <si>
    <t>Estim. real
ene-ago (ppto.)</t>
  </si>
  <si>
    <t>Previsión
sep-dic (ppto.)</t>
  </si>
  <si>
    <t>Alfonso</t>
  </si>
  <si>
    <t>ESPAÑA</t>
  </si>
  <si>
    <t>VILLALTA SATIVUM, S.L.</t>
  </si>
  <si>
    <t>Consolidado/estratégico</t>
  </si>
  <si>
    <t>AGROVEYCA,S.L</t>
  </si>
  <si>
    <t>AGROCAMP CANET S.L.</t>
  </si>
  <si>
    <t>Baja aportación</t>
  </si>
  <si>
    <t>T.J AGRICULTURA S.L.</t>
  </si>
  <si>
    <t>Con potencial</t>
  </si>
  <si>
    <t>FRUITURE ADVISORS, S.L.</t>
  </si>
  <si>
    <t>AGROTÉCNICA DEL NORTE, S.L</t>
  </si>
  <si>
    <t>AGRITEC MEDINA, S.L.U.</t>
  </si>
  <si>
    <t>BELLO ALIAGA ERNESTO</t>
  </si>
  <si>
    <t>CITAL, S.L.</t>
  </si>
  <si>
    <t>BARDENAS COMERCIAL, S.L.</t>
  </si>
  <si>
    <t>ASOC. HORTICULTORES DE VILLA DEL PRADO</t>
  </si>
  <si>
    <t>ACTIV. PRODUC. Y COMERC. LA VEGUILLA, SL</t>
  </si>
  <si>
    <t>CARDONA Y CELMA, S.L.</t>
  </si>
  <si>
    <t>AGRICOLA DEL JUCAR DE CUENCA, S.L.</t>
  </si>
  <si>
    <t>SAFIAGRO, S.A.</t>
  </si>
  <si>
    <t>FRUCTUL, SRL</t>
  </si>
  <si>
    <t>MARTINEZ S.C.</t>
  </si>
  <si>
    <t>PLANTALDIA SLU</t>
  </si>
  <si>
    <t>COMERCIAL NANCLARES, S.L.</t>
  </si>
  <si>
    <t>BARRIOS LÓPEZ, JUSTO</t>
  </si>
  <si>
    <t>MAJ AGROQUIMICOS S.L.</t>
  </si>
  <si>
    <t>CAMP-ALT S.L.</t>
  </si>
  <si>
    <t>MUNDOHUERTO-CARMEN SOLAZ BLANCO</t>
  </si>
  <si>
    <t>BARAHONA HERNAEZ, DAVID</t>
  </si>
  <si>
    <t>HORTICOLAS Y PATATAS HNOS. MORAN, S.A.T.</t>
  </si>
  <si>
    <t>ANGEL FERRER, S.L.</t>
  </si>
  <si>
    <t>COMERCIAL NORTE AGROCAMPO, S.L.</t>
  </si>
  <si>
    <t>AGRÍCOLA DE GOZÓN S.L</t>
  </si>
  <si>
    <t>TRANSPORTES CAMPILLO, S.A.</t>
  </si>
  <si>
    <t>García</t>
  </si>
  <si>
    <t>EGIPTO</t>
  </si>
  <si>
    <t>DOTRA CHEMICALS</t>
  </si>
  <si>
    <t>DIPLOMATS ORCHARDS FOR TRADE AGENCIES</t>
  </si>
  <si>
    <t>RUMANÍA</t>
  </si>
  <si>
    <t>SC MARCOSER S.R.L.</t>
  </si>
  <si>
    <t>MARRUECOS</t>
  </si>
  <si>
    <t>STE BBMAGRI, SARL</t>
  </si>
  <si>
    <t>GRECIA</t>
  </si>
  <si>
    <t>EMPHYTON SERVICE P.C.</t>
  </si>
  <si>
    <t>AGRONEW FITO, S.L.</t>
  </si>
  <si>
    <t>SERVIAGRI´ 97, S.L.</t>
  </si>
  <si>
    <t>LÍBANO</t>
  </si>
  <si>
    <t>BELAGRI FOR AGRICULTURE-GEORGES BOU MON</t>
  </si>
  <si>
    <t>AGROSER BERNARDINO, S.L.</t>
  </si>
  <si>
    <t>INIESTA DEL PINO DISTRIBUCIONES S.L.U</t>
  </si>
  <si>
    <t>En desarrollo/nuevo</t>
  </si>
  <si>
    <t>BOSCO ABASCAL, S.L.</t>
  </si>
  <si>
    <t>TRATAMIENTOS AGRICOLAS BRENES, S.L.</t>
  </si>
  <si>
    <t>HORTOFRUTICOLA COSTA DE ALMERÍA, S.L.</t>
  </si>
  <si>
    <t>AGRUPACION DE LABRADORES DEL POZUELO, SA</t>
  </si>
  <si>
    <t>AGROGIMEDEL, S.L.U.</t>
  </si>
  <si>
    <t>UNICOM SERVICIOS Y GESTION S.L.</t>
  </si>
  <si>
    <t>AGROTRAPICHE, S.L.U</t>
  </si>
  <si>
    <t>ECO-PONIENTE, S.L.U.</t>
  </si>
  <si>
    <t>AGROREBOLLO, S.L.</t>
  </si>
  <si>
    <t>ROMAROC PONIENTE, S.L.</t>
  </si>
  <si>
    <t>EL PINAR BERRIES, S.L.</t>
  </si>
  <si>
    <t>GEORGIOS POULTSIDIS (incl. EMPHYTON POULTSIDIS GEORGIOS)</t>
  </si>
  <si>
    <t>ARABIA SAUDÍ</t>
  </si>
  <si>
    <t>DOTRA GULF TRADING COMPANY</t>
  </si>
  <si>
    <t>Irene</t>
  </si>
  <si>
    <t>CAMPOEJIDO S.C.A.</t>
  </si>
  <si>
    <t>COOP.AGRIC. SAN ISIDRO S.C.A.</t>
  </si>
  <si>
    <t>GUIVARTO AGRICOLA, S.L.</t>
  </si>
  <si>
    <t>SUCA, S.C.A.</t>
  </si>
  <si>
    <t>SERVICIOS AGRÍCOLAS CAMPO RIO, S.L.</t>
  </si>
  <si>
    <t>HORTOCAMPO, S.A.</t>
  </si>
  <si>
    <t>Javier</t>
  </si>
  <si>
    <t>CODIMED EXPORT, S.L.</t>
  </si>
  <si>
    <t>CABRERA MORALES FRANCISCO</t>
  </si>
  <si>
    <t>AGROQUIMICAS DRAGO S.L.</t>
  </si>
  <si>
    <t>FITOSANITARIOS DRAGO S.L.U</t>
  </si>
  <si>
    <t>FITOXENT S.C.L.V.</t>
  </si>
  <si>
    <t>Mehmet</t>
  </si>
  <si>
    <t>AZERBAIYÁN</t>
  </si>
  <si>
    <t>ZTB AQRO MMC</t>
  </si>
  <si>
    <t>TURQUÍA</t>
  </si>
  <si>
    <t>DOGA TARIM TIC.SAN.VE TUR. LTD. STI</t>
  </si>
  <si>
    <t>SERBIA</t>
  </si>
  <si>
    <t>PLANTA SANA, D.O.O.</t>
  </si>
  <si>
    <t>GEORGIA</t>
  </si>
  <si>
    <t>BORN AGROCHEMISTRY, LLC</t>
  </si>
  <si>
    <t>ÇITAR ÇIÇEK TARIM TIC. LTD. STI</t>
  </si>
  <si>
    <t>Pedro</t>
  </si>
  <si>
    <t>FITOMURCIA S.L.</t>
  </si>
  <si>
    <t>COMERCIAL TÉCNICA FITOCARTHAGO, S.L.</t>
  </si>
  <si>
    <t>ASESORAMIENTO TECNICO DE CULTIVOS, S.L.</t>
  </si>
  <si>
    <t>Ricardo</t>
  </si>
  <si>
    <t>CHILE</t>
  </si>
  <si>
    <t>BAYER, S.A.</t>
  </si>
  <si>
    <t>NETHERLANS</t>
  </si>
  <si>
    <t>LEKKERBIO B.V.</t>
  </si>
  <si>
    <t>COSTA RICA</t>
  </si>
  <si>
    <t>EUROFERTIL, S.A.</t>
  </si>
  <si>
    <t>DOMINICANA, REPÚBLICA</t>
  </si>
  <si>
    <t>JUAN JIMENEZ, SRL</t>
  </si>
  <si>
    <t>COLOMBIA</t>
  </si>
  <si>
    <t>CAMPO ABIERTO, S.A.S.</t>
  </si>
  <si>
    <t>PERÚ</t>
  </si>
  <si>
    <t>HORTIFRUT PERU, S.A.C. (incl. HORTIFRUT - PERU)</t>
  </si>
  <si>
    <t>ECUADOR (incluidas las Islas Galápagos)</t>
  </si>
  <si>
    <t>ECUAQUIMICA</t>
  </si>
  <si>
    <t>ITALIA</t>
  </si>
  <si>
    <t>AIFAR S.P.A</t>
  </si>
  <si>
    <t>PANAMÁ</t>
  </si>
  <si>
    <t>SERVICIOS AGROPECUARIOS EL LLANO, S. A.</t>
  </si>
  <si>
    <t>BCOMERCE E.I.R.L.</t>
  </si>
  <si>
    <t>Sin estimación</t>
  </si>
  <si>
    <t>Argelia</t>
  </si>
  <si>
    <t>EURL BOUAZZA FILAHA</t>
  </si>
  <si>
    <t>Sin clasificar</t>
  </si>
  <si>
    <t>España</t>
  </si>
  <si>
    <t>S.A.T. N. 9989 PEREGRIN</t>
  </si>
  <si>
    <t>Libano</t>
  </si>
  <si>
    <t>BELAGRI, S.A.R.L.</t>
  </si>
  <si>
    <t>AJOS LA VEGUILLA S.L.</t>
  </si>
  <si>
    <t>FITOSANITARIOS LUIS S.L.</t>
  </si>
  <si>
    <t>LA MOJONERA,S.C.A.</t>
  </si>
  <si>
    <t>RIBOR AGRICOLA, S.L.</t>
  </si>
  <si>
    <t>ALCADA EXPORT, S.L.</t>
  </si>
  <si>
    <t>FG FITOAGRO, S.L.</t>
  </si>
  <si>
    <t>VALERO CARRIZO, S.L.L.</t>
  </si>
  <si>
    <t>EBRE ITEAF, S.L.</t>
  </si>
  <si>
    <t>Kuwait</t>
  </si>
  <si>
    <t>KUWAIT FARM COMPANY</t>
  </si>
  <si>
    <t>EL PINAR MEDIO AMBIENTE, SLU</t>
  </si>
  <si>
    <t>COOPERATIVA GARU, S. COOP.</t>
  </si>
  <si>
    <t>CASAS DE HUALDO, S.L.</t>
  </si>
  <si>
    <t>APLICAMPO, S.L.</t>
  </si>
  <si>
    <t>PRODUCTORES AGRÍCOLAS DE ANDALUCÍA, S.L.</t>
  </si>
  <si>
    <t>FINCA DOÑA ANA C.B.</t>
  </si>
  <si>
    <t>FAMISAN AGRICOLA S.A.</t>
  </si>
  <si>
    <t>MALDONADO COMERCIAL HORTOFRUTICOLA, S.L.</t>
  </si>
  <si>
    <t>MIÑANO FERNANDEZ, JESSICA</t>
  </si>
  <si>
    <t>PIENSOS Y FERTILIZANTES HNOS. GÓMEZ</t>
  </si>
  <si>
    <t>FRUTAS Y VERD. JUAN M. LLOPIS Y OTROS,SL</t>
  </si>
  <si>
    <t>LOPEZ FERNANDEZ, ALEJANDRO</t>
  </si>
  <si>
    <t>AGRO MAQUIEIRA, S.L.U.</t>
  </si>
  <si>
    <t>SUMINISTROS AGRÍCOLAS SALAMPACK, S.L.</t>
  </si>
  <si>
    <t>Chile</t>
  </si>
  <si>
    <t>AUDITORIA Y CERTIFICACION EN GESTION DE</t>
  </si>
  <si>
    <t>SALES AMPOSTA, JAUME</t>
  </si>
  <si>
    <t>AGRICOLA LA VEGUILLA, S.A.</t>
  </si>
  <si>
    <t>RECICLADOS Y DERRIBOS LLORENS, S.L.</t>
  </si>
  <si>
    <t>BARREDA MAS, CARLOS</t>
  </si>
  <si>
    <t>FITOSANITARIOS CARCAIXENT, S.L.</t>
  </si>
  <si>
    <t>ALMENDRALIA IBÉRICA, S.L.U.</t>
  </si>
  <si>
    <t>TOTAL</t>
  </si>
  <si>
    <t>Notas: texto azul = dato copiado de los ficheros origen; negro = fórmula. Ver hoja "Notas y supuestos".</t>
  </si>
  <si>
    <t>Resumen por comercial</t>
  </si>
  <si>
    <t>Nº clientes</t>
  </si>
  <si>
    <t>Fuentes</t>
  </si>
  <si>
    <t>Ventas 2025 y 2026</t>
  </si>
  <si>
    <t>Fichero "Ventas Septiembre 2026", hoja DATOS (Importe Neto), agregado por código de cliente. 2026 incluye periodos 1-9 (hasta 30/09/26).</t>
  </si>
  <si>
    <t>Estimación 2026</t>
  </si>
  <si>
    <t>Fichero "Presupuesto Ventas 2027 Definitivo", hoja "Resumen por Cliente": columna "Real Ene-Ago 26 (€)" + "Prev Sep-Dic 26 (€)" (= TOTAL 2026, 15,18 M€). Se ha usado la estimación de CIERRE 2026, no el presupuesto 2027 (que está en ese mismo fichero pero no se incluye aquí).</t>
  </si>
  <si>
    <t>Criterios y supuestos</t>
  </si>
  <si>
    <t>Unificación de clientes</t>
  </si>
  <si>
    <t>HORTIFRUT - PERU y HORTIFRUT PERU (dos filas en el presupuesto) = un único cliente en ventas (cód. 430000275). EMPHYTON POULTSIDIS GEORGIOS y GEORGIOS POULTSIDIS = un único cliente en ventas (cód. 430000345): el real ene-ago del presupuesto (32.932 €) coincide con las ventas 2026 de ese código (33.290 €). Es una suposición razonable, conviene confirmarla.</t>
  </si>
  <si>
    <t>Clientes sin estimación</t>
  </si>
  <si>
    <t>Clientes con ventas en 2025/2026 que no aparecen en el fichero de presupuesto: se muestran al final con "Sin estimación". Los comerciales no les han asignado previsión.</t>
  </si>
  <si>
    <t>Excluido: SUSTAINABLE AGRO SOLUTIONS SAU</t>
  </si>
  <si>
    <t>Cód. 430000427: 463.517 € netos en 2026 (mayo, junio, sept.). Son servicios de formulación, envasado, packaging y materias primas (artículos "SAS"), no ventas de producto, y no figuran en el presupuesto. Se han excluido de la tabla para no distorsionar. Si se quieren incluir, las ventas 2026 sumarían 463.517 € más.</t>
  </si>
  <si>
    <t>Cuadre con el presupuesto</t>
  </si>
  <si>
    <t>El "Real ene-ago 26" del presupuesto difiere ~1% de las ventas del fichero de septiembre en la mayoría de clientes, con diferencias mayores en BORN AGROCHEMISTRY, SC MARCOSER, CODIMED, FITOXENT y otros. Aquí se compara siempre contra las ventas del fichero de septiembre; la estimación se toma tal cual la han dado los comerciales.</t>
  </si>
  <si>
    <t>Clientes con estimación pero sin ventas</t>
  </si>
  <si>
    <t>DOGA TARIM (vendió 282 k€ en 2025, 0 € en 2026; estimación sep-dic 92 k€) y APLICAMPO, entre otros.</t>
  </si>
  <si>
    <t>Cómo leer la valoración</t>
  </si>
  <si>
    <t>Crec. necesario oct-dic</t>
  </si>
  <si>
    <t>(Estimación 2026 − ventas ene-sep 2026) ÷ ventas oct-dic 2025 − 1. Indica cuánto más tienen que vender en el último trimestre que en el mismo trimestre de 2025 para cumplir la estimación.</t>
  </si>
  <si>
    <t>Ya cumplido / Alcanzable / Exigente / Poco realista según los umbrales editables de la hoja "Comparativa Clientes" (celdas E4 y E5, 15% y 40% por defecto: criterio orientativo, no una regla del negocio). "Sin base 2025": no vendieron en oct-dic 2025 y aún les queda por vender.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</si>
</sst>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0.0%;\-0.0%;0.0%"/>
    <numFmt numFmtId="166" formatCode="0.0%"/>
  </numFmts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color rgb="FF595959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0000FF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b/>
      <sz val="1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9" fontId="5" fillId="2" borderId="0" xfId="0" applyNumberFormat="1" applyFont="1" applyFill="1"/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7" fillId="0" borderId="1" xfId="0" applyNumberFormat="1" applyFont="1" applyBorder="1"/>
    <xf numFmtId="164" fontId="4" fillId="0" borderId="1" xfId="0" applyNumberFormat="1" applyFont="1" applyBorder="1"/>
    <xf numFmtId="165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3" fillId="4" borderId="1" xfId="0" applyFont="1" applyFill="1" applyBorder="1"/>
    <xf numFmtId="164" fontId="3" fillId="4" borderId="1" xfId="0" applyNumberFormat="1" applyFont="1" applyFill="1" applyBorder="1"/>
    <xf numFmtId="166" fontId="3" fillId="4" borderId="1" xfId="0" applyNumberFormat="1" applyFont="1" applyFill="1" applyBorder="1"/>
    <xf numFmtId="165" fontId="3" fillId="4" borderId="1" xfId="0" applyNumberFormat="1" applyFont="1" applyFill="1" applyBorder="1" applyAlignment="1">
      <alignment horizontal="right"/>
    </xf>
    <xf numFmtId="0" fontId="8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6"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4"/>
  <sheetViews>
    <sheetView tabSelected="1" zoomScaleNormal="10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C127" sqref="C127"/>
    </sheetView>
  </sheetViews>
  <sheetFormatPr baseColWidth="10" defaultColWidth="8.7265625" defaultRowHeight="14.5" x14ac:dyDescent="0.35"/>
  <cols>
    <col min="1" max="1" width="13" customWidth="1"/>
    <col min="2" max="2" width="16" customWidth="1"/>
    <col min="3" max="3" width="46" customWidth="1"/>
    <col min="4" max="4" width="22" customWidth="1"/>
    <col min="5" max="5" width="15" customWidth="1"/>
    <col min="6" max="7" width="14" customWidth="1"/>
    <col min="8" max="9" width="15" customWidth="1"/>
    <col min="10" max="10" width="13" customWidth="1"/>
    <col min="11" max="11" width="14" customWidth="1"/>
    <col min="12" max="12" width="17" customWidth="1"/>
    <col min="13" max="13" width="19" customWidth="1"/>
    <col min="14" max="15" width="15" customWidth="1"/>
    <col min="16" max="17" width="14" customWidth="1"/>
  </cols>
  <sheetData>
    <row r="1" spans="1:17" ht="18" x14ac:dyDescent="0.4">
      <c r="A1" s="1" t="s">
        <v>0</v>
      </c>
    </row>
    <row r="2" spans="1:17" x14ac:dyDescent="0.35">
      <c r="A2" s="2" t="s">
        <v>1</v>
      </c>
    </row>
    <row r="4" spans="1:17" x14ac:dyDescent="0.35">
      <c r="A4" s="3" t="s">
        <v>2</v>
      </c>
      <c r="C4" s="4" t="s">
        <v>3</v>
      </c>
      <c r="E4" s="5">
        <v>0.15</v>
      </c>
    </row>
    <row r="5" spans="1:17" x14ac:dyDescent="0.35">
      <c r="C5" s="4" t="s">
        <v>4</v>
      </c>
      <c r="E5" s="5">
        <v>0.4</v>
      </c>
    </row>
    <row r="7" spans="1:17" ht="43.5" customHeight="1" x14ac:dyDescent="0.35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  <c r="J7" s="6" t="s">
        <v>14</v>
      </c>
      <c r="K7" s="6" t="s">
        <v>15</v>
      </c>
      <c r="L7" s="6" t="s">
        <v>16</v>
      </c>
      <c r="M7" s="6" t="s">
        <v>17</v>
      </c>
      <c r="N7" s="6" t="s">
        <v>18</v>
      </c>
      <c r="O7" s="6" t="s">
        <v>19</v>
      </c>
      <c r="P7" s="6" t="s">
        <v>20</v>
      </c>
      <c r="Q7" s="6" t="s">
        <v>21</v>
      </c>
    </row>
    <row r="8" spans="1:17" x14ac:dyDescent="0.35">
      <c r="A8" s="7" t="s">
        <v>22</v>
      </c>
      <c r="B8" s="7" t="s">
        <v>23</v>
      </c>
      <c r="C8" s="7" t="s">
        <v>24</v>
      </c>
      <c r="D8" s="7" t="s">
        <v>25</v>
      </c>
      <c r="E8" s="8">
        <v>81222.080000000002</v>
      </c>
      <c r="F8" s="8">
        <v>81222.080000000002</v>
      </c>
      <c r="G8" s="9">
        <f t="shared" ref="G8:G39" si="0">E8-F8</f>
        <v>0</v>
      </c>
      <c r="H8" s="8">
        <v>89256.34</v>
      </c>
      <c r="I8" s="9">
        <f t="shared" ref="I8:I39" si="1">P8+Q8</f>
        <v>84614.46</v>
      </c>
      <c r="J8" s="10">
        <f t="shared" ref="J8:J39" si="2">IF(F8&lt;=0,"n/a",H8/F8-1)</f>
        <v>9.8917190990430059E-2</v>
      </c>
      <c r="K8" s="10">
        <f t="shared" ref="K8:K39" si="3">IF(E8&lt;=0,"n/a",I8/E8-1)</f>
        <v>4.1766721561427689E-2</v>
      </c>
      <c r="L8" s="9">
        <f t="shared" ref="L8:L39" si="4">IF(I8=0,0,I8-H8)</f>
        <v>-4641.8799999999901</v>
      </c>
      <c r="M8" s="10" t="str">
        <f t="shared" ref="M8:M39" si="5">IF(OR(I8=0,G8&lt;=0),"n/a",L8/G8-1)</f>
        <v>n/a</v>
      </c>
      <c r="N8" s="10">
        <f t="shared" ref="N8:N39" si="6">IF(I8=0,"n/a",H8/I8)</f>
        <v>1.054859181279417</v>
      </c>
      <c r="O8" s="11" t="str">
        <f t="shared" ref="O8:O39" si="7">IF(I8=0,"Sin estimación",IF(L8&lt;=0,"Ya cumplido",IF(G8&lt;=0,"Sin base 2025",IF(M8&lt;=$E$4,"Alcanzable",IF(M8&lt;=$E$5,"Exigente","Poco realista")))))</f>
        <v>Ya cumplido</v>
      </c>
      <c r="P8" s="8">
        <v>82168.820000000007</v>
      </c>
      <c r="Q8" s="8">
        <v>2445.64</v>
      </c>
    </row>
    <row r="9" spans="1:17" x14ac:dyDescent="0.35">
      <c r="A9" s="7" t="s">
        <v>22</v>
      </c>
      <c r="B9" s="7" t="s">
        <v>23</v>
      </c>
      <c r="C9" s="7" t="s">
        <v>26</v>
      </c>
      <c r="D9" s="7" t="s">
        <v>25</v>
      </c>
      <c r="E9" s="8">
        <v>61161.69</v>
      </c>
      <c r="F9" s="8">
        <v>55786.19</v>
      </c>
      <c r="G9" s="9">
        <f t="shared" si="0"/>
        <v>5375.5</v>
      </c>
      <c r="H9" s="8">
        <v>95156.6</v>
      </c>
      <c r="I9" s="9">
        <f t="shared" si="1"/>
        <v>95686.19</v>
      </c>
      <c r="J9" s="10">
        <f t="shared" si="2"/>
        <v>0.70573756694981316</v>
      </c>
      <c r="K9" s="10">
        <f t="shared" si="3"/>
        <v>0.56447916988559332</v>
      </c>
      <c r="L9" s="9">
        <f t="shared" si="4"/>
        <v>529.58999999999651</v>
      </c>
      <c r="M9" s="10">
        <f t="shared" si="5"/>
        <v>-0.9014807924844207</v>
      </c>
      <c r="N9" s="10">
        <f t="shared" si="6"/>
        <v>0.99446534552164745</v>
      </c>
      <c r="O9" s="11" t="str">
        <f t="shared" si="7"/>
        <v>Alcanzable</v>
      </c>
      <c r="P9" s="8">
        <v>91458.99</v>
      </c>
      <c r="Q9" s="8">
        <v>4227.2</v>
      </c>
    </row>
    <row r="10" spans="1:17" x14ac:dyDescent="0.35">
      <c r="A10" s="7" t="s">
        <v>22</v>
      </c>
      <c r="B10" s="7" t="s">
        <v>23</v>
      </c>
      <c r="C10" s="7" t="s">
        <v>27</v>
      </c>
      <c r="D10" s="7" t="s">
        <v>28</v>
      </c>
      <c r="E10" s="8">
        <v>46084.21</v>
      </c>
      <c r="F10" s="8">
        <v>38376.71</v>
      </c>
      <c r="G10" s="9">
        <f t="shared" si="0"/>
        <v>7707.5</v>
      </c>
      <c r="H10" s="8">
        <v>19627.919999999998</v>
      </c>
      <c r="I10" s="9">
        <f t="shared" si="1"/>
        <v>19442.04</v>
      </c>
      <c r="J10" s="10">
        <f t="shared" si="2"/>
        <v>-0.48854604785037592</v>
      </c>
      <c r="K10" s="10">
        <f t="shared" si="3"/>
        <v>-0.57811927339103786</v>
      </c>
      <c r="L10" s="9">
        <f t="shared" si="4"/>
        <v>-185.87999999999738</v>
      </c>
      <c r="M10" s="10">
        <f t="shared" si="5"/>
        <v>-1.0241167693804731</v>
      </c>
      <c r="N10" s="10">
        <f t="shared" si="6"/>
        <v>1.0095607251090934</v>
      </c>
      <c r="O10" s="11" t="str">
        <f t="shared" si="7"/>
        <v>Ya cumplido</v>
      </c>
      <c r="P10" s="8">
        <v>19442.04</v>
      </c>
      <c r="Q10" s="8">
        <v>0</v>
      </c>
    </row>
    <row r="11" spans="1:17" x14ac:dyDescent="0.35">
      <c r="A11" s="7" t="s">
        <v>22</v>
      </c>
      <c r="B11" s="7" t="s">
        <v>23</v>
      </c>
      <c r="C11" s="7" t="s">
        <v>29</v>
      </c>
      <c r="D11" s="7" t="s">
        <v>30</v>
      </c>
      <c r="E11" s="8">
        <v>39285.440000000002</v>
      </c>
      <c r="F11" s="8">
        <v>39285.440000000002</v>
      </c>
      <c r="G11" s="9">
        <f t="shared" si="0"/>
        <v>0</v>
      </c>
      <c r="H11" s="8">
        <v>26335.200000000001</v>
      </c>
      <c r="I11" s="9">
        <f t="shared" si="1"/>
        <v>22954.42</v>
      </c>
      <c r="J11" s="10">
        <f t="shared" si="2"/>
        <v>-0.32964477424715111</v>
      </c>
      <c r="K11" s="10">
        <f t="shared" si="3"/>
        <v>-0.41570159326203304</v>
      </c>
      <c r="L11" s="9">
        <f t="shared" si="4"/>
        <v>-3380.7800000000025</v>
      </c>
      <c r="M11" s="10" t="str">
        <f t="shared" si="5"/>
        <v>n/a</v>
      </c>
      <c r="N11" s="10">
        <f t="shared" si="6"/>
        <v>1.1472823098993572</v>
      </c>
      <c r="O11" s="11" t="str">
        <f t="shared" si="7"/>
        <v>Ya cumplido</v>
      </c>
      <c r="P11" s="8">
        <v>22954.42</v>
      </c>
      <c r="Q11" s="8">
        <v>0</v>
      </c>
    </row>
    <row r="12" spans="1:17" x14ac:dyDescent="0.35">
      <c r="A12" s="7" t="s">
        <v>22</v>
      </c>
      <c r="B12" s="7" t="s">
        <v>23</v>
      </c>
      <c r="C12" s="7" t="s">
        <v>31</v>
      </c>
      <c r="D12" s="7" t="s">
        <v>28</v>
      </c>
      <c r="E12" s="8">
        <v>37301.370000000003</v>
      </c>
      <c r="F12" s="8">
        <v>25851.37</v>
      </c>
      <c r="G12" s="9">
        <f t="shared" si="0"/>
        <v>11450.000000000004</v>
      </c>
      <c r="H12" s="8">
        <v>15959.2</v>
      </c>
      <c r="I12" s="9">
        <f t="shared" si="1"/>
        <v>15859.82</v>
      </c>
      <c r="J12" s="10">
        <f t="shared" si="2"/>
        <v>-0.38265554204670771</v>
      </c>
      <c r="K12" s="10">
        <f t="shared" si="3"/>
        <v>-0.57481936990518046</v>
      </c>
      <c r="L12" s="9">
        <f t="shared" si="4"/>
        <v>-99.380000000001019</v>
      </c>
      <c r="M12" s="10">
        <f t="shared" si="5"/>
        <v>-1.0086794759825328</v>
      </c>
      <c r="N12" s="10">
        <f t="shared" si="6"/>
        <v>1.0062661493005596</v>
      </c>
      <c r="O12" s="11" t="str">
        <f t="shared" si="7"/>
        <v>Ya cumplido</v>
      </c>
      <c r="P12" s="8">
        <v>15859.82</v>
      </c>
      <c r="Q12" s="8">
        <v>0</v>
      </c>
    </row>
    <row r="13" spans="1:17" x14ac:dyDescent="0.35">
      <c r="A13" s="7" t="s">
        <v>22</v>
      </c>
      <c r="B13" s="7" t="s">
        <v>23</v>
      </c>
      <c r="C13" s="7" t="s">
        <v>32</v>
      </c>
      <c r="D13" s="7" t="s">
        <v>30</v>
      </c>
      <c r="E13" s="8">
        <v>36343.99</v>
      </c>
      <c r="F13" s="8">
        <v>30841.99</v>
      </c>
      <c r="G13" s="9">
        <f t="shared" si="0"/>
        <v>5501.9999999999964</v>
      </c>
      <c r="H13" s="8">
        <v>41444.559999999998</v>
      </c>
      <c r="I13" s="9">
        <f t="shared" si="1"/>
        <v>36330.04</v>
      </c>
      <c r="J13" s="10">
        <f t="shared" si="2"/>
        <v>0.34377061921101704</v>
      </c>
      <c r="K13" s="10">
        <f t="shared" si="3"/>
        <v>-3.8383237503636369E-4</v>
      </c>
      <c r="L13" s="9">
        <f t="shared" si="4"/>
        <v>-5114.5199999999968</v>
      </c>
      <c r="M13" s="10">
        <f t="shared" si="5"/>
        <v>-1.9295747001090513</v>
      </c>
      <c r="N13" s="10">
        <f t="shared" si="6"/>
        <v>1.1407793660562993</v>
      </c>
      <c r="O13" s="11" t="str">
        <f t="shared" si="7"/>
        <v>Ya cumplido</v>
      </c>
      <c r="P13" s="8">
        <v>36330.04</v>
      </c>
      <c r="Q13" s="8">
        <v>0</v>
      </c>
    </row>
    <row r="14" spans="1:17" x14ac:dyDescent="0.35">
      <c r="A14" s="7" t="s">
        <v>22</v>
      </c>
      <c r="B14" s="7" t="s">
        <v>23</v>
      </c>
      <c r="C14" s="7" t="s">
        <v>33</v>
      </c>
      <c r="D14" s="7" t="s">
        <v>30</v>
      </c>
      <c r="E14" s="8">
        <v>29062.19</v>
      </c>
      <c r="F14" s="8">
        <v>28434.19</v>
      </c>
      <c r="G14" s="9">
        <f t="shared" si="0"/>
        <v>628</v>
      </c>
      <c r="H14" s="8">
        <v>18521.259999999998</v>
      </c>
      <c r="I14" s="9">
        <f t="shared" si="1"/>
        <v>18277.38</v>
      </c>
      <c r="J14" s="10">
        <f t="shared" si="2"/>
        <v>-0.34862712811583518</v>
      </c>
      <c r="K14" s="10">
        <f t="shared" si="3"/>
        <v>-0.37109419489721862</v>
      </c>
      <c r="L14" s="9">
        <f t="shared" si="4"/>
        <v>-243.87999999999738</v>
      </c>
      <c r="M14" s="10">
        <f t="shared" si="5"/>
        <v>-1.3883439490445819</v>
      </c>
      <c r="N14" s="10">
        <f t="shared" si="6"/>
        <v>1.0133432691118747</v>
      </c>
      <c r="O14" s="11" t="str">
        <f t="shared" si="7"/>
        <v>Ya cumplido</v>
      </c>
      <c r="P14" s="8">
        <v>18277.38</v>
      </c>
      <c r="Q14" s="8">
        <v>0</v>
      </c>
    </row>
    <row r="15" spans="1:17" x14ac:dyDescent="0.35">
      <c r="A15" s="7" t="s">
        <v>22</v>
      </c>
      <c r="B15" s="7" t="s">
        <v>23</v>
      </c>
      <c r="C15" s="7" t="s">
        <v>34</v>
      </c>
      <c r="D15" s="7" t="s">
        <v>30</v>
      </c>
      <c r="E15" s="8">
        <v>22911.58</v>
      </c>
      <c r="F15" s="8">
        <v>22911.58</v>
      </c>
      <c r="G15" s="9">
        <f t="shared" si="0"/>
        <v>0</v>
      </c>
      <c r="H15" s="8">
        <v>19918.8</v>
      </c>
      <c r="I15" s="9">
        <f t="shared" si="1"/>
        <v>19704.39</v>
      </c>
      <c r="J15" s="10">
        <f t="shared" si="2"/>
        <v>-0.13062302992635177</v>
      </c>
      <c r="K15" s="10">
        <f t="shared" si="3"/>
        <v>-0.13998117982260505</v>
      </c>
      <c r="L15" s="9">
        <f t="shared" si="4"/>
        <v>-214.40999999999985</v>
      </c>
      <c r="M15" s="10" t="str">
        <f t="shared" si="5"/>
        <v>n/a</v>
      </c>
      <c r="N15" s="10">
        <f t="shared" si="6"/>
        <v>1.0108813315205394</v>
      </c>
      <c r="O15" s="11" t="str">
        <f t="shared" si="7"/>
        <v>Ya cumplido</v>
      </c>
      <c r="P15" s="8">
        <v>19704.39</v>
      </c>
      <c r="Q15" s="8">
        <v>0</v>
      </c>
    </row>
    <row r="16" spans="1:17" x14ac:dyDescent="0.35">
      <c r="A16" s="7" t="s">
        <v>22</v>
      </c>
      <c r="B16" s="7" t="s">
        <v>23</v>
      </c>
      <c r="C16" s="7" t="s">
        <v>35</v>
      </c>
      <c r="D16" s="7" t="s">
        <v>30</v>
      </c>
      <c r="E16" s="8">
        <v>21930</v>
      </c>
      <c r="F16" s="8">
        <v>19606.8</v>
      </c>
      <c r="G16" s="9">
        <f t="shared" si="0"/>
        <v>2323.2000000000007</v>
      </c>
      <c r="H16" s="8">
        <v>19940.400000000001</v>
      </c>
      <c r="I16" s="9">
        <f t="shared" si="1"/>
        <v>19725.759999999998</v>
      </c>
      <c r="J16" s="10">
        <f t="shared" si="2"/>
        <v>1.7014505171675243E-2</v>
      </c>
      <c r="K16" s="10">
        <f t="shared" si="3"/>
        <v>-0.1005125398996809</v>
      </c>
      <c r="L16" s="9">
        <f t="shared" si="4"/>
        <v>-214.64000000000306</v>
      </c>
      <c r="M16" s="10">
        <f t="shared" si="5"/>
        <v>-1.0923898071625358</v>
      </c>
      <c r="N16" s="10">
        <f t="shared" si="6"/>
        <v>1.0108812030563084</v>
      </c>
      <c r="O16" s="11" t="str">
        <f t="shared" si="7"/>
        <v>Ya cumplido</v>
      </c>
      <c r="P16" s="8">
        <v>19725.759999999998</v>
      </c>
      <c r="Q16" s="8">
        <v>0</v>
      </c>
    </row>
    <row r="17" spans="1:17" x14ac:dyDescent="0.35">
      <c r="A17" s="7" t="s">
        <v>22</v>
      </c>
      <c r="B17" s="7" t="s">
        <v>23</v>
      </c>
      <c r="C17" s="7" t="s">
        <v>36</v>
      </c>
      <c r="D17" s="7" t="s">
        <v>30</v>
      </c>
      <c r="E17" s="8">
        <v>18606</v>
      </c>
      <c r="F17" s="8">
        <v>18606</v>
      </c>
      <c r="G17" s="9">
        <f t="shared" si="0"/>
        <v>0</v>
      </c>
      <c r="H17" s="8">
        <v>34721</v>
      </c>
      <c r="I17" s="9">
        <f t="shared" si="1"/>
        <v>32700.17</v>
      </c>
      <c r="J17" s="10">
        <f t="shared" si="2"/>
        <v>0.86611845641191021</v>
      </c>
      <c r="K17" s="10">
        <f t="shared" si="3"/>
        <v>0.75750671826292582</v>
      </c>
      <c r="L17" s="9">
        <f t="shared" si="4"/>
        <v>-2020.8300000000017</v>
      </c>
      <c r="M17" s="10" t="str">
        <f t="shared" si="5"/>
        <v>n/a</v>
      </c>
      <c r="N17" s="10">
        <f t="shared" si="6"/>
        <v>1.0617987612908435</v>
      </c>
      <c r="O17" s="11" t="str">
        <f t="shared" si="7"/>
        <v>Ya cumplido</v>
      </c>
      <c r="P17" s="8">
        <v>32700.17</v>
      </c>
      <c r="Q17" s="8">
        <v>0</v>
      </c>
    </row>
    <row r="18" spans="1:17" x14ac:dyDescent="0.35">
      <c r="A18" s="7" t="s">
        <v>22</v>
      </c>
      <c r="B18" s="7" t="s">
        <v>23</v>
      </c>
      <c r="C18" s="7" t="s">
        <v>37</v>
      </c>
      <c r="D18" s="7" t="s">
        <v>30</v>
      </c>
      <c r="E18" s="8">
        <v>16179.01</v>
      </c>
      <c r="F18" s="8">
        <v>14214.81</v>
      </c>
      <c r="G18" s="9">
        <f t="shared" si="0"/>
        <v>1964.2000000000007</v>
      </c>
      <c r="H18" s="8">
        <v>16343.5</v>
      </c>
      <c r="I18" s="9">
        <f t="shared" si="1"/>
        <v>15165.08</v>
      </c>
      <c r="J18" s="10">
        <f t="shared" si="2"/>
        <v>0.14975156192731398</v>
      </c>
      <c r="K18" s="10">
        <f t="shared" si="3"/>
        <v>-6.2669471123387721E-2</v>
      </c>
      <c r="L18" s="9">
        <f t="shared" si="4"/>
        <v>-1178.42</v>
      </c>
      <c r="M18" s="10">
        <f t="shared" si="5"/>
        <v>-1.5999490886875063</v>
      </c>
      <c r="N18" s="10">
        <f t="shared" si="6"/>
        <v>1.0777061512369206</v>
      </c>
      <c r="O18" s="11" t="str">
        <f t="shared" si="7"/>
        <v>Ya cumplido</v>
      </c>
      <c r="P18" s="8">
        <v>15165.08</v>
      </c>
      <c r="Q18" s="8">
        <v>0</v>
      </c>
    </row>
    <row r="19" spans="1:17" x14ac:dyDescent="0.35">
      <c r="A19" s="7" t="s">
        <v>22</v>
      </c>
      <c r="B19" s="7" t="s">
        <v>23</v>
      </c>
      <c r="C19" s="7" t="s">
        <v>38</v>
      </c>
      <c r="D19" s="7" t="s">
        <v>25</v>
      </c>
      <c r="E19" s="8">
        <v>15343.2</v>
      </c>
      <c r="F19" s="8">
        <v>5020.8</v>
      </c>
      <c r="G19" s="9">
        <f t="shared" si="0"/>
        <v>10322.400000000001</v>
      </c>
      <c r="H19" s="8">
        <v>34680.800000000003</v>
      </c>
      <c r="I19" s="9">
        <f t="shared" si="1"/>
        <v>41845.159999999996</v>
      </c>
      <c r="J19" s="10">
        <f t="shared" si="2"/>
        <v>5.9074251115360106</v>
      </c>
      <c r="K19" s="10">
        <f t="shared" si="3"/>
        <v>1.7272772303039781</v>
      </c>
      <c r="L19" s="9">
        <f t="shared" si="4"/>
        <v>7164.3599999999933</v>
      </c>
      <c r="M19" s="10">
        <f t="shared" si="5"/>
        <v>-0.3059404789583825</v>
      </c>
      <c r="N19" s="10">
        <f t="shared" si="6"/>
        <v>0.82878880138109179</v>
      </c>
      <c r="O19" s="11" t="str">
        <f t="shared" si="7"/>
        <v>Alcanzable</v>
      </c>
      <c r="P19" s="8">
        <v>27609.17</v>
      </c>
      <c r="Q19" s="8">
        <v>14235.99</v>
      </c>
    </row>
    <row r="20" spans="1:17" x14ac:dyDescent="0.35">
      <c r="A20" s="7" t="s">
        <v>22</v>
      </c>
      <c r="B20" s="7" t="s">
        <v>23</v>
      </c>
      <c r="C20" s="7" t="s">
        <v>39</v>
      </c>
      <c r="D20" s="7" t="s">
        <v>30</v>
      </c>
      <c r="E20" s="8">
        <v>15315.29</v>
      </c>
      <c r="F20" s="8">
        <v>15315.29</v>
      </c>
      <c r="G20" s="9">
        <f t="shared" si="0"/>
        <v>0</v>
      </c>
      <c r="H20" s="8">
        <v>10425</v>
      </c>
      <c r="I20" s="9">
        <f t="shared" si="1"/>
        <v>10312.780000000001</v>
      </c>
      <c r="J20" s="10">
        <f t="shared" si="2"/>
        <v>-0.319307698385078</v>
      </c>
      <c r="K20" s="10">
        <f t="shared" si="3"/>
        <v>-0.32663501637905645</v>
      </c>
      <c r="L20" s="9">
        <f t="shared" si="4"/>
        <v>-112.21999999999935</v>
      </c>
      <c r="M20" s="10" t="str">
        <f t="shared" si="5"/>
        <v>n/a</v>
      </c>
      <c r="N20" s="10">
        <f t="shared" si="6"/>
        <v>1.010881643940819</v>
      </c>
      <c r="O20" s="11" t="str">
        <f t="shared" si="7"/>
        <v>Ya cumplido</v>
      </c>
      <c r="P20" s="8">
        <v>10312.780000000001</v>
      </c>
      <c r="Q20" s="8">
        <v>0</v>
      </c>
    </row>
    <row r="21" spans="1:17" x14ac:dyDescent="0.35">
      <c r="A21" s="7" t="s">
        <v>22</v>
      </c>
      <c r="B21" s="7" t="s">
        <v>23</v>
      </c>
      <c r="C21" s="7" t="s">
        <v>40</v>
      </c>
      <c r="D21" s="7" t="s">
        <v>25</v>
      </c>
      <c r="E21" s="8">
        <v>15030.87</v>
      </c>
      <c r="F21" s="8">
        <v>4335.7299999999996</v>
      </c>
      <c r="G21" s="9">
        <f t="shared" si="0"/>
        <v>10695.140000000001</v>
      </c>
      <c r="H21" s="8">
        <v>9220</v>
      </c>
      <c r="I21" s="9">
        <f t="shared" si="1"/>
        <v>7879.26</v>
      </c>
      <c r="J21" s="10">
        <f t="shared" si="2"/>
        <v>1.1265161806662318</v>
      </c>
      <c r="K21" s="10">
        <f t="shared" si="3"/>
        <v>-0.47579481427222781</v>
      </c>
      <c r="L21" s="9">
        <f t="shared" si="4"/>
        <v>-1340.7399999999998</v>
      </c>
      <c r="M21" s="10">
        <f t="shared" si="5"/>
        <v>-1.1253597428364659</v>
      </c>
      <c r="N21" s="10">
        <f t="shared" si="6"/>
        <v>1.1701606496041506</v>
      </c>
      <c r="O21" s="11" t="str">
        <f t="shared" si="7"/>
        <v>Ya cumplido</v>
      </c>
      <c r="P21" s="8">
        <v>7879.26</v>
      </c>
      <c r="Q21" s="8">
        <v>0</v>
      </c>
    </row>
    <row r="22" spans="1:17" x14ac:dyDescent="0.35">
      <c r="A22" s="7" t="s">
        <v>22</v>
      </c>
      <c r="B22" s="7" t="s">
        <v>23</v>
      </c>
      <c r="C22" s="7" t="s">
        <v>41</v>
      </c>
      <c r="D22" s="7" t="s">
        <v>28</v>
      </c>
      <c r="E22" s="8">
        <v>14263.99</v>
      </c>
      <c r="F22" s="8">
        <v>14263.99</v>
      </c>
      <c r="G22" s="9">
        <f t="shared" si="0"/>
        <v>0</v>
      </c>
      <c r="H22" s="8">
        <v>23904</v>
      </c>
      <c r="I22" s="9">
        <f t="shared" si="1"/>
        <v>21829.66</v>
      </c>
      <c r="J22" s="10">
        <f t="shared" si="2"/>
        <v>0.67582843229699407</v>
      </c>
      <c r="K22" s="10">
        <f t="shared" si="3"/>
        <v>0.53040348457899933</v>
      </c>
      <c r="L22" s="9">
        <f t="shared" si="4"/>
        <v>-2074.34</v>
      </c>
      <c r="M22" s="10" t="str">
        <f t="shared" si="5"/>
        <v>n/a</v>
      </c>
      <c r="N22" s="10">
        <f t="shared" si="6"/>
        <v>1.0950239261628445</v>
      </c>
      <c r="O22" s="11" t="str">
        <f t="shared" si="7"/>
        <v>Ya cumplido</v>
      </c>
      <c r="P22" s="8">
        <v>21829.66</v>
      </c>
      <c r="Q22" s="8">
        <v>0</v>
      </c>
    </row>
    <row r="23" spans="1:17" x14ac:dyDescent="0.35">
      <c r="A23" s="7" t="s">
        <v>22</v>
      </c>
      <c r="B23" s="7" t="s">
        <v>23</v>
      </c>
      <c r="C23" s="7" t="s">
        <v>42</v>
      </c>
      <c r="D23" s="7" t="s">
        <v>28</v>
      </c>
      <c r="E23" s="8">
        <v>12871.91</v>
      </c>
      <c r="F23" s="8">
        <v>0</v>
      </c>
      <c r="G23" s="9">
        <f t="shared" si="0"/>
        <v>12871.91</v>
      </c>
      <c r="H23" s="8">
        <v>14476.92</v>
      </c>
      <c r="I23" s="9">
        <f t="shared" si="1"/>
        <v>14321.09</v>
      </c>
      <c r="J23" s="10" t="str">
        <f t="shared" si="2"/>
        <v>n/a</v>
      </c>
      <c r="K23" s="10">
        <f t="shared" si="3"/>
        <v>0.11258469022856743</v>
      </c>
      <c r="L23" s="9">
        <f t="shared" si="4"/>
        <v>-155.82999999999993</v>
      </c>
      <c r="M23" s="10">
        <f t="shared" si="5"/>
        <v>-1.0121062064604243</v>
      </c>
      <c r="N23" s="10">
        <f t="shared" si="6"/>
        <v>1.0108811549958836</v>
      </c>
      <c r="O23" s="11" t="str">
        <f t="shared" si="7"/>
        <v>Ya cumplido</v>
      </c>
      <c r="P23" s="8">
        <v>14321.09</v>
      </c>
      <c r="Q23" s="8">
        <v>0</v>
      </c>
    </row>
    <row r="24" spans="1:17" x14ac:dyDescent="0.35">
      <c r="A24" s="7" t="s">
        <v>22</v>
      </c>
      <c r="B24" s="7" t="s">
        <v>23</v>
      </c>
      <c r="C24" s="7" t="s">
        <v>43</v>
      </c>
      <c r="D24" s="7" t="s">
        <v>28</v>
      </c>
      <c r="E24" s="8">
        <v>9678.7900000000009</v>
      </c>
      <c r="F24" s="8">
        <v>9678.7900000000009</v>
      </c>
      <c r="G24" s="9">
        <f t="shared" si="0"/>
        <v>0</v>
      </c>
      <c r="H24" s="8">
        <v>8677.7999999999993</v>
      </c>
      <c r="I24" s="9">
        <f t="shared" si="1"/>
        <v>8584.39</v>
      </c>
      <c r="J24" s="10">
        <f t="shared" si="2"/>
        <v>-0.10342098547442413</v>
      </c>
      <c r="K24" s="10">
        <f t="shared" si="3"/>
        <v>-0.11307198523782425</v>
      </c>
      <c r="L24" s="9">
        <f t="shared" si="4"/>
        <v>-93.409999999999854</v>
      </c>
      <c r="M24" s="10" t="str">
        <f t="shared" si="5"/>
        <v>n/a</v>
      </c>
      <c r="N24" s="10">
        <f t="shared" si="6"/>
        <v>1.0108813788749114</v>
      </c>
      <c r="O24" s="11" t="str">
        <f t="shared" si="7"/>
        <v>Ya cumplido</v>
      </c>
      <c r="P24" s="8">
        <v>8584.39</v>
      </c>
      <c r="Q24" s="8">
        <v>0</v>
      </c>
    </row>
    <row r="25" spans="1:17" x14ac:dyDescent="0.35">
      <c r="A25" s="7" t="s">
        <v>22</v>
      </c>
      <c r="B25" s="7" t="s">
        <v>23</v>
      </c>
      <c r="C25" s="7" t="s">
        <v>44</v>
      </c>
      <c r="D25" s="7" t="s">
        <v>28</v>
      </c>
      <c r="E25" s="8">
        <v>7642.6</v>
      </c>
      <c r="F25" s="8">
        <v>7642.6</v>
      </c>
      <c r="G25" s="9">
        <f t="shared" si="0"/>
        <v>0</v>
      </c>
      <c r="H25" s="8">
        <v>11855.6</v>
      </c>
      <c r="I25" s="9">
        <f t="shared" si="1"/>
        <v>11727.98</v>
      </c>
      <c r="J25" s="10">
        <f t="shared" si="2"/>
        <v>0.55125219166252326</v>
      </c>
      <c r="K25" s="10">
        <f t="shared" si="3"/>
        <v>0.53455368591840458</v>
      </c>
      <c r="L25" s="9">
        <f t="shared" si="4"/>
        <v>-127.6200000000008</v>
      </c>
      <c r="M25" s="10" t="str">
        <f t="shared" si="5"/>
        <v>n/a</v>
      </c>
      <c r="N25" s="10">
        <f t="shared" si="6"/>
        <v>1.0108816693070759</v>
      </c>
      <c r="O25" s="11" t="str">
        <f t="shared" si="7"/>
        <v>Ya cumplido</v>
      </c>
      <c r="P25" s="8">
        <v>11727.98</v>
      </c>
      <c r="Q25" s="8">
        <v>0</v>
      </c>
    </row>
    <row r="26" spans="1:17" x14ac:dyDescent="0.35">
      <c r="A26" s="7" t="s">
        <v>22</v>
      </c>
      <c r="B26" s="7" t="s">
        <v>23</v>
      </c>
      <c r="C26" s="7" t="s">
        <v>45</v>
      </c>
      <c r="D26" s="7" t="s">
        <v>30</v>
      </c>
      <c r="E26" s="8">
        <v>6930.6</v>
      </c>
      <c r="F26" s="8">
        <v>6930.6</v>
      </c>
      <c r="G26" s="9">
        <f t="shared" si="0"/>
        <v>0</v>
      </c>
      <c r="H26" s="8">
        <v>4810.2</v>
      </c>
      <c r="I26" s="9">
        <f t="shared" si="1"/>
        <v>4758.42</v>
      </c>
      <c r="J26" s="10">
        <f t="shared" si="2"/>
        <v>-0.30594753700978272</v>
      </c>
      <c r="K26" s="10">
        <f t="shared" si="3"/>
        <v>-0.31341875162323607</v>
      </c>
      <c r="L26" s="9">
        <f t="shared" si="4"/>
        <v>-51.779999999999745</v>
      </c>
      <c r="M26" s="10" t="str">
        <f t="shared" si="5"/>
        <v>n/a</v>
      </c>
      <c r="N26" s="10">
        <f t="shared" si="6"/>
        <v>1.0108817632743641</v>
      </c>
      <c r="O26" s="11" t="str">
        <f t="shared" si="7"/>
        <v>Ya cumplido</v>
      </c>
      <c r="P26" s="8">
        <v>4758.42</v>
      </c>
      <c r="Q26" s="8">
        <v>0</v>
      </c>
    </row>
    <row r="27" spans="1:17" x14ac:dyDescent="0.35">
      <c r="A27" s="7" t="s">
        <v>22</v>
      </c>
      <c r="B27" s="7" t="s">
        <v>23</v>
      </c>
      <c r="C27" s="7" t="s">
        <v>46</v>
      </c>
      <c r="D27" s="7" t="s">
        <v>28</v>
      </c>
      <c r="E27" s="8">
        <v>6691.4</v>
      </c>
      <c r="F27" s="8">
        <v>6691.4</v>
      </c>
      <c r="G27" s="9">
        <f t="shared" si="0"/>
        <v>0</v>
      </c>
      <c r="H27" s="8">
        <v>8893.4</v>
      </c>
      <c r="I27" s="9">
        <f t="shared" si="1"/>
        <v>8797.67</v>
      </c>
      <c r="J27" s="10">
        <f t="shared" si="2"/>
        <v>0.32907911647786703</v>
      </c>
      <c r="K27" s="10">
        <f t="shared" si="3"/>
        <v>0.31477269330782809</v>
      </c>
      <c r="L27" s="9">
        <f t="shared" si="4"/>
        <v>-95.729999999999563</v>
      </c>
      <c r="M27" s="10" t="str">
        <f t="shared" si="5"/>
        <v>n/a</v>
      </c>
      <c r="N27" s="10">
        <f t="shared" si="6"/>
        <v>1.0108812901597808</v>
      </c>
      <c r="O27" s="11" t="str">
        <f t="shared" si="7"/>
        <v>Ya cumplido</v>
      </c>
      <c r="P27" s="8">
        <v>8797.67</v>
      </c>
      <c r="Q27" s="8">
        <v>0</v>
      </c>
    </row>
    <row r="28" spans="1:17" x14ac:dyDescent="0.35">
      <c r="A28" s="7" t="s">
        <v>22</v>
      </c>
      <c r="B28" s="7" t="s">
        <v>23</v>
      </c>
      <c r="C28" s="7" t="s">
        <v>47</v>
      </c>
      <c r="D28" s="7" t="s">
        <v>28</v>
      </c>
      <c r="E28" s="8">
        <v>5944.72</v>
      </c>
      <c r="F28" s="8">
        <v>5944.72</v>
      </c>
      <c r="G28" s="9">
        <f t="shared" si="0"/>
        <v>0</v>
      </c>
      <c r="H28" s="8">
        <v>6129.8</v>
      </c>
      <c r="I28" s="9">
        <f t="shared" si="1"/>
        <v>5957.38</v>
      </c>
      <c r="J28" s="10">
        <f t="shared" si="2"/>
        <v>3.1133510072804071E-2</v>
      </c>
      <c r="K28" s="10">
        <f t="shared" si="3"/>
        <v>2.1296209072925176E-3</v>
      </c>
      <c r="L28" s="9">
        <f t="shared" si="4"/>
        <v>-172.42000000000007</v>
      </c>
      <c r="M28" s="10" t="str">
        <f t="shared" si="5"/>
        <v>n/a</v>
      </c>
      <c r="N28" s="10">
        <f t="shared" si="6"/>
        <v>1.0289422531381245</v>
      </c>
      <c r="O28" s="11" t="str">
        <f t="shared" si="7"/>
        <v>Ya cumplido</v>
      </c>
      <c r="P28" s="8">
        <v>5957.38</v>
      </c>
      <c r="Q28" s="8">
        <v>0</v>
      </c>
    </row>
    <row r="29" spans="1:17" x14ac:dyDescent="0.35">
      <c r="A29" s="7" t="s">
        <v>22</v>
      </c>
      <c r="B29" s="7" t="s">
        <v>23</v>
      </c>
      <c r="C29" s="7" t="s">
        <v>48</v>
      </c>
      <c r="D29" s="7" t="s">
        <v>28</v>
      </c>
      <c r="E29" s="8">
        <v>5404.32</v>
      </c>
      <c r="F29" s="8">
        <v>5404.32</v>
      </c>
      <c r="G29" s="9">
        <f t="shared" si="0"/>
        <v>0</v>
      </c>
      <c r="H29" s="8">
        <v>3475.56</v>
      </c>
      <c r="I29" s="9">
        <f t="shared" si="1"/>
        <v>3438.15</v>
      </c>
      <c r="J29" s="10">
        <f t="shared" si="2"/>
        <v>-0.35689226396660445</v>
      </c>
      <c r="K29" s="10">
        <f t="shared" si="3"/>
        <v>-0.36381450395239356</v>
      </c>
      <c r="L29" s="9">
        <f t="shared" si="4"/>
        <v>-37.409999999999854</v>
      </c>
      <c r="M29" s="10" t="str">
        <f t="shared" si="5"/>
        <v>n/a</v>
      </c>
      <c r="N29" s="10">
        <f t="shared" si="6"/>
        <v>1.0108808516207843</v>
      </c>
      <c r="O29" s="11" t="str">
        <f t="shared" si="7"/>
        <v>Ya cumplido</v>
      </c>
      <c r="P29" s="8">
        <v>3438.15</v>
      </c>
      <c r="Q29" s="8">
        <v>0</v>
      </c>
    </row>
    <row r="30" spans="1:17" x14ac:dyDescent="0.35">
      <c r="A30" s="7" t="s">
        <v>22</v>
      </c>
      <c r="B30" s="7" t="s">
        <v>23</v>
      </c>
      <c r="C30" s="7" t="s">
        <v>49</v>
      </c>
      <c r="D30" s="7" t="s">
        <v>28</v>
      </c>
      <c r="E30" s="8">
        <v>5180.6000000000004</v>
      </c>
      <c r="F30" s="8">
        <v>4930.6000000000004</v>
      </c>
      <c r="G30" s="9">
        <f t="shared" si="0"/>
        <v>250</v>
      </c>
      <c r="H30" s="8">
        <v>3153.4</v>
      </c>
      <c r="I30" s="9">
        <f t="shared" si="1"/>
        <v>2550.25</v>
      </c>
      <c r="J30" s="10">
        <f t="shared" si="2"/>
        <v>-0.36044294811990429</v>
      </c>
      <c r="K30" s="10">
        <f t="shared" si="3"/>
        <v>-0.50773076477628076</v>
      </c>
      <c r="L30" s="9">
        <f t="shared" si="4"/>
        <v>-603.15000000000009</v>
      </c>
      <c r="M30" s="10">
        <f t="shared" si="5"/>
        <v>-3.4126000000000003</v>
      </c>
      <c r="N30" s="10">
        <f t="shared" si="6"/>
        <v>1.2365062248799137</v>
      </c>
      <c r="O30" s="11" t="str">
        <f t="shared" si="7"/>
        <v>Ya cumplido</v>
      </c>
      <c r="P30" s="8">
        <v>2550.25</v>
      </c>
      <c r="Q30" s="8">
        <v>0</v>
      </c>
    </row>
    <row r="31" spans="1:17" x14ac:dyDescent="0.35">
      <c r="A31" s="7" t="s">
        <v>22</v>
      </c>
      <c r="B31" s="7" t="s">
        <v>23</v>
      </c>
      <c r="C31" s="7" t="s">
        <v>50</v>
      </c>
      <c r="D31" s="7" t="s">
        <v>28</v>
      </c>
      <c r="E31" s="8">
        <v>2791.4</v>
      </c>
      <c r="F31" s="8">
        <v>2791.4</v>
      </c>
      <c r="G31" s="9">
        <f t="shared" si="0"/>
        <v>0</v>
      </c>
      <c r="H31" s="8">
        <v>3191.4</v>
      </c>
      <c r="I31" s="9">
        <f t="shared" si="1"/>
        <v>3157.05</v>
      </c>
      <c r="J31" s="10">
        <f t="shared" si="2"/>
        <v>0.143297270187003</v>
      </c>
      <c r="K31" s="10">
        <f t="shared" si="3"/>
        <v>0.13099161710969409</v>
      </c>
      <c r="L31" s="9">
        <f t="shared" si="4"/>
        <v>-34.349999999999909</v>
      </c>
      <c r="M31" s="10" t="str">
        <f t="shared" si="5"/>
        <v>n/a</v>
      </c>
      <c r="N31" s="10">
        <f t="shared" si="6"/>
        <v>1.0108804105098113</v>
      </c>
      <c r="O31" s="11" t="str">
        <f t="shared" si="7"/>
        <v>Ya cumplido</v>
      </c>
      <c r="P31" s="8">
        <v>3157.05</v>
      </c>
      <c r="Q31" s="8">
        <v>0</v>
      </c>
    </row>
    <row r="32" spans="1:17" x14ac:dyDescent="0.35">
      <c r="A32" s="7" t="s">
        <v>22</v>
      </c>
      <c r="B32" s="7" t="s">
        <v>23</v>
      </c>
      <c r="C32" s="7" t="s">
        <v>51</v>
      </c>
      <c r="D32" s="7" t="s">
        <v>28</v>
      </c>
      <c r="E32" s="8">
        <v>2559</v>
      </c>
      <c r="F32" s="8">
        <v>2559</v>
      </c>
      <c r="G32" s="9">
        <f t="shared" si="0"/>
        <v>0</v>
      </c>
      <c r="H32" s="8">
        <v>4535.3999999999996</v>
      </c>
      <c r="I32" s="9">
        <f t="shared" si="1"/>
        <v>4486.58</v>
      </c>
      <c r="J32" s="10">
        <f t="shared" si="2"/>
        <v>0.77233294255568574</v>
      </c>
      <c r="K32" s="10">
        <f t="shared" si="3"/>
        <v>0.75325517780382967</v>
      </c>
      <c r="L32" s="9">
        <f t="shared" si="4"/>
        <v>-48.819999999999709</v>
      </c>
      <c r="M32" s="10" t="str">
        <f t="shared" si="5"/>
        <v>n/a</v>
      </c>
      <c r="N32" s="10">
        <f t="shared" si="6"/>
        <v>1.0108813394612377</v>
      </c>
      <c r="O32" s="11" t="str">
        <f t="shared" si="7"/>
        <v>Ya cumplido</v>
      </c>
      <c r="P32" s="8">
        <v>4486.58</v>
      </c>
      <c r="Q32" s="8">
        <v>0</v>
      </c>
    </row>
    <row r="33" spans="1:17" x14ac:dyDescent="0.35">
      <c r="A33" s="7" t="s">
        <v>22</v>
      </c>
      <c r="B33" s="7" t="s">
        <v>23</v>
      </c>
      <c r="C33" s="7" t="s">
        <v>52</v>
      </c>
      <c r="D33" s="7" t="s">
        <v>28</v>
      </c>
      <c r="E33" s="8">
        <v>2200.8000000000002</v>
      </c>
      <c r="F33" s="8">
        <v>2200.8000000000002</v>
      </c>
      <c r="G33" s="9">
        <f t="shared" si="0"/>
        <v>0</v>
      </c>
      <c r="H33" s="8">
        <v>2310</v>
      </c>
      <c r="I33" s="9">
        <f t="shared" si="1"/>
        <v>2285.13</v>
      </c>
      <c r="J33" s="10">
        <f t="shared" si="2"/>
        <v>4.9618320610686828E-2</v>
      </c>
      <c r="K33" s="10">
        <f t="shared" si="3"/>
        <v>3.8317884405670632E-2</v>
      </c>
      <c r="L33" s="9">
        <f t="shared" si="4"/>
        <v>-24.869999999999891</v>
      </c>
      <c r="M33" s="10" t="str">
        <f t="shared" si="5"/>
        <v>n/a</v>
      </c>
      <c r="N33" s="10">
        <f t="shared" si="6"/>
        <v>1.0108834070709325</v>
      </c>
      <c r="O33" s="11" t="str">
        <f t="shared" si="7"/>
        <v>Ya cumplido</v>
      </c>
      <c r="P33" s="8">
        <v>2285.13</v>
      </c>
      <c r="Q33" s="8">
        <v>0</v>
      </c>
    </row>
    <row r="34" spans="1:17" x14ac:dyDescent="0.35">
      <c r="A34" s="7" t="s">
        <v>22</v>
      </c>
      <c r="B34" s="7" t="s">
        <v>23</v>
      </c>
      <c r="C34" s="7" t="s">
        <v>53</v>
      </c>
      <c r="D34" s="7" t="s">
        <v>28</v>
      </c>
      <c r="E34" s="8">
        <v>1990</v>
      </c>
      <c r="F34" s="8">
        <v>1990</v>
      </c>
      <c r="G34" s="9">
        <f t="shared" si="0"/>
        <v>0</v>
      </c>
      <c r="H34" s="8">
        <v>2143.1999999999998</v>
      </c>
      <c r="I34" s="9">
        <f t="shared" si="1"/>
        <v>1445.27</v>
      </c>
      <c r="J34" s="10">
        <f t="shared" si="2"/>
        <v>7.6984924623115569E-2</v>
      </c>
      <c r="K34" s="10">
        <f t="shared" si="3"/>
        <v>-0.27373366834170854</v>
      </c>
      <c r="L34" s="9">
        <f t="shared" si="4"/>
        <v>-697.92999999999984</v>
      </c>
      <c r="M34" s="10" t="str">
        <f t="shared" si="5"/>
        <v>n/a</v>
      </c>
      <c r="N34" s="10">
        <f t="shared" si="6"/>
        <v>1.4829063081638725</v>
      </c>
      <c r="O34" s="11" t="str">
        <f t="shared" si="7"/>
        <v>Ya cumplido</v>
      </c>
      <c r="P34" s="8">
        <v>1445.27</v>
      </c>
      <c r="Q34" s="8">
        <v>0</v>
      </c>
    </row>
    <row r="35" spans="1:17" x14ac:dyDescent="0.35">
      <c r="A35" s="7" t="s">
        <v>22</v>
      </c>
      <c r="B35" s="7" t="s">
        <v>23</v>
      </c>
      <c r="C35" s="7" t="s">
        <v>54</v>
      </c>
      <c r="D35" s="7" t="s">
        <v>28</v>
      </c>
      <c r="E35" s="8">
        <v>262.2</v>
      </c>
      <c r="F35" s="8">
        <v>262.2</v>
      </c>
      <c r="G35" s="9">
        <f t="shared" si="0"/>
        <v>0</v>
      </c>
      <c r="H35" s="8">
        <v>266</v>
      </c>
      <c r="I35" s="9">
        <f t="shared" si="1"/>
        <v>263.14</v>
      </c>
      <c r="J35" s="10">
        <f t="shared" si="2"/>
        <v>1.449275362318847E-2</v>
      </c>
      <c r="K35" s="10">
        <f t="shared" si="3"/>
        <v>3.5850495804730098E-3</v>
      </c>
      <c r="L35" s="9">
        <f t="shared" si="4"/>
        <v>-2.8600000000000136</v>
      </c>
      <c r="M35" s="10" t="str">
        <f t="shared" si="5"/>
        <v>n/a</v>
      </c>
      <c r="N35" s="10">
        <f t="shared" si="6"/>
        <v>1.010868739074257</v>
      </c>
      <c r="O35" s="11" t="str">
        <f t="shared" si="7"/>
        <v>Ya cumplido</v>
      </c>
      <c r="P35" s="8">
        <v>263.14</v>
      </c>
      <c r="Q35" s="8">
        <v>0</v>
      </c>
    </row>
    <row r="36" spans="1:17" x14ac:dyDescent="0.35">
      <c r="A36" s="7" t="s">
        <v>22</v>
      </c>
      <c r="B36" s="7" t="s">
        <v>23</v>
      </c>
      <c r="C36" s="7" t="s">
        <v>55</v>
      </c>
      <c r="D36" s="7" t="s">
        <v>28</v>
      </c>
      <c r="E36" s="8">
        <v>0</v>
      </c>
      <c r="F36" s="8">
        <v>0</v>
      </c>
      <c r="G36" s="9">
        <f t="shared" si="0"/>
        <v>0</v>
      </c>
      <c r="H36" s="8">
        <v>353.37</v>
      </c>
      <c r="I36" s="9">
        <f t="shared" si="1"/>
        <v>120.19</v>
      </c>
      <c r="J36" s="10" t="str">
        <f t="shared" si="2"/>
        <v>n/a</v>
      </c>
      <c r="K36" s="10" t="str">
        <f t="shared" si="3"/>
        <v>n/a</v>
      </c>
      <c r="L36" s="9">
        <f t="shared" si="4"/>
        <v>-233.18</v>
      </c>
      <c r="M36" s="10" t="str">
        <f t="shared" si="5"/>
        <v>n/a</v>
      </c>
      <c r="N36" s="10">
        <f t="shared" si="6"/>
        <v>2.9400948498211168</v>
      </c>
      <c r="O36" s="11" t="str">
        <f t="shared" si="7"/>
        <v>Ya cumplido</v>
      </c>
      <c r="P36" s="8">
        <v>120.19</v>
      </c>
      <c r="Q36" s="8">
        <v>0</v>
      </c>
    </row>
    <row r="37" spans="1:17" x14ac:dyDescent="0.35">
      <c r="A37" s="7" t="s">
        <v>56</v>
      </c>
      <c r="B37" s="7" t="s">
        <v>57</v>
      </c>
      <c r="C37" s="7" t="s">
        <v>58</v>
      </c>
      <c r="D37" s="7" t="s">
        <v>25</v>
      </c>
      <c r="E37" s="8">
        <v>1851121.6</v>
      </c>
      <c r="F37" s="8">
        <v>1442936.48</v>
      </c>
      <c r="G37" s="9">
        <f>E37-F37</f>
        <v>408185.12000000011</v>
      </c>
      <c r="H37" s="8">
        <v>1676413.03</v>
      </c>
      <c r="I37" s="9">
        <f>P37+Q37</f>
        <v>2215207.65</v>
      </c>
      <c r="J37" s="10">
        <f t="shared" si="2"/>
        <v>0.16180653357658548</v>
      </c>
      <c r="K37" s="10">
        <f t="shared" si="3"/>
        <v>0.19668402659231021</v>
      </c>
      <c r="L37" s="9">
        <f t="shared" si="4"/>
        <v>538794.61999999988</v>
      </c>
      <c r="M37" s="10">
        <f t="shared" si="5"/>
        <v>0.31997614219744142</v>
      </c>
      <c r="N37" s="10">
        <f t="shared" si="6"/>
        <v>0.75677466624855694</v>
      </c>
      <c r="O37" s="11" t="str">
        <f t="shared" si="7"/>
        <v>Exigente</v>
      </c>
      <c r="P37" s="8">
        <v>1648784.18</v>
      </c>
      <c r="Q37" s="8">
        <v>566423.47</v>
      </c>
    </row>
    <row r="38" spans="1:17" x14ac:dyDescent="0.35">
      <c r="A38" s="7" t="s">
        <v>56</v>
      </c>
      <c r="B38" s="7" t="s">
        <v>57</v>
      </c>
      <c r="C38" s="7" t="s">
        <v>59</v>
      </c>
      <c r="D38" s="7" t="s">
        <v>25</v>
      </c>
      <c r="E38" s="8">
        <v>1094324.56</v>
      </c>
      <c r="F38" s="8">
        <v>1094324.56</v>
      </c>
      <c r="G38" s="9">
        <f t="shared" si="0"/>
        <v>0</v>
      </c>
      <c r="H38" s="8">
        <v>1268754.03</v>
      </c>
      <c r="I38" s="9">
        <f t="shared" si="1"/>
        <v>1365078.4000000001</v>
      </c>
      <c r="J38" s="10">
        <f t="shared" si="2"/>
        <v>0.15939464065395725</v>
      </c>
      <c r="K38" s="10">
        <f t="shared" si="3"/>
        <v>0.24741639719755537</v>
      </c>
      <c r="L38" s="9">
        <f t="shared" si="4"/>
        <v>96324.370000000112</v>
      </c>
      <c r="M38" s="10" t="str">
        <f t="shared" si="5"/>
        <v>n/a</v>
      </c>
      <c r="N38" s="10">
        <f t="shared" si="6"/>
        <v>0.92943674883435257</v>
      </c>
      <c r="O38" s="11" t="str">
        <f t="shared" si="7"/>
        <v>Sin base 2025</v>
      </c>
      <c r="P38" s="8">
        <v>1321214.6200000001</v>
      </c>
      <c r="Q38" s="8">
        <v>43863.78</v>
      </c>
    </row>
    <row r="39" spans="1:17" x14ac:dyDescent="0.35">
      <c r="A39" s="7" t="s">
        <v>56</v>
      </c>
      <c r="B39" s="7" t="s">
        <v>60</v>
      </c>
      <c r="C39" s="7" t="s">
        <v>61</v>
      </c>
      <c r="D39" s="7" t="s">
        <v>25</v>
      </c>
      <c r="E39" s="8">
        <v>651006.82999999996</v>
      </c>
      <c r="F39" s="8">
        <v>583376.48</v>
      </c>
      <c r="G39" s="9">
        <f t="shared" si="0"/>
        <v>67630.349999999977</v>
      </c>
      <c r="H39" s="8">
        <v>669532.06000000006</v>
      </c>
      <c r="I39" s="9">
        <f t="shared" si="1"/>
        <v>620090.49</v>
      </c>
      <c r="J39" s="10">
        <f t="shared" si="2"/>
        <v>0.14768435642108857</v>
      </c>
      <c r="K39" s="10">
        <f t="shared" si="3"/>
        <v>-4.7490039390216454E-2</v>
      </c>
      <c r="L39" s="9">
        <f t="shared" si="4"/>
        <v>-49441.570000000065</v>
      </c>
      <c r="M39" s="10">
        <f t="shared" si="5"/>
        <v>-1.7310559534291938</v>
      </c>
      <c r="N39" s="10">
        <f t="shared" si="6"/>
        <v>1.0797328306067071</v>
      </c>
      <c r="O39" s="11" t="str">
        <f t="shared" si="7"/>
        <v>Ya cumplido</v>
      </c>
      <c r="P39" s="8">
        <v>535062.05000000005</v>
      </c>
      <c r="Q39" s="8">
        <v>85028.44</v>
      </c>
    </row>
    <row r="40" spans="1:17" x14ac:dyDescent="0.35">
      <c r="A40" s="7" t="s">
        <v>56</v>
      </c>
      <c r="B40" s="7" t="s">
        <v>62</v>
      </c>
      <c r="C40" s="7" t="s">
        <v>63</v>
      </c>
      <c r="D40" s="7" t="s">
        <v>25</v>
      </c>
      <c r="E40" s="8">
        <v>421778.72</v>
      </c>
      <c r="F40" s="8">
        <v>363630.72</v>
      </c>
      <c r="G40" s="9">
        <f t="shared" ref="G40:G71" si="8">E40-F40</f>
        <v>58148</v>
      </c>
      <c r="H40" s="8">
        <v>404426.04</v>
      </c>
      <c r="I40" s="9">
        <f t="shared" ref="I40:I71" si="9">P40+Q40</f>
        <v>543412.27</v>
      </c>
      <c r="J40" s="10">
        <f t="shared" ref="J40:J71" si="10">IF(F40&lt;=0,"n/a",H40/F40-1)</f>
        <v>0.11218887117128062</v>
      </c>
      <c r="K40" s="10">
        <f t="shared" ref="K40:K71" si="11">IF(E40&lt;=0,"n/a",I40/E40-1)</f>
        <v>0.2883823773755112</v>
      </c>
      <c r="L40" s="9">
        <f t="shared" ref="L40:L71" si="12">IF(I40=0,0,I40-H40)</f>
        <v>138986.23000000004</v>
      </c>
      <c r="M40" s="10">
        <f t="shared" ref="M40:M71" si="13">IF(OR(I40=0,G40&lt;=0),"n/a",L40/G40-1)</f>
        <v>1.3902151406755183</v>
      </c>
      <c r="N40" s="10">
        <f t="shared" ref="N40:N71" si="14">IF(I40=0,"n/a",H40/I40)</f>
        <v>0.74423428090793753</v>
      </c>
      <c r="O40" s="11" t="str">
        <f t="shared" ref="O40:O71" si="15">IF(I40=0,"Sin estimación",IF(L40&lt;=0,"Ya cumplido",IF(G40&lt;=0,"Sin base 2025",IF(M40&lt;=$E$4,"Alcanzable",IF(M40&lt;=$E$5,"Exigente","Poco realista")))))</f>
        <v>Poco realista</v>
      </c>
      <c r="P40" s="8">
        <v>401271.62</v>
      </c>
      <c r="Q40" s="8">
        <v>142140.65</v>
      </c>
    </row>
    <row r="41" spans="1:17" x14ac:dyDescent="0.35">
      <c r="A41" s="7" t="s">
        <v>56</v>
      </c>
      <c r="B41" s="7" t="s">
        <v>64</v>
      </c>
      <c r="C41" s="7" t="s">
        <v>65</v>
      </c>
      <c r="D41" s="7" t="s">
        <v>30</v>
      </c>
      <c r="E41" s="8">
        <v>162560.9</v>
      </c>
      <c r="F41" s="8">
        <v>162560.9</v>
      </c>
      <c r="G41" s="9">
        <f t="shared" si="8"/>
        <v>0</v>
      </c>
      <c r="H41" s="8">
        <v>101046</v>
      </c>
      <c r="I41" s="9">
        <f t="shared" si="9"/>
        <v>252364.96</v>
      </c>
      <c r="J41" s="10">
        <f t="shared" si="10"/>
        <v>-0.37841141381476107</v>
      </c>
      <c r="K41" s="10">
        <f t="shared" si="11"/>
        <v>0.55243333421505425</v>
      </c>
      <c r="L41" s="9">
        <f t="shared" si="12"/>
        <v>151318.96</v>
      </c>
      <c r="M41" s="10" t="str">
        <f t="shared" si="13"/>
        <v>n/a</v>
      </c>
      <c r="N41" s="10">
        <f t="shared" si="14"/>
        <v>0.40039631492422723</v>
      </c>
      <c r="O41" s="11" t="str">
        <f t="shared" si="15"/>
        <v>Sin base 2025</v>
      </c>
      <c r="P41" s="8">
        <v>100723.5</v>
      </c>
      <c r="Q41" s="8">
        <v>151641.46</v>
      </c>
    </row>
    <row r="42" spans="1:17" x14ac:dyDescent="0.35">
      <c r="A42" s="7" t="s">
        <v>56</v>
      </c>
      <c r="B42" s="7" t="s">
        <v>23</v>
      </c>
      <c r="C42" s="7" t="s">
        <v>66</v>
      </c>
      <c r="D42" s="7" t="s">
        <v>25</v>
      </c>
      <c r="E42" s="8">
        <v>154432.51999999999</v>
      </c>
      <c r="F42" s="8">
        <v>137122.72</v>
      </c>
      <c r="G42" s="9">
        <f t="shared" si="8"/>
        <v>17309.799999999988</v>
      </c>
      <c r="H42" s="8">
        <v>136646.21</v>
      </c>
      <c r="I42" s="9">
        <f t="shared" si="9"/>
        <v>177901.53</v>
      </c>
      <c r="J42" s="10">
        <f t="shared" si="10"/>
        <v>-3.4750623383200674E-3</v>
      </c>
      <c r="K42" s="10">
        <f t="shared" si="11"/>
        <v>0.15196935205097994</v>
      </c>
      <c r="L42" s="9">
        <f t="shared" si="12"/>
        <v>41255.320000000007</v>
      </c>
      <c r="M42" s="10">
        <f t="shared" si="13"/>
        <v>1.3833504719869691</v>
      </c>
      <c r="N42" s="10">
        <f t="shared" si="14"/>
        <v>0.76810025186405084</v>
      </c>
      <c r="O42" s="11" t="str">
        <f t="shared" si="15"/>
        <v>Poco realista</v>
      </c>
      <c r="P42" s="8">
        <v>127293.27</v>
      </c>
      <c r="Q42" s="8">
        <v>50608.26</v>
      </c>
    </row>
    <row r="43" spans="1:17" x14ac:dyDescent="0.35">
      <c r="A43" s="7" t="s">
        <v>56</v>
      </c>
      <c r="B43" s="7" t="s">
        <v>23</v>
      </c>
      <c r="C43" s="7" t="s">
        <v>67</v>
      </c>
      <c r="D43" s="7" t="s">
        <v>25</v>
      </c>
      <c r="E43" s="8">
        <v>102144.86</v>
      </c>
      <c r="F43" s="8">
        <v>97873.46</v>
      </c>
      <c r="G43" s="9">
        <f t="shared" si="8"/>
        <v>4271.3999999999942</v>
      </c>
      <c r="H43" s="8">
        <v>79058.679999999993</v>
      </c>
      <c r="I43" s="9">
        <f t="shared" si="9"/>
        <v>96933.540000000008</v>
      </c>
      <c r="J43" s="10">
        <f t="shared" si="10"/>
        <v>-0.19223577055516394</v>
      </c>
      <c r="K43" s="10">
        <f t="shared" si="11"/>
        <v>-5.1018915685037802E-2</v>
      </c>
      <c r="L43" s="9">
        <f t="shared" si="12"/>
        <v>17874.860000000015</v>
      </c>
      <c r="M43" s="10">
        <f t="shared" si="13"/>
        <v>3.1847778246008431</v>
      </c>
      <c r="N43" s="10">
        <f t="shared" si="14"/>
        <v>0.81559674803994553</v>
      </c>
      <c r="O43" s="11" t="str">
        <f t="shared" si="15"/>
        <v>Poco realista</v>
      </c>
      <c r="P43" s="8">
        <v>65908.22</v>
      </c>
      <c r="Q43" s="8">
        <v>31025.32</v>
      </c>
    </row>
    <row r="44" spans="1:17" x14ac:dyDescent="0.35">
      <c r="A44" s="7" t="s">
        <v>56</v>
      </c>
      <c r="B44" s="7" t="s">
        <v>68</v>
      </c>
      <c r="C44" s="7" t="s">
        <v>69</v>
      </c>
      <c r="D44" s="7" t="s">
        <v>25</v>
      </c>
      <c r="E44" s="8">
        <v>75607.59</v>
      </c>
      <c r="F44" s="8">
        <v>0</v>
      </c>
      <c r="G44" s="9">
        <f t="shared" si="8"/>
        <v>75607.59</v>
      </c>
      <c r="H44" s="8">
        <v>33782</v>
      </c>
      <c r="I44" s="9">
        <f t="shared" si="9"/>
        <v>106168.44</v>
      </c>
      <c r="J44" s="10" t="str">
        <f t="shared" si="10"/>
        <v>n/a</v>
      </c>
      <c r="K44" s="10">
        <f t="shared" si="11"/>
        <v>0.4042034668741592</v>
      </c>
      <c r="L44" s="9">
        <f t="shared" si="12"/>
        <v>72386.44</v>
      </c>
      <c r="M44" s="10">
        <f t="shared" si="13"/>
        <v>-4.2603526973945316E-2</v>
      </c>
      <c r="N44" s="10">
        <f t="shared" si="14"/>
        <v>0.31819248733427746</v>
      </c>
      <c r="O44" s="11" t="str">
        <f t="shared" si="15"/>
        <v>Alcanzable</v>
      </c>
      <c r="P44" s="8">
        <v>33418.36</v>
      </c>
      <c r="Q44" s="8">
        <v>72750.080000000002</v>
      </c>
    </row>
    <row r="45" spans="1:17" x14ac:dyDescent="0.35">
      <c r="A45" s="7" t="s">
        <v>56</v>
      </c>
      <c r="B45" s="7" t="s">
        <v>23</v>
      </c>
      <c r="C45" s="7" t="s">
        <v>70</v>
      </c>
      <c r="D45" s="7" t="s">
        <v>25</v>
      </c>
      <c r="E45" s="8">
        <v>60832.13</v>
      </c>
      <c r="F45" s="8">
        <v>35539.53</v>
      </c>
      <c r="G45" s="9">
        <f t="shared" si="8"/>
        <v>25292.6</v>
      </c>
      <c r="H45" s="8">
        <v>28781.599999999999</v>
      </c>
      <c r="I45" s="9">
        <f t="shared" si="9"/>
        <v>59177.020000000004</v>
      </c>
      <c r="J45" s="10">
        <f t="shared" si="10"/>
        <v>-0.19015248654104322</v>
      </c>
      <c r="K45" s="10">
        <f t="shared" si="11"/>
        <v>-2.7207825864390967E-2</v>
      </c>
      <c r="L45" s="9">
        <f t="shared" si="12"/>
        <v>30395.420000000006</v>
      </c>
      <c r="M45" s="10">
        <f t="shared" si="13"/>
        <v>0.20175150043886392</v>
      </c>
      <c r="N45" s="10">
        <f t="shared" si="14"/>
        <v>0.48636447053264925</v>
      </c>
      <c r="O45" s="11" t="str">
        <f t="shared" si="15"/>
        <v>Exigente</v>
      </c>
      <c r="P45" s="8">
        <v>26589.27</v>
      </c>
      <c r="Q45" s="8">
        <v>32587.75</v>
      </c>
    </row>
    <row r="46" spans="1:17" x14ac:dyDescent="0.35">
      <c r="A46" s="7" t="s">
        <v>56</v>
      </c>
      <c r="B46" s="7" t="s">
        <v>23</v>
      </c>
      <c r="C46" s="7" t="s">
        <v>71</v>
      </c>
      <c r="D46" s="7" t="s">
        <v>72</v>
      </c>
      <c r="E46" s="8">
        <v>40805.82</v>
      </c>
      <c r="F46" s="8">
        <v>28291.32</v>
      </c>
      <c r="G46" s="9">
        <f t="shared" si="8"/>
        <v>12514.5</v>
      </c>
      <c r="H46" s="8">
        <v>22953</v>
      </c>
      <c r="I46" s="9">
        <f t="shared" si="9"/>
        <v>36963.79</v>
      </c>
      <c r="J46" s="10">
        <f t="shared" si="10"/>
        <v>-0.18869108970525239</v>
      </c>
      <c r="K46" s="10">
        <f t="shared" si="11"/>
        <v>-9.4153971173719819E-2</v>
      </c>
      <c r="L46" s="9">
        <f t="shared" si="12"/>
        <v>14010.79</v>
      </c>
      <c r="M46" s="10">
        <f t="shared" si="13"/>
        <v>0.11956450517399819</v>
      </c>
      <c r="N46" s="10">
        <f t="shared" si="14"/>
        <v>0.62095905208854396</v>
      </c>
      <c r="O46" s="11" t="str">
        <f t="shared" si="15"/>
        <v>Alcanzable</v>
      </c>
      <c r="P46" s="8">
        <v>22705.93</v>
      </c>
      <c r="Q46" s="8">
        <v>14257.86</v>
      </c>
    </row>
    <row r="47" spans="1:17" x14ac:dyDescent="0.35">
      <c r="A47" s="7" t="s">
        <v>56</v>
      </c>
      <c r="B47" s="7" t="s">
        <v>23</v>
      </c>
      <c r="C47" s="7" t="s">
        <v>73</v>
      </c>
      <c r="D47" s="7" t="s">
        <v>30</v>
      </c>
      <c r="E47" s="8">
        <v>20366.830000000002</v>
      </c>
      <c r="F47" s="8">
        <v>20366.830000000002</v>
      </c>
      <c r="G47" s="9">
        <f t="shared" si="8"/>
        <v>0</v>
      </c>
      <c r="H47" s="8">
        <v>37901.279999999999</v>
      </c>
      <c r="I47" s="9">
        <f t="shared" si="9"/>
        <v>37794.339999999997</v>
      </c>
      <c r="J47" s="10">
        <f t="shared" si="10"/>
        <v>0.86093172084217295</v>
      </c>
      <c r="K47" s="10">
        <f t="shared" si="11"/>
        <v>0.85568102645330635</v>
      </c>
      <c r="L47" s="9">
        <f t="shared" si="12"/>
        <v>-106.94000000000233</v>
      </c>
      <c r="M47" s="10" t="str">
        <f t="shared" si="13"/>
        <v>n/a</v>
      </c>
      <c r="N47" s="10">
        <f t="shared" si="14"/>
        <v>1.0028295242091807</v>
      </c>
      <c r="O47" s="11" t="str">
        <f t="shared" si="15"/>
        <v>Ya cumplido</v>
      </c>
      <c r="P47" s="8">
        <v>37794.339999999997</v>
      </c>
      <c r="Q47" s="8">
        <v>0</v>
      </c>
    </row>
    <row r="48" spans="1:17" x14ac:dyDescent="0.35">
      <c r="A48" s="7" t="s">
        <v>56</v>
      </c>
      <c r="B48" s="7" t="s">
        <v>23</v>
      </c>
      <c r="C48" s="7" t="s">
        <v>74</v>
      </c>
      <c r="D48" s="7" t="s">
        <v>30</v>
      </c>
      <c r="E48" s="8">
        <v>20243</v>
      </c>
      <c r="F48" s="8">
        <v>15301</v>
      </c>
      <c r="G48" s="9">
        <f t="shared" si="8"/>
        <v>4942</v>
      </c>
      <c r="H48" s="8">
        <v>51029.2</v>
      </c>
      <c r="I48" s="9">
        <f t="shared" si="9"/>
        <v>55216.539999999994</v>
      </c>
      <c r="J48" s="10">
        <f t="shared" si="10"/>
        <v>2.3350238546500228</v>
      </c>
      <c r="K48" s="10">
        <f t="shared" si="11"/>
        <v>1.7276856197203969</v>
      </c>
      <c r="L48" s="9">
        <f t="shared" si="12"/>
        <v>4187.3399999999965</v>
      </c>
      <c r="M48" s="10">
        <f t="shared" si="13"/>
        <v>-0.1527033589639829</v>
      </c>
      <c r="N48" s="10">
        <f t="shared" si="14"/>
        <v>0.92416511429365189</v>
      </c>
      <c r="O48" s="11" t="str">
        <f t="shared" si="15"/>
        <v>Alcanzable</v>
      </c>
      <c r="P48" s="8">
        <v>48466.81</v>
      </c>
      <c r="Q48" s="8">
        <v>6749.73</v>
      </c>
    </row>
    <row r="49" spans="1:17" x14ac:dyDescent="0.35">
      <c r="A49" s="7" t="s">
        <v>56</v>
      </c>
      <c r="B49" s="7" t="s">
        <v>23</v>
      </c>
      <c r="C49" s="7" t="s">
        <v>75</v>
      </c>
      <c r="D49" s="7" t="s">
        <v>28</v>
      </c>
      <c r="E49" s="8">
        <v>14502.4</v>
      </c>
      <c r="F49" s="8">
        <v>10086.4</v>
      </c>
      <c r="G49" s="9">
        <f t="shared" si="8"/>
        <v>4416</v>
      </c>
      <c r="H49" s="8">
        <v>10009.6</v>
      </c>
      <c r="I49" s="9">
        <f t="shared" si="9"/>
        <v>14088.2</v>
      </c>
      <c r="J49" s="10">
        <f t="shared" si="10"/>
        <v>-7.6142131979695105E-3</v>
      </c>
      <c r="K49" s="10">
        <f t="shared" si="11"/>
        <v>-2.856078993821709E-2</v>
      </c>
      <c r="L49" s="9">
        <f t="shared" si="12"/>
        <v>4078.6000000000004</v>
      </c>
      <c r="M49" s="10">
        <f t="shared" si="13"/>
        <v>-7.6403985507246253E-2</v>
      </c>
      <c r="N49" s="10">
        <f t="shared" si="14"/>
        <v>0.71049530813020823</v>
      </c>
      <c r="O49" s="11" t="str">
        <f t="shared" si="15"/>
        <v>Alcanzable</v>
      </c>
      <c r="P49" s="8">
        <v>9901.85</v>
      </c>
      <c r="Q49" s="8">
        <v>4186.3500000000004</v>
      </c>
    </row>
    <row r="50" spans="1:17" x14ac:dyDescent="0.35">
      <c r="A50" s="7" t="s">
        <v>56</v>
      </c>
      <c r="B50" s="7" t="s">
        <v>23</v>
      </c>
      <c r="C50" s="7" t="s">
        <v>76</v>
      </c>
      <c r="D50" s="7" t="s">
        <v>28</v>
      </c>
      <c r="E50" s="8">
        <v>14395.6</v>
      </c>
      <c r="F50" s="8">
        <v>8606.6</v>
      </c>
      <c r="G50" s="9">
        <f t="shared" si="8"/>
        <v>5789</v>
      </c>
      <c r="H50" s="8">
        <v>8261.4</v>
      </c>
      <c r="I50" s="9">
        <f t="shared" si="9"/>
        <v>15314.420000000002</v>
      </c>
      <c r="J50" s="10">
        <f t="shared" si="10"/>
        <v>-4.0108753747124415E-2</v>
      </c>
      <c r="K50" s="10">
        <f t="shared" si="11"/>
        <v>6.3826446969907469E-2</v>
      </c>
      <c r="L50" s="9">
        <f t="shared" si="12"/>
        <v>7053.0200000000023</v>
      </c>
      <c r="M50" s="10">
        <f t="shared" si="13"/>
        <v>0.21834859215754054</v>
      </c>
      <c r="N50" s="10">
        <f t="shared" si="14"/>
        <v>0.53945235927968538</v>
      </c>
      <c r="O50" s="11" t="str">
        <f t="shared" si="15"/>
        <v>Exigente</v>
      </c>
      <c r="P50" s="8">
        <v>5093.97</v>
      </c>
      <c r="Q50" s="8">
        <v>10220.450000000001</v>
      </c>
    </row>
    <row r="51" spans="1:17" x14ac:dyDescent="0.35">
      <c r="A51" s="7" t="s">
        <v>56</v>
      </c>
      <c r="B51" s="7" t="s">
        <v>23</v>
      </c>
      <c r="C51" s="7" t="s">
        <v>77</v>
      </c>
      <c r="D51" s="7" t="s">
        <v>28</v>
      </c>
      <c r="E51" s="8">
        <v>11000.05</v>
      </c>
      <c r="F51" s="8">
        <v>11000.05</v>
      </c>
      <c r="G51" s="9">
        <f t="shared" si="8"/>
        <v>0</v>
      </c>
      <c r="H51" s="8">
        <v>4732.5</v>
      </c>
      <c r="I51" s="9">
        <f t="shared" si="9"/>
        <v>10065.23</v>
      </c>
      <c r="J51" s="10">
        <f t="shared" si="10"/>
        <v>-0.56977468284235067</v>
      </c>
      <c r="K51" s="10">
        <f t="shared" si="11"/>
        <v>-8.4983250076136052E-2</v>
      </c>
      <c r="L51" s="9">
        <f t="shared" si="12"/>
        <v>5332.73</v>
      </c>
      <c r="M51" s="10" t="str">
        <f t="shared" si="13"/>
        <v>n/a</v>
      </c>
      <c r="N51" s="10">
        <f t="shared" si="14"/>
        <v>0.47018299631503702</v>
      </c>
      <c r="O51" s="11" t="str">
        <f t="shared" si="15"/>
        <v>Sin base 2025</v>
      </c>
      <c r="P51" s="8">
        <v>4681.5600000000004</v>
      </c>
      <c r="Q51" s="8">
        <v>5383.67</v>
      </c>
    </row>
    <row r="52" spans="1:17" x14ac:dyDescent="0.35">
      <c r="A52" s="7" t="s">
        <v>56</v>
      </c>
      <c r="B52" s="7" t="s">
        <v>23</v>
      </c>
      <c r="C52" s="7" t="s">
        <v>78</v>
      </c>
      <c r="D52" s="7" t="s">
        <v>28</v>
      </c>
      <c r="E52" s="8">
        <v>10438</v>
      </c>
      <c r="F52" s="8">
        <v>7489.6</v>
      </c>
      <c r="G52" s="9">
        <f t="shared" si="8"/>
        <v>2948.3999999999996</v>
      </c>
      <c r="H52" s="8">
        <v>9750.6</v>
      </c>
      <c r="I52" s="9">
        <f t="shared" si="9"/>
        <v>12256.31</v>
      </c>
      <c r="J52" s="10">
        <f t="shared" si="10"/>
        <v>0.30188528092287981</v>
      </c>
      <c r="K52" s="10">
        <f t="shared" si="11"/>
        <v>0.17420099635945574</v>
      </c>
      <c r="L52" s="9">
        <f t="shared" si="12"/>
        <v>2505.7099999999991</v>
      </c>
      <c r="M52" s="10">
        <f t="shared" si="13"/>
        <v>-0.15014584181250867</v>
      </c>
      <c r="N52" s="10">
        <f t="shared" si="14"/>
        <v>0.79555755361931946</v>
      </c>
      <c r="O52" s="11" t="str">
        <f t="shared" si="15"/>
        <v>Alcanzable</v>
      </c>
      <c r="P52" s="8">
        <v>9847.64</v>
      </c>
      <c r="Q52" s="8">
        <v>2408.67</v>
      </c>
    </row>
    <row r="53" spans="1:17" x14ac:dyDescent="0.35">
      <c r="A53" s="7" t="s">
        <v>56</v>
      </c>
      <c r="B53" s="7" t="s">
        <v>23</v>
      </c>
      <c r="C53" s="7" t="s">
        <v>79</v>
      </c>
      <c r="D53" s="7" t="s">
        <v>28</v>
      </c>
      <c r="E53" s="8">
        <v>9765.6</v>
      </c>
      <c r="F53" s="8">
        <v>8565.7999999999993</v>
      </c>
      <c r="G53" s="9">
        <f t="shared" si="8"/>
        <v>1199.8000000000011</v>
      </c>
      <c r="H53" s="8">
        <v>1689.2</v>
      </c>
      <c r="I53" s="9">
        <f t="shared" si="9"/>
        <v>5575.67</v>
      </c>
      <c r="J53" s="10">
        <f t="shared" si="10"/>
        <v>-0.80279717014172636</v>
      </c>
      <c r="K53" s="10">
        <f t="shared" si="11"/>
        <v>-0.4290499303678218</v>
      </c>
      <c r="L53" s="9">
        <f t="shared" si="12"/>
        <v>3886.4700000000003</v>
      </c>
      <c r="M53" s="10">
        <f t="shared" si="13"/>
        <v>2.2392648774795774</v>
      </c>
      <c r="N53" s="10">
        <f t="shared" si="14"/>
        <v>0.30295910625987549</v>
      </c>
      <c r="O53" s="11" t="str">
        <f t="shared" si="15"/>
        <v>Poco realista</v>
      </c>
      <c r="P53" s="8">
        <v>1671.02</v>
      </c>
      <c r="Q53" s="8">
        <v>3904.65</v>
      </c>
    </row>
    <row r="54" spans="1:17" x14ac:dyDescent="0.35">
      <c r="A54" s="7" t="s">
        <v>56</v>
      </c>
      <c r="B54" s="7" t="s">
        <v>23</v>
      </c>
      <c r="C54" s="7" t="s">
        <v>80</v>
      </c>
      <c r="D54" s="7" t="s">
        <v>28</v>
      </c>
      <c r="E54" s="8">
        <v>8973.2000000000007</v>
      </c>
      <c r="F54" s="8">
        <v>6182.8</v>
      </c>
      <c r="G54" s="9">
        <f t="shared" si="8"/>
        <v>2790.4000000000005</v>
      </c>
      <c r="H54" s="8">
        <v>2662.4</v>
      </c>
      <c r="I54" s="9">
        <f t="shared" si="9"/>
        <v>5157.68</v>
      </c>
      <c r="J54" s="10">
        <f t="shared" si="10"/>
        <v>-0.56938603868797311</v>
      </c>
      <c r="K54" s="10">
        <f t="shared" si="11"/>
        <v>-0.42521285606026837</v>
      </c>
      <c r="L54" s="9">
        <f t="shared" si="12"/>
        <v>2495.2800000000002</v>
      </c>
      <c r="M54" s="10">
        <f t="shared" si="13"/>
        <v>-0.10576261467889914</v>
      </c>
      <c r="N54" s="10">
        <f t="shared" si="14"/>
        <v>0.51620108265731879</v>
      </c>
      <c r="O54" s="11" t="str">
        <f t="shared" si="15"/>
        <v>Alcanzable</v>
      </c>
      <c r="P54" s="8">
        <v>2633.74</v>
      </c>
      <c r="Q54" s="8">
        <v>2523.94</v>
      </c>
    </row>
    <row r="55" spans="1:17" x14ac:dyDescent="0.35">
      <c r="A55" s="7" t="s">
        <v>56</v>
      </c>
      <c r="B55" s="7" t="s">
        <v>23</v>
      </c>
      <c r="C55" s="7" t="s">
        <v>81</v>
      </c>
      <c r="D55" s="7" t="s">
        <v>72</v>
      </c>
      <c r="E55" s="8">
        <v>4830</v>
      </c>
      <c r="F55" s="8">
        <v>4830</v>
      </c>
      <c r="G55" s="9">
        <f t="shared" si="8"/>
        <v>0</v>
      </c>
      <c r="H55" s="8">
        <v>11272.5</v>
      </c>
      <c r="I55" s="9">
        <f t="shared" si="9"/>
        <v>19155.8</v>
      </c>
      <c r="J55" s="10">
        <f t="shared" si="10"/>
        <v>1.3338509316770186</v>
      </c>
      <c r="K55" s="10">
        <f t="shared" si="11"/>
        <v>2.9660041407867492</v>
      </c>
      <c r="L55" s="9">
        <f t="shared" si="12"/>
        <v>7883.2999999999993</v>
      </c>
      <c r="M55" s="10" t="str">
        <f t="shared" si="13"/>
        <v>n/a</v>
      </c>
      <c r="N55" s="10">
        <f t="shared" si="14"/>
        <v>0.58846406832395415</v>
      </c>
      <c r="O55" s="11" t="str">
        <f t="shared" si="15"/>
        <v>Sin base 2025</v>
      </c>
      <c r="P55" s="8">
        <v>11151.16</v>
      </c>
      <c r="Q55" s="8">
        <v>8004.64</v>
      </c>
    </row>
    <row r="56" spans="1:17" x14ac:dyDescent="0.35">
      <c r="A56" s="7" t="s">
        <v>56</v>
      </c>
      <c r="B56" s="7" t="s">
        <v>23</v>
      </c>
      <c r="C56" s="7" t="s">
        <v>82</v>
      </c>
      <c r="D56" s="7" t="s">
        <v>72</v>
      </c>
      <c r="E56" s="8">
        <v>4636.3999999999996</v>
      </c>
      <c r="F56" s="8">
        <v>2010</v>
      </c>
      <c r="G56" s="9">
        <f t="shared" si="8"/>
        <v>2626.3999999999996</v>
      </c>
      <c r="H56" s="8">
        <v>2010</v>
      </c>
      <c r="I56" s="9">
        <f t="shared" si="9"/>
        <v>4528.99</v>
      </c>
      <c r="J56" s="10">
        <f t="shared" si="10"/>
        <v>0</v>
      </c>
      <c r="K56" s="10">
        <f t="shared" si="11"/>
        <v>-2.3166681045638793E-2</v>
      </c>
      <c r="L56" s="9">
        <f t="shared" si="12"/>
        <v>2518.9899999999998</v>
      </c>
      <c r="M56" s="10">
        <f t="shared" si="13"/>
        <v>-4.0896283886688978E-2</v>
      </c>
      <c r="N56" s="10">
        <f t="shared" si="14"/>
        <v>0.44380755974290076</v>
      </c>
      <c r="O56" s="11" t="str">
        <f t="shared" si="15"/>
        <v>Alcanzable</v>
      </c>
      <c r="P56" s="8">
        <v>1988.36</v>
      </c>
      <c r="Q56" s="8">
        <v>2540.63</v>
      </c>
    </row>
    <row r="57" spans="1:17" x14ac:dyDescent="0.35">
      <c r="A57" s="7" t="s">
        <v>56</v>
      </c>
      <c r="B57" s="7" t="s">
        <v>23</v>
      </c>
      <c r="C57" s="7" t="s">
        <v>83</v>
      </c>
      <c r="D57" s="7" t="s">
        <v>72</v>
      </c>
      <c r="E57" s="8">
        <v>1854</v>
      </c>
      <c r="F57" s="8">
        <v>1854</v>
      </c>
      <c r="G57" s="9">
        <f t="shared" si="8"/>
        <v>0</v>
      </c>
      <c r="H57" s="8">
        <v>17408.599999999999</v>
      </c>
      <c r="I57" s="9">
        <f t="shared" si="9"/>
        <v>15196.24</v>
      </c>
      <c r="J57" s="10">
        <f t="shared" si="10"/>
        <v>8.3897518878101387</v>
      </c>
      <c r="K57" s="10">
        <f t="shared" si="11"/>
        <v>7.1964617044228696</v>
      </c>
      <c r="L57" s="9">
        <f t="shared" si="12"/>
        <v>-2212.3599999999988</v>
      </c>
      <c r="M57" s="10" t="str">
        <f t="shared" si="13"/>
        <v>n/a</v>
      </c>
      <c r="N57" s="10">
        <f t="shared" si="14"/>
        <v>1.1455860133822577</v>
      </c>
      <c r="O57" s="11" t="str">
        <f t="shared" si="15"/>
        <v>Ya cumplido</v>
      </c>
      <c r="P57" s="8">
        <v>15196.24</v>
      </c>
      <c r="Q57" s="8">
        <v>0</v>
      </c>
    </row>
    <row r="58" spans="1:17" x14ac:dyDescent="0.35">
      <c r="A58" s="7" t="s">
        <v>56</v>
      </c>
      <c r="B58" s="7" t="s">
        <v>64</v>
      </c>
      <c r="C58" s="7" t="s">
        <v>84</v>
      </c>
      <c r="D58" s="7" t="s">
        <v>30</v>
      </c>
      <c r="E58" s="8">
        <v>0</v>
      </c>
      <c r="F58" s="8">
        <v>0</v>
      </c>
      <c r="G58" s="9">
        <f t="shared" si="8"/>
        <v>0</v>
      </c>
      <c r="H58" s="8">
        <v>33290.480000000003</v>
      </c>
      <c r="I58" s="9">
        <f t="shared" si="9"/>
        <v>40667.78</v>
      </c>
      <c r="J58" s="10" t="str">
        <f t="shared" si="10"/>
        <v>n/a</v>
      </c>
      <c r="K58" s="10" t="str">
        <f t="shared" si="11"/>
        <v>n/a</v>
      </c>
      <c r="L58" s="9">
        <f t="shared" si="12"/>
        <v>7377.2999999999956</v>
      </c>
      <c r="M58" s="10" t="str">
        <f t="shared" si="13"/>
        <v>n/a</v>
      </c>
      <c r="N58" s="10">
        <f t="shared" si="14"/>
        <v>0.81859594991415818</v>
      </c>
      <c r="O58" s="11" t="str">
        <f t="shared" si="15"/>
        <v>Sin base 2025</v>
      </c>
      <c r="P58" s="8">
        <v>32932.129999999997</v>
      </c>
      <c r="Q58" s="8">
        <v>7735.65</v>
      </c>
    </row>
    <row r="59" spans="1:17" x14ac:dyDescent="0.35">
      <c r="A59" s="7" t="s">
        <v>56</v>
      </c>
      <c r="B59" s="7" t="s">
        <v>85</v>
      </c>
      <c r="C59" s="7" t="s">
        <v>86</v>
      </c>
      <c r="D59" s="7" t="s">
        <v>72</v>
      </c>
      <c r="E59" s="8">
        <v>0</v>
      </c>
      <c r="F59" s="8">
        <v>0</v>
      </c>
      <c r="G59" s="9">
        <f t="shared" si="8"/>
        <v>0</v>
      </c>
      <c r="H59" s="8">
        <v>173931.36</v>
      </c>
      <c r="I59" s="9">
        <f t="shared" si="9"/>
        <v>84515.15</v>
      </c>
      <c r="J59" s="10" t="str">
        <f t="shared" si="10"/>
        <v>n/a</v>
      </c>
      <c r="K59" s="10" t="str">
        <f t="shared" si="11"/>
        <v>n/a</v>
      </c>
      <c r="L59" s="9">
        <f t="shared" si="12"/>
        <v>-89416.209999999992</v>
      </c>
      <c r="M59" s="10" t="str">
        <f t="shared" si="13"/>
        <v>n/a</v>
      </c>
      <c r="N59" s="10">
        <f t="shared" si="14"/>
        <v>2.0579903129793888</v>
      </c>
      <c r="O59" s="11" t="str">
        <f t="shared" si="15"/>
        <v>Ya cumplido</v>
      </c>
      <c r="P59" s="8">
        <v>84515.15</v>
      </c>
      <c r="Q59" s="8">
        <v>0</v>
      </c>
    </row>
    <row r="60" spans="1:17" x14ac:dyDescent="0.35">
      <c r="A60" s="7" t="s">
        <v>87</v>
      </c>
      <c r="B60" s="7" t="s">
        <v>23</v>
      </c>
      <c r="C60" s="7" t="s">
        <v>88</v>
      </c>
      <c r="D60" s="7" t="s">
        <v>25</v>
      </c>
      <c r="E60" s="8">
        <v>506642.05</v>
      </c>
      <c r="F60" s="8">
        <v>361844.56</v>
      </c>
      <c r="G60" s="9">
        <f t="shared" si="8"/>
        <v>144797.49</v>
      </c>
      <c r="H60" s="8">
        <v>462628.99</v>
      </c>
      <c r="I60" s="9">
        <f t="shared" si="9"/>
        <v>563402.10000000009</v>
      </c>
      <c r="J60" s="10">
        <f t="shared" si="10"/>
        <v>0.27852962609138032</v>
      </c>
      <c r="K60" s="10">
        <f t="shared" si="11"/>
        <v>0.11203185760044998</v>
      </c>
      <c r="L60" s="9">
        <f t="shared" si="12"/>
        <v>100773.1100000001</v>
      </c>
      <c r="M60" s="10">
        <f t="shared" si="13"/>
        <v>-0.30404104380538566</v>
      </c>
      <c r="N60" s="10">
        <f t="shared" si="14"/>
        <v>0.82113465675758024</v>
      </c>
      <c r="O60" s="11" t="str">
        <f t="shared" si="15"/>
        <v>Alcanzable</v>
      </c>
      <c r="P60" s="8">
        <v>406805.34</v>
      </c>
      <c r="Q60" s="8">
        <v>156596.76</v>
      </c>
    </row>
    <row r="61" spans="1:17" x14ac:dyDescent="0.35">
      <c r="A61" s="7" t="s">
        <v>87</v>
      </c>
      <c r="B61" s="7" t="s">
        <v>23</v>
      </c>
      <c r="C61" s="7" t="s">
        <v>89</v>
      </c>
      <c r="D61" s="7" t="s">
        <v>25</v>
      </c>
      <c r="E61" s="8">
        <v>209478.85</v>
      </c>
      <c r="F61" s="8">
        <v>102242.15</v>
      </c>
      <c r="G61" s="9">
        <f t="shared" si="8"/>
        <v>107236.70000000001</v>
      </c>
      <c r="H61" s="8">
        <v>103355.2</v>
      </c>
      <c r="I61" s="9">
        <f t="shared" si="9"/>
        <v>236719.82</v>
      </c>
      <c r="J61" s="10">
        <f t="shared" si="10"/>
        <v>1.0886410350330111E-2</v>
      </c>
      <c r="K61" s="10">
        <f t="shared" si="11"/>
        <v>0.13004162472726954</v>
      </c>
      <c r="L61" s="9">
        <f t="shared" si="12"/>
        <v>133364.62</v>
      </c>
      <c r="M61" s="10">
        <f t="shared" si="13"/>
        <v>0.24364718421958131</v>
      </c>
      <c r="N61" s="10">
        <f t="shared" si="14"/>
        <v>0.43661405284948251</v>
      </c>
      <c r="O61" s="11" t="str">
        <f t="shared" si="15"/>
        <v>Exigente</v>
      </c>
      <c r="P61" s="8">
        <v>102242.65</v>
      </c>
      <c r="Q61" s="8">
        <v>134477.17000000001</v>
      </c>
    </row>
    <row r="62" spans="1:17" x14ac:dyDescent="0.35">
      <c r="A62" s="7" t="s">
        <v>87</v>
      </c>
      <c r="B62" s="7" t="s">
        <v>23</v>
      </c>
      <c r="C62" s="7" t="s">
        <v>90</v>
      </c>
      <c r="D62" s="7" t="s">
        <v>25</v>
      </c>
      <c r="E62" s="8">
        <v>172740.98</v>
      </c>
      <c r="F62" s="8">
        <v>132574.78</v>
      </c>
      <c r="G62" s="9">
        <f t="shared" si="8"/>
        <v>40166.200000000012</v>
      </c>
      <c r="H62" s="8">
        <v>187449.09</v>
      </c>
      <c r="I62" s="9">
        <f t="shared" si="9"/>
        <v>213619.61000000002</v>
      </c>
      <c r="J62" s="10">
        <f t="shared" si="10"/>
        <v>0.41391213321266673</v>
      </c>
      <c r="K62" s="10">
        <f t="shared" si="11"/>
        <v>0.23664697282601965</v>
      </c>
      <c r="L62" s="9">
        <f t="shared" si="12"/>
        <v>26170.520000000019</v>
      </c>
      <c r="M62" s="10">
        <f t="shared" si="13"/>
        <v>-0.34844421428962635</v>
      </c>
      <c r="N62" s="10">
        <f t="shared" si="14"/>
        <v>0.87749008623318792</v>
      </c>
      <c r="O62" s="11" t="str">
        <f t="shared" si="15"/>
        <v>Alcanzable</v>
      </c>
      <c r="P62" s="8">
        <v>155685.20000000001</v>
      </c>
      <c r="Q62" s="8">
        <v>57934.41</v>
      </c>
    </row>
    <row r="63" spans="1:17" x14ac:dyDescent="0.35">
      <c r="A63" s="7" t="s">
        <v>87</v>
      </c>
      <c r="B63" s="7" t="s">
        <v>23</v>
      </c>
      <c r="C63" s="7" t="s">
        <v>91</v>
      </c>
      <c r="D63" s="7" t="s">
        <v>30</v>
      </c>
      <c r="E63" s="8">
        <v>41604.400000000001</v>
      </c>
      <c r="F63" s="8">
        <v>24674.400000000001</v>
      </c>
      <c r="G63" s="9">
        <f t="shared" si="8"/>
        <v>16930</v>
      </c>
      <c r="H63" s="8">
        <v>26347.8</v>
      </c>
      <c r="I63" s="9">
        <f t="shared" si="9"/>
        <v>40983.22</v>
      </c>
      <c r="J63" s="10">
        <f t="shared" si="10"/>
        <v>6.7819278280322859E-2</v>
      </c>
      <c r="K63" s="10">
        <f t="shared" si="11"/>
        <v>-1.4930632336964345E-2</v>
      </c>
      <c r="L63" s="9">
        <f t="shared" si="12"/>
        <v>14635.420000000002</v>
      </c>
      <c r="M63" s="10">
        <f t="shared" si="13"/>
        <v>-0.1355333727111635</v>
      </c>
      <c r="N63" s="10">
        <f t="shared" si="14"/>
        <v>0.64289238376096358</v>
      </c>
      <c r="O63" s="11" t="str">
        <f t="shared" si="15"/>
        <v>Alcanzable</v>
      </c>
      <c r="P63" s="8">
        <v>22776.76</v>
      </c>
      <c r="Q63" s="8">
        <v>18206.46</v>
      </c>
    </row>
    <row r="64" spans="1:17" x14ac:dyDescent="0.35">
      <c r="A64" s="7" t="s">
        <v>87</v>
      </c>
      <c r="B64" s="7" t="s">
        <v>23</v>
      </c>
      <c r="C64" s="7" t="s">
        <v>92</v>
      </c>
      <c r="D64" s="7" t="s">
        <v>28</v>
      </c>
      <c r="E64" s="8">
        <v>5070.3999999999996</v>
      </c>
      <c r="F64" s="8">
        <v>5070.3999999999996</v>
      </c>
      <c r="G64" s="9">
        <f t="shared" si="8"/>
        <v>0</v>
      </c>
      <c r="H64" s="8">
        <v>1875.2</v>
      </c>
      <c r="I64" s="9">
        <f t="shared" si="9"/>
        <v>1855.01</v>
      </c>
      <c r="J64" s="10">
        <f t="shared" si="10"/>
        <v>-0.63016724518775635</v>
      </c>
      <c r="K64" s="10">
        <f t="shared" si="11"/>
        <v>-0.63414917955190908</v>
      </c>
      <c r="L64" s="9">
        <f t="shared" si="12"/>
        <v>-20.190000000000055</v>
      </c>
      <c r="M64" s="10" t="str">
        <f t="shared" si="13"/>
        <v>n/a</v>
      </c>
      <c r="N64" s="10">
        <f t="shared" si="14"/>
        <v>1.0108840383609792</v>
      </c>
      <c r="O64" s="11" t="str">
        <f t="shared" si="15"/>
        <v>Ya cumplido</v>
      </c>
      <c r="P64" s="8">
        <v>1855.01</v>
      </c>
      <c r="Q64" s="8">
        <v>0</v>
      </c>
    </row>
    <row r="65" spans="1:17" x14ac:dyDescent="0.35">
      <c r="A65" s="7" t="s">
        <v>87</v>
      </c>
      <c r="B65" s="7" t="s">
        <v>23</v>
      </c>
      <c r="C65" s="7" t="s">
        <v>93</v>
      </c>
      <c r="D65" s="7" t="s">
        <v>28</v>
      </c>
      <c r="E65" s="8">
        <v>4176</v>
      </c>
      <c r="F65" s="8">
        <v>2316</v>
      </c>
      <c r="G65" s="9">
        <f t="shared" si="8"/>
        <v>1860</v>
      </c>
      <c r="H65" s="8">
        <v>15294</v>
      </c>
      <c r="I65" s="9">
        <f t="shared" si="9"/>
        <v>15129.37</v>
      </c>
      <c r="J65" s="10">
        <f t="shared" si="10"/>
        <v>5.6036269430051817</v>
      </c>
      <c r="K65" s="10">
        <f t="shared" si="11"/>
        <v>2.622933429118774</v>
      </c>
      <c r="L65" s="9">
        <f t="shared" si="12"/>
        <v>-164.6299999999992</v>
      </c>
      <c r="M65" s="10">
        <f t="shared" si="13"/>
        <v>-1.0885107526881717</v>
      </c>
      <c r="N65" s="10">
        <f t="shared" si="14"/>
        <v>1.0108814841596179</v>
      </c>
      <c r="O65" s="11" t="str">
        <f t="shared" si="15"/>
        <v>Ya cumplido</v>
      </c>
      <c r="P65" s="8">
        <v>15129.37</v>
      </c>
      <c r="Q65" s="8">
        <v>0</v>
      </c>
    </row>
    <row r="66" spans="1:17" x14ac:dyDescent="0.35">
      <c r="A66" s="7" t="s">
        <v>94</v>
      </c>
      <c r="B66" s="7" t="s">
        <v>23</v>
      </c>
      <c r="C66" s="7" t="s">
        <v>95</v>
      </c>
      <c r="D66" s="7" t="s">
        <v>25</v>
      </c>
      <c r="E66" s="8">
        <v>408820.38</v>
      </c>
      <c r="F66" s="8">
        <v>369209.13</v>
      </c>
      <c r="G66" s="9">
        <f t="shared" si="8"/>
        <v>39611.25</v>
      </c>
      <c r="H66" s="8">
        <v>277965.34000000003</v>
      </c>
      <c r="I66" s="9">
        <f t="shared" si="9"/>
        <v>304549.96999999997</v>
      </c>
      <c r="J66" s="10">
        <f t="shared" si="10"/>
        <v>-0.24713308145982193</v>
      </c>
      <c r="K66" s="10">
        <f t="shared" si="11"/>
        <v>-0.25505188855800198</v>
      </c>
      <c r="L66" s="9">
        <f t="shared" si="12"/>
        <v>26584.629999999946</v>
      </c>
      <c r="M66" s="10">
        <f t="shared" si="13"/>
        <v>-0.32886162390735085</v>
      </c>
      <c r="N66" s="10">
        <f t="shared" si="14"/>
        <v>0.91270847933427823</v>
      </c>
      <c r="O66" s="11" t="str">
        <f t="shared" si="15"/>
        <v>Alcanzable</v>
      </c>
      <c r="P66" s="8">
        <v>279156.11</v>
      </c>
      <c r="Q66" s="8">
        <v>25393.86</v>
      </c>
    </row>
    <row r="67" spans="1:17" x14ac:dyDescent="0.35">
      <c r="A67" s="7" t="s">
        <v>94</v>
      </c>
      <c r="B67" s="7" t="s">
        <v>23</v>
      </c>
      <c r="C67" s="7" t="s">
        <v>96</v>
      </c>
      <c r="D67" s="7" t="s">
        <v>25</v>
      </c>
      <c r="E67" s="8">
        <v>214034.12</v>
      </c>
      <c r="F67" s="8">
        <v>180003.47</v>
      </c>
      <c r="G67" s="9">
        <f t="shared" si="8"/>
        <v>34030.649999999994</v>
      </c>
      <c r="H67" s="8">
        <v>216592.69</v>
      </c>
      <c r="I67" s="9">
        <f t="shared" si="9"/>
        <v>269425.81</v>
      </c>
      <c r="J67" s="10">
        <f t="shared" si="10"/>
        <v>0.20326952585969593</v>
      </c>
      <c r="K67" s="10">
        <f t="shared" si="11"/>
        <v>0.25879841027215655</v>
      </c>
      <c r="L67" s="9">
        <f t="shared" si="12"/>
        <v>52833.119999999995</v>
      </c>
      <c r="M67" s="10">
        <f t="shared" si="13"/>
        <v>0.55251574683410398</v>
      </c>
      <c r="N67" s="10">
        <f t="shared" si="14"/>
        <v>0.80390475582127785</v>
      </c>
      <c r="O67" s="11" t="str">
        <f t="shared" si="15"/>
        <v>Poco realista</v>
      </c>
      <c r="P67" s="8">
        <v>204447.27</v>
      </c>
      <c r="Q67" s="8">
        <v>64978.54</v>
      </c>
    </row>
    <row r="68" spans="1:17" x14ac:dyDescent="0.35">
      <c r="A68" s="7" t="s">
        <v>94</v>
      </c>
      <c r="B68" s="7" t="s">
        <v>23</v>
      </c>
      <c r="C68" s="7" t="s">
        <v>97</v>
      </c>
      <c r="D68" s="7" t="s">
        <v>25</v>
      </c>
      <c r="E68" s="8">
        <v>150284.62</v>
      </c>
      <c r="F68" s="8">
        <v>112830.48</v>
      </c>
      <c r="G68" s="9">
        <f t="shared" si="8"/>
        <v>37454.14</v>
      </c>
      <c r="H68" s="8">
        <v>113996.99</v>
      </c>
      <c r="I68" s="9">
        <f t="shared" si="9"/>
        <v>160792.91999999998</v>
      </c>
      <c r="J68" s="10">
        <f t="shared" si="10"/>
        <v>1.0338607085603302E-2</v>
      </c>
      <c r="K68" s="10">
        <f t="shared" si="11"/>
        <v>6.9922657421630952E-2</v>
      </c>
      <c r="L68" s="9">
        <f t="shared" si="12"/>
        <v>46795.929999999978</v>
      </c>
      <c r="M68" s="10">
        <f t="shared" si="13"/>
        <v>0.24941942332676659</v>
      </c>
      <c r="N68" s="10">
        <f t="shared" si="14"/>
        <v>0.70896772071805159</v>
      </c>
      <c r="O68" s="11" t="str">
        <f t="shared" si="15"/>
        <v>Exigente</v>
      </c>
      <c r="P68" s="8">
        <v>95306.64</v>
      </c>
      <c r="Q68" s="8">
        <v>65486.28</v>
      </c>
    </row>
    <row r="69" spans="1:17" x14ac:dyDescent="0.35">
      <c r="A69" s="7" t="s">
        <v>94</v>
      </c>
      <c r="B69" s="7" t="s">
        <v>23</v>
      </c>
      <c r="C69" s="7" t="s">
        <v>98</v>
      </c>
      <c r="D69" s="7" t="s">
        <v>25</v>
      </c>
      <c r="E69" s="8">
        <v>147131.01</v>
      </c>
      <c r="F69" s="8">
        <v>100746</v>
      </c>
      <c r="G69" s="9">
        <f t="shared" si="8"/>
        <v>46385.010000000009</v>
      </c>
      <c r="H69" s="8">
        <v>118112.76</v>
      </c>
      <c r="I69" s="9">
        <f t="shared" si="9"/>
        <v>145846.01999999999</v>
      </c>
      <c r="J69" s="10">
        <f t="shared" si="10"/>
        <v>0.17238163301768794</v>
      </c>
      <c r="K69" s="10">
        <f t="shared" si="11"/>
        <v>-8.7336449331790744E-3</v>
      </c>
      <c r="L69" s="9">
        <f t="shared" si="12"/>
        <v>27733.259999999995</v>
      </c>
      <c r="M69" s="10">
        <f t="shared" si="13"/>
        <v>-0.40210727560477</v>
      </c>
      <c r="N69" s="10">
        <f t="shared" si="14"/>
        <v>0.80984561663047094</v>
      </c>
      <c r="O69" s="11" t="str">
        <f t="shared" si="15"/>
        <v>Alcanzable</v>
      </c>
      <c r="P69" s="8">
        <v>80837.899999999994</v>
      </c>
      <c r="Q69" s="8">
        <v>65008.12</v>
      </c>
    </row>
    <row r="70" spans="1:17" x14ac:dyDescent="0.35">
      <c r="A70" s="7" t="s">
        <v>94</v>
      </c>
      <c r="B70" s="7" t="s">
        <v>23</v>
      </c>
      <c r="C70" s="7" t="s">
        <v>99</v>
      </c>
      <c r="D70" s="7" t="s">
        <v>25</v>
      </c>
      <c r="E70" s="8">
        <v>127878.78</v>
      </c>
      <c r="F70" s="8">
        <v>119574.42</v>
      </c>
      <c r="G70" s="9">
        <f t="shared" si="8"/>
        <v>8304.36</v>
      </c>
      <c r="H70" s="8">
        <v>76666.8</v>
      </c>
      <c r="I70" s="9">
        <f t="shared" si="9"/>
        <v>111532.92</v>
      </c>
      <c r="J70" s="10">
        <f t="shared" si="10"/>
        <v>-0.35883611227217327</v>
      </c>
      <c r="K70" s="10">
        <f t="shared" si="11"/>
        <v>-0.12782308370473972</v>
      </c>
      <c r="L70" s="9">
        <f t="shared" si="12"/>
        <v>34866.119999999995</v>
      </c>
      <c r="M70" s="10">
        <f t="shared" si="13"/>
        <v>3.1985318555553945</v>
      </c>
      <c r="N70" s="10">
        <f t="shared" si="14"/>
        <v>0.68739166875573599</v>
      </c>
      <c r="O70" s="11" t="str">
        <f t="shared" si="15"/>
        <v>Poco realista</v>
      </c>
      <c r="P70" s="8">
        <v>80631.899999999994</v>
      </c>
      <c r="Q70" s="8">
        <v>30901.02</v>
      </c>
    </row>
    <row r="71" spans="1:17" x14ac:dyDescent="0.35">
      <c r="A71" s="7" t="s">
        <v>100</v>
      </c>
      <c r="B71" s="7" t="s">
        <v>101</v>
      </c>
      <c r="C71" s="7" t="s">
        <v>102</v>
      </c>
      <c r="D71" s="7" t="s">
        <v>25</v>
      </c>
      <c r="E71" s="8">
        <v>459524.42</v>
      </c>
      <c r="F71" s="8">
        <v>459524.42</v>
      </c>
      <c r="G71" s="9">
        <f t="shared" si="8"/>
        <v>0</v>
      </c>
      <c r="H71" s="8">
        <v>819683.65</v>
      </c>
      <c r="I71" s="9">
        <f t="shared" si="9"/>
        <v>923120.82000000007</v>
      </c>
      <c r="J71" s="10">
        <f t="shared" si="10"/>
        <v>0.78376515877001718</v>
      </c>
      <c r="K71" s="10">
        <f t="shared" si="11"/>
        <v>1.0088612918547399</v>
      </c>
      <c r="L71" s="9">
        <f t="shared" si="12"/>
        <v>103437.17000000004</v>
      </c>
      <c r="M71" s="10" t="str">
        <f t="shared" si="13"/>
        <v>n/a</v>
      </c>
      <c r="N71" s="10">
        <f t="shared" si="14"/>
        <v>0.88794839444743534</v>
      </c>
      <c r="O71" s="11" t="str">
        <f t="shared" si="15"/>
        <v>Sin base 2025</v>
      </c>
      <c r="P71" s="8">
        <v>819004.91</v>
      </c>
      <c r="Q71" s="8">
        <v>104115.91</v>
      </c>
    </row>
    <row r="72" spans="1:17" x14ac:dyDescent="0.35">
      <c r="A72" s="7" t="s">
        <v>100</v>
      </c>
      <c r="B72" s="7" t="s">
        <v>103</v>
      </c>
      <c r="C72" s="7" t="s">
        <v>104</v>
      </c>
      <c r="D72" s="7" t="s">
        <v>30</v>
      </c>
      <c r="E72" s="8">
        <v>282165</v>
      </c>
      <c r="F72" s="8">
        <v>282165</v>
      </c>
      <c r="G72" s="9">
        <f t="shared" ref="G72:G103" si="16">E72-F72</f>
        <v>0</v>
      </c>
      <c r="H72" s="8">
        <v>0</v>
      </c>
      <c r="I72" s="9">
        <f t="shared" ref="I72:I103" si="17">P72+Q72</f>
        <v>92074.13</v>
      </c>
      <c r="J72" s="10">
        <f t="shared" ref="J72:J103" si="18">IF(F72&lt;=0,"n/a",H72/F72-1)</f>
        <v>-1</v>
      </c>
      <c r="K72" s="10">
        <f t="shared" ref="K72:K103" si="19">IF(E72&lt;=0,"n/a",I72/E72-1)</f>
        <v>-0.67368692077330639</v>
      </c>
      <c r="L72" s="9">
        <f t="shared" ref="L72:L103" si="20">IF(I72=0,0,I72-H72)</f>
        <v>92074.13</v>
      </c>
      <c r="M72" s="10" t="str">
        <f t="shared" ref="M72:M103" si="21">IF(OR(I72=0,G72&lt;=0),"n/a",L72/G72-1)</f>
        <v>n/a</v>
      </c>
      <c r="N72" s="10">
        <f t="shared" ref="N72:N103" si="22">IF(I72=0,"n/a",H72/I72)</f>
        <v>0</v>
      </c>
      <c r="O72" s="11" t="str">
        <f t="shared" ref="O72:O103" si="23">IF(I72=0,"Sin estimación",IF(L72&lt;=0,"Ya cumplido",IF(G72&lt;=0,"Sin base 2025",IF(M72&lt;=$E$4,"Alcanzable",IF(M72&lt;=$E$5,"Exigente","Poco realista")))))</f>
        <v>Sin base 2025</v>
      </c>
      <c r="P72" s="8">
        <v>0</v>
      </c>
      <c r="Q72" s="8">
        <v>92074.13</v>
      </c>
    </row>
    <row r="73" spans="1:17" x14ac:dyDescent="0.35">
      <c r="A73" s="7" t="s">
        <v>100</v>
      </c>
      <c r="B73" s="7" t="s">
        <v>105</v>
      </c>
      <c r="C73" s="7" t="s">
        <v>106</v>
      </c>
      <c r="D73" s="7" t="s">
        <v>30</v>
      </c>
      <c r="E73" s="8">
        <v>62013.56</v>
      </c>
      <c r="F73" s="8">
        <v>42008.46</v>
      </c>
      <c r="G73" s="9">
        <f t="shared" si="16"/>
        <v>20005.099999999999</v>
      </c>
      <c r="H73" s="8">
        <v>29335.84</v>
      </c>
      <c r="I73" s="9">
        <f t="shared" si="17"/>
        <v>58024.38</v>
      </c>
      <c r="J73" s="10">
        <f t="shared" si="18"/>
        <v>-0.30166828300775606</v>
      </c>
      <c r="K73" s="10">
        <f t="shared" si="19"/>
        <v>-6.4327543846861901E-2</v>
      </c>
      <c r="L73" s="9">
        <f t="shared" si="20"/>
        <v>28688.539999999997</v>
      </c>
      <c r="M73" s="10">
        <f t="shared" si="21"/>
        <v>0.43406131436483686</v>
      </c>
      <c r="N73" s="10">
        <f t="shared" si="22"/>
        <v>0.50557782780272709</v>
      </c>
      <c r="O73" s="11" t="str">
        <f t="shared" si="23"/>
        <v>Poco realista</v>
      </c>
      <c r="P73" s="8">
        <v>30355.53</v>
      </c>
      <c r="Q73" s="8">
        <v>27668.85</v>
      </c>
    </row>
    <row r="74" spans="1:17" x14ac:dyDescent="0.35">
      <c r="A74" s="7" t="s">
        <v>100</v>
      </c>
      <c r="B74" s="7" t="s">
        <v>107</v>
      </c>
      <c r="C74" s="7" t="s">
        <v>108</v>
      </c>
      <c r="D74" s="7" t="s">
        <v>30</v>
      </c>
      <c r="E74" s="8">
        <v>0</v>
      </c>
      <c r="F74" s="8">
        <v>0</v>
      </c>
      <c r="G74" s="9">
        <f t="shared" si="16"/>
        <v>0</v>
      </c>
      <c r="H74" s="8">
        <v>112411.32</v>
      </c>
      <c r="I74" s="9">
        <f t="shared" si="17"/>
        <v>250920.12</v>
      </c>
      <c r="J74" s="10" t="str">
        <f t="shared" si="18"/>
        <v>n/a</v>
      </c>
      <c r="K74" s="10" t="str">
        <f t="shared" si="19"/>
        <v>n/a</v>
      </c>
      <c r="L74" s="9">
        <f t="shared" si="20"/>
        <v>138508.79999999999</v>
      </c>
      <c r="M74" s="10" t="str">
        <f t="shared" si="21"/>
        <v>n/a</v>
      </c>
      <c r="N74" s="10">
        <f t="shared" si="22"/>
        <v>0.44799643806961359</v>
      </c>
      <c r="O74" s="11" t="str">
        <f t="shared" si="23"/>
        <v>Sin base 2025</v>
      </c>
      <c r="P74" s="8">
        <v>119138.8</v>
      </c>
      <c r="Q74" s="8">
        <v>131781.32</v>
      </c>
    </row>
    <row r="75" spans="1:17" x14ac:dyDescent="0.35">
      <c r="A75" s="7" t="s">
        <v>100</v>
      </c>
      <c r="B75" s="7" t="s">
        <v>103</v>
      </c>
      <c r="C75" s="7" t="s">
        <v>109</v>
      </c>
      <c r="D75" s="7" t="s">
        <v>25</v>
      </c>
      <c r="E75" s="8">
        <v>0</v>
      </c>
      <c r="F75" s="8">
        <v>0</v>
      </c>
      <c r="G75" s="9">
        <f t="shared" si="16"/>
        <v>0</v>
      </c>
      <c r="H75" s="8">
        <v>406460</v>
      </c>
      <c r="I75" s="9">
        <f t="shared" si="17"/>
        <v>480110.5</v>
      </c>
      <c r="J75" s="10" t="str">
        <f t="shared" si="18"/>
        <v>n/a</v>
      </c>
      <c r="K75" s="10" t="str">
        <f t="shared" si="19"/>
        <v>n/a</v>
      </c>
      <c r="L75" s="9">
        <f t="shared" si="20"/>
        <v>73650.5</v>
      </c>
      <c r="M75" s="10" t="str">
        <f t="shared" si="21"/>
        <v>n/a</v>
      </c>
      <c r="N75" s="10">
        <f t="shared" si="22"/>
        <v>0.84659677303454106</v>
      </c>
      <c r="O75" s="11" t="str">
        <f t="shared" si="23"/>
        <v>Sin base 2025</v>
      </c>
      <c r="P75" s="8">
        <v>402084.73</v>
      </c>
      <c r="Q75" s="8">
        <v>78025.77</v>
      </c>
    </row>
    <row r="76" spans="1:17" x14ac:dyDescent="0.35">
      <c r="A76" s="7" t="s">
        <v>110</v>
      </c>
      <c r="B76" s="7" t="s">
        <v>23</v>
      </c>
      <c r="C76" s="7" t="s">
        <v>111</v>
      </c>
      <c r="D76" s="7" t="s">
        <v>25</v>
      </c>
      <c r="E76" s="8">
        <v>858835.79</v>
      </c>
      <c r="F76" s="8">
        <v>751190.69</v>
      </c>
      <c r="G76" s="9">
        <f t="shared" si="16"/>
        <v>107645.10000000009</v>
      </c>
      <c r="H76" s="8">
        <v>697604.96</v>
      </c>
      <c r="I76" s="9">
        <f t="shared" si="17"/>
        <v>801606.76</v>
      </c>
      <c r="J76" s="10">
        <f t="shared" si="18"/>
        <v>-7.1334390472810538E-2</v>
      </c>
      <c r="K76" s="10">
        <f t="shared" si="19"/>
        <v>-6.6635590489306451E-2</v>
      </c>
      <c r="L76" s="9">
        <f t="shared" si="20"/>
        <v>104001.80000000005</v>
      </c>
      <c r="M76" s="10">
        <f t="shared" si="21"/>
        <v>-3.3845479264732359E-2</v>
      </c>
      <c r="N76" s="10">
        <f t="shared" si="22"/>
        <v>0.8702583296577987</v>
      </c>
      <c r="O76" s="11" t="str">
        <f t="shared" si="23"/>
        <v>Alcanzable</v>
      </c>
      <c r="P76" s="8">
        <v>693588.2</v>
      </c>
      <c r="Q76" s="8">
        <v>108018.56</v>
      </c>
    </row>
    <row r="77" spans="1:17" x14ac:dyDescent="0.35">
      <c r="A77" s="7" t="s">
        <v>110</v>
      </c>
      <c r="B77" s="7" t="s">
        <v>23</v>
      </c>
      <c r="C77" s="7" t="s">
        <v>112</v>
      </c>
      <c r="D77" s="7" t="s">
        <v>25</v>
      </c>
      <c r="E77" s="8">
        <v>411487.46</v>
      </c>
      <c r="F77" s="8">
        <v>304265.26</v>
      </c>
      <c r="G77" s="9">
        <f t="shared" si="16"/>
        <v>107222.20000000001</v>
      </c>
      <c r="H77" s="8">
        <v>207857.2</v>
      </c>
      <c r="I77" s="9">
        <f t="shared" si="17"/>
        <v>315680.23</v>
      </c>
      <c r="J77" s="10">
        <f t="shared" si="18"/>
        <v>-0.31685529922147537</v>
      </c>
      <c r="K77" s="10">
        <f t="shared" si="19"/>
        <v>-0.23283146951792899</v>
      </c>
      <c r="L77" s="9">
        <f t="shared" si="20"/>
        <v>107823.02999999997</v>
      </c>
      <c r="M77" s="10">
        <f t="shared" si="21"/>
        <v>5.6035970162890969E-3</v>
      </c>
      <c r="N77" s="10">
        <f t="shared" si="22"/>
        <v>0.65844224708021792</v>
      </c>
      <c r="O77" s="11" t="str">
        <f t="shared" si="23"/>
        <v>Alcanzable</v>
      </c>
      <c r="P77" s="8">
        <v>192467.08</v>
      </c>
      <c r="Q77" s="8">
        <v>123213.15</v>
      </c>
    </row>
    <row r="78" spans="1:17" x14ac:dyDescent="0.35">
      <c r="A78" s="7" t="s">
        <v>110</v>
      </c>
      <c r="B78" s="7" t="s">
        <v>23</v>
      </c>
      <c r="C78" s="7" t="s">
        <v>113</v>
      </c>
      <c r="D78" s="7" t="s">
        <v>25</v>
      </c>
      <c r="E78" s="8">
        <v>80118.789999999994</v>
      </c>
      <c r="F78" s="8">
        <v>67945.990000000005</v>
      </c>
      <c r="G78" s="9">
        <f t="shared" si="16"/>
        <v>12172.799999999988</v>
      </c>
      <c r="H78" s="8">
        <v>73999.8</v>
      </c>
      <c r="I78" s="9">
        <f t="shared" si="17"/>
        <v>110571.5</v>
      </c>
      <c r="J78" s="10">
        <f t="shared" si="18"/>
        <v>8.9097384554997161E-2</v>
      </c>
      <c r="K78" s="10">
        <f t="shared" si="19"/>
        <v>0.38009448220573483</v>
      </c>
      <c r="L78" s="9">
        <f t="shared" si="20"/>
        <v>36571.699999999997</v>
      </c>
      <c r="M78" s="10">
        <f t="shared" si="21"/>
        <v>2.0043786146161962</v>
      </c>
      <c r="N78" s="10">
        <f t="shared" si="22"/>
        <v>0.6692484048782914</v>
      </c>
      <c r="O78" s="11" t="str">
        <f t="shared" si="23"/>
        <v>Poco realista</v>
      </c>
      <c r="P78" s="8">
        <v>67144.37</v>
      </c>
      <c r="Q78" s="8">
        <v>43427.13</v>
      </c>
    </row>
    <row r="79" spans="1:17" x14ac:dyDescent="0.35">
      <c r="A79" s="7" t="s">
        <v>114</v>
      </c>
      <c r="B79" s="7" t="s">
        <v>115</v>
      </c>
      <c r="C79" s="7" t="s">
        <v>116</v>
      </c>
      <c r="D79" s="7" t="s">
        <v>25</v>
      </c>
      <c r="E79" s="8">
        <v>1533840</v>
      </c>
      <c r="F79" s="8">
        <v>1533840</v>
      </c>
      <c r="G79" s="9">
        <f t="shared" si="16"/>
        <v>0</v>
      </c>
      <c r="H79" s="8">
        <v>1380024.8</v>
      </c>
      <c r="I79" s="9">
        <f t="shared" si="17"/>
        <v>1657152.57</v>
      </c>
      <c r="J79" s="10">
        <f t="shared" si="18"/>
        <v>-0.10028112449799198</v>
      </c>
      <c r="K79" s="10">
        <f t="shared" si="19"/>
        <v>8.0394676107025553E-2</v>
      </c>
      <c r="L79" s="9">
        <f t="shared" si="20"/>
        <v>277127.77</v>
      </c>
      <c r="M79" s="10" t="str">
        <f t="shared" si="21"/>
        <v>n/a</v>
      </c>
      <c r="N79" s="10">
        <f t="shared" si="22"/>
        <v>0.83276870517721857</v>
      </c>
      <c r="O79" s="11" t="str">
        <f t="shared" si="23"/>
        <v>Sin base 2025</v>
      </c>
      <c r="P79" s="8">
        <v>1365169.76</v>
      </c>
      <c r="Q79" s="8">
        <v>291982.81</v>
      </c>
    </row>
    <row r="80" spans="1:17" x14ac:dyDescent="0.35">
      <c r="A80" s="7" t="s">
        <v>114</v>
      </c>
      <c r="B80" s="7" t="s">
        <v>117</v>
      </c>
      <c r="C80" s="7" t="s">
        <v>118</v>
      </c>
      <c r="D80" s="7" t="s">
        <v>30</v>
      </c>
      <c r="E80" s="8">
        <v>487601.64</v>
      </c>
      <c r="F80" s="8">
        <v>315999.71999999997</v>
      </c>
      <c r="G80" s="9">
        <f t="shared" si="16"/>
        <v>171601.92000000004</v>
      </c>
      <c r="H80" s="8">
        <v>288413.2</v>
      </c>
      <c r="I80" s="9">
        <f t="shared" si="17"/>
        <v>625552.3899999999</v>
      </c>
      <c r="J80" s="10">
        <f t="shared" si="18"/>
        <v>-8.729919127776431E-2</v>
      </c>
      <c r="K80" s="10">
        <f t="shared" si="19"/>
        <v>0.28291691143614672</v>
      </c>
      <c r="L80" s="9">
        <f t="shared" si="20"/>
        <v>337139.18999999989</v>
      </c>
      <c r="M80" s="10">
        <f t="shared" si="21"/>
        <v>0.96465861221133076</v>
      </c>
      <c r="N80" s="10">
        <f t="shared" si="22"/>
        <v>0.46105362973675162</v>
      </c>
      <c r="O80" s="11" t="str">
        <f t="shared" si="23"/>
        <v>Poco realista</v>
      </c>
      <c r="P80" s="8">
        <v>292599.28999999998</v>
      </c>
      <c r="Q80" s="8">
        <v>332953.09999999998</v>
      </c>
    </row>
    <row r="81" spans="1:17" x14ac:dyDescent="0.35">
      <c r="A81" s="7" t="s">
        <v>114</v>
      </c>
      <c r="B81" s="7" t="s">
        <v>119</v>
      </c>
      <c r="C81" s="7" t="s">
        <v>120</v>
      </c>
      <c r="D81" s="7" t="s">
        <v>25</v>
      </c>
      <c r="E81" s="8">
        <v>383741</v>
      </c>
      <c r="F81" s="8">
        <v>280365</v>
      </c>
      <c r="G81" s="9">
        <f t="shared" si="16"/>
        <v>103376</v>
      </c>
      <c r="H81" s="8">
        <v>297687.15000000002</v>
      </c>
      <c r="I81" s="9">
        <f t="shared" si="17"/>
        <v>511846.54</v>
      </c>
      <c r="J81" s="10">
        <f t="shared" si="18"/>
        <v>6.1784281204858127E-2</v>
      </c>
      <c r="K81" s="10">
        <f t="shared" si="19"/>
        <v>0.3338333407167855</v>
      </c>
      <c r="L81" s="9">
        <f t="shared" si="20"/>
        <v>214159.38999999996</v>
      </c>
      <c r="M81" s="10">
        <f t="shared" si="21"/>
        <v>1.0716548328432127</v>
      </c>
      <c r="N81" s="10">
        <f t="shared" si="22"/>
        <v>0.58159453417424689</v>
      </c>
      <c r="O81" s="11" t="str">
        <f t="shared" si="23"/>
        <v>Poco realista</v>
      </c>
      <c r="P81" s="8">
        <v>236307.63</v>
      </c>
      <c r="Q81" s="8">
        <v>275538.90999999997</v>
      </c>
    </row>
    <row r="82" spans="1:17" x14ac:dyDescent="0.35">
      <c r="A82" s="7" t="s">
        <v>114</v>
      </c>
      <c r="B82" s="7" t="s">
        <v>121</v>
      </c>
      <c r="C82" s="7" t="s">
        <v>122</v>
      </c>
      <c r="D82" s="7" t="s">
        <v>25</v>
      </c>
      <c r="E82" s="8">
        <v>346873.36</v>
      </c>
      <c r="F82" s="8">
        <v>250544.88</v>
      </c>
      <c r="G82" s="9">
        <f t="shared" si="16"/>
        <v>96328.479999999981</v>
      </c>
      <c r="H82" s="8">
        <v>214577.36</v>
      </c>
      <c r="I82" s="9">
        <f t="shared" si="17"/>
        <v>308762.14</v>
      </c>
      <c r="J82" s="10">
        <f t="shared" si="18"/>
        <v>-0.14355719422404489</v>
      </c>
      <c r="K82" s="10">
        <f t="shared" si="19"/>
        <v>-0.10987070324455006</v>
      </c>
      <c r="L82" s="9">
        <f t="shared" si="20"/>
        <v>94184.780000000028</v>
      </c>
      <c r="M82" s="10">
        <f t="shared" si="21"/>
        <v>-2.2254062349991943E-2</v>
      </c>
      <c r="N82" s="10">
        <f t="shared" si="22"/>
        <v>0.694960075092108</v>
      </c>
      <c r="O82" s="11" t="str">
        <f t="shared" si="23"/>
        <v>Alcanzable</v>
      </c>
      <c r="P82" s="8">
        <v>212267.58</v>
      </c>
      <c r="Q82" s="8">
        <v>96494.56</v>
      </c>
    </row>
    <row r="83" spans="1:17" x14ac:dyDescent="0.35">
      <c r="A83" s="7" t="s">
        <v>114</v>
      </c>
      <c r="B83" s="7" t="s">
        <v>123</v>
      </c>
      <c r="C83" s="7" t="s">
        <v>124</v>
      </c>
      <c r="D83" s="7" t="s">
        <v>72</v>
      </c>
      <c r="E83" s="8">
        <v>202124.28</v>
      </c>
      <c r="F83" s="8">
        <v>152283.48000000001</v>
      </c>
      <c r="G83" s="9">
        <f t="shared" si="16"/>
        <v>49840.799999999988</v>
      </c>
      <c r="H83" s="8">
        <v>89382.2</v>
      </c>
      <c r="I83" s="9">
        <f t="shared" si="17"/>
        <v>142561.97999999998</v>
      </c>
      <c r="J83" s="10">
        <f t="shared" si="18"/>
        <v>-0.41305386506796404</v>
      </c>
      <c r="K83" s="10">
        <f t="shared" si="19"/>
        <v>-0.2946815691811</v>
      </c>
      <c r="L83" s="9">
        <f t="shared" si="20"/>
        <v>53179.779999999984</v>
      </c>
      <c r="M83" s="10">
        <f t="shared" si="21"/>
        <v>6.699290541082803E-2</v>
      </c>
      <c r="N83" s="10">
        <f t="shared" si="22"/>
        <v>0.62697080946827488</v>
      </c>
      <c r="O83" s="11" t="str">
        <f t="shared" si="23"/>
        <v>Alcanzable</v>
      </c>
      <c r="P83" s="8">
        <v>88420.06</v>
      </c>
      <c r="Q83" s="8">
        <v>54141.919999999998</v>
      </c>
    </row>
    <row r="84" spans="1:17" x14ac:dyDescent="0.35">
      <c r="A84" s="7" t="s">
        <v>114</v>
      </c>
      <c r="B84" s="7" t="s">
        <v>125</v>
      </c>
      <c r="C84" s="7" t="s">
        <v>126</v>
      </c>
      <c r="D84" s="7" t="s">
        <v>25</v>
      </c>
      <c r="E84" s="8">
        <v>172377.60000000001</v>
      </c>
      <c r="F84" s="8">
        <v>172377.60000000001</v>
      </c>
      <c r="G84" s="9">
        <f t="shared" si="16"/>
        <v>0</v>
      </c>
      <c r="H84" s="8">
        <v>186095.2</v>
      </c>
      <c r="I84" s="9">
        <f t="shared" si="17"/>
        <v>184092.01</v>
      </c>
      <c r="J84" s="10">
        <f t="shared" si="18"/>
        <v>7.9578785178584743E-2</v>
      </c>
      <c r="K84" s="10">
        <f t="shared" si="19"/>
        <v>6.7957843710551691E-2</v>
      </c>
      <c r="L84" s="9">
        <f t="shared" si="20"/>
        <v>-2003.1900000000023</v>
      </c>
      <c r="M84" s="10" t="str">
        <f t="shared" si="21"/>
        <v>n/a</v>
      </c>
      <c r="N84" s="10">
        <f t="shared" si="22"/>
        <v>1.0108814608521033</v>
      </c>
      <c r="O84" s="11" t="str">
        <f t="shared" si="23"/>
        <v>Ya cumplido</v>
      </c>
      <c r="P84" s="8">
        <v>184092.01</v>
      </c>
      <c r="Q84" s="8">
        <v>0</v>
      </c>
    </row>
    <row r="85" spans="1:17" x14ac:dyDescent="0.35">
      <c r="A85" s="7" t="s">
        <v>114</v>
      </c>
      <c r="B85" s="7" t="s">
        <v>127</v>
      </c>
      <c r="C85" s="7" t="s">
        <v>128</v>
      </c>
      <c r="D85" s="7" t="s">
        <v>30</v>
      </c>
      <c r="E85" s="8">
        <v>114851.44</v>
      </c>
      <c r="F85" s="8">
        <v>114851.44</v>
      </c>
      <c r="G85" s="9">
        <f t="shared" si="16"/>
        <v>0</v>
      </c>
      <c r="H85" s="8">
        <v>100551</v>
      </c>
      <c r="I85" s="9">
        <f t="shared" si="17"/>
        <v>118667.36</v>
      </c>
      <c r="J85" s="10">
        <f t="shared" si="18"/>
        <v>-0.12451250067043129</v>
      </c>
      <c r="K85" s="10">
        <f t="shared" si="19"/>
        <v>3.3224833750451932E-2</v>
      </c>
      <c r="L85" s="9">
        <f t="shared" si="20"/>
        <v>18116.36</v>
      </c>
      <c r="M85" s="10" t="str">
        <f t="shared" si="21"/>
        <v>n/a</v>
      </c>
      <c r="N85" s="10">
        <f t="shared" si="22"/>
        <v>0.84733493691946971</v>
      </c>
      <c r="O85" s="11" t="str">
        <f t="shared" si="23"/>
        <v>Sin base 2025</v>
      </c>
      <c r="P85" s="8">
        <v>84713.2</v>
      </c>
      <c r="Q85" s="8">
        <v>33954.160000000003</v>
      </c>
    </row>
    <row r="86" spans="1:17" x14ac:dyDescent="0.35">
      <c r="A86" s="7" t="s">
        <v>114</v>
      </c>
      <c r="B86" s="7" t="s">
        <v>129</v>
      </c>
      <c r="C86" s="7" t="s">
        <v>130</v>
      </c>
      <c r="D86" s="7" t="s">
        <v>28</v>
      </c>
      <c r="E86" s="8">
        <v>72380</v>
      </c>
      <c r="F86" s="8">
        <v>48000</v>
      </c>
      <c r="G86" s="9">
        <f t="shared" si="16"/>
        <v>24380</v>
      </c>
      <c r="H86" s="8">
        <v>60000</v>
      </c>
      <c r="I86" s="9">
        <f t="shared" si="17"/>
        <v>70595.459999999992</v>
      </c>
      <c r="J86" s="10">
        <f t="shared" si="18"/>
        <v>0.25</v>
      </c>
      <c r="K86" s="10">
        <f t="shared" si="19"/>
        <v>-2.4655153357281079E-2</v>
      </c>
      <c r="L86" s="9">
        <f t="shared" si="20"/>
        <v>10595.459999999992</v>
      </c>
      <c r="M86" s="10">
        <f t="shared" si="21"/>
        <v>-0.56540360951599711</v>
      </c>
      <c r="N86" s="10">
        <f t="shared" si="22"/>
        <v>0.84991301140328301</v>
      </c>
      <c r="O86" s="11" t="str">
        <f t="shared" si="23"/>
        <v>Alcanzable</v>
      </c>
      <c r="P86" s="8">
        <v>47483.31</v>
      </c>
      <c r="Q86" s="8">
        <v>23112.15</v>
      </c>
    </row>
    <row r="87" spans="1:17" x14ac:dyDescent="0.35">
      <c r="A87" s="7" t="s">
        <v>114</v>
      </c>
      <c r="B87" s="7" t="s">
        <v>131</v>
      </c>
      <c r="C87" s="7" t="s">
        <v>132</v>
      </c>
      <c r="D87" s="7" t="s">
        <v>25</v>
      </c>
      <c r="E87" s="8">
        <v>64084.56</v>
      </c>
      <c r="F87" s="8">
        <v>64084.56</v>
      </c>
      <c r="G87" s="9">
        <f t="shared" si="16"/>
        <v>0</v>
      </c>
      <c r="H87" s="8">
        <v>73940</v>
      </c>
      <c r="I87" s="9">
        <f t="shared" si="17"/>
        <v>135632.66</v>
      </c>
      <c r="J87" s="10">
        <f t="shared" si="18"/>
        <v>0.15378805752898983</v>
      </c>
      <c r="K87" s="10">
        <f t="shared" si="19"/>
        <v>1.1164639345265068</v>
      </c>
      <c r="L87" s="9">
        <f t="shared" si="20"/>
        <v>61692.66</v>
      </c>
      <c r="M87" s="10" t="str">
        <f t="shared" si="21"/>
        <v>n/a</v>
      </c>
      <c r="N87" s="10">
        <f t="shared" si="22"/>
        <v>0.54514893389247099</v>
      </c>
      <c r="O87" s="11" t="str">
        <f t="shared" si="23"/>
        <v>Sin base 2025</v>
      </c>
      <c r="P87" s="8">
        <v>73144.09</v>
      </c>
      <c r="Q87" s="8">
        <v>62488.57</v>
      </c>
    </row>
    <row r="88" spans="1:17" x14ac:dyDescent="0.35">
      <c r="A88" s="7" t="s">
        <v>114</v>
      </c>
      <c r="B88" s="7" t="s">
        <v>125</v>
      </c>
      <c r="C88" s="7" t="s">
        <v>133</v>
      </c>
      <c r="D88" s="7" t="s">
        <v>28</v>
      </c>
      <c r="E88" s="8">
        <v>0</v>
      </c>
      <c r="F88" s="8">
        <v>0</v>
      </c>
      <c r="G88" s="9">
        <f t="shared" si="16"/>
        <v>0</v>
      </c>
      <c r="H88" s="8">
        <v>2145</v>
      </c>
      <c r="I88" s="9">
        <f t="shared" si="17"/>
        <v>2121.91</v>
      </c>
      <c r="J88" s="10" t="str">
        <f t="shared" si="18"/>
        <v>n/a</v>
      </c>
      <c r="K88" s="10" t="str">
        <f t="shared" si="19"/>
        <v>n/a</v>
      </c>
      <c r="L88" s="9">
        <f t="shared" si="20"/>
        <v>-23.090000000000146</v>
      </c>
      <c r="M88" s="10" t="str">
        <f t="shared" si="21"/>
        <v>n/a</v>
      </c>
      <c r="N88" s="10">
        <f t="shared" si="22"/>
        <v>1.0108817056331325</v>
      </c>
      <c r="O88" s="11" t="str">
        <f t="shared" si="23"/>
        <v>Ya cumplido</v>
      </c>
      <c r="P88" s="8">
        <v>2121.91</v>
      </c>
      <c r="Q88" s="8">
        <v>0</v>
      </c>
    </row>
    <row r="89" spans="1:17" x14ac:dyDescent="0.35">
      <c r="A89" s="7" t="s">
        <v>134</v>
      </c>
      <c r="B89" s="7" t="s">
        <v>135</v>
      </c>
      <c r="C89" s="7" t="s">
        <v>136</v>
      </c>
      <c r="D89" s="7" t="s">
        <v>137</v>
      </c>
      <c r="E89" s="8">
        <v>67970.960000000006</v>
      </c>
      <c r="F89" s="8">
        <v>67970.960000000006</v>
      </c>
      <c r="G89" s="9">
        <f t="shared" si="16"/>
        <v>0</v>
      </c>
      <c r="H89" s="8">
        <v>0</v>
      </c>
      <c r="I89" s="9">
        <f t="shared" si="17"/>
        <v>0</v>
      </c>
      <c r="J89" s="10">
        <f t="shared" si="18"/>
        <v>-1</v>
      </c>
      <c r="K89" s="10">
        <f t="shared" si="19"/>
        <v>-1</v>
      </c>
      <c r="L89" s="9">
        <f t="shared" si="20"/>
        <v>0</v>
      </c>
      <c r="M89" s="10" t="str">
        <f t="shared" si="21"/>
        <v>n/a</v>
      </c>
      <c r="N89" s="10" t="str">
        <f t="shared" si="22"/>
        <v>n/a</v>
      </c>
      <c r="O89" s="11" t="str">
        <f t="shared" si="23"/>
        <v>Sin estimación</v>
      </c>
      <c r="P89" s="8">
        <v>0</v>
      </c>
      <c r="Q89" s="8">
        <v>0</v>
      </c>
    </row>
    <row r="90" spans="1:17" x14ac:dyDescent="0.35">
      <c r="A90" s="7" t="s">
        <v>134</v>
      </c>
      <c r="B90" s="7" t="s">
        <v>138</v>
      </c>
      <c r="C90" s="7" t="s">
        <v>139</v>
      </c>
      <c r="D90" s="7" t="s">
        <v>137</v>
      </c>
      <c r="E90" s="8">
        <v>46643.31</v>
      </c>
      <c r="F90" s="8">
        <v>46643.31</v>
      </c>
      <c r="G90" s="9">
        <f t="shared" si="16"/>
        <v>0</v>
      </c>
      <c r="H90" s="8">
        <v>0</v>
      </c>
      <c r="I90" s="9">
        <f t="shared" si="17"/>
        <v>0</v>
      </c>
      <c r="J90" s="10">
        <f t="shared" si="18"/>
        <v>-1</v>
      </c>
      <c r="K90" s="10">
        <f t="shared" si="19"/>
        <v>-1</v>
      </c>
      <c r="L90" s="9">
        <f t="shared" si="20"/>
        <v>0</v>
      </c>
      <c r="M90" s="10" t="str">
        <f t="shared" si="21"/>
        <v>n/a</v>
      </c>
      <c r="N90" s="10" t="str">
        <f t="shared" si="22"/>
        <v>n/a</v>
      </c>
      <c r="O90" s="11" t="str">
        <f t="shared" si="23"/>
        <v>Sin estimación</v>
      </c>
      <c r="P90" s="8">
        <v>0</v>
      </c>
      <c r="Q90" s="8">
        <v>0</v>
      </c>
    </row>
    <row r="91" spans="1:17" x14ac:dyDescent="0.35">
      <c r="A91" s="7" t="s">
        <v>134</v>
      </c>
      <c r="B91" s="7" t="s">
        <v>140</v>
      </c>
      <c r="C91" s="7" t="s">
        <v>141</v>
      </c>
      <c r="D91" s="7" t="s">
        <v>137</v>
      </c>
      <c r="E91" s="8">
        <v>37569.279999999999</v>
      </c>
      <c r="F91" s="8">
        <v>37569.279999999999</v>
      </c>
      <c r="G91" s="9">
        <f t="shared" si="16"/>
        <v>0</v>
      </c>
      <c r="H91" s="8">
        <v>0</v>
      </c>
      <c r="I91" s="9">
        <f t="shared" si="17"/>
        <v>0</v>
      </c>
      <c r="J91" s="10">
        <f t="shared" si="18"/>
        <v>-1</v>
      </c>
      <c r="K91" s="10">
        <f t="shared" si="19"/>
        <v>-1</v>
      </c>
      <c r="L91" s="9">
        <f t="shared" si="20"/>
        <v>0</v>
      </c>
      <c r="M91" s="10" t="str">
        <f t="shared" si="21"/>
        <v>n/a</v>
      </c>
      <c r="N91" s="10" t="str">
        <f t="shared" si="22"/>
        <v>n/a</v>
      </c>
      <c r="O91" s="11" t="str">
        <f t="shared" si="23"/>
        <v>Sin estimación</v>
      </c>
      <c r="P91" s="8">
        <v>0</v>
      </c>
      <c r="Q91" s="8">
        <v>0</v>
      </c>
    </row>
    <row r="92" spans="1:17" x14ac:dyDescent="0.35">
      <c r="A92" s="7" t="s">
        <v>134</v>
      </c>
      <c r="B92" s="7" t="s">
        <v>138</v>
      </c>
      <c r="C92" s="7" t="s">
        <v>142</v>
      </c>
      <c r="D92" s="7" t="s">
        <v>137</v>
      </c>
      <c r="E92" s="8">
        <v>21591.58</v>
      </c>
      <c r="F92" s="8">
        <v>21591.58</v>
      </c>
      <c r="G92" s="9">
        <f t="shared" si="16"/>
        <v>0</v>
      </c>
      <c r="H92" s="8">
        <v>0</v>
      </c>
      <c r="I92" s="9">
        <f t="shared" si="17"/>
        <v>0</v>
      </c>
      <c r="J92" s="10">
        <f t="shared" si="18"/>
        <v>-1</v>
      </c>
      <c r="K92" s="10">
        <f t="shared" si="19"/>
        <v>-1</v>
      </c>
      <c r="L92" s="9">
        <f t="shared" si="20"/>
        <v>0</v>
      </c>
      <c r="M92" s="10" t="str">
        <f t="shared" si="21"/>
        <v>n/a</v>
      </c>
      <c r="N92" s="10" t="str">
        <f t="shared" si="22"/>
        <v>n/a</v>
      </c>
      <c r="O92" s="11" t="str">
        <f t="shared" si="23"/>
        <v>Sin estimación</v>
      </c>
      <c r="P92" s="8">
        <v>0</v>
      </c>
      <c r="Q92" s="8">
        <v>0</v>
      </c>
    </row>
    <row r="93" spans="1:17" x14ac:dyDescent="0.35">
      <c r="A93" s="7" t="s">
        <v>134</v>
      </c>
      <c r="B93" s="7" t="s">
        <v>138</v>
      </c>
      <c r="C93" s="7" t="s">
        <v>143</v>
      </c>
      <c r="D93" s="7" t="s">
        <v>137</v>
      </c>
      <c r="E93" s="8">
        <v>7645.44</v>
      </c>
      <c r="F93" s="8">
        <v>7645.44</v>
      </c>
      <c r="G93" s="9">
        <f t="shared" si="16"/>
        <v>0</v>
      </c>
      <c r="H93" s="8">
        <v>0</v>
      </c>
      <c r="I93" s="9">
        <f t="shared" si="17"/>
        <v>0</v>
      </c>
      <c r="J93" s="10">
        <f t="shared" si="18"/>
        <v>-1</v>
      </c>
      <c r="K93" s="10">
        <f t="shared" si="19"/>
        <v>-1</v>
      </c>
      <c r="L93" s="9">
        <f t="shared" si="20"/>
        <v>0</v>
      </c>
      <c r="M93" s="10" t="str">
        <f t="shared" si="21"/>
        <v>n/a</v>
      </c>
      <c r="N93" s="10" t="str">
        <f t="shared" si="22"/>
        <v>n/a</v>
      </c>
      <c r="O93" s="11" t="str">
        <f t="shared" si="23"/>
        <v>Sin estimación</v>
      </c>
      <c r="P93" s="8">
        <v>0</v>
      </c>
      <c r="Q93" s="8">
        <v>0</v>
      </c>
    </row>
    <row r="94" spans="1:17" x14ac:dyDescent="0.35">
      <c r="A94" s="7" t="s">
        <v>134</v>
      </c>
      <c r="B94" s="7" t="s">
        <v>138</v>
      </c>
      <c r="C94" s="7" t="s">
        <v>144</v>
      </c>
      <c r="D94" s="7" t="s">
        <v>137</v>
      </c>
      <c r="E94" s="8">
        <v>6625.59</v>
      </c>
      <c r="F94" s="8">
        <v>6625.59</v>
      </c>
      <c r="G94" s="9">
        <f t="shared" si="16"/>
        <v>0</v>
      </c>
      <c r="H94" s="8">
        <v>0</v>
      </c>
      <c r="I94" s="9">
        <f t="shared" si="17"/>
        <v>0</v>
      </c>
      <c r="J94" s="10">
        <f t="shared" si="18"/>
        <v>-1</v>
      </c>
      <c r="K94" s="10">
        <f t="shared" si="19"/>
        <v>-1</v>
      </c>
      <c r="L94" s="9">
        <f t="shared" si="20"/>
        <v>0</v>
      </c>
      <c r="M94" s="10" t="str">
        <f t="shared" si="21"/>
        <v>n/a</v>
      </c>
      <c r="N94" s="10" t="str">
        <f t="shared" si="22"/>
        <v>n/a</v>
      </c>
      <c r="O94" s="11" t="str">
        <f t="shared" si="23"/>
        <v>Sin estimación</v>
      </c>
      <c r="P94" s="8">
        <v>0</v>
      </c>
      <c r="Q94" s="8">
        <v>0</v>
      </c>
    </row>
    <row r="95" spans="1:17" x14ac:dyDescent="0.35">
      <c r="A95" s="7" t="s">
        <v>134</v>
      </c>
      <c r="B95" s="7" t="s">
        <v>138</v>
      </c>
      <c r="C95" s="7" t="s">
        <v>145</v>
      </c>
      <c r="D95" s="7" t="s">
        <v>137</v>
      </c>
      <c r="E95" s="8">
        <v>5872.4</v>
      </c>
      <c r="F95" s="8">
        <v>5872.4</v>
      </c>
      <c r="G95" s="9">
        <f t="shared" si="16"/>
        <v>0</v>
      </c>
      <c r="H95" s="8">
        <v>0</v>
      </c>
      <c r="I95" s="9">
        <f t="shared" si="17"/>
        <v>0</v>
      </c>
      <c r="J95" s="10">
        <f t="shared" si="18"/>
        <v>-1</v>
      </c>
      <c r="K95" s="10">
        <f t="shared" si="19"/>
        <v>-1</v>
      </c>
      <c r="L95" s="9">
        <f t="shared" si="20"/>
        <v>0</v>
      </c>
      <c r="M95" s="10" t="str">
        <f t="shared" si="21"/>
        <v>n/a</v>
      </c>
      <c r="N95" s="10" t="str">
        <f t="shared" si="22"/>
        <v>n/a</v>
      </c>
      <c r="O95" s="11" t="str">
        <f t="shared" si="23"/>
        <v>Sin estimación</v>
      </c>
      <c r="P95" s="8">
        <v>0</v>
      </c>
      <c r="Q95" s="8">
        <v>0</v>
      </c>
    </row>
    <row r="96" spans="1:17" x14ac:dyDescent="0.35">
      <c r="A96" s="7" t="s">
        <v>134</v>
      </c>
      <c r="B96" s="7" t="s">
        <v>138</v>
      </c>
      <c r="C96" s="7" t="s">
        <v>146</v>
      </c>
      <c r="D96" s="7" t="s">
        <v>137</v>
      </c>
      <c r="E96" s="8">
        <v>5428.8</v>
      </c>
      <c r="F96" s="8">
        <v>5428.8</v>
      </c>
      <c r="G96" s="9">
        <f t="shared" si="16"/>
        <v>0</v>
      </c>
      <c r="H96" s="8">
        <v>0</v>
      </c>
      <c r="I96" s="9">
        <f t="shared" si="17"/>
        <v>0</v>
      </c>
      <c r="J96" s="10">
        <f t="shared" si="18"/>
        <v>-1</v>
      </c>
      <c r="K96" s="10">
        <f t="shared" si="19"/>
        <v>-1</v>
      </c>
      <c r="L96" s="9">
        <f t="shared" si="20"/>
        <v>0</v>
      </c>
      <c r="M96" s="10" t="str">
        <f t="shared" si="21"/>
        <v>n/a</v>
      </c>
      <c r="N96" s="10" t="str">
        <f t="shared" si="22"/>
        <v>n/a</v>
      </c>
      <c r="O96" s="11" t="str">
        <f t="shared" si="23"/>
        <v>Sin estimación</v>
      </c>
      <c r="P96" s="8">
        <v>0</v>
      </c>
      <c r="Q96" s="8">
        <v>0</v>
      </c>
    </row>
    <row r="97" spans="1:17" x14ac:dyDescent="0.35">
      <c r="A97" s="7" t="s">
        <v>134</v>
      </c>
      <c r="B97" s="7" t="s">
        <v>138</v>
      </c>
      <c r="C97" s="7" t="s">
        <v>147</v>
      </c>
      <c r="D97" s="7" t="s">
        <v>137</v>
      </c>
      <c r="E97" s="8">
        <v>4852.5</v>
      </c>
      <c r="F97" s="8">
        <v>4852.5</v>
      </c>
      <c r="G97" s="9">
        <f t="shared" si="16"/>
        <v>0</v>
      </c>
      <c r="H97" s="8">
        <v>0</v>
      </c>
      <c r="I97" s="9">
        <f t="shared" si="17"/>
        <v>0</v>
      </c>
      <c r="J97" s="10">
        <f t="shared" si="18"/>
        <v>-1</v>
      </c>
      <c r="K97" s="10">
        <f t="shared" si="19"/>
        <v>-1</v>
      </c>
      <c r="L97" s="9">
        <f t="shared" si="20"/>
        <v>0</v>
      </c>
      <c r="M97" s="10" t="str">
        <f t="shared" si="21"/>
        <v>n/a</v>
      </c>
      <c r="N97" s="10" t="str">
        <f t="shared" si="22"/>
        <v>n/a</v>
      </c>
      <c r="O97" s="11" t="str">
        <f t="shared" si="23"/>
        <v>Sin estimación</v>
      </c>
      <c r="P97" s="8">
        <v>0</v>
      </c>
      <c r="Q97" s="8">
        <v>0</v>
      </c>
    </row>
    <row r="98" spans="1:17" x14ac:dyDescent="0.35">
      <c r="A98" s="7" t="s">
        <v>134</v>
      </c>
      <c r="B98" s="7" t="s">
        <v>138</v>
      </c>
      <c r="C98" s="7" t="s">
        <v>148</v>
      </c>
      <c r="D98" s="7" t="s">
        <v>137</v>
      </c>
      <c r="E98" s="8">
        <v>4208.8</v>
      </c>
      <c r="F98" s="8">
        <v>4208.8</v>
      </c>
      <c r="G98" s="9">
        <f t="shared" si="16"/>
        <v>0</v>
      </c>
      <c r="H98" s="8">
        <v>0</v>
      </c>
      <c r="I98" s="9">
        <f t="shared" si="17"/>
        <v>0</v>
      </c>
      <c r="J98" s="10">
        <f t="shared" si="18"/>
        <v>-1</v>
      </c>
      <c r="K98" s="10">
        <f t="shared" si="19"/>
        <v>-1</v>
      </c>
      <c r="L98" s="9">
        <f t="shared" si="20"/>
        <v>0</v>
      </c>
      <c r="M98" s="10" t="str">
        <f t="shared" si="21"/>
        <v>n/a</v>
      </c>
      <c r="N98" s="10" t="str">
        <f t="shared" si="22"/>
        <v>n/a</v>
      </c>
      <c r="O98" s="11" t="str">
        <f t="shared" si="23"/>
        <v>Sin estimación</v>
      </c>
      <c r="P98" s="8">
        <v>0</v>
      </c>
      <c r="Q98" s="8">
        <v>0</v>
      </c>
    </row>
    <row r="99" spans="1:17" x14ac:dyDescent="0.35">
      <c r="A99" s="7" t="s">
        <v>134</v>
      </c>
      <c r="B99" s="7" t="s">
        <v>138</v>
      </c>
      <c r="C99" s="7" t="s">
        <v>149</v>
      </c>
      <c r="D99" s="7" t="s">
        <v>137</v>
      </c>
      <c r="E99" s="8">
        <v>3950</v>
      </c>
      <c r="F99" s="8">
        <v>3950</v>
      </c>
      <c r="G99" s="9">
        <f t="shared" si="16"/>
        <v>0</v>
      </c>
      <c r="H99" s="8">
        <v>0</v>
      </c>
      <c r="I99" s="9">
        <f t="shared" si="17"/>
        <v>0</v>
      </c>
      <c r="J99" s="10">
        <f t="shared" si="18"/>
        <v>-1</v>
      </c>
      <c r="K99" s="10">
        <f t="shared" si="19"/>
        <v>-1</v>
      </c>
      <c r="L99" s="9">
        <f t="shared" si="20"/>
        <v>0</v>
      </c>
      <c r="M99" s="10" t="str">
        <f t="shared" si="21"/>
        <v>n/a</v>
      </c>
      <c r="N99" s="10" t="str">
        <f t="shared" si="22"/>
        <v>n/a</v>
      </c>
      <c r="O99" s="11" t="str">
        <f t="shared" si="23"/>
        <v>Sin estimación</v>
      </c>
      <c r="P99" s="8">
        <v>0</v>
      </c>
      <c r="Q99" s="8">
        <v>0</v>
      </c>
    </row>
    <row r="100" spans="1:17" x14ac:dyDescent="0.35">
      <c r="A100" s="7" t="s">
        <v>134</v>
      </c>
      <c r="B100" s="7" t="s">
        <v>150</v>
      </c>
      <c r="C100" s="7" t="s">
        <v>151</v>
      </c>
      <c r="D100" s="7" t="s">
        <v>137</v>
      </c>
      <c r="E100" s="8">
        <v>3530.44</v>
      </c>
      <c r="F100" s="8">
        <v>3530.44</v>
      </c>
      <c r="G100" s="9">
        <f t="shared" si="16"/>
        <v>0</v>
      </c>
      <c r="H100" s="8">
        <v>0</v>
      </c>
      <c r="I100" s="9">
        <f t="shared" si="17"/>
        <v>0</v>
      </c>
      <c r="J100" s="10">
        <f t="shared" si="18"/>
        <v>-1</v>
      </c>
      <c r="K100" s="10">
        <f t="shared" si="19"/>
        <v>-1</v>
      </c>
      <c r="L100" s="9">
        <f t="shared" si="20"/>
        <v>0</v>
      </c>
      <c r="M100" s="10" t="str">
        <f t="shared" si="21"/>
        <v>n/a</v>
      </c>
      <c r="N100" s="10" t="str">
        <f t="shared" si="22"/>
        <v>n/a</v>
      </c>
      <c r="O100" s="11" t="str">
        <f t="shared" si="23"/>
        <v>Sin estimación</v>
      </c>
      <c r="P100" s="8">
        <v>0</v>
      </c>
      <c r="Q100" s="8">
        <v>0</v>
      </c>
    </row>
    <row r="101" spans="1:17" x14ac:dyDescent="0.35">
      <c r="A101" s="7" t="s">
        <v>134</v>
      </c>
      <c r="B101" s="7" t="s">
        <v>138</v>
      </c>
      <c r="C101" s="7" t="s">
        <v>152</v>
      </c>
      <c r="D101" s="7" t="s">
        <v>137</v>
      </c>
      <c r="E101" s="8">
        <v>3512</v>
      </c>
      <c r="F101" s="8">
        <v>3512</v>
      </c>
      <c r="G101" s="9">
        <f t="shared" si="16"/>
        <v>0</v>
      </c>
      <c r="H101" s="8">
        <v>0</v>
      </c>
      <c r="I101" s="9">
        <f t="shared" si="17"/>
        <v>0</v>
      </c>
      <c r="J101" s="10">
        <f t="shared" si="18"/>
        <v>-1</v>
      </c>
      <c r="K101" s="10">
        <f t="shared" si="19"/>
        <v>-1</v>
      </c>
      <c r="L101" s="9">
        <f t="shared" si="20"/>
        <v>0</v>
      </c>
      <c r="M101" s="10" t="str">
        <f t="shared" si="21"/>
        <v>n/a</v>
      </c>
      <c r="N101" s="10" t="str">
        <f t="shared" si="22"/>
        <v>n/a</v>
      </c>
      <c r="O101" s="11" t="str">
        <f t="shared" si="23"/>
        <v>Sin estimación</v>
      </c>
      <c r="P101" s="8">
        <v>0</v>
      </c>
      <c r="Q101" s="8">
        <v>0</v>
      </c>
    </row>
    <row r="102" spans="1:17" x14ac:dyDescent="0.35">
      <c r="A102" s="7" t="s">
        <v>134</v>
      </c>
      <c r="B102" s="7" t="s">
        <v>138</v>
      </c>
      <c r="C102" s="7" t="s">
        <v>153</v>
      </c>
      <c r="D102" s="7" t="s">
        <v>137</v>
      </c>
      <c r="E102" s="8">
        <v>3402.8</v>
      </c>
      <c r="F102" s="8">
        <v>3402.8</v>
      </c>
      <c r="G102" s="9">
        <f t="shared" si="16"/>
        <v>0</v>
      </c>
      <c r="H102" s="8">
        <v>0</v>
      </c>
      <c r="I102" s="9">
        <f t="shared" si="17"/>
        <v>0</v>
      </c>
      <c r="J102" s="10">
        <f t="shared" si="18"/>
        <v>-1</v>
      </c>
      <c r="K102" s="10">
        <f t="shared" si="19"/>
        <v>-1</v>
      </c>
      <c r="L102" s="9">
        <f t="shared" si="20"/>
        <v>0</v>
      </c>
      <c r="M102" s="10" t="str">
        <f t="shared" si="21"/>
        <v>n/a</v>
      </c>
      <c r="N102" s="10" t="str">
        <f t="shared" si="22"/>
        <v>n/a</v>
      </c>
      <c r="O102" s="11" t="str">
        <f t="shared" si="23"/>
        <v>Sin estimación</v>
      </c>
      <c r="P102" s="8">
        <v>0</v>
      </c>
      <c r="Q102" s="8">
        <v>0</v>
      </c>
    </row>
    <row r="103" spans="1:17" x14ac:dyDescent="0.35">
      <c r="A103" s="7" t="s">
        <v>134</v>
      </c>
      <c r="B103" s="7" t="s">
        <v>138</v>
      </c>
      <c r="C103" s="7" t="s">
        <v>154</v>
      </c>
      <c r="D103" s="7" t="s">
        <v>137</v>
      </c>
      <c r="E103" s="8">
        <v>3179</v>
      </c>
      <c r="F103" s="8">
        <v>3179</v>
      </c>
      <c r="G103" s="9">
        <f t="shared" si="16"/>
        <v>0</v>
      </c>
      <c r="H103" s="8">
        <v>0</v>
      </c>
      <c r="I103" s="9">
        <f t="shared" si="17"/>
        <v>0</v>
      </c>
      <c r="J103" s="10">
        <f t="shared" si="18"/>
        <v>-1</v>
      </c>
      <c r="K103" s="10">
        <f t="shared" si="19"/>
        <v>-1</v>
      </c>
      <c r="L103" s="9">
        <f t="shared" si="20"/>
        <v>0</v>
      </c>
      <c r="M103" s="10" t="str">
        <f t="shared" si="21"/>
        <v>n/a</v>
      </c>
      <c r="N103" s="10" t="str">
        <f t="shared" si="22"/>
        <v>n/a</v>
      </c>
      <c r="O103" s="11" t="str">
        <f t="shared" si="23"/>
        <v>Sin estimación</v>
      </c>
      <c r="P103" s="8">
        <v>0</v>
      </c>
      <c r="Q103" s="8">
        <v>0</v>
      </c>
    </row>
    <row r="104" spans="1:17" x14ac:dyDescent="0.35">
      <c r="A104" s="7" t="s">
        <v>134</v>
      </c>
      <c r="B104" s="7" t="s">
        <v>138</v>
      </c>
      <c r="C104" s="7" t="s">
        <v>155</v>
      </c>
      <c r="D104" s="7" t="s">
        <v>137</v>
      </c>
      <c r="E104" s="8">
        <v>3009.4</v>
      </c>
      <c r="F104" s="8">
        <v>3009.4</v>
      </c>
      <c r="G104" s="9">
        <f t="shared" ref="G104:G121" si="24">E104-F104</f>
        <v>0</v>
      </c>
      <c r="H104" s="8">
        <v>0</v>
      </c>
      <c r="I104" s="9">
        <f t="shared" ref="I104:I121" si="25">P104+Q104</f>
        <v>0</v>
      </c>
      <c r="J104" s="10">
        <f t="shared" ref="J104:J121" si="26">IF(F104&lt;=0,"n/a",H104/F104-1)</f>
        <v>-1</v>
      </c>
      <c r="K104" s="10">
        <f t="shared" ref="K104:K121" si="27">IF(E104&lt;=0,"n/a",I104/E104-1)</f>
        <v>-1</v>
      </c>
      <c r="L104" s="9">
        <f t="shared" ref="L104:L121" si="28">IF(I104=0,0,I104-H104)</f>
        <v>0</v>
      </c>
      <c r="M104" s="10" t="str">
        <f t="shared" ref="M104:M121" si="29">IF(OR(I104=0,G104&lt;=0),"n/a",L104/G104-1)</f>
        <v>n/a</v>
      </c>
      <c r="N104" s="10" t="str">
        <f t="shared" ref="N104:N121" si="30">IF(I104=0,"n/a",H104/I104)</f>
        <v>n/a</v>
      </c>
      <c r="O104" s="11" t="str">
        <f t="shared" ref="O104:O121" si="31">IF(I104=0,"Sin estimación",IF(L104&lt;=0,"Ya cumplido",IF(G104&lt;=0,"Sin base 2025",IF(M104&lt;=$E$4,"Alcanzable",IF(M104&lt;=$E$5,"Exigente","Poco realista")))))</f>
        <v>Sin estimación</v>
      </c>
      <c r="P104" s="8">
        <v>0</v>
      </c>
      <c r="Q104" s="8">
        <v>0</v>
      </c>
    </row>
    <row r="105" spans="1:17" x14ac:dyDescent="0.35">
      <c r="A105" s="7" t="s">
        <v>134</v>
      </c>
      <c r="B105" s="7" t="s">
        <v>138</v>
      </c>
      <c r="C105" s="7" t="s">
        <v>156</v>
      </c>
      <c r="D105" s="7" t="s">
        <v>137</v>
      </c>
      <c r="E105" s="8">
        <v>2890</v>
      </c>
      <c r="F105" s="8">
        <v>2890</v>
      </c>
      <c r="G105" s="9">
        <f t="shared" si="24"/>
        <v>0</v>
      </c>
      <c r="H105" s="8">
        <v>0</v>
      </c>
      <c r="I105" s="9">
        <f t="shared" si="25"/>
        <v>0</v>
      </c>
      <c r="J105" s="10">
        <f t="shared" si="26"/>
        <v>-1</v>
      </c>
      <c r="K105" s="10">
        <f t="shared" si="27"/>
        <v>-1</v>
      </c>
      <c r="L105" s="9">
        <f t="shared" si="28"/>
        <v>0</v>
      </c>
      <c r="M105" s="10" t="str">
        <f t="shared" si="29"/>
        <v>n/a</v>
      </c>
      <c r="N105" s="10" t="str">
        <f t="shared" si="30"/>
        <v>n/a</v>
      </c>
      <c r="O105" s="11" t="str">
        <f t="shared" si="31"/>
        <v>Sin estimación</v>
      </c>
      <c r="P105" s="8">
        <v>0</v>
      </c>
      <c r="Q105" s="8">
        <v>0</v>
      </c>
    </row>
    <row r="106" spans="1:17" x14ac:dyDescent="0.35">
      <c r="A106" s="7" t="s">
        <v>134</v>
      </c>
      <c r="B106" s="7" t="s">
        <v>138</v>
      </c>
      <c r="C106" s="7" t="s">
        <v>157</v>
      </c>
      <c r="D106" s="7" t="s">
        <v>137</v>
      </c>
      <c r="E106" s="8">
        <v>2890</v>
      </c>
      <c r="F106" s="8">
        <v>2890</v>
      </c>
      <c r="G106" s="9">
        <f t="shared" si="24"/>
        <v>0</v>
      </c>
      <c r="H106" s="8">
        <v>4213.2</v>
      </c>
      <c r="I106" s="9">
        <f t="shared" si="25"/>
        <v>0</v>
      </c>
      <c r="J106" s="10">
        <f t="shared" si="26"/>
        <v>0.45785467128027668</v>
      </c>
      <c r="K106" s="10">
        <f t="shared" si="27"/>
        <v>-1</v>
      </c>
      <c r="L106" s="9">
        <f t="shared" si="28"/>
        <v>0</v>
      </c>
      <c r="M106" s="10" t="str">
        <f t="shared" si="29"/>
        <v>n/a</v>
      </c>
      <c r="N106" s="10" t="str">
        <f t="shared" si="30"/>
        <v>n/a</v>
      </c>
      <c r="O106" s="11" t="str">
        <f t="shared" si="31"/>
        <v>Sin estimación</v>
      </c>
      <c r="P106" s="8">
        <v>0</v>
      </c>
      <c r="Q106" s="8">
        <v>0</v>
      </c>
    </row>
    <row r="107" spans="1:17" x14ac:dyDescent="0.35">
      <c r="A107" s="7" t="s">
        <v>134</v>
      </c>
      <c r="B107" s="7" t="s">
        <v>138</v>
      </c>
      <c r="C107" s="7" t="s">
        <v>158</v>
      </c>
      <c r="D107" s="7" t="s">
        <v>137</v>
      </c>
      <c r="E107" s="8">
        <v>2715.19</v>
      </c>
      <c r="F107" s="8">
        <v>2715.19</v>
      </c>
      <c r="G107" s="9">
        <f t="shared" si="24"/>
        <v>0</v>
      </c>
      <c r="H107" s="8">
        <v>0</v>
      </c>
      <c r="I107" s="9">
        <f t="shared" si="25"/>
        <v>0</v>
      </c>
      <c r="J107" s="10">
        <f t="shared" si="26"/>
        <v>-1</v>
      </c>
      <c r="K107" s="10">
        <f t="shared" si="27"/>
        <v>-1</v>
      </c>
      <c r="L107" s="9">
        <f t="shared" si="28"/>
        <v>0</v>
      </c>
      <c r="M107" s="10" t="str">
        <f t="shared" si="29"/>
        <v>n/a</v>
      </c>
      <c r="N107" s="10" t="str">
        <f t="shared" si="30"/>
        <v>n/a</v>
      </c>
      <c r="O107" s="11" t="str">
        <f t="shared" si="31"/>
        <v>Sin estimación</v>
      </c>
      <c r="P107" s="8">
        <v>0</v>
      </c>
      <c r="Q107" s="8">
        <v>0</v>
      </c>
    </row>
    <row r="108" spans="1:17" x14ac:dyDescent="0.35">
      <c r="A108" s="7" t="s">
        <v>134</v>
      </c>
      <c r="B108" s="7" t="s">
        <v>138</v>
      </c>
      <c r="C108" s="7" t="s">
        <v>159</v>
      </c>
      <c r="D108" s="7" t="s">
        <v>137</v>
      </c>
      <c r="E108" s="8">
        <v>1758</v>
      </c>
      <c r="F108" s="8">
        <v>1758</v>
      </c>
      <c r="G108" s="9">
        <f t="shared" si="24"/>
        <v>0</v>
      </c>
      <c r="H108" s="8">
        <v>0</v>
      </c>
      <c r="I108" s="9">
        <f t="shared" si="25"/>
        <v>0</v>
      </c>
      <c r="J108" s="10">
        <f t="shared" si="26"/>
        <v>-1</v>
      </c>
      <c r="K108" s="10">
        <f t="shared" si="27"/>
        <v>-1</v>
      </c>
      <c r="L108" s="9">
        <f t="shared" si="28"/>
        <v>0</v>
      </c>
      <c r="M108" s="10" t="str">
        <f t="shared" si="29"/>
        <v>n/a</v>
      </c>
      <c r="N108" s="10" t="str">
        <f t="shared" si="30"/>
        <v>n/a</v>
      </c>
      <c r="O108" s="11" t="str">
        <f t="shared" si="31"/>
        <v>Sin estimación</v>
      </c>
      <c r="P108" s="8">
        <v>0</v>
      </c>
      <c r="Q108" s="8">
        <v>0</v>
      </c>
    </row>
    <row r="109" spans="1:17" x14ac:dyDescent="0.35">
      <c r="A109" s="7" t="s">
        <v>134</v>
      </c>
      <c r="B109" s="7" t="s">
        <v>138</v>
      </c>
      <c r="C109" s="7" t="s">
        <v>160</v>
      </c>
      <c r="D109" s="7" t="s">
        <v>137</v>
      </c>
      <c r="E109" s="8">
        <v>1312</v>
      </c>
      <c r="F109" s="8">
        <v>1312</v>
      </c>
      <c r="G109" s="9">
        <f t="shared" si="24"/>
        <v>0</v>
      </c>
      <c r="H109" s="8">
        <v>0</v>
      </c>
      <c r="I109" s="9">
        <f t="shared" si="25"/>
        <v>0</v>
      </c>
      <c r="J109" s="10">
        <f t="shared" si="26"/>
        <v>-1</v>
      </c>
      <c r="K109" s="10">
        <f t="shared" si="27"/>
        <v>-1</v>
      </c>
      <c r="L109" s="9">
        <f t="shared" si="28"/>
        <v>0</v>
      </c>
      <c r="M109" s="10" t="str">
        <f t="shared" si="29"/>
        <v>n/a</v>
      </c>
      <c r="N109" s="10" t="str">
        <f t="shared" si="30"/>
        <v>n/a</v>
      </c>
      <c r="O109" s="11" t="str">
        <f t="shared" si="31"/>
        <v>Sin estimación</v>
      </c>
      <c r="P109" s="8">
        <v>0</v>
      </c>
      <c r="Q109" s="8">
        <v>0</v>
      </c>
    </row>
    <row r="110" spans="1:17" x14ac:dyDescent="0.35">
      <c r="A110" s="7" t="s">
        <v>134</v>
      </c>
      <c r="B110" s="7" t="s">
        <v>138</v>
      </c>
      <c r="C110" s="7" t="s">
        <v>161</v>
      </c>
      <c r="D110" s="7" t="s">
        <v>137</v>
      </c>
      <c r="E110" s="8">
        <v>1227.3599999999999</v>
      </c>
      <c r="F110" s="8">
        <v>1227.3599999999999</v>
      </c>
      <c r="G110" s="9">
        <f t="shared" si="24"/>
        <v>0</v>
      </c>
      <c r="H110" s="8">
        <v>0</v>
      </c>
      <c r="I110" s="9">
        <f t="shared" si="25"/>
        <v>0</v>
      </c>
      <c r="J110" s="10">
        <f t="shared" si="26"/>
        <v>-1</v>
      </c>
      <c r="K110" s="10">
        <f t="shared" si="27"/>
        <v>-1</v>
      </c>
      <c r="L110" s="9">
        <f t="shared" si="28"/>
        <v>0</v>
      </c>
      <c r="M110" s="10" t="str">
        <f t="shared" si="29"/>
        <v>n/a</v>
      </c>
      <c r="N110" s="10" t="str">
        <f t="shared" si="30"/>
        <v>n/a</v>
      </c>
      <c r="O110" s="11" t="str">
        <f t="shared" si="31"/>
        <v>Sin estimación</v>
      </c>
      <c r="P110" s="8">
        <v>0</v>
      </c>
      <c r="Q110" s="8">
        <v>0</v>
      </c>
    </row>
    <row r="111" spans="1:17" x14ac:dyDescent="0.35">
      <c r="A111" s="7" t="s">
        <v>134</v>
      </c>
      <c r="B111" s="7" t="s">
        <v>138</v>
      </c>
      <c r="C111" s="7" t="s">
        <v>162</v>
      </c>
      <c r="D111" s="7" t="s">
        <v>137</v>
      </c>
      <c r="E111" s="8">
        <v>925.2</v>
      </c>
      <c r="F111" s="8">
        <v>925.2</v>
      </c>
      <c r="G111" s="9">
        <f t="shared" si="24"/>
        <v>0</v>
      </c>
      <c r="H111" s="8">
        <v>0</v>
      </c>
      <c r="I111" s="9">
        <f t="shared" si="25"/>
        <v>0</v>
      </c>
      <c r="J111" s="10">
        <f t="shared" si="26"/>
        <v>-1</v>
      </c>
      <c r="K111" s="10">
        <f t="shared" si="27"/>
        <v>-1</v>
      </c>
      <c r="L111" s="9">
        <f t="shared" si="28"/>
        <v>0</v>
      </c>
      <c r="M111" s="10" t="str">
        <f t="shared" si="29"/>
        <v>n/a</v>
      </c>
      <c r="N111" s="10" t="str">
        <f t="shared" si="30"/>
        <v>n/a</v>
      </c>
      <c r="O111" s="11" t="str">
        <f t="shared" si="31"/>
        <v>Sin estimación</v>
      </c>
      <c r="P111" s="8">
        <v>0</v>
      </c>
      <c r="Q111" s="8">
        <v>0</v>
      </c>
    </row>
    <row r="112" spans="1:17" x14ac:dyDescent="0.35">
      <c r="A112" s="7" t="s">
        <v>134</v>
      </c>
      <c r="B112" s="7" t="s">
        <v>138</v>
      </c>
      <c r="C112" s="7" t="s">
        <v>163</v>
      </c>
      <c r="D112" s="7" t="s">
        <v>137</v>
      </c>
      <c r="E112" s="8">
        <v>797.76</v>
      </c>
      <c r="F112" s="8">
        <v>0</v>
      </c>
      <c r="G112" s="9">
        <f t="shared" si="24"/>
        <v>797.76</v>
      </c>
      <c r="H112" s="8">
        <v>0</v>
      </c>
      <c r="I112" s="9">
        <f t="shared" si="25"/>
        <v>0</v>
      </c>
      <c r="J112" s="10" t="str">
        <f t="shared" si="26"/>
        <v>n/a</v>
      </c>
      <c r="K112" s="10">
        <f t="shared" si="27"/>
        <v>-1</v>
      </c>
      <c r="L112" s="9">
        <f t="shared" si="28"/>
        <v>0</v>
      </c>
      <c r="M112" s="10" t="str">
        <f t="shared" si="29"/>
        <v>n/a</v>
      </c>
      <c r="N112" s="10" t="str">
        <f t="shared" si="30"/>
        <v>n/a</v>
      </c>
      <c r="O112" s="11" t="str">
        <f t="shared" si="31"/>
        <v>Sin estimación</v>
      </c>
      <c r="P112" s="8">
        <v>0</v>
      </c>
      <c r="Q112" s="8">
        <v>0</v>
      </c>
    </row>
    <row r="113" spans="1:17" x14ac:dyDescent="0.35">
      <c r="A113" s="7" t="s">
        <v>134</v>
      </c>
      <c r="B113" s="7" t="s">
        <v>138</v>
      </c>
      <c r="C113" s="7" t="s">
        <v>164</v>
      </c>
      <c r="D113" s="7" t="s">
        <v>137</v>
      </c>
      <c r="E113" s="8">
        <v>772</v>
      </c>
      <c r="F113" s="8">
        <v>0</v>
      </c>
      <c r="G113" s="9">
        <f t="shared" si="24"/>
        <v>772</v>
      </c>
      <c r="H113" s="8">
        <v>0</v>
      </c>
      <c r="I113" s="9">
        <f t="shared" si="25"/>
        <v>0</v>
      </c>
      <c r="J113" s="10" t="str">
        <f t="shared" si="26"/>
        <v>n/a</v>
      </c>
      <c r="K113" s="10">
        <f t="shared" si="27"/>
        <v>-1</v>
      </c>
      <c r="L113" s="9">
        <f t="shared" si="28"/>
        <v>0</v>
      </c>
      <c r="M113" s="10" t="str">
        <f t="shared" si="29"/>
        <v>n/a</v>
      </c>
      <c r="N113" s="10" t="str">
        <f t="shared" si="30"/>
        <v>n/a</v>
      </c>
      <c r="O113" s="11" t="str">
        <f t="shared" si="31"/>
        <v>Sin estimación</v>
      </c>
      <c r="P113" s="8">
        <v>0</v>
      </c>
      <c r="Q113" s="8">
        <v>0</v>
      </c>
    </row>
    <row r="114" spans="1:17" x14ac:dyDescent="0.35">
      <c r="A114" s="7" t="s">
        <v>134</v>
      </c>
      <c r="B114" s="7" t="s">
        <v>138</v>
      </c>
      <c r="C114" s="7" t="s">
        <v>165</v>
      </c>
      <c r="D114" s="7" t="s">
        <v>137</v>
      </c>
      <c r="E114" s="8">
        <v>336</v>
      </c>
      <c r="F114" s="8">
        <v>336</v>
      </c>
      <c r="G114" s="9">
        <f t="shared" si="24"/>
        <v>0</v>
      </c>
      <c r="H114" s="8">
        <v>0</v>
      </c>
      <c r="I114" s="9">
        <f t="shared" si="25"/>
        <v>0</v>
      </c>
      <c r="J114" s="10">
        <f t="shared" si="26"/>
        <v>-1</v>
      </c>
      <c r="K114" s="10">
        <f t="shared" si="27"/>
        <v>-1</v>
      </c>
      <c r="L114" s="9">
        <f t="shared" si="28"/>
        <v>0</v>
      </c>
      <c r="M114" s="10" t="str">
        <f t="shared" si="29"/>
        <v>n/a</v>
      </c>
      <c r="N114" s="10" t="str">
        <f t="shared" si="30"/>
        <v>n/a</v>
      </c>
      <c r="O114" s="11" t="str">
        <f t="shared" si="31"/>
        <v>Sin estimación</v>
      </c>
      <c r="P114" s="8">
        <v>0</v>
      </c>
      <c r="Q114" s="8">
        <v>0</v>
      </c>
    </row>
    <row r="115" spans="1:17" x14ac:dyDescent="0.35">
      <c r="A115" s="7" t="s">
        <v>134</v>
      </c>
      <c r="B115" s="7" t="s">
        <v>166</v>
      </c>
      <c r="C115" s="7" t="s">
        <v>167</v>
      </c>
      <c r="D115" s="7" t="s">
        <v>137</v>
      </c>
      <c r="E115" s="8">
        <v>308</v>
      </c>
      <c r="F115" s="8">
        <v>308</v>
      </c>
      <c r="G115" s="9">
        <f t="shared" si="24"/>
        <v>0</v>
      </c>
      <c r="H115" s="8">
        <v>0</v>
      </c>
      <c r="I115" s="9">
        <f t="shared" si="25"/>
        <v>0</v>
      </c>
      <c r="J115" s="10">
        <f t="shared" si="26"/>
        <v>-1</v>
      </c>
      <c r="K115" s="10">
        <f t="shared" si="27"/>
        <v>-1</v>
      </c>
      <c r="L115" s="9">
        <f t="shared" si="28"/>
        <v>0</v>
      </c>
      <c r="M115" s="10" t="str">
        <f t="shared" si="29"/>
        <v>n/a</v>
      </c>
      <c r="N115" s="10" t="str">
        <f t="shared" si="30"/>
        <v>n/a</v>
      </c>
      <c r="O115" s="11" t="str">
        <f t="shared" si="31"/>
        <v>Sin estimación</v>
      </c>
      <c r="P115" s="8">
        <v>0</v>
      </c>
      <c r="Q115" s="8">
        <v>0</v>
      </c>
    </row>
    <row r="116" spans="1:17" x14ac:dyDescent="0.35">
      <c r="A116" s="7" t="s">
        <v>134</v>
      </c>
      <c r="B116" s="7" t="s">
        <v>138</v>
      </c>
      <c r="C116" s="7" t="s">
        <v>168</v>
      </c>
      <c r="D116" s="7" t="s">
        <v>137</v>
      </c>
      <c r="E116" s="8">
        <v>140.19999999999999</v>
      </c>
      <c r="F116" s="8">
        <v>140.19999999999999</v>
      </c>
      <c r="G116" s="9">
        <f t="shared" si="24"/>
        <v>0</v>
      </c>
      <c r="H116" s="8">
        <v>0</v>
      </c>
      <c r="I116" s="9">
        <f t="shared" si="25"/>
        <v>0</v>
      </c>
      <c r="J116" s="10">
        <f t="shared" si="26"/>
        <v>-1</v>
      </c>
      <c r="K116" s="10">
        <f t="shared" si="27"/>
        <v>-1</v>
      </c>
      <c r="L116" s="9">
        <f t="shared" si="28"/>
        <v>0</v>
      </c>
      <c r="M116" s="10" t="str">
        <f t="shared" si="29"/>
        <v>n/a</v>
      </c>
      <c r="N116" s="10" t="str">
        <f t="shared" si="30"/>
        <v>n/a</v>
      </c>
      <c r="O116" s="11" t="str">
        <f t="shared" si="31"/>
        <v>Sin estimación</v>
      </c>
      <c r="P116" s="8">
        <v>0</v>
      </c>
      <c r="Q116" s="8">
        <v>0</v>
      </c>
    </row>
    <row r="117" spans="1:17" x14ac:dyDescent="0.35">
      <c r="A117" s="7" t="s">
        <v>134</v>
      </c>
      <c r="B117" s="7" t="s">
        <v>138</v>
      </c>
      <c r="C117" s="7" t="s">
        <v>169</v>
      </c>
      <c r="D117" s="7" t="s">
        <v>137</v>
      </c>
      <c r="E117" s="8">
        <v>131.6</v>
      </c>
      <c r="F117" s="8">
        <v>131.6</v>
      </c>
      <c r="G117" s="9">
        <f t="shared" si="24"/>
        <v>0</v>
      </c>
      <c r="H117" s="8">
        <v>0</v>
      </c>
      <c r="I117" s="9">
        <f t="shared" si="25"/>
        <v>0</v>
      </c>
      <c r="J117" s="10">
        <f t="shared" si="26"/>
        <v>-1</v>
      </c>
      <c r="K117" s="10">
        <f t="shared" si="27"/>
        <v>-1</v>
      </c>
      <c r="L117" s="9">
        <f t="shared" si="28"/>
        <v>0</v>
      </c>
      <c r="M117" s="10" t="str">
        <f t="shared" si="29"/>
        <v>n/a</v>
      </c>
      <c r="N117" s="10" t="str">
        <f t="shared" si="30"/>
        <v>n/a</v>
      </c>
      <c r="O117" s="11" t="str">
        <f t="shared" si="31"/>
        <v>Sin estimación</v>
      </c>
      <c r="P117" s="8">
        <v>0</v>
      </c>
      <c r="Q117" s="8">
        <v>0</v>
      </c>
    </row>
    <row r="118" spans="1:17" x14ac:dyDescent="0.35">
      <c r="A118" s="7" t="s">
        <v>134</v>
      </c>
      <c r="B118" s="7" t="s">
        <v>138</v>
      </c>
      <c r="C118" s="7" t="s">
        <v>170</v>
      </c>
      <c r="D118" s="7" t="s">
        <v>137</v>
      </c>
      <c r="E118" s="8">
        <v>0</v>
      </c>
      <c r="F118" s="8">
        <v>0</v>
      </c>
      <c r="G118" s="9">
        <f t="shared" si="24"/>
        <v>0</v>
      </c>
      <c r="H118" s="8">
        <v>47.46</v>
      </c>
      <c r="I118" s="9">
        <f t="shared" si="25"/>
        <v>0</v>
      </c>
      <c r="J118" s="10" t="str">
        <f t="shared" si="26"/>
        <v>n/a</v>
      </c>
      <c r="K118" s="10" t="str">
        <f t="shared" si="27"/>
        <v>n/a</v>
      </c>
      <c r="L118" s="9">
        <f t="shared" si="28"/>
        <v>0</v>
      </c>
      <c r="M118" s="10" t="str">
        <f t="shared" si="29"/>
        <v>n/a</v>
      </c>
      <c r="N118" s="10" t="str">
        <f t="shared" si="30"/>
        <v>n/a</v>
      </c>
      <c r="O118" s="11" t="str">
        <f t="shared" si="31"/>
        <v>Sin estimación</v>
      </c>
      <c r="P118" s="8">
        <v>0</v>
      </c>
      <c r="Q118" s="8">
        <v>0</v>
      </c>
    </row>
    <row r="119" spans="1:17" x14ac:dyDescent="0.35">
      <c r="A119" s="7" t="s">
        <v>134</v>
      </c>
      <c r="B119" s="7" t="s">
        <v>138</v>
      </c>
      <c r="C119" s="7" t="s">
        <v>171</v>
      </c>
      <c r="D119" s="7" t="s">
        <v>137</v>
      </c>
      <c r="E119" s="8">
        <v>0</v>
      </c>
      <c r="F119" s="8">
        <v>0</v>
      </c>
      <c r="G119" s="9">
        <f t="shared" si="24"/>
        <v>0</v>
      </c>
      <c r="H119" s="8">
        <v>2000</v>
      </c>
      <c r="I119" s="9">
        <f t="shared" si="25"/>
        <v>0</v>
      </c>
      <c r="J119" s="10" t="str">
        <f t="shared" si="26"/>
        <v>n/a</v>
      </c>
      <c r="K119" s="10" t="str">
        <f t="shared" si="27"/>
        <v>n/a</v>
      </c>
      <c r="L119" s="9">
        <f t="shared" si="28"/>
        <v>0</v>
      </c>
      <c r="M119" s="10" t="str">
        <f t="shared" si="29"/>
        <v>n/a</v>
      </c>
      <c r="N119" s="10" t="str">
        <f t="shared" si="30"/>
        <v>n/a</v>
      </c>
      <c r="O119" s="11" t="str">
        <f t="shared" si="31"/>
        <v>Sin estimación</v>
      </c>
      <c r="P119" s="8">
        <v>0</v>
      </c>
      <c r="Q119" s="8">
        <v>0</v>
      </c>
    </row>
    <row r="120" spans="1:17" x14ac:dyDescent="0.35">
      <c r="A120" s="7" t="s">
        <v>134</v>
      </c>
      <c r="B120" s="7" t="s">
        <v>138</v>
      </c>
      <c r="C120" s="7" t="s">
        <v>172</v>
      </c>
      <c r="D120" s="7" t="s">
        <v>137</v>
      </c>
      <c r="E120" s="8">
        <v>0</v>
      </c>
      <c r="F120" s="8">
        <v>0</v>
      </c>
      <c r="G120" s="9">
        <f t="shared" si="24"/>
        <v>0</v>
      </c>
      <c r="H120" s="8">
        <v>25356.240000000002</v>
      </c>
      <c r="I120" s="9">
        <f t="shared" si="25"/>
        <v>0</v>
      </c>
      <c r="J120" s="10" t="str">
        <f t="shared" si="26"/>
        <v>n/a</v>
      </c>
      <c r="K120" s="10" t="str">
        <f t="shared" si="27"/>
        <v>n/a</v>
      </c>
      <c r="L120" s="9">
        <f t="shared" si="28"/>
        <v>0</v>
      </c>
      <c r="M120" s="10" t="str">
        <f t="shared" si="29"/>
        <v>n/a</v>
      </c>
      <c r="N120" s="10" t="str">
        <f t="shared" si="30"/>
        <v>n/a</v>
      </c>
      <c r="O120" s="11" t="str">
        <f t="shared" si="31"/>
        <v>Sin estimación</v>
      </c>
      <c r="P120" s="8">
        <v>0</v>
      </c>
      <c r="Q120" s="8">
        <v>0</v>
      </c>
    </row>
    <row r="121" spans="1:17" x14ac:dyDescent="0.35">
      <c r="A121" s="7" t="s">
        <v>134</v>
      </c>
      <c r="B121" s="7" t="s">
        <v>138</v>
      </c>
      <c r="C121" s="7" t="s">
        <v>173</v>
      </c>
      <c r="D121" s="7" t="s">
        <v>137</v>
      </c>
      <c r="E121" s="8">
        <v>0</v>
      </c>
      <c r="F121" s="8">
        <v>0</v>
      </c>
      <c r="G121" s="9">
        <f t="shared" si="24"/>
        <v>0</v>
      </c>
      <c r="H121" s="8">
        <v>1958</v>
      </c>
      <c r="I121" s="9">
        <f t="shared" si="25"/>
        <v>0</v>
      </c>
      <c r="J121" s="10" t="str">
        <f t="shared" si="26"/>
        <v>n/a</v>
      </c>
      <c r="K121" s="10" t="str">
        <f t="shared" si="27"/>
        <v>n/a</v>
      </c>
      <c r="L121" s="9">
        <f t="shared" si="28"/>
        <v>0</v>
      </c>
      <c r="M121" s="10" t="str">
        <f t="shared" si="29"/>
        <v>n/a</v>
      </c>
      <c r="N121" s="10" t="str">
        <f t="shared" si="30"/>
        <v>n/a</v>
      </c>
      <c r="O121" s="11" t="str">
        <f t="shared" si="31"/>
        <v>Sin estimación</v>
      </c>
      <c r="P121" s="8">
        <v>0</v>
      </c>
      <c r="Q121" s="8">
        <v>0</v>
      </c>
    </row>
    <row r="122" spans="1:17" x14ac:dyDescent="0.35">
      <c r="A122" s="12" t="s">
        <v>174</v>
      </c>
      <c r="B122" s="12"/>
      <c r="C122" s="12"/>
      <c r="D122" s="12"/>
      <c r="E122" s="13">
        <f>SUM(E8:E121)</f>
        <v>13040885.959999999</v>
      </c>
      <c r="F122" s="13">
        <f>SUM(F8:F121)</f>
        <v>11107206.790000001</v>
      </c>
      <c r="G122" s="13">
        <f>SUM(G8:G121)</f>
        <v>1933679.1700000004</v>
      </c>
      <c r="H122" s="13">
        <f>SUM(H8:H121)</f>
        <v>12009096.84</v>
      </c>
      <c r="I122" s="13">
        <f>SUM(I8:I121)</f>
        <v>15179999.970000004</v>
      </c>
      <c r="J122" s="14">
        <f>H122/F122-1</f>
        <v>8.1198636799666435E-2</v>
      </c>
      <c r="K122" s="14">
        <f>I122/E122-1</f>
        <v>0.16403134085837867</v>
      </c>
      <c r="L122" s="13">
        <f>SUM(L8:L121)</f>
        <v>3204478.03</v>
      </c>
      <c r="M122" s="14">
        <f>L122/G122-1</f>
        <v>0.6571921959525473</v>
      </c>
      <c r="N122" s="14">
        <f>H122/I122</f>
        <v>0.79111310037769367</v>
      </c>
      <c r="O122" s="12"/>
      <c r="P122" s="13">
        <f>SUM(P8:P121)</f>
        <v>11417132.069999997</v>
      </c>
      <c r="Q122" s="13">
        <f>SUM(Q8:Q121)</f>
        <v>3762867.8999999994</v>
      </c>
    </row>
    <row r="124" spans="1:17" x14ac:dyDescent="0.35">
      <c r="A124" s="2" t="s">
        <v>175</v>
      </c>
    </row>
  </sheetData>
  <autoFilter ref="A7:Q122" xr:uid="{00000000-0009-0000-0000-000000000000}"/>
  <conditionalFormatting sqref="O8:O121">
    <cfRule type="expression" dxfId="5" priority="2">
      <formula>$O8="Alcanzable"</formula>
    </cfRule>
    <cfRule type="expression" dxfId="4" priority="3">
      <formula>$O8="Ya cumplido"</formula>
    </cfRule>
    <cfRule type="expression" dxfId="3" priority="4">
      <formula>$O8="Exigente"</formula>
    </cfRule>
    <cfRule type="expression" dxfId="2" priority="5">
      <formula>$O8="Poco realista"</formula>
    </cfRule>
    <cfRule type="expression" dxfId="1" priority="6">
      <formula>$O8="Sin base 2025"</formula>
    </cfRule>
    <cfRule type="expression" dxfId="0" priority="7">
      <formula>$O8="Sin estimación"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7265625" defaultRowHeight="14.5" x14ac:dyDescent="0.35"/>
  <cols>
    <col min="1" max="1" width="18" customWidth="1"/>
    <col min="2" max="2" width="11" customWidth="1"/>
    <col min="3" max="3" width="16" customWidth="1"/>
    <col min="4" max="5" width="15" customWidth="1"/>
    <col min="6" max="7" width="16" customWidth="1"/>
    <col min="8" max="8" width="14" customWidth="1"/>
    <col min="9" max="9" width="15" customWidth="1"/>
    <col min="10" max="10" width="19" customWidth="1"/>
    <col min="11" max="11" width="21" customWidth="1"/>
    <col min="12" max="12" width="17" customWidth="1"/>
  </cols>
  <sheetData>
    <row r="1" spans="1:12" ht="18" x14ac:dyDescent="0.4">
      <c r="A1" s="1" t="s">
        <v>176</v>
      </c>
    </row>
    <row r="3" spans="1:12" ht="43.5" customHeight="1" x14ac:dyDescent="0.35">
      <c r="A3" s="6" t="s">
        <v>5</v>
      </c>
      <c r="B3" s="6" t="s">
        <v>177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  <c r="J3" s="6" t="s">
        <v>16</v>
      </c>
      <c r="K3" s="6" t="s">
        <v>17</v>
      </c>
      <c r="L3" s="6" t="s">
        <v>18</v>
      </c>
    </row>
    <row r="4" spans="1:12" x14ac:dyDescent="0.35">
      <c r="A4" s="7" t="s">
        <v>22</v>
      </c>
      <c r="B4" s="7">
        <f>COUNTIF('Comparativa Clientes'!$A$8:$A$121,A4)</f>
        <v>29</v>
      </c>
      <c r="C4" s="9">
        <f>SUMIFS('Comparativa Clientes'!$E$8:$E$121,'Comparativa Clientes'!$A$8:$A$121,$A4)</f>
        <v>540189.24999999988</v>
      </c>
      <c r="D4" s="9">
        <f>SUMIFS('Comparativa Clientes'!$F$8:$F$121,'Comparativa Clientes'!$A$8:$A$121,$A4)</f>
        <v>471099.39999999991</v>
      </c>
      <c r="E4" s="9">
        <f>SUMIFS('Comparativa Clientes'!$G$8:$G$121,'Comparativa Clientes'!$A$8:$A$121,$A4)</f>
        <v>69089.849999999991</v>
      </c>
      <c r="F4" s="9">
        <f>SUMIFS('Comparativa Clientes'!$H$8:$H$121,'Comparativa Clientes'!$A$8:$A$121,$A4)</f>
        <v>549726.63000000012</v>
      </c>
      <c r="G4" s="9">
        <f>SUMIFS('Comparativa Clientes'!$I$8:$I$121,'Comparativa Clientes'!$A$8:$A$121,$A4)</f>
        <v>534219.30000000005</v>
      </c>
      <c r="H4" s="10">
        <f t="shared" ref="H4:H11" si="0">IF(D4&lt;=0,"n/a",F4/D4-1)</f>
        <v>0.16690157109094228</v>
      </c>
      <c r="I4" s="10">
        <f t="shared" ref="I4:I11" si="1">IF(OR(C4&lt;=0,G4=0),"n/a",G4/C4-1)</f>
        <v>-1.105158979005938E-2</v>
      </c>
      <c r="J4" s="9">
        <f>SUMIFS('Comparativa Clientes'!$L$8:$L$121,'Comparativa Clientes'!$A$8:$A$121,$A4)</f>
        <v>-15507.329999999998</v>
      </c>
      <c r="K4" s="10">
        <f t="shared" ref="K4:K11" si="2">IF(OR(E4&lt;=0,G4=0),"n/a",J4/E4-1)</f>
        <v>-1.2244516379757664</v>
      </c>
      <c r="L4" s="10">
        <f t="shared" ref="L4:L11" si="3">IF(G4=0,"n/a",F4/G4)</f>
        <v>1.029028022761439</v>
      </c>
    </row>
    <row r="5" spans="1:12" x14ac:dyDescent="0.35">
      <c r="A5" s="7" t="s">
        <v>56</v>
      </c>
      <c r="B5" s="7">
        <f>COUNTIF('Comparativa Clientes'!$A$8:$A$121,A5)</f>
        <v>23</v>
      </c>
      <c r="C5" s="9">
        <f>SUMIFS('Comparativa Clientes'!$E$8:$E$121,'Comparativa Clientes'!$A$8:$A$121,$A5)</f>
        <v>4735620.6100000003</v>
      </c>
      <c r="D5" s="9">
        <f>SUMIFS('Comparativa Clientes'!$F$8:$F$121,'Comparativa Clientes'!$A$8:$A$121,$A5)</f>
        <v>4041949.2499999995</v>
      </c>
      <c r="E5" s="9">
        <f>SUMIFS('Comparativa Clientes'!$G$8:$G$121,'Comparativa Clientes'!$A$8:$A$121,$A5)</f>
        <v>693671.3600000001</v>
      </c>
      <c r="F5" s="9">
        <f>SUMIFS('Comparativa Clientes'!$H$8:$H$121,'Comparativa Clientes'!$A$8:$A$121,$A5)</f>
        <v>4785341.7700000005</v>
      </c>
      <c r="G5" s="9">
        <f>SUMIFS('Comparativa Clientes'!$I$8:$I$121,'Comparativa Clientes'!$A$8:$A$121,$A5)</f>
        <v>5792830.4400000013</v>
      </c>
      <c r="H5" s="10">
        <f t="shared" si="0"/>
        <v>0.18391931071376044</v>
      </c>
      <c r="I5" s="10">
        <f t="shared" si="1"/>
        <v>0.22324631068788281</v>
      </c>
      <c r="J5" s="9">
        <f>SUMIFS('Comparativa Clientes'!$L$8:$L$121,'Comparativa Clientes'!$A$8:$A$121,$A5)</f>
        <v>1007488.6700000002</v>
      </c>
      <c r="K5" s="10">
        <f t="shared" si="2"/>
        <v>0.45240055752049502</v>
      </c>
      <c r="L5" s="10">
        <f t="shared" si="3"/>
        <v>0.82608006907241693</v>
      </c>
    </row>
    <row r="6" spans="1:12" x14ac:dyDescent="0.35">
      <c r="A6" s="7" t="s">
        <v>87</v>
      </c>
      <c r="B6" s="7">
        <f>COUNTIF('Comparativa Clientes'!$A$8:$A$121,A6)</f>
        <v>6</v>
      </c>
      <c r="C6" s="9">
        <f>SUMIFS('Comparativa Clientes'!$E$8:$E$121,'Comparativa Clientes'!$A$8:$A$121,$A6)</f>
        <v>939712.68</v>
      </c>
      <c r="D6" s="9">
        <f>SUMIFS('Comparativa Clientes'!$F$8:$F$121,'Comparativa Clientes'!$A$8:$A$121,$A6)</f>
        <v>628722.29</v>
      </c>
      <c r="E6" s="9">
        <f>SUMIFS('Comparativa Clientes'!$G$8:$G$121,'Comparativa Clientes'!$A$8:$A$121,$A6)</f>
        <v>310990.39</v>
      </c>
      <c r="F6" s="9">
        <f>SUMIFS('Comparativa Clientes'!$H$8:$H$121,'Comparativa Clientes'!$A$8:$A$121,$A6)</f>
        <v>796950.27999999991</v>
      </c>
      <c r="G6" s="9">
        <f>SUMIFS('Comparativa Clientes'!$I$8:$I$121,'Comparativa Clientes'!$A$8:$A$121,$A6)</f>
        <v>1071709.1300000004</v>
      </c>
      <c r="H6" s="10">
        <f t="shared" si="0"/>
        <v>0.26757121971928166</v>
      </c>
      <c r="I6" s="10">
        <f t="shared" si="1"/>
        <v>0.14046468969642967</v>
      </c>
      <c r="J6" s="9">
        <f>SUMIFS('Comparativa Clientes'!$L$8:$L$121,'Comparativa Clientes'!$A$8:$A$121,$A6)</f>
        <v>274758.85000000009</v>
      </c>
      <c r="K6" s="10">
        <f t="shared" si="2"/>
        <v>-0.11650372862003844</v>
      </c>
      <c r="L6" s="10">
        <f t="shared" si="3"/>
        <v>0.74362553951555832</v>
      </c>
    </row>
    <row r="7" spans="1:12" x14ac:dyDescent="0.35">
      <c r="A7" s="7" t="s">
        <v>94</v>
      </c>
      <c r="B7" s="7">
        <f>COUNTIF('Comparativa Clientes'!$A$8:$A$121,A7)</f>
        <v>5</v>
      </c>
      <c r="C7" s="9">
        <f>SUMIFS('Comparativa Clientes'!$E$8:$E$121,'Comparativa Clientes'!$A$8:$A$121,$A7)</f>
        <v>1048148.91</v>
      </c>
      <c r="D7" s="9">
        <f>SUMIFS('Comparativa Clientes'!$F$8:$F$121,'Comparativa Clientes'!$A$8:$A$121,$A7)</f>
        <v>882363.5</v>
      </c>
      <c r="E7" s="9">
        <f>SUMIFS('Comparativa Clientes'!$G$8:$G$121,'Comparativa Clientes'!$A$8:$A$121,$A7)</f>
        <v>165785.40999999997</v>
      </c>
      <c r="F7" s="9">
        <f>SUMIFS('Comparativa Clientes'!$H$8:$H$121,'Comparativa Clientes'!$A$8:$A$121,$A7)</f>
        <v>803334.58000000007</v>
      </c>
      <c r="G7" s="9">
        <f>SUMIFS('Comparativa Clientes'!$I$8:$I$121,'Comparativa Clientes'!$A$8:$A$121,$A7)</f>
        <v>992147.64</v>
      </c>
      <c r="H7" s="10">
        <f t="shared" si="0"/>
        <v>-8.9565037538384074E-2</v>
      </c>
      <c r="I7" s="10">
        <f t="shared" si="1"/>
        <v>-5.3428734663283683E-2</v>
      </c>
      <c r="J7" s="9">
        <f>SUMIFS('Comparativa Clientes'!$L$8:$L$121,'Comparativa Clientes'!$A$8:$A$121,$A7)</f>
        <v>188813.05999999991</v>
      </c>
      <c r="K7" s="10">
        <f t="shared" si="2"/>
        <v>0.13890034110963034</v>
      </c>
      <c r="L7" s="10">
        <f t="shared" si="3"/>
        <v>0.80969257760871161</v>
      </c>
    </row>
    <row r="8" spans="1:12" x14ac:dyDescent="0.35">
      <c r="A8" s="7" t="s">
        <v>100</v>
      </c>
      <c r="B8" s="7">
        <f>COUNTIF('Comparativa Clientes'!$A$8:$A$121,A8)</f>
        <v>5</v>
      </c>
      <c r="C8" s="9">
        <f>SUMIFS('Comparativa Clientes'!$E$8:$E$121,'Comparativa Clientes'!$A$8:$A$121,$A8)</f>
        <v>803702.98</v>
      </c>
      <c r="D8" s="9">
        <f>SUMIFS('Comparativa Clientes'!$F$8:$F$121,'Comparativa Clientes'!$A$8:$A$121,$A8)</f>
        <v>783697.87999999989</v>
      </c>
      <c r="E8" s="9">
        <f>SUMIFS('Comparativa Clientes'!$G$8:$G$121,'Comparativa Clientes'!$A$8:$A$121,$A8)</f>
        <v>20005.099999999999</v>
      </c>
      <c r="F8" s="9">
        <f>SUMIFS('Comparativa Clientes'!$H$8:$H$121,'Comparativa Clientes'!$A$8:$A$121,$A8)</f>
        <v>1367890.81</v>
      </c>
      <c r="G8" s="9">
        <f>SUMIFS('Comparativa Clientes'!$I$8:$I$121,'Comparativa Clientes'!$A$8:$A$121,$A8)</f>
        <v>1804249.9500000002</v>
      </c>
      <c r="H8" s="10">
        <f t="shared" si="0"/>
        <v>0.74543130064355956</v>
      </c>
      <c r="I8" s="10">
        <f t="shared" si="1"/>
        <v>1.2449213140904369</v>
      </c>
      <c r="J8" s="9">
        <f>SUMIFS('Comparativa Clientes'!$L$8:$L$121,'Comparativa Clientes'!$A$8:$A$121,$A8)</f>
        <v>436359.14</v>
      </c>
      <c r="K8" s="10">
        <f t="shared" si="2"/>
        <v>20.812394839315978</v>
      </c>
      <c r="L8" s="10">
        <f t="shared" si="3"/>
        <v>0.75814928524731284</v>
      </c>
    </row>
    <row r="9" spans="1:12" x14ac:dyDescent="0.35">
      <c r="A9" s="7" t="s">
        <v>110</v>
      </c>
      <c r="B9" s="7">
        <f>COUNTIF('Comparativa Clientes'!$A$8:$A$121,A9)</f>
        <v>3</v>
      </c>
      <c r="C9" s="9">
        <f>SUMIFS('Comparativa Clientes'!$E$8:$E$121,'Comparativa Clientes'!$A$8:$A$121,$A9)</f>
        <v>1350442.04</v>
      </c>
      <c r="D9" s="9">
        <f>SUMIFS('Comparativa Clientes'!$F$8:$F$121,'Comparativa Clientes'!$A$8:$A$121,$A9)</f>
        <v>1123401.94</v>
      </c>
      <c r="E9" s="9">
        <f>SUMIFS('Comparativa Clientes'!$G$8:$G$121,'Comparativa Clientes'!$A$8:$A$121,$A9)</f>
        <v>227040.10000000009</v>
      </c>
      <c r="F9" s="9">
        <f>SUMIFS('Comparativa Clientes'!$H$8:$H$121,'Comparativa Clientes'!$A$8:$A$121,$A9)</f>
        <v>979461.96</v>
      </c>
      <c r="G9" s="9">
        <f>SUMIFS('Comparativa Clientes'!$I$8:$I$121,'Comparativa Clientes'!$A$8:$A$121,$A9)</f>
        <v>1227858.49</v>
      </c>
      <c r="H9" s="10">
        <f t="shared" si="0"/>
        <v>-0.12812865535909612</v>
      </c>
      <c r="I9" s="10">
        <f t="shared" si="1"/>
        <v>-9.0772907217847032E-2</v>
      </c>
      <c r="J9" s="9">
        <f>SUMIFS('Comparativa Clientes'!$L$8:$L$121,'Comparativa Clientes'!$A$8:$A$121,$A9)</f>
        <v>248396.53000000003</v>
      </c>
      <c r="K9" s="10">
        <f t="shared" si="2"/>
        <v>9.4064572734067431E-2</v>
      </c>
      <c r="L9" s="10">
        <f t="shared" si="3"/>
        <v>0.79769938309421962</v>
      </c>
    </row>
    <row r="10" spans="1:12" x14ac:dyDescent="0.35">
      <c r="A10" s="7" t="s">
        <v>114</v>
      </c>
      <c r="B10" s="7">
        <f>COUNTIF('Comparativa Clientes'!$A$8:$A$121,A10)</f>
        <v>10</v>
      </c>
      <c r="C10" s="9">
        <f>SUMIFS('Comparativa Clientes'!$E$8:$E$121,'Comparativa Clientes'!$A$8:$A$121,$A10)</f>
        <v>3377873.88</v>
      </c>
      <c r="D10" s="9">
        <f>SUMIFS('Comparativa Clientes'!$F$8:$F$121,'Comparativa Clientes'!$A$8:$A$121,$A10)</f>
        <v>2932346.6799999997</v>
      </c>
      <c r="E10" s="9">
        <f>SUMIFS('Comparativa Clientes'!$G$8:$G$121,'Comparativa Clientes'!$A$8:$A$121,$A10)</f>
        <v>445527.2</v>
      </c>
      <c r="F10" s="9">
        <f>SUMIFS('Comparativa Clientes'!$H$8:$H$121,'Comparativa Clientes'!$A$8:$A$121,$A10)</f>
        <v>2692815.91</v>
      </c>
      <c r="G10" s="9">
        <f>SUMIFS('Comparativa Clientes'!$I$8:$I$121,'Comparativa Clientes'!$A$8:$A$121,$A10)</f>
        <v>3756985.02</v>
      </c>
      <c r="H10" s="10">
        <f t="shared" si="0"/>
        <v>-8.1685692770815055E-2</v>
      </c>
      <c r="I10" s="10">
        <f t="shared" si="1"/>
        <v>0.11223365746266412</v>
      </c>
      <c r="J10" s="9">
        <f>SUMIFS('Comparativa Clientes'!$L$8:$L$121,'Comparativa Clientes'!$A$8:$A$121,$A10)</f>
        <v>1064169.1099999999</v>
      </c>
      <c r="K10" s="10">
        <f t="shared" si="2"/>
        <v>1.3885614840126479</v>
      </c>
      <c r="L10" s="10">
        <f t="shared" si="3"/>
        <v>0.71674917404914229</v>
      </c>
    </row>
    <row r="11" spans="1:12" x14ac:dyDescent="0.35">
      <c r="A11" s="7" t="s">
        <v>134</v>
      </c>
      <c r="B11" s="7">
        <f>COUNTIF('Comparativa Clientes'!$A$8:$A$121,A11)</f>
        <v>33</v>
      </c>
      <c r="C11" s="9">
        <f>SUMIFS('Comparativa Clientes'!$E$8:$E$121,'Comparativa Clientes'!$A$8:$A$121,$A11)</f>
        <v>245195.61</v>
      </c>
      <c r="D11" s="9">
        <f>SUMIFS('Comparativa Clientes'!$F$8:$F$121,'Comparativa Clientes'!$A$8:$A$121,$A11)</f>
        <v>243625.84999999998</v>
      </c>
      <c r="E11" s="9">
        <f>SUMIFS('Comparativa Clientes'!$G$8:$G$121,'Comparativa Clientes'!$A$8:$A$121,$A11)</f>
        <v>1569.76</v>
      </c>
      <c r="F11" s="9">
        <f>SUMIFS('Comparativa Clientes'!$H$8:$H$121,'Comparativa Clientes'!$A$8:$A$121,$A11)</f>
        <v>33574.9</v>
      </c>
      <c r="G11" s="9">
        <f>SUMIFS('Comparativa Clientes'!$I$8:$I$121,'Comparativa Clientes'!$A$8:$A$121,$A11)</f>
        <v>0</v>
      </c>
      <c r="H11" s="10">
        <f t="shared" si="0"/>
        <v>-0.86218662756846198</v>
      </c>
      <c r="I11" s="10" t="str">
        <f t="shared" si="1"/>
        <v>n/a</v>
      </c>
      <c r="J11" s="9">
        <f>SUMIFS('Comparativa Clientes'!$L$8:$L$121,'Comparativa Clientes'!$A$8:$A$121,$A11)</f>
        <v>0</v>
      </c>
      <c r="K11" s="10" t="str">
        <f t="shared" si="2"/>
        <v>n/a</v>
      </c>
      <c r="L11" s="10" t="str">
        <f t="shared" si="3"/>
        <v>n/a</v>
      </c>
    </row>
    <row r="12" spans="1:12" x14ac:dyDescent="0.35">
      <c r="A12" s="12" t="s">
        <v>174</v>
      </c>
      <c r="B12" s="12">
        <f t="shared" ref="B12:G12" si="4">SUM(B4:B11)</f>
        <v>114</v>
      </c>
      <c r="C12" s="13">
        <f t="shared" si="4"/>
        <v>13040885.959999997</v>
      </c>
      <c r="D12" s="13">
        <f t="shared" si="4"/>
        <v>11107206.789999999</v>
      </c>
      <c r="E12" s="13">
        <f t="shared" si="4"/>
        <v>1933679.1700000002</v>
      </c>
      <c r="F12" s="13">
        <f t="shared" si="4"/>
        <v>12009096.840000002</v>
      </c>
      <c r="G12" s="13">
        <f t="shared" si="4"/>
        <v>15179999.970000001</v>
      </c>
      <c r="H12" s="15">
        <f>F12/D12-1</f>
        <v>8.1198636799666879E-2</v>
      </c>
      <c r="I12" s="15">
        <f>G12/C12-1</f>
        <v>0.16403134085837867</v>
      </c>
      <c r="J12" s="13">
        <f>SUM(J4:J11)</f>
        <v>3204478.03</v>
      </c>
      <c r="K12" s="15">
        <f>J12/E12-1</f>
        <v>0.65719219595254752</v>
      </c>
      <c r="L12" s="15">
        <f>F12/G12</f>
        <v>0.791113100377694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zoomScale="160" zoomScaleNormal="160" workbookViewId="0"/>
  </sheetViews>
  <sheetFormatPr baseColWidth="10" defaultColWidth="8.7265625" defaultRowHeight="14.5" x14ac:dyDescent="0.35"/>
  <cols>
    <col min="1" max="1" width="36" customWidth="1"/>
    <col min="2" max="2" width="120" customWidth="1"/>
  </cols>
  <sheetData>
    <row r="1" spans="1:2" x14ac:dyDescent="0.35">
      <c r="A1" s="16" t="s">
        <v>178</v>
      </c>
      <c r="B1" s="17"/>
    </row>
    <row r="2" spans="1:2" x14ac:dyDescent="0.35">
      <c r="A2" s="18" t="s">
        <v>179</v>
      </c>
      <c r="B2" s="17" t="s">
        <v>180</v>
      </c>
    </row>
    <row r="3" spans="1:2" ht="25" x14ac:dyDescent="0.35">
      <c r="A3" s="18" t="s">
        <v>181</v>
      </c>
      <c r="B3" s="17" t="s">
        <v>182</v>
      </c>
    </row>
    <row r="4" spans="1:2" x14ac:dyDescent="0.35">
      <c r="A4" s="16"/>
      <c r="B4" s="17"/>
    </row>
    <row r="5" spans="1:2" x14ac:dyDescent="0.35">
      <c r="A5" s="16" t="s">
        <v>183</v>
      </c>
      <c r="B5" s="17"/>
    </row>
    <row r="6" spans="1:2" ht="37.5" x14ac:dyDescent="0.35">
      <c r="A6" s="18" t="s">
        <v>184</v>
      </c>
      <c r="B6" s="17" t="s">
        <v>185</v>
      </c>
    </row>
    <row r="7" spans="1:2" ht="25" x14ac:dyDescent="0.35">
      <c r="A7" s="18" t="s">
        <v>186</v>
      </c>
      <c r="B7" s="17" t="s">
        <v>187</v>
      </c>
    </row>
    <row r="8" spans="1:2" ht="37.5" x14ac:dyDescent="0.35">
      <c r="A8" s="18" t="s">
        <v>188</v>
      </c>
      <c r="B8" s="17" t="s">
        <v>189</v>
      </c>
    </row>
    <row r="9" spans="1:2" ht="37.5" x14ac:dyDescent="0.35">
      <c r="A9" s="18" t="s">
        <v>190</v>
      </c>
      <c r="B9" s="17" t="s">
        <v>191</v>
      </c>
    </row>
    <row r="10" spans="1:2" x14ac:dyDescent="0.35">
      <c r="A10" s="18" t="s">
        <v>192</v>
      </c>
      <c r="B10" s="17" t="s">
        <v>193</v>
      </c>
    </row>
    <row r="11" spans="1:2" x14ac:dyDescent="0.35">
      <c r="A11" s="16"/>
      <c r="B11" s="17"/>
    </row>
    <row r="12" spans="1:2" x14ac:dyDescent="0.35">
      <c r="A12" s="16" t="s">
        <v>194</v>
      </c>
      <c r="B12" s="17"/>
    </row>
    <row r="13" spans="1:2" ht="25" x14ac:dyDescent="0.35">
      <c r="A13" s="18" t="s">
        <v>195</v>
      </c>
      <c r="B13" s="17" t="s">
        <v>196</v>
      </c>
    </row>
    <row r="14" spans="1:2" ht="25" x14ac:dyDescent="0.35">
      <c r="A14" s="18" t="s">
        <v>19</v>
      </c>
      <c r="B14" s="17" t="s">
        <v>197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Comparativa Clientes</vt:lpstr>
      <vt:lpstr>Resumen por Comercial</vt:lpstr>
      <vt:lpstr>Notas y supuestos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Oscar Ocampo</cp:lastModifiedBy>
  <cp:revision>0</cp:revision>
  <dcterms:created xsi:type="dcterms:W3CDTF">2026-10-20T07:56:18Z</dcterms:created>
  <dcterms:modified xsi:type="dcterms:W3CDTF">2026-10-20T08:12:32Z</dcterms:modified>
  <dc:language>en-US</dc:language>
</cp:coreProperties>
</file>