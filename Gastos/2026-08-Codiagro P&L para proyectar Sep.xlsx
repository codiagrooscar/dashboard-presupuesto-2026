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66" documentId="8_{684F3CC1-BFEB-4F21-8D99-3D56A49536AD}" xr6:coauthVersionLast="47" xr6:coauthVersionMax="47" xr10:uidLastSave="{82563A28-2021-4113-93E7-94CE441A38D2}"/>
  <bookViews>
    <workbookView xWindow="-25710" yWindow="-110" windowWidth="25820" windowHeight="13900" tabRatio="804" activeTab="1" xr2:uid="{DA978C05-6AA7-4636-9B27-353885F16E02}"/>
  </bookViews>
  <sheets>
    <sheet name="2026" sheetId="24" r:id="rId1"/>
    <sheet name="TABLA" sheetId="18" r:id="rId2"/>
    <sheet name="PL Mensual 2026" sheetId="12" r:id="rId3"/>
    <sheet name="Ginger" sheetId="21" state="hidden" r:id="rId4"/>
    <sheet name="Extraitems 2026" sheetId="6" state="hidden" r:id="rId5"/>
    <sheet name="Ext Items 2026" sheetId="14" state="hidden" r:id="rId6"/>
    <sheet name="Ext Items Budget" sheetId="15" state="hidden" r:id="rId7"/>
    <sheet name="Ext Items 2025" sheetId="16" state="hidden" r:id="rId8"/>
    <sheet name="Cuenta Ok" sheetId="19" state="hidden" r:id="rId9"/>
    <sheet name="P&amp;L Mensualitzada 2025" sheetId="8" r:id="rId10"/>
    <sheet name="Budget26 sin EI" sheetId="7" r:id="rId11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6" hidden="1">'Ext Items Budget'!$A$2:$N$45</definedName>
    <definedName name="_xlnm._FilterDatabase" localSheetId="3" hidden="1">Ginger!$A$1:$I$155</definedName>
    <definedName name="_xlnm._FilterDatabase" localSheetId="2" hidden="1">'PL Mensual 2026'!$B$3:$W$259</definedName>
    <definedName name="Datos" localSheetId="10">#REF!</definedName>
    <definedName name="Datos">#REF!</definedName>
  </definedNames>
  <calcPr calcId="191029"/>
  <pivotCaches>
    <pivotCache cacheId="17" r:id="rId12"/>
    <pivotCache cacheId="18" r:id="rId13"/>
    <pivotCache cacheId="2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8" i="24" l="1"/>
  <c r="AN28" i="24"/>
  <c r="AQ27" i="24"/>
  <c r="AN27" i="24"/>
  <c r="AQ19" i="24"/>
  <c r="AN19" i="24"/>
  <c r="AQ18" i="24"/>
  <c r="AQ20" i="24" s="1"/>
  <c r="AN18" i="24"/>
  <c r="AN20" i="24" s="1"/>
  <c r="AN16" i="24"/>
  <c r="AQ15" i="24"/>
  <c r="AN15" i="24"/>
  <c r="AQ11" i="24"/>
  <c r="AN11" i="24"/>
  <c r="AQ10" i="24"/>
  <c r="AQ12" i="24" s="1"/>
  <c r="AN10" i="24"/>
  <c r="AN12" i="24" s="1"/>
  <c r="AE28" i="24"/>
  <c r="AE27" i="24"/>
  <c r="AE19" i="24"/>
  <c r="AE18" i="24"/>
  <c r="AE20" i="24" s="1"/>
  <c r="AE15" i="24"/>
  <c r="AE16" i="24" s="1"/>
  <c r="AE11" i="24"/>
  <c r="AE10" i="24"/>
  <c r="AE12" i="24" s="1"/>
  <c r="AH28" i="24"/>
  <c r="AH27" i="24"/>
  <c r="AH19" i="24"/>
  <c r="AH18" i="24"/>
  <c r="AH20" i="24" s="1"/>
  <c r="AH15" i="24"/>
  <c r="AH16" i="24" s="1"/>
  <c r="AH11" i="24"/>
  <c r="AH10" i="24"/>
  <c r="Y28" i="24"/>
  <c r="Y27" i="24"/>
  <c r="Y19" i="24"/>
  <c r="Y18" i="24"/>
  <c r="Y20" i="24" s="1"/>
  <c r="Y15" i="24"/>
  <c r="Y16" i="24" s="1"/>
  <c r="Y11" i="24"/>
  <c r="Y10" i="24"/>
  <c r="V28" i="24"/>
  <c r="V27" i="24"/>
  <c r="V19" i="24"/>
  <c r="V20" i="24" s="1"/>
  <c r="V18" i="24"/>
  <c r="V15" i="24"/>
  <c r="V16" i="24" s="1"/>
  <c r="V11" i="24"/>
  <c r="V10" i="24"/>
  <c r="V12" i="24" s="1"/>
  <c r="AM28" i="24"/>
  <c r="AM18" i="24"/>
  <c r="AM15" i="24"/>
  <c r="AM11" i="24"/>
  <c r="AM10" i="24"/>
  <c r="AM27" i="24"/>
  <c r="AM19" i="24"/>
  <c r="AD28" i="24"/>
  <c r="AD19" i="24"/>
  <c r="AD15" i="24"/>
  <c r="AD11" i="24"/>
  <c r="AD10" i="24"/>
  <c r="AD18" i="24"/>
  <c r="AD27" i="24"/>
  <c r="U11" i="24"/>
  <c r="U10" i="24"/>
  <c r="U28" i="24"/>
  <c r="U27" i="24"/>
  <c r="U19" i="24"/>
  <c r="U18" i="24"/>
  <c r="U15" i="24"/>
  <c r="L19" i="24"/>
  <c r="L28" i="24"/>
  <c r="L27" i="24"/>
  <c r="L18" i="24"/>
  <c r="L15" i="24"/>
  <c r="AM20" i="24" l="1"/>
  <c r="AS18" i="24"/>
  <c r="AR18" i="24"/>
  <c r="AP18" i="24"/>
  <c r="AO18" i="24"/>
  <c r="AP19" i="24"/>
  <c r="AS19" i="24"/>
  <c r="AR19" i="24"/>
  <c r="AO19" i="24"/>
  <c r="AP10" i="24"/>
  <c r="AO10" i="24"/>
  <c r="AM12" i="24"/>
  <c r="AS10" i="24"/>
  <c r="AR10" i="24"/>
  <c r="AO11" i="24"/>
  <c r="AP11" i="24"/>
  <c r="AS11" i="24"/>
  <c r="AR11" i="24"/>
  <c r="AS27" i="24"/>
  <c r="AR27" i="24"/>
  <c r="AP27" i="24"/>
  <c r="AO27" i="24"/>
  <c r="AR28" i="24"/>
  <c r="AS28" i="24"/>
  <c r="AO28" i="24"/>
  <c r="AM16" i="24"/>
  <c r="AS15" i="24"/>
  <c r="AR15" i="24"/>
  <c r="AP15" i="24"/>
  <c r="AO15" i="24"/>
  <c r="AQ13" i="24"/>
  <c r="AN22" i="24"/>
  <c r="AN23" i="24" s="1"/>
  <c r="AN21" i="24"/>
  <c r="AQ22" i="24"/>
  <c r="AQ23" i="24" s="1"/>
  <c r="AQ21" i="24"/>
  <c r="AN13" i="24"/>
  <c r="AN24" i="24"/>
  <c r="AQ16" i="24"/>
  <c r="AJ27" i="24"/>
  <c r="AI27" i="24"/>
  <c r="AG27" i="24"/>
  <c r="AF27" i="24"/>
  <c r="AG19" i="24"/>
  <c r="AF19" i="24"/>
  <c r="AJ19" i="24"/>
  <c r="AI19" i="24"/>
  <c r="AG10" i="24"/>
  <c r="AF10" i="24"/>
  <c r="AI10" i="24"/>
  <c r="AD12" i="24"/>
  <c r="AJ10" i="24"/>
  <c r="AG18" i="24"/>
  <c r="AJ18" i="24"/>
  <c r="AI18" i="24"/>
  <c r="AD20" i="24"/>
  <c r="AF18" i="24"/>
  <c r="AJ11" i="24"/>
  <c r="AI11" i="24"/>
  <c r="AF11" i="24"/>
  <c r="AG11" i="24"/>
  <c r="AD16" i="24"/>
  <c r="AJ15" i="24"/>
  <c r="AI15" i="24"/>
  <c r="AG15" i="24"/>
  <c r="AF15" i="24"/>
  <c r="AI28" i="24"/>
  <c r="AJ28" i="24"/>
  <c r="AF28" i="24"/>
  <c r="AH21" i="24"/>
  <c r="AH22" i="24"/>
  <c r="AH23" i="24" s="1"/>
  <c r="AE22" i="24"/>
  <c r="AE23" i="24" s="1"/>
  <c r="AE21" i="24"/>
  <c r="AE24" i="24"/>
  <c r="AE13" i="24"/>
  <c r="AH12" i="24"/>
  <c r="AA19" i="24"/>
  <c r="X19" i="24"/>
  <c r="W19" i="24"/>
  <c r="Z19" i="24"/>
  <c r="X10" i="24"/>
  <c r="AA10" i="24"/>
  <c r="Z10" i="24"/>
  <c r="W10" i="24"/>
  <c r="U12" i="24"/>
  <c r="U20" i="24"/>
  <c r="AA18" i="24"/>
  <c r="X18" i="24"/>
  <c r="W18" i="24"/>
  <c r="Z18" i="24"/>
  <c r="Z11" i="24"/>
  <c r="X11" i="24"/>
  <c r="AA11" i="24"/>
  <c r="W11" i="24"/>
  <c r="Z27" i="24"/>
  <c r="X27" i="24"/>
  <c r="W27" i="24"/>
  <c r="AA27" i="24"/>
  <c r="AA28" i="24"/>
  <c r="W28" i="24"/>
  <c r="Z28" i="24"/>
  <c r="U16" i="24"/>
  <c r="AA15" i="24"/>
  <c r="Z15" i="24"/>
  <c r="X15" i="24"/>
  <c r="W15" i="24"/>
  <c r="V22" i="24"/>
  <c r="V23" i="24" s="1"/>
  <c r="V21" i="24"/>
  <c r="Y22" i="24"/>
  <c r="Y23" i="24" s="1"/>
  <c r="Y21" i="24"/>
  <c r="V24" i="24"/>
  <c r="V13" i="24"/>
  <c r="Y12" i="24"/>
  <c r="AQ24" i="24" l="1"/>
  <c r="AP12" i="24"/>
  <c r="AM13" i="24"/>
  <c r="AS12" i="24"/>
  <c r="AO12" i="24"/>
  <c r="AR12" i="24"/>
  <c r="AN25" i="24"/>
  <c r="AN29" i="24"/>
  <c r="AN30" i="24" s="1"/>
  <c r="AP20" i="24"/>
  <c r="AM22" i="24"/>
  <c r="AO20" i="24"/>
  <c r="AM21" i="24"/>
  <c r="AS20" i="24"/>
  <c r="AR20" i="24"/>
  <c r="AG12" i="24"/>
  <c r="AF12" i="24"/>
  <c r="AD13" i="24"/>
  <c r="AJ12" i="24"/>
  <c r="AI12" i="24"/>
  <c r="AD22" i="24"/>
  <c r="AF20" i="24"/>
  <c r="AD21" i="24"/>
  <c r="AJ20" i="24"/>
  <c r="AI20" i="24"/>
  <c r="AG20" i="24"/>
  <c r="AH24" i="24"/>
  <c r="AH13" i="24"/>
  <c r="AE29" i="24"/>
  <c r="AE30" i="24" s="1"/>
  <c r="AE25" i="24"/>
  <c r="W20" i="24"/>
  <c r="U22" i="24"/>
  <c r="U21" i="24"/>
  <c r="AA20" i="24"/>
  <c r="Z20" i="24"/>
  <c r="X20" i="24"/>
  <c r="Y13" i="24"/>
  <c r="Y24" i="24"/>
  <c r="X12" i="24"/>
  <c r="AA12" i="24"/>
  <c r="W12" i="24"/>
  <c r="U13" i="24"/>
  <c r="U24" i="24"/>
  <c r="Z12" i="24"/>
  <c r="V25" i="24"/>
  <c r="V29" i="24"/>
  <c r="V30" i="24" s="1"/>
  <c r="AS22" i="24" l="1"/>
  <c r="AP22" i="24"/>
  <c r="AM23" i="24"/>
  <c r="AR22" i="24"/>
  <c r="AO22" i="24"/>
  <c r="AM24" i="24"/>
  <c r="AQ29" i="24"/>
  <c r="AQ30" i="24" s="1"/>
  <c r="AQ25" i="24"/>
  <c r="AH25" i="24"/>
  <c r="AH29" i="24"/>
  <c r="AH30" i="24" s="1"/>
  <c r="AG22" i="24"/>
  <c r="AD23" i="24"/>
  <c r="AJ22" i="24"/>
  <c r="AI22" i="24"/>
  <c r="AF22" i="24"/>
  <c r="AD24" i="24"/>
  <c r="Z24" i="24"/>
  <c r="U25" i="24"/>
  <c r="X25" i="24" s="1"/>
  <c r="W24" i="24"/>
  <c r="U29" i="24"/>
  <c r="X24" i="24"/>
  <c r="AA24" i="24"/>
  <c r="Y25" i="24"/>
  <c r="Y29" i="24"/>
  <c r="Y30" i="24" s="1"/>
  <c r="U23" i="24"/>
  <c r="X22" i="24"/>
  <c r="W22" i="24"/>
  <c r="AA22" i="24"/>
  <c r="Z22" i="24"/>
  <c r="AR24" i="24" l="1"/>
  <c r="AO24" i="24"/>
  <c r="AM29" i="24"/>
  <c r="AS24" i="24"/>
  <c r="AP24" i="24"/>
  <c r="AM25" i="24"/>
  <c r="AP25" i="24" s="1"/>
  <c r="AI24" i="24"/>
  <c r="AG24" i="24"/>
  <c r="AJ24" i="24"/>
  <c r="AF24" i="24"/>
  <c r="AD29" i="24"/>
  <c r="AD25" i="24"/>
  <c r="AG25" i="24" s="1"/>
  <c r="AA29" i="24"/>
  <c r="Z29" i="24"/>
  <c r="U30" i="24"/>
  <c r="X29" i="24"/>
  <c r="W29" i="24"/>
  <c r="AR29" i="24" l="1"/>
  <c r="AO29" i="24"/>
  <c r="AM30" i="24"/>
  <c r="AP29" i="24"/>
  <c r="AS29" i="24"/>
  <c r="AD30" i="24"/>
  <c r="AJ29" i="24"/>
  <c r="AG29" i="24"/>
  <c r="AI29" i="24"/>
  <c r="AF29" i="24"/>
  <c r="P28" i="24" l="1"/>
  <c r="P27" i="24"/>
  <c r="P19" i="24"/>
  <c r="Q19" i="24" s="1"/>
  <c r="P18" i="24"/>
  <c r="P20" i="24" s="1"/>
  <c r="P15" i="24"/>
  <c r="P11" i="24"/>
  <c r="P10" i="24"/>
  <c r="P12" i="24" s="1"/>
  <c r="P16" i="24"/>
  <c r="G28" i="24"/>
  <c r="G27" i="24"/>
  <c r="G19" i="24"/>
  <c r="G18" i="24"/>
  <c r="G15" i="24"/>
  <c r="G11" i="24"/>
  <c r="G10" i="24"/>
  <c r="M28" i="24"/>
  <c r="M27" i="24"/>
  <c r="M19" i="24"/>
  <c r="M18" i="24"/>
  <c r="M15" i="24"/>
  <c r="M11" i="24"/>
  <c r="M10" i="24"/>
  <c r="M12" i="24" s="1"/>
  <c r="D19" i="24"/>
  <c r="L11" i="24"/>
  <c r="L10" i="24"/>
  <c r="R11" i="24" l="1"/>
  <c r="O11" i="24"/>
  <c r="P13" i="24"/>
  <c r="P22" i="24"/>
  <c r="P23" i="24" s="1"/>
  <c r="P21" i="24"/>
  <c r="R19" i="24"/>
  <c r="M16" i="24"/>
  <c r="M20" i="24"/>
  <c r="O19" i="24"/>
  <c r="R27" i="24"/>
  <c r="N27" i="24"/>
  <c r="Q27" i="24"/>
  <c r="O27" i="24"/>
  <c r="R18" i="24"/>
  <c r="L20" i="24"/>
  <c r="Q18" i="24"/>
  <c r="O18" i="24"/>
  <c r="N18" i="24"/>
  <c r="L16" i="24"/>
  <c r="R15" i="24"/>
  <c r="Q15" i="24"/>
  <c r="O15" i="24"/>
  <c r="N15" i="24"/>
  <c r="N10" i="24"/>
  <c r="L12" i="24"/>
  <c r="Q10" i="24"/>
  <c r="O10" i="24"/>
  <c r="R10" i="24"/>
  <c r="N28" i="24"/>
  <c r="Q28" i="24"/>
  <c r="R28" i="24"/>
  <c r="M22" i="24"/>
  <c r="M23" i="24" s="1"/>
  <c r="M21" i="24"/>
  <c r="M13" i="24"/>
  <c r="N11" i="24"/>
  <c r="Q11" i="24"/>
  <c r="N19" i="24"/>
  <c r="D28" i="24"/>
  <c r="D27" i="24"/>
  <c r="D18" i="24"/>
  <c r="D15" i="24"/>
  <c r="D11" i="24"/>
  <c r="E11" i="24" s="1"/>
  <c r="D10" i="24"/>
  <c r="G12" i="24"/>
  <c r="H11" i="24"/>
  <c r="G20" i="24"/>
  <c r="E19" i="24"/>
  <c r="H19" i="24"/>
  <c r="C19" i="24"/>
  <c r="C27" i="24"/>
  <c r="C28" i="24"/>
  <c r="C18" i="24"/>
  <c r="C15" i="24"/>
  <c r="C10" i="24"/>
  <c r="H15" i="24" l="1"/>
  <c r="H28" i="24"/>
  <c r="I27" i="24"/>
  <c r="E15" i="24"/>
  <c r="E18" i="24"/>
  <c r="E27" i="24"/>
  <c r="E28" i="24"/>
  <c r="E10" i="24"/>
  <c r="P24" i="24"/>
  <c r="M24" i="24"/>
  <c r="M25" i="24" s="1"/>
  <c r="L22" i="24"/>
  <c r="Q20" i="24"/>
  <c r="R20" i="24"/>
  <c r="L21" i="24"/>
  <c r="O20" i="24"/>
  <c r="N20" i="24"/>
  <c r="O12" i="24"/>
  <c r="N12" i="24"/>
  <c r="L13" i="24"/>
  <c r="Q12" i="24"/>
  <c r="R12" i="24"/>
  <c r="G16" i="24"/>
  <c r="I10" i="24"/>
  <c r="H10" i="24"/>
  <c r="G22" i="24"/>
  <c r="G21" i="24"/>
  <c r="G13" i="24"/>
  <c r="D20" i="24"/>
  <c r="D16" i="24"/>
  <c r="D12" i="24"/>
  <c r="F27" i="24"/>
  <c r="I19" i="24"/>
  <c r="I15" i="24"/>
  <c r="I11" i="24"/>
  <c r="F19" i="24"/>
  <c r="F15" i="24"/>
  <c r="F11" i="24"/>
  <c r="I28" i="24"/>
  <c r="I18" i="24"/>
  <c r="H18" i="24"/>
  <c r="F18" i="24"/>
  <c r="F10" i="24"/>
  <c r="H27" i="24"/>
  <c r="O19" i="18"/>
  <c r="L17" i="18"/>
  <c r="L18" i="18" s="1"/>
  <c r="M17" i="18"/>
  <c r="M18" i="18" s="1"/>
  <c r="N17" i="18"/>
  <c r="N18" i="18" s="1"/>
  <c r="O17" i="18"/>
  <c r="O18" i="18" s="1"/>
  <c r="P29" i="24" l="1"/>
  <c r="P30" i="24" s="1"/>
  <c r="P25" i="24"/>
  <c r="M29" i="24"/>
  <c r="M30" i="24" s="1"/>
  <c r="O22" i="24"/>
  <c r="N22" i="24"/>
  <c r="L23" i="24"/>
  <c r="R22" i="24"/>
  <c r="Q22" i="24"/>
  <c r="L24" i="24"/>
  <c r="G23" i="24"/>
  <c r="G24" i="24"/>
  <c r="D22" i="24"/>
  <c r="D21" i="24"/>
  <c r="D24" i="24"/>
  <c r="D13" i="24"/>
  <c r="J17" i="18"/>
  <c r="J18" i="18" s="1"/>
  <c r="K17" i="18"/>
  <c r="K18" i="18" s="1"/>
  <c r="B210" i="19"/>
  <c r="B215" i="19" s="1"/>
  <c r="Q24" i="24" l="1"/>
  <c r="O24" i="24"/>
  <c r="N24" i="24"/>
  <c r="L29" i="24"/>
  <c r="L25" i="24"/>
  <c r="O25" i="24" s="1"/>
  <c r="R24" i="24"/>
  <c r="D25" i="24"/>
  <c r="D29" i="24"/>
  <c r="D23" i="24"/>
  <c r="G29" i="24"/>
  <c r="G25" i="24"/>
  <c r="R2" i="12"/>
  <c r="O29" i="24" l="1"/>
  <c r="L30" i="24"/>
  <c r="R29" i="24"/>
  <c r="Q29" i="24"/>
  <c r="N29" i="24"/>
  <c r="G30" i="24"/>
  <c r="D30" i="24"/>
  <c r="C20" i="24"/>
  <c r="C12" i="24"/>
  <c r="C16" i="24"/>
  <c r="H12" i="24" l="1"/>
  <c r="I12" i="24"/>
  <c r="F12" i="24"/>
  <c r="E12" i="24"/>
  <c r="H20" i="24"/>
  <c r="I20" i="24"/>
  <c r="E20" i="24"/>
  <c r="F20" i="24"/>
  <c r="C22" i="24"/>
  <c r="C21" i="24"/>
  <c r="C13" i="24"/>
  <c r="H22" i="24" l="1"/>
  <c r="I22" i="24"/>
  <c r="F22" i="24"/>
  <c r="E22" i="24"/>
  <c r="C24" i="24"/>
  <c r="C23" i="24"/>
  <c r="Q2" i="12"/>
  <c r="P2" i="12"/>
  <c r="H24" i="24" l="1"/>
  <c r="I24" i="24"/>
  <c r="F24" i="24"/>
  <c r="E24" i="24"/>
  <c r="C25" i="24"/>
  <c r="F25" i="24" s="1"/>
  <c r="C29" i="24"/>
  <c r="C30" i="24" l="1"/>
  <c r="H29" i="24"/>
  <c r="I29" i="24"/>
  <c r="E29" i="24"/>
  <c r="F29" i="24"/>
  <c r="D17" i="18"/>
  <c r="D18" i="18" s="1"/>
  <c r="E17" i="18"/>
  <c r="E18" i="18" s="1"/>
  <c r="F17" i="18"/>
  <c r="F18" i="18" s="1"/>
  <c r="G17" i="18"/>
  <c r="G18" i="18" s="1"/>
  <c r="H17" i="18"/>
  <c r="H18" i="18" s="1"/>
  <c r="I17" i="18"/>
  <c r="I18" i="18" s="1"/>
  <c r="C17" i="18"/>
  <c r="C18" i="18" s="1"/>
  <c r="O2" i="12" l="1"/>
  <c r="G157" i="21" s="1"/>
  <c r="G156" i="21"/>
  <c r="H3" i="21"/>
  <c r="I3" i="21" s="1"/>
  <c r="H4" i="21"/>
  <c r="H5" i="21"/>
  <c r="H6" i="21"/>
  <c r="I6" i="21" s="1"/>
  <c r="H7" i="21"/>
  <c r="I7" i="21" s="1"/>
  <c r="H8" i="21"/>
  <c r="H9" i="21"/>
  <c r="I9" i="21" s="1"/>
  <c r="H10" i="21"/>
  <c r="I10" i="21" s="1"/>
  <c r="H11" i="21"/>
  <c r="I11" i="21" s="1"/>
  <c r="H12" i="21"/>
  <c r="I12" i="21" s="1"/>
  <c r="H13" i="21"/>
  <c r="H14" i="21"/>
  <c r="I14" i="21" s="1"/>
  <c r="H15" i="21"/>
  <c r="H16" i="21"/>
  <c r="H17" i="21"/>
  <c r="I17" i="21" s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H26" i="21"/>
  <c r="H27" i="21"/>
  <c r="H28" i="21"/>
  <c r="H29" i="21"/>
  <c r="H30" i="21"/>
  <c r="I30" i="21" s="1"/>
  <c r="H31" i="21"/>
  <c r="I31" i="21" s="1"/>
  <c r="H32" i="21"/>
  <c r="I32" i="21" s="1"/>
  <c r="H33" i="21"/>
  <c r="I33" i="21" s="1"/>
  <c r="H34" i="21"/>
  <c r="I34" i="21" s="1"/>
  <c r="H35" i="21"/>
  <c r="I35" i="21" s="1"/>
  <c r="H36" i="21"/>
  <c r="I36" i="21" s="1"/>
  <c r="H37" i="21"/>
  <c r="H38" i="21"/>
  <c r="I38" i="21" s="1"/>
  <c r="H39" i="21"/>
  <c r="I39" i="21" s="1"/>
  <c r="H40" i="21"/>
  <c r="I40" i="21" s="1"/>
  <c r="H41" i="21"/>
  <c r="I41" i="21" s="1"/>
  <c r="H42" i="21"/>
  <c r="I42" i="21" s="1"/>
  <c r="H43" i="21"/>
  <c r="I43" i="21" s="1"/>
  <c r="H44" i="21"/>
  <c r="I44" i="21" s="1"/>
  <c r="H45" i="21"/>
  <c r="H46" i="21"/>
  <c r="H47" i="21"/>
  <c r="I47" i="21" s="1"/>
  <c r="H48" i="21"/>
  <c r="I48" i="21" s="1"/>
  <c r="H49" i="21"/>
  <c r="I49" i="21" s="1"/>
  <c r="H50" i="21"/>
  <c r="H51" i="21"/>
  <c r="I51" i="21" s="1"/>
  <c r="H52" i="21"/>
  <c r="I52" i="21" s="1"/>
  <c r="H53" i="21"/>
  <c r="H54" i="21"/>
  <c r="I54" i="21" s="1"/>
  <c r="H55" i="21"/>
  <c r="I55" i="21" s="1"/>
  <c r="H56" i="21"/>
  <c r="I56" i="21" s="1"/>
  <c r="H57" i="21"/>
  <c r="I57" i="21" s="1"/>
  <c r="H58" i="21"/>
  <c r="I58" i="21" s="1"/>
  <c r="H59" i="21"/>
  <c r="I59" i="21" s="1"/>
  <c r="H60" i="21"/>
  <c r="I60" i="21" s="1"/>
  <c r="H61" i="21"/>
  <c r="H62" i="21"/>
  <c r="H63" i="21"/>
  <c r="I63" i="21" s="1"/>
  <c r="H64" i="21"/>
  <c r="H65" i="21"/>
  <c r="H66" i="21"/>
  <c r="H67" i="21"/>
  <c r="H68" i="21"/>
  <c r="I68" i="21" s="1"/>
  <c r="H69" i="21"/>
  <c r="H70" i="21"/>
  <c r="H71" i="21"/>
  <c r="I71" i="21" s="1"/>
  <c r="H72" i="21"/>
  <c r="I72" i="21" s="1"/>
  <c r="H73" i="21"/>
  <c r="H74" i="21"/>
  <c r="I74" i="21" s="1"/>
  <c r="H75" i="21"/>
  <c r="I75" i="21" s="1"/>
  <c r="H76" i="21"/>
  <c r="I76" i="21" s="1"/>
  <c r="H77" i="21"/>
  <c r="I77" i="21" s="1"/>
  <c r="H78" i="21"/>
  <c r="I78" i="21" s="1"/>
  <c r="H79" i="21"/>
  <c r="I79" i="21" s="1"/>
  <c r="H80" i="21"/>
  <c r="I80" i="21" s="1"/>
  <c r="H81" i="21"/>
  <c r="H82" i="21"/>
  <c r="I82" i="21" s="1"/>
  <c r="H83" i="21"/>
  <c r="I83" i="21" s="1"/>
  <c r="H84" i="21"/>
  <c r="H85" i="21"/>
  <c r="I85" i="21" s="1"/>
  <c r="H86" i="21"/>
  <c r="H87" i="21"/>
  <c r="H88" i="21"/>
  <c r="I88" i="21" s="1"/>
  <c r="H89" i="21"/>
  <c r="H90" i="21"/>
  <c r="H91" i="21"/>
  <c r="H92" i="21"/>
  <c r="I92" i="21" s="1"/>
  <c r="H93" i="21"/>
  <c r="H94" i="21"/>
  <c r="H95" i="21"/>
  <c r="I95" i="21" s="1"/>
  <c r="H96" i="21"/>
  <c r="I96" i="21" s="1"/>
  <c r="H97" i="21"/>
  <c r="I97" i="21" s="1"/>
  <c r="H98" i="21"/>
  <c r="I98" i="21" s="1"/>
  <c r="H99" i="21"/>
  <c r="H100" i="21"/>
  <c r="H101" i="21"/>
  <c r="H102" i="21"/>
  <c r="H103" i="21"/>
  <c r="I103" i="21" s="1"/>
  <c r="H104" i="21"/>
  <c r="H105" i="21"/>
  <c r="I105" i="21" s="1"/>
  <c r="H106" i="21"/>
  <c r="I106" i="21" s="1"/>
  <c r="H107" i="21"/>
  <c r="I107" i="21" s="1"/>
  <c r="H108" i="21"/>
  <c r="I108" i="21" s="1"/>
  <c r="H109" i="21"/>
  <c r="H110" i="21"/>
  <c r="I110" i="21" s="1"/>
  <c r="H111" i="21"/>
  <c r="I111" i="21" s="1"/>
  <c r="H112" i="21"/>
  <c r="H113" i="21"/>
  <c r="I113" i="21" s="1"/>
  <c r="H114" i="21"/>
  <c r="I114" i="21" s="1"/>
  <c r="H115" i="21"/>
  <c r="H116" i="21"/>
  <c r="I116" i="21" s="1"/>
  <c r="H117" i="21"/>
  <c r="I117" i="21" s="1"/>
  <c r="H118" i="21"/>
  <c r="H119" i="21"/>
  <c r="I119" i="21" s="1"/>
  <c r="H120" i="21"/>
  <c r="H121" i="21"/>
  <c r="I121" i="21" s="1"/>
  <c r="H122" i="21"/>
  <c r="I122" i="21" s="1"/>
  <c r="H123" i="21"/>
  <c r="I123" i="21" s="1"/>
  <c r="H124" i="21"/>
  <c r="I124" i="21" s="1"/>
  <c r="H125" i="21"/>
  <c r="I125" i="21" s="1"/>
  <c r="H126" i="21"/>
  <c r="H127" i="21"/>
  <c r="I127" i="21" s="1"/>
  <c r="H128" i="21"/>
  <c r="I128" i="21" s="1"/>
  <c r="H129" i="21"/>
  <c r="I129" i="21" s="1"/>
  <c r="H130" i="21"/>
  <c r="I130" i="21" s="1"/>
  <c r="H131" i="21"/>
  <c r="H132" i="21"/>
  <c r="I132" i="21" s="1"/>
  <c r="H133" i="21"/>
  <c r="I133" i="21" s="1"/>
  <c r="H134" i="21"/>
  <c r="I134" i="21" s="1"/>
  <c r="H135" i="21"/>
  <c r="I135" i="21" s="1"/>
  <c r="H136" i="21"/>
  <c r="I136" i="21" s="1"/>
  <c r="H137" i="21"/>
  <c r="I137" i="21" s="1"/>
  <c r="H138" i="21"/>
  <c r="H139" i="21"/>
  <c r="I139" i="21" s="1"/>
  <c r="H140" i="21"/>
  <c r="I140" i="21" s="1"/>
  <c r="H141" i="21"/>
  <c r="I141" i="21" s="1"/>
  <c r="H142" i="21"/>
  <c r="H143" i="21"/>
  <c r="I143" i="21" s="1"/>
  <c r="H144" i="21"/>
  <c r="I144" i="21" s="1"/>
  <c r="H145" i="21"/>
  <c r="I145" i="21" s="1"/>
  <c r="H146" i="21"/>
  <c r="I146" i="21" s="1"/>
  <c r="H147" i="21"/>
  <c r="I147" i="21" s="1"/>
  <c r="H148" i="21"/>
  <c r="I148" i="21" s="1"/>
  <c r="H149" i="21"/>
  <c r="I149" i="21" s="1"/>
  <c r="H150" i="21"/>
  <c r="H151" i="21"/>
  <c r="H152" i="21"/>
  <c r="H153" i="21"/>
  <c r="I153" i="21" s="1"/>
  <c r="H154" i="21"/>
  <c r="H155" i="21"/>
  <c r="I155" i="21" s="1"/>
  <c r="H2" i="21"/>
  <c r="I2" i="21" s="1"/>
  <c r="N1" i="14"/>
  <c r="G158" i="21" l="1"/>
  <c r="I156" i="21"/>
  <c r="H156" i="21"/>
  <c r="L2" i="12" l="1"/>
  <c r="M2" i="12"/>
  <c r="N2" i="12"/>
  <c r="S2" i="12"/>
  <c r="T2" i="12"/>
  <c r="U2" i="12"/>
  <c r="V2" i="12"/>
  <c r="K2" i="12"/>
  <c r="C35" i="16" l="1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" i="15" s="1"/>
  <c r="L12" i="15"/>
  <c r="L11" i="15"/>
  <c r="L10" i="15"/>
  <c r="L9" i="15"/>
  <c r="L8" i="15"/>
  <c r="L7" i="15"/>
  <c r="L6" i="15"/>
  <c r="L5" i="15"/>
  <c r="L4" i="15"/>
  <c r="L3" i="15"/>
  <c r="W2" i="12" l="1"/>
  <c r="L15" i="8" l="1"/>
  <c r="L17" i="8" s="1"/>
  <c r="L18" i="8" s="1"/>
  <c r="E15" i="8"/>
  <c r="E16" i="8" s="1"/>
  <c r="I15" i="8"/>
  <c r="M15" i="8"/>
  <c r="K15" i="8"/>
  <c r="K17" i="8" s="1"/>
  <c r="J15" i="8"/>
  <c r="G15" i="8"/>
  <c r="B15" i="8"/>
  <c r="B16" i="8" s="1"/>
  <c r="I11" i="8"/>
  <c r="G11" i="8"/>
  <c r="F11" i="8"/>
  <c r="M11" i="8"/>
  <c r="J11" i="8"/>
  <c r="H11" i="8"/>
  <c r="E11" i="8"/>
  <c r="B11" i="8"/>
  <c r="J7" i="8"/>
  <c r="J8" i="8" s="1"/>
  <c r="G7" i="8"/>
  <c r="G8" i="8" s="1"/>
  <c r="D7" i="8"/>
  <c r="B7" i="8"/>
  <c r="N6" i="8"/>
  <c r="M7" i="8"/>
  <c r="M8" i="8" s="1"/>
  <c r="L7" i="8"/>
  <c r="F7" i="8"/>
  <c r="F8" i="8" s="1"/>
  <c r="E7" i="8"/>
  <c r="E8" i="8" s="1"/>
  <c r="C7" i="8"/>
  <c r="D8" i="8" l="1"/>
  <c r="C8" i="8"/>
  <c r="M16" i="8"/>
  <c r="M17" i="8"/>
  <c r="J16" i="8"/>
  <c r="J17" i="8"/>
  <c r="D11" i="8"/>
  <c r="N14" i="8"/>
  <c r="N13" i="8"/>
  <c r="D15" i="8"/>
  <c r="D16" i="8" s="1"/>
  <c r="N22" i="8"/>
  <c r="L11" i="8"/>
  <c r="F15" i="8"/>
  <c r="F17" i="8" s="1"/>
  <c r="F18" i="8" s="1"/>
  <c r="H15" i="8"/>
  <c r="H16" i="8" s="1"/>
  <c r="C11" i="8"/>
  <c r="H7" i="8"/>
  <c r="H8" i="8" s="1"/>
  <c r="I7" i="8"/>
  <c r="I8" i="8" s="1"/>
  <c r="N23" i="8"/>
  <c r="N5" i="8"/>
  <c r="N7" i="8" s="1"/>
  <c r="N8" i="8" s="1"/>
  <c r="N10" i="8"/>
  <c r="N11" i="8" s="1"/>
  <c r="G16" i="8"/>
  <c r="G17" i="8"/>
  <c r="G18" i="8" s="1"/>
  <c r="L8" i="8"/>
  <c r="L19" i="8"/>
  <c r="I16" i="8"/>
  <c r="I17" i="8"/>
  <c r="I18" i="8" s="1"/>
  <c r="I19" i="8"/>
  <c r="G19" i="8"/>
  <c r="B8" i="8"/>
  <c r="K11" i="8"/>
  <c r="B17" i="8"/>
  <c r="B18" i="8" s="1"/>
  <c r="K18" i="8"/>
  <c r="K16" i="8"/>
  <c r="K7" i="8"/>
  <c r="C15" i="8"/>
  <c r="E17" i="8"/>
  <c r="L16" i="8"/>
  <c r="N15" i="8" l="1"/>
  <c r="J18" i="8"/>
  <c r="J19" i="8"/>
  <c r="M18" i="8"/>
  <c r="M19" i="8"/>
  <c r="E18" i="8"/>
  <c r="E19" i="8"/>
  <c r="D17" i="8"/>
  <c r="F16" i="8"/>
  <c r="H17" i="8"/>
  <c r="E20" i="8"/>
  <c r="E24" i="8"/>
  <c r="E25" i="8" s="1"/>
  <c r="G20" i="8"/>
  <c r="G24" i="8"/>
  <c r="G25" i="8" s="1"/>
  <c r="I24" i="8"/>
  <c r="I25" i="8" s="1"/>
  <c r="I20" i="8"/>
  <c r="L20" i="8"/>
  <c r="L24" i="8"/>
  <c r="L25" i="8" s="1"/>
  <c r="B19" i="8"/>
  <c r="C16" i="8"/>
  <c r="C17" i="8"/>
  <c r="K8" i="8"/>
  <c r="K19" i="8"/>
  <c r="F19" i="8"/>
  <c r="N17" i="8" l="1"/>
  <c r="N16" i="8"/>
  <c r="J24" i="8"/>
  <c r="J25" i="8" s="1"/>
  <c r="J20" i="8"/>
  <c r="M20" i="8"/>
  <c r="M24" i="8"/>
  <c r="M25" i="8" s="1"/>
  <c r="H18" i="8"/>
  <c r="H19" i="8"/>
  <c r="D18" i="8"/>
  <c r="D19" i="8"/>
  <c r="C18" i="8"/>
  <c r="C19" i="8"/>
  <c r="F20" i="8"/>
  <c r="F24" i="8"/>
  <c r="F25" i="8" s="1"/>
  <c r="K24" i="8"/>
  <c r="K25" i="8" s="1"/>
  <c r="K20" i="8"/>
  <c r="B20" i="8"/>
  <c r="B24" i="8"/>
  <c r="B25" i="8" s="1"/>
  <c r="N19" i="8" l="1"/>
  <c r="N18" i="8"/>
  <c r="H20" i="8"/>
  <c r="H24" i="8"/>
  <c r="H25" i="8" s="1"/>
  <c r="D20" i="8"/>
  <c r="D24" i="8"/>
  <c r="D25" i="8" s="1"/>
  <c r="C20" i="8"/>
  <c r="C24" i="8"/>
  <c r="C25" i="8" s="1"/>
  <c r="N24" i="8" l="1"/>
  <c r="N25" i="8" s="1"/>
  <c r="N20" i="8"/>
</calcChain>
</file>

<file path=xl/sharedStrings.xml><?xml version="1.0" encoding="utf-8"?>
<sst xmlns="http://schemas.openxmlformats.org/spreadsheetml/2006/main" count="4035" uniqueCount="505">
  <si>
    <t>EUR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</si>
  <si>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</si>
  <si>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</si>
  <si>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</si>
  <si>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</si>
  <si>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</si>
  <si>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</si>
  <si>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</si>
  <si>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</si>
  <si>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</si>
  <si>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</si>
  <si>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</si>
  <si>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</si>
  <si>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</si>
  <si>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</si>
  <si>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Adjusted EBIT</t>
  </si>
  <si>
    <t>% EBIT Margin</t>
  </si>
  <si>
    <t>P&amp;L Mensual</t>
  </si>
  <si>
    <t>€ '000</t>
  </si>
  <si>
    <t>2026A</t>
  </si>
  <si>
    <t>2025A</t>
  </si>
  <si>
    <t>Variación</t>
  </si>
  <si>
    <t xml:space="preserve">% </t>
  </si>
  <si>
    <t>2026B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</si>
  <si>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</si>
  <si>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</si>
  <si>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</si>
  <si>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</si>
  <si>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</si>
  <si>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</si>
  <si>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</si>
  <si>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</si>
  <si>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</si>
  <si>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</si>
  <si>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</si>
  <si>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</si>
  <si>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</si>
  <si>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EXTRAITEMS </t>
  </si>
  <si>
    <t>MES</t>
  </si>
  <si>
    <t>RELLENAR</t>
  </si>
  <si>
    <t>EBIT</t>
  </si>
  <si>
    <t>Ene-26 - € '000</t>
  </si>
  <si>
    <t>CODIAGRO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</si>
  <si>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</si>
  <si>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</si>
  <si>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</si>
  <si>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</si>
  <si>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</si>
  <si>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</si>
  <si>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</si>
  <si>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</si>
  <si>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</si>
  <si>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</si>
  <si>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</si>
  <si>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</si>
  <si>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2025</t>
  </si>
  <si>
    <t>Sin Ext Item</t>
  </si>
  <si>
    <t>Suma de Importe ('000)</t>
  </si>
  <si>
    <t>Etiquetas de columna</t>
  </si>
  <si>
    <t>Etiquetas de fila</t>
  </si>
  <si>
    <t>Total general</t>
  </si>
  <si>
    <t>Gastos de personal</t>
  </si>
  <si>
    <t>n.a.</t>
  </si>
  <si>
    <t>Total</t>
  </si>
  <si>
    <t>Seleccionar las formulas de P&amp;L YTD Mes anterior y de P&amp;L YTD Actual y cambiar la referencia al mes anterior</t>
  </si>
  <si>
    <t>700000000 - Ventas de mercaderías</t>
  </si>
  <si>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</si>
  <si>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</si>
  <si>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</si>
  <si>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</si>
  <si>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</si>
  <si>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</si>
  <si>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</si>
  <si>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</si>
  <si>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</si>
  <si>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</si>
  <si>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</si>
  <si>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</si>
  <si>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</si>
  <si>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</si>
  <si>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</si>
  <si>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(703) Ventas por subproductos y residuos</t>
  </si>
  <si>
    <t>(704) Venta de envases y embalajes</t>
  </si>
  <si>
    <t>704000000 - Ventas de envases y embalajes</t>
  </si>
  <si>
    <t>(705) Prestación de servicios</t>
  </si>
  <si>
    <t>705000001 - INGRESO POR GESTIÓN DE ENVASES</t>
  </si>
  <si>
    <t>(706) Dto. s/vtas p.p.</t>
  </si>
  <si>
    <t>(709) Bonificaciones s/ventas</t>
  </si>
  <si>
    <t>709000001 - PROVISION RAPPELS</t>
  </si>
  <si>
    <t>11.- Deterioro y resultado por enajenaciones del inmovilizado</t>
  </si>
  <si>
    <t>(771) Beneficios procedentes IM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</si>
  <si>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</si>
  <si>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</si>
  <si>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</si>
  <si>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</si>
  <si>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</si>
  <si>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</si>
  <si>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</si>
  <si>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(712) Variación de existencias producto terminado</t>
  </si>
  <si>
    <t>4.- Aprovisionamientos</t>
  </si>
  <si>
    <t>(601) Compras de materias primas</t>
  </si>
  <si>
    <t>601000000 - Compras de materias primas</t>
  </si>
  <si>
    <t>(602) Compras de otros aprovisionamientos</t>
  </si>
  <si>
    <t>602000001 - COMPRA DE ENVASES Y EMBALAJES</t>
  </si>
  <si>
    <t>602000002 - COMPRA DE ETIQUETAS</t>
  </si>
  <si>
    <t>602000003 - COMPRA DE PALETS</t>
  </si>
  <si>
    <t>602000004 - COMPRA MATERIAL DE LIMPIEZA</t>
  </si>
  <si>
    <t>602000005 - COMPRA MATERIAL DE OFICINA</t>
  </si>
  <si>
    <t>602000006 - COMPRA TAPONES DE ENVASES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</si>
  <si>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</si>
  <si>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</si>
  <si>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</si>
  <si>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</si>
  <si>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</si>
  <si>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602000100 - ENVASES Y EMBALAJES A DEVOLVER</t>
  </si>
  <si>
    <t>(607) Trabajos realizados por otras empresas</t>
  </si>
  <si>
    <t>(611) Variación de existencias de materias primas</t>
  </si>
  <si>
    <t>(612) Variación de existencias envases/etiquetas</t>
  </si>
  <si>
    <t>5.- Otros ingresos de explotación</t>
  </si>
  <si>
    <t>(759) Otros ingresos de gestión</t>
  </si>
  <si>
    <t>6.- Gastos de personal</t>
  </si>
  <si>
    <t>(640) Sueldos y salarios</t>
  </si>
  <si>
    <t>640000000 - Sueldos y salarios</t>
  </si>
  <si>
    <t>640000200 - GASTO POR E. TRAB. TEMPORAL</t>
  </si>
  <si>
    <t>640000300 - PROVISION PAGAS EXTRAS</t>
  </si>
  <si>
    <t>(641) Indemnizaciones</t>
  </si>
  <si>
    <t>641000000 - Indemnizaciones</t>
  </si>
  <si>
    <t>641000007 - INDEMNIZACION MIGUEL BELLES</t>
  </si>
  <si>
    <t>(642) Seguridad social a cargo empresa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</si>
  <si>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</si>
  <si>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</si>
  <si>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</si>
  <si>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</si>
  <si>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649000007 - GASTOS COMERCIALES J.PAREDES</t>
  </si>
  <si>
    <t>649000009 - GASTOS COMERCIALES J.A. GARCIA</t>
  </si>
  <si>
    <t>649000010 - GASTOS EMP. CURRO</t>
  </si>
  <si>
    <t>649000100 - GTOS. CURSOS PERSONAL</t>
  </si>
  <si>
    <t>649000101 - GTOS. SEG. Y RIESGOS PERSONAL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</si>
  <si>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</si>
  <si>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</si>
  <si>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</si>
  <si>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</si>
  <si>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</si>
  <si>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</si>
  <si>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620000003 - SUMINISTROS LABORATORIO</t>
  </si>
  <si>
    <t>620000004 - GTOS. ANALISIS LABORATORIOS</t>
  </si>
  <si>
    <t>(621) Arrendamientos y cánones</t>
  </si>
  <si>
    <t>621000001 - ALQUILER OFICINA CARTAGENA</t>
  </si>
  <si>
    <t>621000026 - ALQUILER RENTING 9319LCL CURRO</t>
  </si>
  <si>
    <t>621000045 - ALQUILER RENTING 3421-NJT PERE</t>
  </si>
  <si>
    <t>(622) Reparación/conservación/mantenimiento</t>
  </si>
  <si>
    <t>622000005 - REP. Y MANT. EQUIPOS SEGURIDAD</t>
  </si>
  <si>
    <t>622000007 - REP. Y MANT. HYUNDAI 0377CJG</t>
  </si>
  <si>
    <t>622000009 - REP. Y MANT. FURGONETA 2589CRJ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</si>
  <si>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</si>
  <si>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</si>
  <si>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</si>
  <si>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</si>
  <si>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</si>
  <si>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</si>
  <si>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</si>
  <si>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</si>
  <si>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623000004 - GTOS. BCS. OKO</t>
  </si>
  <si>
    <t>623100002 - GASTOS MAURICIO ALISTE</t>
  </si>
  <si>
    <t>623100007 - GASTOS Y SUELDO MEHMET CILOGLU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</si>
  <si>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</si>
  <si>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</si>
  <si>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</si>
  <si>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</si>
  <si>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</si>
  <si>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</si>
  <si>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623200024 - GASTOS MARCAS INTERNACIONALES</t>
  </si>
  <si>
    <t>623200037 - GASTOS MARCAS ESTADOS UNIDOS</t>
  </si>
  <si>
    <t>(624) Transportes ventas</t>
  </si>
  <si>
    <t>624000001 - TRANSPORTES NACIONAL</t>
  </si>
  <si>
    <t>624000002 - TRANSPORTE INTERNACIONAL</t>
  </si>
  <si>
    <t>624000003 - TRANSPORTES CANARIAS</t>
  </si>
  <si>
    <t>624000004 - GTOS. FLETE REP. AL CLIENTE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</si>
  <si>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</si>
  <si>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</si>
  <si>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</si>
  <si>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</si>
  <si>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</si>
  <si>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625000004 - SEGURO RESP. CIVIL</t>
  </si>
  <si>
    <t>625000005 - SEGUROS ACTIVIDAD</t>
  </si>
  <si>
    <t>(626) Servicios bancarios</t>
  </si>
  <si>
    <t>626000007 - GASTOS Y COMISIONES BBVA</t>
  </si>
  <si>
    <t>(627) Publicidad</t>
  </si>
  <si>
    <t>627000001 - GTOS. PUBLICIDAD EN INTERNET</t>
  </si>
  <si>
    <t>627000004 - RELACIONES PUBLICAS</t>
  </si>
  <si>
    <t>627000005 - INVITACIONES CLIENTES</t>
  </si>
  <si>
    <t>627000007 - FERIAS</t>
  </si>
  <si>
    <t>627000008 - MARKETING</t>
  </si>
  <si>
    <t>627000009 - ARTICULOS PUBLICIDAD</t>
  </si>
  <si>
    <t>(628) Suministros</t>
  </si>
  <si>
    <t>628000001 - SUMINISTROS INFORMATICOS</t>
  </si>
  <si>
    <t>628000002 - SUMINISTROS ELECTRICIDAD</t>
  </si>
  <si>
    <t>628000003 - SUMINISTROS AGUA</t>
  </si>
  <si>
    <t>628000005 - SUMINISTROS GASOLEO</t>
  </si>
  <si>
    <t>(629) Otros servicios</t>
  </si>
  <si>
    <t>629000001 - HOSPEDAJE WEB</t>
  </si>
  <si>
    <t>629000002 - OTROS GASTOS</t>
  </si>
  <si>
    <t>629000004 - GTOS. SERV. VIGILANCIA</t>
  </si>
  <si>
    <t>629000005 - GTOS. ANALISIS LABORATORIOS</t>
  </si>
  <si>
    <t>629000006 - GASTOS CORREOS</t>
  </si>
  <si>
    <t>629000007 - GASTOS RETIRADA DE RESIDUOS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</si>
  <si>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</si>
  <si>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</si>
  <si>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</si>
  <si>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</si>
  <si>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</si>
  <si>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</si>
  <si>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</si>
  <si>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629100001 - GASTOS COMERCIALES PERE PORTA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</si>
  <si>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</si>
  <si>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</si>
  <si>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</si>
  <si>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</si>
  <si>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</si>
  <si>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(631) Otros tributos</t>
  </si>
  <si>
    <t>631000006 - IMPUESTO PLASTICO NO RECICLADO</t>
  </si>
  <si>
    <t>(634) Ajustes negativos en la imposición indirecta</t>
  </si>
  <si>
    <t>634100000 - Ajustes negat. IVA circulante</t>
  </si>
  <si>
    <t>8.- Amortización del inmovilizado</t>
  </si>
  <si>
    <t>(681) Amortización del inmovilizado material</t>
  </si>
  <si>
    <t>681100000 - Amortización de construcciones</t>
  </si>
  <si>
    <t>681300000 - Amortización de maquinaria</t>
  </si>
  <si>
    <t>681600000 - Amortización de mobiliario</t>
  </si>
  <si>
    <t>RESULTADO FINANCIERO</t>
  </si>
  <si>
    <t>15.- Gastos financieros</t>
  </si>
  <si>
    <t>(662) Intereses de deudas con entidades de crédito</t>
  </si>
  <si>
    <t>(669) Otros gastos financieros</t>
  </si>
  <si>
    <t>669000007 - OTROS GTOS. DTO.EFECTOS BBVA</t>
  </si>
  <si>
    <t>669100002 - OTROS GTOS. FINAN. SABADELL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</si>
  <si>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</si>
  <si>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</si>
  <si>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</si>
  <si>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</si>
  <si>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</si>
  <si>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-</t>
  </si>
  <si>
    <t>Personal</t>
  </si>
  <si>
    <t>(641) Imdenizaciones</t>
  </si>
  <si>
    <t>Indemnizaciones</t>
  </si>
  <si>
    <t>Total 2026</t>
  </si>
  <si>
    <t>Fecha de contabilización</t>
  </si>
  <si>
    <t>Mes report</t>
  </si>
  <si>
    <t>Factura</t>
  </si>
  <si>
    <t>Cuenta contable</t>
  </si>
  <si>
    <t>Acreedor/Proveedor</t>
  </si>
  <si>
    <t>Detalle</t>
  </si>
  <si>
    <t>Importe €</t>
  </si>
  <si>
    <t>Comentarios</t>
  </si>
  <si>
    <t>Grupo EI</t>
  </si>
  <si>
    <t>NIEVES RUIZ CESPEDES</t>
  </si>
  <si>
    <t>FRANCISCO LAGOSTENA DE GUZMAN</t>
  </si>
  <si>
    <t>RAUL AMELA MELIA</t>
  </si>
  <si>
    <t>CARLOS BARREDA MAS</t>
  </si>
  <si>
    <t>Ext Item/Cap</t>
  </si>
  <si>
    <t>Normalización</t>
  </si>
  <si>
    <t>Mes</t>
  </si>
  <si>
    <t>Importe EUR</t>
  </si>
  <si>
    <t>Importe EUR ('000)</t>
  </si>
  <si>
    <t>Concepto</t>
  </si>
  <si>
    <t>Importe</t>
  </si>
  <si>
    <t>Importe ('000)</t>
  </si>
  <si>
    <t>INDEMNIZACION MIGUEL BELLES</t>
  </si>
  <si>
    <t>Costes Transacción</t>
  </si>
  <si>
    <t>440FVN25000044</t>
  </si>
  <si>
    <t>AUREN CORPORATE</t>
  </si>
  <si>
    <t>Asesoramiento</t>
  </si>
  <si>
    <t>Gastos periodos anteriores</t>
  </si>
  <si>
    <t>440FVN25000048</t>
  </si>
  <si>
    <t>440FVN25000070</t>
  </si>
  <si>
    <t>440FVN25000094</t>
  </si>
  <si>
    <t>Reparaciones extraordinarias</t>
  </si>
  <si>
    <t>440FVN25000118</t>
  </si>
  <si>
    <t>440FVN25000150</t>
  </si>
  <si>
    <t>440FVN25000171</t>
  </si>
  <si>
    <t>440FVN25000191</t>
  </si>
  <si>
    <t>Gastos Representación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</si>
  <si>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</si>
  <si>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</si>
  <si>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</si>
  <si>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</si>
  <si>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</si>
  <si>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</si>
  <si>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TICS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</si>
  <si>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</si>
  <si>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</si>
  <si>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</si>
  <si>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</si>
  <si>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</si>
  <si>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</si>
  <si>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</si>
  <si>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</si>
  <si>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</si>
  <si>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</si>
  <si>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</si>
  <si>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</si>
  <si>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</si>
  <si>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</si>
  <si>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</si>
  <si>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</si>
  <si>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Rappel Dotra (cliente Egipto) 2024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</si>
  <si>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</si>
  <si>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</si>
  <si>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</si>
  <si>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</si>
  <si>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>(Todas)</t>
  </si>
  <si>
    <t>14.- Ingresos financieros</t>
  </si>
  <si>
    <t>(665) Intereses por descuento de efectos y operaciones de "factoring"</t>
  </si>
  <si>
    <t>621000046 - ALQUILER CARRETILLAS</t>
  </si>
  <si>
    <t>(702) Ventas de productos semiterminados</t>
  </si>
  <si>
    <t>RAUL AMELA</t>
  </si>
  <si>
    <t>CARLOS BARREDA</t>
  </si>
  <si>
    <t xml:space="preserve">ene-26 </t>
  </si>
  <si>
    <t xml:space="preserve">feb-26 </t>
  </si>
  <si>
    <t xml:space="preserve">mar-26 </t>
  </si>
  <si>
    <t xml:space="preserve">abr-26 </t>
  </si>
  <si>
    <t>700000001 - VENTA MERCADERIAS POR ANTICIPO</t>
  </si>
  <si>
    <t>700000624 - VENTA POR TRANSP. REP. AL CLIENTE</t>
  </si>
  <si>
    <t>700000769 - INGRESOS POR RETRASOS DE COBRO Y ACTUALIZACION</t>
  </si>
  <si>
    <t>702000000 - Ventas de productos semiterminados</t>
  </si>
  <si>
    <t>703000000 - Ventas de subproductos y residuos</t>
  </si>
  <si>
    <t>705000000 - Prestaciones de servicios</t>
  </si>
  <si>
    <t>706000000 - Dtos. ventas por pronto pago mercaderías</t>
  </si>
  <si>
    <t>709000000 - «Rappels» ventas de mercaderías</t>
  </si>
  <si>
    <t>771000000 - Beneficios del inmovilizado material</t>
  </si>
  <si>
    <t>711000000 - Variación existencias de prod. semiterminados</t>
  </si>
  <si>
    <t>712000000 - Variación existencias de prod. terminados</t>
  </si>
  <si>
    <t>601000001 - COMPRAS MAT. PRIMAS INTRACOMUNITARIAS</t>
  </si>
  <si>
    <t>602000013 - COMPRA TINTA INPRESORA ETIQUETAS</t>
  </si>
  <si>
    <t>607000000 - Trabajos realizados por otras empresas</t>
  </si>
  <si>
    <t>611000000 - Variación de existencias de materias primas</t>
  </si>
  <si>
    <t>612000000 - Variación de existencias otros aprovisionamientos</t>
  </si>
  <si>
    <t>759000000 - Ingresos por servicios diversos</t>
  </si>
  <si>
    <t>642000000 - Seguridad Social a cargo empresa</t>
  </si>
  <si>
    <t>649000004 - GASTOS COMERCIALES RICARDO PEREZ</t>
  </si>
  <si>
    <t>649000012 - GASTOS COMERCIALES IRENE GARCIA</t>
  </si>
  <si>
    <t>649000102 - GASTOS ROPA UNIFORMES TRABAJADORES</t>
  </si>
  <si>
    <t>621000023 - RENTING TRANSPALETA ELECTRICA DE PIE</t>
  </si>
  <si>
    <t>621000024 - ALQUILER RENTING 2255KXN ANTONIO</t>
  </si>
  <si>
    <t>621000025 - ALQUILER RENTING 9128 LBT NIEVES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</si>
  <si>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</si>
  <si>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</si>
  <si>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</si>
  <si>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</si>
  <si>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</si>
  <si>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</si>
  <si>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</si>
  <si>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</si>
  <si>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</si>
  <si>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</si>
  <si>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</si>
  <si>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</si>
  <si>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</si>
  <si>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</si>
  <si>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622000001 - REPAR. EQUIPOS INFORM. Y FOTOCOPIADORAS</t>
  </si>
  <si>
    <t>622000004 - REP. Y CONSERV. CARRETILLA ELECTRICA</t>
  </si>
  <si>
    <t>622000006 - REP. Y MANT. INSTALACIONES VARIAS</t>
  </si>
  <si>
    <t>622000008 - REP. Y MANT. MAQUINA BARREDORA</t>
  </si>
  <si>
    <t>622000012 - LIMPIEZA OFICINAS, LABORATORIO Y VESTUARIOS</t>
  </si>
  <si>
    <t>622010001 - MANTENIMIENTO REPUESTO COMPRA AMAZON</t>
  </si>
  <si>
    <t>623000002 - SERVICIOS CONTABLES Y FINANCIEROS</t>
  </si>
  <si>
    <t>623000003 - SERV. NOTARIOS, REGISTROS, LEGAL</t>
  </si>
  <si>
    <t>623000005 - SERVICIOS PREST. CAMARA COMERCIO</t>
  </si>
  <si>
    <t>623100006 - GASTOS Y SERVICIOS AGRICOLA DEL JUCAR</t>
  </si>
  <si>
    <t>623200008 - GASTOS MARCAS EGIPTO</t>
  </si>
  <si>
    <t>623200009 - GASTOS MARCAS MARRUECOS</t>
  </si>
  <si>
    <t>623200010 - GASTOS MARCAS TURQUIA</t>
  </si>
  <si>
    <t>623200016 - GASTOS MARCAS ECUADOR</t>
  </si>
  <si>
    <t>623200020 - GASTOS MARCAS TUNEZ</t>
  </si>
  <si>
    <t>623200022 - GASTOS MARCAS BOLIVIA</t>
  </si>
  <si>
    <t>623200029 - GASTOS MARCAS GEORGIA</t>
  </si>
  <si>
    <t>623200030 - GASTOS MARCAS AZERBAIYAN</t>
  </si>
  <si>
    <t>626000000 - Servicios bancarios y similares</t>
  </si>
  <si>
    <t>626000002 - GASTOS Y COMISIONES BANCO SABADELL</t>
  </si>
  <si>
    <t>626000005 - GASTOS Y COMISIONES CAIXALMASSORA</t>
  </si>
  <si>
    <t>627000006 - PUBLICIDAD CATALOGOS Y FOLLETOS</t>
  </si>
  <si>
    <t>627000010 - RELACIONES PUBLICAS TEC. CLIENTES</t>
  </si>
  <si>
    <t>628000004 - SUMINISTROS TELEFONIA E INTERNET</t>
  </si>
  <si>
    <t>629000003 - SUSCRIPCIONES A REVISTAS Y PERIODICOS</t>
  </si>
  <si>
    <t>629100002 - GASTOS RICARDO PEREZ-SANTAMARINA</t>
  </si>
  <si>
    <t>631000001 - IMPUESTOS VEHÍCULOS</t>
  </si>
  <si>
    <t>681200000 - Amortización de instalaciones técnicas</t>
  </si>
  <si>
    <t>681500000 - Amortización de otras instalaciones</t>
  </si>
  <si>
    <t>681700000 - Amortización de equipos para procesos de informac.</t>
  </si>
  <si>
    <t>681800000 - Amortización de elementos de transporte</t>
  </si>
  <si>
    <t>665700015 - INTERESES PAGO FINANCIADO POR BBVA</t>
  </si>
  <si>
    <t>662310005 - INTERESES PRESTAMO CAIXALMASSORA</t>
  </si>
  <si>
    <t>669000002 - OTROS GTOS. DTO. EFECTOS SABADELL</t>
  </si>
  <si>
    <t>669100005 - OTROS GTOS. FINAN. C.RURAL ALMASSORA</t>
  </si>
  <si>
    <t>768000000 - Diferencias positivas de cambio</t>
  </si>
  <si>
    <t xml:space="preserve">- - </t>
  </si>
  <si>
    <t>709001500 - RAPPEL BONIFICACIONES POR PMK DEFINITIVO</t>
  </si>
  <si>
    <t>(709) Publicidad</t>
  </si>
  <si>
    <t>Luz</t>
  </si>
  <si>
    <t xml:space="preserve">                            -  </t>
  </si>
  <si>
    <t>700001624 - VENTA POR TRANSPORTE REP. AL CLIENTE DEFINITIVO</t>
  </si>
  <si>
    <t>Maquila</t>
  </si>
  <si>
    <t>706000001 - DESCUENTO POR PRONTO PAGO DEFINITIVO</t>
  </si>
  <si>
    <t>621000014 - ALQUILER MURANO</t>
  </si>
  <si>
    <t>623100008 - COMISIONES KAMAL KEHAL</t>
  </si>
  <si>
    <t>623200023 - GASTOS MARCAS ARGELIA</t>
  </si>
  <si>
    <t>631000002 - TASAS</t>
  </si>
  <si>
    <t>Comprobación</t>
  </si>
  <si>
    <t>Dif</t>
  </si>
  <si>
    <t>CHECK</t>
  </si>
  <si>
    <t xml:space="preserve">may-26 </t>
  </si>
  <si>
    <t>ETT Maquila</t>
  </si>
  <si>
    <t>Alquiler carretilla</t>
  </si>
  <si>
    <t>Tratamiento residuos</t>
  </si>
  <si>
    <t>Materias primas repercutidas</t>
  </si>
  <si>
    <t>Packing repercutido</t>
  </si>
  <si>
    <t>602000000 - Compras de otros aprovisionamientos</t>
  </si>
  <si>
    <t>623200002 - GASTOS MARCAS MEXICO</t>
  </si>
  <si>
    <t>623200033 - GASTOS MARCAS MUNDIAL</t>
  </si>
  <si>
    <t>694000000 - Pérdidas deterioro de créditos por op.comerciales</t>
  </si>
  <si>
    <t>(694) Pérdidas por op. Comerciales</t>
  </si>
  <si>
    <t>769000000 - Otros ingresos financieros</t>
  </si>
  <si>
    <t>(769) Otros ingresos financieros</t>
  </si>
  <si>
    <t xml:space="preserve"> SALDO </t>
  </si>
  <si>
    <t xml:space="preserve"> jun-26</t>
  </si>
  <si>
    <t xml:space="preserve">Total 2026 </t>
  </si>
  <si>
    <t>Check</t>
  </si>
  <si>
    <t>EBITDA</t>
  </si>
  <si>
    <t>INDIVIDUAL-Ext Item Codiagro-SAS</t>
  </si>
  <si>
    <t>Producción Codiagro-SAS</t>
  </si>
  <si>
    <t>Detalle sin Ajustar</t>
  </si>
  <si>
    <t>622010000 MANTENIMIENTO</t>
  </si>
  <si>
    <t>625000003 SEGURO ACCIDENTES TRABAJADORES</t>
  </si>
  <si>
    <t>629000015 MATERIAL DE OFICINA</t>
  </si>
  <si>
    <t xml:space="preserve">                                             -  </t>
  </si>
  <si>
    <t xml:space="preserve">jul-26 </t>
  </si>
  <si>
    <t>623200017 GASTOS MARCAS EL SALVADOR</t>
  </si>
  <si>
    <t>629000016 HERRAMIENTAS</t>
  </si>
  <si>
    <t>629100008 GASTOS PEDRO MEDINA</t>
  </si>
  <si>
    <t>631000004 IBIB</t>
  </si>
  <si>
    <t xml:space="preserve">ago-26 </t>
  </si>
  <si>
    <t>EBITDA %</t>
  </si>
  <si>
    <t>Cuenta sin saldo en el ejercicio. Sin previsión de movimientos.</t>
  </si>
  <si>
    <t>Partida puntual / no recurrente en el periodo enero-agosto. Sin movimiento adicional proyectado para el último cuatrimestre.</t>
  </si>
  <si>
    <t>Coste/Ingreso variable según volumen de ventas y fletes repercutidos al cliente (ratio histórico 1,10% s/ventas) + inflación de fletes.</t>
  </si>
  <si>
    <t>Modelo de gestión de envases (Envases y transportes.xlsx): histórico 2025 ajustado por +12,35% en unidades y +4,5% en tarifas (factor 1,1685).</t>
  </si>
  <si>
    <t>Ajuste previsional de variación de existencias para regularización de inventarios a cierre de ejercicio.</t>
  </si>
  <si>
    <t>Coste operativo menor de planta: proyección basada en el promedio mensual histórico de reposición.</t>
  </si>
  <si>
    <t>Cuenta inactiva / sin saldo en el ejercicio. Sin previsión de movimientos.</t>
  </si>
  <si>
    <t>Coste semi-variable de consumibles de marcaje y codificación en planta vinculado al volumen de producción envasado.</t>
  </si>
  <si>
    <t>Coste estratégico de I+D: ensayos agronómicos de eficacia y desarrollo de bioestimulantes.</t>
  </si>
  <si>
    <t>Coste fijo mensual según contratos vigentes de renting de vehículos y maquinaria auxiliar.</t>
  </si>
  <si>
    <t>Coste fijo de asesoramiento legal, técnico y fiscal, con refuerzo en diciembre por preparación del cierre y auditoría.</t>
  </si>
  <si>
    <t>Gastos de registro de formulaciones, marcas y actos notariales.</t>
  </si>
  <si>
    <t>Proyección basada en el promedio mensual histórico de actividad.</t>
  </si>
  <si>
    <t>Coste variable: transporte marítimo y terrestre de exportación según volumen internacional presupuestado + fletes internacionales.</t>
  </si>
  <si>
    <t>Coste variable: logística insular según previsión de ventas en Canarias.</t>
  </si>
  <si>
    <t>Coste variable de fletes con repercusión comercial al cliente final (correlativo con ingreso 700001624).</t>
  </si>
  <si>
    <t>Coste fijo: prima mensualizada de pólizas de seguro industrial y responsabilidad civil.</t>
  </si>
  <si>
    <t>Coste operativo recurrente por transaccionalidad bancaria y comisiones de gestión.</t>
  </si>
  <si>
    <t>Gasto comercial y marketing: promedio mensual con refuerzo en octubre por ferias agrícolas de otoño.</t>
  </si>
  <si>
    <t>Gasto comercial estratégico con estacionalidad: refuerzo en octubre por ferias agrícolas (Fruit Attraction) y catálogos.</t>
  </si>
  <si>
    <t>Coste semi-variable: término fijo de potencia contratada + consumo eléctrico de reactores y envasado proporcional a la producción.</t>
  </si>
  <si>
    <t>Coste semi-variable estacional: climatización de instalaciones y caldera durante meses fríos.</t>
  </si>
  <si>
    <t>Coste operativo general de estructura y servicios de oficinas/fábrica (promedio histórico).</t>
  </si>
  <si>
    <t>Coste semi-variable: gestión medioambiental y retirada autorizada de residuos fabriles según actividad.</t>
  </si>
  <si>
    <t>Gastos comerciales de viaje, kilometraje y dietas vinculados a visitas y prospección de clientes.</t>
  </si>
  <si>
    <t>Gastos comerciales de viaje, representación y prospección comercial en zona asignada.</t>
  </si>
  <si>
    <t>Coste fijo tributario: tasas municipales y tributos recurrentes de la actividad.</t>
  </si>
  <si>
    <t>Coste variable regulatorio: tributo legal sobre envases de plástico virgen en función de los kg de plástico envasados.</t>
  </si>
  <si>
    <t>Coste fijo estricto: dotación lineal mensual calculada según las tablas oficiales de amortización y vida útil del inmovilizado.</t>
  </si>
  <si>
    <t xml:space="preserve">sep-26 </t>
  </si>
  <si>
    <t xml:space="preserve">oct-26 </t>
  </si>
  <si>
    <t xml:space="preserve">nov-26 </t>
  </si>
  <si>
    <t>Presupuesto de Ventas 2026 ajustado para cuadrar la Cifra Neta de Negocios en 15.180.000,00 € exactos tras considerar la provisión anual de rappels (333k€) y gestión de envases.</t>
  </si>
  <si>
    <t>Provisión por rappels comerciales ajustada para alcanzar el objetivo anual exacto de 333.000,00 € (-148.761,28 € reales Ene-Ago + -184.238,72 € provisión Dic).</t>
  </si>
  <si>
    <t>Coste variable directamente proporcional al número de unidades/tapones envasados (0,22% s/ventas ajustadas).</t>
  </si>
  <si>
    <t>Coste financiero variable: descuentos por pronto pago concedidos a clientes según presupuesto de ventas ajustado (ratio histórico 2,70%).</t>
  </si>
  <si>
    <t>Base salarial mensual fija igual a agosto (-128.060,74 €/mes) + 279.000,00 € adicionales en diciembre por devengo de Paga Extraordinaria de Navidad e incentivos anuales.</t>
  </si>
  <si>
    <t>Cotizaciones a la Seguridad Social mensuales fijas iguales a agosto (-24.572,05 €/mes).</t>
  </si>
  <si>
    <t>Sin dotación presupuestada en el último cuatrimestre.</t>
  </si>
  <si>
    <t xml:space="preserve">dic-26 </t>
  </si>
  <si>
    <t>Sin dotación presupuestada para el periodo sep-dic según instrucción comercial.</t>
  </si>
  <si>
    <t>Gastos de registro y mantenimiento de marca en El Salvador (única partida de marcas presupuestada en el periodo).</t>
  </si>
  <si>
    <t>Coste variable directo: volumen según presupuesto ajustado (ratio histórico 25,85% s/ventas sin incremento de inflación en 2026; la inflación del +4,5% se aplica solo en 2027).</t>
  </si>
  <si>
    <t>Coste variable por envases y embalajes: incluye saldo de junio traspasado de la 602000000 (-30.306,17 €). Estimación unificada según ratio histórico 5,39% s/ventas ajustadas (sin inflación en 2026; aplicable en 2027).</t>
  </si>
  <si>
    <t>Cuenta fusionada con 602000001. Su saldo real de junio (-30.306,17 €) se ha traspasado a la 602000001. Sin previsión en sep-dic ni en 2027.</t>
  </si>
  <si>
    <t>Coste variable de etiquetas: ratio s/ventas ajustadas sin ajuste de precios de imprenta por inflación en 2026 (solo en 2027).</t>
  </si>
  <si>
    <t>Coste variable de palets: ratio s/ventas ajustadas sin inflación de suministros logísticos en 2026 (aplicable en 2027).</t>
  </si>
  <si>
    <t>Coste variable de subcontratación fabril: eliminadas previsiones de sep a nov, dejando únicamente diciembre (-7.970,00 €) por refuerzo a cierre de ejercicio según indicación.</t>
  </si>
  <si>
    <t>Arrendamiento Murano: no hay más cuotas en 2026 (ya está todo pagado, eliminadas sep-dic). En 2027 poner la misma cantidad anual ajustada a la inflación (+4,5%).</t>
  </si>
  <si>
    <t>Coste semi-variable: mantenimiento preventivo y correctivo de planta según promedio mensual histórico (sin incremento de inflación en 2026; la inflación del +4,5% se aplica solo en 2027).</t>
  </si>
  <si>
    <t>Servicios contables y financieros externos: restablecido a -2.800,00 €/mes en 2026 según indicación. La reducción del 50% (-1.400,00 €/mes) se aplica únicamente en el ejercicio 2027.</t>
  </si>
  <si>
    <t>Honorarios y gastos comerciales de zona según plan presupuestado + 5.000,00 € adicionales en diciembre según instrucción comercial. Para 2027 no hay que subirles nada (mismo importe).</t>
  </si>
  <si>
    <t>Dotación mensual de 500,00 € de sep a dic + 30.000,00 € extraordinarios en diciembre según instrucción comercial. Para 2027 no hay que subirles nada (mismo importe).</t>
  </si>
  <si>
    <t>Dotación mensual de 6.000,00 € de sep a dic + 100.000,00 € extraordinarios en diciembre según instrucción comercial. Para 2027 no hay que subirles nada (mismo importe).</t>
  </si>
  <si>
    <t>Comisiones Kamal Kehal: eliminados los importes de sep a dic del 2026. Para 2027 poner la misma cantidad anual real del 2026 (-3.398,55 €).</t>
  </si>
  <si>
    <t>Coste variable de transporte nacional: mantenida temporalmente la previsión según volumen de expediciones presupuestadas; pendiente de recibir excel con previsiones logísticas.</t>
  </si>
  <si>
    <t>Gastos de marketing: eliminadas las partidas de sep a dic del 2026. Para 2027 pendiente de adjuntar el plan de marketing.</t>
  </si>
  <si>
    <t>Tasas: eliminados los importes previstos de sep a dic en 2026 por estar ya devengadas en mayo (-581,49 €). Para 2027 se replica exactamente el mismo gasto en mayo.</t>
  </si>
  <si>
    <t>Tasas e impuestos municipales (IBI): eliminadas las partidas de sep a dic del 2026 por estar ya pagado en el ejercicio. En el 2027 poner la misma cantidad que ya se ha pagado en el 2026 (-7.396,59 €).</t>
  </si>
  <si>
    <t>Ajustes negativos de IVA circulante: no van a tener más saldo; fijado a 0 de sep a dic 2026 y a 0 en 2027.</t>
  </si>
  <si>
    <t>Pérdidas por deterioro de créditos: no van a tener más saldo; fijado a 0 de sep a dic 2026 y a 0 en 2027.</t>
  </si>
  <si>
    <t>Intereses pago financiado proveedores: operación puntual en 2026; sin saldo de sep a dic 2026 ni en 2027.</t>
  </si>
  <si>
    <t>Intereses préstamo Caixabank: préstamo ya finalizado; saldos fijados a 0 de sep a dic 2026 y a 0 en 2027.</t>
  </si>
  <si>
    <t>Diferencias positivas de cambio: sin saldos estimados de sep a dic 2026 ni en 2027 según indicación.</t>
  </si>
  <si>
    <t>Otros ingresos financieros: partida no recurrente de junio; sin saldos estimados de sep a dic 2026 ni en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</si>
</sst>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%;\(0\)%;\-"/>
    <numFmt numFmtId="166" formatCode="0.0%"/>
    <numFmt numFmtId="167" formatCode="#,##0\ ;\(#,##0\);\ \ \-_);@"/>
    <numFmt numFmtId="168" formatCode="0%&quot; &quot;;\(0\)%&quot; &quot;;\-"/>
    <numFmt numFmtId="169" formatCode="_([$€-2]* #,##0.00_);_([$€-2]* \(#,##0.00\);_([$€-2]* &quot;-&quot;??_);_(@_)"/>
    <numFmt numFmtId="170" formatCode="#,##0.00\ &quot;€&quot;"/>
    <numFmt numFmtId="171" formatCode="_-* #,##0.00\ _€_-;\-* #,##0.00\ _€_-;_-* &quot;-&quot;??\ _€_-;_-@_-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0.5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3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3" fillId="0" borderId="0"/>
    <xf numFmtId="0" fontId="18" fillId="0" borderId="0" applyNumberFormat="0" applyFill="0" applyBorder="0" applyAlignment="0" applyProtection="0"/>
    <xf numFmtId="0" fontId="18" fillId="0" borderId="3" applyNumberFormat="0" applyFill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4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2" fillId="0" borderId="0" xfId="0" applyFont="1"/>
    <xf numFmtId="0" fontId="3" fillId="0" borderId="0" xfId="0" applyFont="1"/>
    <xf numFmtId="164" fontId="6" fillId="0" borderId="0" xfId="2" applyNumberFormat="1" applyFont="1" applyAlignment="1">
      <alignment vertical="center" wrapText="1"/>
    </xf>
    <xf numFmtId="165" fontId="8" fillId="0" borderId="0" xfId="0" applyNumberFormat="1" applyFont="1" applyAlignment="1">
      <alignment vertical="center"/>
    </xf>
    <xf numFmtId="166" fontId="9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/>
    </xf>
    <xf numFmtId="164" fontId="6" fillId="0" borderId="12" xfId="2" applyNumberFormat="1" applyFont="1" applyBorder="1" applyAlignment="1">
      <alignment vertical="center" wrapText="1"/>
    </xf>
    <xf numFmtId="165" fontId="9" fillId="0" borderId="0" xfId="3" applyNumberFormat="1" applyFont="1" applyAlignment="1">
      <alignment vertical="center" wrapText="1"/>
    </xf>
    <xf numFmtId="0" fontId="4" fillId="3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33" borderId="12" xfId="0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2" applyFont="1" applyAlignment="1">
      <alignment horizontal="left" vertical="center" indent="1"/>
    </xf>
    <xf numFmtId="0" fontId="6" fillId="0" borderId="12" xfId="2" applyFont="1" applyBorder="1" applyAlignment="1">
      <alignment vertical="center"/>
    </xf>
    <xf numFmtId="0" fontId="6" fillId="34" borderId="12" xfId="0" applyFont="1" applyFill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6" fillId="33" borderId="12" xfId="0" applyFont="1" applyFill="1" applyBorder="1" applyAlignment="1">
      <alignment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0" xfId="0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31" fillId="0" borderId="10" xfId="4" applyFont="1" applyBorder="1" applyAlignment="1">
      <alignment horizontal="left" vertical="center"/>
    </xf>
    <xf numFmtId="0" fontId="31" fillId="0" borderId="10" xfId="4" applyFont="1" applyBorder="1" applyAlignment="1">
      <alignment horizontal="center" vertical="center"/>
    </xf>
    <xf numFmtId="0" fontId="33" fillId="35" borderId="0" xfId="4" applyFont="1" applyFill="1" applyAlignment="1">
      <alignment vertical="center"/>
    </xf>
    <xf numFmtId="164" fontId="33" fillId="35" borderId="0" xfId="4" applyNumberFormat="1" applyFont="1" applyFill="1" applyAlignment="1">
      <alignment vertical="center"/>
    </xf>
    <xf numFmtId="0" fontId="32" fillId="0" borderId="0" xfId="4" applyFont="1" applyAlignment="1">
      <alignment vertical="center"/>
    </xf>
    <xf numFmtId="164" fontId="32" fillId="0" borderId="0" xfId="4" applyNumberFormat="1" applyFont="1" applyAlignment="1">
      <alignment vertical="center"/>
    </xf>
    <xf numFmtId="0" fontId="33" fillId="0" borderId="12" xfId="4" applyFont="1" applyBorder="1" applyAlignment="1">
      <alignment vertical="center"/>
    </xf>
    <xf numFmtId="164" fontId="33" fillId="0" borderId="12" xfId="4" applyNumberFormat="1" applyFont="1" applyBorder="1" applyAlignment="1">
      <alignment vertical="center"/>
    </xf>
    <xf numFmtId="0" fontId="35" fillId="0" borderId="0" xfId="4" applyFont="1" applyAlignment="1">
      <alignment horizontal="left" vertical="center" indent="1"/>
    </xf>
    <xf numFmtId="9" fontId="35" fillId="0" borderId="0" xfId="59" applyFont="1" applyAlignment="1">
      <alignment vertical="center"/>
    </xf>
    <xf numFmtId="166" fontId="35" fillId="0" borderId="0" xfId="59" applyNumberFormat="1" applyFont="1" applyAlignment="1">
      <alignment vertical="center"/>
    </xf>
    <xf numFmtId="0" fontId="33" fillId="35" borderId="12" xfId="4" applyFont="1" applyFill="1" applyBorder="1" applyAlignment="1">
      <alignment vertical="center"/>
    </xf>
    <xf numFmtId="164" fontId="33" fillId="35" borderId="12" xfId="4" applyNumberFormat="1" applyFont="1" applyFill="1" applyBorder="1" applyAlignment="1">
      <alignment vertical="center"/>
    </xf>
    <xf numFmtId="165" fontId="35" fillId="0" borderId="0" xfId="59" applyNumberFormat="1" applyFont="1" applyAlignment="1">
      <alignment vertical="center"/>
    </xf>
    <xf numFmtId="0" fontId="34" fillId="0" borderId="0" xfId="0" applyFont="1" applyAlignment="1">
      <alignment vertical="center"/>
    </xf>
    <xf numFmtId="167" fontId="34" fillId="0" borderId="0" xfId="0" applyNumberFormat="1" applyFont="1" applyAlignment="1">
      <alignment vertical="center"/>
    </xf>
    <xf numFmtId="0" fontId="31" fillId="34" borderId="12" xfId="0" applyFont="1" applyFill="1" applyBorder="1" applyAlignment="1">
      <alignment vertical="center"/>
    </xf>
    <xf numFmtId="167" fontId="31" fillId="34" borderId="12" xfId="0" applyNumberFormat="1" applyFont="1" applyFill="1" applyBorder="1" applyAlignment="1">
      <alignment vertical="center"/>
    </xf>
    <xf numFmtId="0" fontId="36" fillId="0" borderId="0" xfId="0" applyFont="1" applyAlignment="1">
      <alignment horizontal="left" vertical="center" indent="1"/>
    </xf>
    <xf numFmtId="0" fontId="37" fillId="0" borderId="0" xfId="0" applyFont="1"/>
    <xf numFmtId="0" fontId="12" fillId="40" borderId="0" xfId="0" applyFont="1" applyFill="1"/>
    <xf numFmtId="0" fontId="4" fillId="0" borderId="10" xfId="2" applyFont="1" applyBorder="1" applyAlignment="1">
      <alignment horizontal="right" vertical="center" wrapText="1"/>
    </xf>
    <xf numFmtId="0" fontId="4" fillId="0" borderId="11" xfId="2" applyFont="1" applyBorder="1" applyAlignment="1">
      <alignment horizontal="right" vertical="center" wrapText="1"/>
    </xf>
    <xf numFmtId="0" fontId="4" fillId="0" borderId="10" xfId="2" quotePrefix="1" applyFont="1" applyBorder="1" applyAlignment="1">
      <alignment horizontal="right" vertical="center" wrapText="1"/>
    </xf>
    <xf numFmtId="164" fontId="6" fillId="33" borderId="0" xfId="2" applyNumberFormat="1" applyFont="1" applyFill="1" applyAlignment="1">
      <alignment vertical="center" wrapText="1"/>
    </xf>
    <xf numFmtId="166" fontId="9" fillId="0" borderId="13" xfId="3" applyNumberFormat="1" applyFont="1" applyBorder="1" applyAlignment="1">
      <alignment vertical="center" wrapText="1"/>
    </xf>
    <xf numFmtId="166" fontId="6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 wrapText="1"/>
    </xf>
    <xf numFmtId="9" fontId="9" fillId="0" borderId="13" xfId="1" applyFont="1" applyBorder="1" applyAlignment="1">
      <alignment vertical="center" wrapText="1"/>
    </xf>
    <xf numFmtId="9" fontId="38" fillId="0" borderId="0" xfId="1" applyFont="1" applyAlignment="1">
      <alignment vertical="center" wrapText="1"/>
    </xf>
    <xf numFmtId="0" fontId="3" fillId="0" borderId="13" xfId="0" applyFont="1" applyBorder="1"/>
    <xf numFmtId="167" fontId="4" fillId="33" borderId="1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7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7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5" fontId="9" fillId="0" borderId="0" xfId="3" applyNumberFormat="1" applyFont="1" applyAlignment="1" applyProtection="1">
      <alignment vertical="center" wrapText="1"/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5" fontId="9" fillId="0" borderId="0" xfId="3" applyNumberFormat="1" applyFont="1" applyAlignment="1" applyProtection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2" fillId="38" borderId="0" xfId="0" applyFont="1" applyFill="1" applyProtection="1"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8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168" fontId="7" fillId="0" borderId="0" xfId="0" applyNumberFormat="1" applyFont="1" applyAlignment="1" applyProtection="1">
      <alignment horizontal="right" vertical="center"/>
      <protection locked="0"/>
    </xf>
    <xf numFmtId="165" fontId="6" fillId="0" borderId="0" xfId="1" applyNumberFormat="1" applyFont="1" applyFill="1" applyBorder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7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7" fontId="7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7" fontId="4" fillId="36" borderId="12" xfId="0" applyNumberFormat="1" applyFont="1" applyFill="1" applyBorder="1" applyAlignment="1">
      <alignment horizontal="right" vertical="center"/>
    </xf>
    <xf numFmtId="165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7" fontId="4" fillId="0" borderId="0" xfId="0" applyNumberFormat="1" applyFont="1" applyAlignment="1">
      <alignment horizontal="right" vertical="center"/>
    </xf>
    <xf numFmtId="168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8" fontId="4" fillId="0" borderId="14" xfId="0" applyNumberFormat="1" applyFont="1" applyBorder="1" applyAlignment="1">
      <alignment horizontal="right" vertical="center"/>
    </xf>
    <xf numFmtId="167" fontId="4" fillId="34" borderId="12" xfId="0" applyNumberFormat="1" applyFont="1" applyFill="1" applyBorder="1" applyAlignment="1">
      <alignment horizontal="right" vertical="center"/>
    </xf>
    <xf numFmtId="165" fontId="4" fillId="36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0" fillId="38" borderId="0" xfId="0" applyFill="1" applyProtection="1">
      <protection locked="0"/>
    </xf>
    <xf numFmtId="168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8" fontId="7" fillId="0" borderId="13" xfId="0" quotePrefix="1" applyNumberFormat="1" applyFont="1" applyBorder="1" applyAlignment="1">
      <alignment horizontal="right" vertical="center"/>
    </xf>
    <xf numFmtId="165" fontId="6" fillId="34" borderId="14" xfId="1" applyNumberFormat="1" applyFont="1" applyFill="1" applyBorder="1" applyAlignment="1">
      <alignment vertical="center"/>
    </xf>
    <xf numFmtId="168" fontId="8" fillId="0" borderId="13" xfId="0" quotePrefix="1" applyNumberFormat="1" applyFont="1" applyBorder="1" applyAlignment="1">
      <alignment horizontal="right" vertical="center"/>
    </xf>
    <xf numFmtId="0" fontId="12" fillId="41" borderId="0" xfId="0" applyFont="1" applyFill="1" applyAlignment="1">
      <alignment horizontal="left"/>
    </xf>
    <xf numFmtId="17" fontId="12" fillId="41" borderId="0" xfId="0" applyNumberFormat="1" applyFont="1" applyFill="1" applyAlignment="1">
      <alignment horizontal="left"/>
    </xf>
    <xf numFmtId="14" fontId="39" fillId="0" borderId="23" xfId="0" applyNumberFormat="1" applyFont="1" applyBorder="1" applyAlignment="1">
      <alignment horizontal="left" vertical="center"/>
    </xf>
    <xf numFmtId="0" fontId="39" fillId="0" borderId="23" xfId="0" quotePrefix="1" applyFont="1" applyBorder="1" applyAlignment="1">
      <alignment horizontal="center" vertical="center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right" vertical="center"/>
    </xf>
    <xf numFmtId="4" fontId="39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7" fontId="34" fillId="0" borderId="0" xfId="0" applyNumberFormat="1" applyFont="1"/>
    <xf numFmtId="14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2" fillId="42" borderId="24" xfId="0" applyFont="1" applyFill="1" applyBorder="1"/>
    <xf numFmtId="0" fontId="0" fillId="0" borderId="0" xfId="0" pivotButton="1"/>
    <xf numFmtId="168" fontId="4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7" fontId="0" fillId="0" borderId="0" xfId="0" applyNumberFormat="1"/>
    <xf numFmtId="43" fontId="0" fillId="0" borderId="0" xfId="61" applyFont="1"/>
    <xf numFmtId="171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0" fillId="0" borderId="0" xfId="61" applyFont="1" applyFill="1"/>
    <xf numFmtId="43" fontId="39" fillId="0" borderId="23" xfId="61" applyFont="1" applyBorder="1" applyAlignment="1">
      <alignment horizontal="center" vertical="center"/>
    </xf>
    <xf numFmtId="43" fontId="40" fillId="0" borderId="0" xfId="61" applyFont="1" applyAlignment="1">
      <alignment vertical="center" wrapText="1"/>
    </xf>
    <xf numFmtId="4" fontId="41" fillId="0" borderId="0" xfId="0" applyNumberFormat="1" applyFont="1"/>
    <xf numFmtId="0" fontId="0" fillId="43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4" fontId="0" fillId="0" borderId="0" xfId="0" applyNumberFormat="1" applyFill="1"/>
    <xf numFmtId="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 applyFont="1"/>
  </cellXfs>
  <cellStyles count="73">
    <cellStyle name="20% - Énfasis1 2" xfId="35" xr:uid="{1185DB90-4849-424E-B2AB-58A2E7F5B16C}"/>
    <cellStyle name="20% - Énfasis2 2" xfId="39" xr:uid="{CB031776-CD72-4FFD-8E18-B0CE5BE23EC1}"/>
    <cellStyle name="20% - Énfasis3 2" xfId="43" xr:uid="{A67BE943-F1C9-487C-87B9-E0FD4EC5A0F5}"/>
    <cellStyle name="20% - Énfasis4 2" xfId="47" xr:uid="{B9548264-3965-4363-AD88-5E10F0826D95}"/>
    <cellStyle name="20% - Énfasis5 2" xfId="51" xr:uid="{5303C1FB-5BDC-4B74-AFAC-779B4FC39672}"/>
    <cellStyle name="20% - Énfasis6 2" xfId="55" xr:uid="{84749941-CB77-465E-83F8-1E03A36A59B2}"/>
    <cellStyle name="40% - Énfasis1 2" xfId="36" xr:uid="{0DC62DA6-B660-4AE1-ACE2-BE100742EB90}"/>
    <cellStyle name="40% - Énfasis2 2" xfId="40" xr:uid="{343674D6-12B0-445C-AC5E-2AB9D9B8B296}"/>
    <cellStyle name="40% - Énfasis3 2" xfId="44" xr:uid="{E3CE84A7-77F0-4D3D-8E40-63A8963F1789}"/>
    <cellStyle name="40% - Énfasis4 2" xfId="48" xr:uid="{0FB07665-8C45-4FF8-9316-199BB199CFD4}"/>
    <cellStyle name="40% - Énfasis5 2" xfId="52" xr:uid="{28F32C43-8B67-416E-958A-E1BFB9C8F33B}"/>
    <cellStyle name="40% - Énfasis6 2" xfId="56" xr:uid="{484DBCB6-63D5-4D08-9CBF-15ADFB8AC159}"/>
    <cellStyle name="60% - Énfasis1 2" xfId="37" xr:uid="{5DF0F67A-9DBF-42FE-90E9-A7A9859A4A33}"/>
    <cellStyle name="60% - Énfasis2 2" xfId="41" xr:uid="{170AFFFD-52C8-4C6C-9FCF-85244D609932}"/>
    <cellStyle name="60% - Énfasis3 2" xfId="45" xr:uid="{C883136E-234D-4F26-A52D-6B8F37F16AB7}"/>
    <cellStyle name="60% - Énfasis4 2" xfId="49" xr:uid="{E67DF745-0C30-41EE-B41F-209362CB8080}"/>
    <cellStyle name="60% - Énfasis5 2" xfId="53" xr:uid="{831D222C-7F50-44EC-B36B-4E3C83EF6C3E}"/>
    <cellStyle name="60% - Énfasis6 2" xfId="57" xr:uid="{EA5B1FEC-0C83-46BE-AD26-F2AD661966B3}"/>
    <cellStyle name="Bueno 2" xfId="22" xr:uid="{68B75397-F995-4419-AB11-C20BC3188E39}"/>
    <cellStyle name="Cálculo 2" xfId="27" xr:uid="{EE06DE55-7A5E-4ADB-A82C-D45F65890E6B}"/>
    <cellStyle name="Celda de comprobación 2" xfId="29" xr:uid="{C8239B63-2E8E-44FB-BE7F-616191F62E9C}"/>
    <cellStyle name="Celda vinculada 2" xfId="28" xr:uid="{4F894528-62D0-4C90-821D-2E635B88F159}"/>
    <cellStyle name="Encabezado 1 2" xfId="20" xr:uid="{4B3A6B3F-4E64-47E4-9B62-98793AF9EC1D}"/>
    <cellStyle name="Encabezado 4 2" xfId="16" xr:uid="{B9956882-033C-469E-A629-B2AA0438FF10}"/>
    <cellStyle name="Énfasis1 2" xfId="34" xr:uid="{C79A8A19-028E-43F9-B80F-37E5F4384CA8}"/>
    <cellStyle name="Énfasis2 2" xfId="38" xr:uid="{AF008DDE-D61D-41A1-A96D-EC47C7E0B473}"/>
    <cellStyle name="Énfasis3 2" xfId="42" xr:uid="{682E523F-94FB-465F-BD23-4511711443E6}"/>
    <cellStyle name="Énfasis4 2" xfId="46" xr:uid="{65062B86-D016-4AA2-BE61-600A9D0349D6}"/>
    <cellStyle name="Énfasis5 2" xfId="50" xr:uid="{DD64D398-35E9-4F84-A153-1F967C9EC9A5}"/>
    <cellStyle name="Énfasis6 2" xfId="54" xr:uid="{1921E6D3-B21C-4139-879F-5FBDD581FB44}"/>
    <cellStyle name="Entrada 2" xfId="25" xr:uid="{4E155F10-EF67-4A5A-822A-1E0DAD88EDFF}"/>
    <cellStyle name="Euro" xfId="14" xr:uid="{DEF02B32-61E3-467E-9A66-32FFE2362EC6}"/>
    <cellStyle name="Incorrecto 2" xfId="23" xr:uid="{FCD35F9B-C378-4262-A1BC-473C25788F95}"/>
    <cellStyle name="Millares" xfId="61" builtinId="3"/>
    <cellStyle name="Millares 2" xfId="9" xr:uid="{3E2A6486-DE8B-49EB-87D3-C439AD296424}"/>
    <cellStyle name="Millares 2 2" xfId="13" xr:uid="{4ACFEA2F-A484-48A0-B363-4588FD0384FF}"/>
    <cellStyle name="Millares 2 2 2" xfId="68" xr:uid="{7BB455AC-ECF8-43A4-99FD-F3B15DB08262}"/>
    <cellStyle name="Millares 2 3" xfId="65" xr:uid="{B0EB7A4D-0EE3-4900-98FD-CE0DF431CF20}"/>
    <cellStyle name="Millares 3" xfId="12" xr:uid="{21C58D7F-E25D-4624-8506-5837F060618C}"/>
    <cellStyle name="Millares 3 2" xfId="67" xr:uid="{B32D53AF-265A-451A-A23F-48E249E528F2}"/>
    <cellStyle name="Millares 4" xfId="8" xr:uid="{DAC0A905-C52D-490A-B6C2-8E6434D63954}"/>
    <cellStyle name="Millares 4 2" xfId="64" xr:uid="{A3CC7A78-0C84-43DC-9FAA-145FA99C38E2}"/>
    <cellStyle name="Millares 5" xfId="60" xr:uid="{C850B64C-DA39-4B84-BF4D-7ED3B9924212}"/>
    <cellStyle name="Millares 5 2" xfId="69" xr:uid="{58E25AB7-5B75-49A4-A8D6-6073D892C16D}"/>
    <cellStyle name="Millares 6" xfId="62" xr:uid="{DF8FF3E8-374B-41F3-B4FC-A728E05CD795}"/>
    <cellStyle name="Millares 6 2" xfId="71" xr:uid="{1AC506C6-A46A-4486-B476-F11336009BF0}"/>
    <cellStyle name="Millares 7" xfId="70" xr:uid="{0815FA52-9833-4202-B32F-46747466D24D}"/>
    <cellStyle name="Millares 8" xfId="63" xr:uid="{580FD3D8-8847-4D25-9D28-39B1BF7554B0}"/>
    <cellStyle name="Millares 9" xfId="72" xr:uid="{9FF89F1E-50CC-4E3F-96D2-23AB507B43E6}"/>
    <cellStyle name="Moneda 2" xfId="11" xr:uid="{0503ED6E-4C83-4F5E-8341-5E830C159184}"/>
    <cellStyle name="Moneda 2 2" xfId="66" xr:uid="{7398F623-DBA1-4C0D-8121-D19951E7A847}"/>
    <cellStyle name="Neutral 2" xfId="24" xr:uid="{706F0D98-A329-483E-9427-5EE87CC4E3D9}"/>
    <cellStyle name="Normal" xfId="0" builtinId="0"/>
    <cellStyle name="Normal 11 2" xfId="2" xr:uid="{FCAA256C-3313-438A-97B1-CA48E939EC91}"/>
    <cellStyle name="Normal 2" xfId="10" xr:uid="{18BC49F9-9FB6-4B31-8BBC-0ADF454C58FC}"/>
    <cellStyle name="Normal 2 2" xfId="6" xr:uid="{AAE65887-7E33-4F4E-B84D-2EF7817F2325}"/>
    <cellStyle name="Normal 3" xfId="4" xr:uid="{9703BC57-7065-4CDD-8D56-CD7D36E625E4}"/>
    <cellStyle name="Normal 3 2" xfId="5" xr:uid="{A6DCFEE1-B0EF-496C-88C5-B6D060CDE4A2}"/>
    <cellStyle name="Normal 3 3" xfId="58" xr:uid="{2848F3FC-54AF-4566-BD8B-2854CD891583}"/>
    <cellStyle name="Normal 3 4" xfId="15" xr:uid="{59565121-23F1-4967-B9C8-E7494E9F872A}"/>
    <cellStyle name="Normal 4" xfId="7" xr:uid="{706D86BB-90CE-4D24-961F-B673ECBE093B}"/>
    <cellStyle name="Normal 6" xfId="18" xr:uid="{2572D460-46C9-4BC9-8B3B-BFC1B80B1E51}"/>
    <cellStyle name="Notas 2" xfId="31" xr:uid="{56BE95F6-C863-452F-B9FE-F82D291219D5}"/>
    <cellStyle name="Percent 18" xfId="3" xr:uid="{C01D2DA0-DE87-436F-84D8-36E30888A597}"/>
    <cellStyle name="Percent 2" xfId="59" xr:uid="{F4B69C19-ED23-4F15-9B90-5C1473FAC5F2}"/>
    <cellStyle name="Porcentaje" xfId="1" builtinId="5"/>
    <cellStyle name="Salida 2" xfId="26" xr:uid="{8136F0BA-950E-4710-8B08-C37B852AE956}"/>
    <cellStyle name="Texto de advertencia 2" xfId="30" xr:uid="{0BF1FA36-35D2-4C4A-BE69-0AB9A55991E4}"/>
    <cellStyle name="Texto explicativo 2" xfId="32" xr:uid="{A3FCDB21-8291-4D6B-91E4-7B6E668C6B75}"/>
    <cellStyle name="Título 2 2" xfId="21" xr:uid="{9800D652-5CB1-48E9-B201-0AF49E71A33D}"/>
    <cellStyle name="Título 3 2" xfId="17" xr:uid="{776BAD81-98D9-4D26-8B7D-E76FBD6FBBF6}"/>
    <cellStyle name="Título 4" xfId="19" xr:uid="{F80139BF-3F45-41CD-BF67-DFFAEF585870}"/>
    <cellStyle name="Total 2" xfId="33" xr:uid="{05B74CE7-C7F2-435C-8726-12D1C31FD517}"/>
  </cellStyles>
  <dxfs count="13">
    <dxf>
      <fill>
        <patternFill patternType="solid">
          <bgColor rgb="FFFFFF00"/>
        </patternFill>
      </fill>
    </dxf>
    <dxf>
      <font>
        <color theme="1"/>
      </font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ile:///C:\Users\oscar.ocampo\AppData\Local\Microsoft\Olk\Attachments\ooa-a2506fb4-fc93-4153-befd-7cc39447fea0\ffd387a587f918e34dac75ff7ee1a852cbc7fb1c546f83d422b39d5f711ad67b\2025-12-%20CODIAGRO_P&amp;L%20Mensualitzada%20VF%20Reporting.xlsx?24CDD64E" TargetMode="External"/><Relationship Id="rId2" Type="http://schemas.openxmlformats.org/officeDocument/2006/relationships/externalLinkPath" Target="file:///\\24CDD64E\2025-12-%20CODIAGRO_P&amp;L%20Mensualitzada%20VF%20Report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054.353394212965" createdVersion="8" refreshedVersion="8" minRefreshableVersion="3" recordCount="19" xr:uid="{B3D4BF75-E3E4-491E-853B-9F8FEF355FE4}">
  <cacheSource type="worksheet">
    <worksheetSource ref="A2:L21" sheet="Ext Item" r:id="rId2"/>
  </cacheSource>
  <cacheFields count="12">
    <cacheField name="Fecha de contabilización" numFmtId="14">
      <sharedItems containsNonDate="0" containsDate="1" containsString="0" containsBlank="1" minDate="2025-01-10T00:00:00" maxDate="2025-12-03T00:00:00"/>
    </cacheField>
    <cacheField name="Mes report" numFmtId="0">
      <sharedItems count="12">
        <s v="ENERO"/>
        <s v="MARZO"/>
        <s v="ABRIL"/>
        <s v="MAYO"/>
        <s v="JUNIO"/>
        <s v="JULIO"/>
        <s v="SEPTIEMBRE"/>
        <s v="AGOSTO"/>
        <s v="NOVIEMBRE"/>
        <s v="DICIEMBRE"/>
        <s v="FEBRERO"/>
        <s v="OCTUBRE"/>
      </sharedItems>
    </cacheField>
    <cacheField name="Empresa" numFmtId="0">
      <sharedItems containsBlank="1"/>
    </cacheField>
    <cacheField name="Concepto" numFmtId="0">
      <sharedItems containsBlank="1"/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tring="0" containsBlank="1" containsNumber="1" containsInteger="1" minValue="622000006" maxValue="641000007"/>
    </cacheField>
    <cacheField name="Normalización" numFmtId="0">
      <sharedItems count="2">
        <s v="Gastos de personal"/>
        <s v="Otros Gastos Operativos"/>
      </sharedItems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170">
      <sharedItems containsSemiMixedTypes="0" containsString="0" containsNumber="1" minValue="0" maxValue="118000"/>
    </cacheField>
    <cacheField name="Importe ('000)" numFmtId="0">
      <sharedItems containsSemiMixedTypes="0" containsString="0" containsNumber="1" minValue="0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140.574831597223" createdVersion="8" refreshedVersion="8" minRefreshableVersion="3" recordCount="33" xr:uid="{093A36C4-4346-4344-9121-E1FAA97A7E76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90.519526388889" createdVersion="8" refreshedVersion="8" minRefreshableVersion="3" recordCount="202" xr:uid="{7D240FD3-DF79-461F-8DA4-41A4468E62DE}">
  <cacheSource type="worksheet">
    <worksheetSource ref="B3:W205" sheet="PL Mensual 2026"/>
  </cacheSource>
  <cacheFields count="22">
    <cacheField name="Periodo" numFmtId="0">
      <sharedItems containsSemiMixedTypes="0" containsString="0" containsNumber="1" containsInteger="1" minValue="2026" maxValue="2026" count="1">
        <n v="2026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6" numFmtId="4">
      <sharedItems containsString="0" containsBlank="1" containsNumber="1" minValue="-372155.73" maxValue="993280.49"/>
    </cacheField>
    <cacheField name="feb-26" numFmtId="4">
      <sharedItems containsString="0" containsBlank="1" containsNumber="1" minValue="-457091.9" maxValue="1607537.98"/>
    </cacheField>
    <cacheField name="mar-26" numFmtId="4">
      <sharedItems containsString="0" containsBlank="1" containsNumber="1" minValue="-457890.87" maxValue="1536177.86"/>
    </cacheField>
    <cacheField name="abr-26" numFmtId="4">
      <sharedItems containsString="0" containsBlank="1" containsNumber="1" minValue="-391545.47" maxValue="1217250.42"/>
    </cacheField>
    <cacheField name="may-26" numFmtId="0">
      <sharedItems containsBlank="1" containsMixedTypes="1" containsNumber="1" minValue="-423709.62999999989" maxValue="2029266.99"/>
    </cacheField>
    <cacheField name="jun-26" numFmtId="4">
      <sharedItems containsBlank="1" containsMixedTypes="1" containsNumber="1" minValue="-393937.01" maxValue="2009948.67"/>
    </cacheField>
    <cacheField name="jul-26" numFmtId="4">
      <sharedItems containsBlank="1" containsMixedTypes="1" containsNumber="1" minValue="-362186.44" maxValue="1288443.6399999999"/>
    </cacheField>
    <cacheField name="ago-26" numFmtId="4">
      <sharedItems containsSemiMixedTypes="0" containsString="0" containsNumber="1" minValue="-189242.44" maxValue="802410.56"/>
    </cacheField>
    <cacheField name="sep-26" numFmtId="4">
      <sharedItems containsSemiMixedTypes="0" containsString="0" containsNumber="1" minValue="-128060.74" maxValue="480563.3"/>
    </cacheField>
    <cacheField name="oct-26" numFmtId="4">
      <sharedItems containsSemiMixedTypes="0" containsString="0" containsNumber="1" minValue="-235336.47" maxValue="910333.55"/>
    </cacheField>
    <cacheField name="nov-26" numFmtId="4">
      <sharedItems containsSemiMixedTypes="0" containsString="0" containsNumber="1" minValue="-316373.51" maxValue="1223802.77"/>
    </cacheField>
    <cacheField name="dic-26" numFmtId="4">
      <sharedItems containsSemiMixedTypes="0" containsString="0" containsNumber="1" minValue="-407060.74" maxValue="1321267.54"/>
    </cacheField>
    <cacheField name="Total 2026" numFmtId="4">
      <sharedItems containsSemiMixedTypes="0" containsString="0" containsNumber="1" minValue="-4065272.9299999997" maxValue="15420283.77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5-01-10T00:00:00"/>
    <x v="0"/>
    <s v="CODIAGRO"/>
    <s v="INDEMNIZACION"/>
    <m/>
    <n v="641000007"/>
    <x v="0"/>
    <m/>
    <m/>
    <s v="INDEMNIZACION MIGUEL BELLES"/>
    <n v="112732.33"/>
    <n v="112.73233"/>
  </r>
  <r>
    <d v="2025-03-18T00:00:00"/>
    <x v="1"/>
    <s v="CODIAGRO"/>
    <s v="VALORACION"/>
    <s v="440FVN25000044"/>
    <n v="623000001"/>
    <x v="1"/>
    <m/>
    <s v="AUREN CORPORATE"/>
    <m/>
    <n v="14111.19"/>
    <n v="14.111190000000001"/>
  </r>
  <r>
    <d v="2025-03-28T00:00:00"/>
    <x v="1"/>
    <s v="CODIAGRO"/>
    <s v="ASESORAMIENTO"/>
    <s v="440FVN25000048"/>
    <n v="623000001"/>
    <x v="1"/>
    <m/>
    <s v="AUREN CORPORATE"/>
    <m/>
    <n v="4000"/>
    <n v="4"/>
  </r>
  <r>
    <d v="2025-04-29T00:00:00"/>
    <x v="2"/>
    <s v="CODIAGRO"/>
    <s v="ASESORAMIENTO"/>
    <s v="440FVN25000070"/>
    <n v="623000001"/>
    <x v="1"/>
    <m/>
    <s v="AUREN CORPORATE"/>
    <m/>
    <n v="4297.2299999999996"/>
    <n v="4.2972299999999999"/>
  </r>
  <r>
    <d v="2025-05-28T00:00:00"/>
    <x v="3"/>
    <s v="CODIAGRO"/>
    <s v="ASESORAMIENTO"/>
    <s v="440FVN25000094"/>
    <n v="623000001"/>
    <x v="1"/>
    <m/>
    <s v="AUREN CORPORATE"/>
    <m/>
    <n v="4000"/>
    <n v="4"/>
  </r>
  <r>
    <d v="2025-06-30T00:00:00"/>
    <x v="4"/>
    <s v="CODIAGRO"/>
    <s v="ASESORAMIENTO"/>
    <s v="440FVN25000118"/>
    <n v="623000001"/>
    <x v="1"/>
    <m/>
    <s v="AUREN CORPORATE"/>
    <m/>
    <n v="4000"/>
    <n v="4"/>
  </r>
  <r>
    <d v="2025-07-28T00:00:00"/>
    <x v="5"/>
    <s v="CODIAGRO"/>
    <s v="ASESORAMIENTO"/>
    <s v="440FVN25000150"/>
    <n v="623000001"/>
    <x v="1"/>
    <m/>
    <s v="AUREN CORPORATE"/>
    <m/>
    <n v="4589.25"/>
    <n v="4.5892499999999998"/>
  </r>
  <r>
    <d v="2025-09-01T00:00:00"/>
    <x v="6"/>
    <s v="CODIAGRO"/>
    <s v="ASESORAMIENTO"/>
    <s v="440FVN25000171"/>
    <n v="623000001"/>
    <x v="1"/>
    <m/>
    <s v="AUREN CORPORATE"/>
    <m/>
    <n v="4000"/>
    <n v="4"/>
  </r>
  <r>
    <d v="2025-09-29T00:00:00"/>
    <x v="6"/>
    <s v="CODIAGRO"/>
    <s v="ASESORAMIENTO"/>
    <s v="440FVN25000191"/>
    <n v="623000001"/>
    <x v="1"/>
    <m/>
    <s v="AUREN CORPORATE"/>
    <m/>
    <n v="4054.38"/>
    <n v="4.0543800000000001"/>
  </r>
  <r>
    <d v="2025-08-06T00:00:00"/>
    <x v="7"/>
    <s v="CODIAGRO"/>
    <s v="PALCO"/>
    <s v="52/000095"/>
    <n v="627000005"/>
    <x v="1"/>
    <m/>
    <s v="VILLARREAL CLUB DE FUTBOL"/>
    <s v="PALCO TEMPORADA"/>
    <n v="40493.75"/>
    <n v="40.493749999999999"/>
  </r>
  <r>
    <d v="2025-08-06T00:00:00"/>
    <x v="7"/>
    <s v="CODIAGRO"/>
    <s v="PALCO"/>
    <s v="52/000095"/>
    <n v="634100000"/>
    <x v="1"/>
    <m/>
    <s v="VILLARREAL CLUB DE FUTBOL"/>
    <s v="IVA NO DEDUCIBLE"/>
    <n v="8503.69"/>
    <n v="8.5036900000000006"/>
  </r>
  <r>
    <d v="2025-11-01T00:00:00"/>
    <x v="8"/>
    <s v="CODIAGRO"/>
    <s v="ASESORAMIENTO"/>
    <n v="3522900376"/>
    <n v="623000001"/>
    <x v="1"/>
    <m/>
    <s v="KPMG"/>
    <s v="VENDOR DIU DILIGENCE"/>
    <n v="118000"/>
    <n v="118"/>
  </r>
  <r>
    <d v="2025-12-02T00:00:00"/>
    <x v="9"/>
    <s v="CODIAGRO"/>
    <s v="BASE DE DATOS"/>
    <m/>
    <n v="623000001"/>
    <x v="1"/>
    <m/>
    <s v="INTRALINKS"/>
    <s v="NUBE PARA LA DOCUMENTACION"/>
    <n v="1800"/>
    <n v="1.8"/>
  </r>
  <r>
    <d v="2025-04-01T00:00:00"/>
    <x v="2"/>
    <s v="CODIAGRO"/>
    <s v="REPARACION ALCAPLANT CADA 6/7 AÑOS"/>
    <s v="153/25"/>
    <n v="622010201"/>
    <x v="1"/>
    <m/>
    <s v="MAQUISEL SERVICIOS QUIMICOS, S.L.L."/>
    <m/>
    <n v="11502.5"/>
    <n v="11.5025"/>
  </r>
  <r>
    <d v="2025-04-01T00:00:00"/>
    <x v="2"/>
    <s v="CODIAGRO"/>
    <s v="REPARACION ALCAPLANT CADA 6/7 AÑOS"/>
    <s v="154/25"/>
    <n v="622010201"/>
    <x v="1"/>
    <m/>
    <s v="MAQUISEL SERVICIOS QUIMICOS, S.L.L."/>
    <m/>
    <n v="11049.5"/>
    <n v="11.0495"/>
  </r>
  <r>
    <d v="2025-12-01T00:00:00"/>
    <x v="9"/>
    <s v="CODIAGRO"/>
    <s v="REPARACION ALCAPLANT CADA 6/7 AÑOS"/>
    <s v="278/25"/>
    <n v="622010201"/>
    <x v="1"/>
    <m/>
    <s v="MAQUISEL SERVICIOS QUIMICOS, S.L.L."/>
    <m/>
    <n v="12968"/>
    <n v="12.968"/>
  </r>
  <r>
    <d v="2025-12-01T00:00:00"/>
    <x v="9"/>
    <s v="CODIAGRO"/>
    <m/>
    <s v="560/25"/>
    <n v="622000006"/>
    <x v="1"/>
    <m/>
    <s v="MAQUISEL SERVICIOS QUIMICOS, S.L.L."/>
    <m/>
    <n v="4897"/>
    <n v="4.8970000000000002"/>
  </r>
  <r>
    <d v="2025-02-25T00:00:00"/>
    <x v="10"/>
    <s v="CODIAGRO"/>
    <s v="REPARACION ALCAPLANT CADA 6/7 AÑOS"/>
    <n v="25000332"/>
    <n v="622010200"/>
    <x v="1"/>
    <m/>
    <s v="OLIVER &amp; BATLLE, S.A."/>
    <m/>
    <n v="9978.65"/>
    <n v="9.97865"/>
  </r>
  <r>
    <m/>
    <x v="11"/>
    <m/>
    <m/>
    <m/>
    <m/>
    <x v="1"/>
    <m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5-01-10T00:00:00"/>
    <x v="0"/>
    <s v="CODIAGRO"/>
    <x v="0"/>
    <m/>
    <n v="641000007"/>
    <s v="Gastos de personal"/>
    <m/>
    <m/>
    <s v="INDEMNIZACION MIGUEL BELLES"/>
    <n v="112732.33"/>
    <n v="112.73233"/>
  </r>
  <r>
    <d v="2025-03-18T00:00:00"/>
    <x v="1"/>
    <s v="CODIAGRO"/>
    <x v="1"/>
    <s v="440FVN25000044"/>
    <n v="623000001"/>
    <s v="Otros Gastos Operativos"/>
    <m/>
    <s v="AUREN CORPORATE"/>
    <s v="Asesoramiento"/>
    <n v="14111.19"/>
    <n v="14.111190000000001"/>
  </r>
  <r>
    <d v="2025-03-28T00:00:00"/>
    <x v="1"/>
    <s v="CODIAGRO"/>
    <x v="1"/>
    <s v="440FVN25000048"/>
    <n v="623000001"/>
    <s v="Otros Gastos Operativos"/>
    <m/>
    <s v="AUREN CORPORATE"/>
    <s v="Asesoramiento"/>
    <n v="4000"/>
    <n v="4"/>
  </r>
  <r>
    <d v="2025-04-29T00:00:00"/>
    <x v="2"/>
    <s v="CODIAGRO"/>
    <x v="1"/>
    <s v="440FVN25000070"/>
    <n v="623000001"/>
    <s v="Otros Gastos Operativos"/>
    <m/>
    <s v="AUREN CORPORATE"/>
    <s v="Asesoramiento"/>
    <n v="4297.2299999999996"/>
    <n v="4.2972299999999999"/>
  </r>
  <r>
    <d v="2025-05-28T00:00:00"/>
    <x v="3"/>
    <s v="CODIAGRO"/>
    <x v="1"/>
    <s v="440FVN25000094"/>
    <n v="623000001"/>
    <s v="Otros Gastos Operativos"/>
    <m/>
    <s v="AUREN CORPORATE"/>
    <s v="Asesoramiento"/>
    <n v="4000"/>
    <n v="4"/>
  </r>
  <r>
    <d v="2025-06-30T00:00:00"/>
    <x v="4"/>
    <s v="CODIAGRO"/>
    <x v="1"/>
    <s v="440FVN25000118"/>
    <n v="623000001"/>
    <s v="Otros Gastos Operativos"/>
    <m/>
    <s v="AUREN CORPORATE"/>
    <s v="Asesoramiento"/>
    <n v="4000"/>
    <n v="4"/>
  </r>
  <r>
    <d v="2025-07-28T00:00:00"/>
    <x v="5"/>
    <s v="CODIAGRO"/>
    <x v="1"/>
    <s v="440FVN25000150"/>
    <n v="623000001"/>
    <s v="Otros Gastos Operativos"/>
    <m/>
    <s v="AUREN CORPORATE"/>
    <s v="Asesoramiento"/>
    <n v="4589.25"/>
    <n v="4.5892499999999998"/>
  </r>
  <r>
    <d v="2025-09-01T00:00:00"/>
    <x v="6"/>
    <s v="CODIAGRO"/>
    <x v="1"/>
    <s v="440FVN25000171"/>
    <n v="623000001"/>
    <s v="Otros Gastos Operativos"/>
    <m/>
    <s v="AUREN CORPORATE"/>
    <s v="Asesoramiento"/>
    <n v="4000"/>
    <n v="4"/>
  </r>
  <r>
    <d v="2025-09-29T00:00:00"/>
    <x v="6"/>
    <s v="CODIAGRO"/>
    <x v="1"/>
    <s v="440FVN25000191"/>
    <n v="623000001"/>
    <s v="Otros Gastos Operativos"/>
    <m/>
    <s v="AUREN CORPORATE"/>
    <s v="Asesoramiento"/>
    <n v="4054.38"/>
    <n v="4.0543800000000001"/>
  </r>
  <r>
    <d v="2025-08-06T00:00:00"/>
    <x v="7"/>
    <s v="CODIAGRO"/>
    <x v="2"/>
    <s v="52/000095"/>
    <n v="627000005"/>
    <s v="Otros Gastos Operativos"/>
    <m/>
    <s v="VILLARREAL CLUB DE FUTBOL"/>
    <s v="PALCO TEMPORADA"/>
    <n v="40493.75"/>
    <n v="40.493749999999999"/>
  </r>
  <r>
    <d v="2025-08-06T00:00:00"/>
    <x v="7"/>
    <s v="CODIAGRO"/>
    <x v="2"/>
    <s v="52/000095"/>
    <n v="634100000"/>
    <s v="Otros Gastos Operativos"/>
    <m/>
    <s v="VILLARREAL CLUB DE FUTBOL"/>
    <s v="IVA NO DEDUCIBLE del Palco"/>
    <n v="8503.69"/>
    <n v="8.5036900000000006"/>
  </r>
  <r>
    <d v="2025-11-01T00:00:00"/>
    <x v="8"/>
    <s v="CODIAGRO"/>
    <x v="1"/>
    <n v="3522900376"/>
    <n v="623000001"/>
    <s v="Otros Gastos Operativos"/>
    <m/>
    <s v="KPMG"/>
    <s v="VENDOR DIU DILIGENCE"/>
    <n v="118000"/>
    <n v="118"/>
  </r>
  <r>
    <d v="2025-12-02T00:00:00"/>
    <x v="9"/>
    <s v="CODIAGRO"/>
    <x v="3"/>
    <m/>
    <n v="623000001"/>
    <s v="Otros Gastos Operativos"/>
    <m/>
    <s v="INTRALINKS"/>
    <s v="NUBE PARA LA DOCUMENTACION"/>
    <n v="1800"/>
    <n v="1.8"/>
  </r>
  <r>
    <d v="2025-04-01T00:00:00"/>
    <x v="2"/>
    <s v="CODIAGRO"/>
    <x v="4"/>
    <s v="153/25"/>
    <n v="622010201"/>
    <s v="Otros Gastos Operativos"/>
    <m/>
    <s v="MAQUISEL SERVICIOS QUIMICOS, S.L.L."/>
    <s v="REPARACION ALCAPLANT CADA 6/7 AÑOS"/>
    <n v="11502.5"/>
    <n v="11.5025"/>
  </r>
  <r>
    <d v="2025-04-01T00:00:00"/>
    <x v="2"/>
    <s v="CODIAGRO"/>
    <x v="4"/>
    <s v="154/25"/>
    <n v="622010201"/>
    <s v="Otros Gastos Operativos"/>
    <m/>
    <s v="MAQUISEL SERVICIOS QUIMICOS, S.L.L."/>
    <s v="REPARACION ALCAPLANT CADA 6/7 AÑOS"/>
    <n v="11049.5"/>
    <n v="11.0495"/>
  </r>
  <r>
    <d v="2025-12-01T00:00:00"/>
    <x v="9"/>
    <s v="CODIAGRO"/>
    <x v="4"/>
    <s v="278/25"/>
    <n v="622010201"/>
    <s v="Otros Gastos Operativos"/>
    <m/>
    <s v="MAQUISEL SERVICIOS QUIMICOS, S.L.L."/>
    <s v="REPARACION ALCAPLANT CADA 6/7 AÑOS"/>
    <n v="12968"/>
    <n v="12.968"/>
  </r>
  <r>
    <d v="2025-12-01T00:00:00"/>
    <x v="9"/>
    <s v="CODIAGRO"/>
    <x v="4"/>
    <s v="560/25"/>
    <n v="622000006"/>
    <s v="Otros Gastos Operativos"/>
    <m/>
    <s v="MAQUISEL SERVICIOS QUIMICOS, S.L.L."/>
    <m/>
    <n v="4897"/>
    <n v="4.8970000000000002"/>
  </r>
  <r>
    <d v="2025-02-25T00:00:00"/>
    <x v="10"/>
    <s v="CODIAGRO"/>
    <x v="4"/>
    <n v="25000332"/>
    <n v="622010200"/>
    <s v="Otros Gastos Operativos"/>
    <m/>
    <s v="OLIVER &amp; BATLLE, S.A."/>
    <s v="REPARACION ALCAPLANT CADA 6/7 AÑOS"/>
    <n v="9978.65"/>
    <n v="9.97865"/>
  </r>
  <r>
    <d v="2025-03-05T00:00:00"/>
    <x v="1"/>
    <s v="CODIAGRO"/>
    <x v="5"/>
    <m/>
    <n v="627000008"/>
    <s v="Otros Gastos Operativos"/>
    <m/>
    <m/>
    <s v="Marketing 2024 Marcoser"/>
    <n v="8479.84"/>
    <n v="8.4798399999999994"/>
  </r>
  <r>
    <d v="2025-01-20T00:00:00"/>
    <x v="0"/>
    <s v="CODIAGRO"/>
    <x v="5"/>
    <m/>
    <n v="623100006"/>
    <s v="Otros Gastos Operativos"/>
    <m/>
    <m/>
    <s v="Comisiones 2024 Alfonso (agricola Juncar)"/>
    <n v="21135"/>
    <n v="21.135000000000002"/>
  </r>
  <r>
    <d v="2025-01-03T00:00:00"/>
    <x v="0"/>
    <s v="CODIAGRO"/>
    <x v="5"/>
    <m/>
    <n v="623100007"/>
    <s v="Otros Gastos Operativos"/>
    <m/>
    <m/>
    <s v="Comisiones 2024 Mehmet"/>
    <n v="18863.509999999998"/>
    <n v="18.863509999999998"/>
  </r>
  <r>
    <d v="2025-02-04T00:00:00"/>
    <x v="10"/>
    <s v="CODIAGRO"/>
    <x v="5"/>
    <m/>
    <n v="623100007"/>
    <s v="Otros Gastos Operativos"/>
    <m/>
    <m/>
    <s v="Comisiones 2024 Mehmet"/>
    <n v="3423.3"/>
    <n v="3.4233000000000002"/>
  </r>
  <r>
    <d v="2025-06-30T00:00:00"/>
    <x v="4"/>
    <s v="CODIAGRO"/>
    <x v="6"/>
    <m/>
    <n v="640000000"/>
    <s v="Gastos de personal"/>
    <m/>
    <m/>
    <s v="Importe Producción-Planta 2024"/>
    <n v="26136.49"/>
    <n v="26.136490000000002"/>
  </r>
  <r>
    <d v="2025-09-30T00:00:00"/>
    <x v="6"/>
    <s v="CODIAGRO"/>
    <x v="6"/>
    <m/>
    <n v="647000000"/>
    <s v="Gastos de personal"/>
    <m/>
    <m/>
    <s v="Retribución consejo 2024"/>
    <n v="65849.570000000007"/>
    <n v="65.84957"/>
  </r>
  <r>
    <d v="2025-06-19T00:00:00"/>
    <x v="4"/>
    <s v="CODIAGRO"/>
    <x v="5"/>
    <m/>
    <n v="623000001"/>
    <s v="Otros Gastos Operativos"/>
    <m/>
    <m/>
    <s v="Comisiones Eurofertil 2024"/>
    <n v="10969.96"/>
    <n v="10.969959999999999"/>
  </r>
  <r>
    <d v="2025-03-24T00:00:00"/>
    <x v="1"/>
    <s v="CODIAGRO"/>
    <x v="5"/>
    <m/>
    <n v="623000001"/>
    <s v="Otros Gastos Operativos"/>
    <m/>
    <m/>
    <s v="Comisiones Eurofertil 2024,2023,2022"/>
    <n v="50283.360000000001"/>
    <n v="50.283360000000002"/>
  </r>
  <r>
    <d v="2025-04-28T00:00:00"/>
    <x v="2"/>
    <s v="CODIAGRO"/>
    <x v="7"/>
    <m/>
    <n v="709000000"/>
    <s v="Ventas"/>
    <m/>
    <m/>
    <s v="Rappel Dotra (cliente Egipto) 2024"/>
    <n v="102533.02"/>
    <n v="102.53302000000001"/>
  </r>
  <r>
    <d v="2025-04-28T00:00:00"/>
    <x v="2"/>
    <s v="CODIAGRO"/>
    <x v="7"/>
    <m/>
    <n v="709000000"/>
    <s v="Ventas"/>
    <m/>
    <m/>
    <s v="Rappel Dotra (cliente Egipto) 2024"/>
    <n v="36967.69"/>
    <n v="36.967690000000005"/>
  </r>
  <r>
    <d v="2025-02-28T00:00:00"/>
    <x v="10"/>
    <s v="CODIAGRO"/>
    <x v="6"/>
    <m/>
    <n v="640000000"/>
    <s v="Gastos de personal"/>
    <m/>
    <m/>
    <s v="Bonus 2024"/>
    <n v="135000"/>
    <n v="135"/>
  </r>
  <r>
    <d v="2025-01-08T00:00:00"/>
    <x v="0"/>
    <s v="CODIAGRO"/>
    <x v="5"/>
    <m/>
    <n v="627000010"/>
    <s v="Otros Gastos Operativos"/>
    <m/>
    <m/>
    <s v="Promoción 2023 Tecnicos Campo Egido"/>
    <n v="9175.4599999999991"/>
    <n v="9.1754599999999993"/>
  </r>
  <r>
    <d v="2025-04-14T00:00:00"/>
    <x v="2"/>
    <s v="CODIAGRO"/>
    <x v="5"/>
    <m/>
    <n v="627000010"/>
    <s v="Otros Gastos Operativos"/>
    <m/>
    <m/>
    <s v="Promoción 2024 Tecnicos Campo Egido"/>
    <n v="11863.56"/>
    <n v="11.86356"/>
  </r>
  <r>
    <d v="2025-01-31T00:00:00"/>
    <x v="0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  <r>
    <d v="2025-06-30T00:00:00"/>
    <x v="4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993280.49"/>
    <n v="1607537.98"/>
    <n v="1536177.86"/>
    <n v="1217250.42"/>
    <n v="2029266.99"/>
    <n v="2009948.67"/>
    <n v="1288443.6399999999"/>
    <n v="802410.56"/>
    <n v="480563.3"/>
    <n v="910333.55"/>
    <n v="1223802.77"/>
    <n v="1321267.54"/>
    <n v="15420283.770000003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106250.17"/>
    <n v="-106250.17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17921.38"/>
    <n v="12025.38"/>
    <n v="8455.5499999999993"/>
    <n v="0"/>
    <n v="0"/>
    <s v="                            -  "/>
    <n v="0"/>
    <n v="0"/>
    <n v="0"/>
    <n v="0"/>
    <n v="0"/>
    <n v="0"/>
    <n v="38402.31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0"/>
    <n v="0"/>
    <n v="0"/>
    <n v="750.75"/>
    <n v="25140.75"/>
    <n v="22977.599999999999"/>
    <n v="11027.24"/>
    <n v="11429"/>
    <n v="5286.2"/>
    <n v="10013.67"/>
    <n v="13461.83"/>
    <n v="14533.94"/>
    <n v="114620.98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5635.79"/>
    <n v="202.81"/>
    <n v="178.05"/>
    <n v="0"/>
    <s v="                            -  "/>
    <s v="                            -  "/>
    <n v="0"/>
    <n v="0"/>
    <n v="0"/>
    <n v="0"/>
    <n v="0"/>
    <n v="0"/>
    <n v="6016.6500000000005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s v="                            -  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51164.86"/>
    <m/>
    <m/>
    <m/>
    <n v="0"/>
    <n v="0"/>
    <n v="0"/>
    <n v="0"/>
    <n v="0"/>
    <n v="51164.86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26.26"/>
    <n v="0"/>
    <s v="                            -  "/>
    <s v="                            -  "/>
    <n v="0"/>
    <n v="0"/>
    <n v="0"/>
    <n v="0"/>
    <n v="0"/>
    <n v="0"/>
    <n v="26.26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4500"/>
    <n v="13500"/>
    <n v="35533.660000000003"/>
    <n v="0"/>
    <n v="0"/>
    <n v="0"/>
    <n v="0"/>
    <n v="0"/>
    <n v="0"/>
    <n v="0"/>
    <n v="0"/>
    <n v="53533.66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48700.800000000003"/>
    <m/>
    <m/>
    <m/>
    <n v="0"/>
    <n v="0"/>
    <n v="0"/>
    <n v="0"/>
    <n v="0"/>
    <n v="48700.800000000003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1295.6300000000001"/>
    <n v="6097.12"/>
    <n v="-1420.15"/>
    <n v="3246.37"/>
    <n v="2913.09"/>
    <n v="2313.16"/>
    <n v="2210.59"/>
    <n v="1694.59"/>
    <n v="2520.44"/>
    <n v="1721.46"/>
    <n v="1519.01"/>
    <n v="5378.56"/>
    <n v="29489.8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-34316.160000000003"/>
    <n v="-77173.86"/>
    <n v="-22849.78"/>
    <n v="0"/>
    <n v="0"/>
    <s v="                            -  "/>
    <n v="0"/>
    <n v="0"/>
    <n v="0"/>
    <n v="0"/>
    <n v="0"/>
    <n v="0"/>
    <n v="-134339.79999999999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-278.38"/>
    <n v="0"/>
    <s v="                            -  "/>
    <s v="                            -  "/>
    <n v="0"/>
    <n v="0"/>
    <n v="0"/>
    <n v="0"/>
    <n v="0"/>
    <n v="0"/>
    <n v="-278.38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0"/>
    <n v="-82761.279999999999"/>
    <n v="0"/>
    <n v="0"/>
    <s v="                            -  "/>
    <n v="-50000"/>
    <n v="0"/>
    <n v="-16000"/>
    <n v="0"/>
    <n v="0"/>
    <n v="0"/>
    <n v="-184238.72"/>
    <n v="-333000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2000"/>
    <n v="0"/>
    <s v="                            -  "/>
    <s v="                            -  "/>
    <n v="0"/>
    <n v="0"/>
    <n v="0"/>
    <n v="0"/>
    <n v="0"/>
    <n v="0"/>
    <n v="200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-0.2"/>
    <n v="0"/>
    <n v="-0.14000000000000001"/>
    <n v="-93.18"/>
    <n v="-1.43"/>
    <s v="                            -  "/>
    <n v="-88.03"/>
    <n v="-0.02"/>
    <n v="0"/>
    <n v="0"/>
    <n v="0"/>
    <n v="0"/>
    <n v="-183.00000000000003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3065.47"/>
    <n v="0.02"/>
    <n v="0"/>
    <n v="1117.44"/>
    <s v="                            -  "/>
    <s v="                            -  "/>
    <n v="0"/>
    <n v="0.01"/>
    <n v="0"/>
    <n v="0"/>
    <n v="0"/>
    <n v="0"/>
    <n v="4182.9400000000005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1191.8499999999999"/>
    <n v="-20400.169999999998"/>
    <n v="-3284.66"/>
    <n v="15429.21"/>
    <n v="4436.0200000000004"/>
    <n v="-12387.42"/>
    <n v="-48438.2"/>
    <n v="27557.62"/>
    <n v="0"/>
    <n v="0"/>
    <n v="0"/>
    <n v="0"/>
    <n v="-35895.75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-86069.93"/>
    <n v="70405.740000000005"/>
    <n v="86837.43"/>
    <n v="-6784.01"/>
    <n v="-34727.120000000003"/>
    <n v="-77717.45"/>
    <n v="42145.57"/>
    <n v="-20822.98"/>
    <n v="0"/>
    <n v="0"/>
    <n v="0"/>
    <n v="0"/>
    <n v="-26732.749999999996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372155.73"/>
    <n v="-457091.9"/>
    <n v="-457890.87"/>
    <n v="-391545.47"/>
    <n v="-423709.62999999989"/>
    <n v="-393937.01"/>
    <n v="-362186.44"/>
    <n v="-189242.44"/>
    <n v="-124233.67"/>
    <n v="-235336.47"/>
    <n v="-316373.51"/>
    <n v="-341569.79"/>
    <n v="-4065272.9299999997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103817.84"/>
    <n v="-62983.5"/>
    <n v="-55812.27"/>
    <n v="-92652.34"/>
    <n v="-30193.149999999991"/>
    <n v="-119472.15"/>
    <n v="-145291.04999999999"/>
    <n v="-8606.0399999999936"/>
    <n v="-25894.98"/>
    <n v="-49053"/>
    <n v="-65944.179999999993"/>
    <n v="-71196.03"/>
    <n v="-830916.5299999998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m/>
    <m/>
    <m/>
    <m/>
    <m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12617.31"/>
    <n v="-5458.67"/>
    <n v="-15267.33"/>
    <n v="-9307.32"/>
    <n v="-2784.91"/>
    <n v="-5867.49"/>
    <n v="-10270.19"/>
    <n v="-2886.68"/>
    <n v="-2625.86"/>
    <n v="-4974.16"/>
    <n v="-6687"/>
    <n v="-7219.56"/>
    <n v="-85966.48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425.6"/>
    <n v="-3712.8"/>
    <n v="-4331.6000000000004"/>
    <n v="-12608.05"/>
    <n v="-17326.400000000001"/>
    <n v="-12994.8"/>
    <n v="-4331.6000000000004"/>
    <n v="-4331.6000000000004"/>
    <n v="-2731.63"/>
    <n v="-5174.53"/>
    <n v="-6956.35"/>
    <n v="-7510.36"/>
    <n v="-89435.32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0"/>
    <n v="0"/>
    <n v="0"/>
    <s v="                            -  "/>
    <s v="                            -  "/>
    <n v="0"/>
    <n v="0"/>
    <n v="-131.91999999999999"/>
    <n v="-131.91999999999999"/>
    <n v="-131.91999999999999"/>
    <n v="-131.91999999999999"/>
    <n v="-659.59999999999991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95.3"/>
    <n v="-136"/>
    <n v="0"/>
    <n v="-380.75"/>
    <s v="                            -  "/>
    <s v="                            -  "/>
    <n v="0"/>
    <n v="0"/>
    <n v="-204.02"/>
    <n v="-204.02"/>
    <n v="-204.02"/>
    <n v="-204.02"/>
    <n v="-1428.1299999999999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3578.65"/>
    <n v="0"/>
    <n v="-5949"/>
    <n v="-5353"/>
    <s v="                            -  "/>
    <n v="-3337.38"/>
    <n v="-5826.6"/>
    <n v="-1108.8"/>
    <n v="-1071.6600000000001"/>
    <n v="-2030.04"/>
    <n v="-2729.08"/>
    <n v="-2946.43"/>
    <n v="-33930.639999999999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0"/>
    <n v="-1575"/>
    <n v="0"/>
    <n v="0"/>
    <s v="                            -  "/>
    <n v="-1735.41"/>
    <n v="-175.92"/>
    <n v="-371.23"/>
    <n v="-964.39"/>
    <n v="-964.39"/>
    <n v="-964.39"/>
    <n v="-964.39"/>
    <n v="-7715.120000000000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0"/>
    <n v="-1887.21"/>
    <n v="0"/>
    <n v="0"/>
    <s v="                            -  "/>
    <s v="                            -  "/>
    <n v="-1232.05"/>
    <n v="0"/>
    <n v="-1559.63"/>
    <n v="-1559.63"/>
    <n v="-1559.63"/>
    <n v="-1559.63"/>
    <n v="-9357.7800000000007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157"/>
    <n v="-2350.16"/>
    <n v="0"/>
    <n v="-2676.19"/>
    <n v="-480.84"/>
    <n v="-2604.9699999999998"/>
    <n v="-2809.41"/>
    <n v="-2557.66"/>
    <n v="-2190"/>
    <n v="-2490"/>
    <n v="-2690"/>
    <n v="-2690"/>
    <n v="-23696.23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200.4000000000001"/>
    <n v="-562"/>
    <n v="-363"/>
    <n v="67"/>
    <n v="1124"/>
    <n v="-1708"/>
    <n v="1360"/>
    <n v="0"/>
    <n v="-183.2"/>
    <n v="-183.2"/>
    <n v="-183.2"/>
    <n v="-183.2"/>
    <n v="-2015.2000000000003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4010"/>
    <n v="-8438.9599999999991"/>
    <n v="-10901.61"/>
    <n v="-20866.93"/>
    <n v="-3540"/>
    <n v="0.72000000000116415"/>
    <n v="-3900"/>
    <n v="-6131.3100000000013"/>
    <n v="0"/>
    <n v="0"/>
    <n v="0"/>
    <n v="-7970"/>
    <n v="-65758.09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25970.74"/>
    <n v="149437.84"/>
    <n v="81262.98"/>
    <n v="-23562.66"/>
    <n v="-43504.89"/>
    <n v="-145710"/>
    <n v="649.66999999999996"/>
    <n v="-59037.03"/>
    <n v="0"/>
    <n v="0"/>
    <n v="0"/>
    <n v="-15000"/>
    <n v="-29493.349999999991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61431.54"/>
    <n v="-11484.37"/>
    <n v="0"/>
    <n v="44037.42"/>
    <n v="-73565.42"/>
    <n v="33912.769999999997"/>
    <n v="14991.19"/>
    <n v="-4582.08"/>
    <n v="0"/>
    <n v="0"/>
    <n v="0"/>
    <n v="10000"/>
    <n v="74741.049999999988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84814.92"/>
    <n v="-115852.5"/>
    <n v="-111568.08"/>
    <n v="-100687.82"/>
    <n v="-104048.18"/>
    <n v="-114103.58"/>
    <n v="-121813.59"/>
    <n v="-128060.74"/>
    <n v="-128060.74"/>
    <n v="-128060.74"/>
    <n v="-128060.74"/>
    <n v="-407060.74"/>
    <n v="-1672192.3699999999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26717.09"/>
    <n v="-27074.7"/>
    <n v="-32042.23"/>
    <n v="-29359.85"/>
    <n v="-30856.34"/>
    <n v="-30968.7"/>
    <n v="-31720.06"/>
    <n v="-24572.05"/>
    <n v="-24572.05"/>
    <n v="-24572.05"/>
    <n v="-24572.05"/>
    <n v="-24572.05"/>
    <n v="-331599.21999999997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-2623"/>
    <n v="0"/>
    <n v="-88"/>
    <s v="                            -  "/>
    <n v="0"/>
    <n v="0"/>
    <n v="0"/>
    <n v="0"/>
    <n v="0"/>
    <n v="0"/>
    <n v="-2711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0"/>
    <n v="0"/>
    <n v="-113.13"/>
    <n v="-87.6"/>
    <n v="-487.47"/>
    <n v="-697.81"/>
    <n v="-226.47"/>
    <n v="0"/>
    <n v="-322.5"/>
    <n v="-322.5"/>
    <n v="-322.5"/>
    <n v="-322.5"/>
    <n v="-2902.48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522.30999999999995"/>
    <n v="-356.17"/>
    <n v="0"/>
    <n v="-1440.58"/>
    <n v="-1464.58"/>
    <n v="-752.24"/>
    <n v="-752.24"/>
    <n v="-399.98"/>
    <n v="-812.59"/>
    <n v="-812.59"/>
    <n v="-812.59"/>
    <n v="-812.59"/>
    <n v="-8938.4600000000009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523.96"/>
    <n v="-1019.07"/>
    <n v="-1573.25"/>
    <n v="-41.5"/>
    <n v="-1476.12"/>
    <n v="-2389.0100000000002"/>
    <n v="-1899.09"/>
    <n v="-911.52"/>
    <n v="-1229.19"/>
    <n v="-1229.19"/>
    <n v="-1229.19"/>
    <n v="-1229.19"/>
    <n v="-14750.280000000002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m/>
    <m/>
    <m/>
    <m/>
    <n v="-15421.92"/>
    <s v="                            -  "/>
    <n v="-6139.04"/>
    <n v="0"/>
    <n v="0"/>
    <n v="0"/>
    <n v="0"/>
    <n v="0"/>
    <n v="-21560.959999999999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0"/>
    <n v="-361.46"/>
    <n v="0"/>
    <n v="-361.46"/>
    <s v="                            -  "/>
    <s v="                            -  "/>
    <n v="0"/>
    <n v="0"/>
    <n v="-361.46"/>
    <n v="-361.46"/>
    <n v="-361.46"/>
    <n v="-361.46"/>
    <n v="-2168.7599999999998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0"/>
    <n v="0"/>
    <n v="-369.97"/>
    <n v="-369.97"/>
    <s v="                            -  "/>
    <s v="                            -  "/>
    <n v="0"/>
    <n v="0"/>
    <n v="-369.97"/>
    <n v="-369.97"/>
    <n v="-369.97"/>
    <n v="-369.97"/>
    <n v="-2219.820000000000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349"/>
    <n v="-349"/>
    <n v="-349"/>
    <n v="0"/>
    <n v="-443.49"/>
    <n v="-443.49"/>
    <n v="-886.98"/>
    <n v="0"/>
    <n v="-470.16"/>
    <n v="-470.16"/>
    <n v="-470.16"/>
    <n v="-470.16"/>
    <n v="-4701.5999999999995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61.46"/>
    <n v="0"/>
    <n v="-361.46"/>
    <n v="0"/>
    <n v="-399.42"/>
    <n v="-399.42"/>
    <n v="-149.15"/>
    <n v="-399.42"/>
    <n v="-345.06"/>
    <n v="-345.06"/>
    <n v="-345.06"/>
    <n v="-345.06"/>
    <n v="-3450.5699999999997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650.95000000000005"/>
    <n v="-650.95000000000005"/>
    <n v="0"/>
    <n v="0"/>
    <s v="                            -  "/>
    <s v="                            -  "/>
    <n v="0"/>
    <n v="-1139.1600000000001"/>
    <n v="-813.69"/>
    <n v="-813.69"/>
    <n v="-813.69"/>
    <n v="-813.69"/>
    <n v="-5695.820000000001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00"/>
    <n v="-200"/>
    <n v="-200"/>
    <n v="-200"/>
    <n v="-200"/>
    <n v="-200"/>
    <s v="                                             -  "/>
    <n v="-400"/>
    <n v="-228.57"/>
    <n v="-228.57"/>
    <n v="-228.57"/>
    <n v="-228.57"/>
    <n v="-2514.2800000000002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00.22"/>
    <n v="-200.22"/>
    <n v="-200.22"/>
    <n v="-200.22"/>
    <n v="-200.22"/>
    <n v="-200.22"/>
    <s v="                                             -  "/>
    <n v="-400.44"/>
    <n v="-228.82"/>
    <n v="-228.82"/>
    <n v="-228.82"/>
    <n v="-228.82"/>
    <n v="-2517.040000000000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369.97"/>
    <n v="-369.97"/>
    <n v="-150"/>
    <n v="-1039.51"/>
    <s v="                            -  "/>
    <s v="                            -  "/>
    <n v="0"/>
    <n v="0"/>
    <n v="-482.36"/>
    <n v="-482.36"/>
    <n v="-482.36"/>
    <n v="-482.36"/>
    <n v="-3858.8900000000003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068.22"/>
    <n v="0"/>
    <n v="-2136.44"/>
    <n v="-1068.22"/>
    <n v="-1172.1400000000001"/>
    <s v="                            -  "/>
    <n v="-2344.3000000000002"/>
    <n v="0"/>
    <n v="-1557.86"/>
    <n v="-1557.86"/>
    <n v="-1557.86"/>
    <n v="-1557.86"/>
    <n v="-14020.76000000000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911.28"/>
    <n v="0"/>
    <n v="-1822.56"/>
    <n v="-911.28"/>
    <n v="-1015.21"/>
    <s v="                            -  "/>
    <n v="-2030.4"/>
    <n v="0"/>
    <n v="-1338.15"/>
    <n v="-1338.15"/>
    <n v="-1338.15"/>
    <n v="-1338.15"/>
    <n v="-12043.32999999999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13.16"/>
    <n v="-613.15"/>
    <n v="-613.15"/>
    <n v="-613.15"/>
    <n v="-677.53"/>
    <n v="-677.53"/>
    <n v="-677.53"/>
    <n v="-677.53"/>
    <n v="-645.34"/>
    <n v="-645.34"/>
    <n v="-645.34"/>
    <n v="-645.34"/>
    <n v="-7744.09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634.77"/>
    <n v="-1093.22"/>
    <n v="-1093.22"/>
    <n v="-1093.22"/>
    <n v="-1208.01"/>
    <n v="-1208.01"/>
    <n v="-1208.01"/>
    <n v="-1208.01"/>
    <n v="-1093.31"/>
    <n v="-1093.31"/>
    <n v="-1093.31"/>
    <n v="-1093.31"/>
    <n v="-13119.71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0"/>
    <n v="0"/>
    <n v="0"/>
    <n v="-381.67"/>
    <n v="0"/>
    <n v="-845.32999999999993"/>
    <n v="-742"/>
    <n v="-742"/>
    <n v="-677.75"/>
    <n v="-677.75"/>
    <n v="-677.75"/>
    <n v="-677.75"/>
    <n v="-5422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1621.56"/>
    <n v="-815.7"/>
    <n v="-136.16"/>
    <n v="-218"/>
    <s v="                            -  "/>
    <n v="-790.66"/>
    <s v="                                             -  "/>
    <n v="0"/>
    <n v="-716.42"/>
    <n v="-716.42"/>
    <n v="-716.42"/>
    <n v="-716.42"/>
    <n v="-6447.76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0"/>
    <n v="0"/>
    <n v="-1006.36"/>
    <n v="0"/>
    <s v="                            -  "/>
    <n v="-979.23"/>
    <s v="                                             -  "/>
    <n v="-115.48"/>
    <n v="-700.36"/>
    <n v="-700.36"/>
    <n v="-700.36"/>
    <n v="-700.36"/>
    <n v="-4902.5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0"/>
    <n v="-73.72"/>
    <n v="0"/>
    <n v="-13.33"/>
    <n v="-183.66"/>
    <s v="                            -  "/>
    <n v="-196.99"/>
    <n v="0"/>
    <n v="-116.92"/>
    <n v="-116.92"/>
    <n v="-116.92"/>
    <n v="-116.92"/>
    <n v="-935.3799999999998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0"/>
    <n v="-1833.95"/>
    <n v="-468.78"/>
    <n v="-344"/>
    <s v="                            -  "/>
    <n v="-1900.59"/>
    <n v="-2274.92"/>
    <n v="0"/>
    <n v="-1364.45"/>
    <n v="-1364.45"/>
    <n v="-1364.45"/>
    <n v="-1364.45"/>
    <n v="-12280.0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0"/>
    <n v="0"/>
    <n v="-238.88"/>
    <n v="0"/>
    <s v="                            -  "/>
    <s v="                            -  "/>
    <n v="0"/>
    <n v="0"/>
    <n v="-238.88"/>
    <n v="-238.88"/>
    <n v="-238.88"/>
    <n v="-238.88"/>
    <n v="-1194.400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0"/>
    <n v="0"/>
    <n v="0"/>
    <n v="-350.75"/>
    <s v="                            -  "/>
    <s v="                            -  "/>
    <n v="-634.91"/>
    <n v="0"/>
    <n v="-492.83"/>
    <n v="-492.83"/>
    <n v="-492.83"/>
    <n v="-492.83"/>
    <n v="-2956.98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585"/>
    <n v="0"/>
    <n v="-1101.5999999999999"/>
    <n v="-495"/>
    <s v="                            -  "/>
    <n v="-1566.9"/>
    <n v="-642.6"/>
    <n v="-977.98"/>
    <n v="-894.85"/>
    <n v="-894.85"/>
    <n v="-894.85"/>
    <n v="-894.85"/>
    <n v="-8948.4800000000014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0"/>
    <n v="0"/>
    <n v="0"/>
    <n v="0"/>
    <n v="0"/>
    <n v="0"/>
    <n v="-1409.04"/>
    <n v="0"/>
    <n v="-1409.04"/>
    <n v="-1409.04"/>
    <n v="-1409.04"/>
    <n v="-1409.04"/>
    <n v="-7045.2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-1342.54"/>
    <n v="-586"/>
    <n v="-2280"/>
    <n v="0"/>
    <n v="-942.88"/>
    <n v="-354.5"/>
    <n v="-9441.85"/>
    <n v="-1983.69"/>
    <n v="-2418.7800000000002"/>
    <n v="-2418.7800000000002"/>
    <n v="-2418.7800000000002"/>
    <n v="-2418.7800000000002"/>
    <n v="-26606.57999999999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-667.12"/>
    <n v="0"/>
    <n v="0"/>
    <n v="0"/>
    <s v="                            -  "/>
    <n v="-4282.05"/>
    <n v="-5230"/>
    <n v="-5848.16"/>
    <n v="-4006.83"/>
    <n v="-4006.83"/>
    <n v="-4006.83"/>
    <n v="-4006.83"/>
    <n v="-32054.65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617.41999999999996"/>
    <n v="0"/>
    <n v="0"/>
    <n v="0"/>
    <s v="                            -  "/>
    <n v="-4467.0200000000004"/>
    <s v="                                             -  "/>
    <n v="-11965.55"/>
    <n v="-5683.33"/>
    <n v="-5683.33"/>
    <n v="-5683.33"/>
    <n v="-5683.33"/>
    <n v="-39783.31000000000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0"/>
    <n v="0"/>
    <n v="-1502.54"/>
    <n v="-55.82"/>
    <n v="-1092.45"/>
    <n v="-8017.35"/>
    <n v="5697.8"/>
    <n v="-288.39"/>
    <n v="-876.46"/>
    <n v="-876.46"/>
    <n v="-876.46"/>
    <n v="-876.46"/>
    <n v="-8764.59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0"/>
    <n v="-155.11000000000001"/>
    <n v="-1072.93"/>
    <n v="-2283.52"/>
    <n v="-799.04"/>
    <n v="-106.8"/>
    <s v="                                             -  "/>
    <n v="-108.17"/>
    <n v="-754.26"/>
    <n v="-754.26"/>
    <n v="-754.26"/>
    <n v="-754.26"/>
    <n v="-7542.610000000001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-39.799999999999997"/>
    <n v="-227.04"/>
    <n v="0"/>
    <s v="                            -  "/>
    <n v="-81.8"/>
    <s v="                                             -  "/>
    <n v="0"/>
    <n v="-116.21"/>
    <n v="-116.21"/>
    <n v="-116.21"/>
    <n v="-116.21"/>
    <n v="-813.48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1902.37"/>
    <n v="-497"/>
    <n v="-5360.3"/>
    <n v="-10729"/>
    <n v="-21698"/>
    <n v="-2988"/>
    <n v="-2584.62"/>
    <n v="-2853.02"/>
    <n v="-6000"/>
    <n v="-6000"/>
    <n v="-6000"/>
    <n v="-8000"/>
    <n v="-74612.31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17.95"/>
    <n v="-1417.95"/>
    <n v="-5837.67"/>
    <n v="-2891.19"/>
    <n v="-2891.19"/>
    <n v="-2891.19"/>
    <n v="-2891.19"/>
    <n v="-2148.2399999999998"/>
    <n v="-2800"/>
    <n v="-2800"/>
    <n v="-2800"/>
    <n v="-2800"/>
    <n v="-33586.57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48.32000000000005"/>
    <n v="-3007.86"/>
    <n v="-3805.86"/>
    <n v="-3053.37"/>
    <n v="-2271.2399999999998"/>
    <n v="-2271.2399999999998"/>
    <n v="-736.62"/>
    <n v="0"/>
    <n v="-1800"/>
    <n v="-2000"/>
    <n v="-2000"/>
    <n v="-2200"/>
    <n v="-23694.510000000002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71.47"/>
    <n v="0"/>
    <n v="0"/>
    <n v="0"/>
    <n v="-1574.71"/>
    <n v="-1267.24"/>
    <s v="                                             -  "/>
    <n v="0"/>
    <n v="-1271.1400000000001"/>
    <n v="-1271.1400000000001"/>
    <n v="-1271.1400000000001"/>
    <n v="-1271.1400000000001"/>
    <n v="-8897.9800000000014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92.3"/>
    <n v="-689.7"/>
    <n v="-324"/>
    <n v="-591"/>
    <n v="-429"/>
    <n v="-1185.44"/>
    <n v="-763"/>
    <n v="-210"/>
    <n v="-610.55999999999995"/>
    <n v="-610.55999999999995"/>
    <n v="-610.55999999999995"/>
    <n v="-610.55999999999995"/>
    <n v="-7326.6799999999985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3245.91"/>
    <n v="-4213.45"/>
    <n v="-5262.62"/>
    <n v="-2950.29"/>
    <n v="-4225.22"/>
    <n v="-3567.95"/>
    <n v="-3428.16"/>
    <n v="-4396.3900000000003"/>
    <n v="-3800"/>
    <n v="-4000"/>
    <n v="-4000"/>
    <n v="-9200"/>
    <n v="-52289.990000000005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0"/>
    <n v="-236.74"/>
    <n v="-895.06"/>
    <n v="-438.09"/>
    <n v="-141.55000000000001"/>
    <n v="-54.55"/>
    <s v="                                             -  "/>
    <n v="-20364.61"/>
    <n v="-500"/>
    <n v="-500"/>
    <n v="-500"/>
    <n v="-30500"/>
    <n v="-54130.6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5502.03"/>
    <n v="-5916.14"/>
    <n v="-5438.35"/>
    <n v="-5067.2299999999996"/>
    <s v="                            -  "/>
    <n v="-41963.34"/>
    <n v="-20123.98"/>
    <n v="-6760.66"/>
    <n v="-6000"/>
    <n v="-6000"/>
    <n v="-6000"/>
    <n v="-106000"/>
    <n v="-214771.72999999998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m/>
    <m/>
    <m/>
    <m/>
    <n v="-3398.55"/>
    <s v="                            -  "/>
    <n v="0"/>
    <n v="0"/>
    <n v="0"/>
    <n v="0"/>
    <n v="0"/>
    <n v="0"/>
    <n v="-3398.55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-377.56"/>
    <n v="0"/>
    <n v="0"/>
    <n v="0"/>
    <n v="-377.56"/>
    <s v="                            -  "/>
    <n v="0"/>
    <n v="0"/>
    <n v="0"/>
    <n v="0"/>
    <n v="0"/>
    <n v="0"/>
    <n v="-755.12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-1218.75"/>
    <n v="0"/>
    <n v="0"/>
    <s v="                            -  "/>
    <n v="-30.35"/>
    <s v="                                             -  "/>
    <n v="-663"/>
    <n v="0"/>
    <n v="0"/>
    <n v="0"/>
    <n v="0"/>
    <n v="-1912.1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-212.5"/>
    <n v="-513"/>
    <n v="-53.12"/>
    <n v="-30.35"/>
    <s v="                                             -  "/>
    <n v="0"/>
    <n v="0"/>
    <n v="0"/>
    <n v="0"/>
    <n v="0"/>
    <n v="-808.97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m/>
    <m/>
    <m/>
    <m/>
    <n v="-53.12"/>
    <n v="-30.35"/>
    <s v="                                             -  "/>
    <n v="0"/>
    <n v="0"/>
    <n v="0"/>
    <n v="0"/>
    <n v="0"/>
    <n v="-83.47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m/>
    <m/>
    <m/>
    <m/>
    <m/>
    <n v="-267.75"/>
    <s v="                                             -  "/>
    <n v="0"/>
    <n v="0"/>
    <n v="0"/>
    <n v="0"/>
    <n v="0"/>
    <n v="-267.75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m/>
    <m/>
    <m/>
    <m/>
    <m/>
    <n v="-2450"/>
    <s v="                                             -  "/>
    <n v="0"/>
    <n v="0"/>
    <n v="0"/>
    <n v="0"/>
    <n v="0"/>
    <n v="-245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-513"/>
    <n v="-53.14"/>
    <s v="                            -  "/>
    <n v="0"/>
    <n v="0"/>
    <n v="0"/>
    <n v="0"/>
    <n v="0"/>
    <n v="0"/>
    <n v="-566.14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-513"/>
    <s v="                            -  "/>
    <n v="-30.35"/>
    <s v="                                             -  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-513"/>
    <s v="                            -  "/>
    <n v="-30.4"/>
    <s v="                                             -  "/>
    <n v="0"/>
    <n v="0"/>
    <n v="0"/>
    <n v="0"/>
    <n v="0"/>
    <n v="-543.4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-1190"/>
    <s v="                            -  "/>
    <s v="                            -  "/>
    <n v="0"/>
    <n v="0"/>
    <n v="0"/>
    <n v="0"/>
    <n v="0"/>
    <n v="0"/>
    <n v="-119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m/>
    <m/>
    <m/>
    <m/>
    <m/>
    <m/>
    <m/>
    <n v="-4869.95"/>
    <n v="-4869.95"/>
    <n v="-4869.95"/>
    <n v="-4869.95"/>
    <n v="-4869.95"/>
    <n v="-24349.75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-513"/>
    <s v="                            -  "/>
    <n v="-30.35"/>
    <s v="                                             -  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-513"/>
    <s v="                            -  "/>
    <s v="                            -  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-9951.56"/>
    <s v="                            -  "/>
    <s v="                            -  "/>
    <n v="0"/>
    <n v="-212.5"/>
    <n v="0"/>
    <n v="0"/>
    <n v="0"/>
    <n v="0"/>
    <n v="-10164.06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-513"/>
    <s v="                            -  "/>
    <s v="                            -  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-513"/>
    <n v="-53.12"/>
    <n v="-30.35"/>
    <s v="                                             -  "/>
    <n v="0"/>
    <n v="0"/>
    <n v="0"/>
    <n v="0"/>
    <n v="0"/>
    <n v="-596.47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6935.76"/>
    <n v="-9119.9699999999993"/>
    <n v="-14742.05"/>
    <n v="-19866.740000000002"/>
    <n v="-17966.84"/>
    <n v="-14634.83"/>
    <n v="-11227.02"/>
    <n v="-7363.19"/>
    <n v="-8433.5"/>
    <n v="-13890.5"/>
    <n v="-17363.13"/>
    <n v="-18355.169999999998"/>
    <n v="-159898.70000000001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898.1"/>
    <n v="-864.32"/>
    <n v="-4611.7700000000004"/>
    <n v="-1313.78"/>
    <n v="-951.38"/>
    <n v="-23539.9"/>
    <n v="-30143.15"/>
    <n v="-8087.44"/>
    <n v="-5953.06"/>
    <n v="-9425.68"/>
    <n v="-12898.31"/>
    <n v="-13890.5"/>
    <n v="-114577.38999999998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5283.6"/>
    <n v="-4717.34"/>
    <n v="-6216.75"/>
    <n v="-3107.88"/>
    <n v="-6790.44"/>
    <n v="-6162.89"/>
    <n v="-1597.42"/>
    <n v="-11901.38"/>
    <n v="-3472.62"/>
    <n v="-5456.98"/>
    <n v="-6945.24"/>
    <n v="-7441.34"/>
    <n v="-69093.8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-18803.73"/>
    <n v="-3406.44"/>
    <n v="-15879.46"/>
    <n v="0"/>
    <s v="                            -  "/>
    <s v="                            -  "/>
    <n v="0"/>
    <n v="0"/>
    <n v="-2976.53"/>
    <n v="-4960.8900000000003"/>
    <n v="-6449.16"/>
    <n v="-6945.24"/>
    <n v="-59421.44999999999"/>
  </r>
  <r>
    <x v="0"/>
    <s v="Codiagro"/>
    <s v="RESULTADO DEL EJERCICIO"/>
    <s v="RESULTADO ANTES DE IMPUESTOS"/>
    <s v="RESULTADO DE LA EXPLOTACION"/>
    <x v="8"/>
    <s v="(624) Transportes ventas"/>
    <s v="624000005 - TTE. PAQUETERIA "/>
    <s v="-"/>
    <n v="-202.03"/>
    <n v="-389.24"/>
    <n v="-280.8"/>
    <n v="0"/>
    <s v="                            -  "/>
    <n v="-1935.01"/>
    <n v="-592.1"/>
    <n v="-149.55000000000001"/>
    <n v="-591.46"/>
    <n v="-591.46"/>
    <n v="-591.46"/>
    <n v="-591.46"/>
    <n v="-5914.5700000000006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0"/>
    <n v="-1750"/>
    <n v="-487.13"/>
    <n v="-1930"/>
    <s v="                            -  "/>
    <s v="                            -  "/>
    <n v="0"/>
    <n v="0"/>
    <n v="-1389.04"/>
    <n v="-1389.04"/>
    <n v="-1389.04"/>
    <n v="-1389.04"/>
    <n v="-9723.2900000000009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0"/>
    <n v="0"/>
    <n v="-188.17"/>
    <n v="0"/>
    <s v="                            -  "/>
    <s v="                            -  "/>
    <n v="0"/>
    <n v="0"/>
    <n v="-188.17"/>
    <n v="-188.17"/>
    <n v="-188.17"/>
    <n v="-188.17"/>
    <n v="-940.84999999999991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0"/>
    <n v="0"/>
    <n v="0"/>
    <n v="0"/>
    <n v="0"/>
    <n v="0"/>
    <n v="-194.64"/>
    <n v="0"/>
    <n v="-194.64"/>
    <n v="-194.64"/>
    <n v="-194.64"/>
    <n v="-194.64"/>
    <n v="-973.19999999999993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0"/>
    <n v="0"/>
    <n v="0"/>
    <n v="0"/>
    <n v="-5788.51"/>
    <n v="-774.67"/>
    <s v="                                             -  "/>
    <n v="0"/>
    <n v="-3281.59"/>
    <n v="-3281.59"/>
    <n v="-3281.59"/>
    <n v="-3281.59"/>
    <n v="-19689.54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8631.83"/>
    <n v="0"/>
    <n v="-2798.15"/>
    <n v="-608.9"/>
    <s v="                            -  "/>
    <n v="-2798.15"/>
    <n v="-41.37"/>
    <n v="0"/>
    <n v="-2975.68"/>
    <n v="-2975.68"/>
    <n v="-2975.68"/>
    <n v="-2975.68"/>
    <n v="-26781.119999999999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111.93"/>
    <n v="-38.96"/>
    <n v="-1.21"/>
    <n v="-1.21"/>
    <n v="-8.4700000000000006"/>
    <n v="-102.05"/>
    <n v="-121.06"/>
    <n v="-7.26"/>
    <n v="-49.02"/>
    <n v="-49.02"/>
    <n v="-49.02"/>
    <n v="-49.02"/>
    <n v="-588.23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38.5"/>
    <n v="-149.62"/>
    <n v="-353.89"/>
    <n v="-230.86"/>
    <n v="-43.09"/>
    <n v="-200.29"/>
    <n v="-109.75"/>
    <n v="-143.33000000000001"/>
    <n v="-171.17"/>
    <n v="-171.17"/>
    <n v="-171.17"/>
    <n v="-171.17"/>
    <n v="-2054.0100000000002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342.23"/>
    <n v="-704.39"/>
    <n v="-687.65"/>
    <n v="-381.46"/>
    <n v="-1201.98"/>
    <n v="-1201.74"/>
    <n v="-1353.52"/>
    <n v="-615.71"/>
    <n v="-811.09"/>
    <n v="-811.09"/>
    <n v="-811.09"/>
    <n v="-811.09"/>
    <n v="-9733.0399999999991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s v="                            -  "/>
    <n v="0"/>
    <n v="-214.6"/>
    <n v="-214.6"/>
    <n v="-321.89999999999998"/>
    <n v="-214.6"/>
    <n v="-214.6"/>
    <n v="-1180.3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s v="                            -  "/>
    <n v="-407"/>
    <n v="0"/>
    <n v="-407"/>
    <n v="-610.5"/>
    <n v="-407"/>
    <n v="-407"/>
    <n v="-2238.5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7.52"/>
    <n v="0"/>
    <n v="0"/>
    <n v="0"/>
    <n v="-170.36"/>
    <s v="                            -  "/>
    <n v="0"/>
    <n v="0"/>
    <n v="-98.94"/>
    <n v="-148.41"/>
    <n v="-98.94"/>
    <n v="-98.94"/>
    <n v="-643.11000000000013"/>
  </r>
  <r>
    <x v="0"/>
    <s v="Codiagro"/>
    <s v="RESULTADO DEL EJERCICIO"/>
    <s v="RESULTADO ANTES DE IMPUESTOS"/>
    <s v="RESULTADO DE LA EXPLOTACION"/>
    <x v="8"/>
    <s v="(627) Publicidad"/>
    <s v="627000007 - FERIAS"/>
    <s v="-"/>
    <n v="0"/>
    <n v="0"/>
    <n v="0"/>
    <n v="-308.45999999999998"/>
    <s v="                            -  "/>
    <s v="                            -  "/>
    <n v="0"/>
    <n v="0"/>
    <n v="-308.45999999999998"/>
    <n v="-462.69"/>
    <n v="-308.45999999999998"/>
    <n v="-308.45999999999998"/>
    <n v="-1696.53"/>
  </r>
  <r>
    <x v="0"/>
    <s v="Codiagro"/>
    <s v="RESULTADO DEL EJERCICIO"/>
    <s v="RESULTADO ANTES DE IMPUESTOS"/>
    <s v="RESULTADO DE LA EXPLOTACION"/>
    <x v="8"/>
    <s v="(627) Publicidad"/>
    <s v="627000008 - MARKETING"/>
    <s v="-"/>
    <n v="0"/>
    <n v="0"/>
    <n v="-1568.58"/>
    <n v="-4485"/>
    <n v="-55"/>
    <n v="-3000"/>
    <s v="                                             -  "/>
    <n v="0"/>
    <n v="0"/>
    <n v="0"/>
    <n v="0"/>
    <n v="0"/>
    <n v="-9108.58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0"/>
    <n v="0"/>
    <n v="0"/>
    <n v="0"/>
    <n v="-3208.9"/>
    <n v="-438"/>
    <n v="-9082.9"/>
    <n v="-3164.3"/>
    <n v="-1500"/>
    <n v="-4500"/>
    <n v="-2000"/>
    <n v="-2000"/>
    <n v="-25894.1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-826.76"/>
    <n v="0"/>
    <s v="                            -  "/>
    <s v="                            -  "/>
    <n v="0"/>
    <n v="0"/>
    <n v="-826.76"/>
    <n v="-1240.1400000000001"/>
    <n v="-826.76"/>
    <n v="-826.76"/>
    <n v="-4547.18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0"/>
    <n v="0"/>
    <n v="0"/>
    <n v="0"/>
    <n v="0"/>
    <n v="-489"/>
    <s v="                                             -  "/>
    <n v="0"/>
    <n v="-489"/>
    <n v="-489"/>
    <n v="-489"/>
    <n v="-489"/>
    <n v="-2445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4457.07"/>
    <n v="-4192.18"/>
    <n v="0"/>
    <n v="-8417.9"/>
    <n v="-1115.2"/>
    <n v="-7205.31"/>
    <n v="-3014.475435477108"/>
    <n v="-1350.4331431072339"/>
    <n v="-3190"/>
    <n v="-3790"/>
    <n v="-4190"/>
    <n v="-4390"/>
    <n v="-45312.568578584345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170.76"/>
    <n v="0"/>
    <n v="0"/>
    <n v="-1209.46"/>
    <s v="                            -  "/>
    <s v="                            -  "/>
    <n v="-1927.6"/>
    <n v="0"/>
    <n v="-1435.94"/>
    <n v="-1435.94"/>
    <n v="-1435.94"/>
    <n v="-1435.94"/>
    <n v="-10051.580000000002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697.53"/>
    <n v="-707.86"/>
    <n v="-721.07"/>
    <n v="-752.94"/>
    <n v="-259.61"/>
    <n v="-1232.48"/>
    <n v="-761.55"/>
    <n v="-853"/>
    <n v="-200"/>
    <n v="-400"/>
    <n v="-700"/>
    <n v="-900"/>
    <n v="-8186.04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0"/>
    <n v="0"/>
    <n v="0"/>
    <n v="0"/>
    <n v="-1891.22"/>
    <s v="                            -  "/>
    <n v="0"/>
    <n v="-1496.33"/>
    <n v="-1693.78"/>
    <n v="-1693.78"/>
    <n v="-1693.78"/>
    <n v="-1693.78"/>
    <n v="-10162.67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396"/>
    <n v="0"/>
    <n v="0"/>
    <n v="0"/>
    <s v="                            -  "/>
    <n v="-30"/>
    <s v="                                             -  "/>
    <n v="0"/>
    <n v="-213"/>
    <n v="-213"/>
    <n v="-213"/>
    <n v="-213"/>
    <n v="-1278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194.68"/>
    <n v="-108"/>
    <n v="-1186.24"/>
    <n v="-80.59"/>
    <n v="-277.83999999999997"/>
    <n v="-254.03"/>
    <n v="-4498.18"/>
    <n v="-986.98"/>
    <n v="-948.32"/>
    <n v="-948.32"/>
    <n v="-948.32"/>
    <n v="-948.32"/>
    <n v="-11379.82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0"/>
    <n v="0"/>
    <n v="0"/>
    <s v="                            -  "/>
    <s v="                            -  "/>
    <n v="0"/>
    <n v="0"/>
    <n v="-460.58"/>
    <n v="-460.58"/>
    <n v="-460.58"/>
    <n v="-460.58"/>
    <n v="-2302.9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3.72"/>
    <n v="0"/>
    <n v="-73.72"/>
    <n v="-73.72"/>
    <n v="-75.94"/>
    <n v="-75.94"/>
    <n v="-75.94"/>
    <n v="-75.94"/>
    <n v="-74.989999999999995"/>
    <n v="-74.989999999999995"/>
    <n v="-74.989999999999995"/>
    <n v="-74.989999999999995"/>
    <n v="-824.88000000000011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87.98"/>
    <n v="0"/>
    <n v="0"/>
    <n v="-2772"/>
    <n v="36.18"/>
    <s v="                            -  "/>
    <n v="0"/>
    <n v="0"/>
    <n v="-941.27"/>
    <n v="-941.27"/>
    <n v="-941.27"/>
    <n v="-941.27"/>
    <n v="-6588.880000000001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48"/>
    <n v="0"/>
    <n v="0"/>
    <n v="0"/>
    <n v="-144"/>
    <s v="                            -  "/>
    <n v="0"/>
    <n v="0"/>
    <n v="-96"/>
    <n v="-96"/>
    <n v="-96"/>
    <n v="-96"/>
    <n v="-576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7569.69"/>
    <n v="1670.07"/>
    <n v="-1388.15"/>
    <n v="-1276.52"/>
    <n v="-545.44999999999993"/>
    <n v="-1758.33"/>
    <n v="-11469.318783520101"/>
    <n v="667.67211181104619"/>
    <n v="-2500"/>
    <n v="-2800"/>
    <n v="-3000"/>
    <n v="-3200"/>
    <n v="-33169.716671709059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1148.29"/>
    <n v="0"/>
    <n v="-600"/>
    <n v="-945"/>
    <s v="                            -  "/>
    <s v="                            -  "/>
    <n v="-514"/>
    <n v="0"/>
    <n v="-801.82"/>
    <n v="-801.82"/>
    <n v="-801.82"/>
    <n v="-801.82"/>
    <n v="-6414.57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0"/>
    <n v="0"/>
    <n v="0"/>
    <n v="0"/>
    <n v="0"/>
    <s v="                            -  "/>
    <n v="-90"/>
    <n v="0"/>
    <n v="-90"/>
    <n v="-90"/>
    <n v="-90"/>
    <n v="-90"/>
    <n v="-45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1233.23"/>
    <n v="0"/>
    <n v="29.06"/>
    <n v="46.51"/>
    <n v="29.06"/>
    <s v="                            -  "/>
    <n v="-2125.27"/>
    <n v="-1663.31"/>
    <n v="-819.53"/>
    <n v="-819.53"/>
    <n v="-819.53"/>
    <n v="-819.53"/>
    <n v="-8195.2999999999993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425"/>
    <n v="0"/>
    <n v="0"/>
    <n v="-35.25"/>
    <n v="-425"/>
    <s v="                            -  "/>
    <n v="0"/>
    <n v="0"/>
    <n v="-295.08"/>
    <n v="-295.08"/>
    <n v="-295.08"/>
    <n v="-295.08"/>
    <n v="-2065.5699999999997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808.04"/>
    <n v="-2163.44"/>
    <n v="-2173.63"/>
    <n v="-237.86"/>
    <n v="-2671.84"/>
    <n v="-503.74"/>
    <n v="-1117.8599999999999"/>
    <n v="-932.8"/>
    <n v="-1326.15"/>
    <n v="-1326.15"/>
    <n v="-1326.15"/>
    <n v="-1326.15"/>
    <n v="-15913.81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0"/>
    <n v="0"/>
    <n v="-400"/>
    <n v="0"/>
    <n v="-625.20000000000005"/>
    <s v="                            -  "/>
    <n v="0"/>
    <n v="-4513.8"/>
    <n v="-1846.33"/>
    <n v="-1846.33"/>
    <n v="-1846.33"/>
    <n v="-1846.33"/>
    <n v="-12924.32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0"/>
    <n v="-351.4"/>
    <n v="0"/>
    <n v="0"/>
    <s v="                            -  "/>
    <s v="                            -  "/>
    <n v="-98.8"/>
    <n v="-340"/>
    <n v="-263.39999999999998"/>
    <n v="-263.39999999999998"/>
    <n v="-263.39999999999998"/>
    <n v="-263.39999999999998"/>
    <n v="-1843.8000000000002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0"/>
    <n v="0"/>
    <n v="0"/>
    <n v="0"/>
    <n v="0"/>
    <n v="0"/>
    <n v="-206.45"/>
    <n v="-107.24"/>
    <n v="-156.84"/>
    <n v="-156.84"/>
    <n v="-156.84"/>
    <n v="-156.84"/>
    <n v="-941.05000000000007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m/>
    <m/>
    <m/>
    <m/>
    <m/>
    <m/>
    <m/>
    <n v="-500.03"/>
    <n v="-500.03"/>
    <n v="-500.03"/>
    <n v="-500.03"/>
    <n v="-500.03"/>
    <n v="-2500.1499999999996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325.34"/>
    <n v="-2819.19"/>
    <n v="-1737.88"/>
    <n v="-1506.87"/>
    <n v="-2533.9299999999998"/>
    <n v="-5047.3500000000004"/>
    <n v="-6591.35"/>
    <n v="-2380.04"/>
    <n v="-2800"/>
    <n v="-3200"/>
    <n v="-3200"/>
    <n v="-3500"/>
    <n v="-36641.949999999997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3865.16"/>
    <n v="34.200000000000003"/>
    <n v="-1710.02"/>
    <n v="-532.08000000000004"/>
    <n v="-2522.2600000000002"/>
    <n v="-4633.3500000000004"/>
    <n v="-2854.53"/>
    <n v="-1290.01"/>
    <n v="-2000"/>
    <n v="-2300"/>
    <n v="-2300"/>
    <n v="-2500"/>
    <n v="-26473.21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557.42999999999995"/>
    <n v="-1592.89"/>
    <n v="-800.56"/>
    <n v="-929.26"/>
    <n v="-1786.27"/>
    <n v="-936.54"/>
    <n v="-759.39"/>
    <n v="-1377.28"/>
    <n v="-1092.45"/>
    <n v="-1092.45"/>
    <n v="-1092.45"/>
    <n v="-1092.45"/>
    <n v="-13109.42000000000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274.08"/>
    <n v="-503.96"/>
    <n v="-762.8"/>
    <n v="-391.86"/>
    <n v="-3016.62"/>
    <n v="-553.36"/>
    <n v="-614.65"/>
    <n v="-283.02999999999997"/>
    <n v="-800.04"/>
    <n v="-800.04"/>
    <n v="-800.04"/>
    <n v="-800.04"/>
    <n v="-9600.52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313.19"/>
    <n v="-219.25"/>
    <n v="-436.29"/>
    <n v="-325.14999999999998"/>
    <n v="-506.79"/>
    <n v="-887.3"/>
    <n v="-413.5"/>
    <n v="-281.24"/>
    <n v="-422.84"/>
    <n v="-422.84"/>
    <n v="-422.84"/>
    <n v="-422.84"/>
    <n v="-5074.0700000000006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118.28"/>
    <n v="0"/>
    <n v="-301.79000000000002"/>
    <n v="-166.56"/>
    <n v="-222.62"/>
    <n v="-202.95"/>
    <s v="                                             -  "/>
    <n v="0"/>
    <n v="-202.44"/>
    <n v="-202.44"/>
    <n v="-202.44"/>
    <n v="-202.44"/>
    <n v="-1821.9600000000003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210.18"/>
    <n v="0"/>
    <n v="-33.06"/>
    <n v="0"/>
    <s v="                            -  "/>
    <n v="-20.5"/>
    <s v="                                             -  "/>
    <n v="-100.45"/>
    <n v="-91.05"/>
    <n v="-91.05"/>
    <n v="-91.05"/>
    <n v="-91.05"/>
    <n v="-728.38999999999987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m/>
    <m/>
    <m/>
    <m/>
    <m/>
    <m/>
    <m/>
    <n v="-141.13999999999999"/>
    <n v="-141.13999999999999"/>
    <n v="-141.13999999999999"/>
    <n v="-141.13999999999999"/>
    <n v="-141.13999999999999"/>
    <n v="-705.69999999999993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0"/>
    <n v="0"/>
    <n v="0"/>
    <n v="-284.56"/>
    <n v="-27.57"/>
    <s v="                            -  "/>
    <n v="0"/>
    <n v="0"/>
    <n v="-156.06"/>
    <n v="-156.06"/>
    <n v="-156.06"/>
    <n v="-156.06"/>
    <n v="-936.36999999999989"/>
  </r>
  <r>
    <x v="0"/>
    <s v="Codiagro"/>
    <s v="RESULTADO DEL EJERCICIO"/>
    <s v="RESULTADO ANTES DE IMPUESTOS"/>
    <s v="RESULTADO DE LA EXPLOTACION"/>
    <x v="8"/>
    <s v="(631) Otros tributos"/>
    <s v="631000002 - TASAS"/>
    <s v="-"/>
    <m/>
    <m/>
    <m/>
    <m/>
    <n v="-581.49"/>
    <s v="                            -  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m/>
    <m/>
    <m/>
    <m/>
    <m/>
    <m/>
    <m/>
    <n v="-7396.59"/>
    <n v="0"/>
    <n v="0"/>
    <n v="0"/>
    <n v="0"/>
    <n v="-7396.59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5921.54"/>
    <n v="-1801.72"/>
    <n v="-2503.2199999999998"/>
    <n v="-285.97000000000003"/>
    <n v="-159.84"/>
    <n v="-4575.29"/>
    <n v="-5203.66"/>
    <n v="-838.08"/>
    <n v="-1190.6099999999999"/>
    <n v="-2182.79"/>
    <n v="-2976.53"/>
    <n v="-3174.97"/>
    <n v="-30814.22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-693.91"/>
    <n v="-557.9"/>
    <n v="-881.48"/>
    <n v="-630.79"/>
    <s v="                            -  "/>
    <s v="                            -  "/>
    <n v="0"/>
    <n v="0"/>
    <n v="0"/>
    <n v="0"/>
    <n v="0"/>
    <n v="0"/>
    <n v="-2764.08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m/>
    <m/>
    <m/>
    <m/>
    <m/>
    <n v="-211.6"/>
    <s v="                                             -  "/>
    <n v="0"/>
    <n v="0"/>
    <n v="0"/>
    <n v="0"/>
    <n v="0"/>
    <n v="-211.6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6245.7"/>
    <n v="-6245.7"/>
    <n v="-5719.74"/>
    <n v="-5719.74"/>
    <n v="-5719.74"/>
    <n v="-5719.74"/>
    <n v="-5772.02"/>
    <n v="-5772.02"/>
    <n v="-5772"/>
    <n v="-5772"/>
    <n v="-5772"/>
    <n v="-5772"/>
    <n v="-70002.39999999999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398.5"/>
    <n v="-6398.5"/>
    <n v="-6398.5"/>
    <n v="-6398.5"/>
    <n v="-6398.5"/>
    <n v="-6410.5"/>
    <n v="-6419.19"/>
    <n v="-6419.19"/>
    <n v="-6419"/>
    <n v="-6419"/>
    <n v="-6419"/>
    <n v="-6419"/>
    <n v="-76917.3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522.43"/>
    <n v="-1522.43"/>
    <n v="-1522.43"/>
    <n v="-1522.43"/>
    <n v="-1522.43"/>
    <n v="-1631.75"/>
    <n v="-1642.07"/>
    <n v="-1642.07"/>
    <n v="-1642"/>
    <n v="-1642"/>
    <n v="-1642"/>
    <n v="-1642"/>
    <n v="-19096.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25.66"/>
    <n v="-1325.66"/>
    <n v="-1325.66"/>
    <n v="-1325.66"/>
    <n v="-1325.66"/>
    <n v="-1337.16"/>
    <n v="-1337.16"/>
    <n v="-1337.16"/>
    <n v="-1337"/>
    <n v="-1337"/>
    <n v="-1337"/>
    <n v="-1337"/>
    <n v="-15987.78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448.73"/>
    <n v="-448.73"/>
    <n v="-745.37"/>
    <n v="-745.37"/>
    <n v="-937.75"/>
    <n v="-848"/>
    <n v="-855.5"/>
    <n v="-855.5"/>
    <n v="-856"/>
    <n v="-856"/>
    <n v="-856"/>
    <n v="-856"/>
    <n v="-9308.9500000000007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37.5"/>
    <n v="-37.5"/>
    <n v="-37.5"/>
    <n v="-37.5"/>
    <n v="-131.25"/>
    <n v="41.25"/>
    <n v="-45"/>
    <n v="-45"/>
    <n v="-45"/>
    <n v="-45"/>
    <n v="-45"/>
    <n v="-45"/>
    <n v="-51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0"/>
    <n v="0"/>
    <n v="0"/>
    <n v="-23519.91"/>
    <n v="-38633.949999999997"/>
    <n v="-78488.47"/>
    <n v="-32604.18"/>
    <n v="-19768.43"/>
    <n v="-12975.21"/>
    <n v="-24579.01"/>
    <n v="-33042.67"/>
    <n v="-35674.22"/>
    <n v="-299286.05000000005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-937.05"/>
    <s v="                            -  "/>
    <s v="                            -  "/>
    <n v="0"/>
    <n v="0"/>
    <n v="0"/>
    <n v="0"/>
    <n v="0"/>
    <n v="0"/>
    <n v="-937.05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-52.82"/>
    <n v="0"/>
    <n v="-79.37"/>
    <n v="-26.51"/>
    <n v="-17.690000000000001"/>
    <n v="-8.86"/>
    <n v="0"/>
    <n v="0"/>
    <n v="0"/>
    <n v="0"/>
    <n v="0"/>
    <n v="0"/>
    <n v="-185.25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78.790000000000006"/>
    <n v="15.51"/>
    <n v="0"/>
    <n v="2879.75"/>
    <n v="1665.7"/>
    <n v="604.76"/>
    <n v="0"/>
    <n v="0"/>
    <n v="0"/>
    <n v="0"/>
    <n v="0"/>
    <n v="5244.51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m/>
    <m/>
    <m/>
    <m/>
    <n v="-1350"/>
    <s v="                            -  "/>
    <n v="0"/>
    <n v="0"/>
    <n v="0"/>
    <n v="0"/>
    <n v="0"/>
    <n v="0"/>
    <n v="-135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m/>
    <m/>
    <m/>
    <m/>
    <m/>
    <n v="4495.93"/>
    <n v="0"/>
    <n v="0"/>
    <n v="0"/>
    <n v="0"/>
    <n v="0"/>
    <n v="0"/>
    <n v="4495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4466-1C8F-4694-BEC9-2336FD9092D9}" name="TablaDiná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6" firstHeaderRow="0" firstDataRow="1" firstDataCol="1" rowPageCount="1" colPageCount="1"/>
  <pivotFields count="22"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6 " fld="9" baseField="2" baseItem="0"/>
    <dataField name="feb-26 " fld="10" baseField="2" baseItem="0"/>
    <dataField name="mar-26 " fld="11" baseField="2" baseItem="0" numFmtId="4"/>
    <dataField name="abr-26 " fld="12" baseField="2" baseItem="0"/>
    <dataField name="may-26 " fld="13" baseField="5" baseItem="0"/>
    <dataField name=" jun-26" fld="14" baseField="5" baseItem="0"/>
    <dataField name="jul-26 " fld="15" baseField="5" baseItem="0"/>
    <dataField name="ago-26 " fld="16" baseField="0" baseItem="0"/>
    <dataField name="sep-26 " fld="17" baseField="5" baseItem="0"/>
    <dataField name="oct-26 " fld="18" baseField="5" baseItem="0"/>
    <dataField name="nov-26 " fld="19" baseField="5" baseItem="0"/>
    <dataField name="dic-26 " fld="20" baseField="5" baseItem="0"/>
    <dataField name="Total 2026 " fld="21" baseField="5" baseItem="0"/>
  </dataFields>
  <formats count="13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field="2" grandRow="1" outline="0" collapsedLevelsAreSubtotals="1">
        <references count="1">
          <reference field="4294967294" count="1" selected="0">
            <x v="2"/>
          </reference>
        </references>
      </pivotArea>
    </format>
    <format dxfId="8">
      <pivotArea field="2" grandRow="1" outline="0" collapsedLevelsAreSubtotals="1">
        <references count="1">
          <reference field="4294967294" count="1" selected="0">
            <x v="1"/>
          </reference>
        </references>
      </pivotArea>
    </format>
    <format dxfId="7">
      <pivotArea field="2" grandRow="1" outline="0" collapsedLevelsAreSubtotals="1">
        <references count="1">
          <reference field="4294967294" count="1" selected="0">
            <x v="0"/>
          </reference>
        </references>
      </pivotArea>
    </format>
    <format dxfId="6">
      <pivotArea field="2" grandRow="1" outline="0" collapsedLevelsAreSubtotals="1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2"/>
          </reference>
          <reference field="5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F8F0F-CABA-44C9-861D-B64737513C38}" name="TablaDinámica1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44B8-C86C-4350-A9CC-CF0A10A66821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N33" firstHeaderRow="1" firstDataRow="2" firstDataCol="1"/>
  <pivotFields count="12">
    <pivotField numFmtId="14" showAll="0"/>
    <pivotField axis="axisCol" showAll="0">
      <items count="13">
        <item x="0"/>
        <item x="10"/>
        <item x="1"/>
        <item x="2"/>
        <item x="3"/>
        <item x="4"/>
        <item x="5"/>
        <item x="7"/>
        <item x="6"/>
        <item x="11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70" showAll="0"/>
    <pivotField dataField="1" numFmtId="4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Importe ('000)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6D6E-6702-4A5D-9385-0DB991C4E6A8}">
  <sheetPr>
    <pageSetUpPr fitToPage="1"/>
  </sheetPr>
  <dimension ref="A2:AS31"/>
  <sheetViews>
    <sheetView showGridLines="0" topLeftCell="AB3" zoomScaleNormal="100" workbookViewId="0">
      <selection activeCell="AM29" sqref="AM29"/>
    </sheetView>
  </sheetViews>
  <sheetFormatPr baseColWidth="10" defaultColWidth="10.81640625" defaultRowHeight="14.5" x14ac:dyDescent="0.35"/>
  <cols>
    <col min="1" max="1" width="10.81640625" style="70"/>
    <col min="2" max="2" width="23.54296875" style="70" bestFit="1" customWidth="1"/>
    <col min="3" max="3" width="23.1796875" style="71" customWidth="1"/>
    <col min="4" max="4" width="10.81640625" style="71"/>
    <col min="5" max="5" width="8.81640625" style="70" customWidth="1"/>
    <col min="6" max="6" width="9.81640625" style="70" customWidth="1"/>
    <col min="7" max="7" width="10.81640625" style="70"/>
    <col min="8" max="9" width="9.7265625" style="70" customWidth="1"/>
    <col min="10" max="16384" width="10.81640625" style="70"/>
  </cols>
  <sheetData>
    <row r="2" spans="1:45" x14ac:dyDescent="0.35">
      <c r="A2" s="69"/>
      <c r="B2" s="104" t="s">
        <v>64</v>
      </c>
      <c r="C2" s="129"/>
      <c r="D2" s="103"/>
      <c r="E2" s="103"/>
      <c r="F2" s="129"/>
      <c r="G2" s="129"/>
      <c r="H2" s="129"/>
      <c r="I2" s="129"/>
    </row>
    <row r="4" spans="1:45" x14ac:dyDescent="0.35">
      <c r="C4" s="103" t="s">
        <v>39</v>
      </c>
      <c r="L4" s="103" t="s">
        <v>39</v>
      </c>
      <c r="M4" s="71"/>
      <c r="U4" s="103" t="s">
        <v>39</v>
      </c>
      <c r="V4" s="71"/>
      <c r="AD4" s="103" t="s">
        <v>39</v>
      </c>
      <c r="AE4" s="71"/>
      <c r="AM4" s="103" t="s">
        <v>39</v>
      </c>
      <c r="AN4" s="71"/>
    </row>
    <row r="5" spans="1:45" x14ac:dyDescent="0.35">
      <c r="B5" s="72" t="s">
        <v>38</v>
      </c>
      <c r="C5" s="73">
        <v>9</v>
      </c>
      <c r="G5" s="68"/>
      <c r="K5" s="72" t="s">
        <v>38</v>
      </c>
      <c r="L5" s="73">
        <v>10</v>
      </c>
      <c r="M5" s="71"/>
      <c r="P5" s="68"/>
      <c r="T5" s="72" t="s">
        <v>38</v>
      </c>
      <c r="U5" s="73">
        <v>11</v>
      </c>
      <c r="V5" s="71"/>
      <c r="Y5" s="68"/>
      <c r="AC5" s="72" t="s">
        <v>38</v>
      </c>
      <c r="AD5" s="73">
        <v>12</v>
      </c>
      <c r="AE5" s="71"/>
      <c r="AH5" s="68"/>
      <c r="AL5" s="72" t="s">
        <v>38</v>
      </c>
      <c r="AM5" s="73">
        <v>12</v>
      </c>
      <c r="AN5" s="71"/>
      <c r="AQ5" s="68"/>
    </row>
    <row r="6" spans="1:45" x14ac:dyDescent="0.35">
      <c r="L6" s="71"/>
      <c r="M6" s="71"/>
      <c r="U6" s="71"/>
      <c r="V6" s="71"/>
      <c r="AD6" s="71"/>
      <c r="AE6" s="71"/>
      <c r="AM6" s="71"/>
      <c r="AN6" s="71"/>
    </row>
    <row r="7" spans="1:45" x14ac:dyDescent="0.35">
      <c r="B7" s="74" t="s">
        <v>17</v>
      </c>
      <c r="C7" s="70"/>
      <c r="D7" s="168"/>
      <c r="K7" s="74" t="s">
        <v>17</v>
      </c>
      <c r="M7" s="168"/>
      <c r="T7" s="74" t="s">
        <v>17</v>
      </c>
      <c r="V7" s="168"/>
      <c r="AC7" s="74" t="s">
        <v>17</v>
      </c>
      <c r="AE7" s="168"/>
      <c r="AL7" s="74" t="s">
        <v>17</v>
      </c>
      <c r="AN7" s="168"/>
    </row>
    <row r="8" spans="1:45" ht="16.5" customHeight="1" x14ac:dyDescent="0.35">
      <c r="B8" s="75"/>
      <c r="C8" s="76"/>
      <c r="D8" s="76"/>
      <c r="E8" s="77" t="s">
        <v>21</v>
      </c>
      <c r="F8" s="78"/>
      <c r="G8" s="79"/>
      <c r="H8" s="169" t="s">
        <v>21</v>
      </c>
      <c r="I8" s="169"/>
      <c r="J8" s="105"/>
      <c r="K8" s="75"/>
      <c r="L8" s="76"/>
      <c r="M8" s="76"/>
      <c r="N8" s="77" t="s">
        <v>21</v>
      </c>
      <c r="O8" s="78"/>
      <c r="P8" s="79"/>
      <c r="Q8" s="169" t="s">
        <v>21</v>
      </c>
      <c r="R8" s="169"/>
      <c r="T8" s="75"/>
      <c r="U8" s="76"/>
      <c r="V8" s="76"/>
      <c r="W8" s="77" t="s">
        <v>21</v>
      </c>
      <c r="X8" s="78"/>
      <c r="Y8" s="79"/>
      <c r="Z8" s="169" t="s">
        <v>21</v>
      </c>
      <c r="AA8" s="169"/>
      <c r="AC8" s="75"/>
      <c r="AD8" s="76"/>
      <c r="AE8" s="76"/>
      <c r="AF8" s="77" t="s">
        <v>21</v>
      </c>
      <c r="AG8" s="78"/>
      <c r="AH8" s="79"/>
      <c r="AI8" s="169" t="s">
        <v>21</v>
      </c>
      <c r="AJ8" s="169"/>
      <c r="AL8" s="75"/>
      <c r="AM8" s="76"/>
      <c r="AN8" s="76"/>
      <c r="AO8" s="77" t="s">
        <v>21</v>
      </c>
      <c r="AP8" s="78"/>
      <c r="AQ8" s="79"/>
      <c r="AR8" s="169" t="s">
        <v>21</v>
      </c>
      <c r="AS8" s="169"/>
    </row>
    <row r="9" spans="1:45" ht="15" thickBot="1" x14ac:dyDescent="0.4">
      <c r="B9" s="80" t="s">
        <v>18</v>
      </c>
      <c r="C9" s="81" t="s">
        <v>19</v>
      </c>
      <c r="D9" s="81" t="s">
        <v>20</v>
      </c>
      <c r="E9" s="82" t="s">
        <v>0</v>
      </c>
      <c r="F9" s="130" t="s">
        <v>22</v>
      </c>
      <c r="G9" s="81" t="s">
        <v>23</v>
      </c>
      <c r="H9" s="82" t="s">
        <v>0</v>
      </c>
      <c r="I9" s="82" t="s">
        <v>24</v>
      </c>
      <c r="J9" s="106"/>
      <c r="K9" s="80" t="s">
        <v>18</v>
      </c>
      <c r="L9" s="81" t="s">
        <v>19</v>
      </c>
      <c r="M9" s="81" t="s">
        <v>20</v>
      </c>
      <c r="N9" s="82" t="s">
        <v>0</v>
      </c>
      <c r="O9" s="130" t="s">
        <v>22</v>
      </c>
      <c r="P9" s="81" t="s">
        <v>23</v>
      </c>
      <c r="Q9" s="82" t="s">
        <v>0</v>
      </c>
      <c r="R9" s="82" t="s">
        <v>24</v>
      </c>
      <c r="T9" s="80" t="s">
        <v>18</v>
      </c>
      <c r="U9" s="81" t="s">
        <v>19</v>
      </c>
      <c r="V9" s="81" t="s">
        <v>20</v>
      </c>
      <c r="W9" s="82" t="s">
        <v>0</v>
      </c>
      <c r="X9" s="130" t="s">
        <v>22</v>
      </c>
      <c r="Y9" s="81" t="s">
        <v>23</v>
      </c>
      <c r="Z9" s="82" t="s">
        <v>0</v>
      </c>
      <c r="AA9" s="82" t="s">
        <v>24</v>
      </c>
      <c r="AC9" s="80" t="s">
        <v>18</v>
      </c>
      <c r="AD9" s="81" t="s">
        <v>19</v>
      </c>
      <c r="AE9" s="81" t="s">
        <v>20</v>
      </c>
      <c r="AF9" s="82" t="s">
        <v>0</v>
      </c>
      <c r="AG9" s="130" t="s">
        <v>22</v>
      </c>
      <c r="AH9" s="81" t="s">
        <v>23</v>
      </c>
      <c r="AI9" s="82" t="s">
        <v>0</v>
      </c>
      <c r="AJ9" s="82" t="s">
        <v>24</v>
      </c>
      <c r="AL9" s="80" t="s">
        <v>18</v>
      </c>
      <c r="AM9" s="81" t="s">
        <v>19</v>
      </c>
      <c r="AN9" s="81" t="s">
        <v>20</v>
      </c>
      <c r="AO9" s="82" t="s">
        <v>0</v>
      </c>
      <c r="AP9" s="130" t="s">
        <v>22</v>
      </c>
      <c r="AQ9" s="81" t="s">
        <v>23</v>
      </c>
      <c r="AR9" s="82" t="s">
        <v>0</v>
      </c>
      <c r="AS9" s="82" t="s">
        <v>24</v>
      </c>
    </row>
    <row r="10" spans="1:45" x14ac:dyDescent="0.35">
      <c r="B10" s="83" t="s">
        <v>1</v>
      </c>
      <c r="C10" s="111">
        <f>(GETPIVOTDATA("sep-26 ",TABLA!$B$3,"Nivel 4","1.- Importe neto de la cifra de negocios"))/1000</f>
        <v>483.08373999999998</v>
      </c>
      <c r="D10" s="111">
        <f>VLOOKUP(B10,'P&amp;L Mensualitzada 2025'!$A$5:$N$25,$C$5+1,0)</f>
        <v>842.11579000000006</v>
      </c>
      <c r="E10" s="112">
        <f>C10-D10</f>
        <v>-359.03205000000008</v>
      </c>
      <c r="F10" s="127">
        <f>+IF(IFERROR(C10/D10-1,"-")&lt;300%,IFERROR(C10/D10-1,"-"),"n.a.")</f>
        <v>-0.42634522979316192</v>
      </c>
      <c r="G10" s="120">
        <f>VLOOKUP(B10,'Budget26 sin EI'!$B:$O,$C$5+1,0)</f>
        <v>1026.5684889409886</v>
      </c>
      <c r="H10" s="112">
        <f>C10-G10</f>
        <v>-543.48474894098854</v>
      </c>
      <c r="I10" s="127">
        <f>+IF(IFERROR(C10/G10-1,"-")&lt;300%,IFERROR(C10/G10-1,"-"),"n.a.")</f>
        <v>-0.52941888904231726</v>
      </c>
      <c r="J10" s="107"/>
      <c r="K10" s="83" t="s">
        <v>1</v>
      </c>
      <c r="L10" s="111">
        <f>(GETPIVOTDATA("oct-26 ",TABLA!$B$3,"Nivel 4","1.- Importe neto de la cifra de negocios"))/1000</f>
        <v>912.05501000000004</v>
      </c>
      <c r="M10" s="111">
        <f>VLOOKUP(K10,'P&amp;L Mensualitzada 2025'!$A$5:$N$25,$L$5+1,0)</f>
        <v>699.58345000000179</v>
      </c>
      <c r="N10" s="112">
        <f>L10-M10</f>
        <v>212.47155999999825</v>
      </c>
      <c r="O10" s="127">
        <f>+IF(IFERROR(L10/M10-1,"-")&lt;300%,IFERROR(L10/M10-1,"-"),"n.a.")</f>
        <v>0.3037115300540596</v>
      </c>
      <c r="P10" s="120">
        <f>VLOOKUP(K10,'Budget26 sin EI'!$B:$O,$L$5+1,0)</f>
        <v>798.567184017253</v>
      </c>
      <c r="Q10" s="112">
        <f>L10-P10</f>
        <v>113.48782598274704</v>
      </c>
      <c r="R10" s="127">
        <f>+IF(IFERROR(L10/P10-1,"-")&lt;300%,IFERROR(L10/P10-1,"-"),"n.a.")</f>
        <v>0.14211431205053771</v>
      </c>
      <c r="T10" s="83" t="s">
        <v>1</v>
      </c>
      <c r="U10" s="111">
        <f>(GETPIVOTDATA("nov-26 ",TABLA!$B$3,"Nivel 4","1.- Importe neto de la cifra de negocios"))/1000</f>
        <v>1225.32178</v>
      </c>
      <c r="V10" s="111">
        <f>VLOOKUP(T10,'P&amp;L Mensualitzada 2025'!$A$5:$N$25,$U$5+1,0)</f>
        <v>749.69916000000057</v>
      </c>
      <c r="W10" s="112">
        <f>U10-V10</f>
        <v>475.62261999999942</v>
      </c>
      <c r="X10" s="127">
        <f>+IF(IFERROR(U10/V10-1,"-")&lt;300%,IFERROR(U10/V10-1,"-"),"n.a.")</f>
        <v>0.63441797106988762</v>
      </c>
      <c r="Y10" s="120">
        <f>VLOOKUP(T10,'Budget26 sin EI'!$B:$O,$U$5+1,0)</f>
        <v>1030.2430087822902</v>
      </c>
      <c r="Z10" s="112">
        <f>U10-Y10</f>
        <v>195.0787712177098</v>
      </c>
      <c r="AA10" s="127">
        <f>+IF(IFERROR(U10/Y10-1,"-")&lt;300%,IFERROR(U10/Y10-1,"-"),"n.a.")</f>
        <v>0.18935219123523672</v>
      </c>
      <c r="AC10" s="83" t="s">
        <v>1</v>
      </c>
      <c r="AD10" s="111">
        <f>(GETPIVOTDATA("dic-26 ",TABLA!$B$3,"Nivel 4","1.- Importe neto de la cifra de negocios"))/1000</f>
        <v>1142.4073800000001</v>
      </c>
      <c r="AE10" s="111">
        <f>VLOOKUP(AC10,'P&amp;L Mensualitzada 2025'!$A$5:$N$25,$AD$5+1,0)</f>
        <v>248.50601</v>
      </c>
      <c r="AF10" s="112">
        <f>AD10-AE10</f>
        <v>893.90137000000004</v>
      </c>
      <c r="AG10" s="127" t="str">
        <f>+IF(IFERROR(AD10/AE10-1,"-")&lt;300%,IFERROR(AD10/AE10-1,"-"),"n.a.")</f>
        <v>n.a.</v>
      </c>
      <c r="AH10" s="120">
        <f>VLOOKUP(AC10,'Budget26 sin EI'!$B:$O,$AD$5+1,0)</f>
        <v>659.94465275764242</v>
      </c>
      <c r="AI10" s="112">
        <f>AD10-AH10</f>
        <v>482.46272724235769</v>
      </c>
      <c r="AJ10" s="127">
        <f>+IF(IFERROR(AD10/AH10-1,"-")&lt;300%,IFERROR(AD10/AH10-1,"-"),"n.a.")</f>
        <v>0.7310654389369482</v>
      </c>
      <c r="AL10" s="83" t="s">
        <v>1</v>
      </c>
      <c r="AM10" s="111">
        <f>(GETPIVOTDATA("Total 2026 ",TABLA!$B$3,"Nivel 4","1.- Importe neto de la cifra de negocios"))/1000</f>
        <v>15180.000000000002</v>
      </c>
      <c r="AN10" s="111">
        <f>VLOOKUP(AL10,'P&amp;L Mensualitzada 2025'!$A$5:$N$25,$AD$5+1,0)</f>
        <v>248.50601</v>
      </c>
      <c r="AO10" s="112">
        <f>AM10-AN10</f>
        <v>14931.493990000003</v>
      </c>
      <c r="AP10" s="127" t="str">
        <f>+IF(IFERROR(AM10/AN10-1,"-")&lt;300%,IFERROR(AM10/AN10-1,"-"),"n.a.")</f>
        <v>n.a.</v>
      </c>
      <c r="AQ10" s="120">
        <f>VLOOKUP(AL10,'Budget26 sin EI'!$B:$O,$AD$5+1,0)</f>
        <v>659.94465275764242</v>
      </c>
      <c r="AR10" s="112">
        <f>AM10-AQ10</f>
        <v>14520.05534724236</v>
      </c>
      <c r="AS10" s="127" t="str">
        <f>+IF(IFERROR(AM10/AQ10-1,"-")&lt;300%,IFERROR(AM10/AQ10-1,"-"),"n.a.")</f>
        <v>n.a.</v>
      </c>
    </row>
    <row r="11" spans="1:45" x14ac:dyDescent="0.35">
      <c r="B11" s="75" t="s">
        <v>2</v>
      </c>
      <c r="C11" s="113">
        <v>-80</v>
      </c>
      <c r="D11" s="113">
        <f>VLOOKUP(B11,'P&amp;L Mensualitzada 2025'!$A$5:$N$25,$C$5+1,0)</f>
        <v>-265.37090999999998</v>
      </c>
      <c r="E11" s="114">
        <f>C11-D11</f>
        <v>185.37090999999998</v>
      </c>
      <c r="F11" s="115">
        <f>+IF(IFERROR(C11/D11-1,"-")&lt;300%,IFERROR(C11/D11-1,"-"),"n.a.")</f>
        <v>-0.69853515594456073</v>
      </c>
      <c r="G11" s="121">
        <f>VLOOKUP(B11,'Budget26 sin EI'!$B:$O,$C$5+1,0)</f>
        <v>-352.55893085151547</v>
      </c>
      <c r="H11" s="114">
        <f>C11-G11</f>
        <v>272.55893085151547</v>
      </c>
      <c r="I11" s="115">
        <f t="shared" ref="I11:I29" si="0">+IF(IFERROR(C11/G11-1,"-")&lt;300%,IFERROR(C11/G11-1,"-"),"n.a.")</f>
        <v>-0.77308758054495863</v>
      </c>
      <c r="J11" s="85"/>
      <c r="K11" s="75" t="s">
        <v>2</v>
      </c>
      <c r="L11" s="113">
        <f>(GETPIVOTDATA("oct-26 ",TABLA!$B$3,"Nivel 4","2.- Variación de existencias")+GETPIVOTDATA("oct-26 ",TABLA!$B$3,"Nivel 4","4.- Aprovisionamientos"))/1000</f>
        <v>-302.10136</v>
      </c>
      <c r="M11" s="113">
        <f>VLOOKUP(K11,'P&amp;L Mensualitzada 2025'!$A$5:$N$25,$L$5+1,0)</f>
        <v>-361.07370999999995</v>
      </c>
      <c r="N11" s="114">
        <f>L11-M11</f>
        <v>58.972349999999949</v>
      </c>
      <c r="O11" s="115">
        <f>+IF(IFERROR(L11/M11-1,"-")&lt;300%,IFERROR(L11/M11-1,"-"),"n.a.")</f>
        <v>-0.16332496209707414</v>
      </c>
      <c r="P11" s="121">
        <f>VLOOKUP(K11,'Budget26 sin EI'!$B:$O,$L$5+1,0)</f>
        <v>-274.25543998595526</v>
      </c>
      <c r="Q11" s="114">
        <f>L11-P11</f>
        <v>-27.845920014044736</v>
      </c>
      <c r="R11" s="115">
        <f t="shared" ref="R11:R29" si="1">+IF(IFERROR(L11/P11-1,"-")&lt;300%,IFERROR(L11/P11-1,"-"),"n.a.")</f>
        <v>0.10153279007144111</v>
      </c>
      <c r="T11" s="75" t="s">
        <v>2</v>
      </c>
      <c r="U11" s="113">
        <f>(GETPIVOTDATA("nov-26 ",TABLA!$B$3,"Nivel 4","2.- Variación de existencias")+GETPIVOTDATA("nov-26 ",TABLA!$B$3,"Nivel 4","4.- Aprovisionamientos"))/1000</f>
        <v>-404.42328000000003</v>
      </c>
      <c r="V11" s="113">
        <f>VLOOKUP(T11,'P&amp;L Mensualitzada 2025'!$A$5:$N$25,$U$5+1,0)</f>
        <v>-275.74654000000027</v>
      </c>
      <c r="W11" s="114">
        <f>U11-V11</f>
        <v>-128.67673999999977</v>
      </c>
      <c r="X11" s="115">
        <f>+IF(IFERROR(U11/V11-1,"-")&lt;300%,IFERROR(U11/V11-1,"-"),"n.a.")</f>
        <v>0.46664861143860459</v>
      </c>
      <c r="Y11" s="121">
        <f>VLOOKUP(T11,'Budget26 sin EI'!$B:$O,$U$5+1,0)</f>
        <v>-353.82088736060172</v>
      </c>
      <c r="Z11" s="114">
        <f>U11-Y11</f>
        <v>-50.602392639398317</v>
      </c>
      <c r="AA11" s="115">
        <f t="shared" ref="AA11:AA29" si="2">+IF(IFERROR(U11/Y11-1,"-")&lt;300%,IFERROR(U11/Y11-1,"-"),"n.a.")</f>
        <v>0.14301697397481838</v>
      </c>
      <c r="AC11" s="75" t="s">
        <v>2</v>
      </c>
      <c r="AD11" s="113">
        <f>(GETPIVOTDATA("dic-26 ",TABLA!$B$3,"Nivel 4","2.- Variación de existencias")+GETPIVOTDATA("dic-26 ",TABLA!$B$3,"Nivel 4","4.- Aprovisionamientos"))/1000</f>
        <v>-449.14532999999994</v>
      </c>
      <c r="AE11" s="113">
        <f>VLOOKUP(AC11,'P&amp;L Mensualitzada 2025'!$A$5:$N$25,$AD$5+1,0)</f>
        <v>-116.42869999999995</v>
      </c>
      <c r="AF11" s="114">
        <f>AD11-AE11</f>
        <v>-332.71663000000001</v>
      </c>
      <c r="AG11" s="115">
        <f>+IF(IFERROR(AD11/AE11-1,"-")&lt;300%,IFERROR(AD11/AE11-1,"-"),"n.a.")</f>
        <v>2.8576856908992383</v>
      </c>
      <c r="AH11" s="121">
        <f>VLOOKUP(AC11,'Budget26 sin EI'!$B:$O,$AD$5+1,0)</f>
        <v>-226.64682322769076</v>
      </c>
      <c r="AI11" s="114">
        <f>AD11-AH11</f>
        <v>-222.49850677230918</v>
      </c>
      <c r="AJ11" s="115">
        <f t="shared" ref="AJ11:AJ29" si="3">+IF(IFERROR(AD11/AH11-1,"-")&lt;300%,IFERROR(AD11/AH11-1,"-"),"n.a.")</f>
        <v>0.981697001544936</v>
      </c>
      <c r="AL11" s="75" t="s">
        <v>2</v>
      </c>
      <c r="AM11" s="113">
        <f>(GETPIVOTDATA("Total 2026 ",TABLA!$B$3,"Nivel 4","2.- Variación de existencias")+GETPIVOTDATA("Total 2026 ",TABLA!$B$3,"Nivel 4","4.- Aprovisionamientos"))/1000</f>
        <v>-5233.5328499999996</v>
      </c>
      <c r="AN11" s="113">
        <f>VLOOKUP(AL11,'P&amp;L Mensualitzada 2025'!$A$5:$N$25,$AD$5+1,0)</f>
        <v>-116.42869999999995</v>
      </c>
      <c r="AO11" s="114">
        <f>AM11-AN11</f>
        <v>-5117.1041499999992</v>
      </c>
      <c r="AP11" s="115" t="str">
        <f>+IF(IFERROR(AM11/AN11-1,"-")&lt;300%,IFERROR(AM11/AN11-1,"-"),"n.a.")</f>
        <v>n.a.</v>
      </c>
      <c r="AQ11" s="121">
        <f>VLOOKUP(AL11,'Budget26 sin EI'!$B:$O,$AD$5+1,0)</f>
        <v>-226.64682322769076</v>
      </c>
      <c r="AR11" s="114">
        <f>AM11-AQ11</f>
        <v>-5006.8860267723085</v>
      </c>
      <c r="AS11" s="115" t="str">
        <f t="shared" ref="AS11:AS29" si="4">+IF(IFERROR(AM11/AQ11-1,"-")&lt;300%,IFERROR(AM11/AQ11-1,"-"),"n.a.")</f>
        <v>n.a.</v>
      </c>
    </row>
    <row r="12" spans="1:45" x14ac:dyDescent="0.35">
      <c r="B12" s="86" t="s">
        <v>3</v>
      </c>
      <c r="C12" s="116">
        <f>C10+C11</f>
        <v>403.08373999999998</v>
      </c>
      <c r="D12" s="25">
        <f>SUM(D10:D11)</f>
        <v>576.74488000000008</v>
      </c>
      <c r="E12" s="117">
        <f t="shared" ref="E12" si="5">C12-D12</f>
        <v>-173.6611400000001</v>
      </c>
      <c r="F12" s="118">
        <f t="shared" ref="F12:F29" si="6">+IF(IFERROR(C12/D12-1,"-")&lt;300%,IFERROR(C12/D12-1,"-"),"n.a.")</f>
        <v>-0.30110564657288341</v>
      </c>
      <c r="G12" s="117">
        <f>SUM(G10:G11)</f>
        <v>674.0095580894731</v>
      </c>
      <c r="H12" s="117">
        <f t="shared" ref="H12" si="7">C12-G12</f>
        <v>-270.92581808947313</v>
      </c>
      <c r="I12" s="118">
        <f t="shared" si="0"/>
        <v>-0.40196138888212685</v>
      </c>
      <c r="J12" s="108"/>
      <c r="K12" s="86" t="s">
        <v>3</v>
      </c>
      <c r="L12" s="116">
        <f>L10+L11</f>
        <v>609.95365000000004</v>
      </c>
      <c r="M12" s="25">
        <f>SUM(M10:M11)</f>
        <v>338.50974000000184</v>
      </c>
      <c r="N12" s="117">
        <f t="shared" ref="N12" si="8">L12-M12</f>
        <v>271.4439099999982</v>
      </c>
      <c r="O12" s="118">
        <f t="shared" ref="O12:O29" si="9">+IF(IFERROR(L12/M12-1,"-")&lt;300%,IFERROR(L12/M12-1,"-"),"n.a.")</f>
        <v>0.80187917192573765</v>
      </c>
      <c r="P12" s="117">
        <f>SUM(P10:P11)</f>
        <v>524.31174403129774</v>
      </c>
      <c r="Q12" s="117">
        <f t="shared" ref="Q12" si="10">L12-P12</f>
        <v>85.641905968702304</v>
      </c>
      <c r="R12" s="118">
        <f t="shared" si="1"/>
        <v>0.16334157482383249</v>
      </c>
      <c r="T12" s="86" t="s">
        <v>3</v>
      </c>
      <c r="U12" s="116">
        <f>U10+U11</f>
        <v>820.89850000000001</v>
      </c>
      <c r="V12" s="25">
        <f>SUM(V10:V11)</f>
        <v>473.95262000000031</v>
      </c>
      <c r="W12" s="117">
        <f t="shared" ref="W12" si="11">U12-V12</f>
        <v>346.9458799999997</v>
      </c>
      <c r="X12" s="118">
        <f t="shared" ref="X12:X29" si="12">+IF(IFERROR(U12/V12-1,"-")&lt;300%,IFERROR(U12/V12-1,"-"),"n.a.")</f>
        <v>0.73202650509664768</v>
      </c>
      <c r="Y12" s="117">
        <f>SUM(Y10:Y11)</f>
        <v>676.42212142168842</v>
      </c>
      <c r="Z12" s="117">
        <f t="shared" ref="Z12" si="13">U12-Y12</f>
        <v>144.4763785783116</v>
      </c>
      <c r="AA12" s="118">
        <f t="shared" si="2"/>
        <v>0.21358907995890863</v>
      </c>
      <c r="AC12" s="86" t="s">
        <v>3</v>
      </c>
      <c r="AD12" s="116">
        <f>AD10+AD11</f>
        <v>693.26205000000016</v>
      </c>
      <c r="AE12" s="25">
        <f>SUM(AE10:AE11)</f>
        <v>132.07731000000007</v>
      </c>
      <c r="AF12" s="117">
        <f t="shared" ref="AF12" si="14">AD12-AE12</f>
        <v>561.18474000000015</v>
      </c>
      <c r="AG12" s="118" t="str">
        <f t="shared" ref="AG12:AG29" si="15">+IF(IFERROR(AD12/AE12-1,"-")&lt;300%,IFERROR(AD12/AE12-1,"-"),"n.a.")</f>
        <v>n.a.</v>
      </c>
      <c r="AH12" s="117">
        <f>SUM(AH10:AH11)</f>
        <v>433.29782952995163</v>
      </c>
      <c r="AI12" s="117">
        <f t="shared" ref="AI12" si="16">AD12-AH12</f>
        <v>259.96422047004853</v>
      </c>
      <c r="AJ12" s="118">
        <f t="shared" si="3"/>
        <v>0.59996658822884452</v>
      </c>
      <c r="AL12" s="86" t="s">
        <v>3</v>
      </c>
      <c r="AM12" s="116">
        <f>AM10+AM11</f>
        <v>9946.4671500000022</v>
      </c>
      <c r="AN12" s="25">
        <f>SUM(AN10:AN11)</f>
        <v>132.07731000000007</v>
      </c>
      <c r="AO12" s="117">
        <f t="shared" ref="AO12" si="17">AM12-AN12</f>
        <v>9814.3898400000016</v>
      </c>
      <c r="AP12" s="118" t="str">
        <f t="shared" ref="AP12:AP29" si="18">+IF(IFERROR(AM12/AN12-1,"-")&lt;300%,IFERROR(AM12/AN12-1,"-"),"n.a.")</f>
        <v>n.a.</v>
      </c>
      <c r="AQ12" s="117">
        <f>SUM(AQ10:AQ11)</f>
        <v>433.29782952995163</v>
      </c>
      <c r="AR12" s="117">
        <f t="shared" ref="AR12" si="19">AM12-AQ12</f>
        <v>9513.1693204700514</v>
      </c>
      <c r="AS12" s="118" t="str">
        <f t="shared" si="4"/>
        <v>n.a.</v>
      </c>
    </row>
    <row r="13" spans="1:45" x14ac:dyDescent="0.35">
      <c r="B13" s="87" t="s">
        <v>4</v>
      </c>
      <c r="C13" s="119">
        <f>C12/C10</f>
        <v>0.83439724135612592</v>
      </c>
      <c r="D13" s="119">
        <f>D12/D10</f>
        <v>0.68487598362215729</v>
      </c>
      <c r="E13" s="88"/>
      <c r="F13" s="131"/>
      <c r="G13" s="119">
        <f>G12/G10</f>
        <v>0.65656560214972459</v>
      </c>
      <c r="H13" s="89"/>
      <c r="I13" s="131"/>
      <c r="J13" s="90"/>
      <c r="K13" s="87" t="s">
        <v>4</v>
      </c>
      <c r="L13" s="119">
        <f>L12/L10</f>
        <v>0.66876848798846023</v>
      </c>
      <c r="M13" s="119">
        <f>M12/M10</f>
        <v>0.48387328202232482</v>
      </c>
      <c r="N13" s="88"/>
      <c r="O13" s="131"/>
      <c r="P13" s="119">
        <f>P12/P10</f>
        <v>0.6565656021497247</v>
      </c>
      <c r="Q13" s="89"/>
      <c r="R13" s="131"/>
      <c r="T13" s="87" t="s">
        <v>4</v>
      </c>
      <c r="U13" s="119">
        <f>U12/U10</f>
        <v>0.66994524491354424</v>
      </c>
      <c r="V13" s="119">
        <f>V12/V10</f>
        <v>0.63219041088428052</v>
      </c>
      <c r="W13" s="88"/>
      <c r="X13" s="131"/>
      <c r="Y13" s="119">
        <f>Y12/Y10</f>
        <v>0.65656560214972459</v>
      </c>
      <c r="Z13" s="89"/>
      <c r="AA13" s="131"/>
      <c r="AC13" s="87" t="s">
        <v>4</v>
      </c>
      <c r="AD13" s="119">
        <f>AD12/AD10</f>
        <v>0.60684311230552457</v>
      </c>
      <c r="AE13" s="119">
        <f>AE12/AE10</f>
        <v>0.53148537534363882</v>
      </c>
      <c r="AF13" s="88"/>
      <c r="AG13" s="131"/>
      <c r="AH13" s="119">
        <f>AH12/AH10</f>
        <v>0.65656692227048863</v>
      </c>
      <c r="AI13" s="89"/>
      <c r="AJ13" s="131"/>
      <c r="AL13" s="87" t="s">
        <v>4</v>
      </c>
      <c r="AM13" s="119">
        <f>AM12/AM10</f>
        <v>0.65523499011857711</v>
      </c>
      <c r="AN13" s="119">
        <f>AN12/AN10</f>
        <v>0.53148537534363882</v>
      </c>
      <c r="AO13" s="88"/>
      <c r="AP13" s="131"/>
      <c r="AQ13" s="119">
        <f>AQ12/AQ10</f>
        <v>0.65656692227048863</v>
      </c>
      <c r="AR13" s="89"/>
      <c r="AS13" s="131"/>
    </row>
    <row r="14" spans="1:45" x14ac:dyDescent="0.35">
      <c r="B14" s="87"/>
      <c r="C14" s="91"/>
      <c r="D14" s="92"/>
      <c r="E14" s="93"/>
      <c r="F14" s="132"/>
      <c r="G14" s="94"/>
      <c r="H14" s="93"/>
      <c r="I14" s="132"/>
      <c r="J14" s="95"/>
      <c r="K14" s="87"/>
      <c r="L14" s="91"/>
      <c r="M14" s="92"/>
      <c r="N14" s="93"/>
      <c r="O14" s="132"/>
      <c r="P14" s="94"/>
      <c r="Q14" s="93"/>
      <c r="R14" s="132"/>
      <c r="T14" s="87"/>
      <c r="U14" s="91"/>
      <c r="V14" s="92"/>
      <c r="W14" s="93"/>
      <c r="X14" s="132"/>
      <c r="Y14" s="94"/>
      <c r="Z14" s="93"/>
      <c r="AA14" s="132"/>
      <c r="AC14" s="87"/>
      <c r="AD14" s="91"/>
      <c r="AE14" s="92"/>
      <c r="AF14" s="93"/>
      <c r="AG14" s="132"/>
      <c r="AH14" s="94"/>
      <c r="AI14" s="93"/>
      <c r="AJ14" s="132"/>
      <c r="AL14" s="87"/>
      <c r="AM14" s="91"/>
      <c r="AN14" s="92"/>
      <c r="AO14" s="93"/>
      <c r="AP14" s="132"/>
      <c r="AQ14" s="94"/>
      <c r="AR14" s="93"/>
      <c r="AS14" s="132"/>
    </row>
    <row r="15" spans="1:45" x14ac:dyDescent="0.35">
      <c r="B15" s="96" t="s">
        <v>5</v>
      </c>
      <c r="C15" s="3">
        <f>GETPIVOTDATA("sep-26 ",TABLA!$B$3,"Nivel 4","6.- Gastos de personal")/1000</f>
        <v>-152.63279</v>
      </c>
      <c r="D15" s="3">
        <f>VLOOKUP(B15,'P&amp;L Mensualitzada 2025'!$A$5:$N$25,$C$5+1,0)</f>
        <v>-133.72119999999998</v>
      </c>
      <c r="E15" s="122">
        <f t="shared" ref="E15" si="20">C15-D15</f>
        <v>-18.911590000000018</v>
      </c>
      <c r="F15" s="123">
        <f t="shared" si="6"/>
        <v>0.14142551816765048</v>
      </c>
      <c r="G15" s="124">
        <f>VLOOKUP(B15,'Budget26 sin EI'!$B:$O,$C$5+1,0)</f>
        <v>-174.23000000000002</v>
      </c>
      <c r="H15" s="122">
        <f t="shared" ref="H15" si="21">C15-G15</f>
        <v>21.597210000000018</v>
      </c>
      <c r="I15" s="123">
        <f t="shared" si="0"/>
        <v>-0.12395804396487409</v>
      </c>
      <c r="J15" s="108"/>
      <c r="K15" s="96" t="s">
        <v>5</v>
      </c>
      <c r="L15" s="3">
        <f>GETPIVOTDATA("oct-26 ",TABLA!$B$3,"Nivel 4","6.- Gastos de personal")/1000</f>
        <v>-152.63279</v>
      </c>
      <c r="M15" s="3">
        <f>VLOOKUP(K15,'P&amp;L Mensualitzada 2025'!$A$5:$N$25,$L$5+1,0)</f>
        <v>-300.72410999999994</v>
      </c>
      <c r="N15" s="122">
        <f t="shared" ref="N15" si="22">L15-M15</f>
        <v>148.09131999999994</v>
      </c>
      <c r="O15" s="123">
        <f t="shared" ref="O15:O30" si="23">+IF(IFERROR(L15/M15-1,"-")&lt;300%,IFERROR(L15/M15-1,"-"),"n.a.")</f>
        <v>-0.49244910891913507</v>
      </c>
      <c r="P15" s="124">
        <f>VLOOKUP(K15,'Budget26 sin EI'!$B:$O,$L$5+1,0)</f>
        <v>-174.23000000000002</v>
      </c>
      <c r="Q15" s="122">
        <f t="shared" ref="Q15" si="24">L15-P15</f>
        <v>21.597210000000018</v>
      </c>
      <c r="R15" s="123">
        <f t="shared" ref="R15:R30" si="25">+IF(IFERROR(L15/P15-1,"-")&lt;300%,IFERROR(L15/P15-1,"-"),"n.a.")</f>
        <v>-0.12395804396487409</v>
      </c>
      <c r="T15" s="96" t="s">
        <v>5</v>
      </c>
      <c r="U15" s="3">
        <f>GETPIVOTDATA("nov-26 ",TABLA!$B$3,"Nivel 4","6.- Gastos de personal")/1000</f>
        <v>-152.63279</v>
      </c>
      <c r="V15" s="3">
        <f>VLOOKUP(T15,'P&amp;L Mensualitzada 2025'!$A$5:$N$25,$U$5+1,0)</f>
        <v>-153.08434999999992</v>
      </c>
      <c r="W15" s="122">
        <f t="shared" ref="W15" si="26">U15-V15</f>
        <v>0.45155999999991536</v>
      </c>
      <c r="X15" s="123">
        <f t="shared" ref="X15:X30" si="27">+IF(IFERROR(U15/V15-1,"-")&lt;300%,IFERROR(U15/V15-1,"-"),"n.a.")</f>
        <v>-2.9497463326585427E-3</v>
      </c>
      <c r="Y15" s="124">
        <f>VLOOKUP(T15,'Budget26 sin EI'!$B:$O,$U$5+1,0)</f>
        <v>-174.23000000000002</v>
      </c>
      <c r="Z15" s="122">
        <f t="shared" ref="Z15" si="28">U15-Y15</f>
        <v>21.597210000000018</v>
      </c>
      <c r="AA15" s="123">
        <f t="shared" ref="AA15:AA30" si="29">+IF(IFERROR(U15/Y15-1,"-")&lt;300%,IFERROR(U15/Y15-1,"-"),"n.a.")</f>
        <v>-0.12395804396487409</v>
      </c>
      <c r="AC15" s="96" t="s">
        <v>5</v>
      </c>
      <c r="AD15" s="3">
        <f>GETPIVOTDATA("dic-26 ",TABLA!$B$3,"Nivel 4","6.- Gastos de personal")/1000</f>
        <v>-431.63279</v>
      </c>
      <c r="AE15" s="3">
        <f>VLOOKUP(AC15,'P&amp;L Mensualitzada 2025'!$A$5:$N$25,$AD$5+1,0)</f>
        <v>-172.01862</v>
      </c>
      <c r="AF15" s="122">
        <f t="shared" ref="AF15" si="30">AD15-AE15</f>
        <v>-259.61417</v>
      </c>
      <c r="AG15" s="123">
        <f t="shared" ref="AG15:AG30" si="31">+IF(IFERROR(AD15/AE15-1,"-")&lt;300%,IFERROR(AD15/AE15-1,"-"),"n.a.")</f>
        <v>1.5092213273191009</v>
      </c>
      <c r="AH15" s="124">
        <f>VLOOKUP(AC15,'Budget26 sin EI'!$B:$O,$AD$5+1,0)</f>
        <v>-306.97666666666669</v>
      </c>
      <c r="AI15" s="122">
        <f t="shared" ref="AI15" si="32">AD15-AH15</f>
        <v>-124.65612333333331</v>
      </c>
      <c r="AJ15" s="123">
        <f t="shared" ref="AJ15:AJ30" si="33">+IF(IFERROR(AD15/AH15-1,"-")&lt;300%,IFERROR(AD15/AH15-1,"-"),"n.a.")</f>
        <v>0.4060768679487039</v>
      </c>
      <c r="AL15" s="96" t="s">
        <v>5</v>
      </c>
      <c r="AM15" s="3">
        <f>GETPIVOTDATA("Total 2026 ",TABLA!$B$3,"Nivel 4","6.- Gastos de personal")/1000</f>
        <v>-2006.5025899999998</v>
      </c>
      <c r="AN15" s="3">
        <f>VLOOKUP(AL15,'P&amp;L Mensualitzada 2025'!$A$5:$N$25,$AD$5+1,0)</f>
        <v>-172.01862</v>
      </c>
      <c r="AO15" s="122">
        <f t="shared" ref="AO15" si="34">AM15-AN15</f>
        <v>-1834.4839699999998</v>
      </c>
      <c r="AP15" s="123" t="str">
        <f t="shared" ref="AP15:AP30" si="35">+IF(IFERROR(AM15/AN15-1,"-")&lt;300%,IFERROR(AM15/AN15-1,"-"),"n.a.")</f>
        <v>n.a.</v>
      </c>
      <c r="AQ15" s="124">
        <f>VLOOKUP(AL15,'Budget26 sin EI'!$B:$O,$AD$5+1,0)</f>
        <v>-306.97666666666669</v>
      </c>
      <c r="AR15" s="122">
        <f t="shared" ref="AR15" si="36">AM15-AQ15</f>
        <v>-1699.5259233333331</v>
      </c>
      <c r="AS15" s="123" t="str">
        <f t="shared" ref="AS15:AS30" si="37">+IF(IFERROR(AM15/AQ15-1,"-")&lt;300%,IFERROR(AM15/AQ15-1,"-"),"n.a.")</f>
        <v>n.a.</v>
      </c>
    </row>
    <row r="16" spans="1:45" x14ac:dyDescent="0.35">
      <c r="B16" s="97" t="s">
        <v>6</v>
      </c>
      <c r="C16" s="102">
        <f>C15/C10</f>
        <v>-0.3159551385438889</v>
      </c>
      <c r="D16" s="102">
        <f>D15/D10</f>
        <v>-0.15879194000150498</v>
      </c>
      <c r="E16" s="98"/>
      <c r="F16" s="115"/>
      <c r="G16" s="102">
        <f>G15/G10</f>
        <v>-0.16972077545428679</v>
      </c>
      <c r="H16" s="98"/>
      <c r="I16" s="115"/>
      <c r="J16" s="85"/>
      <c r="K16" s="97" t="s">
        <v>6</v>
      </c>
      <c r="L16" s="102">
        <f>L15/L10</f>
        <v>-0.16735042111111259</v>
      </c>
      <c r="M16" s="102">
        <f>M15/M10</f>
        <v>-0.42986166982652202</v>
      </c>
      <c r="N16" s="98"/>
      <c r="O16" s="115"/>
      <c r="P16" s="102">
        <f>P15/P10</f>
        <v>-0.21817826162543111</v>
      </c>
      <c r="Q16" s="98"/>
      <c r="R16" s="115"/>
      <c r="T16" s="97" t="s">
        <v>6</v>
      </c>
      <c r="U16" s="102">
        <f>U15/U10</f>
        <v>-0.12456547536435694</v>
      </c>
      <c r="V16" s="102">
        <f>V15/V10</f>
        <v>-0.20419437311360972</v>
      </c>
      <c r="W16" s="98"/>
      <c r="X16" s="115"/>
      <c r="Y16" s="102">
        <f>Y15/Y10</f>
        <v>-0.16911544025514286</v>
      </c>
      <c r="Z16" s="98"/>
      <c r="AA16" s="115"/>
      <c r="AC16" s="97" t="s">
        <v>6</v>
      </c>
      <c r="AD16" s="102">
        <f>AD15/AD10</f>
        <v>-0.3778273823826313</v>
      </c>
      <c r="AE16" s="102">
        <f>AE15/AE10</f>
        <v>-0.69221110588029644</v>
      </c>
      <c r="AF16" s="98"/>
      <c r="AG16" s="115"/>
      <c r="AH16" s="102">
        <f>AH15/AH10</f>
        <v>-0.46515516927659778</v>
      </c>
      <c r="AI16" s="98"/>
      <c r="AJ16" s="115"/>
      <c r="AL16" s="97" t="s">
        <v>6</v>
      </c>
      <c r="AM16" s="102">
        <f>AM15/AM10</f>
        <v>-0.13218067127799735</v>
      </c>
      <c r="AN16" s="102">
        <f>AN15/AN10</f>
        <v>-0.69221110588029644</v>
      </c>
      <c r="AO16" s="98"/>
      <c r="AP16" s="115"/>
      <c r="AQ16" s="102">
        <f>AQ15/AQ10</f>
        <v>-0.46515516927659778</v>
      </c>
      <c r="AR16" s="98"/>
      <c r="AS16" s="115"/>
    </row>
    <row r="17" spans="2:45" x14ac:dyDescent="0.35">
      <c r="B17" s="97"/>
      <c r="C17" s="99"/>
      <c r="D17" s="99"/>
      <c r="E17" s="84"/>
      <c r="F17" s="115"/>
      <c r="G17" s="84"/>
      <c r="H17" s="84"/>
      <c r="I17" s="115"/>
      <c r="J17" s="85"/>
      <c r="K17" s="97"/>
      <c r="L17" s="99"/>
      <c r="M17" s="99"/>
      <c r="N17" s="84"/>
      <c r="O17" s="115"/>
      <c r="P17" s="84"/>
      <c r="Q17" s="84"/>
      <c r="R17" s="115"/>
      <c r="T17" s="97"/>
      <c r="U17" s="99"/>
      <c r="V17" s="99"/>
      <c r="W17" s="84"/>
      <c r="X17" s="115"/>
      <c r="Y17" s="84"/>
      <c r="Z17" s="84"/>
      <c r="AA17" s="115"/>
      <c r="AC17" s="97"/>
      <c r="AD17" s="99"/>
      <c r="AE17" s="99"/>
      <c r="AF17" s="84"/>
      <c r="AG17" s="115"/>
      <c r="AH17" s="84"/>
      <c r="AI17" s="84"/>
      <c r="AJ17" s="115"/>
      <c r="AL17" s="97"/>
      <c r="AM17" s="99"/>
      <c r="AN17" s="99"/>
      <c r="AO17" s="84"/>
      <c r="AP17" s="115"/>
      <c r="AQ17" s="84"/>
      <c r="AR17" s="84"/>
      <c r="AS17" s="115"/>
    </row>
    <row r="18" spans="2:45" x14ac:dyDescent="0.35">
      <c r="B18" s="75" t="s">
        <v>7</v>
      </c>
      <c r="C18" s="23">
        <f>GETPIVOTDATA("sep-26 ",TABLA!$B$3,"Nivel 4","5.- Otros ingresos de explotación")/1000</f>
        <v>5.2862</v>
      </c>
      <c r="D18" s="3">
        <f>VLOOKUP(B18,'P&amp;L Mensualitzada 2025'!$A$5:$N$25,$C$5+1,0)</f>
        <v>0</v>
      </c>
      <c r="E18" s="122">
        <f t="shared" ref="E18:E20" si="38">C18-D18</f>
        <v>5.2862</v>
      </c>
      <c r="F18" s="115" t="str">
        <f t="shared" si="6"/>
        <v>n.a.</v>
      </c>
      <c r="G18" s="121">
        <f>VLOOKUP(B18,'Budget26 sin EI'!$B:$O,$C$5+1,0)</f>
        <v>0</v>
      </c>
      <c r="H18" s="114">
        <f t="shared" ref="H18:H20" si="39">C18-G18</f>
        <v>5.2862</v>
      </c>
      <c r="I18" s="115" t="str">
        <f t="shared" si="0"/>
        <v>n.a.</v>
      </c>
      <c r="J18" s="85"/>
      <c r="K18" s="75" t="s">
        <v>7</v>
      </c>
      <c r="L18" s="23">
        <f>GETPIVOTDATA("oct-26 ",TABLA!$B$3,"Nivel 4","5.- Otros ingresos de explotación")/1000</f>
        <v>10.013669999999999</v>
      </c>
      <c r="M18" s="3">
        <f>VLOOKUP(K18,'P&amp;L Mensualitzada 2025'!$A$5:$N$25,$L$5+1,0)</f>
        <v>1.8009600000000001</v>
      </c>
      <c r="N18" s="122">
        <f t="shared" ref="N18:N20" si="40">L18-M18</f>
        <v>8.2127099999999995</v>
      </c>
      <c r="O18" s="115" t="str">
        <f t="shared" ref="O18:O30" si="41">+IF(IFERROR(L18/M18-1,"-")&lt;300%,IFERROR(L18/M18-1,"-"),"n.a.")</f>
        <v>n.a.</v>
      </c>
      <c r="P18" s="121">
        <f>VLOOKUP(K18,'Budget26 sin EI'!$B:$O,$L$5+1,0)</f>
        <v>0</v>
      </c>
      <c r="Q18" s="114">
        <f t="shared" ref="Q18:Q20" si="42">L18-P18</f>
        <v>10.013669999999999</v>
      </c>
      <c r="R18" s="115" t="str">
        <f t="shared" ref="R18:R30" si="43">+IF(IFERROR(L18/P18-1,"-")&lt;300%,IFERROR(L18/P18-1,"-"),"n.a.")</f>
        <v>n.a.</v>
      </c>
      <c r="T18" s="75" t="s">
        <v>7</v>
      </c>
      <c r="U18" s="23">
        <f>GETPIVOTDATA("nov-26 ",TABLA!$B$3,"Nivel 4","5.- Otros ingresos de explotación")/1000</f>
        <v>13.461829999999999</v>
      </c>
      <c r="V18" s="3">
        <f>VLOOKUP(T18,'P&amp;L Mensualitzada 2025'!$A$5:$N$25,$U$5+1,0)</f>
        <v>0</v>
      </c>
      <c r="W18" s="122">
        <f t="shared" ref="W18:W20" si="44">U18-V18</f>
        <v>13.461829999999999</v>
      </c>
      <c r="X18" s="115" t="str">
        <f t="shared" ref="X18:X30" si="45">+IF(IFERROR(U18/V18-1,"-")&lt;300%,IFERROR(U18/V18-1,"-"),"n.a.")</f>
        <v>n.a.</v>
      </c>
      <c r="Y18" s="121">
        <f>VLOOKUP(T18,'Budget26 sin EI'!$B:$O,$U$5+1,0)</f>
        <v>0</v>
      </c>
      <c r="Z18" s="114">
        <f t="shared" ref="Z18:Z20" si="46">U18-Y18</f>
        <v>13.461829999999999</v>
      </c>
      <c r="AA18" s="115" t="str">
        <f t="shared" ref="AA18:AA30" si="47">+IF(IFERROR(U18/Y18-1,"-")&lt;300%,IFERROR(U18/Y18-1,"-"),"n.a.")</f>
        <v>n.a.</v>
      </c>
      <c r="AC18" s="75" t="s">
        <v>7</v>
      </c>
      <c r="AD18" s="23">
        <f>GETPIVOTDATA("dic-26 ",TABLA!$B$3,"Nivel 4","5.- Otros ingresos de explotación")/1000</f>
        <v>14.533940000000001</v>
      </c>
      <c r="AE18" s="3">
        <f>VLOOKUP(AC18,'P&amp;L Mensualitzada 2025'!$A$5:$N$25,$AD$5+1,0)</f>
        <v>47.204360000000001</v>
      </c>
      <c r="AF18" s="122">
        <f t="shared" ref="AF18:AF20" si="48">AD18-AE18</f>
        <v>-32.67042</v>
      </c>
      <c r="AG18" s="115">
        <f t="shared" ref="AG18:AG30" si="49">+IF(IFERROR(AD18/AE18-1,"-")&lt;300%,IFERROR(AD18/AE18-1,"-"),"n.a.")</f>
        <v>-0.69210598343034413</v>
      </c>
      <c r="AH18" s="121">
        <f>VLOOKUP(AC18,'Budget26 sin EI'!$B:$O,$AD$5+1,0)</f>
        <v>0</v>
      </c>
      <c r="AI18" s="114">
        <f t="shared" ref="AI18:AI20" si="50">AD18-AH18</f>
        <v>14.533940000000001</v>
      </c>
      <c r="AJ18" s="115" t="str">
        <f t="shared" ref="AJ18:AJ30" si="51">+IF(IFERROR(AD18/AH18-1,"-")&lt;300%,IFERROR(AD18/AH18-1,"-"),"n.a.")</f>
        <v>n.a.</v>
      </c>
      <c r="AL18" s="75" t="s">
        <v>7</v>
      </c>
      <c r="AM18" s="23">
        <f>GETPIVOTDATA("Total 2026 ",TABLA!$B$3,"Nivel 4","5.- Otros ingresos de explotación")/1000</f>
        <v>114.62098</v>
      </c>
      <c r="AN18" s="3">
        <f>VLOOKUP(AL18,'P&amp;L Mensualitzada 2025'!$A$5:$N$25,$AD$5+1,0)</f>
        <v>47.204360000000001</v>
      </c>
      <c r="AO18" s="122">
        <f t="shared" ref="AO18:AO20" si="52">AM18-AN18</f>
        <v>67.416619999999995</v>
      </c>
      <c r="AP18" s="115">
        <f t="shared" ref="AP18:AP30" si="53">+IF(IFERROR(AM18/AN18-1,"-")&lt;300%,IFERROR(AM18/AN18-1,"-"),"n.a.")</f>
        <v>1.4281862946558328</v>
      </c>
      <c r="AQ18" s="121">
        <f>VLOOKUP(AL18,'Budget26 sin EI'!$B:$O,$AD$5+1,0)</f>
        <v>0</v>
      </c>
      <c r="AR18" s="114">
        <f t="shared" ref="AR18:AR20" si="54">AM18-AQ18</f>
        <v>114.62098</v>
      </c>
      <c r="AS18" s="115" t="str">
        <f t="shared" ref="AS18:AS30" si="55">+IF(IFERROR(AM18/AQ18-1,"-")&lt;300%,IFERROR(AM18/AQ18-1,"-"),"n.a.")</f>
        <v>n.a.</v>
      </c>
    </row>
    <row r="19" spans="2:45" x14ac:dyDescent="0.35">
      <c r="B19" s="75" t="s">
        <v>8</v>
      </c>
      <c r="C19" s="3">
        <f>-100</f>
        <v>-100</v>
      </c>
      <c r="D19" s="3">
        <f>VLOOKUP(B19,'P&amp;L Mensualitzada 2025'!$A$5:$N$25,$C$5+1,0)</f>
        <v>-73.912790000000001</v>
      </c>
      <c r="E19" s="113">
        <f t="shared" si="38"/>
        <v>-26.087209999999999</v>
      </c>
      <c r="F19" s="115">
        <f t="shared" si="6"/>
        <v>0.35294581627888766</v>
      </c>
      <c r="G19" s="121">
        <f>VLOOKUP(B19,'Budget26 sin EI'!$B:$O,$C$5+1,0)</f>
        <v>-120.05332916333333</v>
      </c>
      <c r="H19" s="113">
        <f t="shared" si="39"/>
        <v>20.053329163333331</v>
      </c>
      <c r="I19" s="115">
        <f t="shared" si="0"/>
        <v>-0.1670368435684999</v>
      </c>
      <c r="J19" s="109"/>
      <c r="K19" s="75" t="s">
        <v>8</v>
      </c>
      <c r="L19" s="3">
        <f>GETPIVOTDATA("oct-26 ",TABLA!$B$3,"Nivel 4","7.- Otros gastos de explotación")/1000</f>
        <v>-141.64847</v>
      </c>
      <c r="M19" s="3">
        <f>VLOOKUP(K19,'P&amp;L Mensualitzada 2025'!$A$5:$N$25,$L$5+1,0)</f>
        <v>-122.16905</v>
      </c>
      <c r="N19" s="113">
        <f t="shared" si="40"/>
        <v>-19.479420000000005</v>
      </c>
      <c r="O19" s="115">
        <f t="shared" si="41"/>
        <v>0.15944643917587964</v>
      </c>
      <c r="P19" s="121">
        <f>VLOOKUP(K19,'Budget26 sin EI'!$B:$O,$L$5+1,0)</f>
        <v>-144.84268916333332</v>
      </c>
      <c r="Q19" s="113">
        <f t="shared" si="42"/>
        <v>3.1942191633333152</v>
      </c>
      <c r="R19" s="115">
        <f t="shared" si="43"/>
        <v>-2.2053023054075749E-2</v>
      </c>
      <c r="T19" s="75" t="s">
        <v>8</v>
      </c>
      <c r="U19" s="3">
        <f>GETPIVOTDATA("nov-26 ",TABLA!$B$3,"Nivel 4","7.- Otros gastos de explotación")/1000</f>
        <v>-149.83611999999999</v>
      </c>
      <c r="V19" s="3">
        <f>VLOOKUP(T19,'P&amp;L Mensualitzada 2025'!$A$5:$N$25,$U$5+1,0)</f>
        <v>-68.327619999999996</v>
      </c>
      <c r="W19" s="113">
        <f t="shared" si="44"/>
        <v>-81.508499999999998</v>
      </c>
      <c r="X19" s="115">
        <f t="shared" si="45"/>
        <v>1.1929070557411485</v>
      </c>
      <c r="Y19" s="121">
        <f>VLOOKUP(T19,'Budget26 sin EI'!$B:$O,$U$5+1,0)</f>
        <v>-148.9926891633333</v>
      </c>
      <c r="Z19" s="113">
        <f t="shared" si="46"/>
        <v>-0.84343083666669827</v>
      </c>
      <c r="AA19" s="115">
        <f t="shared" si="47"/>
        <v>5.6608873992607389E-3</v>
      </c>
      <c r="AC19" s="75" t="s">
        <v>8</v>
      </c>
      <c r="AD19" s="3">
        <f>GETPIVOTDATA("dic-26 ",TABLA!$B$3,"Nivel 4","7.- Otros gastos de explotación")/1000</f>
        <v>-291.51097000000027</v>
      </c>
      <c r="AE19" s="3">
        <f>VLOOKUP(AC19,'P&amp;L Mensualitzada 2025'!$A$5:$N$25,$AD$5+1,0)</f>
        <v>-239.07332000000005</v>
      </c>
      <c r="AF19" s="113">
        <f t="shared" si="48"/>
        <v>-52.437650000000218</v>
      </c>
      <c r="AG19" s="115">
        <f t="shared" si="49"/>
        <v>0.21933710545367502</v>
      </c>
      <c r="AH19" s="121">
        <f>VLOOKUP(AC19,'Budget26 sin EI'!$B:$O,$AD$5+1,0)</f>
        <v>-180.34268916333332</v>
      </c>
      <c r="AI19" s="113">
        <f t="shared" si="50"/>
        <v>-111.16828083666695</v>
      </c>
      <c r="AJ19" s="115">
        <f t="shared" si="51"/>
        <v>0.61642798691985634</v>
      </c>
      <c r="AL19" s="75" t="s">
        <v>8</v>
      </c>
      <c r="AM19" s="3">
        <f>GETPIVOTDATA("Total 2026 ",TABLA!$B$3,"Nivel 4","7.- Otros gastos de explotación")/1000</f>
        <v>-1678.4074352502942</v>
      </c>
      <c r="AN19" s="3">
        <f>VLOOKUP(AL19,'P&amp;L Mensualitzada 2025'!$A$5:$N$25,$AD$5+1,0)</f>
        <v>-239.07332000000005</v>
      </c>
      <c r="AO19" s="113">
        <f t="shared" si="52"/>
        <v>-1439.3341152502942</v>
      </c>
      <c r="AP19" s="115" t="str">
        <f t="shared" si="53"/>
        <v>n.a.</v>
      </c>
      <c r="AQ19" s="121">
        <f>VLOOKUP(AL19,'Budget26 sin EI'!$B:$O,$AD$5+1,0)</f>
        <v>-180.34268916333332</v>
      </c>
      <c r="AR19" s="113">
        <f t="shared" si="54"/>
        <v>-1498.0647460869609</v>
      </c>
      <c r="AS19" s="115" t="str">
        <f t="shared" si="55"/>
        <v>n.a.</v>
      </c>
    </row>
    <row r="20" spans="2:45" x14ac:dyDescent="0.35">
      <c r="B20" s="100" t="s">
        <v>9</v>
      </c>
      <c r="C20" s="7">
        <f>SUM(C18:C19)</f>
        <v>-94.713800000000006</v>
      </c>
      <c r="D20" s="7">
        <f>SUM(D18:D19)</f>
        <v>-73.912790000000001</v>
      </c>
      <c r="E20" s="7">
        <f t="shared" si="38"/>
        <v>-20.801010000000005</v>
      </c>
      <c r="F20" s="125">
        <f t="shared" si="6"/>
        <v>0.28142639453875318</v>
      </c>
      <c r="G20" s="7">
        <f>SUM(G18:G19)</f>
        <v>-120.05332916333333</v>
      </c>
      <c r="H20" s="7">
        <f t="shared" si="39"/>
        <v>25.339529163333324</v>
      </c>
      <c r="I20" s="125">
        <f t="shared" si="0"/>
        <v>-0.21106894194378178</v>
      </c>
      <c r="J20" s="107"/>
      <c r="K20" s="100" t="s">
        <v>9</v>
      </c>
      <c r="L20" s="7">
        <f>SUM(L18:L19)</f>
        <v>-131.63480000000001</v>
      </c>
      <c r="M20" s="7">
        <f>SUM(M18:M19)</f>
        <v>-120.36809</v>
      </c>
      <c r="N20" s="7">
        <f t="shared" si="40"/>
        <v>-11.266710000000018</v>
      </c>
      <c r="O20" s="125">
        <f t="shared" si="41"/>
        <v>9.3602133256413866E-2</v>
      </c>
      <c r="P20" s="7">
        <f>SUM(P18:P19)</f>
        <v>-144.84268916333332</v>
      </c>
      <c r="Q20" s="7">
        <f t="shared" si="42"/>
        <v>13.207889163333306</v>
      </c>
      <c r="R20" s="125">
        <f t="shared" si="43"/>
        <v>-9.1187820659966445E-2</v>
      </c>
      <c r="T20" s="100" t="s">
        <v>9</v>
      </c>
      <c r="U20" s="7">
        <f>SUM(U18:U19)</f>
        <v>-136.37429</v>
      </c>
      <c r="V20" s="7">
        <f>SUM(V18:V19)</f>
        <v>-68.327619999999996</v>
      </c>
      <c r="W20" s="7">
        <f t="shared" si="44"/>
        <v>-68.046670000000006</v>
      </c>
      <c r="X20" s="125">
        <f t="shared" si="45"/>
        <v>0.99588819279816865</v>
      </c>
      <c r="Y20" s="7">
        <f>SUM(Y18:Y19)</f>
        <v>-148.9926891633333</v>
      </c>
      <c r="Z20" s="7">
        <f t="shared" si="46"/>
        <v>12.618399163333294</v>
      </c>
      <c r="AA20" s="125">
        <f t="shared" si="47"/>
        <v>-8.4691398176593546E-2</v>
      </c>
      <c r="AC20" s="100" t="s">
        <v>9</v>
      </c>
      <c r="AD20" s="7">
        <f>SUM(AD18:AD19)</f>
        <v>-276.97703000000024</v>
      </c>
      <c r="AE20" s="7">
        <f>SUM(AE18:AE19)</f>
        <v>-191.86896000000004</v>
      </c>
      <c r="AF20" s="7">
        <f t="shared" si="48"/>
        <v>-85.108070000000197</v>
      </c>
      <c r="AG20" s="125">
        <f t="shared" si="49"/>
        <v>0.44357393712875792</v>
      </c>
      <c r="AH20" s="7">
        <f>SUM(AH18:AH19)</f>
        <v>-180.34268916333332</v>
      </c>
      <c r="AI20" s="7">
        <f t="shared" si="50"/>
        <v>-96.634340836666922</v>
      </c>
      <c r="AJ20" s="125">
        <f t="shared" si="51"/>
        <v>0.535837306657587</v>
      </c>
      <c r="AL20" s="100" t="s">
        <v>9</v>
      </c>
      <c r="AM20" s="7">
        <f>SUM(AM18:AM19)</f>
        <v>-1563.7864552502942</v>
      </c>
      <c r="AN20" s="7">
        <f>SUM(AN18:AN19)</f>
        <v>-191.86896000000004</v>
      </c>
      <c r="AO20" s="7">
        <f t="shared" si="52"/>
        <v>-1371.9174952502942</v>
      </c>
      <c r="AP20" s="125" t="str">
        <f t="shared" si="53"/>
        <v>n.a.</v>
      </c>
      <c r="AQ20" s="7">
        <f>SUM(AQ18:AQ19)</f>
        <v>-180.34268916333332</v>
      </c>
      <c r="AR20" s="7">
        <f t="shared" si="54"/>
        <v>-1383.443766086961</v>
      </c>
      <c r="AS20" s="125" t="str">
        <f t="shared" si="55"/>
        <v>n.a.</v>
      </c>
    </row>
    <row r="21" spans="2:45" x14ac:dyDescent="0.35">
      <c r="B21" s="75" t="s">
        <v>6</v>
      </c>
      <c r="C21" s="102">
        <f>C20/C10</f>
        <v>-0.19606083202055199</v>
      </c>
      <c r="D21" s="102">
        <f>D20/D10</f>
        <v>-8.7770340940881778E-2</v>
      </c>
      <c r="E21" s="84"/>
      <c r="F21" s="115"/>
      <c r="G21" s="102">
        <f>G20/G10</f>
        <v>-0.11694624416845362</v>
      </c>
      <c r="H21" s="84"/>
      <c r="I21" s="115"/>
      <c r="J21" s="85"/>
      <c r="K21" s="75" t="s">
        <v>6</v>
      </c>
      <c r="L21" s="102">
        <f>L20/L10</f>
        <v>-0.14432769795321887</v>
      </c>
      <c r="M21" s="102">
        <f>M20/M10</f>
        <v>-0.17205680037170645</v>
      </c>
      <c r="N21" s="84"/>
      <c r="O21" s="115"/>
      <c r="P21" s="102">
        <f>P20/P10</f>
        <v>-0.18137821345812277</v>
      </c>
      <c r="Q21" s="84"/>
      <c r="R21" s="115"/>
      <c r="T21" s="75" t="s">
        <v>6</v>
      </c>
      <c r="U21" s="102">
        <f>U20/U10</f>
        <v>-0.11129671587164638</v>
      </c>
      <c r="V21" s="102">
        <f>V20/V10</f>
        <v>-9.1140051430763161E-2</v>
      </c>
      <c r="W21" s="84"/>
      <c r="X21" s="115"/>
      <c r="Y21" s="102">
        <f>Y20/Y10</f>
        <v>-0.14461897619614739</v>
      </c>
      <c r="Z21" s="84"/>
      <c r="AA21" s="115"/>
      <c r="AC21" s="75" t="s">
        <v>6</v>
      </c>
      <c r="AD21" s="102">
        <f>AD20/AD10</f>
        <v>-0.24245031575338757</v>
      </c>
      <c r="AE21" s="102">
        <f>AE20/AE10</f>
        <v>-0.77208981786798658</v>
      </c>
      <c r="AF21" s="84"/>
      <c r="AG21" s="115"/>
      <c r="AH21" s="102">
        <f>AH20/AH10</f>
        <v>-0.27326941495738166</v>
      </c>
      <c r="AI21" s="84"/>
      <c r="AJ21" s="115"/>
      <c r="AL21" s="75" t="s">
        <v>6</v>
      </c>
      <c r="AM21" s="102">
        <f>AM20/AM10</f>
        <v>-0.10301623552373479</v>
      </c>
      <c r="AN21" s="102">
        <f>AN20/AN10</f>
        <v>-0.77208981786798658</v>
      </c>
      <c r="AO21" s="84"/>
      <c r="AP21" s="115"/>
      <c r="AQ21" s="102">
        <f>AQ20/AQ10</f>
        <v>-0.27326941495738166</v>
      </c>
      <c r="AR21" s="84"/>
      <c r="AS21" s="115"/>
    </row>
    <row r="22" spans="2:45" x14ac:dyDescent="0.35">
      <c r="B22" s="101" t="s">
        <v>10</v>
      </c>
      <c r="C22" s="24">
        <f>C20+C15</f>
        <v>-247.34658999999999</v>
      </c>
      <c r="D22" s="24">
        <f>D20+D15</f>
        <v>-207.63398999999998</v>
      </c>
      <c r="E22" s="126">
        <f t="shared" ref="E22" si="56">C22-D22</f>
        <v>-39.712600000000009</v>
      </c>
      <c r="F22" s="133">
        <f>+IF(IFERROR(C22/D22-1,"-")&lt;300%,IFERROR(C22/D22-1,"-"),"n.a.")</f>
        <v>0.19126251920506854</v>
      </c>
      <c r="G22" s="24">
        <f>G20+G15</f>
        <v>-294.28332916333335</v>
      </c>
      <c r="H22" s="24">
        <f t="shared" ref="H22" si="57">C22-G22</f>
        <v>46.936739163333357</v>
      </c>
      <c r="I22" s="133">
        <f t="shared" si="0"/>
        <v>-0.15949506652917633</v>
      </c>
      <c r="J22" s="110"/>
      <c r="K22" s="101" t="s">
        <v>10</v>
      </c>
      <c r="L22" s="24">
        <f>L20+L15</f>
        <v>-284.26759000000004</v>
      </c>
      <c r="M22" s="24">
        <f>M20+M15</f>
        <v>-421.09219999999993</v>
      </c>
      <c r="N22" s="126">
        <f t="shared" ref="N22" si="58">L22-M22</f>
        <v>136.82460999999989</v>
      </c>
      <c r="O22" s="133">
        <f>+IF(IFERROR(L22/M22-1,"-")&lt;300%,IFERROR(L22/M22-1,"-"),"n.a.")</f>
        <v>-0.32492791364931461</v>
      </c>
      <c r="P22" s="24">
        <f>P20+P15</f>
        <v>-319.07268916333334</v>
      </c>
      <c r="Q22" s="24">
        <f t="shared" ref="Q22" si="59">L22-P22</f>
        <v>34.805099163333296</v>
      </c>
      <c r="R22" s="133">
        <f t="shared" ref="R22:R30" si="60">+IF(IFERROR(L22/P22-1,"-")&lt;300%,IFERROR(L22/P22-1,"-"),"n.a.")</f>
        <v>-0.10908203787230619</v>
      </c>
      <c r="T22" s="101" t="s">
        <v>10</v>
      </c>
      <c r="U22" s="24">
        <f>U20+U15</f>
        <v>-289.00707999999997</v>
      </c>
      <c r="V22" s="24">
        <f>V20+V15</f>
        <v>-221.41196999999991</v>
      </c>
      <c r="W22" s="126">
        <f t="shared" ref="W22" si="61">U22-V22</f>
        <v>-67.595110000000062</v>
      </c>
      <c r="X22" s="133">
        <f>+IF(IFERROR(U22/V22-1,"-")&lt;300%,IFERROR(U22/V22-1,"-"),"n.a.")</f>
        <v>0.30529112766577193</v>
      </c>
      <c r="Y22" s="24">
        <f>Y20+Y15</f>
        <v>-323.22268916333331</v>
      </c>
      <c r="Z22" s="24">
        <f t="shared" ref="Z22" si="62">U22-Y22</f>
        <v>34.21560916333334</v>
      </c>
      <c r="AA22" s="133">
        <f t="shared" ref="AA22:AA30" si="63">+IF(IFERROR(U22/Y22-1,"-")&lt;300%,IFERROR(U22/Y22-1,"-"),"n.a.")</f>
        <v>-0.1058576959801335</v>
      </c>
      <c r="AC22" s="101" t="s">
        <v>10</v>
      </c>
      <c r="AD22" s="24">
        <f>AD20+AD15</f>
        <v>-708.60982000000024</v>
      </c>
      <c r="AE22" s="24">
        <f>AE20+AE15</f>
        <v>-363.88758000000007</v>
      </c>
      <c r="AF22" s="126">
        <f t="shared" ref="AF22" si="64">AD22-AE22</f>
        <v>-344.72224000000017</v>
      </c>
      <c r="AG22" s="133">
        <f>+IF(IFERROR(AD22/AE22-1,"-")&lt;300%,IFERROR(AD22/AE22-1,"-"),"n.a.")</f>
        <v>0.94733170063127758</v>
      </c>
      <c r="AH22" s="24">
        <f>AH20+AH15</f>
        <v>-487.31935583000001</v>
      </c>
      <c r="AI22" s="24">
        <f t="shared" ref="AI22" si="65">AD22-AH22</f>
        <v>-221.29046417000023</v>
      </c>
      <c r="AJ22" s="133">
        <f t="shared" ref="AJ22:AJ30" si="66">+IF(IFERROR(AD22/AH22-1,"-")&lt;300%,IFERROR(AD22/AH22-1,"-"),"n.a.")</f>
        <v>0.4540974240456741</v>
      </c>
      <c r="AL22" s="101" t="s">
        <v>10</v>
      </c>
      <c r="AM22" s="24">
        <f>AM20+AM15</f>
        <v>-3570.2890452502943</v>
      </c>
      <c r="AN22" s="24">
        <f>AN20+AN15</f>
        <v>-363.88758000000007</v>
      </c>
      <c r="AO22" s="126">
        <f t="shared" ref="AO22" si="67">AM22-AN22</f>
        <v>-3206.4014652502942</v>
      </c>
      <c r="AP22" s="133" t="str">
        <f>+IF(IFERROR(AM22/AN22-1,"-")&lt;300%,IFERROR(AM22/AN22-1,"-"),"n.a.")</f>
        <v>n.a.</v>
      </c>
      <c r="AQ22" s="24">
        <f>AQ20+AQ15</f>
        <v>-487.31935583000001</v>
      </c>
      <c r="AR22" s="24">
        <f t="shared" ref="AR22" si="68">AM22-AQ22</f>
        <v>-3082.9696894202943</v>
      </c>
      <c r="AS22" s="133" t="str">
        <f t="shared" ref="AS22:AS30" si="69">+IF(IFERROR(AM22/AQ22-1,"-")&lt;300%,IFERROR(AM22/AQ22-1,"-"),"n.a.")</f>
        <v>n.a.</v>
      </c>
    </row>
    <row r="23" spans="2:45" x14ac:dyDescent="0.35">
      <c r="B23" s="75" t="s">
        <v>6</v>
      </c>
      <c r="C23" s="102">
        <f>C22/C10</f>
        <v>-0.51201597056444081</v>
      </c>
      <c r="D23" s="102">
        <f>D22/D10</f>
        <v>-0.24656228094238675</v>
      </c>
      <c r="E23" s="84"/>
      <c r="F23" s="115"/>
      <c r="G23" s="102">
        <f>G22/G10</f>
        <v>-0.28666701962274044</v>
      </c>
      <c r="H23" s="84"/>
      <c r="I23" s="115"/>
      <c r="J23" s="85"/>
      <c r="K23" s="75" t="s">
        <v>6</v>
      </c>
      <c r="L23" s="102">
        <f>L22/L10</f>
        <v>-0.31167811906433146</v>
      </c>
      <c r="M23" s="102">
        <f>M22/M10</f>
        <v>-0.60191847019822842</v>
      </c>
      <c r="N23" s="84"/>
      <c r="O23" s="115"/>
      <c r="P23" s="102">
        <f>P22/P10</f>
        <v>-0.39955647508355391</v>
      </c>
      <c r="Q23" s="84"/>
      <c r="R23" s="115"/>
      <c r="T23" s="75" t="s">
        <v>6</v>
      </c>
      <c r="U23" s="102">
        <f>U22/U10</f>
        <v>-0.2358621912360033</v>
      </c>
      <c r="V23" s="102">
        <f>V22/V10</f>
        <v>-0.29533442454437292</v>
      </c>
      <c r="W23" s="84"/>
      <c r="X23" s="115"/>
      <c r="Y23" s="102">
        <f>Y22/Y10</f>
        <v>-0.31373441645129024</v>
      </c>
      <c r="Z23" s="84"/>
      <c r="AA23" s="115"/>
      <c r="AC23" s="75" t="s">
        <v>6</v>
      </c>
      <c r="AD23" s="102">
        <f>AD22/AD10</f>
        <v>-0.62027769813601885</v>
      </c>
      <c r="AE23" s="102">
        <f>AE22/AE10</f>
        <v>-1.4643009237482831</v>
      </c>
      <c r="AF23" s="84"/>
      <c r="AG23" s="115"/>
      <c r="AH23" s="102">
        <f>AH22/AH10</f>
        <v>-0.73842458423397939</v>
      </c>
      <c r="AI23" s="84"/>
      <c r="AJ23" s="115"/>
      <c r="AL23" s="75" t="s">
        <v>6</v>
      </c>
      <c r="AM23" s="102">
        <f>AM22/AM10</f>
        <v>-0.23519690680173214</v>
      </c>
      <c r="AN23" s="102">
        <f>AN22/AN10</f>
        <v>-1.4643009237482831</v>
      </c>
      <c r="AO23" s="84"/>
      <c r="AP23" s="115"/>
      <c r="AQ23" s="102">
        <f>AQ22/AQ10</f>
        <v>-0.73842458423397939</v>
      </c>
      <c r="AR23" s="84"/>
      <c r="AS23" s="115"/>
    </row>
    <row r="24" spans="2:45" x14ac:dyDescent="0.35">
      <c r="B24" s="83" t="s">
        <v>11</v>
      </c>
      <c r="C24" s="112">
        <f>C12+C22</f>
        <v>155.73714999999999</v>
      </c>
      <c r="D24" s="112">
        <f>D12+D22</f>
        <v>369.1108900000001</v>
      </c>
      <c r="E24" s="112">
        <f t="shared" ref="E24" si="70">C24-D24</f>
        <v>-213.37374000000011</v>
      </c>
      <c r="F24" s="127">
        <f t="shared" si="6"/>
        <v>-0.57807489776310872</v>
      </c>
      <c r="G24" s="112">
        <f>G12+G22</f>
        <v>379.72622892613975</v>
      </c>
      <c r="H24" s="112">
        <f t="shared" ref="H24" si="71">C24-G24</f>
        <v>-223.98907892613977</v>
      </c>
      <c r="I24" s="127">
        <f t="shared" si="0"/>
        <v>-0.58986991643842357</v>
      </c>
      <c r="J24" s="108"/>
      <c r="K24" s="83" t="s">
        <v>11</v>
      </c>
      <c r="L24" s="112">
        <f>L12+L22</f>
        <v>325.68606</v>
      </c>
      <c r="M24" s="112">
        <f>M12+M22</f>
        <v>-82.582459999998093</v>
      </c>
      <c r="N24" s="112">
        <f t="shared" ref="N24" si="72">L24-M24</f>
        <v>408.26851999999809</v>
      </c>
      <c r="O24" s="127">
        <f t="shared" ref="O24:O30" si="73">+IF(IFERROR(L24/M24-1,"-")&lt;300%,IFERROR(L24/M24-1,"-"),"n.a.")</f>
        <v>-4.9437679623494812</v>
      </c>
      <c r="P24" s="112">
        <f>P12+P22</f>
        <v>205.2390548679644</v>
      </c>
      <c r="Q24" s="112">
        <f t="shared" ref="Q24" si="74">L24-P24</f>
        <v>120.4470051320356</v>
      </c>
      <c r="R24" s="127">
        <f t="shared" ref="R24:R30" si="75">+IF(IFERROR(L24/P24-1,"-")&lt;300%,IFERROR(L24/P24-1,"-"),"n.a.")</f>
        <v>0.58686201419862449</v>
      </c>
      <c r="T24" s="83" t="s">
        <v>11</v>
      </c>
      <c r="U24" s="112">
        <f>U12+U22</f>
        <v>531.89142000000004</v>
      </c>
      <c r="V24" s="112">
        <f>V12+V22</f>
        <v>252.5406500000004</v>
      </c>
      <c r="W24" s="112">
        <f t="shared" ref="W24" si="76">U24-V24</f>
        <v>279.35076999999967</v>
      </c>
      <c r="X24" s="127">
        <f t="shared" ref="X24:X30" si="77">+IF(IFERROR(U24/V24-1,"-")&lt;300%,IFERROR(U24/V24-1,"-"),"n.a.")</f>
        <v>1.1061616021024703</v>
      </c>
      <c r="Y24" s="112">
        <f>Y12+Y22</f>
        <v>353.1994322583551</v>
      </c>
      <c r="Z24" s="112">
        <f t="shared" ref="Z24" si="78">U24-Y24</f>
        <v>178.69198774164494</v>
      </c>
      <c r="AA24" s="127">
        <f t="shared" ref="AA24:AA30" si="79">+IF(IFERROR(U24/Y24-1,"-")&lt;300%,IFERROR(U24/Y24-1,"-"),"n.a.")</f>
        <v>0.50592376833419417</v>
      </c>
      <c r="AC24" s="83" t="s">
        <v>11</v>
      </c>
      <c r="AD24" s="112">
        <f>AD12+AD22</f>
        <v>-15.347770000000082</v>
      </c>
      <c r="AE24" s="112">
        <f>AE12+AE22</f>
        <v>-231.81027</v>
      </c>
      <c r="AF24" s="112">
        <f t="shared" ref="AF24" si="80">AD24-AE24</f>
        <v>216.46249999999992</v>
      </c>
      <c r="AG24" s="127">
        <f t="shared" ref="AG24:AG30" si="81">+IF(IFERROR(AD24/AE24-1,"-")&lt;300%,IFERROR(AD24/AE24-1,"-"),"n.a.")</f>
        <v>-0.93379167368210181</v>
      </c>
      <c r="AH24" s="112">
        <f>AH12+AH22</f>
        <v>-54.021526300048379</v>
      </c>
      <c r="AI24" s="112">
        <f t="shared" ref="AI24" si="82">AD24-AH24</f>
        <v>38.673756300048296</v>
      </c>
      <c r="AJ24" s="127">
        <f t="shared" ref="AJ24:AJ30" si="83">+IF(IFERROR(AD24/AH24-1,"-")&lt;300%,IFERROR(AD24/AH24-1,"-"),"n.a.")</f>
        <v>-0.71589529117050632</v>
      </c>
      <c r="AL24" s="83" t="s">
        <v>11</v>
      </c>
      <c r="AM24" s="112">
        <f>AM12+AM22</f>
        <v>6376.1781047497079</v>
      </c>
      <c r="AN24" s="112">
        <f>AN12+AN22</f>
        <v>-231.81027</v>
      </c>
      <c r="AO24" s="112">
        <f t="shared" ref="AO24" si="84">AM24-AN24</f>
        <v>6607.9883747497079</v>
      </c>
      <c r="AP24" s="127">
        <f t="shared" ref="AP24:AP30" si="85">+IF(IFERROR(AM24/AN24-1,"-")&lt;300%,IFERROR(AM24/AN24-1,"-"),"n.a.")</f>
        <v>-28.506020784798309</v>
      </c>
      <c r="AQ24" s="112">
        <f>AQ12+AQ22</f>
        <v>-54.021526300048379</v>
      </c>
      <c r="AR24" s="112">
        <f t="shared" ref="AR24" si="86">AM24-AQ24</f>
        <v>6430.1996310497561</v>
      </c>
      <c r="AS24" s="127">
        <f t="shared" ref="AS24:AS30" si="87">+IF(IFERROR(AM24/AQ24-1,"-")&lt;300%,IFERROR(AM24/AQ24-1,"-"),"n.a.")</f>
        <v>-119.03032127109667</v>
      </c>
    </row>
    <row r="25" spans="2:45" x14ac:dyDescent="0.35">
      <c r="B25" s="87" t="s">
        <v>12</v>
      </c>
      <c r="C25" s="102">
        <f>C24/C10</f>
        <v>0.3223812707916851</v>
      </c>
      <c r="D25" s="102">
        <f>D24/D10</f>
        <v>0.43831370267977054</v>
      </c>
      <c r="E25" s="89"/>
      <c r="F25" s="134">
        <f t="shared" si="6"/>
        <v>-0.26449648089780342</v>
      </c>
      <c r="G25" s="102">
        <f>G24/G10</f>
        <v>0.36989858252698421</v>
      </c>
      <c r="H25" s="89"/>
      <c r="I25" s="134"/>
      <c r="J25" s="90"/>
      <c r="K25" s="87" t="s">
        <v>12</v>
      </c>
      <c r="L25" s="102">
        <f>L24/L10</f>
        <v>0.35709036892412882</v>
      </c>
      <c r="M25" s="102">
        <f>M24/M10</f>
        <v>-0.11804518817590365</v>
      </c>
      <c r="N25" s="89"/>
      <c r="O25" s="134">
        <f t="shared" si="73"/>
        <v>-4.0250311295367229</v>
      </c>
      <c r="P25" s="102">
        <f>P24/P10</f>
        <v>0.25700912706617085</v>
      </c>
      <c r="Q25" s="89"/>
      <c r="R25" s="134"/>
      <c r="T25" s="87" t="s">
        <v>12</v>
      </c>
      <c r="U25" s="102">
        <f>U24/U10</f>
        <v>0.43408305367754096</v>
      </c>
      <c r="V25" s="102">
        <f>V24/V10</f>
        <v>0.3368559863399076</v>
      </c>
      <c r="W25" s="89"/>
      <c r="X25" s="134">
        <f t="shared" si="77"/>
        <v>0.28863096183639003</v>
      </c>
      <c r="Y25" s="102">
        <f>Y24/Y10</f>
        <v>0.3428311856984344</v>
      </c>
      <c r="Z25" s="89"/>
      <c r="AA25" s="134"/>
      <c r="AC25" s="87" t="s">
        <v>12</v>
      </c>
      <c r="AD25" s="102">
        <f>AD24/AD10</f>
        <v>-1.3434585830494268E-2</v>
      </c>
      <c r="AE25" s="102">
        <f>AE24/AE10</f>
        <v>-0.9328155484046442</v>
      </c>
      <c r="AF25" s="89"/>
      <c r="AG25" s="134">
        <f t="shared" si="81"/>
        <v>-0.98559781099975141</v>
      </c>
      <c r="AH25" s="102">
        <f>AH24/AH10</f>
        <v>-8.1857661963490758E-2</v>
      </c>
      <c r="AI25" s="89"/>
      <c r="AJ25" s="134"/>
      <c r="AL25" s="87" t="s">
        <v>12</v>
      </c>
      <c r="AM25" s="102">
        <f>AM24/AM10</f>
        <v>0.420038083316845</v>
      </c>
      <c r="AN25" s="102">
        <f>AN24/AN10</f>
        <v>-0.9328155484046442</v>
      </c>
      <c r="AO25" s="89"/>
      <c r="AP25" s="134">
        <f t="shared" si="85"/>
        <v>-1.4502906110808496</v>
      </c>
      <c r="AQ25" s="102">
        <f>AQ24/AQ10</f>
        <v>-8.1857661963490758E-2</v>
      </c>
      <c r="AR25" s="89"/>
      <c r="AS25" s="134"/>
    </row>
    <row r="26" spans="2:45" x14ac:dyDescent="0.35">
      <c r="B26" s="87"/>
      <c r="C26" s="92"/>
      <c r="D26" s="92"/>
      <c r="E26" s="93"/>
      <c r="F26" s="132"/>
      <c r="G26" s="94"/>
      <c r="H26" s="93"/>
      <c r="I26" s="132"/>
      <c r="J26" s="95"/>
      <c r="K26" s="87"/>
      <c r="L26" s="92"/>
      <c r="M26" s="92"/>
      <c r="N26" s="93"/>
      <c r="O26" s="132"/>
      <c r="P26" s="94"/>
      <c r="Q26" s="93"/>
      <c r="R26" s="132"/>
      <c r="T26" s="87"/>
      <c r="U26" s="92"/>
      <c r="V26" s="92"/>
      <c r="W26" s="93"/>
      <c r="X26" s="132"/>
      <c r="Y26" s="94"/>
      <c r="Z26" s="93"/>
      <c r="AA26" s="132"/>
      <c r="AC26" s="87"/>
      <c r="AD26" s="92"/>
      <c r="AE26" s="92"/>
      <c r="AF26" s="93"/>
      <c r="AG26" s="132"/>
      <c r="AH26" s="94"/>
      <c r="AI26" s="93"/>
      <c r="AJ26" s="132"/>
      <c r="AL26" s="87"/>
      <c r="AM26" s="92"/>
      <c r="AN26" s="92"/>
      <c r="AO26" s="93"/>
      <c r="AP26" s="132"/>
      <c r="AQ26" s="94"/>
      <c r="AR26" s="93"/>
      <c r="AS26" s="132"/>
    </row>
    <row r="27" spans="2:45" x14ac:dyDescent="0.35">
      <c r="B27" s="75" t="s">
        <v>13</v>
      </c>
      <c r="C27" s="3">
        <f>GETPIVOTDATA("sep-26 ",TABLA!$B$3,"Nivel 4","8.- Amortización del inmovilizado")/1000</f>
        <v>-19.225349999999999</v>
      </c>
      <c r="D27" s="3">
        <f>VLOOKUP(B27,'P&amp;L Mensualitzada 2025'!$A$5:$N$25,$C$5+1,0)</f>
        <v>0</v>
      </c>
      <c r="E27" s="114">
        <f t="shared" ref="E27:E29" si="88">C27-D27</f>
        <v>-19.225349999999999</v>
      </c>
      <c r="F27" s="115" t="str">
        <f>+IF(IFERROR(C27/D27-1,"-")&lt;300%,IFERROR(C27/D27-1,"-"),"n.a.")</f>
        <v>n.a.</v>
      </c>
      <c r="G27" s="121">
        <f>VLOOKUP(B27,'Budget26 sin EI'!$B:$O,$C$5+1,0)</f>
        <v>-20.833333</v>
      </c>
      <c r="H27" s="114">
        <f t="shared" ref="H27:H29" si="89">C27-G27</f>
        <v>1.6079830000000008</v>
      </c>
      <c r="I27" s="115">
        <f>+IF(IFERROR(C27/G27-1,"-")&lt;300%,IFERROR(C27/G27-1,"-"),"n.a.")</f>
        <v>-7.7183185234930951E-2</v>
      </c>
      <c r="J27" s="85"/>
      <c r="K27" s="75" t="s">
        <v>13</v>
      </c>
      <c r="L27" s="3">
        <f>GETPIVOTDATA("oct-26 ",TABLA!$B$3,"Nivel 4","8.- Amortización del inmovilizado")/1000</f>
        <v>-19.225349999999999</v>
      </c>
      <c r="M27" s="3">
        <f>VLOOKUP(K27,'P&amp;L Mensualitzada 2025'!$A$5:$N$25,$L$5+1,0)</f>
        <v>-194.71201000000002</v>
      </c>
      <c r="N27" s="114">
        <f t="shared" ref="N27:N29" si="90">L27-M27</f>
        <v>175.48666000000003</v>
      </c>
      <c r="O27" s="115">
        <f>+IF(IFERROR(L27/M27-1,"-")&lt;300%,IFERROR(L27/M27-1,"-"),"n.a.")</f>
        <v>-0.90126263911507054</v>
      </c>
      <c r="P27" s="121">
        <f>VLOOKUP(K27,'Budget26 sin EI'!$B:$O,$L$5+1,0)</f>
        <v>-20.833333</v>
      </c>
      <c r="Q27" s="114">
        <f t="shared" ref="Q27:Q29" si="91">L27-P27</f>
        <v>1.6079830000000008</v>
      </c>
      <c r="R27" s="115">
        <f>+IF(IFERROR(L27/P27-1,"-")&lt;300%,IFERROR(L27/P27-1,"-"),"n.a.")</f>
        <v>-7.7183185234930951E-2</v>
      </c>
      <c r="T27" s="75" t="s">
        <v>13</v>
      </c>
      <c r="U27" s="3">
        <f>GETPIVOTDATA("nov-26 ",TABLA!$B$3,"Nivel 4","8.- Amortización del inmovilizado")/1000</f>
        <v>-19.225349999999999</v>
      </c>
      <c r="V27" s="3">
        <f>VLOOKUP(T27,'P&amp;L Mensualitzada 2025'!$A$5:$N$25,$U$5+1,0)</f>
        <v>-19.471199999999982</v>
      </c>
      <c r="W27" s="114">
        <f t="shared" ref="W27:W29" si="92">U27-V27</f>
        <v>0.24584999999998303</v>
      </c>
      <c r="X27" s="115">
        <f>+IF(IFERROR(U27/V27-1,"-")&lt;300%,IFERROR(U27/V27-1,"-"),"n.a.")</f>
        <v>-1.2626340441266204E-2</v>
      </c>
      <c r="Y27" s="121">
        <f>VLOOKUP(T27,'Budget26 sin EI'!$B:$O,$U$5+1,0)</f>
        <v>-20.833333</v>
      </c>
      <c r="Z27" s="114">
        <f t="shared" ref="Z27:Z29" si="93">U27-Y27</f>
        <v>1.6079830000000008</v>
      </c>
      <c r="AA27" s="115">
        <f>+IF(IFERROR(U27/Y27-1,"-")&lt;300%,IFERROR(U27/Y27-1,"-"),"n.a.")</f>
        <v>-7.7183185234930951E-2</v>
      </c>
      <c r="AC27" s="75" t="s">
        <v>13</v>
      </c>
      <c r="AD27" s="3">
        <f>GETPIVOTDATA("dic-26 ",TABLA!$B$3,"Nivel 4","8.- Amortización del inmovilizado")/1000</f>
        <v>-19.225349999999999</v>
      </c>
      <c r="AE27" s="3">
        <f>VLOOKUP(AC27,'P&amp;L Mensualitzada 2025'!$A$5:$N$25,$AD$5+1,0)</f>
        <v>-34.072369999999999</v>
      </c>
      <c r="AF27" s="114">
        <f t="shared" ref="AF27:AF29" si="94">AD27-AE27</f>
        <v>14.847020000000001</v>
      </c>
      <c r="AG27" s="115">
        <f>+IF(IFERROR(AD27/AE27-1,"-")&lt;300%,IFERROR(AD27/AE27-1,"-"),"n.a.")</f>
        <v>-0.43574955308362762</v>
      </c>
      <c r="AH27" s="121">
        <f>VLOOKUP(AC27,'Budget26 sin EI'!$B:$O,$AD$5+1,0)</f>
        <v>-20.833333</v>
      </c>
      <c r="AI27" s="114">
        <f t="shared" ref="AI27:AI29" si="95">AD27-AH27</f>
        <v>1.6079830000000008</v>
      </c>
      <c r="AJ27" s="115">
        <f>+IF(IFERROR(AD27/AH27-1,"-")&lt;300%,IFERROR(AD27/AH27-1,"-"),"n.a.")</f>
        <v>-7.7183185234930951E-2</v>
      </c>
      <c r="AL27" s="75" t="s">
        <v>13</v>
      </c>
      <c r="AM27" s="3">
        <f>GETPIVOTDATA("Total 2026 ",TABLA!$B$3,"Nivel 4","8.- Amortización del inmovilizado")/1000</f>
        <v>-229.67474999999999</v>
      </c>
      <c r="AN27" s="3">
        <f>VLOOKUP(AL27,'P&amp;L Mensualitzada 2025'!$A$5:$N$25,$AD$5+1,0)</f>
        <v>-34.072369999999999</v>
      </c>
      <c r="AO27" s="114">
        <f t="shared" ref="AO27:AO29" si="96">AM27-AN27</f>
        <v>-195.60237999999998</v>
      </c>
      <c r="AP27" s="115" t="str">
        <f>+IF(IFERROR(AM27/AN27-1,"-")&lt;300%,IFERROR(AM27/AN27-1,"-"),"n.a.")</f>
        <v>n.a.</v>
      </c>
      <c r="AQ27" s="121">
        <f>VLOOKUP(AL27,'Budget26 sin EI'!$B:$O,$AD$5+1,0)</f>
        <v>-20.833333</v>
      </c>
      <c r="AR27" s="114">
        <f t="shared" ref="AR27:AR29" si="97">AM27-AQ27</f>
        <v>-208.84141699999998</v>
      </c>
      <c r="AS27" s="115" t="str">
        <f>+IF(IFERROR(AM27/AQ27-1,"-")&lt;300%,IFERROR(AM27/AQ27-1,"-"),"n.a.")</f>
        <v>n.a.</v>
      </c>
    </row>
    <row r="28" spans="2:45" x14ac:dyDescent="0.35">
      <c r="B28" s="75" t="s">
        <v>14</v>
      </c>
      <c r="C28" s="23">
        <f>GETPIVOTDATA("sep-26 ",TABLA!$B$3,"Nivel 4","13.- Otros resultados")+GETPIVOTDATA("ago-26 ",TABLA!$B$3,"Nivel 4","11.- Deterioro y resultado por enajenaciones del inmovilizado")/1000</f>
        <v>0</v>
      </c>
      <c r="D28" s="3">
        <f>VLOOKUP(B28,'P&amp;L Mensualitzada 2025'!$A$5:$N$25,$C$5+1,0)</f>
        <v>-4.0640000000000003E-2</v>
      </c>
      <c r="E28" s="114">
        <f t="shared" si="88"/>
        <v>4.0640000000000003E-2</v>
      </c>
      <c r="F28" s="115" t="s">
        <v>62</v>
      </c>
      <c r="G28" s="121">
        <f>VLOOKUP(B28,'Budget26 sin EI'!$B:$O,$C$5+1,0)</f>
        <v>0</v>
      </c>
      <c r="H28" s="114">
        <f t="shared" si="89"/>
        <v>0</v>
      </c>
      <c r="I28" s="115" t="str">
        <f>+IF(IFERROR(C28/G28-1,"-")&lt;300%,IFERROR(C28/G28-1,"-"),"n.a.")</f>
        <v>n.a.</v>
      </c>
      <c r="J28" s="85"/>
      <c r="K28" s="75" t="s">
        <v>14</v>
      </c>
      <c r="L28" s="23">
        <f>GETPIVOTDATA("oct-26 ",TABLA!$B$3,"Nivel 4","13.- Otros resultados")+GETPIVOTDATA("ago-26 ",TABLA!$B$3,"Nivel 4","11.- Deterioro y resultado por enajenaciones del inmovilizado")/1000</f>
        <v>0</v>
      </c>
      <c r="M28" s="3">
        <f>VLOOKUP(K28,'P&amp;L Mensualitzada 2025'!$A$5:$N$25,$L$5+1,0)</f>
        <v>0.81001000000000012</v>
      </c>
      <c r="N28" s="114">
        <f t="shared" si="90"/>
        <v>-0.81001000000000012</v>
      </c>
      <c r="O28" s="115" t="s">
        <v>62</v>
      </c>
      <c r="P28" s="121">
        <f>VLOOKUP(K28,'Budget26 sin EI'!$B:$O,$L$5+1,0)</f>
        <v>0</v>
      </c>
      <c r="Q28" s="114">
        <f t="shared" si="91"/>
        <v>0</v>
      </c>
      <c r="R28" s="115" t="str">
        <f>+IF(IFERROR(L28/P28-1,"-")&lt;300%,IFERROR(L28/P28-1,"-"),"n.a.")</f>
        <v>n.a.</v>
      </c>
      <c r="T28" s="75" t="s">
        <v>14</v>
      </c>
      <c r="U28" s="23">
        <f>GETPIVOTDATA("nov-26 ",TABLA!$B$3,"Nivel 4","13.- Otros resultados")+GETPIVOTDATA("ago-26 ",TABLA!$B$3,"Nivel 4","11.- Deterioro y resultado por enajenaciones del inmovilizado")/1000</f>
        <v>0</v>
      </c>
      <c r="V28" s="3">
        <f>VLOOKUP(T28,'P&amp;L Mensualitzada 2025'!$A$5:$N$25,$U$5+1,0)</f>
        <v>4.4300000000002913E-3</v>
      </c>
      <c r="W28" s="114">
        <f t="shared" si="92"/>
        <v>-4.4300000000002913E-3</v>
      </c>
      <c r="X28" s="115" t="s">
        <v>62</v>
      </c>
      <c r="Y28" s="121">
        <f>VLOOKUP(T28,'Budget26 sin EI'!$B:$O,$U$5+1,0)</f>
        <v>0</v>
      </c>
      <c r="Z28" s="114">
        <f t="shared" si="93"/>
        <v>0</v>
      </c>
      <c r="AA28" s="115" t="str">
        <f>+IF(IFERROR(U28/Y28-1,"-")&lt;300%,IFERROR(U28/Y28-1,"-"),"n.a.")</f>
        <v>n.a.</v>
      </c>
      <c r="AC28" s="75" t="s">
        <v>14</v>
      </c>
      <c r="AD28" s="23">
        <f>GETPIVOTDATA("dic-26 ",TABLA!$B$3,"Nivel 4","13.- Otros resultados")+GETPIVOTDATA("ago-26 ",TABLA!$B$3,"Nivel 4","11.- Deterioro y resultado por enajenaciones del inmovilizado")/1000</f>
        <v>0</v>
      </c>
      <c r="AE28" s="3">
        <f>VLOOKUP(AC28,'P&amp;L Mensualitzada 2025'!$A$5:$N$25,$AD$5+1,0)</f>
        <v>0.15045</v>
      </c>
      <c r="AF28" s="114">
        <f t="shared" si="94"/>
        <v>-0.15045</v>
      </c>
      <c r="AG28" s="115" t="s">
        <v>62</v>
      </c>
      <c r="AH28" s="121">
        <f>VLOOKUP(AC28,'Budget26 sin EI'!$B:$O,$AD$5+1,0)</f>
        <v>0</v>
      </c>
      <c r="AI28" s="114">
        <f t="shared" si="95"/>
        <v>0</v>
      </c>
      <c r="AJ28" s="115" t="str">
        <f>+IF(IFERROR(AD28/AH28-1,"-")&lt;300%,IFERROR(AD28/AH28-1,"-"),"n.a.")</f>
        <v>n.a.</v>
      </c>
      <c r="AL28" s="75" t="s">
        <v>14</v>
      </c>
      <c r="AM28" s="23">
        <f>GETPIVOTDATA("Total 2026 ",TABLA!$B$3,"Nivel 4","13.- Otros resultados")/1000+GETPIVOTDATA("ago-26 ",TABLA!$B$3,"Nivel 4","11.- Deterioro y resultado por enajenaciones del inmovilizado")/1000</f>
        <v>3.9999400000000005</v>
      </c>
      <c r="AN28" s="3">
        <f>VLOOKUP(AL28,'P&amp;L Mensualitzada 2025'!$A$5:$N$25,$AD$5+1,0)</f>
        <v>0.15045</v>
      </c>
      <c r="AO28" s="114">
        <f t="shared" si="96"/>
        <v>3.8494900000000003</v>
      </c>
      <c r="AP28" s="115" t="s">
        <v>62</v>
      </c>
      <c r="AQ28" s="121">
        <f>VLOOKUP(AL28,'Budget26 sin EI'!$B:$O,$AD$5+1,0)</f>
        <v>0</v>
      </c>
      <c r="AR28" s="114">
        <f t="shared" si="97"/>
        <v>3.9999400000000005</v>
      </c>
      <c r="AS28" s="115" t="str">
        <f>+IF(IFERROR(AM28/AQ28-1,"-")&lt;300%,IFERROR(AM28/AQ28-1,"-"),"n.a.")</f>
        <v>n.a.</v>
      </c>
    </row>
    <row r="29" spans="2:45" x14ac:dyDescent="0.35">
      <c r="B29" s="83" t="s">
        <v>15</v>
      </c>
      <c r="C29" s="112">
        <f>C24+C27+C28</f>
        <v>136.51179999999999</v>
      </c>
      <c r="D29" s="112">
        <f>D24+D27+D28</f>
        <v>369.0702500000001</v>
      </c>
      <c r="E29" s="112">
        <f t="shared" si="88"/>
        <v>-232.55845000000011</v>
      </c>
      <c r="F29" s="127">
        <f t="shared" si="6"/>
        <v>-0.63011974007658444</v>
      </c>
      <c r="G29" s="112">
        <f>G24+G27+G28</f>
        <v>358.89289592613977</v>
      </c>
      <c r="H29" s="112">
        <f t="shared" si="89"/>
        <v>-222.38109592613978</v>
      </c>
      <c r="I29" s="127">
        <f t="shared" si="0"/>
        <v>-0.61963081033486334</v>
      </c>
      <c r="J29" s="108"/>
      <c r="K29" s="83" t="s">
        <v>15</v>
      </c>
      <c r="L29" s="112">
        <f>L24+L27+L28</f>
        <v>306.46071000000001</v>
      </c>
      <c r="M29" s="112">
        <f>M24+M27+M28</f>
        <v>-276.48445999999814</v>
      </c>
      <c r="N29" s="112">
        <f t="shared" si="90"/>
        <v>582.94516999999814</v>
      </c>
      <c r="O29" s="127">
        <f t="shared" ref="O29:O30" si="98">+IF(IFERROR(L29/M29-1,"-")&lt;300%,IFERROR(L29/M29-1,"-"),"n.a.")</f>
        <v>-2.1084192941621458</v>
      </c>
      <c r="P29" s="112">
        <f>P24+P27+P28</f>
        <v>184.40572186796439</v>
      </c>
      <c r="Q29" s="112">
        <f t="shared" si="91"/>
        <v>122.05498813203562</v>
      </c>
      <c r="R29" s="127">
        <f t="shared" ref="R29:R30" si="99">+IF(IFERROR(L29/P29-1,"-")&lt;300%,IFERROR(L29/P29-1,"-"),"n.a.")</f>
        <v>0.66188286836038479</v>
      </c>
      <c r="T29" s="83" t="s">
        <v>15</v>
      </c>
      <c r="U29" s="112">
        <f>U24+U27+U28</f>
        <v>512.66606999999999</v>
      </c>
      <c r="V29" s="112">
        <f>V24+V27+V28</f>
        <v>233.07388000000043</v>
      </c>
      <c r="W29" s="112">
        <f t="shared" si="92"/>
        <v>279.59218999999956</v>
      </c>
      <c r="X29" s="127">
        <f t="shared" ref="X29:X30" si="100">+IF(IFERROR(U29/V29-1,"-")&lt;300%,IFERROR(U29/V29-1,"-"),"n.a.")</f>
        <v>1.1995861140682047</v>
      </c>
      <c r="Y29" s="112">
        <f>Y24+Y27+Y28</f>
        <v>332.36609925835512</v>
      </c>
      <c r="Z29" s="112">
        <f t="shared" si="93"/>
        <v>180.29997074164487</v>
      </c>
      <c r="AA29" s="127">
        <f t="shared" ref="AA29:AA30" si="101">+IF(IFERROR(U29/Y29-1,"-")&lt;300%,IFERROR(U29/Y29-1,"-"),"n.a.")</f>
        <v>0.54247401026749698</v>
      </c>
      <c r="AC29" s="83" t="s">
        <v>15</v>
      </c>
      <c r="AD29" s="112">
        <f>AD24+AD27+AD28</f>
        <v>-34.573120000000081</v>
      </c>
      <c r="AE29" s="112">
        <f>AE24+AE27+AE28</f>
        <v>-265.73219</v>
      </c>
      <c r="AF29" s="112">
        <f t="shared" si="94"/>
        <v>231.15906999999993</v>
      </c>
      <c r="AG29" s="127">
        <f t="shared" ref="AG29:AG30" si="102">+IF(IFERROR(AD29/AE29-1,"-")&lt;300%,IFERROR(AD29/AE29-1,"-"),"n.a.")</f>
        <v>-0.86989487423409229</v>
      </c>
      <c r="AH29" s="112">
        <f>AH24+AH27+AH28</f>
        <v>-74.854859300048375</v>
      </c>
      <c r="AI29" s="112">
        <f t="shared" si="95"/>
        <v>40.281739300048294</v>
      </c>
      <c r="AJ29" s="127">
        <f t="shared" ref="AJ29:AJ30" si="103">+IF(IFERROR(AD29/AH29-1,"-")&lt;300%,IFERROR(AD29/AH29-1,"-"),"n.a.")</f>
        <v>-0.53813125395884964</v>
      </c>
      <c r="AL29" s="83" t="s">
        <v>15</v>
      </c>
      <c r="AM29" s="112">
        <f>AM24+AM27+AM28</f>
        <v>6150.5032947497075</v>
      </c>
      <c r="AN29" s="112">
        <f>AN24+AN27+AN28</f>
        <v>-265.73219</v>
      </c>
      <c r="AO29" s="112">
        <f t="shared" si="96"/>
        <v>6416.2354847497072</v>
      </c>
      <c r="AP29" s="127">
        <f t="shared" ref="AP29:AP30" si="104">+IF(IFERROR(AM29/AN29-1,"-")&lt;300%,IFERROR(AM29/AN29-1,"-"),"n.a.")</f>
        <v>-24.145495827019328</v>
      </c>
      <c r="AQ29" s="112">
        <f>AQ24+AQ27+AQ28</f>
        <v>-74.854859300048375</v>
      </c>
      <c r="AR29" s="112">
        <f t="shared" si="97"/>
        <v>6225.3581540497562</v>
      </c>
      <c r="AS29" s="127">
        <f t="shared" ref="AS29:AS30" si="105">+IF(IFERROR(AM29/AQ29-1,"-")&lt;300%,IFERROR(AM29/AQ29-1,"-"),"n.a.")</f>
        <v>-83.165718461857196</v>
      </c>
    </row>
    <row r="30" spans="2:45" x14ac:dyDescent="0.35">
      <c r="B30" s="87" t="s">
        <v>16</v>
      </c>
      <c r="C30" s="128">
        <f>C29/C10</f>
        <v>0.28258413334301008</v>
      </c>
      <c r="D30" s="128">
        <f>D29/D10</f>
        <v>0.43826544328304312</v>
      </c>
      <c r="E30" s="90"/>
      <c r="F30" s="134"/>
      <c r="G30" s="128">
        <f>G29/G10</f>
        <v>0.34960443437765643</v>
      </c>
      <c r="H30" s="90"/>
      <c r="I30" s="134"/>
      <c r="J30" s="90"/>
      <c r="K30" s="87" t="s">
        <v>16</v>
      </c>
      <c r="L30" s="128">
        <f>L29/L10</f>
        <v>0.33601121274472251</v>
      </c>
      <c r="M30" s="128">
        <f>M29/M10</f>
        <v>-0.39521297995256666</v>
      </c>
      <c r="N30" s="90"/>
      <c r="O30" s="134"/>
      <c r="P30" s="128">
        <f>P29/P10</f>
        <v>0.230920735986542</v>
      </c>
      <c r="Q30" s="90"/>
      <c r="R30" s="134"/>
      <c r="T30" s="87" t="s">
        <v>16</v>
      </c>
      <c r="U30" s="128">
        <f>U29/U10</f>
        <v>0.41839301183400168</v>
      </c>
      <c r="V30" s="128">
        <f>V29/V10</f>
        <v>0.31088987748098884</v>
      </c>
      <c r="W30" s="90"/>
      <c r="X30" s="134"/>
      <c r="Y30" s="128">
        <f>Y29/Y10</f>
        <v>0.32260941974379403</v>
      </c>
      <c r="Z30" s="90"/>
      <c r="AA30" s="134"/>
      <c r="AC30" s="87" t="s">
        <v>16</v>
      </c>
      <c r="AD30" s="128">
        <f>AD29/AD10</f>
        <v>-3.0263389930131647E-2</v>
      </c>
      <c r="AE30" s="128">
        <f>AE29/AE10</f>
        <v>-1.069318967376282</v>
      </c>
      <c r="AF30" s="90"/>
      <c r="AG30" s="134"/>
      <c r="AH30" s="128">
        <f>AH29/AH10</f>
        <v>-0.11342596532491039</v>
      </c>
      <c r="AI30" s="90"/>
      <c r="AJ30" s="134"/>
      <c r="AL30" s="87" t="s">
        <v>16</v>
      </c>
      <c r="AM30" s="128">
        <f>AM29/AM10</f>
        <v>0.4051714950428002</v>
      </c>
      <c r="AN30" s="128">
        <f>AN29/AN10</f>
        <v>-1.069318967376282</v>
      </c>
      <c r="AO30" s="90"/>
      <c r="AP30" s="134"/>
      <c r="AQ30" s="128">
        <f>AQ29/AQ10</f>
        <v>-0.11342596532491039</v>
      </c>
      <c r="AR30" s="90"/>
      <c r="AS30" s="134"/>
    </row>
    <row r="31" spans="2:45" x14ac:dyDescent="0.35">
      <c r="F31" s="153"/>
    </row>
  </sheetData>
  <mergeCells count="5">
    <mergeCell ref="H8:I8"/>
    <mergeCell ref="Q8:R8"/>
    <mergeCell ref="Z8:AA8"/>
    <mergeCell ref="AI8:AJ8"/>
    <mergeCell ref="AR8:AS8"/>
  </mergeCells>
  <pageMargins left="0.7" right="0.7" top="0.75" bottom="0.75" header="0.3" footer="0.3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3B2-0561-48C0-89AA-5D13323B051F}">
  <dimension ref="B1:AE19"/>
  <sheetViews>
    <sheetView tabSelected="1" workbookViewId="0">
      <selection activeCell="F27" sqref="F27"/>
    </sheetView>
  </sheetViews>
  <sheetFormatPr baseColWidth="10" defaultRowHeight="14.5" x14ac:dyDescent="0.35"/>
  <cols>
    <col min="1" max="1" width="12.453125" bestFit="1" customWidth="1"/>
    <col min="2" max="2" width="50.1796875" bestFit="1" customWidth="1"/>
    <col min="3" max="3" width="10.54296875" bestFit="1" customWidth="1"/>
    <col min="4" max="9" width="11.453125" customWidth="1"/>
    <col min="10" max="10" width="10.54296875" bestFit="1" customWidth="1"/>
    <col min="11" max="12" width="10.54296875" style="156" bestFit="1" customWidth="1"/>
    <col min="13" max="14" width="11.453125" bestFit="1" customWidth="1"/>
    <col min="15" max="15" width="12.453125" bestFit="1" customWidth="1"/>
    <col min="16" max="16" width="8.453125" bestFit="1" customWidth="1"/>
    <col min="17" max="17" width="7.453125" bestFit="1" customWidth="1"/>
    <col min="18" max="19" width="8.453125" bestFit="1" customWidth="1"/>
    <col min="20" max="20" width="5.453125" bestFit="1" customWidth="1"/>
    <col min="21" max="26" width="8.453125" bestFit="1" customWidth="1"/>
    <col min="27" max="27" width="7.453125" bestFit="1" customWidth="1"/>
    <col min="28" max="30" width="8.453125" bestFit="1" customWidth="1"/>
    <col min="31" max="35" width="7.453125" bestFit="1" customWidth="1"/>
    <col min="36" max="36" width="6.453125" bestFit="1" customWidth="1"/>
    <col min="37" max="41" width="7.453125" bestFit="1" customWidth="1"/>
    <col min="42" max="42" width="4.453125" bestFit="1" customWidth="1"/>
    <col min="43" max="48" width="7.453125" bestFit="1" customWidth="1"/>
    <col min="49" max="50" width="4.453125" bestFit="1" customWidth="1"/>
    <col min="51" max="53" width="7.453125" bestFit="1" customWidth="1"/>
    <col min="54" max="54" width="4.453125" bestFit="1" customWidth="1"/>
    <col min="55" max="55" width="7.453125" bestFit="1" customWidth="1"/>
    <col min="56" max="56" width="4.453125" bestFit="1" customWidth="1"/>
    <col min="57" max="61" width="7.453125" bestFit="1" customWidth="1"/>
    <col min="62" max="62" width="4.453125" bestFit="1" customWidth="1"/>
    <col min="63" max="63" width="7.453125" bestFit="1" customWidth="1"/>
    <col min="64" max="65" width="4.453125" bestFit="1" customWidth="1"/>
    <col min="66" max="66" width="6.453125" bestFit="1" customWidth="1"/>
    <col min="67" max="69" width="7.453125" bestFit="1" customWidth="1"/>
    <col min="70" max="70" width="5.453125" bestFit="1" customWidth="1"/>
    <col min="71" max="73" width="6.453125" bestFit="1" customWidth="1"/>
    <col min="74" max="74" width="3.453125" bestFit="1" customWidth="1"/>
    <col min="75" max="75" width="5.453125" bestFit="1" customWidth="1"/>
    <col min="76" max="76" width="6.453125" bestFit="1" customWidth="1"/>
    <col min="77" max="77" width="4.453125" bestFit="1" customWidth="1"/>
    <col min="78" max="78" width="1.81640625" bestFit="1" customWidth="1"/>
    <col min="79" max="83" width="7.81640625" bestFit="1" customWidth="1"/>
    <col min="84" max="87" width="8.81640625" bestFit="1" customWidth="1"/>
    <col min="88" max="88" width="9.81640625" bestFit="1" customWidth="1"/>
    <col min="89" max="89" width="10.26953125" bestFit="1" customWidth="1"/>
    <col min="90" max="90" width="11.453125" bestFit="1" customWidth="1"/>
  </cols>
  <sheetData>
    <row r="1" spans="2:15" x14ac:dyDescent="0.35">
      <c r="B1" s="152" t="s">
        <v>66</v>
      </c>
      <c r="C1" s="67">
        <v>2026</v>
      </c>
      <c r="D1" s="19"/>
      <c r="E1" s="19"/>
      <c r="F1" s="19"/>
    </row>
    <row r="2" spans="2:15" x14ac:dyDescent="0.35">
      <c r="C2" s="19"/>
      <c r="D2" s="19"/>
      <c r="E2" s="19"/>
      <c r="F2" s="19"/>
    </row>
    <row r="3" spans="2:15" x14ac:dyDescent="0.35">
      <c r="B3" s="165" t="s">
        <v>428</v>
      </c>
      <c r="C3" s="171" t="s">
        <v>315</v>
      </c>
      <c r="D3" s="171" t="s">
        <v>316</v>
      </c>
      <c r="E3" s="171" t="s">
        <v>317</v>
      </c>
      <c r="F3" s="172" t="s">
        <v>318</v>
      </c>
      <c r="G3" t="s">
        <v>408</v>
      </c>
      <c r="H3" t="s">
        <v>422</v>
      </c>
      <c r="I3" t="s">
        <v>433</v>
      </c>
      <c r="J3" t="s">
        <v>438</v>
      </c>
      <c r="K3" t="s">
        <v>469</v>
      </c>
      <c r="L3" t="s">
        <v>470</v>
      </c>
      <c r="M3" t="s">
        <v>471</v>
      </c>
      <c r="N3" t="s">
        <v>479</v>
      </c>
      <c r="O3" t="s">
        <v>423</v>
      </c>
    </row>
    <row r="4" spans="2:15" x14ac:dyDescent="0.35">
      <c r="B4" s="67" t="s">
        <v>79</v>
      </c>
      <c r="C4" s="170">
        <v>983817.13</v>
      </c>
      <c r="D4" s="170">
        <v>1470428.15</v>
      </c>
      <c r="E4" s="170">
        <v>1533789.4100000004</v>
      </c>
      <c r="F4" s="170">
        <v>1462146.28</v>
      </c>
      <c r="G4" s="19">
        <v>1925929.9100000001</v>
      </c>
      <c r="H4" s="19">
        <v>1962261.8299999998</v>
      </c>
      <c r="I4" s="19">
        <v>1290654.23</v>
      </c>
      <c r="J4" s="19">
        <v>788105.15</v>
      </c>
      <c r="K4" s="19">
        <v>483083.74</v>
      </c>
      <c r="L4" s="19">
        <v>912055.01</v>
      </c>
      <c r="M4" s="19">
        <v>1225321.78</v>
      </c>
      <c r="N4" s="19">
        <v>1142407.3800000001</v>
      </c>
      <c r="O4" s="19">
        <v>15180000.000000002</v>
      </c>
    </row>
    <row r="5" spans="2:15" x14ac:dyDescent="0.35">
      <c r="B5" s="67" t="s">
        <v>96</v>
      </c>
      <c r="C5" s="170">
        <v>-84878.079999999987</v>
      </c>
      <c r="D5" s="170">
        <v>50005.570000000007</v>
      </c>
      <c r="E5" s="170">
        <v>83552.76999999999</v>
      </c>
      <c r="F5" s="170">
        <v>8645.1999999999989</v>
      </c>
      <c r="G5" s="19">
        <v>-30291.100000000002</v>
      </c>
      <c r="H5" s="19">
        <v>-90104.87</v>
      </c>
      <c r="I5" s="19">
        <v>-6292.6299999999974</v>
      </c>
      <c r="J5" s="19">
        <v>6734.6399999999994</v>
      </c>
      <c r="K5" s="19">
        <v>0</v>
      </c>
      <c r="L5" s="19">
        <v>0</v>
      </c>
      <c r="M5" s="19">
        <v>0</v>
      </c>
      <c r="N5" s="19">
        <v>0</v>
      </c>
      <c r="O5" s="173">
        <v>-62628.5</v>
      </c>
    </row>
    <row r="6" spans="2:15" x14ac:dyDescent="0.35">
      <c r="B6" s="67" t="s">
        <v>99</v>
      </c>
      <c r="C6" s="170">
        <v>-417787.47</v>
      </c>
      <c r="D6" s="170">
        <v>-406242.7300000001</v>
      </c>
      <c r="E6" s="170">
        <v>-469252.69999999995</v>
      </c>
      <c r="F6" s="170">
        <v>-514848.29</v>
      </c>
      <c r="G6" s="19">
        <v>-593981.23999999987</v>
      </c>
      <c r="H6" s="19">
        <v>-653453.72000000009</v>
      </c>
      <c r="I6" s="19">
        <v>-519022.40000000008</v>
      </c>
      <c r="J6" s="19">
        <v>-278854.87</v>
      </c>
      <c r="K6" s="19">
        <v>-161790.96000000002</v>
      </c>
      <c r="L6" s="19">
        <v>-302101.36</v>
      </c>
      <c r="M6" s="19">
        <v>-404423.28</v>
      </c>
      <c r="N6" s="19">
        <v>-449145.32999999996</v>
      </c>
      <c r="O6" s="173">
        <v>-5170904.3499999996</v>
      </c>
    </row>
    <row r="7" spans="2:15" x14ac:dyDescent="0.35">
      <c r="B7" s="67" t="s">
        <v>120</v>
      </c>
      <c r="C7" s="170">
        <v>-111532.01</v>
      </c>
      <c r="D7" s="170">
        <v>-142927.20000000001</v>
      </c>
      <c r="E7" s="170">
        <v>-146233.31</v>
      </c>
      <c r="F7" s="170">
        <v>-130047.67000000001</v>
      </c>
      <c r="G7" s="19">
        <v>-134992.51999999999</v>
      </c>
      <c r="H7" s="19">
        <v>-145072.28</v>
      </c>
      <c r="I7" s="19">
        <v>-153533.65</v>
      </c>
      <c r="J7" s="19">
        <v>-152632.79</v>
      </c>
      <c r="K7" s="19">
        <v>-152632.79</v>
      </c>
      <c r="L7" s="19">
        <v>-152632.79</v>
      </c>
      <c r="M7" s="19">
        <v>-152632.79</v>
      </c>
      <c r="N7" s="19">
        <v>-431632.79</v>
      </c>
      <c r="O7" s="173">
        <v>-2006502.5899999999</v>
      </c>
    </row>
    <row r="8" spans="2:15" x14ac:dyDescent="0.35">
      <c r="B8" s="67" t="s">
        <v>118</v>
      </c>
      <c r="C8" s="170">
        <v>0</v>
      </c>
      <c r="D8" s="170">
        <v>0</v>
      </c>
      <c r="E8" s="170">
        <v>0</v>
      </c>
      <c r="F8" s="170">
        <v>750.75</v>
      </c>
      <c r="G8" s="19">
        <v>25140.75</v>
      </c>
      <c r="H8" s="19">
        <v>22977.599999999999</v>
      </c>
      <c r="I8" s="19">
        <v>11027.24</v>
      </c>
      <c r="J8" s="19">
        <v>11429</v>
      </c>
      <c r="K8" s="19">
        <v>5286.2</v>
      </c>
      <c r="L8" s="19">
        <v>10013.67</v>
      </c>
      <c r="M8" s="19">
        <v>13461.83</v>
      </c>
      <c r="N8" s="19">
        <v>14533.94</v>
      </c>
      <c r="O8" s="173">
        <v>114620.98</v>
      </c>
    </row>
    <row r="9" spans="2:15" x14ac:dyDescent="0.35">
      <c r="B9" s="67" t="s">
        <v>141</v>
      </c>
      <c r="C9" s="170">
        <v>-103451.75999999995</v>
      </c>
      <c r="D9" s="170">
        <v>-62498.880000000019</v>
      </c>
      <c r="E9" s="170">
        <v>-110606.27000000002</v>
      </c>
      <c r="F9" s="170">
        <v>-107706.65</v>
      </c>
      <c r="G9" s="19">
        <v>-123392.07999999996</v>
      </c>
      <c r="H9" s="19">
        <v>-175013.76000000007</v>
      </c>
      <c r="I9" s="19">
        <v>-161051.74421899725</v>
      </c>
      <c r="J9" s="19">
        <v>-130060.6610312962</v>
      </c>
      <c r="K9" s="19">
        <v>-121630.06999999998</v>
      </c>
      <c r="L9" s="19">
        <v>-141648.47</v>
      </c>
      <c r="M9" s="19">
        <v>-149836.12</v>
      </c>
      <c r="N9" s="19">
        <v>-291510.97000000026</v>
      </c>
      <c r="O9" s="173">
        <v>-1678407.4352502942</v>
      </c>
    </row>
    <row r="10" spans="2:15" x14ac:dyDescent="0.35">
      <c r="B10" s="67" t="s">
        <v>89</v>
      </c>
      <c r="C10" s="170">
        <v>0</v>
      </c>
      <c r="D10" s="170">
        <v>0</v>
      </c>
      <c r="E10" s="170">
        <v>2000</v>
      </c>
      <c r="F10" s="170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73">
        <v>2000</v>
      </c>
    </row>
    <row r="11" spans="2:15" x14ac:dyDescent="0.35">
      <c r="B11" s="67" t="s">
        <v>223</v>
      </c>
      <c r="C11" s="170">
        <v>-19132.87</v>
      </c>
      <c r="D11" s="170">
        <v>-19132.87</v>
      </c>
      <c r="E11" s="170">
        <v>-18903.55</v>
      </c>
      <c r="F11" s="170">
        <v>-18903.55</v>
      </c>
      <c r="G11" s="19">
        <v>-19189.68</v>
      </c>
      <c r="H11" s="19">
        <v>-19060.25</v>
      </c>
      <c r="I11" s="19">
        <v>-19225.29</v>
      </c>
      <c r="J11" s="19">
        <v>-19225.29</v>
      </c>
      <c r="K11" s="19">
        <v>-19225.349999999999</v>
      </c>
      <c r="L11" s="19">
        <v>-19225.349999999999</v>
      </c>
      <c r="M11" s="19">
        <v>-19225.349999999999</v>
      </c>
      <c r="N11" s="19">
        <v>-19225.349999999999</v>
      </c>
      <c r="O11" s="173">
        <v>-229674.75</v>
      </c>
    </row>
    <row r="12" spans="2:15" x14ac:dyDescent="0.35">
      <c r="B12" s="67" t="s">
        <v>91</v>
      </c>
      <c r="C12" s="170">
        <v>3065.27</v>
      </c>
      <c r="D12" s="170">
        <v>0.02</v>
      </c>
      <c r="E12" s="170">
        <v>-0.14000000000000001</v>
      </c>
      <c r="F12" s="170">
        <v>1024.26</v>
      </c>
      <c r="G12" s="19">
        <v>-1.43</v>
      </c>
      <c r="H12" s="19">
        <v>0</v>
      </c>
      <c r="I12" s="19">
        <v>-88.03</v>
      </c>
      <c r="J12" s="19">
        <v>-0.01</v>
      </c>
      <c r="K12" s="19">
        <v>0</v>
      </c>
      <c r="L12" s="19">
        <v>0</v>
      </c>
      <c r="M12" s="19">
        <v>0</v>
      </c>
      <c r="N12" s="19">
        <v>0</v>
      </c>
      <c r="O12" s="173">
        <v>3999.9400000000005</v>
      </c>
    </row>
    <row r="13" spans="2:15" x14ac:dyDescent="0.35">
      <c r="B13" s="67" t="s">
        <v>229</v>
      </c>
      <c r="C13" s="170">
        <v>-52.82</v>
      </c>
      <c r="D13" s="170">
        <v>0</v>
      </c>
      <c r="E13" s="170">
        <v>-79.37</v>
      </c>
      <c r="F13" s="170">
        <v>-24483.469999999998</v>
      </c>
      <c r="G13" s="19">
        <v>-38651.64</v>
      </c>
      <c r="H13" s="19">
        <v>-78497.33</v>
      </c>
      <c r="I13" s="19">
        <v>-32604.18</v>
      </c>
      <c r="J13" s="19">
        <v>-19768.43</v>
      </c>
      <c r="K13" s="19">
        <v>-12975.21</v>
      </c>
      <c r="L13" s="19">
        <v>-24579.01</v>
      </c>
      <c r="M13" s="19">
        <v>-33042.67</v>
      </c>
      <c r="N13" s="19">
        <v>-35674.22</v>
      </c>
      <c r="O13" s="173">
        <v>-300408.35000000003</v>
      </c>
    </row>
    <row r="14" spans="2:15" x14ac:dyDescent="0.35">
      <c r="B14" s="67" t="s">
        <v>237</v>
      </c>
      <c r="C14" s="170">
        <v>0</v>
      </c>
      <c r="D14" s="170">
        <v>78.790000000000006</v>
      </c>
      <c r="E14" s="170">
        <v>15.51</v>
      </c>
      <c r="F14" s="170">
        <v>0</v>
      </c>
      <c r="G14" s="19">
        <v>2879.75</v>
      </c>
      <c r="H14" s="19">
        <v>1665.7</v>
      </c>
      <c r="I14" s="19">
        <v>604.76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5244.51</v>
      </c>
    </row>
    <row r="15" spans="2:15" x14ac:dyDescent="0.35">
      <c r="B15" s="67" t="s">
        <v>309</v>
      </c>
      <c r="C15" s="170">
        <v>0</v>
      </c>
      <c r="D15" s="170">
        <v>0</v>
      </c>
      <c r="E15" s="170">
        <v>0</v>
      </c>
      <c r="F15" s="170">
        <v>0</v>
      </c>
      <c r="G15" s="19">
        <v>0</v>
      </c>
      <c r="H15" s="19">
        <v>4495.93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4495.93</v>
      </c>
    </row>
    <row r="16" spans="2:15" x14ac:dyDescent="0.35">
      <c r="B16" s="67" t="s">
        <v>60</v>
      </c>
      <c r="C16" s="170">
        <v>250047.3900000001</v>
      </c>
      <c r="D16" s="170">
        <v>889710.84999999986</v>
      </c>
      <c r="E16" s="170">
        <v>874282.35000000033</v>
      </c>
      <c r="F16" s="170">
        <v>676576.85999999987</v>
      </c>
      <c r="G16" s="19">
        <v>1013450.7200000003</v>
      </c>
      <c r="H16" s="19">
        <v>830198.84999999986</v>
      </c>
      <c r="I16" s="19">
        <v>410468.30578100268</v>
      </c>
      <c r="J16" s="19">
        <v>205726.73896870381</v>
      </c>
      <c r="K16" s="19">
        <v>20115.559999999998</v>
      </c>
      <c r="L16" s="19">
        <v>281881.69999999995</v>
      </c>
      <c r="M16" s="19">
        <v>479623.39999999997</v>
      </c>
      <c r="N16" s="19">
        <v>-70247.340000000084</v>
      </c>
      <c r="O16" s="19">
        <v>5861835.3847497087</v>
      </c>
    </row>
    <row r="17" spans="2:31" x14ac:dyDescent="0.35">
      <c r="B17" s="67" t="s">
        <v>425</v>
      </c>
      <c r="C17" s="19">
        <f>+SUM(C4:C9)</f>
        <v>266167.81000000011</v>
      </c>
      <c r="D17" s="19">
        <f t="shared" ref="D17:O17" si="0">+SUM(D4:D9)</f>
        <v>908764.9099999998</v>
      </c>
      <c r="E17" s="19">
        <f t="shared" si="0"/>
        <v>891249.90000000037</v>
      </c>
      <c r="F17" s="19">
        <f t="shared" si="0"/>
        <v>718939.61999999988</v>
      </c>
      <c r="G17" s="19">
        <f t="shared" si="0"/>
        <v>1068413.7200000002</v>
      </c>
      <c r="H17" s="19">
        <f t="shared" si="0"/>
        <v>921594.79999999981</v>
      </c>
      <c r="I17" s="19">
        <f t="shared" si="0"/>
        <v>461781.04578100267</v>
      </c>
      <c r="J17" s="19">
        <f t="shared" si="0"/>
        <v>244720.46896870382</v>
      </c>
      <c r="K17" s="19">
        <f t="shared" si="0"/>
        <v>52316.119999999995</v>
      </c>
      <c r="L17" s="19">
        <f t="shared" si="0"/>
        <v>325686.05999999994</v>
      </c>
      <c r="M17" s="19">
        <f t="shared" si="0"/>
        <v>531891.41999999993</v>
      </c>
      <c r="N17" s="19">
        <f t="shared" si="0"/>
        <v>-15347.770000000077</v>
      </c>
      <c r="O17" s="19">
        <f t="shared" si="0"/>
        <v>6376178.1047497084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2:31" x14ac:dyDescent="0.35">
      <c r="B18" s="21" t="s">
        <v>439</v>
      </c>
      <c r="C18" s="167">
        <f t="shared" ref="C18:J18" si="1">C17/C4</f>
        <v>0.27054602108828918</v>
      </c>
      <c r="D18" s="167">
        <f t="shared" si="1"/>
        <v>0.6180274160284539</v>
      </c>
      <c r="E18" s="167">
        <f t="shared" si="1"/>
        <v>0.58107709845251843</v>
      </c>
      <c r="F18" s="167">
        <f t="shared" si="1"/>
        <v>0.4917015690112756</v>
      </c>
      <c r="G18" s="167">
        <f t="shared" si="1"/>
        <v>0.55475213010218016</v>
      </c>
      <c r="H18" s="167">
        <f t="shared" si="1"/>
        <v>0.46965944396930959</v>
      </c>
      <c r="I18" s="167">
        <f t="shared" si="1"/>
        <v>0.35778834876712307</v>
      </c>
      <c r="J18" s="167">
        <f t="shared" si="1"/>
        <v>0.3105175355962384</v>
      </c>
      <c r="K18" s="167">
        <f>K17/K4</f>
        <v>0.10829617241929938</v>
      </c>
      <c r="L18" s="167">
        <f t="shared" ref="L18:O18" si="2">L17/L4</f>
        <v>0.35709036892412876</v>
      </c>
      <c r="M18" s="167">
        <f t="shared" si="2"/>
        <v>0.43408305367754085</v>
      </c>
      <c r="N18" s="167">
        <f t="shared" si="2"/>
        <v>-1.3434585830494263E-2</v>
      </c>
      <c r="O18" s="167">
        <f t="shared" si="2"/>
        <v>0.42003808331684506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2:31" x14ac:dyDescent="0.35">
      <c r="C19" s="19"/>
      <c r="D19" s="19"/>
      <c r="E19" s="19"/>
      <c r="F19" s="19"/>
      <c r="G19" s="19"/>
      <c r="H19" s="19"/>
      <c r="L19" s="19"/>
      <c r="M19" s="156"/>
      <c r="N19" s="164" t="s">
        <v>424</v>
      </c>
      <c r="O19" s="164">
        <f>SUM(C16:N16)-O16</f>
        <v>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828-DB15-400E-91CA-6CE7FA9D1E79}">
  <dimension ref="B2:X259"/>
  <sheetViews>
    <sheetView topLeftCell="F1" zoomScale="85" zoomScaleNormal="85" workbookViewId="0">
      <selection activeCell="B4" sqref="B4:X205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bestFit="1" customWidth="1"/>
    <col min="10" max="10" width="30.26953125" customWidth="1"/>
    <col min="11" max="11" width="11.1796875" customWidth="1"/>
    <col min="12" max="14" width="12.1796875" customWidth="1"/>
    <col min="15" max="15" width="15.7265625" style="156" customWidth="1"/>
    <col min="16" max="16" width="14.453125" customWidth="1"/>
    <col min="17" max="17" width="21.81640625" style="156" customWidth="1"/>
    <col min="18" max="18" width="21.81640625" customWidth="1"/>
    <col min="19" max="20" width="11.1796875" bestFit="1" customWidth="1"/>
    <col min="21" max="22" width="12.1796875" bestFit="1" customWidth="1"/>
    <col min="23" max="23" width="13.26953125" bestFit="1" customWidth="1"/>
    <col min="24" max="24" width="150.81640625" bestFit="1" customWidth="1"/>
  </cols>
  <sheetData>
    <row r="2" spans="2:24" x14ac:dyDescent="0.35">
      <c r="K2" s="19">
        <f>SUBTOTAL(9,K4:K215)</f>
        <v>250047.39000000025</v>
      </c>
      <c r="L2" s="19">
        <f>SUBTOTAL(9,L4:L215)</f>
        <v>889710.85000000044</v>
      </c>
      <c r="M2" s="19">
        <f>SUBTOTAL(9,M4:M215)</f>
        <v>874282.34999999974</v>
      </c>
      <c r="N2" s="19">
        <f>SUBTOTAL(9,N4:N215)</f>
        <v>676576.86000000034</v>
      </c>
      <c r="O2" s="156">
        <f>SUBTOTAL(9,O4:O2027)</f>
        <v>1013450.7200000004</v>
      </c>
      <c r="P2" s="156">
        <f>SUBTOTAL(9,P4:P2027)</f>
        <v>830198.85000000033</v>
      </c>
      <c r="Q2" s="156">
        <f>SUBTOTAL(9,Q4:Q2096)</f>
        <v>410468.3057810028</v>
      </c>
      <c r="R2" s="19">
        <f>SUBTOTAL(9,R4:R2015)</f>
        <v>205726.73896870387</v>
      </c>
      <c r="S2" s="19">
        <f t="shared" ref="S2:V2" si="0">SUBTOTAL(9,S4:S215)</f>
        <v>20115.560000000092</v>
      </c>
      <c r="T2" s="19">
        <f t="shared" si="0"/>
        <v>281881.6999999996</v>
      </c>
      <c r="U2" s="19">
        <f t="shared" si="0"/>
        <v>479623.40000000055</v>
      </c>
      <c r="V2" s="19">
        <f t="shared" si="0"/>
        <v>-70247.340000000098</v>
      </c>
      <c r="W2" s="19">
        <f>SUBTOTAL(9,W4:W2036)</f>
        <v>5861835.3847497106</v>
      </c>
    </row>
    <row r="3" spans="2:24" x14ac:dyDescent="0.35">
      <c r="B3" s="135" t="s">
        <v>66</v>
      </c>
      <c r="C3" s="135" t="s">
        <v>67</v>
      </c>
      <c r="D3" s="135" t="s">
        <v>68</v>
      </c>
      <c r="E3" s="135" t="s">
        <v>69</v>
      </c>
      <c r="F3" s="135" t="s">
        <v>70</v>
      </c>
      <c r="G3" s="135" t="s">
        <v>71</v>
      </c>
      <c r="H3" s="135" t="s">
        <v>72</v>
      </c>
      <c r="I3" s="135" t="s">
        <v>73</v>
      </c>
      <c r="J3" s="135" t="s">
        <v>74</v>
      </c>
      <c r="K3" s="136">
        <v>46023</v>
      </c>
      <c r="L3" s="136">
        <v>46054</v>
      </c>
      <c r="M3" s="136">
        <v>46082</v>
      </c>
      <c r="N3" s="136">
        <v>46113</v>
      </c>
      <c r="O3" s="136">
        <v>46143</v>
      </c>
      <c r="P3" s="136">
        <v>46174</v>
      </c>
      <c r="Q3" s="136">
        <v>46204</v>
      </c>
      <c r="R3" s="136">
        <v>46235</v>
      </c>
      <c r="S3" s="136">
        <v>46266</v>
      </c>
      <c r="T3" s="136">
        <v>46296</v>
      </c>
      <c r="U3" s="136">
        <v>46327</v>
      </c>
      <c r="V3" s="136">
        <v>46357</v>
      </c>
      <c r="W3" s="136" t="s">
        <v>243</v>
      </c>
    </row>
    <row r="4" spans="2:24" x14ac:dyDescent="0.35">
      <c r="B4">
        <v>2026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65</v>
      </c>
      <c r="J4" t="s">
        <v>239</v>
      </c>
      <c r="K4" s="19">
        <v>993280.49</v>
      </c>
      <c r="L4" s="19">
        <v>1607537.98</v>
      </c>
      <c r="M4" s="19">
        <v>1536177.86</v>
      </c>
      <c r="N4" s="19">
        <v>1217250.42</v>
      </c>
      <c r="O4" s="156">
        <v>2029266.99</v>
      </c>
      <c r="P4" s="19">
        <v>2009948.67</v>
      </c>
      <c r="Q4" s="19">
        <v>1288443.6399999999</v>
      </c>
      <c r="R4" s="19">
        <v>802410.56</v>
      </c>
      <c r="S4" s="19">
        <v>480563.3</v>
      </c>
      <c r="T4" s="19">
        <v>910333.55</v>
      </c>
      <c r="U4" s="19">
        <v>1223802.77</v>
      </c>
      <c r="V4" s="19">
        <v>1321267.54</v>
      </c>
      <c r="W4" s="19">
        <v>15420283.770000003</v>
      </c>
      <c r="X4" t="s">
        <v>472</v>
      </c>
    </row>
    <row r="5" spans="2:24" x14ac:dyDescent="0.35">
      <c r="B5">
        <v>2026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319</v>
      </c>
      <c r="J5" t="s">
        <v>239</v>
      </c>
      <c r="K5" s="19">
        <v>0</v>
      </c>
      <c r="L5" s="19">
        <v>0</v>
      </c>
      <c r="M5" s="19">
        <v>0</v>
      </c>
      <c r="N5" s="19">
        <v>106250.17</v>
      </c>
      <c r="O5" s="156">
        <v>-106250.17</v>
      </c>
      <c r="P5" s="19" t="s">
        <v>397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t="s">
        <v>440</v>
      </c>
    </row>
    <row r="6" spans="2:24" x14ac:dyDescent="0.35">
      <c r="B6">
        <v>2026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320</v>
      </c>
      <c r="J6" t="s">
        <v>239</v>
      </c>
      <c r="K6" s="19">
        <v>17921.38</v>
      </c>
      <c r="L6" s="19">
        <v>12025.38</v>
      </c>
      <c r="M6" s="19">
        <v>8455.5499999999993</v>
      </c>
      <c r="N6" s="19">
        <v>0</v>
      </c>
      <c r="O6" s="156">
        <v>0</v>
      </c>
      <c r="P6" s="19" t="s">
        <v>397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38402.31</v>
      </c>
      <c r="X6" t="s">
        <v>441</v>
      </c>
    </row>
    <row r="7" spans="2:24" x14ac:dyDescent="0.35">
      <c r="B7">
        <v>2026</v>
      </c>
      <c r="C7" t="s">
        <v>75</v>
      </c>
      <c r="D7" t="s">
        <v>76</v>
      </c>
      <c r="E7" t="s">
        <v>77</v>
      </c>
      <c r="F7" t="s">
        <v>78</v>
      </c>
      <c r="G7" t="s">
        <v>118</v>
      </c>
      <c r="H7" t="s">
        <v>80</v>
      </c>
      <c r="I7" t="s">
        <v>398</v>
      </c>
      <c r="J7" t="s">
        <v>239</v>
      </c>
      <c r="K7" s="19">
        <v>0</v>
      </c>
      <c r="L7" s="19">
        <v>0</v>
      </c>
      <c r="M7" s="19">
        <v>0</v>
      </c>
      <c r="N7" s="19">
        <v>750.75</v>
      </c>
      <c r="O7" s="156">
        <v>25140.75</v>
      </c>
      <c r="P7" s="19">
        <v>22977.599999999999</v>
      </c>
      <c r="Q7" s="19">
        <v>11027.24</v>
      </c>
      <c r="R7" s="19">
        <v>11429</v>
      </c>
      <c r="S7" s="19">
        <v>5286.2</v>
      </c>
      <c r="T7" s="19">
        <v>10013.67</v>
      </c>
      <c r="U7" s="19">
        <v>13461.83</v>
      </c>
      <c r="V7" s="19">
        <v>14533.94</v>
      </c>
      <c r="W7" s="19">
        <v>114620.98</v>
      </c>
      <c r="X7" t="s">
        <v>442</v>
      </c>
    </row>
    <row r="8" spans="2:24" x14ac:dyDescent="0.35">
      <c r="B8">
        <v>2026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321</v>
      </c>
      <c r="J8" t="s">
        <v>239</v>
      </c>
      <c r="K8" s="19">
        <v>5635.79</v>
      </c>
      <c r="L8" s="19">
        <v>202.81</v>
      </c>
      <c r="M8" s="19">
        <v>178.05</v>
      </c>
      <c r="N8" s="19">
        <v>0</v>
      </c>
      <c r="O8" s="156" t="s">
        <v>397</v>
      </c>
      <c r="P8" s="19" t="s">
        <v>397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6016.6500000000005</v>
      </c>
      <c r="X8" t="s">
        <v>441</v>
      </c>
    </row>
    <row r="9" spans="2:24" x14ac:dyDescent="0.35">
      <c r="B9">
        <v>2026</v>
      </c>
      <c r="C9" t="s">
        <v>75</v>
      </c>
      <c r="D9" t="s">
        <v>76</v>
      </c>
      <c r="E9" t="s">
        <v>77</v>
      </c>
      <c r="F9" t="s">
        <v>228</v>
      </c>
      <c r="G9" t="s">
        <v>309</v>
      </c>
      <c r="H9" t="s">
        <v>80</v>
      </c>
      <c r="I9" t="s">
        <v>321</v>
      </c>
      <c r="J9" t="s">
        <v>239</v>
      </c>
      <c r="K9" s="19">
        <v>0</v>
      </c>
      <c r="L9" s="19">
        <v>0</v>
      </c>
      <c r="M9" s="19">
        <v>0</v>
      </c>
      <c r="N9" s="19">
        <v>0</v>
      </c>
      <c r="O9" s="156" t="s">
        <v>397</v>
      </c>
      <c r="P9" s="19" t="s">
        <v>397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t="s">
        <v>440</v>
      </c>
    </row>
    <row r="10" spans="2:24" x14ac:dyDescent="0.35">
      <c r="B10">
        <v>2026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312</v>
      </c>
      <c r="I10" t="s">
        <v>322</v>
      </c>
      <c r="J10" t="s">
        <v>239</v>
      </c>
      <c r="K10" s="19">
        <v>0</v>
      </c>
      <c r="L10" s="19">
        <v>0</v>
      </c>
      <c r="M10" s="19">
        <v>0</v>
      </c>
      <c r="N10" s="19">
        <v>51164.86</v>
      </c>
      <c r="P10" s="19"/>
      <c r="Q10" s="19"/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51164.86</v>
      </c>
      <c r="X10" t="s">
        <v>441</v>
      </c>
    </row>
    <row r="11" spans="2:24" x14ac:dyDescent="0.35">
      <c r="B11">
        <v>2026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81</v>
      </c>
      <c r="I11" t="s">
        <v>323</v>
      </c>
      <c r="J11" t="s">
        <v>239</v>
      </c>
      <c r="K11" s="19">
        <v>0</v>
      </c>
      <c r="L11" s="19">
        <v>0</v>
      </c>
      <c r="M11" s="19">
        <v>26.26</v>
      </c>
      <c r="N11" s="19">
        <v>0</v>
      </c>
      <c r="O11" s="161" t="s">
        <v>397</v>
      </c>
      <c r="P11" s="19" t="s">
        <v>397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26.26</v>
      </c>
      <c r="X11" t="s">
        <v>441</v>
      </c>
    </row>
    <row r="12" spans="2:24" x14ac:dyDescent="0.35">
      <c r="B12">
        <v>2026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82</v>
      </c>
      <c r="I12" t="s">
        <v>83</v>
      </c>
      <c r="J12" t="s">
        <v>239</v>
      </c>
      <c r="K12" s="19">
        <v>0</v>
      </c>
      <c r="L12" s="19">
        <v>4500</v>
      </c>
      <c r="M12" s="19">
        <v>13500</v>
      </c>
      <c r="N12" s="19">
        <v>35533.660000000003</v>
      </c>
      <c r="O12" s="161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53533.66</v>
      </c>
      <c r="X12" t="s">
        <v>441</v>
      </c>
    </row>
    <row r="13" spans="2:24" x14ac:dyDescent="0.35">
      <c r="B13">
        <v>2026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84</v>
      </c>
      <c r="I13" t="s">
        <v>324</v>
      </c>
      <c r="J13" t="s">
        <v>239</v>
      </c>
      <c r="K13" s="19">
        <v>0</v>
      </c>
      <c r="L13" s="19">
        <v>0</v>
      </c>
      <c r="M13" s="19">
        <v>0</v>
      </c>
      <c r="N13" s="19">
        <v>48700.800000000003</v>
      </c>
      <c r="O13" s="161"/>
      <c r="P13" s="19"/>
      <c r="Q13" s="19"/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48700.800000000003</v>
      </c>
      <c r="X13" t="s">
        <v>441</v>
      </c>
    </row>
    <row r="14" spans="2:24" x14ac:dyDescent="0.35">
      <c r="B14">
        <v>2026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84</v>
      </c>
      <c r="I14" t="s">
        <v>85</v>
      </c>
      <c r="J14" t="s">
        <v>239</v>
      </c>
      <c r="K14" s="19">
        <v>1295.6300000000001</v>
      </c>
      <c r="L14" s="19">
        <v>6097.12</v>
      </c>
      <c r="M14" s="19">
        <v>-1420.15</v>
      </c>
      <c r="N14" s="19">
        <v>3246.37</v>
      </c>
      <c r="O14" s="161">
        <v>2913.09</v>
      </c>
      <c r="P14" s="19">
        <v>2313.16</v>
      </c>
      <c r="Q14" s="19">
        <v>2210.59</v>
      </c>
      <c r="R14" s="19">
        <v>1694.59</v>
      </c>
      <c r="S14" s="19">
        <v>2520.44</v>
      </c>
      <c r="T14" s="19">
        <v>1721.46</v>
      </c>
      <c r="U14" s="19">
        <v>1519.01</v>
      </c>
      <c r="V14" s="19">
        <v>5378.56</v>
      </c>
      <c r="W14" s="19">
        <v>29489.87</v>
      </c>
      <c r="X14" t="s">
        <v>443</v>
      </c>
    </row>
    <row r="15" spans="2:24" x14ac:dyDescent="0.35">
      <c r="B15">
        <v>2026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86</v>
      </c>
      <c r="I15" t="s">
        <v>325</v>
      </c>
      <c r="J15" t="s">
        <v>239</v>
      </c>
      <c r="K15" s="19">
        <v>-34316.160000000003</v>
      </c>
      <c r="L15" s="19">
        <v>-77173.86</v>
      </c>
      <c r="M15" s="19">
        <v>-22849.78</v>
      </c>
      <c r="N15" s="19">
        <v>0</v>
      </c>
      <c r="O15" s="161">
        <v>0</v>
      </c>
      <c r="P15" s="19" t="s">
        <v>397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-134339.79999999999</v>
      </c>
      <c r="X15" t="s">
        <v>441</v>
      </c>
    </row>
    <row r="16" spans="2:24" x14ac:dyDescent="0.35">
      <c r="B16">
        <v>2026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87</v>
      </c>
      <c r="I16" t="s">
        <v>326</v>
      </c>
      <c r="J16" t="s">
        <v>239</v>
      </c>
      <c r="K16" s="19">
        <v>0</v>
      </c>
      <c r="L16" s="19">
        <v>0</v>
      </c>
      <c r="M16" s="19">
        <v>-278.38</v>
      </c>
      <c r="N16" s="19">
        <v>0</v>
      </c>
      <c r="O16" s="156" t="s">
        <v>397</v>
      </c>
      <c r="P16" s="19" t="s">
        <v>397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-278.38</v>
      </c>
      <c r="X16" t="s">
        <v>441</v>
      </c>
    </row>
    <row r="17" spans="2:24" x14ac:dyDescent="0.35">
      <c r="B17">
        <v>2026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87</v>
      </c>
      <c r="I17" t="s">
        <v>88</v>
      </c>
      <c r="J17" t="s">
        <v>239</v>
      </c>
      <c r="K17" s="19">
        <v>0</v>
      </c>
      <c r="L17" s="19">
        <v>-82761.279999999999</v>
      </c>
      <c r="M17" s="19">
        <v>0</v>
      </c>
      <c r="N17" s="19">
        <v>0</v>
      </c>
      <c r="O17" s="156" t="s">
        <v>397</v>
      </c>
      <c r="P17" s="19">
        <v>-50000</v>
      </c>
      <c r="Q17" s="19">
        <v>0</v>
      </c>
      <c r="R17" s="19">
        <v>-16000</v>
      </c>
      <c r="S17" s="19">
        <v>0</v>
      </c>
      <c r="T17" s="19">
        <v>0</v>
      </c>
      <c r="U17" s="19">
        <v>0</v>
      </c>
      <c r="V17" s="19">
        <v>-184238.72</v>
      </c>
      <c r="W17" s="19">
        <v>-333000</v>
      </c>
      <c r="X17" t="s">
        <v>473</v>
      </c>
    </row>
    <row r="18" spans="2:24" x14ac:dyDescent="0.35">
      <c r="B18">
        <v>2026</v>
      </c>
      <c r="C18" t="s">
        <v>75</v>
      </c>
      <c r="D18" t="s">
        <v>76</v>
      </c>
      <c r="E18" t="s">
        <v>77</v>
      </c>
      <c r="F18" t="s">
        <v>78</v>
      </c>
      <c r="G18" t="s">
        <v>89</v>
      </c>
      <c r="H18" t="s">
        <v>90</v>
      </c>
      <c r="I18" t="s">
        <v>327</v>
      </c>
      <c r="J18" t="s">
        <v>239</v>
      </c>
      <c r="K18" s="19">
        <v>0</v>
      </c>
      <c r="L18" s="19">
        <v>0</v>
      </c>
      <c r="M18" s="19">
        <v>2000</v>
      </c>
      <c r="N18" s="19">
        <v>0</v>
      </c>
      <c r="O18" s="156" t="s">
        <v>397</v>
      </c>
      <c r="P18" s="19" t="s">
        <v>397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2000</v>
      </c>
      <c r="X18" t="s">
        <v>441</v>
      </c>
    </row>
    <row r="19" spans="2:24" x14ac:dyDescent="0.35">
      <c r="B19">
        <v>2026</v>
      </c>
      <c r="C19" t="s">
        <v>75</v>
      </c>
      <c r="D19" t="s">
        <v>76</v>
      </c>
      <c r="E19" t="s">
        <v>77</v>
      </c>
      <c r="F19" t="s">
        <v>78</v>
      </c>
      <c r="G19" t="s">
        <v>91</v>
      </c>
      <c r="H19" t="s">
        <v>92</v>
      </c>
      <c r="I19" t="s">
        <v>93</v>
      </c>
      <c r="J19" t="s">
        <v>239</v>
      </c>
      <c r="K19" s="19">
        <v>-0.2</v>
      </c>
      <c r="L19" s="19">
        <v>0</v>
      </c>
      <c r="M19" s="19">
        <v>-0.14000000000000001</v>
      </c>
      <c r="N19" s="19">
        <v>-93.18</v>
      </c>
      <c r="O19" s="156">
        <v>-1.43</v>
      </c>
      <c r="P19" s="19" t="s">
        <v>397</v>
      </c>
      <c r="Q19" s="19">
        <v>-88.03</v>
      </c>
      <c r="R19" s="19">
        <v>-0.02</v>
      </c>
      <c r="S19" s="19">
        <v>0</v>
      </c>
      <c r="T19" s="19">
        <v>0</v>
      </c>
      <c r="U19" s="19">
        <v>0</v>
      </c>
      <c r="V19" s="19">
        <v>0</v>
      </c>
      <c r="W19" s="19">
        <v>-183.00000000000003</v>
      </c>
      <c r="X19" t="s">
        <v>441</v>
      </c>
    </row>
    <row r="20" spans="2:24" x14ac:dyDescent="0.35">
      <c r="B20">
        <v>2026</v>
      </c>
      <c r="C20" t="s">
        <v>75</v>
      </c>
      <c r="D20" t="s">
        <v>76</v>
      </c>
      <c r="E20" t="s">
        <v>77</v>
      </c>
      <c r="F20" t="s">
        <v>78</v>
      </c>
      <c r="G20" t="s">
        <v>91</v>
      </c>
      <c r="H20" t="s">
        <v>94</v>
      </c>
      <c r="I20" t="s">
        <v>95</v>
      </c>
      <c r="J20" t="s">
        <v>239</v>
      </c>
      <c r="K20" s="19">
        <v>3065.47</v>
      </c>
      <c r="L20" s="19">
        <v>0.02</v>
      </c>
      <c r="M20" s="19">
        <v>0</v>
      </c>
      <c r="N20" s="19">
        <v>1117.44</v>
      </c>
      <c r="O20" s="156" t="s">
        <v>397</v>
      </c>
      <c r="P20" s="19" t="s">
        <v>397</v>
      </c>
      <c r="Q20" s="19">
        <v>0</v>
      </c>
      <c r="R20" s="19">
        <v>0.01</v>
      </c>
      <c r="S20" s="19">
        <v>0</v>
      </c>
      <c r="T20" s="19">
        <v>0</v>
      </c>
      <c r="U20" s="19">
        <v>0</v>
      </c>
      <c r="V20" s="19">
        <v>0</v>
      </c>
      <c r="W20" s="19">
        <v>4182.9400000000005</v>
      </c>
      <c r="X20" t="s">
        <v>441</v>
      </c>
    </row>
    <row r="21" spans="2:24" x14ac:dyDescent="0.35">
      <c r="B21">
        <v>2026</v>
      </c>
      <c r="C21" t="s">
        <v>75</v>
      </c>
      <c r="D21" t="s">
        <v>76</v>
      </c>
      <c r="E21" t="s">
        <v>77</v>
      </c>
      <c r="F21" t="s">
        <v>78</v>
      </c>
      <c r="G21" t="s">
        <v>96</v>
      </c>
      <c r="H21" t="s">
        <v>97</v>
      </c>
      <c r="I21" t="s">
        <v>328</v>
      </c>
      <c r="J21" t="s">
        <v>239</v>
      </c>
      <c r="K21" s="19">
        <v>1191.8499999999999</v>
      </c>
      <c r="L21" s="19">
        <v>-20400.169999999998</v>
      </c>
      <c r="M21" s="19">
        <v>-3284.66</v>
      </c>
      <c r="N21" s="19">
        <v>15429.21</v>
      </c>
      <c r="O21" s="156">
        <v>4436.0200000000004</v>
      </c>
      <c r="P21" s="19">
        <v>-12387.42</v>
      </c>
      <c r="Q21" s="19">
        <v>-48438.2</v>
      </c>
      <c r="R21" s="19">
        <v>27557.62</v>
      </c>
      <c r="S21" s="19">
        <v>0</v>
      </c>
      <c r="T21" s="19">
        <v>0</v>
      </c>
      <c r="U21" s="19">
        <v>0</v>
      </c>
      <c r="V21" s="19">
        <v>0</v>
      </c>
      <c r="W21" s="19">
        <v>-35895.75</v>
      </c>
      <c r="X21" t="s">
        <v>444</v>
      </c>
    </row>
    <row r="22" spans="2:24" x14ac:dyDescent="0.35">
      <c r="B22">
        <v>2026</v>
      </c>
      <c r="C22" t="s">
        <v>75</v>
      </c>
      <c r="D22" t="s">
        <v>76</v>
      </c>
      <c r="E22" t="s">
        <v>77</v>
      </c>
      <c r="F22" t="s">
        <v>78</v>
      </c>
      <c r="G22" t="s">
        <v>96</v>
      </c>
      <c r="H22" t="s">
        <v>98</v>
      </c>
      <c r="I22" t="s">
        <v>329</v>
      </c>
      <c r="J22" t="s">
        <v>239</v>
      </c>
      <c r="K22" s="19">
        <v>-86069.93</v>
      </c>
      <c r="L22" s="19">
        <v>70405.740000000005</v>
      </c>
      <c r="M22" s="19">
        <v>86837.43</v>
      </c>
      <c r="N22" s="19">
        <v>-6784.01</v>
      </c>
      <c r="O22" s="156">
        <v>-34727.120000000003</v>
      </c>
      <c r="P22" s="19">
        <v>-77717.45</v>
      </c>
      <c r="Q22" s="19">
        <v>42145.57</v>
      </c>
      <c r="R22" s="19">
        <v>-20822.98</v>
      </c>
      <c r="S22" s="19">
        <v>0</v>
      </c>
      <c r="T22" s="19">
        <v>0</v>
      </c>
      <c r="U22" s="19">
        <v>0</v>
      </c>
      <c r="V22" s="19">
        <v>0</v>
      </c>
      <c r="W22" s="19">
        <v>-26732.749999999996</v>
      </c>
      <c r="X22" t="s">
        <v>444</v>
      </c>
    </row>
    <row r="23" spans="2:24" x14ac:dyDescent="0.35">
      <c r="B23">
        <v>2026</v>
      </c>
      <c r="C23" t="s">
        <v>75</v>
      </c>
      <c r="D23" t="s">
        <v>76</v>
      </c>
      <c r="E23" t="s">
        <v>77</v>
      </c>
      <c r="F23" t="s">
        <v>78</v>
      </c>
      <c r="G23" t="s">
        <v>99</v>
      </c>
      <c r="H23" t="s">
        <v>100</v>
      </c>
      <c r="I23" t="s">
        <v>101</v>
      </c>
      <c r="J23" t="s">
        <v>239</v>
      </c>
      <c r="K23" s="19">
        <v>-372155.73</v>
      </c>
      <c r="L23" s="19">
        <v>-457091.9</v>
      </c>
      <c r="M23" s="19">
        <v>-457890.87</v>
      </c>
      <c r="N23" s="19">
        <v>-391545.47</v>
      </c>
      <c r="O23" s="156">
        <v>-423709.62999999989</v>
      </c>
      <c r="P23" s="19">
        <v>-393937.01</v>
      </c>
      <c r="Q23" s="19">
        <v>-362186.44</v>
      </c>
      <c r="R23" s="19">
        <v>-189242.44</v>
      </c>
      <c r="S23" s="19">
        <v>-124233.67</v>
      </c>
      <c r="T23" s="19">
        <v>-235336.47</v>
      </c>
      <c r="U23" s="19">
        <v>-316373.51</v>
      </c>
      <c r="V23" s="19">
        <v>-341569.79</v>
      </c>
      <c r="W23" s="19">
        <v>-4065272.9299999997</v>
      </c>
      <c r="X23" t="s">
        <v>482</v>
      </c>
    </row>
    <row r="24" spans="2:24" x14ac:dyDescent="0.35">
      <c r="B24">
        <v>2026</v>
      </c>
      <c r="C24" t="s">
        <v>75</v>
      </c>
      <c r="D24" t="s">
        <v>76</v>
      </c>
      <c r="E24" t="s">
        <v>77</v>
      </c>
      <c r="F24" t="s">
        <v>78</v>
      </c>
      <c r="G24" t="s">
        <v>99</v>
      </c>
      <c r="H24" t="s">
        <v>102</v>
      </c>
      <c r="I24" t="s">
        <v>103</v>
      </c>
      <c r="J24" t="s">
        <v>239</v>
      </c>
      <c r="K24" s="19">
        <v>-103817.84</v>
      </c>
      <c r="L24" s="19">
        <v>-62983.5</v>
      </c>
      <c r="M24" s="19">
        <v>-55812.27</v>
      </c>
      <c r="N24" s="19">
        <v>-92652.34</v>
      </c>
      <c r="O24" s="156">
        <v>-30193.149999999991</v>
      </c>
      <c r="P24" s="19">
        <v>-119472.15</v>
      </c>
      <c r="Q24" s="19">
        <v>-145291.04999999999</v>
      </c>
      <c r="R24" s="19">
        <v>-8606.0399999999936</v>
      </c>
      <c r="S24" s="19">
        <v>-25894.98</v>
      </c>
      <c r="T24" s="19">
        <v>-49053</v>
      </c>
      <c r="U24" s="19">
        <v>-65944.179999999993</v>
      </c>
      <c r="V24" s="19">
        <v>-71196.03</v>
      </c>
      <c r="W24" s="19">
        <v>-830916.5299999998</v>
      </c>
      <c r="X24" t="s">
        <v>483</v>
      </c>
    </row>
    <row r="25" spans="2:24" x14ac:dyDescent="0.35">
      <c r="B25">
        <v>2026</v>
      </c>
      <c r="C25" t="s">
        <v>75</v>
      </c>
      <c r="D25" t="s">
        <v>76</v>
      </c>
      <c r="E25" t="s">
        <v>77</v>
      </c>
      <c r="F25" t="s">
        <v>78</v>
      </c>
      <c r="G25" t="s">
        <v>99</v>
      </c>
      <c r="H25" t="s">
        <v>102</v>
      </c>
      <c r="I25" t="s">
        <v>414</v>
      </c>
      <c r="J25" t="s">
        <v>239</v>
      </c>
      <c r="K25" s="19"/>
      <c r="L25" s="19"/>
      <c r="M25" s="19"/>
      <c r="N25" s="19"/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t="s">
        <v>484</v>
      </c>
    </row>
    <row r="26" spans="2:24" x14ac:dyDescent="0.35">
      <c r="B26">
        <v>2026</v>
      </c>
      <c r="C26" t="s">
        <v>75</v>
      </c>
      <c r="D26" t="s">
        <v>76</v>
      </c>
      <c r="E26" t="s">
        <v>77</v>
      </c>
      <c r="F26" t="s">
        <v>78</v>
      </c>
      <c r="G26" t="s">
        <v>99</v>
      </c>
      <c r="H26" t="s">
        <v>102</v>
      </c>
      <c r="I26" t="s">
        <v>104</v>
      </c>
      <c r="J26" t="s">
        <v>239</v>
      </c>
      <c r="K26" s="19">
        <v>-12617.31</v>
      </c>
      <c r="L26" s="19">
        <v>-5458.67</v>
      </c>
      <c r="M26" s="19">
        <v>-15267.33</v>
      </c>
      <c r="N26" s="19">
        <v>-9307.32</v>
      </c>
      <c r="O26" s="156">
        <v>-2784.91</v>
      </c>
      <c r="P26" s="19">
        <v>-5867.49</v>
      </c>
      <c r="Q26" s="19">
        <v>-10270.19</v>
      </c>
      <c r="R26" s="19">
        <v>-2886.68</v>
      </c>
      <c r="S26" s="19">
        <v>-2625.86</v>
      </c>
      <c r="T26" s="19">
        <v>-4974.16</v>
      </c>
      <c r="U26" s="19">
        <v>-6687</v>
      </c>
      <c r="V26" s="19">
        <v>-7219.56</v>
      </c>
      <c r="W26" s="19">
        <v>-85966.48</v>
      </c>
      <c r="X26" t="s">
        <v>485</v>
      </c>
    </row>
    <row r="27" spans="2:24" x14ac:dyDescent="0.35">
      <c r="B27">
        <v>2026</v>
      </c>
      <c r="C27" t="s">
        <v>75</v>
      </c>
      <c r="D27" t="s">
        <v>76</v>
      </c>
      <c r="E27" t="s">
        <v>77</v>
      </c>
      <c r="F27" t="s">
        <v>78</v>
      </c>
      <c r="G27" t="s">
        <v>99</v>
      </c>
      <c r="H27" t="s">
        <v>102</v>
      </c>
      <c r="I27" t="s">
        <v>105</v>
      </c>
      <c r="J27" t="s">
        <v>239</v>
      </c>
      <c r="K27" s="19">
        <v>-7425.6</v>
      </c>
      <c r="L27" s="19">
        <v>-3712.8</v>
      </c>
      <c r="M27" s="19">
        <v>-4331.6000000000004</v>
      </c>
      <c r="N27" s="19">
        <v>-12608.05</v>
      </c>
      <c r="O27" s="156">
        <v>-17326.400000000001</v>
      </c>
      <c r="P27" s="19">
        <v>-12994.8</v>
      </c>
      <c r="Q27" s="19">
        <v>-4331.6000000000004</v>
      </c>
      <c r="R27" s="19">
        <v>-4331.6000000000004</v>
      </c>
      <c r="S27" s="19">
        <v>-2731.63</v>
      </c>
      <c r="T27" s="19">
        <v>-5174.53</v>
      </c>
      <c r="U27" s="19">
        <v>-6956.35</v>
      </c>
      <c r="V27" s="19">
        <v>-7510.36</v>
      </c>
      <c r="W27" s="19">
        <v>-89435.32</v>
      </c>
      <c r="X27" t="s">
        <v>486</v>
      </c>
    </row>
    <row r="28" spans="2:24" x14ac:dyDescent="0.35">
      <c r="B28">
        <v>2026</v>
      </c>
      <c r="C28" t="s">
        <v>75</v>
      </c>
      <c r="D28" t="s">
        <v>76</v>
      </c>
      <c r="E28" t="s">
        <v>77</v>
      </c>
      <c r="F28" t="s">
        <v>78</v>
      </c>
      <c r="G28" t="s">
        <v>99</v>
      </c>
      <c r="H28" t="s">
        <v>102</v>
      </c>
      <c r="I28" t="s">
        <v>106</v>
      </c>
      <c r="J28" t="s">
        <v>239</v>
      </c>
      <c r="K28" s="19">
        <v>-131.91999999999999</v>
      </c>
      <c r="L28" s="19">
        <v>0</v>
      </c>
      <c r="M28" s="19">
        <v>0</v>
      </c>
      <c r="N28" s="19">
        <v>0</v>
      </c>
      <c r="O28" s="156" t="s">
        <v>397</v>
      </c>
      <c r="P28" s="19" t="s">
        <v>397</v>
      </c>
      <c r="Q28" s="19">
        <v>0</v>
      </c>
      <c r="R28" s="19">
        <v>0</v>
      </c>
      <c r="S28" s="19">
        <v>-131.91999999999999</v>
      </c>
      <c r="T28" s="19">
        <v>-131.91999999999999</v>
      </c>
      <c r="U28" s="19">
        <v>-131.91999999999999</v>
      </c>
      <c r="V28" s="19">
        <v>-131.91999999999999</v>
      </c>
      <c r="W28" s="19">
        <v>-659.59999999999991</v>
      </c>
      <c r="X28" t="s">
        <v>445</v>
      </c>
    </row>
    <row r="29" spans="2:24" x14ac:dyDescent="0.35">
      <c r="B29">
        <v>2026</v>
      </c>
      <c r="C29" t="s">
        <v>75</v>
      </c>
      <c r="D29" t="s">
        <v>76</v>
      </c>
      <c r="E29" t="s">
        <v>77</v>
      </c>
      <c r="F29" t="s">
        <v>78</v>
      </c>
      <c r="G29" t="s">
        <v>99</v>
      </c>
      <c r="H29" t="s">
        <v>102</v>
      </c>
      <c r="I29" t="s">
        <v>107</v>
      </c>
      <c r="J29" t="s">
        <v>239</v>
      </c>
      <c r="K29" s="19">
        <v>-95.3</v>
      </c>
      <c r="L29" s="19">
        <v>-136</v>
      </c>
      <c r="M29" s="19">
        <v>0</v>
      </c>
      <c r="N29" s="19">
        <v>-380.75</v>
      </c>
      <c r="O29" s="156" t="s">
        <v>397</v>
      </c>
      <c r="P29" s="19" t="s">
        <v>397</v>
      </c>
      <c r="Q29" s="19">
        <v>0</v>
      </c>
      <c r="R29" s="19">
        <v>0</v>
      </c>
      <c r="S29" s="19">
        <v>-204.02</v>
      </c>
      <c r="T29" s="19">
        <v>-204.02</v>
      </c>
      <c r="U29" s="19">
        <v>-204.02</v>
      </c>
      <c r="V29" s="19">
        <v>-204.02</v>
      </c>
      <c r="W29" s="19">
        <v>-1428.1299999999999</v>
      </c>
      <c r="X29" t="s">
        <v>445</v>
      </c>
    </row>
    <row r="30" spans="2:24" x14ac:dyDescent="0.35">
      <c r="B30">
        <v>2026</v>
      </c>
      <c r="C30" t="s">
        <v>75</v>
      </c>
      <c r="D30" t="s">
        <v>76</v>
      </c>
      <c r="E30" t="s">
        <v>77</v>
      </c>
      <c r="F30" t="s">
        <v>78</v>
      </c>
      <c r="G30" t="s">
        <v>99</v>
      </c>
      <c r="H30" t="s">
        <v>102</v>
      </c>
      <c r="I30" t="s">
        <v>108</v>
      </c>
      <c r="J30" t="s">
        <v>239</v>
      </c>
      <c r="K30" s="19">
        <v>-3578.65</v>
      </c>
      <c r="L30" s="19">
        <v>0</v>
      </c>
      <c r="M30" s="19">
        <v>-5949</v>
      </c>
      <c r="N30" s="19">
        <v>-5353</v>
      </c>
      <c r="O30" s="156" t="s">
        <v>397</v>
      </c>
      <c r="P30" s="19">
        <v>-3337.38</v>
      </c>
      <c r="Q30" s="19">
        <v>-5826.6</v>
      </c>
      <c r="R30" s="19">
        <v>-1108.8</v>
      </c>
      <c r="S30" s="19">
        <v>-1071.6600000000001</v>
      </c>
      <c r="T30" s="19">
        <v>-2030.04</v>
      </c>
      <c r="U30" s="19">
        <v>-2729.08</v>
      </c>
      <c r="V30" s="19">
        <v>-2946.43</v>
      </c>
      <c r="W30" s="19">
        <v>-33930.639999999999</v>
      </c>
      <c r="X30" t="s">
        <v>474</v>
      </c>
    </row>
    <row r="31" spans="2:24" x14ac:dyDescent="0.35">
      <c r="B31">
        <v>2026</v>
      </c>
      <c r="C31" t="s">
        <v>75</v>
      </c>
      <c r="D31" t="s">
        <v>76</v>
      </c>
      <c r="E31" t="s">
        <v>77</v>
      </c>
      <c r="F31" t="s">
        <v>78</v>
      </c>
      <c r="G31" t="s">
        <v>99</v>
      </c>
      <c r="H31" t="s">
        <v>102</v>
      </c>
      <c r="I31" t="s">
        <v>109</v>
      </c>
      <c r="J31" t="s">
        <v>239</v>
      </c>
      <c r="K31" s="19">
        <v>0</v>
      </c>
      <c r="L31" s="19">
        <v>0</v>
      </c>
      <c r="M31" s="19">
        <v>0</v>
      </c>
      <c r="N31" s="19">
        <v>0</v>
      </c>
      <c r="O31" s="156">
        <v>0</v>
      </c>
      <c r="P31" s="19" t="s">
        <v>397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t="s">
        <v>446</v>
      </c>
    </row>
    <row r="32" spans="2:24" x14ac:dyDescent="0.35">
      <c r="B32">
        <v>2026</v>
      </c>
      <c r="C32" t="s">
        <v>75</v>
      </c>
      <c r="D32" t="s">
        <v>76</v>
      </c>
      <c r="E32" t="s">
        <v>77</v>
      </c>
      <c r="F32" t="s">
        <v>78</v>
      </c>
      <c r="G32" t="s">
        <v>99</v>
      </c>
      <c r="H32" t="s">
        <v>102</v>
      </c>
      <c r="I32" t="s">
        <v>110</v>
      </c>
      <c r="J32" t="s">
        <v>239</v>
      </c>
      <c r="K32" s="19">
        <v>0</v>
      </c>
      <c r="L32" s="19">
        <v>0</v>
      </c>
      <c r="M32" s="19">
        <v>0</v>
      </c>
      <c r="N32" s="19">
        <v>0</v>
      </c>
      <c r="O32" s="156">
        <v>0</v>
      </c>
      <c r="P32" s="19" t="s">
        <v>397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t="s">
        <v>446</v>
      </c>
    </row>
    <row r="33" spans="2:24" x14ac:dyDescent="0.35">
      <c r="B33">
        <v>2026</v>
      </c>
      <c r="C33" t="s">
        <v>75</v>
      </c>
      <c r="D33" t="s">
        <v>76</v>
      </c>
      <c r="E33" t="s">
        <v>77</v>
      </c>
      <c r="F33" t="s">
        <v>78</v>
      </c>
      <c r="G33" t="s">
        <v>99</v>
      </c>
      <c r="H33" t="s">
        <v>102</v>
      </c>
      <c r="I33" t="s">
        <v>111</v>
      </c>
      <c r="J33" t="s">
        <v>239</v>
      </c>
      <c r="K33" s="19">
        <v>0</v>
      </c>
      <c r="L33" s="19">
        <v>0</v>
      </c>
      <c r="M33" s="19">
        <v>0</v>
      </c>
      <c r="N33" s="19">
        <v>0</v>
      </c>
      <c r="O33" s="156">
        <v>0</v>
      </c>
      <c r="P33" s="19" t="s">
        <v>397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t="s">
        <v>446</v>
      </c>
    </row>
    <row r="34" spans="2:24" x14ac:dyDescent="0.35">
      <c r="B34">
        <v>2026</v>
      </c>
      <c r="C34" t="s">
        <v>75</v>
      </c>
      <c r="D34" t="s">
        <v>76</v>
      </c>
      <c r="E34" t="s">
        <v>77</v>
      </c>
      <c r="F34" t="s">
        <v>78</v>
      </c>
      <c r="G34" t="s">
        <v>99</v>
      </c>
      <c r="H34" t="s">
        <v>102</v>
      </c>
      <c r="I34" t="s">
        <v>112</v>
      </c>
      <c r="J34" t="s">
        <v>239</v>
      </c>
      <c r="K34" s="19">
        <v>0</v>
      </c>
      <c r="L34" s="19">
        <v>-1575</v>
      </c>
      <c r="M34" s="19">
        <v>0</v>
      </c>
      <c r="N34" s="19">
        <v>0</v>
      </c>
      <c r="O34" s="156" t="s">
        <v>397</v>
      </c>
      <c r="P34" s="19">
        <v>-1735.41</v>
      </c>
      <c r="Q34" s="19">
        <v>-175.92</v>
      </c>
      <c r="R34" s="19">
        <v>-371.23</v>
      </c>
      <c r="S34" s="19">
        <v>-964.39</v>
      </c>
      <c r="T34" s="19">
        <v>-964.39</v>
      </c>
      <c r="U34" s="19">
        <v>-964.39</v>
      </c>
      <c r="V34" s="19">
        <v>-964.39</v>
      </c>
      <c r="W34" s="19">
        <v>-7715.1200000000008</v>
      </c>
      <c r="X34" t="s">
        <v>445</v>
      </c>
    </row>
    <row r="35" spans="2:24" x14ac:dyDescent="0.35">
      <c r="B35">
        <v>2026</v>
      </c>
      <c r="C35" t="s">
        <v>75</v>
      </c>
      <c r="D35" t="s">
        <v>76</v>
      </c>
      <c r="E35" t="s">
        <v>77</v>
      </c>
      <c r="F35" t="s">
        <v>78</v>
      </c>
      <c r="G35" t="s">
        <v>99</v>
      </c>
      <c r="H35" t="s">
        <v>102</v>
      </c>
      <c r="I35" t="s">
        <v>113</v>
      </c>
      <c r="J35" t="s">
        <v>239</v>
      </c>
      <c r="K35" s="19">
        <v>0</v>
      </c>
      <c r="L35" s="19">
        <v>-1887.21</v>
      </c>
      <c r="M35" s="19">
        <v>0</v>
      </c>
      <c r="N35" s="19">
        <v>0</v>
      </c>
      <c r="O35" s="156" t="s">
        <v>397</v>
      </c>
      <c r="P35" s="19" t="s">
        <v>397</v>
      </c>
      <c r="Q35" s="19">
        <v>-1232.05</v>
      </c>
      <c r="R35" s="19">
        <v>0</v>
      </c>
      <c r="S35" s="19">
        <v>-1559.63</v>
      </c>
      <c r="T35" s="19">
        <v>-1559.63</v>
      </c>
      <c r="U35" s="19">
        <v>-1559.63</v>
      </c>
      <c r="V35" s="19">
        <v>-1559.63</v>
      </c>
      <c r="W35" s="19">
        <v>-9357.7800000000007</v>
      </c>
      <c r="X35" t="s">
        <v>445</v>
      </c>
    </row>
    <row r="36" spans="2:24" x14ac:dyDescent="0.35">
      <c r="B36">
        <v>2026</v>
      </c>
      <c r="C36" t="s">
        <v>75</v>
      </c>
      <c r="D36" t="s">
        <v>76</v>
      </c>
      <c r="E36" t="s">
        <v>77</v>
      </c>
      <c r="F36" t="s">
        <v>78</v>
      </c>
      <c r="G36" t="s">
        <v>99</v>
      </c>
      <c r="H36" t="s">
        <v>102</v>
      </c>
      <c r="I36" t="s">
        <v>331</v>
      </c>
      <c r="J36" t="s">
        <v>239</v>
      </c>
      <c r="K36" s="19">
        <v>-157</v>
      </c>
      <c r="L36" s="19">
        <v>-2350.16</v>
      </c>
      <c r="M36" s="19">
        <v>0</v>
      </c>
      <c r="N36" s="19">
        <v>-2676.19</v>
      </c>
      <c r="O36" s="156">
        <v>-480.84</v>
      </c>
      <c r="P36" s="19">
        <v>-2604.9699999999998</v>
      </c>
      <c r="Q36" s="19">
        <v>-2809.41</v>
      </c>
      <c r="R36" s="19">
        <v>-2557.66</v>
      </c>
      <c r="S36" s="19">
        <v>-2190</v>
      </c>
      <c r="T36" s="19">
        <v>-2490</v>
      </c>
      <c r="U36" s="19">
        <v>-2690</v>
      </c>
      <c r="V36" s="19">
        <v>-2690</v>
      </c>
      <c r="W36" s="19">
        <v>-23696.23</v>
      </c>
      <c r="X36" t="s">
        <v>447</v>
      </c>
    </row>
    <row r="37" spans="2:24" x14ac:dyDescent="0.35">
      <c r="B37">
        <v>2026</v>
      </c>
      <c r="C37" t="s">
        <v>75</v>
      </c>
      <c r="D37" t="s">
        <v>76</v>
      </c>
      <c r="E37" t="s">
        <v>77</v>
      </c>
      <c r="F37" t="s">
        <v>78</v>
      </c>
      <c r="G37" t="s">
        <v>99</v>
      </c>
      <c r="H37" t="s">
        <v>102</v>
      </c>
      <c r="I37" t="s">
        <v>114</v>
      </c>
      <c r="J37" t="s">
        <v>239</v>
      </c>
      <c r="K37" s="19">
        <v>-1200.4000000000001</v>
      </c>
      <c r="L37" s="19">
        <v>-562</v>
      </c>
      <c r="M37" s="19">
        <v>-363</v>
      </c>
      <c r="N37" s="19">
        <v>67</v>
      </c>
      <c r="O37" s="156">
        <v>1124</v>
      </c>
      <c r="P37" s="19">
        <v>-1708</v>
      </c>
      <c r="Q37" s="19">
        <v>1360</v>
      </c>
      <c r="R37" s="19">
        <v>0</v>
      </c>
      <c r="S37" s="19">
        <v>-183.2</v>
      </c>
      <c r="T37" s="19">
        <v>-183.2</v>
      </c>
      <c r="U37" s="19">
        <v>-183.2</v>
      </c>
      <c r="V37" s="19">
        <v>-183.2</v>
      </c>
      <c r="W37" s="19">
        <v>-2015.2000000000003</v>
      </c>
      <c r="X37" t="s">
        <v>445</v>
      </c>
    </row>
    <row r="38" spans="2:24" x14ac:dyDescent="0.35">
      <c r="B38">
        <v>2026</v>
      </c>
      <c r="C38" t="s">
        <v>75</v>
      </c>
      <c r="D38" t="s">
        <v>76</v>
      </c>
      <c r="E38" t="s">
        <v>77</v>
      </c>
      <c r="F38" t="s">
        <v>78</v>
      </c>
      <c r="G38" t="s">
        <v>99</v>
      </c>
      <c r="H38" t="s">
        <v>115</v>
      </c>
      <c r="I38" t="s">
        <v>332</v>
      </c>
      <c r="J38" t="s">
        <v>239</v>
      </c>
      <c r="K38" s="19">
        <v>-4010</v>
      </c>
      <c r="L38" s="19">
        <v>-8438.9599999999991</v>
      </c>
      <c r="M38" s="19">
        <v>-10901.61</v>
      </c>
      <c r="N38" s="19">
        <v>-20866.93</v>
      </c>
      <c r="O38" s="156">
        <v>-3540</v>
      </c>
      <c r="P38" s="19">
        <v>0.72000000000116415</v>
      </c>
      <c r="Q38" s="19">
        <v>-3900</v>
      </c>
      <c r="R38" s="19">
        <v>-6131.3100000000013</v>
      </c>
      <c r="S38" s="19">
        <v>0</v>
      </c>
      <c r="T38" s="19">
        <v>0</v>
      </c>
      <c r="U38" s="19">
        <v>0</v>
      </c>
      <c r="V38" s="19">
        <v>-7970</v>
      </c>
      <c r="W38" s="19">
        <v>-65758.09</v>
      </c>
      <c r="X38" t="s">
        <v>487</v>
      </c>
    </row>
    <row r="39" spans="2:24" x14ac:dyDescent="0.35">
      <c r="B39">
        <v>2026</v>
      </c>
      <c r="C39" t="s">
        <v>75</v>
      </c>
      <c r="D39" t="s">
        <v>76</v>
      </c>
      <c r="E39" t="s">
        <v>77</v>
      </c>
      <c r="F39" t="s">
        <v>78</v>
      </c>
      <c r="G39" t="s">
        <v>99</v>
      </c>
      <c r="H39" t="s">
        <v>116</v>
      </c>
      <c r="I39" t="s">
        <v>333</v>
      </c>
      <c r="J39" t="s">
        <v>239</v>
      </c>
      <c r="K39" s="19">
        <v>25970.74</v>
      </c>
      <c r="L39" s="19">
        <v>149437.84</v>
      </c>
      <c r="M39" s="19">
        <v>81262.98</v>
      </c>
      <c r="N39" s="19">
        <v>-23562.66</v>
      </c>
      <c r="O39" s="156">
        <v>-43504.89</v>
      </c>
      <c r="P39" s="19">
        <v>-145710</v>
      </c>
      <c r="Q39" s="19">
        <v>649.66999999999996</v>
      </c>
      <c r="R39" s="19">
        <v>-59037.03</v>
      </c>
      <c r="S39" s="19">
        <v>0</v>
      </c>
      <c r="T39" s="19">
        <v>0</v>
      </c>
      <c r="U39" s="19">
        <v>0</v>
      </c>
      <c r="V39" s="19">
        <v>-15000</v>
      </c>
      <c r="W39" s="19">
        <v>-29493.349999999991</v>
      </c>
      <c r="X39" t="s">
        <v>444</v>
      </c>
    </row>
    <row r="40" spans="2:24" x14ac:dyDescent="0.35">
      <c r="B40">
        <v>2026</v>
      </c>
      <c r="C40" t="s">
        <v>75</v>
      </c>
      <c r="D40" t="s">
        <v>76</v>
      </c>
      <c r="E40" t="s">
        <v>77</v>
      </c>
      <c r="F40" t="s">
        <v>78</v>
      </c>
      <c r="G40" t="s">
        <v>99</v>
      </c>
      <c r="H40" t="s">
        <v>117</v>
      </c>
      <c r="I40" t="s">
        <v>334</v>
      </c>
      <c r="J40" t="s">
        <v>239</v>
      </c>
      <c r="K40" s="19">
        <v>61431.54</v>
      </c>
      <c r="L40" s="19">
        <v>-11484.37</v>
      </c>
      <c r="M40" s="19">
        <v>0</v>
      </c>
      <c r="N40" s="19">
        <v>44037.42</v>
      </c>
      <c r="O40" s="156">
        <v>-73565.42</v>
      </c>
      <c r="P40" s="19">
        <v>33912.769999999997</v>
      </c>
      <c r="Q40" s="19">
        <v>14991.19</v>
      </c>
      <c r="R40" s="19">
        <v>-4582.08</v>
      </c>
      <c r="S40" s="19">
        <v>0</v>
      </c>
      <c r="T40" s="19">
        <v>0</v>
      </c>
      <c r="U40" s="19">
        <v>0</v>
      </c>
      <c r="V40" s="19">
        <v>10000</v>
      </c>
      <c r="W40" s="19">
        <v>74741.049999999988</v>
      </c>
      <c r="X40" t="s">
        <v>444</v>
      </c>
    </row>
    <row r="41" spans="2:24" x14ac:dyDescent="0.35">
      <c r="B41">
        <v>2026</v>
      </c>
      <c r="C41" t="s">
        <v>75</v>
      </c>
      <c r="D41" t="s">
        <v>76</v>
      </c>
      <c r="E41" t="s">
        <v>77</v>
      </c>
      <c r="F41" t="s">
        <v>78</v>
      </c>
      <c r="G41" t="s">
        <v>118</v>
      </c>
      <c r="H41" t="s">
        <v>119</v>
      </c>
      <c r="I41" t="s">
        <v>335</v>
      </c>
      <c r="J41" t="s">
        <v>239</v>
      </c>
      <c r="K41" s="19">
        <v>0</v>
      </c>
      <c r="L41" s="19">
        <v>0</v>
      </c>
      <c r="M41" s="19">
        <v>0</v>
      </c>
      <c r="N41" s="19">
        <v>0</v>
      </c>
      <c r="O41" s="156">
        <v>0</v>
      </c>
      <c r="P41" s="19" t="s">
        <v>397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t="s">
        <v>446</v>
      </c>
    </row>
    <row r="42" spans="2:24" x14ac:dyDescent="0.35">
      <c r="B42">
        <v>2026</v>
      </c>
      <c r="C42" t="s">
        <v>75</v>
      </c>
      <c r="D42" t="s">
        <v>76</v>
      </c>
      <c r="E42" t="s">
        <v>77</v>
      </c>
      <c r="F42" t="s">
        <v>78</v>
      </c>
      <c r="G42" t="s">
        <v>120</v>
      </c>
      <c r="H42" t="s">
        <v>121</v>
      </c>
      <c r="I42" t="s">
        <v>122</v>
      </c>
      <c r="J42" t="s">
        <v>239</v>
      </c>
      <c r="K42" s="19">
        <v>-84814.92</v>
      </c>
      <c r="L42" s="19">
        <v>-115852.5</v>
      </c>
      <c r="M42" s="19">
        <v>-111568.08</v>
      </c>
      <c r="N42" s="19">
        <v>-100687.82</v>
      </c>
      <c r="O42" s="156">
        <v>-104048.18</v>
      </c>
      <c r="P42" s="19">
        <v>-114103.58</v>
      </c>
      <c r="Q42" s="19">
        <v>-121813.59</v>
      </c>
      <c r="R42" s="19">
        <v>-128060.74</v>
      </c>
      <c r="S42" s="19">
        <v>-128060.74</v>
      </c>
      <c r="T42" s="19">
        <v>-128060.74</v>
      </c>
      <c r="U42" s="19">
        <v>-128060.74</v>
      </c>
      <c r="V42" s="19">
        <v>-407060.74</v>
      </c>
      <c r="W42" s="19">
        <v>-1672192.3699999999</v>
      </c>
      <c r="X42" t="s">
        <v>476</v>
      </c>
    </row>
    <row r="43" spans="2:24" x14ac:dyDescent="0.35">
      <c r="B43">
        <v>2026</v>
      </c>
      <c r="C43" t="s">
        <v>75</v>
      </c>
      <c r="D43" t="s">
        <v>76</v>
      </c>
      <c r="E43" t="s">
        <v>77</v>
      </c>
      <c r="F43" t="s">
        <v>78</v>
      </c>
      <c r="G43" t="s">
        <v>120</v>
      </c>
      <c r="H43" t="s">
        <v>128</v>
      </c>
      <c r="I43" t="s">
        <v>336</v>
      </c>
      <c r="J43" t="s">
        <v>239</v>
      </c>
      <c r="K43" s="19">
        <v>-26717.09</v>
      </c>
      <c r="L43" s="19">
        <v>-27074.7</v>
      </c>
      <c r="M43" s="19">
        <v>-32042.23</v>
      </c>
      <c r="N43" s="19">
        <v>-29359.85</v>
      </c>
      <c r="O43" s="156">
        <v>-30856.34</v>
      </c>
      <c r="P43" s="19">
        <v>-30968.7</v>
      </c>
      <c r="Q43" s="19">
        <v>-31720.06</v>
      </c>
      <c r="R43" s="19">
        <v>-24572.05</v>
      </c>
      <c r="S43" s="19">
        <v>-24572.05</v>
      </c>
      <c r="T43" s="19">
        <v>-24572.05</v>
      </c>
      <c r="U43" s="19">
        <v>-24572.05</v>
      </c>
      <c r="V43" s="19">
        <v>-24572.05</v>
      </c>
      <c r="W43" s="19">
        <v>-331599.21999999997</v>
      </c>
      <c r="X43" t="s">
        <v>477</v>
      </c>
    </row>
    <row r="44" spans="2:24" x14ac:dyDescent="0.35">
      <c r="B44">
        <v>2026</v>
      </c>
      <c r="C44" t="s">
        <v>75</v>
      </c>
      <c r="D44" t="s">
        <v>76</v>
      </c>
      <c r="E44" t="s">
        <v>77</v>
      </c>
      <c r="F44" t="s">
        <v>78</v>
      </c>
      <c r="G44" t="s">
        <v>120</v>
      </c>
      <c r="H44" t="s">
        <v>129</v>
      </c>
      <c r="I44" t="s">
        <v>130</v>
      </c>
      <c r="J44" t="s">
        <v>239</v>
      </c>
      <c r="K44" s="19">
        <v>0</v>
      </c>
      <c r="L44" s="19">
        <v>0</v>
      </c>
      <c r="M44" s="19">
        <v>0</v>
      </c>
      <c r="N44" s="19">
        <v>0</v>
      </c>
      <c r="O44" s="156">
        <v>0</v>
      </c>
      <c r="P44" s="19" t="s">
        <v>397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t="s">
        <v>446</v>
      </c>
    </row>
    <row r="45" spans="2:24" x14ac:dyDescent="0.35">
      <c r="B45">
        <v>2026</v>
      </c>
      <c r="C45" t="s">
        <v>75</v>
      </c>
      <c r="D45" t="s">
        <v>76</v>
      </c>
      <c r="E45" t="s">
        <v>77</v>
      </c>
      <c r="F45" t="s">
        <v>78</v>
      </c>
      <c r="G45" t="s">
        <v>120</v>
      </c>
      <c r="H45" t="s">
        <v>129</v>
      </c>
      <c r="I45" t="s">
        <v>131</v>
      </c>
      <c r="J45" t="s">
        <v>239</v>
      </c>
      <c r="K45" s="19">
        <v>0</v>
      </c>
      <c r="L45" s="19">
        <v>0</v>
      </c>
      <c r="M45" s="19">
        <v>0</v>
      </c>
      <c r="N45" s="19">
        <v>0</v>
      </c>
      <c r="O45" s="156">
        <v>0</v>
      </c>
      <c r="P45" s="19" t="s">
        <v>397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t="s">
        <v>446</v>
      </c>
    </row>
    <row r="46" spans="2:24" x14ac:dyDescent="0.35">
      <c r="B46">
        <v>2026</v>
      </c>
      <c r="C46" t="s">
        <v>75</v>
      </c>
      <c r="D46" t="s">
        <v>76</v>
      </c>
      <c r="E46" t="s">
        <v>77</v>
      </c>
      <c r="F46" t="s">
        <v>78</v>
      </c>
      <c r="G46" t="s">
        <v>120</v>
      </c>
      <c r="H46" t="s">
        <v>129</v>
      </c>
      <c r="I46" t="s">
        <v>132</v>
      </c>
      <c r="J46" t="s">
        <v>239</v>
      </c>
      <c r="K46" s="19">
        <v>0</v>
      </c>
      <c r="L46" s="19">
        <v>0</v>
      </c>
      <c r="M46" s="19">
        <v>0</v>
      </c>
      <c r="N46" s="19">
        <v>0</v>
      </c>
      <c r="O46" s="156">
        <v>0</v>
      </c>
      <c r="P46" s="19" t="s">
        <v>397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t="s">
        <v>446</v>
      </c>
    </row>
    <row r="47" spans="2:24" x14ac:dyDescent="0.35">
      <c r="B47">
        <v>2026</v>
      </c>
      <c r="C47" t="s">
        <v>75</v>
      </c>
      <c r="D47" t="s">
        <v>76</v>
      </c>
      <c r="E47" t="s">
        <v>77</v>
      </c>
      <c r="F47" t="s">
        <v>78</v>
      </c>
      <c r="G47" t="s">
        <v>120</v>
      </c>
      <c r="H47" t="s">
        <v>129</v>
      </c>
      <c r="I47" t="s">
        <v>337</v>
      </c>
      <c r="J47" t="s">
        <v>239</v>
      </c>
      <c r="K47" s="19">
        <v>0</v>
      </c>
      <c r="L47" s="19">
        <v>0</v>
      </c>
      <c r="M47" s="19">
        <v>0</v>
      </c>
      <c r="N47" s="19">
        <v>0</v>
      </c>
      <c r="O47" s="156">
        <v>0</v>
      </c>
      <c r="P47" s="19" t="s">
        <v>397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t="s">
        <v>446</v>
      </c>
    </row>
    <row r="48" spans="2:24" x14ac:dyDescent="0.35">
      <c r="B48">
        <v>2026</v>
      </c>
      <c r="C48" t="s">
        <v>75</v>
      </c>
      <c r="D48" t="s">
        <v>76</v>
      </c>
      <c r="E48" t="s">
        <v>77</v>
      </c>
      <c r="F48" t="s">
        <v>78</v>
      </c>
      <c r="G48" t="s">
        <v>120</v>
      </c>
      <c r="H48" t="s">
        <v>129</v>
      </c>
      <c r="I48" t="s">
        <v>133</v>
      </c>
      <c r="J48" t="s">
        <v>239</v>
      </c>
      <c r="K48" s="19">
        <v>0</v>
      </c>
      <c r="L48" s="19">
        <v>0</v>
      </c>
      <c r="M48" s="19">
        <v>0</v>
      </c>
      <c r="N48" s="19">
        <v>0</v>
      </c>
      <c r="O48" s="156">
        <v>0</v>
      </c>
      <c r="P48" s="19" t="s">
        <v>397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t="s">
        <v>446</v>
      </c>
    </row>
    <row r="49" spans="2:24" x14ac:dyDescent="0.35">
      <c r="B49">
        <v>2026</v>
      </c>
      <c r="C49" t="s">
        <v>75</v>
      </c>
      <c r="D49" t="s">
        <v>76</v>
      </c>
      <c r="E49" t="s">
        <v>77</v>
      </c>
      <c r="F49" t="s">
        <v>78</v>
      </c>
      <c r="G49" t="s">
        <v>120</v>
      </c>
      <c r="H49" t="s">
        <v>129</v>
      </c>
      <c r="I49" t="s">
        <v>134</v>
      </c>
      <c r="J49" t="s">
        <v>239</v>
      </c>
      <c r="K49" s="19">
        <v>0</v>
      </c>
      <c r="L49" s="19">
        <v>0</v>
      </c>
      <c r="M49" s="19">
        <v>0</v>
      </c>
      <c r="N49" s="19">
        <v>0</v>
      </c>
      <c r="O49" s="156">
        <v>0</v>
      </c>
      <c r="P49" s="19" t="s">
        <v>397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t="s">
        <v>446</v>
      </c>
    </row>
    <row r="50" spans="2:24" x14ac:dyDescent="0.35">
      <c r="B50">
        <v>2026</v>
      </c>
      <c r="C50" t="s">
        <v>75</v>
      </c>
      <c r="D50" t="s">
        <v>76</v>
      </c>
      <c r="E50" t="s">
        <v>77</v>
      </c>
      <c r="F50" t="s">
        <v>78</v>
      </c>
      <c r="G50" t="s">
        <v>120</v>
      </c>
      <c r="H50" t="s">
        <v>129</v>
      </c>
      <c r="I50" t="s">
        <v>135</v>
      </c>
      <c r="J50" t="s">
        <v>239</v>
      </c>
      <c r="K50" s="19">
        <v>0</v>
      </c>
      <c r="L50" s="19">
        <v>0</v>
      </c>
      <c r="M50" s="19">
        <v>0</v>
      </c>
      <c r="N50" s="19">
        <v>0</v>
      </c>
      <c r="O50" s="156">
        <v>0</v>
      </c>
      <c r="P50" s="19" t="s">
        <v>397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t="s">
        <v>446</v>
      </c>
    </row>
    <row r="51" spans="2:24" x14ac:dyDescent="0.35">
      <c r="B51">
        <v>2026</v>
      </c>
      <c r="C51" t="s">
        <v>75</v>
      </c>
      <c r="D51" t="s">
        <v>76</v>
      </c>
      <c r="E51" t="s">
        <v>77</v>
      </c>
      <c r="F51" t="s">
        <v>78</v>
      </c>
      <c r="G51" t="s">
        <v>120</v>
      </c>
      <c r="H51" t="s">
        <v>129</v>
      </c>
      <c r="I51" t="s">
        <v>338</v>
      </c>
      <c r="J51" t="s">
        <v>239</v>
      </c>
      <c r="K51" s="19">
        <v>0</v>
      </c>
      <c r="L51" s="19">
        <v>0</v>
      </c>
      <c r="M51" s="19">
        <v>0</v>
      </c>
      <c r="N51" s="19">
        <v>0</v>
      </c>
      <c r="O51" s="156">
        <v>0</v>
      </c>
      <c r="P51" s="19" t="s">
        <v>397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t="s">
        <v>446</v>
      </c>
    </row>
    <row r="52" spans="2:24" x14ac:dyDescent="0.35">
      <c r="B52">
        <v>2026</v>
      </c>
      <c r="C52" t="s">
        <v>75</v>
      </c>
      <c r="D52" t="s">
        <v>76</v>
      </c>
      <c r="E52" t="s">
        <v>77</v>
      </c>
      <c r="F52" t="s">
        <v>78</v>
      </c>
      <c r="G52" t="s">
        <v>120</v>
      </c>
      <c r="H52" t="s">
        <v>129</v>
      </c>
      <c r="I52" t="s">
        <v>136</v>
      </c>
      <c r="J52" t="s">
        <v>239</v>
      </c>
      <c r="K52" s="19">
        <v>0</v>
      </c>
      <c r="L52" s="19">
        <v>0</v>
      </c>
      <c r="M52" s="19">
        <v>-2623</v>
      </c>
      <c r="N52" s="19">
        <v>0</v>
      </c>
      <c r="O52" s="156">
        <v>-88</v>
      </c>
      <c r="P52" s="19" t="s">
        <v>397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-2711</v>
      </c>
      <c r="X52" t="s">
        <v>478</v>
      </c>
    </row>
    <row r="53" spans="2:24" x14ac:dyDescent="0.35">
      <c r="B53">
        <v>2026</v>
      </c>
      <c r="C53" t="s">
        <v>75</v>
      </c>
      <c r="D53" t="s">
        <v>76</v>
      </c>
      <c r="E53" t="s">
        <v>77</v>
      </c>
      <c r="F53" t="s">
        <v>78</v>
      </c>
      <c r="G53" t="s">
        <v>120</v>
      </c>
      <c r="H53" t="s">
        <v>129</v>
      </c>
      <c r="I53" t="s">
        <v>137</v>
      </c>
      <c r="J53" t="s">
        <v>239</v>
      </c>
      <c r="K53" s="19">
        <v>0</v>
      </c>
      <c r="L53" s="19">
        <v>0</v>
      </c>
      <c r="M53" s="19">
        <v>0</v>
      </c>
      <c r="N53" s="19">
        <v>0</v>
      </c>
      <c r="O53" s="156">
        <v>0</v>
      </c>
      <c r="P53" s="19" t="s">
        <v>397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t="s">
        <v>446</v>
      </c>
    </row>
    <row r="54" spans="2:24" x14ac:dyDescent="0.35">
      <c r="B54">
        <v>2026</v>
      </c>
      <c r="C54" t="s">
        <v>75</v>
      </c>
      <c r="D54" t="s">
        <v>76</v>
      </c>
      <c r="E54" t="s">
        <v>77</v>
      </c>
      <c r="F54" t="s">
        <v>78</v>
      </c>
      <c r="G54" t="s">
        <v>120</v>
      </c>
      <c r="H54" t="s">
        <v>129</v>
      </c>
      <c r="I54" t="s">
        <v>339</v>
      </c>
      <c r="J54" t="s">
        <v>239</v>
      </c>
      <c r="K54" s="19">
        <v>0</v>
      </c>
      <c r="L54" s="19">
        <v>0</v>
      </c>
      <c r="M54" s="19">
        <v>0</v>
      </c>
      <c r="N54" s="19">
        <v>0</v>
      </c>
      <c r="O54" s="156">
        <v>0</v>
      </c>
      <c r="P54" s="19" t="s">
        <v>397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t="s">
        <v>446</v>
      </c>
    </row>
    <row r="55" spans="2:24" x14ac:dyDescent="0.35">
      <c r="B55">
        <v>2026</v>
      </c>
      <c r="C55" t="s">
        <v>75</v>
      </c>
      <c r="D55" t="s">
        <v>76</v>
      </c>
      <c r="E55" t="s">
        <v>77</v>
      </c>
      <c r="F55" t="s">
        <v>78</v>
      </c>
      <c r="G55" t="s">
        <v>120</v>
      </c>
      <c r="H55" t="s">
        <v>129</v>
      </c>
      <c r="I55" t="s">
        <v>138</v>
      </c>
      <c r="J55" t="s">
        <v>239</v>
      </c>
      <c r="K55" s="19">
        <v>0</v>
      </c>
      <c r="L55" s="19">
        <v>0</v>
      </c>
      <c r="M55" s="19">
        <v>0</v>
      </c>
      <c r="N55" s="19">
        <v>0</v>
      </c>
      <c r="O55" s="156">
        <v>0</v>
      </c>
      <c r="P55" s="19" t="s">
        <v>397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t="s">
        <v>446</v>
      </c>
    </row>
    <row r="56" spans="2:24" x14ac:dyDescent="0.35">
      <c r="B56">
        <v>2026</v>
      </c>
      <c r="C56" t="s">
        <v>75</v>
      </c>
      <c r="D56" t="s">
        <v>76</v>
      </c>
      <c r="E56" t="s">
        <v>77</v>
      </c>
      <c r="F56" t="s">
        <v>78</v>
      </c>
      <c r="G56" t="s">
        <v>120</v>
      </c>
      <c r="H56" t="s">
        <v>129</v>
      </c>
      <c r="I56" t="s">
        <v>139</v>
      </c>
      <c r="J56" t="s">
        <v>239</v>
      </c>
      <c r="K56" s="19">
        <v>0</v>
      </c>
      <c r="L56" s="19">
        <v>0</v>
      </c>
      <c r="M56" s="19">
        <v>0</v>
      </c>
      <c r="N56" s="19">
        <v>0</v>
      </c>
      <c r="O56" s="156">
        <v>0</v>
      </c>
      <c r="P56" s="19" t="s">
        <v>397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t="s">
        <v>446</v>
      </c>
    </row>
    <row r="57" spans="2:24" x14ac:dyDescent="0.35">
      <c r="B57">
        <v>2026</v>
      </c>
      <c r="C57" t="s">
        <v>75</v>
      </c>
      <c r="D57" t="s">
        <v>76</v>
      </c>
      <c r="E57" t="s">
        <v>77</v>
      </c>
      <c r="F57" t="s">
        <v>78</v>
      </c>
      <c r="G57" t="s">
        <v>120</v>
      </c>
      <c r="H57" t="s">
        <v>129</v>
      </c>
      <c r="I57" t="s">
        <v>140</v>
      </c>
      <c r="J57" t="s">
        <v>239</v>
      </c>
      <c r="K57" s="19">
        <v>0</v>
      </c>
      <c r="L57" s="19">
        <v>0</v>
      </c>
      <c r="M57" s="19">
        <v>0</v>
      </c>
      <c r="N57" s="19">
        <v>0</v>
      </c>
      <c r="O57" s="156">
        <v>0</v>
      </c>
      <c r="P57" s="19" t="s">
        <v>397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t="s">
        <v>446</v>
      </c>
    </row>
    <row r="58" spans="2:24" x14ac:dyDescent="0.35">
      <c r="B58">
        <v>2026</v>
      </c>
      <c r="C58" t="s">
        <v>75</v>
      </c>
      <c r="D58" t="s">
        <v>76</v>
      </c>
      <c r="E58" t="s">
        <v>77</v>
      </c>
      <c r="F58" t="s">
        <v>78</v>
      </c>
      <c r="G58" t="s">
        <v>141</v>
      </c>
      <c r="H58" t="s">
        <v>142</v>
      </c>
      <c r="I58" t="s">
        <v>143</v>
      </c>
      <c r="J58" t="s">
        <v>239</v>
      </c>
      <c r="K58" s="19">
        <v>0</v>
      </c>
      <c r="L58" s="19">
        <v>0</v>
      </c>
      <c r="M58" s="19">
        <v>-113.13</v>
      </c>
      <c r="N58" s="19">
        <v>-87.6</v>
      </c>
      <c r="O58" s="156">
        <v>-487.47</v>
      </c>
      <c r="P58" s="19">
        <v>-697.81</v>
      </c>
      <c r="Q58" s="19">
        <v>-226.47</v>
      </c>
      <c r="R58" s="19">
        <v>0</v>
      </c>
      <c r="S58" s="19">
        <v>-322.5</v>
      </c>
      <c r="T58" s="19">
        <v>-322.5</v>
      </c>
      <c r="U58" s="19">
        <v>-322.5</v>
      </c>
      <c r="V58" s="19">
        <v>-322.5</v>
      </c>
      <c r="W58" s="19">
        <v>-2902.48</v>
      </c>
      <c r="X58" t="s">
        <v>448</v>
      </c>
    </row>
    <row r="59" spans="2:24" x14ac:dyDescent="0.35">
      <c r="B59">
        <v>2026</v>
      </c>
      <c r="C59" t="s">
        <v>75</v>
      </c>
      <c r="D59" t="s">
        <v>76</v>
      </c>
      <c r="E59" t="s">
        <v>77</v>
      </c>
      <c r="F59" t="s">
        <v>78</v>
      </c>
      <c r="G59" t="s">
        <v>141</v>
      </c>
      <c r="H59" t="s">
        <v>142</v>
      </c>
      <c r="I59" t="s">
        <v>144</v>
      </c>
      <c r="J59" t="s">
        <v>239</v>
      </c>
      <c r="K59" s="19">
        <v>-522.30999999999995</v>
      </c>
      <c r="L59" s="19">
        <v>-356.17</v>
      </c>
      <c r="M59" s="19">
        <v>0</v>
      </c>
      <c r="N59" s="19">
        <v>-1440.58</v>
      </c>
      <c r="O59" s="156">
        <v>-1464.58</v>
      </c>
      <c r="P59" s="19">
        <v>-752.24</v>
      </c>
      <c r="Q59" s="19">
        <v>-752.24</v>
      </c>
      <c r="R59" s="19">
        <v>-399.98</v>
      </c>
      <c r="S59" s="19">
        <v>-812.59</v>
      </c>
      <c r="T59" s="19">
        <v>-812.59</v>
      </c>
      <c r="U59" s="19">
        <v>-812.59</v>
      </c>
      <c r="V59" s="19">
        <v>-812.59</v>
      </c>
      <c r="W59" s="19">
        <v>-8938.4600000000009</v>
      </c>
      <c r="X59" t="s">
        <v>448</v>
      </c>
    </row>
    <row r="60" spans="2:24" x14ac:dyDescent="0.35">
      <c r="B60">
        <v>2026</v>
      </c>
      <c r="C60" t="s">
        <v>75</v>
      </c>
      <c r="D60" t="s">
        <v>76</v>
      </c>
      <c r="E60" t="s">
        <v>77</v>
      </c>
      <c r="F60" t="s">
        <v>78</v>
      </c>
      <c r="G60" t="s">
        <v>141</v>
      </c>
      <c r="H60" t="s">
        <v>142</v>
      </c>
      <c r="I60" t="s">
        <v>145</v>
      </c>
      <c r="J60" t="s">
        <v>239</v>
      </c>
      <c r="K60" s="19">
        <v>-523.96</v>
      </c>
      <c r="L60" s="19">
        <v>-1019.07</v>
      </c>
      <c r="M60" s="19">
        <v>-1573.25</v>
      </c>
      <c r="N60" s="19">
        <v>-41.5</v>
      </c>
      <c r="O60" s="156">
        <v>-1476.12</v>
      </c>
      <c r="P60" s="19">
        <v>-2389.0100000000002</v>
      </c>
      <c r="Q60" s="19">
        <v>-1899.09</v>
      </c>
      <c r="R60" s="19">
        <v>-911.52</v>
      </c>
      <c r="S60" s="19">
        <v>-1229.19</v>
      </c>
      <c r="T60" s="19">
        <v>-1229.19</v>
      </c>
      <c r="U60" s="19">
        <v>-1229.19</v>
      </c>
      <c r="V60" s="19">
        <v>-1229.19</v>
      </c>
      <c r="W60" s="19">
        <v>-14750.280000000002</v>
      </c>
      <c r="X60" t="s">
        <v>448</v>
      </c>
    </row>
    <row r="61" spans="2:24" x14ac:dyDescent="0.35">
      <c r="B61">
        <v>2026</v>
      </c>
      <c r="C61" t="s">
        <v>75</v>
      </c>
      <c r="D61" t="s">
        <v>76</v>
      </c>
      <c r="E61" t="s">
        <v>77</v>
      </c>
      <c r="F61" t="s">
        <v>78</v>
      </c>
      <c r="G61" t="s">
        <v>141</v>
      </c>
      <c r="H61" t="s">
        <v>146</v>
      </c>
      <c r="I61" t="s">
        <v>147</v>
      </c>
      <c r="J61" t="s">
        <v>239</v>
      </c>
      <c r="K61" s="19">
        <v>-192</v>
      </c>
      <c r="L61" s="19">
        <v>-192</v>
      </c>
      <c r="M61" s="19">
        <v>-192</v>
      </c>
      <c r="N61" s="19">
        <v>-192</v>
      </c>
      <c r="O61" s="156">
        <v>-192</v>
      </c>
      <c r="P61" s="19">
        <v>-192</v>
      </c>
      <c r="Q61" s="19">
        <v>-192</v>
      </c>
      <c r="R61" s="19">
        <v>-192</v>
      </c>
      <c r="S61" s="19">
        <v>-192</v>
      </c>
      <c r="T61" s="19">
        <v>-192</v>
      </c>
      <c r="U61" s="19">
        <v>-192</v>
      </c>
      <c r="V61" s="19">
        <v>-192</v>
      </c>
      <c r="W61" s="19">
        <v>-2304</v>
      </c>
      <c r="X61" t="s">
        <v>449</v>
      </c>
    </row>
    <row r="62" spans="2:24" x14ac:dyDescent="0.35">
      <c r="B62">
        <v>2026</v>
      </c>
      <c r="C62" t="s">
        <v>75</v>
      </c>
      <c r="D62" t="s">
        <v>76</v>
      </c>
      <c r="E62" t="s">
        <v>77</v>
      </c>
      <c r="F62" t="s">
        <v>78</v>
      </c>
      <c r="G62" t="s">
        <v>141</v>
      </c>
      <c r="H62" t="s">
        <v>146</v>
      </c>
      <c r="I62" t="s">
        <v>401</v>
      </c>
      <c r="J62" t="s">
        <v>239</v>
      </c>
      <c r="K62" s="19"/>
      <c r="L62" s="19"/>
      <c r="M62" s="19"/>
      <c r="N62" s="19"/>
      <c r="O62" s="156">
        <v>-15421.92</v>
      </c>
      <c r="P62" s="19" t="s">
        <v>397</v>
      </c>
      <c r="Q62" s="19">
        <v>-6139.04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-21560.959999999999</v>
      </c>
      <c r="X62" t="s">
        <v>488</v>
      </c>
    </row>
    <row r="63" spans="2:24" x14ac:dyDescent="0.35">
      <c r="B63">
        <v>2026</v>
      </c>
      <c r="C63" t="s">
        <v>75</v>
      </c>
      <c r="D63" t="s">
        <v>76</v>
      </c>
      <c r="E63" t="s">
        <v>77</v>
      </c>
      <c r="F63" t="s">
        <v>78</v>
      </c>
      <c r="G63" t="s">
        <v>141</v>
      </c>
      <c r="H63" t="s">
        <v>146</v>
      </c>
      <c r="I63" t="s">
        <v>340</v>
      </c>
      <c r="J63" t="s">
        <v>239</v>
      </c>
      <c r="K63" s="19">
        <v>0</v>
      </c>
      <c r="L63" s="19">
        <v>0</v>
      </c>
      <c r="M63" s="19">
        <v>0</v>
      </c>
      <c r="N63" s="19">
        <v>0</v>
      </c>
      <c r="O63" s="156">
        <v>0</v>
      </c>
      <c r="P63" s="19" t="s">
        <v>397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t="s">
        <v>440</v>
      </c>
    </row>
    <row r="64" spans="2:24" x14ac:dyDescent="0.35">
      <c r="B64">
        <v>2026</v>
      </c>
      <c r="C64" t="s">
        <v>75</v>
      </c>
      <c r="D64" t="s">
        <v>76</v>
      </c>
      <c r="E64" t="s">
        <v>77</v>
      </c>
      <c r="F64" t="s">
        <v>78</v>
      </c>
      <c r="G64" t="s">
        <v>141</v>
      </c>
      <c r="H64" t="s">
        <v>146</v>
      </c>
      <c r="I64" t="s">
        <v>341</v>
      </c>
      <c r="J64" t="s">
        <v>239</v>
      </c>
      <c r="K64" s="19">
        <v>0</v>
      </c>
      <c r="L64" s="19">
        <v>-361.46</v>
      </c>
      <c r="M64" s="19">
        <v>0</v>
      </c>
      <c r="N64" s="19">
        <v>-361.46</v>
      </c>
      <c r="O64" s="156" t="s">
        <v>397</v>
      </c>
      <c r="P64" s="19" t="s">
        <v>397</v>
      </c>
      <c r="Q64" s="19">
        <v>0</v>
      </c>
      <c r="R64" s="19">
        <v>0</v>
      </c>
      <c r="S64" s="19">
        <v>-361.46</v>
      </c>
      <c r="T64" s="19">
        <v>-361.46</v>
      </c>
      <c r="U64" s="19">
        <v>-361.46</v>
      </c>
      <c r="V64" s="19">
        <v>-361.46</v>
      </c>
      <c r="W64" s="19">
        <v>-2168.7599999999998</v>
      </c>
      <c r="X64" t="s">
        <v>449</v>
      </c>
    </row>
    <row r="65" spans="2:24" x14ac:dyDescent="0.35">
      <c r="B65">
        <v>2026</v>
      </c>
      <c r="C65" t="s">
        <v>75</v>
      </c>
      <c r="D65" t="s">
        <v>76</v>
      </c>
      <c r="E65" t="s">
        <v>77</v>
      </c>
      <c r="F65" t="s">
        <v>78</v>
      </c>
      <c r="G65" t="s">
        <v>141</v>
      </c>
      <c r="H65" t="s">
        <v>146</v>
      </c>
      <c r="I65" t="s">
        <v>342</v>
      </c>
      <c r="J65" t="s">
        <v>239</v>
      </c>
      <c r="K65" s="19">
        <v>0</v>
      </c>
      <c r="L65" s="19">
        <v>0</v>
      </c>
      <c r="M65" s="19">
        <v>0</v>
      </c>
      <c r="N65" s="19">
        <v>0</v>
      </c>
      <c r="O65" s="156">
        <v>0</v>
      </c>
      <c r="P65" s="19" t="s">
        <v>397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t="s">
        <v>440</v>
      </c>
    </row>
    <row r="66" spans="2:24" x14ac:dyDescent="0.35">
      <c r="B66">
        <v>2026</v>
      </c>
      <c r="C66" t="s">
        <v>75</v>
      </c>
      <c r="D66" t="s">
        <v>76</v>
      </c>
      <c r="E66" t="s">
        <v>77</v>
      </c>
      <c r="F66" t="s">
        <v>78</v>
      </c>
      <c r="G66" t="s">
        <v>141</v>
      </c>
      <c r="H66" t="s">
        <v>146</v>
      </c>
      <c r="I66" t="s">
        <v>148</v>
      </c>
      <c r="J66" t="s">
        <v>239</v>
      </c>
      <c r="K66" s="19">
        <v>0</v>
      </c>
      <c r="L66" s="19">
        <v>0</v>
      </c>
      <c r="M66" s="19">
        <v>-369.97</v>
      </c>
      <c r="N66" s="19">
        <v>-369.97</v>
      </c>
      <c r="O66" s="156" t="s">
        <v>397</v>
      </c>
      <c r="P66" s="19" t="s">
        <v>397</v>
      </c>
      <c r="Q66" s="19">
        <v>0</v>
      </c>
      <c r="R66" s="19">
        <v>0</v>
      </c>
      <c r="S66" s="19">
        <v>-369.97</v>
      </c>
      <c r="T66" s="19">
        <v>-369.97</v>
      </c>
      <c r="U66" s="19">
        <v>-369.97</v>
      </c>
      <c r="V66" s="19">
        <v>-369.97</v>
      </c>
      <c r="W66" s="19">
        <v>-2219.8200000000002</v>
      </c>
      <c r="X66" t="s">
        <v>449</v>
      </c>
    </row>
    <row r="67" spans="2:24" x14ac:dyDescent="0.35">
      <c r="B67">
        <v>2026</v>
      </c>
      <c r="C67" t="s">
        <v>75</v>
      </c>
      <c r="D67" t="s">
        <v>76</v>
      </c>
      <c r="E67" t="s">
        <v>77</v>
      </c>
      <c r="F67" t="s">
        <v>78</v>
      </c>
      <c r="G67" t="s">
        <v>141</v>
      </c>
      <c r="H67" t="s">
        <v>146</v>
      </c>
      <c r="I67" t="s">
        <v>343</v>
      </c>
      <c r="J67" t="s">
        <v>239</v>
      </c>
      <c r="K67" s="19">
        <v>0</v>
      </c>
      <c r="L67" s="19">
        <v>0</v>
      </c>
      <c r="M67" s="19">
        <v>0</v>
      </c>
      <c r="N67" s="19">
        <v>0</v>
      </c>
      <c r="O67" s="156">
        <v>0</v>
      </c>
      <c r="P67" s="19" t="s">
        <v>397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t="s">
        <v>440</v>
      </c>
    </row>
    <row r="68" spans="2:24" x14ac:dyDescent="0.35">
      <c r="B68">
        <v>2026</v>
      </c>
      <c r="C68" t="s">
        <v>75</v>
      </c>
      <c r="D68" t="s">
        <v>76</v>
      </c>
      <c r="E68" t="s">
        <v>77</v>
      </c>
      <c r="F68" t="s">
        <v>78</v>
      </c>
      <c r="G68" t="s">
        <v>141</v>
      </c>
      <c r="H68" t="s">
        <v>146</v>
      </c>
      <c r="I68" t="s">
        <v>344</v>
      </c>
      <c r="J68" t="s">
        <v>239</v>
      </c>
      <c r="K68" s="19">
        <v>-338</v>
      </c>
      <c r="L68" s="19">
        <v>-338</v>
      </c>
      <c r="M68" s="19">
        <v>-338</v>
      </c>
      <c r="N68" s="19">
        <v>-338</v>
      </c>
      <c r="O68" s="156">
        <v>-338</v>
      </c>
      <c r="P68" s="19">
        <v>-338</v>
      </c>
      <c r="Q68" s="19">
        <v>-338</v>
      </c>
      <c r="R68" s="19">
        <v>-338</v>
      </c>
      <c r="S68" s="19">
        <v>-338</v>
      </c>
      <c r="T68" s="19">
        <v>-338</v>
      </c>
      <c r="U68" s="19">
        <v>-338</v>
      </c>
      <c r="V68" s="19">
        <v>-338</v>
      </c>
      <c r="W68" s="19">
        <v>-4056</v>
      </c>
      <c r="X68" t="s">
        <v>449</v>
      </c>
    </row>
    <row r="69" spans="2:24" x14ac:dyDescent="0.35">
      <c r="B69">
        <v>2026</v>
      </c>
      <c r="C69" t="s">
        <v>75</v>
      </c>
      <c r="D69" t="s">
        <v>76</v>
      </c>
      <c r="E69" t="s">
        <v>77</v>
      </c>
      <c r="F69" t="s">
        <v>78</v>
      </c>
      <c r="G69" t="s">
        <v>141</v>
      </c>
      <c r="H69" t="s">
        <v>146</v>
      </c>
      <c r="I69" t="s">
        <v>345</v>
      </c>
      <c r="J69" t="s">
        <v>239</v>
      </c>
      <c r="K69" s="19">
        <v>-349</v>
      </c>
      <c r="L69" s="19">
        <v>-349</v>
      </c>
      <c r="M69" s="19">
        <v>-349</v>
      </c>
      <c r="N69" s="19">
        <v>0</v>
      </c>
      <c r="O69" s="156">
        <v>-443.49</v>
      </c>
      <c r="P69" s="19">
        <v>-443.49</v>
      </c>
      <c r="Q69" s="19">
        <v>-886.98</v>
      </c>
      <c r="R69" s="19">
        <v>0</v>
      </c>
      <c r="S69" s="19">
        <v>-470.16</v>
      </c>
      <c r="T69" s="19">
        <v>-470.16</v>
      </c>
      <c r="U69" s="19">
        <v>-470.16</v>
      </c>
      <c r="V69" s="19">
        <v>-470.16</v>
      </c>
      <c r="W69" s="19">
        <v>-4701.5999999999995</v>
      </c>
      <c r="X69" t="s">
        <v>449</v>
      </c>
    </row>
    <row r="70" spans="2:24" x14ac:dyDescent="0.35">
      <c r="B70">
        <v>2026</v>
      </c>
      <c r="C70" t="s">
        <v>75</v>
      </c>
      <c r="D70" t="s">
        <v>76</v>
      </c>
      <c r="E70" t="s">
        <v>77</v>
      </c>
      <c r="F70" t="s">
        <v>78</v>
      </c>
      <c r="G70" t="s">
        <v>141</v>
      </c>
      <c r="H70" t="s">
        <v>146</v>
      </c>
      <c r="I70" t="s">
        <v>346</v>
      </c>
      <c r="J70" t="s">
        <v>239</v>
      </c>
      <c r="K70" s="19">
        <v>-361.46</v>
      </c>
      <c r="L70" s="19">
        <v>0</v>
      </c>
      <c r="M70" s="19">
        <v>-361.46</v>
      </c>
      <c r="N70" s="19">
        <v>0</v>
      </c>
      <c r="O70" s="156">
        <v>-399.42</v>
      </c>
      <c r="P70" s="19">
        <v>-399.42</v>
      </c>
      <c r="Q70" s="19">
        <v>-149.15</v>
      </c>
      <c r="R70" s="19">
        <v>-399.42</v>
      </c>
      <c r="S70" s="19">
        <v>-345.06</v>
      </c>
      <c r="T70" s="19">
        <v>-345.06</v>
      </c>
      <c r="U70" s="19">
        <v>-345.06</v>
      </c>
      <c r="V70" s="19">
        <v>-345.06</v>
      </c>
      <c r="W70" s="19">
        <v>-3450.5699999999997</v>
      </c>
      <c r="X70" t="s">
        <v>449</v>
      </c>
    </row>
    <row r="71" spans="2:24" x14ac:dyDescent="0.35">
      <c r="B71">
        <v>2026</v>
      </c>
      <c r="C71" t="s">
        <v>75</v>
      </c>
      <c r="D71" t="s">
        <v>76</v>
      </c>
      <c r="E71" t="s">
        <v>77</v>
      </c>
      <c r="F71" t="s">
        <v>78</v>
      </c>
      <c r="G71" t="s">
        <v>141</v>
      </c>
      <c r="H71" t="s">
        <v>146</v>
      </c>
      <c r="I71" t="s">
        <v>347</v>
      </c>
      <c r="J71" t="s">
        <v>239</v>
      </c>
      <c r="K71" s="19">
        <v>-650.95000000000005</v>
      </c>
      <c r="L71" s="19">
        <v>-650.95000000000005</v>
      </c>
      <c r="M71" s="19">
        <v>0</v>
      </c>
      <c r="N71" s="19">
        <v>0</v>
      </c>
      <c r="O71" s="156" t="s">
        <v>397</v>
      </c>
      <c r="P71" s="19" t="s">
        <v>397</v>
      </c>
      <c r="Q71" s="19">
        <v>0</v>
      </c>
      <c r="R71" s="19">
        <v>-1139.1600000000001</v>
      </c>
      <c r="S71" s="19">
        <v>-813.69</v>
      </c>
      <c r="T71" s="19">
        <v>-813.69</v>
      </c>
      <c r="U71" s="19">
        <v>-813.69</v>
      </c>
      <c r="V71" s="19">
        <v>-813.69</v>
      </c>
      <c r="W71" s="19">
        <v>-5695.8200000000015</v>
      </c>
      <c r="X71" t="s">
        <v>449</v>
      </c>
    </row>
    <row r="72" spans="2:24" x14ac:dyDescent="0.35">
      <c r="B72">
        <v>2026</v>
      </c>
      <c r="C72" t="s">
        <v>75</v>
      </c>
      <c r="D72" t="s">
        <v>76</v>
      </c>
      <c r="E72" t="s">
        <v>77</v>
      </c>
      <c r="F72" t="s">
        <v>78</v>
      </c>
      <c r="G72" t="s">
        <v>141</v>
      </c>
      <c r="H72" t="s">
        <v>146</v>
      </c>
      <c r="I72" t="s">
        <v>348</v>
      </c>
      <c r="J72" t="s">
        <v>239</v>
      </c>
      <c r="K72" s="19">
        <v>0</v>
      </c>
      <c r="L72" s="19">
        <v>0</v>
      </c>
      <c r="M72" s="19">
        <v>0</v>
      </c>
      <c r="N72" s="19">
        <v>0</v>
      </c>
      <c r="O72" s="156">
        <v>0</v>
      </c>
      <c r="P72" s="19" t="s">
        <v>397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t="s">
        <v>440</v>
      </c>
    </row>
    <row r="73" spans="2:24" x14ac:dyDescent="0.35">
      <c r="B73">
        <v>2026</v>
      </c>
      <c r="C73" t="s">
        <v>75</v>
      </c>
      <c r="D73" t="s">
        <v>76</v>
      </c>
      <c r="E73" t="s">
        <v>77</v>
      </c>
      <c r="F73" t="s">
        <v>78</v>
      </c>
      <c r="G73" t="s">
        <v>141</v>
      </c>
      <c r="H73" t="s">
        <v>146</v>
      </c>
      <c r="I73" t="s">
        <v>349</v>
      </c>
      <c r="J73" t="s">
        <v>239</v>
      </c>
      <c r="K73" s="19">
        <v>0</v>
      </c>
      <c r="L73" s="19">
        <v>0</v>
      </c>
      <c r="M73" s="19">
        <v>0</v>
      </c>
      <c r="N73" s="19">
        <v>0</v>
      </c>
      <c r="O73" s="156">
        <v>0</v>
      </c>
      <c r="P73" s="19" t="s">
        <v>397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t="s">
        <v>440</v>
      </c>
    </row>
    <row r="74" spans="2:24" x14ac:dyDescent="0.35">
      <c r="B74">
        <v>2026</v>
      </c>
      <c r="C74" t="s">
        <v>75</v>
      </c>
      <c r="D74" t="s">
        <v>76</v>
      </c>
      <c r="E74" t="s">
        <v>77</v>
      </c>
      <c r="F74" t="s">
        <v>78</v>
      </c>
      <c r="G74" t="s">
        <v>141</v>
      </c>
      <c r="H74" t="s">
        <v>146</v>
      </c>
      <c r="I74" t="s">
        <v>350</v>
      </c>
      <c r="J74" t="s">
        <v>239</v>
      </c>
      <c r="K74" s="19">
        <v>-200</v>
      </c>
      <c r="L74" s="19">
        <v>-200</v>
      </c>
      <c r="M74" s="19">
        <v>-200</v>
      </c>
      <c r="N74" s="19">
        <v>-200</v>
      </c>
      <c r="O74" s="156">
        <v>-200</v>
      </c>
      <c r="P74" s="19">
        <v>-200</v>
      </c>
      <c r="Q74" s="19" t="s">
        <v>432</v>
      </c>
      <c r="R74" s="19">
        <v>-400</v>
      </c>
      <c r="S74" s="19">
        <v>-228.57</v>
      </c>
      <c r="T74" s="19">
        <v>-228.57</v>
      </c>
      <c r="U74" s="19">
        <v>-228.57</v>
      </c>
      <c r="V74" s="19">
        <v>-228.57</v>
      </c>
      <c r="W74" s="19">
        <v>-2514.2800000000002</v>
      </c>
      <c r="X74" t="s">
        <v>449</v>
      </c>
    </row>
    <row r="75" spans="2:24" x14ac:dyDescent="0.35">
      <c r="B75">
        <v>2026</v>
      </c>
      <c r="C75" t="s">
        <v>75</v>
      </c>
      <c r="D75" t="s">
        <v>76</v>
      </c>
      <c r="E75" t="s">
        <v>77</v>
      </c>
      <c r="F75" t="s">
        <v>78</v>
      </c>
      <c r="G75" t="s">
        <v>141</v>
      </c>
      <c r="H75" t="s">
        <v>146</v>
      </c>
      <c r="I75" t="s">
        <v>351</v>
      </c>
      <c r="J75" t="s">
        <v>239</v>
      </c>
      <c r="K75" s="19">
        <v>-200.22</v>
      </c>
      <c r="L75" s="19">
        <v>-200.22</v>
      </c>
      <c r="M75" s="19">
        <v>-200.22</v>
      </c>
      <c r="N75" s="19">
        <v>-200.22</v>
      </c>
      <c r="O75" s="156">
        <v>-200.22</v>
      </c>
      <c r="P75" s="19">
        <v>-200.22</v>
      </c>
      <c r="Q75" s="19" t="s">
        <v>432</v>
      </c>
      <c r="R75" s="19">
        <v>-400.44</v>
      </c>
      <c r="S75" s="19">
        <v>-228.82</v>
      </c>
      <c r="T75" s="19">
        <v>-228.82</v>
      </c>
      <c r="U75" s="19">
        <v>-228.82</v>
      </c>
      <c r="V75" s="19">
        <v>-228.82</v>
      </c>
      <c r="W75" s="19">
        <v>-2517.0400000000004</v>
      </c>
      <c r="X75" t="s">
        <v>449</v>
      </c>
    </row>
    <row r="76" spans="2:24" x14ac:dyDescent="0.35">
      <c r="B76">
        <v>2026</v>
      </c>
      <c r="C76" t="s">
        <v>75</v>
      </c>
      <c r="D76" t="s">
        <v>76</v>
      </c>
      <c r="E76" t="s">
        <v>77</v>
      </c>
      <c r="F76" t="s">
        <v>78</v>
      </c>
      <c r="G76" t="s">
        <v>141</v>
      </c>
      <c r="H76" t="s">
        <v>146</v>
      </c>
      <c r="I76" t="s">
        <v>352</v>
      </c>
      <c r="J76" t="s">
        <v>239</v>
      </c>
      <c r="K76" s="19">
        <v>-369.97</v>
      </c>
      <c r="L76" s="19">
        <v>-369.97</v>
      </c>
      <c r="M76" s="19">
        <v>-150</v>
      </c>
      <c r="N76" s="19">
        <v>-1039.51</v>
      </c>
      <c r="O76" s="156" t="s">
        <v>397</v>
      </c>
      <c r="P76" s="19" t="s">
        <v>397</v>
      </c>
      <c r="Q76" s="19">
        <v>0</v>
      </c>
      <c r="R76" s="19">
        <v>0</v>
      </c>
      <c r="S76" s="19">
        <v>-482.36</v>
      </c>
      <c r="T76" s="19">
        <v>-482.36</v>
      </c>
      <c r="U76" s="19">
        <v>-482.36</v>
      </c>
      <c r="V76" s="19">
        <v>-482.36</v>
      </c>
      <c r="W76" s="19">
        <v>-3858.8900000000003</v>
      </c>
      <c r="X76" t="s">
        <v>449</v>
      </c>
    </row>
    <row r="77" spans="2:24" x14ac:dyDescent="0.35">
      <c r="B77">
        <v>2026</v>
      </c>
      <c r="C77" t="s">
        <v>75</v>
      </c>
      <c r="D77" t="s">
        <v>76</v>
      </c>
      <c r="E77" t="s">
        <v>77</v>
      </c>
      <c r="F77" t="s">
        <v>78</v>
      </c>
      <c r="G77" t="s">
        <v>141</v>
      </c>
      <c r="H77" t="s">
        <v>146</v>
      </c>
      <c r="I77" t="s">
        <v>353</v>
      </c>
      <c r="J77" t="s">
        <v>239</v>
      </c>
      <c r="K77" s="19">
        <v>-1068.22</v>
      </c>
      <c r="L77" s="19">
        <v>0</v>
      </c>
      <c r="M77" s="19">
        <v>-2136.44</v>
      </c>
      <c r="N77" s="19">
        <v>-1068.22</v>
      </c>
      <c r="O77" s="156">
        <v>-1172.1400000000001</v>
      </c>
      <c r="P77" s="19" t="s">
        <v>397</v>
      </c>
      <c r="Q77" s="19">
        <v>-2344.3000000000002</v>
      </c>
      <c r="R77" s="19">
        <v>0</v>
      </c>
      <c r="S77" s="19">
        <v>-1557.86</v>
      </c>
      <c r="T77" s="19">
        <v>-1557.86</v>
      </c>
      <c r="U77" s="19">
        <v>-1557.86</v>
      </c>
      <c r="V77" s="19">
        <v>-1557.86</v>
      </c>
      <c r="W77" s="19">
        <v>-14020.760000000002</v>
      </c>
      <c r="X77" t="s">
        <v>449</v>
      </c>
    </row>
    <row r="78" spans="2:24" x14ac:dyDescent="0.35">
      <c r="B78">
        <v>2026</v>
      </c>
      <c r="C78" t="s">
        <v>75</v>
      </c>
      <c r="D78" t="s">
        <v>76</v>
      </c>
      <c r="E78" t="s">
        <v>77</v>
      </c>
      <c r="F78" t="s">
        <v>78</v>
      </c>
      <c r="G78" t="s">
        <v>141</v>
      </c>
      <c r="H78" t="s">
        <v>146</v>
      </c>
      <c r="I78" t="s">
        <v>354</v>
      </c>
      <c r="J78" t="s">
        <v>239</v>
      </c>
      <c r="K78" s="19">
        <v>-911.28</v>
      </c>
      <c r="L78" s="19">
        <v>0</v>
      </c>
      <c r="M78" s="19">
        <v>-1822.56</v>
      </c>
      <c r="N78" s="19">
        <v>-911.28</v>
      </c>
      <c r="O78" s="156">
        <v>-1015.21</v>
      </c>
      <c r="P78" s="19" t="s">
        <v>397</v>
      </c>
      <c r="Q78" s="19">
        <v>-2030.4</v>
      </c>
      <c r="R78" s="19">
        <v>0</v>
      </c>
      <c r="S78" s="19">
        <v>-1338.15</v>
      </c>
      <c r="T78" s="19">
        <v>-1338.15</v>
      </c>
      <c r="U78" s="19">
        <v>-1338.15</v>
      </c>
      <c r="V78" s="19">
        <v>-1338.15</v>
      </c>
      <c r="W78" s="19">
        <v>-12043.329999999998</v>
      </c>
      <c r="X78" t="s">
        <v>449</v>
      </c>
    </row>
    <row r="79" spans="2:24" x14ac:dyDescent="0.35">
      <c r="B79">
        <v>2026</v>
      </c>
      <c r="C79" t="s">
        <v>75</v>
      </c>
      <c r="D79" t="s">
        <v>76</v>
      </c>
      <c r="E79" t="s">
        <v>77</v>
      </c>
      <c r="F79" t="s">
        <v>78</v>
      </c>
      <c r="G79" t="s">
        <v>141</v>
      </c>
      <c r="H79" t="s">
        <v>146</v>
      </c>
      <c r="I79" t="s">
        <v>355</v>
      </c>
      <c r="J79" t="s">
        <v>239</v>
      </c>
      <c r="K79" s="19">
        <v>-613.16</v>
      </c>
      <c r="L79" s="19">
        <v>-613.15</v>
      </c>
      <c r="M79" s="19">
        <v>-613.15</v>
      </c>
      <c r="N79" s="19">
        <v>-613.15</v>
      </c>
      <c r="O79" s="156">
        <v>-677.53</v>
      </c>
      <c r="P79" s="19">
        <v>-677.53</v>
      </c>
      <c r="Q79" s="19">
        <v>-677.53</v>
      </c>
      <c r="R79" s="19">
        <v>-677.53</v>
      </c>
      <c r="S79" s="19">
        <v>-645.34</v>
      </c>
      <c r="T79" s="19">
        <v>-645.34</v>
      </c>
      <c r="U79" s="19">
        <v>-645.34</v>
      </c>
      <c r="V79" s="19">
        <v>-645.34</v>
      </c>
      <c r="W79" s="19">
        <v>-7744.09</v>
      </c>
      <c r="X79" t="s">
        <v>449</v>
      </c>
    </row>
    <row r="80" spans="2:24" x14ac:dyDescent="0.35">
      <c r="B80">
        <v>2026</v>
      </c>
      <c r="C80" t="s">
        <v>75</v>
      </c>
      <c r="D80" t="s">
        <v>76</v>
      </c>
      <c r="E80" t="s">
        <v>77</v>
      </c>
      <c r="F80" t="s">
        <v>78</v>
      </c>
      <c r="G80" t="s">
        <v>141</v>
      </c>
      <c r="H80" t="s">
        <v>146</v>
      </c>
      <c r="I80" t="s">
        <v>356</v>
      </c>
      <c r="J80" t="s">
        <v>239</v>
      </c>
      <c r="K80" s="19">
        <v>-1600</v>
      </c>
      <c r="L80" s="19">
        <v>-1600</v>
      </c>
      <c r="M80" s="19">
        <v>-1600</v>
      </c>
      <c r="N80" s="19">
        <v>-1600</v>
      </c>
      <c r="O80" s="156">
        <v>-1600</v>
      </c>
      <c r="P80" s="19">
        <v>-1600</v>
      </c>
      <c r="Q80" s="19">
        <v>-1600</v>
      </c>
      <c r="R80" s="19">
        <v>-1600</v>
      </c>
      <c r="S80" s="19">
        <v>-1600</v>
      </c>
      <c r="T80" s="19">
        <v>-1600</v>
      </c>
      <c r="U80" s="19">
        <v>-1600</v>
      </c>
      <c r="V80" s="19">
        <v>-1600</v>
      </c>
      <c r="W80" s="19">
        <v>-19200</v>
      </c>
      <c r="X80" t="s">
        <v>449</v>
      </c>
    </row>
    <row r="81" spans="2:24" x14ac:dyDescent="0.35">
      <c r="B81">
        <v>2026</v>
      </c>
      <c r="C81" t="s">
        <v>75</v>
      </c>
      <c r="D81" t="s">
        <v>76</v>
      </c>
      <c r="E81" t="s">
        <v>77</v>
      </c>
      <c r="F81" t="s">
        <v>78</v>
      </c>
      <c r="G81" t="s">
        <v>141</v>
      </c>
      <c r="H81" t="s">
        <v>146</v>
      </c>
      <c r="I81" t="s">
        <v>149</v>
      </c>
      <c r="J81" t="s">
        <v>239</v>
      </c>
      <c r="K81" s="19">
        <v>-634.77</v>
      </c>
      <c r="L81" s="19">
        <v>-1093.22</v>
      </c>
      <c r="M81" s="19">
        <v>-1093.22</v>
      </c>
      <c r="N81" s="19">
        <v>-1093.22</v>
      </c>
      <c r="O81" s="156">
        <v>-1208.01</v>
      </c>
      <c r="P81" s="19">
        <v>-1208.01</v>
      </c>
      <c r="Q81" s="19">
        <v>-1208.01</v>
      </c>
      <c r="R81" s="19">
        <v>-1208.01</v>
      </c>
      <c r="S81" s="19">
        <v>-1093.31</v>
      </c>
      <c r="T81" s="19">
        <v>-1093.31</v>
      </c>
      <c r="U81" s="19">
        <v>-1093.31</v>
      </c>
      <c r="V81" s="19">
        <v>-1093.31</v>
      </c>
      <c r="W81" s="19">
        <v>-13119.71</v>
      </c>
      <c r="X81" t="s">
        <v>449</v>
      </c>
    </row>
    <row r="82" spans="2:24" x14ac:dyDescent="0.35">
      <c r="B82">
        <v>2026</v>
      </c>
      <c r="C82" t="s">
        <v>75</v>
      </c>
      <c r="D82" t="s">
        <v>76</v>
      </c>
      <c r="E82" t="s">
        <v>77</v>
      </c>
      <c r="F82" t="s">
        <v>78</v>
      </c>
      <c r="G82" t="s">
        <v>141</v>
      </c>
      <c r="H82" t="s">
        <v>146</v>
      </c>
      <c r="I82" t="s">
        <v>311</v>
      </c>
      <c r="J82" t="s">
        <v>239</v>
      </c>
      <c r="K82" s="19">
        <v>0</v>
      </c>
      <c r="L82" s="19">
        <v>0</v>
      </c>
      <c r="M82" s="19">
        <v>0</v>
      </c>
      <c r="N82" s="19">
        <v>-381.67</v>
      </c>
      <c r="O82" s="156">
        <v>0</v>
      </c>
      <c r="P82" s="19">
        <v>-845.32999999999993</v>
      </c>
      <c r="Q82" s="19">
        <v>-742</v>
      </c>
      <c r="R82" s="19">
        <v>-742</v>
      </c>
      <c r="S82" s="19">
        <v>-677.75</v>
      </c>
      <c r="T82" s="19">
        <v>-677.75</v>
      </c>
      <c r="U82" s="19">
        <v>-677.75</v>
      </c>
      <c r="V82" s="19">
        <v>-677.75</v>
      </c>
      <c r="W82" s="19">
        <v>-5422</v>
      </c>
      <c r="X82" t="s">
        <v>449</v>
      </c>
    </row>
    <row r="83" spans="2:24" x14ac:dyDescent="0.35">
      <c r="B83">
        <v>2026</v>
      </c>
      <c r="C83" t="s">
        <v>75</v>
      </c>
      <c r="D83" t="s">
        <v>76</v>
      </c>
      <c r="E83" t="s">
        <v>77</v>
      </c>
      <c r="F83" t="s">
        <v>78</v>
      </c>
      <c r="G83" t="s">
        <v>141</v>
      </c>
      <c r="H83" t="s">
        <v>150</v>
      </c>
      <c r="I83" t="s">
        <v>357</v>
      </c>
      <c r="J83" t="s">
        <v>239</v>
      </c>
      <c r="K83" s="19">
        <v>-1621.56</v>
      </c>
      <c r="L83" s="19">
        <v>-815.7</v>
      </c>
      <c r="M83" s="19">
        <v>-136.16</v>
      </c>
      <c r="N83" s="19">
        <v>-218</v>
      </c>
      <c r="O83" s="156" t="s">
        <v>397</v>
      </c>
      <c r="P83" s="19">
        <v>-790.66</v>
      </c>
      <c r="Q83" s="19" t="s">
        <v>432</v>
      </c>
      <c r="R83" s="19">
        <v>0</v>
      </c>
      <c r="S83" s="19">
        <v>-716.42</v>
      </c>
      <c r="T83" s="19">
        <v>-716.42</v>
      </c>
      <c r="U83" s="19">
        <v>-716.42</v>
      </c>
      <c r="V83" s="19">
        <v>-716.42</v>
      </c>
      <c r="W83" s="19">
        <v>-6447.76</v>
      </c>
      <c r="X83" t="s">
        <v>489</v>
      </c>
    </row>
    <row r="84" spans="2:24" x14ac:dyDescent="0.35">
      <c r="B84">
        <v>2026</v>
      </c>
      <c r="C84" t="s">
        <v>75</v>
      </c>
      <c r="D84" t="s">
        <v>76</v>
      </c>
      <c r="E84" t="s">
        <v>77</v>
      </c>
      <c r="F84" t="s">
        <v>78</v>
      </c>
      <c r="G84" t="s">
        <v>141</v>
      </c>
      <c r="H84" t="s">
        <v>150</v>
      </c>
      <c r="I84" t="s">
        <v>358</v>
      </c>
      <c r="J84" t="s">
        <v>239</v>
      </c>
      <c r="K84" s="19">
        <v>0</v>
      </c>
      <c r="L84" s="19">
        <v>0</v>
      </c>
      <c r="M84" s="19">
        <v>-1006.36</v>
      </c>
      <c r="N84" s="19">
        <v>0</v>
      </c>
      <c r="O84" s="156" t="s">
        <v>397</v>
      </c>
      <c r="P84" s="19">
        <v>-979.23</v>
      </c>
      <c r="Q84" s="19" t="s">
        <v>432</v>
      </c>
      <c r="R84" s="19">
        <v>-115.48</v>
      </c>
      <c r="S84" s="19">
        <v>-700.36</v>
      </c>
      <c r="T84" s="19">
        <v>-700.36</v>
      </c>
      <c r="U84" s="19">
        <v>-700.36</v>
      </c>
      <c r="V84" s="19">
        <v>-700.36</v>
      </c>
      <c r="W84" s="19">
        <v>-4902.51</v>
      </c>
      <c r="X84" t="s">
        <v>489</v>
      </c>
    </row>
    <row r="85" spans="2:24" x14ac:dyDescent="0.35">
      <c r="B85">
        <v>2026</v>
      </c>
      <c r="C85" t="s">
        <v>75</v>
      </c>
      <c r="D85" t="s">
        <v>76</v>
      </c>
      <c r="E85" t="s">
        <v>77</v>
      </c>
      <c r="F85" t="s">
        <v>78</v>
      </c>
      <c r="G85" t="s">
        <v>141</v>
      </c>
      <c r="H85" t="s">
        <v>150</v>
      </c>
      <c r="I85" t="s">
        <v>151</v>
      </c>
      <c r="J85" t="s">
        <v>239</v>
      </c>
      <c r="K85" s="19">
        <v>0</v>
      </c>
      <c r="L85" s="19">
        <v>-73.72</v>
      </c>
      <c r="M85" s="19">
        <v>0</v>
      </c>
      <c r="N85" s="19">
        <v>-13.33</v>
      </c>
      <c r="O85" s="156">
        <v>-183.66</v>
      </c>
      <c r="P85" s="19" t="s">
        <v>397</v>
      </c>
      <c r="Q85" s="19">
        <v>-196.99</v>
      </c>
      <c r="R85" s="19">
        <v>0</v>
      </c>
      <c r="S85" s="19">
        <v>-116.92</v>
      </c>
      <c r="T85" s="19">
        <v>-116.92</v>
      </c>
      <c r="U85" s="19">
        <v>-116.92</v>
      </c>
      <c r="V85" s="19">
        <v>-116.92</v>
      </c>
      <c r="W85" s="19">
        <v>-935.37999999999988</v>
      </c>
      <c r="X85" t="s">
        <v>489</v>
      </c>
    </row>
    <row r="86" spans="2:24" x14ac:dyDescent="0.35">
      <c r="B86">
        <v>2026</v>
      </c>
      <c r="C86" t="s">
        <v>75</v>
      </c>
      <c r="D86" t="s">
        <v>76</v>
      </c>
      <c r="E86" t="s">
        <v>77</v>
      </c>
      <c r="F86" t="s">
        <v>78</v>
      </c>
      <c r="G86" t="s">
        <v>141</v>
      </c>
      <c r="H86" t="s">
        <v>150</v>
      </c>
      <c r="I86" t="s">
        <v>359</v>
      </c>
      <c r="J86" t="s">
        <v>239</v>
      </c>
      <c r="K86" s="19">
        <v>0</v>
      </c>
      <c r="L86" s="19">
        <v>-1833.95</v>
      </c>
      <c r="M86" s="19">
        <v>-468.78</v>
      </c>
      <c r="N86" s="19">
        <v>-344</v>
      </c>
      <c r="O86" s="156" t="s">
        <v>397</v>
      </c>
      <c r="P86" s="19">
        <v>-1900.59</v>
      </c>
      <c r="Q86" s="19">
        <v>-2274.92</v>
      </c>
      <c r="R86" s="19">
        <v>0</v>
      </c>
      <c r="S86" s="19">
        <v>-1364.45</v>
      </c>
      <c r="T86" s="19">
        <v>-1364.45</v>
      </c>
      <c r="U86" s="19">
        <v>-1364.45</v>
      </c>
      <c r="V86" s="19">
        <v>-1364.45</v>
      </c>
      <c r="W86" s="19">
        <v>-12280.04</v>
      </c>
      <c r="X86" t="s">
        <v>489</v>
      </c>
    </row>
    <row r="87" spans="2:24" x14ac:dyDescent="0.35">
      <c r="B87">
        <v>2026</v>
      </c>
      <c r="C87" t="s">
        <v>75</v>
      </c>
      <c r="D87" t="s">
        <v>76</v>
      </c>
      <c r="E87" t="s">
        <v>77</v>
      </c>
      <c r="F87" t="s">
        <v>78</v>
      </c>
      <c r="G87" t="s">
        <v>141</v>
      </c>
      <c r="H87" t="s">
        <v>150</v>
      </c>
      <c r="I87" t="s">
        <v>152</v>
      </c>
      <c r="J87" t="s">
        <v>239</v>
      </c>
      <c r="K87" s="19">
        <v>0</v>
      </c>
      <c r="L87" s="19">
        <v>0</v>
      </c>
      <c r="M87" s="19">
        <v>-238.88</v>
      </c>
      <c r="N87" s="19">
        <v>0</v>
      </c>
      <c r="O87" s="156" t="s">
        <v>397</v>
      </c>
      <c r="P87" s="19" t="s">
        <v>397</v>
      </c>
      <c r="Q87" s="19">
        <v>0</v>
      </c>
      <c r="R87" s="19">
        <v>0</v>
      </c>
      <c r="S87" s="19">
        <v>-238.88</v>
      </c>
      <c r="T87" s="19">
        <v>-238.88</v>
      </c>
      <c r="U87" s="19">
        <v>-238.88</v>
      </c>
      <c r="V87" s="19">
        <v>-238.88</v>
      </c>
      <c r="W87" s="19">
        <v>-1194.4000000000001</v>
      </c>
      <c r="X87" t="s">
        <v>489</v>
      </c>
    </row>
    <row r="88" spans="2:24" x14ac:dyDescent="0.35">
      <c r="B88">
        <v>2026</v>
      </c>
      <c r="C88" t="s">
        <v>75</v>
      </c>
      <c r="D88" t="s">
        <v>76</v>
      </c>
      <c r="E88" t="s">
        <v>77</v>
      </c>
      <c r="F88" t="s">
        <v>78</v>
      </c>
      <c r="G88" t="s">
        <v>141</v>
      </c>
      <c r="H88" t="s">
        <v>150</v>
      </c>
      <c r="I88" t="s">
        <v>360</v>
      </c>
      <c r="J88" t="s">
        <v>239</v>
      </c>
      <c r="K88" s="19">
        <v>0</v>
      </c>
      <c r="L88" s="19">
        <v>0</v>
      </c>
      <c r="M88" s="19">
        <v>0</v>
      </c>
      <c r="N88" s="19">
        <v>-350.75</v>
      </c>
      <c r="O88" s="156" t="s">
        <v>397</v>
      </c>
      <c r="P88" s="19" t="s">
        <v>397</v>
      </c>
      <c r="Q88" s="19">
        <v>-634.91</v>
      </c>
      <c r="R88" s="19">
        <v>0</v>
      </c>
      <c r="S88" s="19">
        <v>-492.83</v>
      </c>
      <c r="T88" s="19">
        <v>-492.83</v>
      </c>
      <c r="U88" s="19">
        <v>-492.83</v>
      </c>
      <c r="V88" s="19">
        <v>-492.83</v>
      </c>
      <c r="W88" s="19">
        <v>-2956.98</v>
      </c>
      <c r="X88" t="s">
        <v>489</v>
      </c>
    </row>
    <row r="89" spans="2:24" x14ac:dyDescent="0.35">
      <c r="B89">
        <v>2026</v>
      </c>
      <c r="C89" t="s">
        <v>75</v>
      </c>
      <c r="D89" t="s">
        <v>76</v>
      </c>
      <c r="E89" t="s">
        <v>77</v>
      </c>
      <c r="F89" t="s">
        <v>78</v>
      </c>
      <c r="G89" t="s">
        <v>141</v>
      </c>
      <c r="H89" t="s">
        <v>150</v>
      </c>
      <c r="I89" t="s">
        <v>153</v>
      </c>
      <c r="J89" t="s">
        <v>239</v>
      </c>
      <c r="K89" s="19">
        <v>0</v>
      </c>
      <c r="L89" s="19">
        <v>0</v>
      </c>
      <c r="M89" s="19">
        <v>0</v>
      </c>
      <c r="N89" s="19">
        <v>0</v>
      </c>
      <c r="O89" s="156">
        <v>0</v>
      </c>
      <c r="P89" s="19" t="s">
        <v>397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t="s">
        <v>489</v>
      </c>
    </row>
    <row r="90" spans="2:24" x14ac:dyDescent="0.35">
      <c r="B90">
        <v>2026</v>
      </c>
      <c r="C90" t="s">
        <v>75</v>
      </c>
      <c r="D90" t="s">
        <v>76</v>
      </c>
      <c r="E90" t="s">
        <v>77</v>
      </c>
      <c r="F90" t="s">
        <v>78</v>
      </c>
      <c r="G90" t="s">
        <v>141</v>
      </c>
      <c r="H90" t="s">
        <v>150</v>
      </c>
      <c r="I90" t="s">
        <v>361</v>
      </c>
      <c r="J90" t="s">
        <v>239</v>
      </c>
      <c r="K90" s="19">
        <v>-585</v>
      </c>
      <c r="L90" s="19">
        <v>0</v>
      </c>
      <c r="M90" s="19">
        <v>-1101.5999999999999</v>
      </c>
      <c r="N90" s="19">
        <v>-495</v>
      </c>
      <c r="O90" s="156" t="s">
        <v>397</v>
      </c>
      <c r="P90" s="19">
        <v>-1566.9</v>
      </c>
      <c r="Q90" s="19">
        <v>-642.6</v>
      </c>
      <c r="R90" s="19">
        <v>-977.98</v>
      </c>
      <c r="S90" s="19">
        <v>-894.85</v>
      </c>
      <c r="T90" s="19">
        <v>-894.85</v>
      </c>
      <c r="U90" s="19">
        <v>-894.85</v>
      </c>
      <c r="V90" s="19">
        <v>-894.85</v>
      </c>
      <c r="W90" s="19">
        <v>-8948.4800000000014</v>
      </c>
      <c r="X90" t="s">
        <v>489</v>
      </c>
    </row>
    <row r="91" spans="2:24" x14ac:dyDescent="0.35">
      <c r="B91">
        <v>2026</v>
      </c>
      <c r="C91" t="s">
        <v>75</v>
      </c>
      <c r="D91" t="s">
        <v>76</v>
      </c>
      <c r="E91" t="s">
        <v>77</v>
      </c>
      <c r="F91" t="s">
        <v>78</v>
      </c>
      <c r="G91" t="s">
        <v>141</v>
      </c>
      <c r="H91" t="s">
        <v>150</v>
      </c>
      <c r="I91" t="s">
        <v>429</v>
      </c>
      <c r="J91" t="s">
        <v>239</v>
      </c>
      <c r="K91" s="19">
        <v>0</v>
      </c>
      <c r="L91" s="19">
        <v>0</v>
      </c>
      <c r="M91" s="19">
        <v>0</v>
      </c>
      <c r="N91" s="19">
        <v>0</v>
      </c>
      <c r="O91" s="156">
        <v>0</v>
      </c>
      <c r="P91" s="19">
        <v>0</v>
      </c>
      <c r="Q91" s="19">
        <v>-1409.04</v>
      </c>
      <c r="R91" s="19">
        <v>0</v>
      </c>
      <c r="S91" s="19">
        <v>-1409.04</v>
      </c>
      <c r="T91" s="19">
        <v>-1409.04</v>
      </c>
      <c r="U91" s="19">
        <v>-1409.04</v>
      </c>
      <c r="V91" s="19">
        <v>-1409.04</v>
      </c>
      <c r="W91" s="19">
        <v>-7045.2</v>
      </c>
      <c r="X91" t="s">
        <v>489</v>
      </c>
    </row>
    <row r="92" spans="2:24" x14ac:dyDescent="0.35">
      <c r="B92">
        <v>2026</v>
      </c>
      <c r="C92" t="s">
        <v>75</v>
      </c>
      <c r="D92" t="s">
        <v>76</v>
      </c>
      <c r="E92" t="s">
        <v>77</v>
      </c>
      <c r="F92" t="s">
        <v>78</v>
      </c>
      <c r="G92" t="s">
        <v>141</v>
      </c>
      <c r="H92" t="s">
        <v>150</v>
      </c>
      <c r="I92" t="s">
        <v>362</v>
      </c>
      <c r="J92" t="s">
        <v>239</v>
      </c>
      <c r="K92" s="19">
        <v>0</v>
      </c>
      <c r="L92" s="19">
        <v>0</v>
      </c>
      <c r="M92" s="19">
        <v>0</v>
      </c>
      <c r="N92" s="19">
        <v>0</v>
      </c>
      <c r="O92" s="156">
        <v>0</v>
      </c>
      <c r="P92" s="19" t="s">
        <v>397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t="s">
        <v>489</v>
      </c>
    </row>
    <row r="93" spans="2:24" x14ac:dyDescent="0.35">
      <c r="B93">
        <v>2026</v>
      </c>
      <c r="C93" t="s">
        <v>75</v>
      </c>
      <c r="D93" t="s">
        <v>76</v>
      </c>
      <c r="E93" t="s">
        <v>77</v>
      </c>
      <c r="F93" t="s">
        <v>78</v>
      </c>
      <c r="G93" t="s">
        <v>141</v>
      </c>
      <c r="H93" t="s">
        <v>150</v>
      </c>
      <c r="I93" t="s">
        <v>154</v>
      </c>
      <c r="J93" t="s">
        <v>239</v>
      </c>
      <c r="K93" s="19">
        <v>-1342.54</v>
      </c>
      <c r="L93" s="19">
        <v>-586</v>
      </c>
      <c r="M93" s="19">
        <v>-2280</v>
      </c>
      <c r="N93" s="19">
        <v>0</v>
      </c>
      <c r="O93" s="156">
        <v>-942.88</v>
      </c>
      <c r="P93" s="19">
        <v>-354.5</v>
      </c>
      <c r="Q93" s="19">
        <v>-9441.85</v>
      </c>
      <c r="R93" s="19">
        <v>-1983.69</v>
      </c>
      <c r="S93" s="19">
        <v>-2418.7800000000002</v>
      </c>
      <c r="T93" s="19">
        <v>-2418.7800000000002</v>
      </c>
      <c r="U93" s="19">
        <v>-2418.7800000000002</v>
      </c>
      <c r="V93" s="19">
        <v>-2418.7800000000002</v>
      </c>
      <c r="W93" s="19">
        <v>-26606.579999999994</v>
      </c>
      <c r="X93" t="s">
        <v>489</v>
      </c>
    </row>
    <row r="94" spans="2:24" x14ac:dyDescent="0.35">
      <c r="B94">
        <v>2026</v>
      </c>
      <c r="C94" t="s">
        <v>75</v>
      </c>
      <c r="D94" t="s">
        <v>76</v>
      </c>
      <c r="E94" t="s">
        <v>77</v>
      </c>
      <c r="F94" t="s">
        <v>78</v>
      </c>
      <c r="G94" t="s">
        <v>141</v>
      </c>
      <c r="H94" t="s">
        <v>150</v>
      </c>
      <c r="I94" t="s">
        <v>155</v>
      </c>
      <c r="J94" t="s">
        <v>239</v>
      </c>
      <c r="K94" s="19">
        <v>-667.12</v>
      </c>
      <c r="L94" s="19">
        <v>0</v>
      </c>
      <c r="M94" s="19">
        <v>0</v>
      </c>
      <c r="N94" s="19">
        <v>0</v>
      </c>
      <c r="O94" s="156" t="s">
        <v>397</v>
      </c>
      <c r="P94" s="19">
        <v>-4282.05</v>
      </c>
      <c r="Q94" s="19">
        <v>-5230</v>
      </c>
      <c r="R94" s="19">
        <v>-5848.16</v>
      </c>
      <c r="S94" s="19">
        <v>-4006.83</v>
      </c>
      <c r="T94" s="19">
        <v>-4006.83</v>
      </c>
      <c r="U94" s="19">
        <v>-4006.83</v>
      </c>
      <c r="V94" s="19">
        <v>-4006.83</v>
      </c>
      <c r="W94" s="19">
        <v>-32054.65</v>
      </c>
      <c r="X94" t="s">
        <v>489</v>
      </c>
    </row>
    <row r="95" spans="2:24" x14ac:dyDescent="0.35">
      <c r="B95">
        <v>2026</v>
      </c>
      <c r="C95" t="s">
        <v>75</v>
      </c>
      <c r="D95" t="s">
        <v>76</v>
      </c>
      <c r="E95" t="s">
        <v>77</v>
      </c>
      <c r="F95" t="s">
        <v>78</v>
      </c>
      <c r="G95" t="s">
        <v>141</v>
      </c>
      <c r="H95" t="s">
        <v>150</v>
      </c>
      <c r="I95" t="s">
        <v>156</v>
      </c>
      <c r="J95" t="s">
        <v>239</v>
      </c>
      <c r="K95" s="19">
        <v>-617.41999999999996</v>
      </c>
      <c r="L95" s="19">
        <v>0</v>
      </c>
      <c r="M95" s="19">
        <v>0</v>
      </c>
      <c r="N95" s="19">
        <v>0</v>
      </c>
      <c r="O95" s="156" t="s">
        <v>397</v>
      </c>
      <c r="P95" s="19">
        <v>-4467.0200000000004</v>
      </c>
      <c r="Q95" s="19" t="s">
        <v>432</v>
      </c>
      <c r="R95" s="19">
        <v>-11965.55</v>
      </c>
      <c r="S95" s="19">
        <v>-5683.33</v>
      </c>
      <c r="T95" s="19">
        <v>-5683.33</v>
      </c>
      <c r="U95" s="19">
        <v>-5683.33</v>
      </c>
      <c r="V95" s="19">
        <v>-5683.33</v>
      </c>
      <c r="W95" s="19">
        <v>-39783.310000000005</v>
      </c>
      <c r="X95" t="s">
        <v>489</v>
      </c>
    </row>
    <row r="96" spans="2:24" x14ac:dyDescent="0.35">
      <c r="B96">
        <v>2026</v>
      </c>
      <c r="C96" t="s">
        <v>75</v>
      </c>
      <c r="D96" t="s">
        <v>76</v>
      </c>
      <c r="E96" t="s">
        <v>77</v>
      </c>
      <c r="F96" t="s">
        <v>78</v>
      </c>
      <c r="G96" t="s">
        <v>141</v>
      </c>
      <c r="H96" t="s">
        <v>150</v>
      </c>
      <c r="I96" t="s">
        <v>157</v>
      </c>
      <c r="J96" t="s">
        <v>239</v>
      </c>
      <c r="K96" s="19">
        <v>0</v>
      </c>
      <c r="L96" s="19">
        <v>0</v>
      </c>
      <c r="M96" s="19">
        <v>-1502.54</v>
      </c>
      <c r="N96" s="19">
        <v>-55.82</v>
      </c>
      <c r="O96" s="156">
        <v>-1092.45</v>
      </c>
      <c r="P96" s="19">
        <v>-8017.35</v>
      </c>
      <c r="Q96" s="19">
        <v>5697.8</v>
      </c>
      <c r="R96" s="19">
        <v>-288.39</v>
      </c>
      <c r="S96" s="19">
        <v>-876.46</v>
      </c>
      <c r="T96" s="19">
        <v>-876.46</v>
      </c>
      <c r="U96" s="19">
        <v>-876.46</v>
      </c>
      <c r="V96" s="19">
        <v>-876.46</v>
      </c>
      <c r="W96" s="19">
        <v>-8764.59</v>
      </c>
      <c r="X96" t="s">
        <v>489</v>
      </c>
    </row>
    <row r="97" spans="2:24" x14ac:dyDescent="0.35">
      <c r="B97">
        <v>2026</v>
      </c>
      <c r="C97" t="s">
        <v>75</v>
      </c>
      <c r="D97" t="s">
        <v>76</v>
      </c>
      <c r="E97" t="s">
        <v>77</v>
      </c>
      <c r="F97" t="s">
        <v>78</v>
      </c>
      <c r="G97" t="s">
        <v>141</v>
      </c>
      <c r="H97" t="s">
        <v>150</v>
      </c>
      <c r="I97" t="s">
        <v>158</v>
      </c>
      <c r="J97" t="s">
        <v>239</v>
      </c>
      <c r="K97" s="19">
        <v>0</v>
      </c>
      <c r="L97" s="19">
        <v>-155.11000000000001</v>
      </c>
      <c r="M97" s="19">
        <v>-1072.93</v>
      </c>
      <c r="N97" s="19">
        <v>-2283.52</v>
      </c>
      <c r="O97" s="156">
        <v>-799.04</v>
      </c>
      <c r="P97" s="19">
        <v>-106.8</v>
      </c>
      <c r="Q97" s="19" t="s">
        <v>432</v>
      </c>
      <c r="R97" s="19">
        <v>-108.17</v>
      </c>
      <c r="S97" s="19">
        <v>-754.26</v>
      </c>
      <c r="T97" s="19">
        <v>-754.26</v>
      </c>
      <c r="U97" s="19">
        <v>-754.26</v>
      </c>
      <c r="V97" s="19">
        <v>-754.26</v>
      </c>
      <c r="W97" s="19">
        <v>-7542.6100000000015</v>
      </c>
      <c r="X97" t="s">
        <v>489</v>
      </c>
    </row>
    <row r="98" spans="2:24" x14ac:dyDescent="0.35">
      <c r="B98">
        <v>2026</v>
      </c>
      <c r="C98" t="s">
        <v>75</v>
      </c>
      <c r="D98" t="s">
        <v>76</v>
      </c>
      <c r="E98" t="s">
        <v>77</v>
      </c>
      <c r="F98" t="s">
        <v>78</v>
      </c>
      <c r="G98" t="s">
        <v>141</v>
      </c>
      <c r="H98" t="s">
        <v>150</v>
      </c>
      <c r="I98" t="s">
        <v>159</v>
      </c>
      <c r="J98" t="s">
        <v>239</v>
      </c>
      <c r="K98" s="19">
        <v>0</v>
      </c>
      <c r="L98" s="19">
        <v>-39.799999999999997</v>
      </c>
      <c r="M98" s="19">
        <v>-227.04</v>
      </c>
      <c r="N98" s="19">
        <v>0</v>
      </c>
      <c r="O98" s="19" t="s">
        <v>397</v>
      </c>
      <c r="P98" s="19">
        <v>-81.8</v>
      </c>
      <c r="Q98" s="19" t="s">
        <v>432</v>
      </c>
      <c r="R98" s="19">
        <v>0</v>
      </c>
      <c r="S98" s="19">
        <v>-116.21</v>
      </c>
      <c r="T98" s="19">
        <v>-116.21</v>
      </c>
      <c r="U98" s="19">
        <v>-116.21</v>
      </c>
      <c r="V98" s="19">
        <v>-116.21</v>
      </c>
      <c r="W98" s="19">
        <v>-813.48</v>
      </c>
      <c r="X98" t="s">
        <v>489</v>
      </c>
    </row>
    <row r="99" spans="2:24" x14ac:dyDescent="0.35">
      <c r="B99">
        <v>2026</v>
      </c>
      <c r="C99" t="s">
        <v>75</v>
      </c>
      <c r="D99" t="s">
        <v>76</v>
      </c>
      <c r="E99" t="s">
        <v>77</v>
      </c>
      <c r="F99" t="s">
        <v>78</v>
      </c>
      <c r="G99" t="s">
        <v>141</v>
      </c>
      <c r="H99" t="s">
        <v>160</v>
      </c>
      <c r="I99" t="s">
        <v>161</v>
      </c>
      <c r="J99" t="s">
        <v>239</v>
      </c>
      <c r="K99" s="19">
        <v>-1902.37</v>
      </c>
      <c r="L99" s="19">
        <v>-497</v>
      </c>
      <c r="M99" s="19">
        <v>-5360.3</v>
      </c>
      <c r="N99" s="19">
        <v>-10729</v>
      </c>
      <c r="O99" s="156">
        <v>-21698</v>
      </c>
      <c r="P99" s="19">
        <v>-2988</v>
      </c>
      <c r="Q99" s="19">
        <v>-2584.62</v>
      </c>
      <c r="R99" s="19">
        <v>-2853.02</v>
      </c>
      <c r="S99" s="19">
        <v>-6000</v>
      </c>
      <c r="T99" s="19">
        <v>-6000</v>
      </c>
      <c r="U99" s="19">
        <v>-6000</v>
      </c>
      <c r="V99" s="19">
        <v>-8000</v>
      </c>
      <c r="W99" s="19">
        <v>-74612.31</v>
      </c>
      <c r="X99" t="s">
        <v>450</v>
      </c>
    </row>
    <row r="100" spans="2:24" x14ac:dyDescent="0.35">
      <c r="B100">
        <v>2026</v>
      </c>
      <c r="C100" t="s">
        <v>75</v>
      </c>
      <c r="D100" t="s">
        <v>76</v>
      </c>
      <c r="E100" t="s">
        <v>77</v>
      </c>
      <c r="F100" t="s">
        <v>78</v>
      </c>
      <c r="G100" t="s">
        <v>141</v>
      </c>
      <c r="H100" t="s">
        <v>160</v>
      </c>
      <c r="I100" t="s">
        <v>363</v>
      </c>
      <c r="J100" t="s">
        <v>239</v>
      </c>
      <c r="K100" s="19">
        <v>-1417.95</v>
      </c>
      <c r="L100" s="19">
        <v>-1417.95</v>
      </c>
      <c r="M100" s="19">
        <v>-5837.67</v>
      </c>
      <c r="N100" s="19">
        <v>-2891.19</v>
      </c>
      <c r="O100" s="156">
        <v>-2891.19</v>
      </c>
      <c r="P100" s="19">
        <v>-2891.19</v>
      </c>
      <c r="Q100" s="19">
        <v>-2891.19</v>
      </c>
      <c r="R100" s="19">
        <v>-2148.2399999999998</v>
      </c>
      <c r="S100" s="19">
        <v>-2800</v>
      </c>
      <c r="T100" s="19">
        <v>-2800</v>
      </c>
      <c r="U100" s="19">
        <v>-2800</v>
      </c>
      <c r="V100" s="19">
        <v>-2800</v>
      </c>
      <c r="W100" s="19">
        <v>-33586.57</v>
      </c>
      <c r="X100" t="s">
        <v>490</v>
      </c>
    </row>
    <row r="101" spans="2:24" x14ac:dyDescent="0.35">
      <c r="B101">
        <v>2026</v>
      </c>
      <c r="C101" t="s">
        <v>75</v>
      </c>
      <c r="D101" t="s">
        <v>76</v>
      </c>
      <c r="E101" t="s">
        <v>77</v>
      </c>
      <c r="F101" t="s">
        <v>78</v>
      </c>
      <c r="G101" t="s">
        <v>141</v>
      </c>
      <c r="H101" t="s">
        <v>160</v>
      </c>
      <c r="I101" t="s">
        <v>364</v>
      </c>
      <c r="J101" t="s">
        <v>239</v>
      </c>
      <c r="K101" s="19">
        <v>-548.32000000000005</v>
      </c>
      <c r="L101" s="19">
        <v>-3007.86</v>
      </c>
      <c r="M101" s="19">
        <v>-3805.86</v>
      </c>
      <c r="N101" s="19">
        <v>-3053.37</v>
      </c>
      <c r="O101" s="156">
        <v>-2271.2399999999998</v>
      </c>
      <c r="P101" s="19">
        <v>-2271.2399999999998</v>
      </c>
      <c r="Q101" s="19">
        <v>-736.62</v>
      </c>
      <c r="R101" s="19">
        <v>0</v>
      </c>
      <c r="S101" s="19">
        <v>-1800</v>
      </c>
      <c r="T101" s="19">
        <v>-2000</v>
      </c>
      <c r="U101" s="19">
        <v>-2000</v>
      </c>
      <c r="V101" s="19">
        <v>-2200</v>
      </c>
      <c r="W101" s="19">
        <v>-23694.510000000002</v>
      </c>
      <c r="X101" t="s">
        <v>451</v>
      </c>
    </row>
    <row r="102" spans="2:24" x14ac:dyDescent="0.35">
      <c r="B102">
        <v>2026</v>
      </c>
      <c r="C102" t="s">
        <v>75</v>
      </c>
      <c r="D102" t="s">
        <v>76</v>
      </c>
      <c r="E102" t="s">
        <v>77</v>
      </c>
      <c r="F102" t="s">
        <v>78</v>
      </c>
      <c r="G102" t="s">
        <v>141</v>
      </c>
      <c r="H102" t="s">
        <v>160</v>
      </c>
      <c r="I102" t="s">
        <v>162</v>
      </c>
      <c r="J102" t="s">
        <v>239</v>
      </c>
      <c r="K102" s="19">
        <v>-971.47</v>
      </c>
      <c r="L102" s="19">
        <v>0</v>
      </c>
      <c r="M102" s="19">
        <v>0</v>
      </c>
      <c r="N102" s="19">
        <v>0</v>
      </c>
      <c r="O102" s="156">
        <v>-1574.71</v>
      </c>
      <c r="P102" s="19">
        <v>-1267.24</v>
      </c>
      <c r="Q102" s="19" t="s">
        <v>432</v>
      </c>
      <c r="R102" s="19">
        <v>0</v>
      </c>
      <c r="S102" s="19">
        <v>-1271.1400000000001</v>
      </c>
      <c r="T102" s="19">
        <v>-1271.1400000000001</v>
      </c>
      <c r="U102" s="19">
        <v>-1271.1400000000001</v>
      </c>
      <c r="V102" s="19">
        <v>-1271.1400000000001</v>
      </c>
      <c r="W102" s="19">
        <v>-8897.9800000000014</v>
      </c>
      <c r="X102" t="s">
        <v>452</v>
      </c>
    </row>
    <row r="103" spans="2:24" x14ac:dyDescent="0.35">
      <c r="B103">
        <v>2026</v>
      </c>
      <c r="C103" t="s">
        <v>75</v>
      </c>
      <c r="D103" t="s">
        <v>76</v>
      </c>
      <c r="E103" t="s">
        <v>77</v>
      </c>
      <c r="F103" t="s">
        <v>78</v>
      </c>
      <c r="G103" t="s">
        <v>141</v>
      </c>
      <c r="H103" t="s">
        <v>160</v>
      </c>
      <c r="I103" t="s">
        <v>365</v>
      </c>
      <c r="J103" t="s">
        <v>239</v>
      </c>
      <c r="K103" s="19">
        <v>-692.3</v>
      </c>
      <c r="L103" s="19">
        <v>-689.7</v>
      </c>
      <c r="M103" s="19">
        <v>-324</v>
      </c>
      <c r="N103" s="19">
        <v>-591</v>
      </c>
      <c r="O103" s="156">
        <v>-429</v>
      </c>
      <c r="P103" s="19">
        <v>-1185.44</v>
      </c>
      <c r="Q103" s="19">
        <v>-763</v>
      </c>
      <c r="R103" s="19">
        <v>-210</v>
      </c>
      <c r="S103" s="19">
        <v>-610.55999999999995</v>
      </c>
      <c r="T103" s="19">
        <v>-610.55999999999995</v>
      </c>
      <c r="U103" s="19">
        <v>-610.55999999999995</v>
      </c>
      <c r="V103" s="19">
        <v>-610.55999999999995</v>
      </c>
      <c r="W103" s="19">
        <v>-7326.6799999999985</v>
      </c>
      <c r="X103" t="s">
        <v>452</v>
      </c>
    </row>
    <row r="104" spans="2:24" x14ac:dyDescent="0.35">
      <c r="B104">
        <v>2026</v>
      </c>
      <c r="C104" t="s">
        <v>75</v>
      </c>
      <c r="D104" t="s">
        <v>76</v>
      </c>
      <c r="E104" t="s">
        <v>77</v>
      </c>
      <c r="F104" t="s">
        <v>78</v>
      </c>
      <c r="G104" t="s">
        <v>141</v>
      </c>
      <c r="H104" t="s">
        <v>160</v>
      </c>
      <c r="I104" t="s">
        <v>163</v>
      </c>
      <c r="J104" t="s">
        <v>239</v>
      </c>
      <c r="K104" s="19">
        <v>-3245.91</v>
      </c>
      <c r="L104" s="19">
        <v>-4213.45</v>
      </c>
      <c r="M104" s="19">
        <v>-5262.62</v>
      </c>
      <c r="N104" s="19">
        <v>-2950.29</v>
      </c>
      <c r="O104" s="156">
        <v>-4225.22</v>
      </c>
      <c r="P104" s="19">
        <v>-3567.95</v>
      </c>
      <c r="Q104" s="19">
        <v>-3428.16</v>
      </c>
      <c r="R104" s="19">
        <v>-4396.3900000000003</v>
      </c>
      <c r="S104" s="19">
        <v>-3800</v>
      </c>
      <c r="T104" s="19">
        <v>-4000</v>
      </c>
      <c r="U104" s="19">
        <v>-4000</v>
      </c>
      <c r="V104" s="19">
        <v>-9200</v>
      </c>
      <c r="W104" s="19">
        <v>-52289.990000000005</v>
      </c>
      <c r="X104" t="s">
        <v>491</v>
      </c>
    </row>
    <row r="105" spans="2:24" x14ac:dyDescent="0.35">
      <c r="B105">
        <v>2026</v>
      </c>
      <c r="C105" t="s">
        <v>75</v>
      </c>
      <c r="D105" t="s">
        <v>76</v>
      </c>
      <c r="E105" t="s">
        <v>77</v>
      </c>
      <c r="F105" t="s">
        <v>78</v>
      </c>
      <c r="G105" t="s">
        <v>141</v>
      </c>
      <c r="H105" t="s">
        <v>160</v>
      </c>
      <c r="I105" t="s">
        <v>366</v>
      </c>
      <c r="J105" t="s">
        <v>239</v>
      </c>
      <c r="K105" s="19">
        <v>0</v>
      </c>
      <c r="L105" s="19">
        <v>-236.74</v>
      </c>
      <c r="M105" s="19">
        <v>-895.06</v>
      </c>
      <c r="N105" s="19">
        <v>-438.09</v>
      </c>
      <c r="O105" s="156">
        <v>-141.55000000000001</v>
      </c>
      <c r="P105" s="19">
        <v>-54.55</v>
      </c>
      <c r="Q105" s="19" t="s">
        <v>432</v>
      </c>
      <c r="R105" s="19">
        <v>-20364.61</v>
      </c>
      <c r="S105" s="19">
        <v>-500</v>
      </c>
      <c r="T105" s="19">
        <v>-500</v>
      </c>
      <c r="U105" s="19">
        <v>-500</v>
      </c>
      <c r="V105" s="19">
        <v>-30500</v>
      </c>
      <c r="W105" s="19">
        <v>-54130.6</v>
      </c>
      <c r="X105" t="s">
        <v>492</v>
      </c>
    </row>
    <row r="106" spans="2:24" x14ac:dyDescent="0.35">
      <c r="B106">
        <v>2026</v>
      </c>
      <c r="C106" t="s">
        <v>75</v>
      </c>
      <c r="D106" t="s">
        <v>76</v>
      </c>
      <c r="E106" t="s">
        <v>77</v>
      </c>
      <c r="F106" t="s">
        <v>78</v>
      </c>
      <c r="G106" t="s">
        <v>141</v>
      </c>
      <c r="H106" t="s">
        <v>160</v>
      </c>
      <c r="I106" t="s">
        <v>164</v>
      </c>
      <c r="J106" t="s">
        <v>239</v>
      </c>
      <c r="K106" s="19">
        <v>-5502.03</v>
      </c>
      <c r="L106" s="19">
        <v>-5916.14</v>
      </c>
      <c r="M106" s="19">
        <v>-5438.35</v>
      </c>
      <c r="N106" s="19">
        <v>-5067.2299999999996</v>
      </c>
      <c r="O106" s="156" t="s">
        <v>397</v>
      </c>
      <c r="P106" s="19">
        <v>-41963.34</v>
      </c>
      <c r="Q106" s="19">
        <v>-20123.98</v>
      </c>
      <c r="R106" s="19">
        <v>-6760.66</v>
      </c>
      <c r="S106" s="19">
        <v>-6000</v>
      </c>
      <c r="T106" s="19">
        <v>-6000</v>
      </c>
      <c r="U106" s="19">
        <v>-6000</v>
      </c>
      <c r="V106" s="19">
        <v>-106000</v>
      </c>
      <c r="W106" s="19">
        <v>-214771.72999999998</v>
      </c>
      <c r="X106" t="s">
        <v>493</v>
      </c>
    </row>
    <row r="107" spans="2:24" x14ac:dyDescent="0.35">
      <c r="B107">
        <v>2026</v>
      </c>
      <c r="C107" t="s">
        <v>75</v>
      </c>
      <c r="D107" t="s">
        <v>76</v>
      </c>
      <c r="E107" t="s">
        <v>77</v>
      </c>
      <c r="F107" t="s">
        <v>78</v>
      </c>
      <c r="G107" t="s">
        <v>141</v>
      </c>
      <c r="H107" t="s">
        <v>160</v>
      </c>
      <c r="I107" t="s">
        <v>402</v>
      </c>
      <c r="J107" t="s">
        <v>239</v>
      </c>
      <c r="K107" s="19"/>
      <c r="L107" s="19"/>
      <c r="M107" s="19"/>
      <c r="N107" s="19"/>
      <c r="O107" s="156">
        <v>-3398.55</v>
      </c>
      <c r="P107" s="19" t="s">
        <v>397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-3398.55</v>
      </c>
      <c r="X107" t="s">
        <v>494</v>
      </c>
    </row>
    <row r="108" spans="2:24" x14ac:dyDescent="0.35">
      <c r="B108">
        <v>2026</v>
      </c>
      <c r="C108" t="s">
        <v>75</v>
      </c>
      <c r="D108" t="s">
        <v>76</v>
      </c>
      <c r="E108" t="s">
        <v>77</v>
      </c>
      <c r="F108" t="s">
        <v>78</v>
      </c>
      <c r="G108" t="s">
        <v>141</v>
      </c>
      <c r="H108" t="s">
        <v>160</v>
      </c>
      <c r="I108" t="s">
        <v>165</v>
      </c>
      <c r="J108" t="s">
        <v>239</v>
      </c>
      <c r="K108" s="19">
        <v>0</v>
      </c>
      <c r="L108" s="19">
        <v>0</v>
      </c>
      <c r="M108" s="19">
        <v>0</v>
      </c>
      <c r="N108" s="19">
        <v>0</v>
      </c>
      <c r="O108" s="156">
        <v>0</v>
      </c>
      <c r="P108" s="19" t="s">
        <v>397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t="s">
        <v>440</v>
      </c>
    </row>
    <row r="109" spans="2:24" x14ac:dyDescent="0.35">
      <c r="B109">
        <v>2026</v>
      </c>
      <c r="C109" t="s">
        <v>75</v>
      </c>
      <c r="D109" t="s">
        <v>76</v>
      </c>
      <c r="E109" t="s">
        <v>77</v>
      </c>
      <c r="F109" t="s">
        <v>78</v>
      </c>
      <c r="G109" t="s">
        <v>141</v>
      </c>
      <c r="H109" t="s">
        <v>160</v>
      </c>
      <c r="I109" t="s">
        <v>166</v>
      </c>
      <c r="J109" t="s">
        <v>239</v>
      </c>
      <c r="K109" s="19">
        <v>-377.56</v>
      </c>
      <c r="L109" s="19">
        <v>0</v>
      </c>
      <c r="M109" s="19">
        <v>0</v>
      </c>
      <c r="N109" s="19">
        <v>0</v>
      </c>
      <c r="O109" s="156">
        <v>-377.56</v>
      </c>
      <c r="P109" s="19" t="s">
        <v>397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-755.12</v>
      </c>
      <c r="X109" t="s">
        <v>480</v>
      </c>
    </row>
    <row r="110" spans="2:24" x14ac:dyDescent="0.35">
      <c r="B110">
        <v>2026</v>
      </c>
      <c r="C110" t="s">
        <v>75</v>
      </c>
      <c r="D110" t="s">
        <v>76</v>
      </c>
      <c r="E110" t="s">
        <v>77</v>
      </c>
      <c r="F110" t="s">
        <v>78</v>
      </c>
      <c r="G110" t="s">
        <v>141</v>
      </c>
      <c r="H110" t="s">
        <v>160</v>
      </c>
      <c r="I110" t="s">
        <v>167</v>
      </c>
      <c r="J110" t="s">
        <v>239</v>
      </c>
      <c r="K110" s="19">
        <v>0</v>
      </c>
      <c r="L110" s="19">
        <v>0</v>
      </c>
      <c r="M110" s="19">
        <v>0</v>
      </c>
      <c r="N110" s="19">
        <v>0</v>
      </c>
      <c r="O110" s="156">
        <v>0</v>
      </c>
      <c r="P110" s="19" t="s">
        <v>397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t="s">
        <v>480</v>
      </c>
    </row>
    <row r="111" spans="2:24" x14ac:dyDescent="0.35">
      <c r="B111">
        <v>2026</v>
      </c>
      <c r="C111" t="s">
        <v>75</v>
      </c>
      <c r="D111" t="s">
        <v>76</v>
      </c>
      <c r="E111" t="s">
        <v>77</v>
      </c>
      <c r="F111" t="s">
        <v>78</v>
      </c>
      <c r="G111" t="s">
        <v>141</v>
      </c>
      <c r="H111" t="s">
        <v>160</v>
      </c>
      <c r="I111" t="s">
        <v>168</v>
      </c>
      <c r="J111" t="s">
        <v>239</v>
      </c>
      <c r="K111" s="19">
        <v>0</v>
      </c>
      <c r="L111" s="19">
        <v>-1218.75</v>
      </c>
      <c r="M111" s="19">
        <v>0</v>
      </c>
      <c r="N111" s="19">
        <v>0</v>
      </c>
      <c r="O111" s="156" t="s">
        <v>397</v>
      </c>
      <c r="P111" s="19">
        <v>-30.35</v>
      </c>
      <c r="Q111" s="19" t="s">
        <v>432</v>
      </c>
      <c r="R111" s="19">
        <v>-663</v>
      </c>
      <c r="S111" s="19">
        <v>0</v>
      </c>
      <c r="T111" s="19">
        <v>0</v>
      </c>
      <c r="U111" s="19">
        <v>0</v>
      </c>
      <c r="V111" s="19">
        <v>0</v>
      </c>
      <c r="W111" s="19">
        <v>-1912.1</v>
      </c>
      <c r="X111" t="s">
        <v>480</v>
      </c>
    </row>
    <row r="112" spans="2:24" x14ac:dyDescent="0.35">
      <c r="B112">
        <v>2026</v>
      </c>
      <c r="C112" t="s">
        <v>75</v>
      </c>
      <c r="D112" t="s">
        <v>76</v>
      </c>
      <c r="E112" t="s">
        <v>77</v>
      </c>
      <c r="F112" t="s">
        <v>78</v>
      </c>
      <c r="G112" t="s">
        <v>141</v>
      </c>
      <c r="H112" t="s">
        <v>160</v>
      </c>
      <c r="I112" t="s">
        <v>169</v>
      </c>
      <c r="J112" t="s">
        <v>239</v>
      </c>
      <c r="K112" s="19">
        <v>0</v>
      </c>
      <c r="L112" s="19">
        <v>0</v>
      </c>
      <c r="M112" s="19">
        <v>-212.5</v>
      </c>
      <c r="N112" s="19">
        <v>-513</v>
      </c>
      <c r="O112" s="156">
        <v>-53.12</v>
      </c>
      <c r="P112" s="19">
        <v>-30.35</v>
      </c>
      <c r="Q112" s="19" t="s">
        <v>432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-808.97</v>
      </c>
      <c r="X112" t="s">
        <v>480</v>
      </c>
    </row>
    <row r="113" spans="2:24" x14ac:dyDescent="0.35">
      <c r="B113">
        <v>2026</v>
      </c>
      <c r="C113" t="s">
        <v>75</v>
      </c>
      <c r="D113" t="s">
        <v>76</v>
      </c>
      <c r="E113" t="s">
        <v>77</v>
      </c>
      <c r="F113" t="s">
        <v>78</v>
      </c>
      <c r="G113" t="s">
        <v>141</v>
      </c>
      <c r="H113" t="s">
        <v>160</v>
      </c>
      <c r="I113" t="s">
        <v>170</v>
      </c>
      <c r="J113" t="s">
        <v>239</v>
      </c>
      <c r="K113" s="19">
        <v>0</v>
      </c>
      <c r="L113" s="19">
        <v>0</v>
      </c>
      <c r="M113" s="19">
        <v>0</v>
      </c>
      <c r="N113" s="19">
        <v>0</v>
      </c>
      <c r="O113" s="156">
        <v>0</v>
      </c>
      <c r="P113" s="19" t="s">
        <v>397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t="s">
        <v>480</v>
      </c>
    </row>
    <row r="114" spans="2:24" x14ac:dyDescent="0.35">
      <c r="B114">
        <v>2026</v>
      </c>
      <c r="C114" t="s">
        <v>75</v>
      </c>
      <c r="D114" t="s">
        <v>76</v>
      </c>
      <c r="E114" t="s">
        <v>77</v>
      </c>
      <c r="F114" t="s">
        <v>78</v>
      </c>
      <c r="G114" t="s">
        <v>141</v>
      </c>
      <c r="H114" t="s">
        <v>160</v>
      </c>
      <c r="I114" t="s">
        <v>403</v>
      </c>
      <c r="J114" t="s">
        <v>239</v>
      </c>
      <c r="K114" s="19"/>
      <c r="L114" s="19"/>
      <c r="M114" s="19"/>
      <c r="N114" s="19"/>
      <c r="O114" s="156">
        <v>-53.12</v>
      </c>
      <c r="P114" s="19">
        <v>-30.35</v>
      </c>
      <c r="Q114" s="19" t="s">
        <v>432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-83.47</v>
      </c>
      <c r="X114" t="s">
        <v>480</v>
      </c>
    </row>
    <row r="115" spans="2:24" x14ac:dyDescent="0.35">
      <c r="B115">
        <v>2026</v>
      </c>
      <c r="C115" t="s">
        <v>75</v>
      </c>
      <c r="D115" t="s">
        <v>76</v>
      </c>
      <c r="E115" t="s">
        <v>77</v>
      </c>
      <c r="F115" t="s">
        <v>78</v>
      </c>
      <c r="G115" t="s">
        <v>141</v>
      </c>
      <c r="H115" t="s">
        <v>160</v>
      </c>
      <c r="I115" t="s">
        <v>415</v>
      </c>
      <c r="J115" t="s">
        <v>239</v>
      </c>
      <c r="K115" s="19"/>
      <c r="L115" s="19"/>
      <c r="M115" s="19"/>
      <c r="N115" s="19"/>
      <c r="P115" s="19">
        <v>-267.75</v>
      </c>
      <c r="Q115" s="19" t="s">
        <v>432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-267.75</v>
      </c>
      <c r="X115" t="s">
        <v>480</v>
      </c>
    </row>
    <row r="116" spans="2:24" x14ac:dyDescent="0.35">
      <c r="B116">
        <v>2026</v>
      </c>
      <c r="C116" t="s">
        <v>75</v>
      </c>
      <c r="D116" t="s">
        <v>76</v>
      </c>
      <c r="E116" t="s">
        <v>77</v>
      </c>
      <c r="F116" t="s">
        <v>78</v>
      </c>
      <c r="G116" t="s">
        <v>141</v>
      </c>
      <c r="H116" t="s">
        <v>160</v>
      </c>
      <c r="I116" t="s">
        <v>416</v>
      </c>
      <c r="J116" t="s">
        <v>239</v>
      </c>
      <c r="K116" s="19"/>
      <c r="L116" s="19"/>
      <c r="M116" s="19"/>
      <c r="N116" s="19"/>
      <c r="P116" s="19">
        <v>-2450</v>
      </c>
      <c r="Q116" s="19" t="s">
        <v>432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-2450</v>
      </c>
      <c r="X116" t="s">
        <v>480</v>
      </c>
    </row>
    <row r="117" spans="2:24" x14ac:dyDescent="0.35">
      <c r="B117">
        <v>2026</v>
      </c>
      <c r="C117" t="s">
        <v>75</v>
      </c>
      <c r="D117" t="s">
        <v>76</v>
      </c>
      <c r="E117" t="s">
        <v>77</v>
      </c>
      <c r="F117" t="s">
        <v>78</v>
      </c>
      <c r="G117" t="s">
        <v>141</v>
      </c>
      <c r="H117" t="s">
        <v>160</v>
      </c>
      <c r="I117" t="s">
        <v>367</v>
      </c>
      <c r="J117" t="s">
        <v>239</v>
      </c>
      <c r="K117" s="19">
        <v>0</v>
      </c>
      <c r="L117" s="19">
        <v>0</v>
      </c>
      <c r="M117" s="19">
        <v>0</v>
      </c>
      <c r="N117" s="19">
        <v>-513</v>
      </c>
      <c r="O117" s="156">
        <v>-53.14</v>
      </c>
      <c r="P117" s="19" t="s">
        <v>397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-566.14</v>
      </c>
      <c r="X117" t="s">
        <v>480</v>
      </c>
    </row>
    <row r="118" spans="2:24" x14ac:dyDescent="0.35">
      <c r="B118">
        <v>2026</v>
      </c>
      <c r="C118" t="s">
        <v>75</v>
      </c>
      <c r="D118" t="s">
        <v>76</v>
      </c>
      <c r="E118" t="s">
        <v>77</v>
      </c>
      <c r="F118" t="s">
        <v>78</v>
      </c>
      <c r="G118" t="s">
        <v>141</v>
      </c>
      <c r="H118" t="s">
        <v>160</v>
      </c>
      <c r="I118" t="s">
        <v>368</v>
      </c>
      <c r="J118" t="s">
        <v>239</v>
      </c>
      <c r="K118" s="19">
        <v>0</v>
      </c>
      <c r="L118" s="19">
        <v>0</v>
      </c>
      <c r="M118" s="19">
        <v>0</v>
      </c>
      <c r="N118" s="19">
        <v>-513</v>
      </c>
      <c r="O118" s="156" t="s">
        <v>397</v>
      </c>
      <c r="P118" s="19">
        <v>-30.35</v>
      </c>
      <c r="Q118" s="19" t="s">
        <v>432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-543.35</v>
      </c>
      <c r="X118" t="s">
        <v>480</v>
      </c>
    </row>
    <row r="119" spans="2:24" x14ac:dyDescent="0.35">
      <c r="B119">
        <v>2026</v>
      </c>
      <c r="C119" t="s">
        <v>75</v>
      </c>
      <c r="D119" t="s">
        <v>76</v>
      </c>
      <c r="E119" t="s">
        <v>77</v>
      </c>
      <c r="F119" t="s">
        <v>78</v>
      </c>
      <c r="G119" t="s">
        <v>141</v>
      </c>
      <c r="H119" t="s">
        <v>160</v>
      </c>
      <c r="I119" t="s">
        <v>369</v>
      </c>
      <c r="J119" t="s">
        <v>239</v>
      </c>
      <c r="K119" s="19">
        <v>0</v>
      </c>
      <c r="L119" s="19">
        <v>0</v>
      </c>
      <c r="M119" s="19">
        <v>0</v>
      </c>
      <c r="N119" s="19">
        <v>-513</v>
      </c>
      <c r="O119" s="156" t="s">
        <v>397</v>
      </c>
      <c r="P119" s="19">
        <v>-30.4</v>
      </c>
      <c r="Q119" s="19" t="s">
        <v>432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-543.4</v>
      </c>
      <c r="X119" t="s">
        <v>480</v>
      </c>
    </row>
    <row r="120" spans="2:24" x14ac:dyDescent="0.35">
      <c r="B120">
        <v>2026</v>
      </c>
      <c r="C120" t="s">
        <v>75</v>
      </c>
      <c r="D120" t="s">
        <v>76</v>
      </c>
      <c r="E120" t="s">
        <v>77</v>
      </c>
      <c r="F120" t="s">
        <v>78</v>
      </c>
      <c r="G120" t="s">
        <v>141</v>
      </c>
      <c r="H120" t="s">
        <v>160</v>
      </c>
      <c r="I120" t="s">
        <v>370</v>
      </c>
      <c r="J120" t="s">
        <v>239</v>
      </c>
      <c r="K120" s="19">
        <v>0</v>
      </c>
      <c r="L120" s="19">
        <v>0</v>
      </c>
      <c r="M120" s="19">
        <v>0</v>
      </c>
      <c r="N120" s="19">
        <v>-1190</v>
      </c>
      <c r="O120" s="156" t="s">
        <v>397</v>
      </c>
      <c r="P120" s="19" t="s">
        <v>397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-1190</v>
      </c>
      <c r="X120" t="s">
        <v>480</v>
      </c>
    </row>
    <row r="121" spans="2:24" x14ac:dyDescent="0.35">
      <c r="B121">
        <v>2026</v>
      </c>
      <c r="C121" t="s">
        <v>75</v>
      </c>
      <c r="D121" t="s">
        <v>76</v>
      </c>
      <c r="E121" t="s">
        <v>77</v>
      </c>
      <c r="F121" t="s">
        <v>78</v>
      </c>
      <c r="G121" t="s">
        <v>141</v>
      </c>
      <c r="H121" t="s">
        <v>160</v>
      </c>
      <c r="I121" t="s">
        <v>434</v>
      </c>
      <c r="J121" t="s">
        <v>239</v>
      </c>
      <c r="K121" s="19"/>
      <c r="L121" s="19"/>
      <c r="M121" s="19"/>
      <c r="N121" s="19"/>
      <c r="P121" s="19"/>
      <c r="Q121" s="19"/>
      <c r="R121" s="19">
        <v>-4869.95</v>
      </c>
      <c r="S121" s="19">
        <v>-4869.95</v>
      </c>
      <c r="T121" s="19">
        <v>-4869.95</v>
      </c>
      <c r="U121" s="19">
        <v>-4869.95</v>
      </c>
      <c r="V121" s="19">
        <v>-4869.95</v>
      </c>
      <c r="W121" s="19">
        <v>-24349.75</v>
      </c>
      <c r="X121" t="s">
        <v>481</v>
      </c>
    </row>
    <row r="122" spans="2:24" x14ac:dyDescent="0.35">
      <c r="B122">
        <v>2026</v>
      </c>
      <c r="C122" t="s">
        <v>75</v>
      </c>
      <c r="D122" t="s">
        <v>76</v>
      </c>
      <c r="E122" t="s">
        <v>77</v>
      </c>
      <c r="F122" t="s">
        <v>78</v>
      </c>
      <c r="G122" t="s">
        <v>141</v>
      </c>
      <c r="H122" t="s">
        <v>160</v>
      </c>
      <c r="I122" t="s">
        <v>371</v>
      </c>
      <c r="J122" t="s">
        <v>239</v>
      </c>
      <c r="K122" s="19">
        <v>0</v>
      </c>
      <c r="L122" s="19">
        <v>0</v>
      </c>
      <c r="M122" s="19">
        <v>0</v>
      </c>
      <c r="N122" s="19">
        <v>-513</v>
      </c>
      <c r="O122" s="156" t="s">
        <v>397</v>
      </c>
      <c r="P122" s="19">
        <v>-30.35</v>
      </c>
      <c r="Q122" s="19" t="s">
        <v>432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-543.35</v>
      </c>
      <c r="X122" t="s">
        <v>480</v>
      </c>
    </row>
    <row r="123" spans="2:24" x14ac:dyDescent="0.35">
      <c r="B123">
        <v>2026</v>
      </c>
      <c r="C123" t="s">
        <v>75</v>
      </c>
      <c r="D123" t="s">
        <v>76</v>
      </c>
      <c r="E123" t="s">
        <v>77</v>
      </c>
      <c r="F123" t="s">
        <v>78</v>
      </c>
      <c r="G123" t="s">
        <v>141</v>
      </c>
      <c r="H123" t="s">
        <v>160</v>
      </c>
      <c r="I123" t="s">
        <v>372</v>
      </c>
      <c r="J123" t="s">
        <v>239</v>
      </c>
      <c r="K123" s="19">
        <v>0</v>
      </c>
      <c r="L123" s="19">
        <v>0</v>
      </c>
      <c r="M123" s="19">
        <v>0</v>
      </c>
      <c r="N123" s="19">
        <v>-513</v>
      </c>
      <c r="O123" s="156" t="s">
        <v>397</v>
      </c>
      <c r="P123" s="19" t="s">
        <v>397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-513</v>
      </c>
      <c r="X123" t="s">
        <v>480</v>
      </c>
    </row>
    <row r="124" spans="2:24" x14ac:dyDescent="0.35">
      <c r="B124">
        <v>2026</v>
      </c>
      <c r="C124" t="s">
        <v>75</v>
      </c>
      <c r="D124" t="s">
        <v>76</v>
      </c>
      <c r="E124" t="s">
        <v>77</v>
      </c>
      <c r="F124" t="s">
        <v>78</v>
      </c>
      <c r="G124" t="s">
        <v>141</v>
      </c>
      <c r="H124" t="s">
        <v>160</v>
      </c>
      <c r="I124" t="s">
        <v>171</v>
      </c>
      <c r="J124" t="s">
        <v>239</v>
      </c>
      <c r="K124" s="19">
        <v>0</v>
      </c>
      <c r="L124" s="19">
        <v>0</v>
      </c>
      <c r="M124" s="19">
        <v>0</v>
      </c>
      <c r="N124" s="19">
        <v>-9951.56</v>
      </c>
      <c r="O124" s="156" t="s">
        <v>397</v>
      </c>
      <c r="P124" s="19" t="s">
        <v>397</v>
      </c>
      <c r="Q124" s="19">
        <v>0</v>
      </c>
      <c r="R124" s="19">
        <v>-212.5</v>
      </c>
      <c r="S124" s="19">
        <v>0</v>
      </c>
      <c r="T124" s="19">
        <v>0</v>
      </c>
      <c r="U124" s="19">
        <v>0</v>
      </c>
      <c r="V124" s="19">
        <v>0</v>
      </c>
      <c r="W124" s="19">
        <v>-10164.06</v>
      </c>
      <c r="X124" t="s">
        <v>480</v>
      </c>
    </row>
    <row r="125" spans="2:24" x14ac:dyDescent="0.35">
      <c r="B125">
        <v>2026</v>
      </c>
      <c r="C125" t="s">
        <v>75</v>
      </c>
      <c r="D125" t="s">
        <v>76</v>
      </c>
      <c r="E125" t="s">
        <v>77</v>
      </c>
      <c r="F125" t="s">
        <v>78</v>
      </c>
      <c r="G125" t="s">
        <v>141</v>
      </c>
      <c r="H125" t="s">
        <v>160</v>
      </c>
      <c r="I125" t="s">
        <v>373</v>
      </c>
      <c r="J125" t="s">
        <v>239</v>
      </c>
      <c r="K125" s="19">
        <v>0</v>
      </c>
      <c r="L125" s="19">
        <v>0</v>
      </c>
      <c r="M125" s="19">
        <v>0</v>
      </c>
      <c r="N125" s="19">
        <v>-513</v>
      </c>
      <c r="O125" s="156" t="s">
        <v>397</v>
      </c>
      <c r="P125" s="19" t="s">
        <v>397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-513</v>
      </c>
      <c r="X125" t="s">
        <v>480</v>
      </c>
    </row>
    <row r="126" spans="2:24" x14ac:dyDescent="0.35">
      <c r="B126">
        <v>2026</v>
      </c>
      <c r="C126" t="s">
        <v>75</v>
      </c>
      <c r="D126" t="s">
        <v>76</v>
      </c>
      <c r="E126" t="s">
        <v>77</v>
      </c>
      <c r="F126" t="s">
        <v>78</v>
      </c>
      <c r="G126" t="s">
        <v>141</v>
      </c>
      <c r="H126" t="s">
        <v>160</v>
      </c>
      <c r="I126" t="s">
        <v>374</v>
      </c>
      <c r="J126" t="s">
        <v>239</v>
      </c>
      <c r="K126" s="19">
        <v>0</v>
      </c>
      <c r="L126" s="19">
        <v>0</v>
      </c>
      <c r="M126" s="19">
        <v>0</v>
      </c>
      <c r="N126" s="19">
        <v>-513</v>
      </c>
      <c r="O126" s="156">
        <v>-53.12</v>
      </c>
      <c r="P126" s="19">
        <v>-30.35</v>
      </c>
      <c r="Q126" s="19" t="s">
        <v>432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-596.47</v>
      </c>
      <c r="X126" t="s">
        <v>480</v>
      </c>
    </row>
    <row r="127" spans="2:24" x14ac:dyDescent="0.35">
      <c r="B127">
        <v>2026</v>
      </c>
      <c r="C127" t="s">
        <v>75</v>
      </c>
      <c r="D127" t="s">
        <v>76</v>
      </c>
      <c r="E127" t="s">
        <v>77</v>
      </c>
      <c r="F127" t="s">
        <v>78</v>
      </c>
      <c r="G127" t="s">
        <v>141</v>
      </c>
      <c r="H127" t="s">
        <v>160</v>
      </c>
      <c r="I127" t="s">
        <v>172</v>
      </c>
      <c r="J127" t="s">
        <v>239</v>
      </c>
      <c r="K127" s="19">
        <v>0</v>
      </c>
      <c r="L127" s="19">
        <v>0</v>
      </c>
      <c r="M127" s="19">
        <v>0</v>
      </c>
      <c r="N127" s="19">
        <v>0</v>
      </c>
      <c r="O127" s="156">
        <v>0</v>
      </c>
      <c r="P127" s="19" t="s">
        <v>397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t="s">
        <v>480</v>
      </c>
    </row>
    <row r="128" spans="2:24" x14ac:dyDescent="0.35">
      <c r="B128">
        <v>2026</v>
      </c>
      <c r="C128" t="s">
        <v>75</v>
      </c>
      <c r="D128" t="s">
        <v>76</v>
      </c>
      <c r="E128" t="s">
        <v>77</v>
      </c>
      <c r="F128" t="s">
        <v>78</v>
      </c>
      <c r="G128" t="s">
        <v>141</v>
      </c>
      <c r="H128" t="s">
        <v>173</v>
      </c>
      <c r="I128" t="s">
        <v>174</v>
      </c>
      <c r="J128" t="s">
        <v>239</v>
      </c>
      <c r="K128" s="19">
        <v>-6935.76</v>
      </c>
      <c r="L128" s="19">
        <v>-9119.9699999999993</v>
      </c>
      <c r="M128" s="19">
        <v>-14742.05</v>
      </c>
      <c r="N128" s="19">
        <v>-19866.740000000002</v>
      </c>
      <c r="O128" s="156">
        <v>-17966.84</v>
      </c>
      <c r="P128" s="19">
        <v>-14634.83</v>
      </c>
      <c r="Q128" s="19">
        <v>-11227.02</v>
      </c>
      <c r="R128" s="19">
        <v>-7363.19</v>
      </c>
      <c r="S128" s="19">
        <v>-8433.5</v>
      </c>
      <c r="T128" s="19">
        <v>-13890.5</v>
      </c>
      <c r="U128" s="19">
        <v>-17363.13</v>
      </c>
      <c r="V128" s="19">
        <v>-18355.169999999998</v>
      </c>
      <c r="W128" s="19">
        <v>-159898.70000000001</v>
      </c>
      <c r="X128" t="s">
        <v>495</v>
      </c>
    </row>
    <row r="129" spans="2:24" x14ac:dyDescent="0.35">
      <c r="B129">
        <v>2026</v>
      </c>
      <c r="C129" t="s">
        <v>75</v>
      </c>
      <c r="D129" t="s">
        <v>76</v>
      </c>
      <c r="E129" t="s">
        <v>77</v>
      </c>
      <c r="F129" t="s">
        <v>78</v>
      </c>
      <c r="G129" t="s">
        <v>141</v>
      </c>
      <c r="H129" t="s">
        <v>173</v>
      </c>
      <c r="I129" t="s">
        <v>175</v>
      </c>
      <c r="J129" t="s">
        <v>239</v>
      </c>
      <c r="K129" s="19">
        <v>-2898.1</v>
      </c>
      <c r="L129" s="19">
        <v>-864.32</v>
      </c>
      <c r="M129" s="19">
        <v>-4611.7700000000004</v>
      </c>
      <c r="N129" s="19">
        <v>-1313.78</v>
      </c>
      <c r="O129" s="156">
        <v>-951.38</v>
      </c>
      <c r="P129" s="19">
        <v>-23539.9</v>
      </c>
      <c r="Q129" s="19">
        <v>-30143.15</v>
      </c>
      <c r="R129" s="19">
        <v>-8087.44</v>
      </c>
      <c r="S129" s="19">
        <v>-5953.06</v>
      </c>
      <c r="T129" s="19">
        <v>-9425.68</v>
      </c>
      <c r="U129" s="19">
        <v>-12898.31</v>
      </c>
      <c r="V129" s="19">
        <v>-13890.5</v>
      </c>
      <c r="W129" s="19">
        <v>-114577.38999999998</v>
      </c>
      <c r="X129" t="s">
        <v>453</v>
      </c>
    </row>
    <row r="130" spans="2:24" x14ac:dyDescent="0.35">
      <c r="B130">
        <v>2026</v>
      </c>
      <c r="C130" t="s">
        <v>75</v>
      </c>
      <c r="D130" t="s">
        <v>76</v>
      </c>
      <c r="E130" t="s">
        <v>77</v>
      </c>
      <c r="F130" t="s">
        <v>78</v>
      </c>
      <c r="G130" t="s">
        <v>141</v>
      </c>
      <c r="H130" t="s">
        <v>173</v>
      </c>
      <c r="I130" t="s">
        <v>176</v>
      </c>
      <c r="J130" t="s">
        <v>239</v>
      </c>
      <c r="K130" s="19">
        <v>-5283.6</v>
      </c>
      <c r="L130" s="19">
        <v>-4717.34</v>
      </c>
      <c r="M130" s="19">
        <v>-6216.75</v>
      </c>
      <c r="N130" s="19">
        <v>-3107.88</v>
      </c>
      <c r="O130" s="156">
        <v>-6790.44</v>
      </c>
      <c r="P130" s="19">
        <v>-6162.89</v>
      </c>
      <c r="Q130" s="19">
        <v>-1597.42</v>
      </c>
      <c r="R130" s="19">
        <v>-11901.38</v>
      </c>
      <c r="S130" s="19">
        <v>-3472.62</v>
      </c>
      <c r="T130" s="19">
        <v>-5456.98</v>
      </c>
      <c r="U130" s="19">
        <v>-6945.24</v>
      </c>
      <c r="V130" s="19">
        <v>-7441.34</v>
      </c>
      <c r="W130" s="19">
        <v>-69093.88</v>
      </c>
      <c r="X130" t="s">
        <v>454</v>
      </c>
    </row>
    <row r="131" spans="2:24" x14ac:dyDescent="0.35">
      <c r="B131">
        <v>2026</v>
      </c>
      <c r="C131" t="s">
        <v>75</v>
      </c>
      <c r="D131" t="s">
        <v>76</v>
      </c>
      <c r="E131" t="s">
        <v>77</v>
      </c>
      <c r="F131" t="s">
        <v>78</v>
      </c>
      <c r="G131" t="s">
        <v>141</v>
      </c>
      <c r="H131" t="s">
        <v>173</v>
      </c>
      <c r="I131" t="s">
        <v>177</v>
      </c>
      <c r="J131" t="s">
        <v>239</v>
      </c>
      <c r="K131" s="19">
        <v>-18803.73</v>
      </c>
      <c r="L131" s="19">
        <v>-3406.44</v>
      </c>
      <c r="M131" s="19">
        <v>-15879.46</v>
      </c>
      <c r="N131" s="19">
        <v>0</v>
      </c>
      <c r="O131" s="156" t="s">
        <v>397</v>
      </c>
      <c r="P131" s="19" t="s">
        <v>397</v>
      </c>
      <c r="Q131" s="19">
        <v>0</v>
      </c>
      <c r="R131" s="19">
        <v>0</v>
      </c>
      <c r="S131" s="19">
        <v>-2976.53</v>
      </c>
      <c r="T131" s="19">
        <v>-4960.8900000000003</v>
      </c>
      <c r="U131" s="19">
        <v>-6449.16</v>
      </c>
      <c r="V131" s="19">
        <v>-6945.24</v>
      </c>
      <c r="W131" s="19">
        <v>-59421.44999999999</v>
      </c>
      <c r="X131" t="s">
        <v>455</v>
      </c>
    </row>
    <row r="132" spans="2:24" x14ac:dyDescent="0.35">
      <c r="B132">
        <v>2026</v>
      </c>
      <c r="C132" t="s">
        <v>75</v>
      </c>
      <c r="D132" t="s">
        <v>76</v>
      </c>
      <c r="E132" t="s">
        <v>77</v>
      </c>
      <c r="F132" t="s">
        <v>78</v>
      </c>
      <c r="G132" t="s">
        <v>141</v>
      </c>
      <c r="H132" t="s">
        <v>173</v>
      </c>
      <c r="I132" t="s">
        <v>178</v>
      </c>
      <c r="J132" t="s">
        <v>239</v>
      </c>
      <c r="K132" s="19">
        <v>-202.03</v>
      </c>
      <c r="L132" s="19">
        <v>-389.24</v>
      </c>
      <c r="M132" s="19">
        <v>-280.8</v>
      </c>
      <c r="N132" s="19">
        <v>0</v>
      </c>
      <c r="O132" s="156" t="s">
        <v>397</v>
      </c>
      <c r="P132" s="19">
        <v>-1935.01</v>
      </c>
      <c r="Q132" s="19">
        <v>-592.1</v>
      </c>
      <c r="R132" s="19">
        <v>-149.55000000000001</v>
      </c>
      <c r="S132" s="19">
        <v>-591.46</v>
      </c>
      <c r="T132" s="19">
        <v>-591.46</v>
      </c>
      <c r="U132" s="19">
        <v>-591.46</v>
      </c>
      <c r="V132" s="19">
        <v>-591.46</v>
      </c>
      <c r="W132" s="19">
        <v>-5914.5700000000006</v>
      </c>
      <c r="X132" t="s">
        <v>452</v>
      </c>
    </row>
    <row r="133" spans="2:24" x14ac:dyDescent="0.35">
      <c r="B133">
        <v>2026</v>
      </c>
      <c r="C133" t="s">
        <v>75</v>
      </c>
      <c r="D133" t="s">
        <v>76</v>
      </c>
      <c r="E133" t="s">
        <v>77</v>
      </c>
      <c r="F133" t="s">
        <v>78</v>
      </c>
      <c r="G133" t="s">
        <v>141</v>
      </c>
      <c r="H133" t="s">
        <v>173</v>
      </c>
      <c r="I133" t="s">
        <v>179</v>
      </c>
      <c r="J133" t="s">
        <v>239</v>
      </c>
      <c r="K133" s="19">
        <v>0</v>
      </c>
      <c r="L133" s="19">
        <v>-1750</v>
      </c>
      <c r="M133" s="19">
        <v>-487.13</v>
      </c>
      <c r="N133" s="19">
        <v>-1930</v>
      </c>
      <c r="O133" s="156" t="s">
        <v>397</v>
      </c>
      <c r="P133" s="19" t="s">
        <v>397</v>
      </c>
      <c r="Q133" s="19">
        <v>0</v>
      </c>
      <c r="R133" s="19">
        <v>0</v>
      </c>
      <c r="S133" s="19">
        <v>-1389.04</v>
      </c>
      <c r="T133" s="19">
        <v>-1389.04</v>
      </c>
      <c r="U133" s="19">
        <v>-1389.04</v>
      </c>
      <c r="V133" s="19">
        <v>-1389.04</v>
      </c>
      <c r="W133" s="19">
        <v>-9723.2900000000009</v>
      </c>
      <c r="X133" t="s">
        <v>452</v>
      </c>
    </row>
    <row r="134" spans="2:24" x14ac:dyDescent="0.35">
      <c r="B134">
        <v>2026</v>
      </c>
      <c r="C134" t="s">
        <v>75</v>
      </c>
      <c r="D134" t="s">
        <v>76</v>
      </c>
      <c r="E134" t="s">
        <v>77</v>
      </c>
      <c r="F134" t="s">
        <v>78</v>
      </c>
      <c r="G134" t="s">
        <v>141</v>
      </c>
      <c r="H134" t="s">
        <v>173</v>
      </c>
      <c r="I134" t="s">
        <v>180</v>
      </c>
      <c r="J134" t="s">
        <v>239</v>
      </c>
      <c r="K134" s="19">
        <v>0</v>
      </c>
      <c r="L134" s="19">
        <v>0</v>
      </c>
      <c r="M134" s="19">
        <v>0</v>
      </c>
      <c r="N134" s="19">
        <v>0</v>
      </c>
      <c r="O134" s="156">
        <v>0</v>
      </c>
      <c r="P134" s="19" t="s">
        <v>397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t="s">
        <v>440</v>
      </c>
    </row>
    <row r="135" spans="2:24" x14ac:dyDescent="0.35">
      <c r="B135">
        <v>2026</v>
      </c>
      <c r="C135" t="s">
        <v>75</v>
      </c>
      <c r="D135" t="s">
        <v>76</v>
      </c>
      <c r="E135" t="s">
        <v>77</v>
      </c>
      <c r="F135" t="s">
        <v>78</v>
      </c>
      <c r="G135" t="s">
        <v>141</v>
      </c>
      <c r="H135" t="s">
        <v>181</v>
      </c>
      <c r="I135" t="s">
        <v>182</v>
      </c>
      <c r="J135" t="s">
        <v>239</v>
      </c>
      <c r="K135" s="19">
        <v>0</v>
      </c>
      <c r="L135" s="19">
        <v>0</v>
      </c>
      <c r="M135" s="19">
        <v>-188.17</v>
      </c>
      <c r="N135" s="19">
        <v>0</v>
      </c>
      <c r="O135" s="156" t="s">
        <v>397</v>
      </c>
      <c r="P135" s="19" t="s">
        <v>397</v>
      </c>
      <c r="Q135" s="19">
        <v>0</v>
      </c>
      <c r="R135" s="19">
        <v>0</v>
      </c>
      <c r="S135" s="19">
        <v>-188.17</v>
      </c>
      <c r="T135" s="19">
        <v>-188.17</v>
      </c>
      <c r="U135" s="19">
        <v>-188.17</v>
      </c>
      <c r="V135" s="19">
        <v>-188.17</v>
      </c>
      <c r="W135" s="19">
        <v>-940.84999999999991</v>
      </c>
      <c r="X135" t="s">
        <v>456</v>
      </c>
    </row>
    <row r="136" spans="2:24" x14ac:dyDescent="0.35">
      <c r="B136">
        <v>2026</v>
      </c>
      <c r="C136" t="s">
        <v>75</v>
      </c>
      <c r="D136" t="s">
        <v>76</v>
      </c>
      <c r="E136" t="s">
        <v>77</v>
      </c>
      <c r="F136" t="s">
        <v>78</v>
      </c>
      <c r="G136" t="s">
        <v>141</v>
      </c>
      <c r="H136" t="s">
        <v>181</v>
      </c>
      <c r="I136" t="s">
        <v>430</v>
      </c>
      <c r="J136" t="s">
        <v>239</v>
      </c>
      <c r="K136" s="19">
        <v>0</v>
      </c>
      <c r="L136" s="19">
        <v>0</v>
      </c>
      <c r="M136" s="19">
        <v>0</v>
      </c>
      <c r="N136" s="19">
        <v>0</v>
      </c>
      <c r="O136" s="156">
        <v>0</v>
      </c>
      <c r="P136" s="19">
        <v>0</v>
      </c>
      <c r="Q136" s="19">
        <v>-194.64</v>
      </c>
      <c r="R136" s="19">
        <v>0</v>
      </c>
      <c r="S136" s="19">
        <v>-194.64</v>
      </c>
      <c r="T136" s="19">
        <v>-194.64</v>
      </c>
      <c r="U136" s="19">
        <v>-194.64</v>
      </c>
      <c r="V136" s="19">
        <v>-194.64</v>
      </c>
      <c r="W136" s="19">
        <v>-973.19999999999993</v>
      </c>
      <c r="X136" t="s">
        <v>456</v>
      </c>
    </row>
    <row r="137" spans="2:24" x14ac:dyDescent="0.35">
      <c r="B137">
        <v>2026</v>
      </c>
      <c r="C137" t="s">
        <v>75</v>
      </c>
      <c r="D137" t="s">
        <v>76</v>
      </c>
      <c r="E137" t="s">
        <v>77</v>
      </c>
      <c r="F137" t="s">
        <v>78</v>
      </c>
      <c r="G137" t="s">
        <v>141</v>
      </c>
      <c r="H137" t="s">
        <v>181</v>
      </c>
      <c r="I137" t="s">
        <v>183</v>
      </c>
      <c r="J137" t="s">
        <v>239</v>
      </c>
      <c r="K137" s="19">
        <v>0</v>
      </c>
      <c r="L137" s="19">
        <v>0</v>
      </c>
      <c r="M137" s="19">
        <v>0</v>
      </c>
      <c r="N137" s="19">
        <v>0</v>
      </c>
      <c r="O137" s="156">
        <v>-5788.51</v>
      </c>
      <c r="P137" s="19">
        <v>-774.67</v>
      </c>
      <c r="Q137" s="19" t="s">
        <v>432</v>
      </c>
      <c r="R137" s="19">
        <v>0</v>
      </c>
      <c r="S137" s="19">
        <v>-3281.59</v>
      </c>
      <c r="T137" s="19">
        <v>-3281.59</v>
      </c>
      <c r="U137" s="19">
        <v>-3281.59</v>
      </c>
      <c r="V137" s="19">
        <v>-3281.59</v>
      </c>
      <c r="W137" s="19">
        <v>-19689.54</v>
      </c>
      <c r="X137" t="s">
        <v>456</v>
      </c>
    </row>
    <row r="138" spans="2:24" x14ac:dyDescent="0.35">
      <c r="B138">
        <v>2026</v>
      </c>
      <c r="C138" t="s">
        <v>75</v>
      </c>
      <c r="D138" t="s">
        <v>76</v>
      </c>
      <c r="E138" t="s">
        <v>77</v>
      </c>
      <c r="F138" t="s">
        <v>78</v>
      </c>
      <c r="G138" t="s">
        <v>141</v>
      </c>
      <c r="H138" t="s">
        <v>181</v>
      </c>
      <c r="I138" t="s">
        <v>184</v>
      </c>
      <c r="J138" t="s">
        <v>239</v>
      </c>
      <c r="K138" s="19">
        <v>-8631.83</v>
      </c>
      <c r="L138" s="19">
        <v>0</v>
      </c>
      <c r="M138" s="19">
        <v>-2798.15</v>
      </c>
      <c r="N138" s="19">
        <v>-608.9</v>
      </c>
      <c r="O138" s="156" t="s">
        <v>397</v>
      </c>
      <c r="P138" s="19">
        <v>-2798.15</v>
      </c>
      <c r="Q138" s="19">
        <v>-41.37</v>
      </c>
      <c r="R138" s="19">
        <v>0</v>
      </c>
      <c r="S138" s="19">
        <v>-2975.68</v>
      </c>
      <c r="T138" s="19">
        <v>-2975.68</v>
      </c>
      <c r="U138" s="19">
        <v>-2975.68</v>
      </c>
      <c r="V138" s="19">
        <v>-2975.68</v>
      </c>
      <c r="W138" s="19">
        <v>-26781.119999999999</v>
      </c>
      <c r="X138" t="s">
        <v>456</v>
      </c>
    </row>
    <row r="139" spans="2:24" x14ac:dyDescent="0.35">
      <c r="B139">
        <v>2026</v>
      </c>
      <c r="C139" t="s">
        <v>75</v>
      </c>
      <c r="D139" t="s">
        <v>76</v>
      </c>
      <c r="E139" t="s">
        <v>77</v>
      </c>
      <c r="F139" t="s">
        <v>78</v>
      </c>
      <c r="G139" t="s">
        <v>141</v>
      </c>
      <c r="H139" t="s">
        <v>185</v>
      </c>
      <c r="I139" t="s">
        <v>375</v>
      </c>
      <c r="J139" t="s">
        <v>239</v>
      </c>
      <c r="K139" s="19">
        <v>0</v>
      </c>
      <c r="L139" s="19">
        <v>0</v>
      </c>
      <c r="M139" s="19">
        <v>0</v>
      </c>
      <c r="N139" s="19">
        <v>0</v>
      </c>
      <c r="O139" s="156">
        <v>0</v>
      </c>
      <c r="P139" s="19" t="s">
        <v>397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t="s">
        <v>440</v>
      </c>
    </row>
    <row r="140" spans="2:24" x14ac:dyDescent="0.35">
      <c r="B140">
        <v>2026</v>
      </c>
      <c r="C140" t="s">
        <v>75</v>
      </c>
      <c r="D140" t="s">
        <v>76</v>
      </c>
      <c r="E140" t="s">
        <v>77</v>
      </c>
      <c r="F140" t="s">
        <v>78</v>
      </c>
      <c r="G140" t="s">
        <v>141</v>
      </c>
      <c r="H140" t="s">
        <v>185</v>
      </c>
      <c r="I140" t="s">
        <v>376</v>
      </c>
      <c r="J140" t="s">
        <v>239</v>
      </c>
      <c r="K140" s="19">
        <v>-111.93</v>
      </c>
      <c r="L140" s="19">
        <v>-38.96</v>
      </c>
      <c r="M140" s="19">
        <v>-1.21</v>
      </c>
      <c r="N140" s="19">
        <v>-1.21</v>
      </c>
      <c r="O140" s="156">
        <v>-8.4700000000000006</v>
      </c>
      <c r="P140" s="19">
        <v>-102.05</v>
      </c>
      <c r="Q140" s="19">
        <v>-121.06</v>
      </c>
      <c r="R140" s="19">
        <v>-7.26</v>
      </c>
      <c r="S140" s="19">
        <v>-49.02</v>
      </c>
      <c r="T140" s="19">
        <v>-49.02</v>
      </c>
      <c r="U140" s="19">
        <v>-49.02</v>
      </c>
      <c r="V140" s="19">
        <v>-49.02</v>
      </c>
      <c r="W140" s="19">
        <v>-588.23</v>
      </c>
      <c r="X140" t="s">
        <v>457</v>
      </c>
    </row>
    <row r="141" spans="2:24" x14ac:dyDescent="0.35">
      <c r="B141">
        <v>2026</v>
      </c>
      <c r="C141" t="s">
        <v>75</v>
      </c>
      <c r="D141" t="s">
        <v>76</v>
      </c>
      <c r="E141" t="s">
        <v>77</v>
      </c>
      <c r="F141" t="s">
        <v>78</v>
      </c>
      <c r="G141" t="s">
        <v>141</v>
      </c>
      <c r="H141" t="s">
        <v>185</v>
      </c>
      <c r="I141" t="s">
        <v>377</v>
      </c>
      <c r="J141" t="s">
        <v>239</v>
      </c>
      <c r="K141" s="19">
        <v>-138.5</v>
      </c>
      <c r="L141" s="19">
        <v>-149.62</v>
      </c>
      <c r="M141" s="19">
        <v>-353.89</v>
      </c>
      <c r="N141" s="19">
        <v>-230.86</v>
      </c>
      <c r="O141" s="156">
        <v>-43.09</v>
      </c>
      <c r="P141" s="19">
        <v>-200.29</v>
      </c>
      <c r="Q141" s="19">
        <v>-109.75</v>
      </c>
      <c r="R141" s="19">
        <v>-143.33000000000001</v>
      </c>
      <c r="S141" s="19">
        <v>-171.17</v>
      </c>
      <c r="T141" s="19">
        <v>-171.17</v>
      </c>
      <c r="U141" s="19">
        <v>-171.17</v>
      </c>
      <c r="V141" s="19">
        <v>-171.17</v>
      </c>
      <c r="W141" s="19">
        <v>-2054.0100000000002</v>
      </c>
      <c r="X141" t="s">
        <v>457</v>
      </c>
    </row>
    <row r="142" spans="2:24" x14ac:dyDescent="0.35">
      <c r="B142">
        <v>2026</v>
      </c>
      <c r="C142" t="s">
        <v>75</v>
      </c>
      <c r="D142" t="s">
        <v>76</v>
      </c>
      <c r="E142" t="s">
        <v>77</v>
      </c>
      <c r="F142" t="s">
        <v>78</v>
      </c>
      <c r="G142" t="s">
        <v>141</v>
      </c>
      <c r="H142" t="s">
        <v>185</v>
      </c>
      <c r="I142" t="s">
        <v>186</v>
      </c>
      <c r="J142" t="s">
        <v>239</v>
      </c>
      <c r="K142" s="19">
        <v>-342.23</v>
      </c>
      <c r="L142" s="19">
        <v>-704.39</v>
      </c>
      <c r="M142" s="19">
        <v>-687.65</v>
      </c>
      <c r="N142" s="19">
        <v>-381.46</v>
      </c>
      <c r="O142" s="156">
        <v>-1201.98</v>
      </c>
      <c r="P142" s="19">
        <v>-1201.74</v>
      </c>
      <c r="Q142" s="19">
        <v>-1353.52</v>
      </c>
      <c r="R142" s="19">
        <v>-615.71</v>
      </c>
      <c r="S142" s="19">
        <v>-811.09</v>
      </c>
      <c r="T142" s="19">
        <v>-811.09</v>
      </c>
      <c r="U142" s="19">
        <v>-811.09</v>
      </c>
      <c r="V142" s="19">
        <v>-811.09</v>
      </c>
      <c r="W142" s="19">
        <v>-9733.0399999999991</v>
      </c>
      <c r="X142" t="s">
        <v>457</v>
      </c>
    </row>
    <row r="143" spans="2:24" x14ac:dyDescent="0.35">
      <c r="B143">
        <v>2026</v>
      </c>
      <c r="C143" t="s">
        <v>75</v>
      </c>
      <c r="D143" t="s">
        <v>76</v>
      </c>
      <c r="E143" t="s">
        <v>77</v>
      </c>
      <c r="F143" t="s">
        <v>78</v>
      </c>
      <c r="G143" t="s">
        <v>141</v>
      </c>
      <c r="H143" t="s">
        <v>187</v>
      </c>
      <c r="I143" t="s">
        <v>188</v>
      </c>
      <c r="J143" t="s">
        <v>239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 t="s">
        <v>397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t="s">
        <v>440</v>
      </c>
    </row>
    <row r="144" spans="2:24" x14ac:dyDescent="0.35">
      <c r="B144">
        <v>2026</v>
      </c>
      <c r="C144" t="s">
        <v>75</v>
      </c>
      <c r="D144" t="s">
        <v>76</v>
      </c>
      <c r="E144" t="s">
        <v>77</v>
      </c>
      <c r="F144" t="s">
        <v>78</v>
      </c>
      <c r="G144" t="s">
        <v>141</v>
      </c>
      <c r="H144" t="s">
        <v>187</v>
      </c>
      <c r="I144" t="s">
        <v>189</v>
      </c>
      <c r="J144" t="s">
        <v>239</v>
      </c>
      <c r="K144" s="19">
        <v>0</v>
      </c>
      <c r="L144" s="19">
        <v>0</v>
      </c>
      <c r="M144" s="19">
        <v>0</v>
      </c>
      <c r="N144" s="19">
        <v>0</v>
      </c>
      <c r="O144" s="156">
        <v>0</v>
      </c>
      <c r="P144" s="19" t="s">
        <v>397</v>
      </c>
      <c r="Q144" s="19">
        <v>0</v>
      </c>
      <c r="R144" s="19">
        <v>-214.6</v>
      </c>
      <c r="S144" s="19">
        <v>-214.6</v>
      </c>
      <c r="T144" s="19">
        <v>-321.89999999999998</v>
      </c>
      <c r="U144" s="19">
        <v>-214.6</v>
      </c>
      <c r="V144" s="19">
        <v>-214.6</v>
      </c>
      <c r="W144" s="19">
        <v>-1180.3</v>
      </c>
      <c r="X144" t="s">
        <v>458</v>
      </c>
    </row>
    <row r="145" spans="2:24" x14ac:dyDescent="0.35">
      <c r="B145">
        <v>2026</v>
      </c>
      <c r="C145" t="s">
        <v>75</v>
      </c>
      <c r="D145" t="s">
        <v>76</v>
      </c>
      <c r="E145" t="s">
        <v>77</v>
      </c>
      <c r="F145" t="s">
        <v>78</v>
      </c>
      <c r="G145" t="s">
        <v>141</v>
      </c>
      <c r="H145" t="s">
        <v>187</v>
      </c>
      <c r="I145" t="s">
        <v>190</v>
      </c>
      <c r="J145" t="s">
        <v>239</v>
      </c>
      <c r="K145" s="19">
        <v>0</v>
      </c>
      <c r="L145" s="19">
        <v>0</v>
      </c>
      <c r="M145" s="19">
        <v>0</v>
      </c>
      <c r="N145" s="19">
        <v>0</v>
      </c>
      <c r="O145" s="156">
        <v>0</v>
      </c>
      <c r="P145" s="19" t="s">
        <v>397</v>
      </c>
      <c r="Q145" s="19">
        <v>-407</v>
      </c>
      <c r="R145" s="19">
        <v>0</v>
      </c>
      <c r="S145" s="19">
        <v>-407</v>
      </c>
      <c r="T145" s="19">
        <v>-610.5</v>
      </c>
      <c r="U145" s="19">
        <v>-407</v>
      </c>
      <c r="V145" s="19">
        <v>-407</v>
      </c>
      <c r="W145" s="19">
        <v>-2238.5</v>
      </c>
      <c r="X145" t="s">
        <v>458</v>
      </c>
    </row>
    <row r="146" spans="2:24" x14ac:dyDescent="0.35">
      <c r="B146">
        <v>2026</v>
      </c>
      <c r="C146" t="s">
        <v>75</v>
      </c>
      <c r="D146" t="s">
        <v>76</v>
      </c>
      <c r="E146" t="s">
        <v>77</v>
      </c>
      <c r="F146" t="s">
        <v>78</v>
      </c>
      <c r="G146" t="s">
        <v>141</v>
      </c>
      <c r="H146" t="s">
        <v>187</v>
      </c>
      <c r="I146" t="s">
        <v>378</v>
      </c>
      <c r="J146" t="s">
        <v>239</v>
      </c>
      <c r="K146" s="19">
        <v>-27.52</v>
      </c>
      <c r="L146" s="19">
        <v>0</v>
      </c>
      <c r="M146" s="19">
        <v>0</v>
      </c>
      <c r="N146" s="19">
        <v>0</v>
      </c>
      <c r="O146" s="156">
        <v>-170.36</v>
      </c>
      <c r="P146" s="19" t="s">
        <v>397</v>
      </c>
      <c r="Q146" s="19">
        <v>0</v>
      </c>
      <c r="R146" s="19">
        <v>0</v>
      </c>
      <c r="S146" s="19">
        <v>-98.94</v>
      </c>
      <c r="T146" s="19">
        <v>-148.41</v>
      </c>
      <c r="U146" s="19">
        <v>-98.94</v>
      </c>
      <c r="V146" s="19">
        <v>-98.94</v>
      </c>
      <c r="W146" s="19">
        <v>-643.11000000000013</v>
      </c>
      <c r="X146" t="s">
        <v>458</v>
      </c>
    </row>
    <row r="147" spans="2:24" x14ac:dyDescent="0.35">
      <c r="B147">
        <v>2026</v>
      </c>
      <c r="C147" t="s">
        <v>75</v>
      </c>
      <c r="D147" t="s">
        <v>76</v>
      </c>
      <c r="E147" t="s">
        <v>77</v>
      </c>
      <c r="F147" t="s">
        <v>78</v>
      </c>
      <c r="G147" t="s">
        <v>141</v>
      </c>
      <c r="H147" t="s">
        <v>187</v>
      </c>
      <c r="I147" t="s">
        <v>191</v>
      </c>
      <c r="J147" t="s">
        <v>239</v>
      </c>
      <c r="K147" s="19">
        <v>0</v>
      </c>
      <c r="L147" s="19">
        <v>0</v>
      </c>
      <c r="M147" s="19">
        <v>0</v>
      </c>
      <c r="N147" s="19">
        <v>-308.45999999999998</v>
      </c>
      <c r="O147" s="156" t="s">
        <v>397</v>
      </c>
      <c r="P147" s="19" t="s">
        <v>397</v>
      </c>
      <c r="Q147" s="19">
        <v>0</v>
      </c>
      <c r="R147" s="19">
        <v>0</v>
      </c>
      <c r="S147" s="19">
        <v>-308.45999999999998</v>
      </c>
      <c r="T147" s="19">
        <v>-462.69</v>
      </c>
      <c r="U147" s="19">
        <v>-308.45999999999998</v>
      </c>
      <c r="V147" s="19">
        <v>-308.45999999999998</v>
      </c>
      <c r="W147" s="19">
        <v>-1696.53</v>
      </c>
      <c r="X147" t="s">
        <v>458</v>
      </c>
    </row>
    <row r="148" spans="2:24" x14ac:dyDescent="0.35">
      <c r="B148">
        <v>2026</v>
      </c>
      <c r="C148" t="s">
        <v>75</v>
      </c>
      <c r="D148" t="s">
        <v>76</v>
      </c>
      <c r="E148" t="s">
        <v>77</v>
      </c>
      <c r="F148" t="s">
        <v>78</v>
      </c>
      <c r="G148" t="s">
        <v>141</v>
      </c>
      <c r="H148" t="s">
        <v>187</v>
      </c>
      <c r="I148" t="s">
        <v>192</v>
      </c>
      <c r="J148" t="s">
        <v>239</v>
      </c>
      <c r="K148" s="19">
        <v>0</v>
      </c>
      <c r="L148" s="19">
        <v>0</v>
      </c>
      <c r="M148" s="19">
        <v>-1568.58</v>
      </c>
      <c r="N148" s="19">
        <v>-4485</v>
      </c>
      <c r="O148" s="156">
        <v>-55</v>
      </c>
      <c r="P148" s="19">
        <v>-3000</v>
      </c>
      <c r="Q148" s="19" t="s">
        <v>432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-9108.58</v>
      </c>
      <c r="X148" t="s">
        <v>496</v>
      </c>
    </row>
    <row r="149" spans="2:24" x14ac:dyDescent="0.35">
      <c r="B149">
        <v>2026</v>
      </c>
      <c r="C149" t="s">
        <v>75</v>
      </c>
      <c r="D149" t="s">
        <v>76</v>
      </c>
      <c r="E149" t="s">
        <v>77</v>
      </c>
      <c r="F149" t="s">
        <v>78</v>
      </c>
      <c r="G149" t="s">
        <v>141</v>
      </c>
      <c r="H149" t="s">
        <v>187</v>
      </c>
      <c r="I149" t="s">
        <v>193</v>
      </c>
      <c r="J149" t="s">
        <v>239</v>
      </c>
      <c r="K149" s="19">
        <v>0</v>
      </c>
      <c r="L149" s="19">
        <v>0</v>
      </c>
      <c r="M149" s="19">
        <v>0</v>
      </c>
      <c r="N149" s="19">
        <v>0</v>
      </c>
      <c r="O149" s="156">
        <v>-3208.9</v>
      </c>
      <c r="P149" s="19">
        <v>-438</v>
      </c>
      <c r="Q149" s="19">
        <v>-9082.9</v>
      </c>
      <c r="R149" s="19">
        <v>-3164.3</v>
      </c>
      <c r="S149" s="19">
        <v>-1500</v>
      </c>
      <c r="T149" s="19">
        <v>-4500</v>
      </c>
      <c r="U149" s="19">
        <v>-2000</v>
      </c>
      <c r="V149" s="19">
        <v>-2000</v>
      </c>
      <c r="W149" s="19">
        <v>-25894.1</v>
      </c>
      <c r="X149" t="s">
        <v>459</v>
      </c>
    </row>
    <row r="150" spans="2:24" x14ac:dyDescent="0.35">
      <c r="B150">
        <v>2026</v>
      </c>
      <c r="C150" t="s">
        <v>75</v>
      </c>
      <c r="D150" t="s">
        <v>76</v>
      </c>
      <c r="E150" t="s">
        <v>77</v>
      </c>
      <c r="F150" t="s">
        <v>78</v>
      </c>
      <c r="G150" t="s">
        <v>141</v>
      </c>
      <c r="H150" t="s">
        <v>187</v>
      </c>
      <c r="I150" t="s">
        <v>379</v>
      </c>
      <c r="J150" t="s">
        <v>239</v>
      </c>
      <c r="K150" s="19">
        <v>0</v>
      </c>
      <c r="L150" s="19">
        <v>0</v>
      </c>
      <c r="M150" s="19">
        <v>-826.76</v>
      </c>
      <c r="N150" s="19">
        <v>0</v>
      </c>
      <c r="O150" s="156" t="s">
        <v>397</v>
      </c>
      <c r="P150" s="19" t="s">
        <v>397</v>
      </c>
      <c r="Q150" s="19">
        <v>0</v>
      </c>
      <c r="R150" s="19">
        <v>0</v>
      </c>
      <c r="S150" s="19">
        <v>-826.76</v>
      </c>
      <c r="T150" s="19">
        <v>-1240.1400000000001</v>
      </c>
      <c r="U150" s="19">
        <v>-826.76</v>
      </c>
      <c r="V150" s="19">
        <v>-826.76</v>
      </c>
      <c r="W150" s="19">
        <v>-4547.18</v>
      </c>
      <c r="X150" t="s">
        <v>458</v>
      </c>
    </row>
    <row r="151" spans="2:24" x14ac:dyDescent="0.35">
      <c r="B151">
        <v>2026</v>
      </c>
      <c r="C151" t="s">
        <v>75</v>
      </c>
      <c r="D151" t="s">
        <v>76</v>
      </c>
      <c r="E151" t="s">
        <v>77</v>
      </c>
      <c r="F151" t="s">
        <v>78</v>
      </c>
      <c r="G151" t="s">
        <v>141</v>
      </c>
      <c r="H151" t="s">
        <v>194</v>
      </c>
      <c r="I151" t="s">
        <v>195</v>
      </c>
      <c r="J151" t="s">
        <v>239</v>
      </c>
      <c r="K151" s="19">
        <v>0</v>
      </c>
      <c r="L151" s="19">
        <v>0</v>
      </c>
      <c r="M151" s="19">
        <v>0</v>
      </c>
      <c r="N151" s="19">
        <v>0</v>
      </c>
      <c r="O151" s="156">
        <v>0</v>
      </c>
      <c r="P151" s="19">
        <v>-489</v>
      </c>
      <c r="Q151" s="19" t="s">
        <v>432</v>
      </c>
      <c r="R151" s="19">
        <v>0</v>
      </c>
      <c r="S151" s="19">
        <v>-489</v>
      </c>
      <c r="T151" s="19">
        <v>-489</v>
      </c>
      <c r="U151" s="19">
        <v>-489</v>
      </c>
      <c r="V151" s="19">
        <v>-489</v>
      </c>
      <c r="W151" s="19">
        <v>-2445</v>
      </c>
      <c r="X151" t="s">
        <v>452</v>
      </c>
    </row>
    <row r="152" spans="2:24" x14ac:dyDescent="0.35">
      <c r="B152">
        <v>2026</v>
      </c>
      <c r="C152" t="s">
        <v>75</v>
      </c>
      <c r="D152" t="s">
        <v>76</v>
      </c>
      <c r="E152" t="s">
        <v>77</v>
      </c>
      <c r="F152" t="s">
        <v>78</v>
      </c>
      <c r="G152" t="s">
        <v>141</v>
      </c>
      <c r="H152" t="s">
        <v>194</v>
      </c>
      <c r="I152" t="s">
        <v>196</v>
      </c>
      <c r="J152" t="s">
        <v>239</v>
      </c>
      <c r="K152" s="19">
        <v>-4457.07</v>
      </c>
      <c r="L152" s="19">
        <v>-4192.18</v>
      </c>
      <c r="M152" s="19">
        <v>0</v>
      </c>
      <c r="N152" s="19">
        <v>-8417.9</v>
      </c>
      <c r="O152" s="156">
        <v>-1115.2</v>
      </c>
      <c r="P152" s="19">
        <v>-7205.31</v>
      </c>
      <c r="Q152" s="19">
        <v>-3014.475435477108</v>
      </c>
      <c r="R152" s="19">
        <v>-1350.4331431072339</v>
      </c>
      <c r="S152" s="19">
        <v>-3190</v>
      </c>
      <c r="T152" s="19">
        <v>-3790</v>
      </c>
      <c r="U152" s="19">
        <v>-4190</v>
      </c>
      <c r="V152" s="19">
        <v>-4390</v>
      </c>
      <c r="W152" s="19">
        <v>-45312.568578584345</v>
      </c>
      <c r="X152" t="s">
        <v>460</v>
      </c>
    </row>
    <row r="153" spans="2:24" x14ac:dyDescent="0.35">
      <c r="B153">
        <v>2026</v>
      </c>
      <c r="C153" t="s">
        <v>75</v>
      </c>
      <c r="D153" t="s">
        <v>76</v>
      </c>
      <c r="E153" t="s">
        <v>77</v>
      </c>
      <c r="F153" t="s">
        <v>78</v>
      </c>
      <c r="G153" t="s">
        <v>141</v>
      </c>
      <c r="H153" t="s">
        <v>194</v>
      </c>
      <c r="I153" t="s">
        <v>197</v>
      </c>
      <c r="J153" t="s">
        <v>239</v>
      </c>
      <c r="K153" s="19">
        <v>-1170.76</v>
      </c>
      <c r="L153" s="19">
        <v>0</v>
      </c>
      <c r="M153" s="19">
        <v>0</v>
      </c>
      <c r="N153" s="19">
        <v>-1209.46</v>
      </c>
      <c r="O153" s="156" t="s">
        <v>397</v>
      </c>
      <c r="P153" s="19" t="s">
        <v>397</v>
      </c>
      <c r="Q153" s="19">
        <v>-1927.6</v>
      </c>
      <c r="R153" s="19">
        <v>0</v>
      </c>
      <c r="S153" s="19">
        <v>-1435.94</v>
      </c>
      <c r="T153" s="19">
        <v>-1435.94</v>
      </c>
      <c r="U153" s="19">
        <v>-1435.94</v>
      </c>
      <c r="V153" s="19">
        <v>-1435.94</v>
      </c>
      <c r="W153" s="19">
        <v>-10051.580000000002</v>
      </c>
      <c r="X153" t="s">
        <v>452</v>
      </c>
    </row>
    <row r="154" spans="2:24" x14ac:dyDescent="0.35">
      <c r="B154">
        <v>2026</v>
      </c>
      <c r="C154" t="s">
        <v>75</v>
      </c>
      <c r="D154" t="s">
        <v>76</v>
      </c>
      <c r="E154" t="s">
        <v>77</v>
      </c>
      <c r="F154" t="s">
        <v>78</v>
      </c>
      <c r="G154" t="s">
        <v>141</v>
      </c>
      <c r="H154" t="s">
        <v>194</v>
      </c>
      <c r="I154" t="s">
        <v>380</v>
      </c>
      <c r="J154" t="s">
        <v>239</v>
      </c>
      <c r="K154" s="19">
        <v>-697.53</v>
      </c>
      <c r="L154" s="19">
        <v>-707.86</v>
      </c>
      <c r="M154" s="19">
        <v>-721.07</v>
      </c>
      <c r="N154" s="19">
        <v>-752.94</v>
      </c>
      <c r="O154" s="156">
        <v>-259.61</v>
      </c>
      <c r="P154" s="19">
        <v>-1232.48</v>
      </c>
      <c r="Q154" s="19">
        <v>-761.55</v>
      </c>
      <c r="R154" s="19">
        <v>-853</v>
      </c>
      <c r="S154" s="19">
        <v>-200</v>
      </c>
      <c r="T154" s="19">
        <v>-400</v>
      </c>
      <c r="U154" s="19">
        <v>-700</v>
      </c>
      <c r="V154" s="19">
        <v>-900</v>
      </c>
      <c r="W154" s="19">
        <v>-8186.04</v>
      </c>
      <c r="X154" t="s">
        <v>461</v>
      </c>
    </row>
    <row r="155" spans="2:24" x14ac:dyDescent="0.35">
      <c r="B155">
        <v>2026</v>
      </c>
      <c r="C155" t="s">
        <v>75</v>
      </c>
      <c r="D155" t="s">
        <v>76</v>
      </c>
      <c r="E155" t="s">
        <v>77</v>
      </c>
      <c r="F155" t="s">
        <v>78</v>
      </c>
      <c r="G155" t="s">
        <v>141</v>
      </c>
      <c r="H155" t="s">
        <v>194</v>
      </c>
      <c r="I155" t="s">
        <v>198</v>
      </c>
      <c r="J155" t="s">
        <v>239</v>
      </c>
      <c r="K155" s="19">
        <v>0</v>
      </c>
      <c r="L155" s="19">
        <v>0</v>
      </c>
      <c r="M155" s="19">
        <v>0</v>
      </c>
      <c r="N155" s="19">
        <v>0</v>
      </c>
      <c r="O155" s="156">
        <v>-1891.22</v>
      </c>
      <c r="P155" s="19" t="s">
        <v>397</v>
      </c>
      <c r="Q155" s="19">
        <v>0</v>
      </c>
      <c r="R155" s="19">
        <v>-1496.33</v>
      </c>
      <c r="S155" s="19">
        <v>-1693.78</v>
      </c>
      <c r="T155" s="19">
        <v>-1693.78</v>
      </c>
      <c r="U155" s="19">
        <v>-1693.78</v>
      </c>
      <c r="V155" s="19">
        <v>-1693.78</v>
      </c>
      <c r="W155" s="19">
        <v>-10162.67</v>
      </c>
      <c r="X155" t="s">
        <v>452</v>
      </c>
    </row>
    <row r="156" spans="2:24" x14ac:dyDescent="0.35">
      <c r="B156">
        <v>2026</v>
      </c>
      <c r="C156" t="s">
        <v>75</v>
      </c>
      <c r="D156" t="s">
        <v>76</v>
      </c>
      <c r="E156" t="s">
        <v>77</v>
      </c>
      <c r="F156" t="s">
        <v>78</v>
      </c>
      <c r="G156" t="s">
        <v>141</v>
      </c>
      <c r="H156" t="s">
        <v>199</v>
      </c>
      <c r="I156" t="s">
        <v>200</v>
      </c>
      <c r="J156" t="s">
        <v>239</v>
      </c>
      <c r="K156" s="19">
        <v>-396</v>
      </c>
      <c r="L156" s="19">
        <v>0</v>
      </c>
      <c r="M156" s="19">
        <v>0</v>
      </c>
      <c r="N156" s="19">
        <v>0</v>
      </c>
      <c r="O156" s="156" t="s">
        <v>397</v>
      </c>
      <c r="P156" s="19">
        <v>-30</v>
      </c>
      <c r="Q156" s="19" t="s">
        <v>432</v>
      </c>
      <c r="R156" s="19">
        <v>0</v>
      </c>
      <c r="S156" s="19">
        <v>-213</v>
      </c>
      <c r="T156" s="19">
        <v>-213</v>
      </c>
      <c r="U156" s="19">
        <v>-213</v>
      </c>
      <c r="V156" s="19">
        <v>-213</v>
      </c>
      <c r="W156" s="19">
        <v>-1278</v>
      </c>
      <c r="X156" t="s">
        <v>462</v>
      </c>
    </row>
    <row r="157" spans="2:24" x14ac:dyDescent="0.35">
      <c r="B157">
        <v>2026</v>
      </c>
      <c r="C157" t="s">
        <v>75</v>
      </c>
      <c r="D157" t="s">
        <v>76</v>
      </c>
      <c r="E157" t="s">
        <v>77</v>
      </c>
      <c r="F157" t="s">
        <v>78</v>
      </c>
      <c r="G157" t="s">
        <v>141</v>
      </c>
      <c r="H157" t="s">
        <v>199</v>
      </c>
      <c r="I157" t="s">
        <v>201</v>
      </c>
      <c r="J157" t="s">
        <v>239</v>
      </c>
      <c r="K157" s="19">
        <v>-194.68</v>
      </c>
      <c r="L157" s="19">
        <v>-108</v>
      </c>
      <c r="M157" s="19">
        <v>-1186.24</v>
      </c>
      <c r="N157" s="19">
        <v>-80.59</v>
      </c>
      <c r="O157" s="156">
        <v>-277.83999999999997</v>
      </c>
      <c r="P157" s="19">
        <v>-254.03</v>
      </c>
      <c r="Q157" s="19">
        <v>-4498.18</v>
      </c>
      <c r="R157" s="19">
        <v>-986.98</v>
      </c>
      <c r="S157" s="19">
        <v>-948.32</v>
      </c>
      <c r="T157" s="19">
        <v>-948.32</v>
      </c>
      <c r="U157" s="19">
        <v>-948.32</v>
      </c>
      <c r="V157" s="19">
        <v>-948.32</v>
      </c>
      <c r="W157" s="19">
        <v>-11379.82</v>
      </c>
      <c r="X157" t="s">
        <v>462</v>
      </c>
    </row>
    <row r="158" spans="2:24" x14ac:dyDescent="0.35">
      <c r="B158">
        <v>2026</v>
      </c>
      <c r="C158" t="s">
        <v>75</v>
      </c>
      <c r="D158" t="s">
        <v>76</v>
      </c>
      <c r="E158" t="s">
        <v>77</v>
      </c>
      <c r="F158" t="s">
        <v>78</v>
      </c>
      <c r="G158" t="s">
        <v>141</v>
      </c>
      <c r="H158" t="s">
        <v>199</v>
      </c>
      <c r="I158" t="s">
        <v>381</v>
      </c>
      <c r="J158" t="s">
        <v>239</v>
      </c>
      <c r="K158" s="19">
        <v>-460.58</v>
      </c>
      <c r="L158" s="19">
        <v>0</v>
      </c>
      <c r="M158" s="19">
        <v>0</v>
      </c>
      <c r="N158" s="19">
        <v>0</v>
      </c>
      <c r="O158" s="156" t="s">
        <v>397</v>
      </c>
      <c r="P158" s="19" t="s">
        <v>397</v>
      </c>
      <c r="Q158" s="19">
        <v>0</v>
      </c>
      <c r="R158" s="19">
        <v>0</v>
      </c>
      <c r="S158" s="19">
        <v>-460.58</v>
      </c>
      <c r="T158" s="19">
        <v>-460.58</v>
      </c>
      <c r="U158" s="19">
        <v>-460.58</v>
      </c>
      <c r="V158" s="19">
        <v>-460.58</v>
      </c>
      <c r="W158" s="19">
        <v>-2302.9</v>
      </c>
      <c r="X158" t="s">
        <v>462</v>
      </c>
    </row>
    <row r="159" spans="2:24" x14ac:dyDescent="0.35">
      <c r="B159">
        <v>2026</v>
      </c>
      <c r="C159" t="s">
        <v>75</v>
      </c>
      <c r="D159" t="s">
        <v>76</v>
      </c>
      <c r="E159" t="s">
        <v>77</v>
      </c>
      <c r="F159" t="s">
        <v>78</v>
      </c>
      <c r="G159" t="s">
        <v>141</v>
      </c>
      <c r="H159" t="s">
        <v>199</v>
      </c>
      <c r="I159" t="s">
        <v>202</v>
      </c>
      <c r="J159" t="s">
        <v>239</v>
      </c>
      <c r="K159" s="19">
        <v>-73.72</v>
      </c>
      <c r="L159" s="19">
        <v>0</v>
      </c>
      <c r="M159" s="19">
        <v>-73.72</v>
      </c>
      <c r="N159" s="19">
        <v>-73.72</v>
      </c>
      <c r="O159" s="156">
        <v>-75.94</v>
      </c>
      <c r="P159" s="19">
        <v>-75.94</v>
      </c>
      <c r="Q159" s="19">
        <v>-75.94</v>
      </c>
      <c r="R159" s="19">
        <v>-75.94</v>
      </c>
      <c r="S159" s="19">
        <v>-74.989999999999995</v>
      </c>
      <c r="T159" s="19">
        <v>-74.989999999999995</v>
      </c>
      <c r="U159" s="19">
        <v>-74.989999999999995</v>
      </c>
      <c r="V159" s="19">
        <v>-74.989999999999995</v>
      </c>
      <c r="W159" s="19">
        <v>-824.88000000000011</v>
      </c>
      <c r="X159" t="s">
        <v>462</v>
      </c>
    </row>
    <row r="160" spans="2:24" x14ac:dyDescent="0.35">
      <c r="B160">
        <v>2026</v>
      </c>
      <c r="C160" t="s">
        <v>75</v>
      </c>
      <c r="D160" t="s">
        <v>76</v>
      </c>
      <c r="E160" t="s">
        <v>77</v>
      </c>
      <c r="F160" t="s">
        <v>78</v>
      </c>
      <c r="G160" t="s">
        <v>141</v>
      </c>
      <c r="H160" t="s">
        <v>199</v>
      </c>
      <c r="I160" t="s">
        <v>203</v>
      </c>
      <c r="J160" t="s">
        <v>239</v>
      </c>
      <c r="K160" s="19">
        <v>-87.98</v>
      </c>
      <c r="L160" s="19">
        <v>0</v>
      </c>
      <c r="M160" s="19">
        <v>0</v>
      </c>
      <c r="N160" s="19">
        <v>-2772</v>
      </c>
      <c r="O160" s="156">
        <v>36.18</v>
      </c>
      <c r="P160" s="19" t="s">
        <v>397</v>
      </c>
      <c r="Q160" s="19">
        <v>0</v>
      </c>
      <c r="R160" s="19">
        <v>0</v>
      </c>
      <c r="S160" s="19">
        <v>-941.27</v>
      </c>
      <c r="T160" s="19">
        <v>-941.27</v>
      </c>
      <c r="U160" s="19">
        <v>-941.27</v>
      </c>
      <c r="V160" s="19">
        <v>-941.27</v>
      </c>
      <c r="W160" s="19">
        <v>-6588.880000000001</v>
      </c>
      <c r="X160" t="s">
        <v>462</v>
      </c>
    </row>
    <row r="161" spans="2:24" x14ac:dyDescent="0.35">
      <c r="B161">
        <v>2026</v>
      </c>
      <c r="C161" t="s">
        <v>75</v>
      </c>
      <c r="D161" t="s">
        <v>76</v>
      </c>
      <c r="E161" t="s">
        <v>77</v>
      </c>
      <c r="F161" t="s">
        <v>78</v>
      </c>
      <c r="G161" t="s">
        <v>141</v>
      </c>
      <c r="H161" t="s">
        <v>199</v>
      </c>
      <c r="I161" t="s">
        <v>204</v>
      </c>
      <c r="J161" t="s">
        <v>239</v>
      </c>
      <c r="K161" s="19">
        <v>-48</v>
      </c>
      <c r="L161" s="19">
        <v>0</v>
      </c>
      <c r="M161" s="19">
        <v>0</v>
      </c>
      <c r="N161" s="19">
        <v>0</v>
      </c>
      <c r="O161" s="156">
        <v>-144</v>
      </c>
      <c r="P161" s="19" t="s">
        <v>397</v>
      </c>
      <c r="Q161" s="19">
        <v>0</v>
      </c>
      <c r="R161" s="19">
        <v>0</v>
      </c>
      <c r="S161" s="19">
        <v>-96</v>
      </c>
      <c r="T161" s="19">
        <v>-96</v>
      </c>
      <c r="U161" s="19">
        <v>-96</v>
      </c>
      <c r="V161" s="19">
        <v>-96</v>
      </c>
      <c r="W161" s="19">
        <v>-576</v>
      </c>
      <c r="X161" t="s">
        <v>462</v>
      </c>
    </row>
    <row r="162" spans="2:24" x14ac:dyDescent="0.35">
      <c r="B162">
        <v>2026</v>
      </c>
      <c r="C162" t="s">
        <v>75</v>
      </c>
      <c r="D162" t="s">
        <v>76</v>
      </c>
      <c r="E162" t="s">
        <v>77</v>
      </c>
      <c r="F162" t="s">
        <v>78</v>
      </c>
      <c r="G162" t="s">
        <v>141</v>
      </c>
      <c r="H162" t="s">
        <v>199</v>
      </c>
      <c r="I162" t="s">
        <v>205</v>
      </c>
      <c r="J162" t="s">
        <v>239</v>
      </c>
      <c r="K162" s="19">
        <v>-7569.69</v>
      </c>
      <c r="L162" s="19">
        <v>1670.07</v>
      </c>
      <c r="M162" s="19">
        <v>-1388.15</v>
      </c>
      <c r="N162" s="19">
        <v>-1276.52</v>
      </c>
      <c r="O162" s="156">
        <v>-545.44999999999993</v>
      </c>
      <c r="P162" s="19">
        <v>-1758.33</v>
      </c>
      <c r="Q162" s="19">
        <v>-11469.318783520101</v>
      </c>
      <c r="R162" s="19">
        <v>667.67211181104619</v>
      </c>
      <c r="S162" s="19">
        <v>-2500</v>
      </c>
      <c r="T162" s="19">
        <v>-2800</v>
      </c>
      <c r="U162" s="19">
        <v>-3000</v>
      </c>
      <c r="V162" s="19">
        <v>-3200</v>
      </c>
      <c r="W162" s="19">
        <v>-33169.716671709059</v>
      </c>
      <c r="X162" t="s">
        <v>463</v>
      </c>
    </row>
    <row r="163" spans="2:24" x14ac:dyDescent="0.35">
      <c r="B163">
        <v>2026</v>
      </c>
      <c r="C163" t="s">
        <v>75</v>
      </c>
      <c r="D163" t="s">
        <v>76</v>
      </c>
      <c r="E163" t="s">
        <v>77</v>
      </c>
      <c r="F163" t="s">
        <v>78</v>
      </c>
      <c r="G163" t="s">
        <v>141</v>
      </c>
      <c r="H163" t="s">
        <v>199</v>
      </c>
      <c r="I163" t="s">
        <v>206</v>
      </c>
      <c r="J163" t="s">
        <v>239</v>
      </c>
      <c r="K163" s="19">
        <v>-1148.29</v>
      </c>
      <c r="L163" s="19">
        <v>0</v>
      </c>
      <c r="M163" s="19">
        <v>-600</v>
      </c>
      <c r="N163" s="19">
        <v>-945</v>
      </c>
      <c r="O163" s="156" t="s">
        <v>397</v>
      </c>
      <c r="P163" s="19" t="s">
        <v>397</v>
      </c>
      <c r="Q163" s="19">
        <v>-514</v>
      </c>
      <c r="R163" s="19">
        <v>0</v>
      </c>
      <c r="S163" s="19">
        <v>-801.82</v>
      </c>
      <c r="T163" s="19">
        <v>-801.82</v>
      </c>
      <c r="U163" s="19">
        <v>-801.82</v>
      </c>
      <c r="V163" s="19">
        <v>-801.82</v>
      </c>
      <c r="W163" s="19">
        <v>-6414.57</v>
      </c>
      <c r="X163" t="s">
        <v>462</v>
      </c>
    </row>
    <row r="164" spans="2:24" x14ac:dyDescent="0.35">
      <c r="B164">
        <v>2026</v>
      </c>
      <c r="C164" t="s">
        <v>75</v>
      </c>
      <c r="D164" t="s">
        <v>76</v>
      </c>
      <c r="E164" t="s">
        <v>77</v>
      </c>
      <c r="F164" t="s">
        <v>78</v>
      </c>
      <c r="G164" t="s">
        <v>141</v>
      </c>
      <c r="H164" t="s">
        <v>199</v>
      </c>
      <c r="I164" t="s">
        <v>207</v>
      </c>
      <c r="J164" t="s">
        <v>239</v>
      </c>
      <c r="K164" s="19">
        <v>0</v>
      </c>
      <c r="L164" s="19">
        <v>0</v>
      </c>
      <c r="M164" s="19">
        <v>0</v>
      </c>
      <c r="N164" s="19">
        <v>0</v>
      </c>
      <c r="O164" s="156">
        <v>0</v>
      </c>
      <c r="P164" s="19" t="s">
        <v>397</v>
      </c>
      <c r="Q164" s="19">
        <v>-90</v>
      </c>
      <c r="R164" s="19">
        <v>0</v>
      </c>
      <c r="S164" s="19">
        <v>-90</v>
      </c>
      <c r="T164" s="19">
        <v>-90</v>
      </c>
      <c r="U164" s="19">
        <v>-90</v>
      </c>
      <c r="V164" s="19">
        <v>-90</v>
      </c>
      <c r="W164" s="19">
        <v>-450</v>
      </c>
      <c r="X164" t="s">
        <v>462</v>
      </c>
    </row>
    <row r="165" spans="2:24" x14ac:dyDescent="0.35">
      <c r="B165">
        <v>2026</v>
      </c>
      <c r="C165" t="s">
        <v>75</v>
      </c>
      <c r="D165" t="s">
        <v>76</v>
      </c>
      <c r="E165" t="s">
        <v>77</v>
      </c>
      <c r="F165" t="s">
        <v>78</v>
      </c>
      <c r="G165" t="s">
        <v>141</v>
      </c>
      <c r="H165" t="s">
        <v>199</v>
      </c>
      <c r="I165" t="s">
        <v>208</v>
      </c>
      <c r="J165" t="s">
        <v>239</v>
      </c>
      <c r="K165" s="19">
        <v>-1233.23</v>
      </c>
      <c r="L165" s="19">
        <v>0</v>
      </c>
      <c r="M165" s="19">
        <v>29.06</v>
      </c>
      <c r="N165" s="19">
        <v>46.51</v>
      </c>
      <c r="O165" s="156">
        <v>29.06</v>
      </c>
      <c r="P165" s="19" t="s">
        <v>397</v>
      </c>
      <c r="Q165" s="19">
        <v>-2125.27</v>
      </c>
      <c r="R165" s="19">
        <v>-1663.31</v>
      </c>
      <c r="S165" s="19">
        <v>-819.53</v>
      </c>
      <c r="T165" s="19">
        <v>-819.53</v>
      </c>
      <c r="U165" s="19">
        <v>-819.53</v>
      </c>
      <c r="V165" s="19">
        <v>-819.53</v>
      </c>
      <c r="W165" s="19">
        <v>-8195.2999999999993</v>
      </c>
      <c r="X165" t="s">
        <v>462</v>
      </c>
    </row>
    <row r="166" spans="2:24" x14ac:dyDescent="0.35">
      <c r="B166">
        <v>2026</v>
      </c>
      <c r="C166" t="s">
        <v>75</v>
      </c>
      <c r="D166" t="s">
        <v>76</v>
      </c>
      <c r="E166" t="s">
        <v>77</v>
      </c>
      <c r="F166" t="s">
        <v>78</v>
      </c>
      <c r="G166" t="s">
        <v>141</v>
      </c>
      <c r="H166" t="s">
        <v>199</v>
      </c>
      <c r="I166" t="s">
        <v>209</v>
      </c>
      <c r="J166" t="s">
        <v>239</v>
      </c>
      <c r="K166" s="19">
        <v>-425</v>
      </c>
      <c r="L166" s="19">
        <v>0</v>
      </c>
      <c r="M166" s="19">
        <v>0</v>
      </c>
      <c r="N166" s="19">
        <v>-35.25</v>
      </c>
      <c r="O166" s="156">
        <v>-425</v>
      </c>
      <c r="P166" s="19" t="s">
        <v>397</v>
      </c>
      <c r="Q166" s="19">
        <v>0</v>
      </c>
      <c r="R166" s="19">
        <v>0</v>
      </c>
      <c r="S166" s="19">
        <v>-295.08</v>
      </c>
      <c r="T166" s="19">
        <v>-295.08</v>
      </c>
      <c r="U166" s="19">
        <v>-295.08</v>
      </c>
      <c r="V166" s="19">
        <v>-295.08</v>
      </c>
      <c r="W166" s="19">
        <v>-2065.5699999999997</v>
      </c>
      <c r="X166" t="s">
        <v>462</v>
      </c>
    </row>
    <row r="167" spans="2:24" x14ac:dyDescent="0.35">
      <c r="B167">
        <v>2026</v>
      </c>
      <c r="C167" t="s">
        <v>75</v>
      </c>
      <c r="D167" t="s">
        <v>76</v>
      </c>
      <c r="E167" t="s">
        <v>77</v>
      </c>
      <c r="F167" t="s">
        <v>78</v>
      </c>
      <c r="G167" t="s">
        <v>141</v>
      </c>
      <c r="H167" t="s">
        <v>199</v>
      </c>
      <c r="I167" t="s">
        <v>210</v>
      </c>
      <c r="J167" t="s">
        <v>239</v>
      </c>
      <c r="K167" s="19">
        <v>-808.04</v>
      </c>
      <c r="L167" s="19">
        <v>-2163.44</v>
      </c>
      <c r="M167" s="19">
        <v>-2173.63</v>
      </c>
      <c r="N167" s="19">
        <v>-237.86</v>
      </c>
      <c r="O167" s="156">
        <v>-2671.84</v>
      </c>
      <c r="P167" s="19">
        <v>-503.74</v>
      </c>
      <c r="Q167" s="19">
        <v>-1117.8599999999999</v>
      </c>
      <c r="R167" s="19">
        <v>-932.8</v>
      </c>
      <c r="S167" s="19">
        <v>-1326.15</v>
      </c>
      <c r="T167" s="19">
        <v>-1326.15</v>
      </c>
      <c r="U167" s="19">
        <v>-1326.15</v>
      </c>
      <c r="V167" s="19">
        <v>-1326.15</v>
      </c>
      <c r="W167" s="19">
        <v>-15913.81</v>
      </c>
      <c r="X167" t="s">
        <v>462</v>
      </c>
    </row>
    <row r="168" spans="2:24" x14ac:dyDescent="0.35">
      <c r="B168">
        <v>2026</v>
      </c>
      <c r="C168" t="s">
        <v>75</v>
      </c>
      <c r="D168" t="s">
        <v>76</v>
      </c>
      <c r="E168" t="s">
        <v>77</v>
      </c>
      <c r="F168" t="s">
        <v>78</v>
      </c>
      <c r="G168" t="s">
        <v>141</v>
      </c>
      <c r="H168" t="s">
        <v>199</v>
      </c>
      <c r="I168" t="s">
        <v>211</v>
      </c>
      <c r="J168" t="s">
        <v>239</v>
      </c>
      <c r="K168" s="19">
        <v>0</v>
      </c>
      <c r="L168" s="19">
        <v>0</v>
      </c>
      <c r="M168" s="19">
        <v>-400</v>
      </c>
      <c r="N168" s="19">
        <v>0</v>
      </c>
      <c r="O168" s="156">
        <v>-625.20000000000005</v>
      </c>
      <c r="P168" s="19" t="s">
        <v>397</v>
      </c>
      <c r="Q168" s="19">
        <v>0</v>
      </c>
      <c r="R168" s="19">
        <v>-4513.8</v>
      </c>
      <c r="S168" s="19">
        <v>-1846.33</v>
      </c>
      <c r="T168" s="19">
        <v>-1846.33</v>
      </c>
      <c r="U168" s="19">
        <v>-1846.33</v>
      </c>
      <c r="V168" s="19">
        <v>-1846.33</v>
      </c>
      <c r="W168" s="19">
        <v>-12924.32</v>
      </c>
      <c r="X168" t="s">
        <v>462</v>
      </c>
    </row>
    <row r="169" spans="2:24" x14ac:dyDescent="0.35">
      <c r="B169">
        <v>2026</v>
      </c>
      <c r="C169" t="s">
        <v>75</v>
      </c>
      <c r="D169" t="s">
        <v>76</v>
      </c>
      <c r="E169" t="s">
        <v>77</v>
      </c>
      <c r="F169" t="s">
        <v>78</v>
      </c>
      <c r="G169" t="s">
        <v>141</v>
      </c>
      <c r="H169" t="s">
        <v>199</v>
      </c>
      <c r="I169" t="s">
        <v>212</v>
      </c>
      <c r="J169" t="s">
        <v>239</v>
      </c>
      <c r="K169" s="19">
        <v>0</v>
      </c>
      <c r="L169" s="19">
        <v>-351.4</v>
      </c>
      <c r="M169" s="19">
        <v>0</v>
      </c>
      <c r="N169" s="19">
        <v>0</v>
      </c>
      <c r="O169" s="156" t="s">
        <v>397</v>
      </c>
      <c r="P169" s="19" t="s">
        <v>397</v>
      </c>
      <c r="Q169" s="19">
        <v>-98.8</v>
      </c>
      <c r="R169" s="19">
        <v>-340</v>
      </c>
      <c r="S169" s="19">
        <v>-263.39999999999998</v>
      </c>
      <c r="T169" s="19">
        <v>-263.39999999999998</v>
      </c>
      <c r="U169" s="19">
        <v>-263.39999999999998</v>
      </c>
      <c r="V169" s="19">
        <v>-263.39999999999998</v>
      </c>
      <c r="W169" s="19">
        <v>-1843.8000000000002</v>
      </c>
      <c r="X169" t="s">
        <v>462</v>
      </c>
    </row>
    <row r="170" spans="2:24" x14ac:dyDescent="0.35">
      <c r="B170">
        <v>2026</v>
      </c>
      <c r="C170" t="s">
        <v>75</v>
      </c>
      <c r="D170" t="s">
        <v>76</v>
      </c>
      <c r="E170" t="s">
        <v>77</v>
      </c>
      <c r="F170" t="s">
        <v>78</v>
      </c>
      <c r="G170" t="s">
        <v>141</v>
      </c>
      <c r="H170" t="s">
        <v>199</v>
      </c>
      <c r="I170" t="s">
        <v>431</v>
      </c>
      <c r="J170" t="s">
        <v>239</v>
      </c>
      <c r="K170" s="19">
        <v>0</v>
      </c>
      <c r="L170" s="19">
        <v>0</v>
      </c>
      <c r="M170" s="19">
        <v>0</v>
      </c>
      <c r="N170" s="19">
        <v>0</v>
      </c>
      <c r="O170" s="156">
        <v>0</v>
      </c>
      <c r="P170" s="19">
        <v>0</v>
      </c>
      <c r="Q170" s="19">
        <v>-206.45</v>
      </c>
      <c r="R170" s="19">
        <v>-107.24</v>
      </c>
      <c r="S170" s="19">
        <v>-156.84</v>
      </c>
      <c r="T170" s="19">
        <v>-156.84</v>
      </c>
      <c r="U170" s="19">
        <v>-156.84</v>
      </c>
      <c r="V170" s="19">
        <v>-156.84</v>
      </c>
      <c r="W170" s="19">
        <v>-941.05000000000007</v>
      </c>
      <c r="X170" t="s">
        <v>462</v>
      </c>
    </row>
    <row r="171" spans="2:24" x14ac:dyDescent="0.35">
      <c r="B171">
        <v>2026</v>
      </c>
      <c r="C171" t="s">
        <v>75</v>
      </c>
      <c r="D171" t="s">
        <v>76</v>
      </c>
      <c r="E171" t="s">
        <v>77</v>
      </c>
      <c r="F171" t="s">
        <v>78</v>
      </c>
      <c r="G171" t="s">
        <v>141</v>
      </c>
      <c r="H171" t="s">
        <v>199</v>
      </c>
      <c r="I171" t="s">
        <v>435</v>
      </c>
      <c r="J171" t="s">
        <v>239</v>
      </c>
      <c r="K171" s="19"/>
      <c r="L171" s="19"/>
      <c r="M171" s="19"/>
      <c r="N171" s="19"/>
      <c r="P171" s="19"/>
      <c r="Q171" s="19"/>
      <c r="R171" s="19">
        <v>-500.03</v>
      </c>
      <c r="S171" s="19">
        <v>-500.03</v>
      </c>
      <c r="T171" s="19">
        <v>-500.03</v>
      </c>
      <c r="U171" s="19">
        <v>-500.03</v>
      </c>
      <c r="V171" s="19">
        <v>-500.03</v>
      </c>
      <c r="W171" s="19">
        <v>-2500.1499999999996</v>
      </c>
      <c r="X171" t="s">
        <v>462</v>
      </c>
    </row>
    <row r="172" spans="2:24" x14ac:dyDescent="0.35">
      <c r="B172">
        <v>2026</v>
      </c>
      <c r="C172" t="s">
        <v>75</v>
      </c>
      <c r="D172" t="s">
        <v>76</v>
      </c>
      <c r="E172" t="s">
        <v>77</v>
      </c>
      <c r="F172" t="s">
        <v>78</v>
      </c>
      <c r="G172" t="s">
        <v>141</v>
      </c>
      <c r="H172" t="s">
        <v>199</v>
      </c>
      <c r="I172" t="s">
        <v>213</v>
      </c>
      <c r="J172" t="s">
        <v>239</v>
      </c>
      <c r="K172" s="19">
        <v>-1325.34</v>
      </c>
      <c r="L172" s="19">
        <v>-2819.19</v>
      </c>
      <c r="M172" s="19">
        <v>-1737.88</v>
      </c>
      <c r="N172" s="19">
        <v>-1506.87</v>
      </c>
      <c r="O172" s="156">
        <v>-2533.9299999999998</v>
      </c>
      <c r="P172" s="19">
        <v>-5047.3500000000004</v>
      </c>
      <c r="Q172" s="19">
        <v>-6591.35</v>
      </c>
      <c r="R172" s="19">
        <v>-2380.04</v>
      </c>
      <c r="S172" s="19">
        <v>-2800</v>
      </c>
      <c r="T172" s="19">
        <v>-3200</v>
      </c>
      <c r="U172" s="19">
        <v>-3200</v>
      </c>
      <c r="V172" s="19">
        <v>-3500</v>
      </c>
      <c r="W172" s="19">
        <v>-36641.949999999997</v>
      </c>
      <c r="X172" t="s">
        <v>464</v>
      </c>
    </row>
    <row r="173" spans="2:24" x14ac:dyDescent="0.35">
      <c r="B173">
        <v>2026</v>
      </c>
      <c r="C173" t="s">
        <v>75</v>
      </c>
      <c r="D173" t="s">
        <v>76</v>
      </c>
      <c r="E173" t="s">
        <v>77</v>
      </c>
      <c r="F173" t="s">
        <v>78</v>
      </c>
      <c r="G173" t="s">
        <v>141</v>
      </c>
      <c r="H173" t="s">
        <v>199</v>
      </c>
      <c r="I173" t="s">
        <v>382</v>
      </c>
      <c r="J173" t="s">
        <v>239</v>
      </c>
      <c r="K173" s="19">
        <v>-3865.16</v>
      </c>
      <c r="L173" s="19">
        <v>34.200000000000003</v>
      </c>
      <c r="M173" s="19">
        <v>-1710.02</v>
      </c>
      <c r="N173" s="19">
        <v>-532.08000000000004</v>
      </c>
      <c r="O173" s="156">
        <v>-2522.2600000000002</v>
      </c>
      <c r="P173" s="19">
        <v>-4633.3500000000004</v>
      </c>
      <c r="Q173" s="19">
        <v>-2854.53</v>
      </c>
      <c r="R173" s="19">
        <v>-1290.01</v>
      </c>
      <c r="S173" s="19">
        <v>-2000</v>
      </c>
      <c r="T173" s="19">
        <v>-2300</v>
      </c>
      <c r="U173" s="19">
        <v>-2300</v>
      </c>
      <c r="V173" s="19">
        <v>-2500</v>
      </c>
      <c r="W173" s="19">
        <v>-26473.21</v>
      </c>
      <c r="X173" t="s">
        <v>465</v>
      </c>
    </row>
    <row r="174" spans="2:24" x14ac:dyDescent="0.35">
      <c r="B174">
        <v>2026</v>
      </c>
      <c r="C174" t="s">
        <v>75</v>
      </c>
      <c r="D174" t="s">
        <v>76</v>
      </c>
      <c r="E174" t="s">
        <v>77</v>
      </c>
      <c r="F174" t="s">
        <v>78</v>
      </c>
      <c r="G174" t="s">
        <v>141</v>
      </c>
      <c r="H174" t="s">
        <v>199</v>
      </c>
      <c r="I174" t="s">
        <v>214</v>
      </c>
      <c r="J174" t="s">
        <v>239</v>
      </c>
      <c r="K174" s="19">
        <v>-557.42999999999995</v>
      </c>
      <c r="L174" s="19">
        <v>-1592.89</v>
      </c>
      <c r="M174" s="19">
        <v>-800.56</v>
      </c>
      <c r="N174" s="19">
        <v>-929.26</v>
      </c>
      <c r="O174" s="156">
        <v>-1786.27</v>
      </c>
      <c r="P174" s="19">
        <v>-936.54</v>
      </c>
      <c r="Q174" s="19">
        <v>-759.39</v>
      </c>
      <c r="R174" s="19">
        <v>-1377.28</v>
      </c>
      <c r="S174" s="19">
        <v>-1092.45</v>
      </c>
      <c r="T174" s="19">
        <v>-1092.45</v>
      </c>
      <c r="U174" s="19">
        <v>-1092.45</v>
      </c>
      <c r="V174" s="19">
        <v>-1092.45</v>
      </c>
      <c r="W174" s="19">
        <v>-13109.420000000004</v>
      </c>
      <c r="X174" t="s">
        <v>462</v>
      </c>
    </row>
    <row r="175" spans="2:24" x14ac:dyDescent="0.35">
      <c r="B175">
        <v>2026</v>
      </c>
      <c r="C175" t="s">
        <v>75</v>
      </c>
      <c r="D175" t="s">
        <v>76</v>
      </c>
      <c r="E175" t="s">
        <v>77</v>
      </c>
      <c r="F175" t="s">
        <v>78</v>
      </c>
      <c r="G175" t="s">
        <v>141</v>
      </c>
      <c r="H175" t="s">
        <v>199</v>
      </c>
      <c r="I175" t="s">
        <v>215</v>
      </c>
      <c r="J175" t="s">
        <v>239</v>
      </c>
      <c r="K175" s="19">
        <v>-274.08</v>
      </c>
      <c r="L175" s="19">
        <v>-503.96</v>
      </c>
      <c r="M175" s="19">
        <v>-762.8</v>
      </c>
      <c r="N175" s="19">
        <v>-391.86</v>
      </c>
      <c r="O175" s="156">
        <v>-3016.62</v>
      </c>
      <c r="P175" s="19">
        <v>-553.36</v>
      </c>
      <c r="Q175" s="19">
        <v>-614.65</v>
      </c>
      <c r="R175" s="19">
        <v>-283.02999999999997</v>
      </c>
      <c r="S175" s="19">
        <v>-800.04</v>
      </c>
      <c r="T175" s="19">
        <v>-800.04</v>
      </c>
      <c r="U175" s="19">
        <v>-800.04</v>
      </c>
      <c r="V175" s="19">
        <v>-800.04</v>
      </c>
      <c r="W175" s="19">
        <v>-9600.52</v>
      </c>
      <c r="X175" t="s">
        <v>462</v>
      </c>
    </row>
    <row r="176" spans="2:24" x14ac:dyDescent="0.35">
      <c r="B176">
        <v>2026</v>
      </c>
      <c r="C176" t="s">
        <v>75</v>
      </c>
      <c r="D176" t="s">
        <v>76</v>
      </c>
      <c r="E176" t="s">
        <v>77</v>
      </c>
      <c r="F176" t="s">
        <v>78</v>
      </c>
      <c r="G176" t="s">
        <v>141</v>
      </c>
      <c r="H176" t="s">
        <v>199</v>
      </c>
      <c r="I176" t="s">
        <v>216</v>
      </c>
      <c r="J176" t="s">
        <v>239</v>
      </c>
      <c r="K176" s="19">
        <v>-313.19</v>
      </c>
      <c r="L176" s="19">
        <v>-219.25</v>
      </c>
      <c r="M176" s="19">
        <v>-436.29</v>
      </c>
      <c r="N176" s="19">
        <v>-325.14999999999998</v>
      </c>
      <c r="O176" s="156">
        <v>-506.79</v>
      </c>
      <c r="P176" s="19">
        <v>-887.3</v>
      </c>
      <c r="Q176" s="19">
        <v>-413.5</v>
      </c>
      <c r="R176" s="19">
        <v>-281.24</v>
      </c>
      <c r="S176" s="19">
        <v>-422.84</v>
      </c>
      <c r="T176" s="19">
        <v>-422.84</v>
      </c>
      <c r="U176" s="19">
        <v>-422.84</v>
      </c>
      <c r="V176" s="19">
        <v>-422.84</v>
      </c>
      <c r="W176" s="19">
        <v>-5074.0700000000006</v>
      </c>
      <c r="X176" t="s">
        <v>462</v>
      </c>
    </row>
    <row r="177" spans="2:24" x14ac:dyDescent="0.35">
      <c r="B177">
        <v>2026</v>
      </c>
      <c r="C177" t="s">
        <v>75</v>
      </c>
      <c r="D177" t="s">
        <v>76</v>
      </c>
      <c r="E177" t="s">
        <v>77</v>
      </c>
      <c r="F177" t="s">
        <v>78</v>
      </c>
      <c r="G177" t="s">
        <v>141</v>
      </c>
      <c r="H177" t="s">
        <v>199</v>
      </c>
      <c r="I177" t="s">
        <v>217</v>
      </c>
      <c r="J177" t="s">
        <v>239</v>
      </c>
      <c r="K177" s="19">
        <v>-118.28</v>
      </c>
      <c r="L177" s="19">
        <v>0</v>
      </c>
      <c r="M177" s="19">
        <v>-301.79000000000002</v>
      </c>
      <c r="N177" s="19">
        <v>-166.56</v>
      </c>
      <c r="O177" s="19">
        <v>-222.62</v>
      </c>
      <c r="P177" s="19">
        <v>-202.95</v>
      </c>
      <c r="Q177" s="19" t="s">
        <v>432</v>
      </c>
      <c r="R177" s="19">
        <v>0</v>
      </c>
      <c r="S177" s="19">
        <v>-202.44</v>
      </c>
      <c r="T177" s="19">
        <v>-202.44</v>
      </c>
      <c r="U177" s="19">
        <v>-202.44</v>
      </c>
      <c r="V177" s="19">
        <v>-202.44</v>
      </c>
      <c r="W177" s="19">
        <v>-1821.9600000000003</v>
      </c>
      <c r="X177" t="s">
        <v>462</v>
      </c>
    </row>
    <row r="178" spans="2:24" x14ac:dyDescent="0.35">
      <c r="B178">
        <v>2026</v>
      </c>
      <c r="C178" t="s">
        <v>75</v>
      </c>
      <c r="D178" t="s">
        <v>76</v>
      </c>
      <c r="E178" t="s">
        <v>77</v>
      </c>
      <c r="F178" t="s">
        <v>78</v>
      </c>
      <c r="G178" t="s">
        <v>141</v>
      </c>
      <c r="H178" t="s">
        <v>199</v>
      </c>
      <c r="I178" t="s">
        <v>218</v>
      </c>
      <c r="J178" t="s">
        <v>239</v>
      </c>
      <c r="K178" s="19">
        <v>-210.18</v>
      </c>
      <c r="L178" s="19">
        <v>0</v>
      </c>
      <c r="M178" s="19">
        <v>-33.06</v>
      </c>
      <c r="N178" s="19">
        <v>0</v>
      </c>
      <c r="O178" s="19" t="s">
        <v>397</v>
      </c>
      <c r="P178" s="19">
        <v>-20.5</v>
      </c>
      <c r="Q178" s="19" t="s">
        <v>432</v>
      </c>
      <c r="R178" s="19">
        <v>-100.45</v>
      </c>
      <c r="S178" s="19">
        <v>-91.05</v>
      </c>
      <c r="T178" s="19">
        <v>-91.05</v>
      </c>
      <c r="U178" s="19">
        <v>-91.05</v>
      </c>
      <c r="V178" s="19">
        <v>-91.05</v>
      </c>
      <c r="W178" s="19">
        <v>-728.38999999999987</v>
      </c>
      <c r="X178" t="s">
        <v>462</v>
      </c>
    </row>
    <row r="179" spans="2:24" x14ac:dyDescent="0.35">
      <c r="B179">
        <v>2026</v>
      </c>
      <c r="C179" t="s">
        <v>75</v>
      </c>
      <c r="D179" t="s">
        <v>76</v>
      </c>
      <c r="E179" t="s">
        <v>77</v>
      </c>
      <c r="F179" t="s">
        <v>78</v>
      </c>
      <c r="G179" t="s">
        <v>141</v>
      </c>
      <c r="H179" t="s">
        <v>199</v>
      </c>
      <c r="I179" t="s">
        <v>436</v>
      </c>
      <c r="J179" t="s">
        <v>239</v>
      </c>
      <c r="K179" s="19"/>
      <c r="L179" s="19"/>
      <c r="M179" s="19"/>
      <c r="N179" s="19"/>
      <c r="P179" s="19"/>
      <c r="Q179" s="19"/>
      <c r="R179" s="19">
        <v>-141.13999999999999</v>
      </c>
      <c r="S179" s="19">
        <v>-141.13999999999999</v>
      </c>
      <c r="T179" s="19">
        <v>-141.13999999999999</v>
      </c>
      <c r="U179" s="19">
        <v>-141.13999999999999</v>
      </c>
      <c r="V179" s="19">
        <v>-141.13999999999999</v>
      </c>
      <c r="W179" s="19">
        <v>-705.69999999999993</v>
      </c>
      <c r="X179" t="s">
        <v>462</v>
      </c>
    </row>
    <row r="180" spans="2:24" x14ac:dyDescent="0.35">
      <c r="B180">
        <v>2026</v>
      </c>
      <c r="C180" t="s">
        <v>75</v>
      </c>
      <c r="D180" t="s">
        <v>76</v>
      </c>
      <c r="E180" t="s">
        <v>77</v>
      </c>
      <c r="F180" t="s">
        <v>78</v>
      </c>
      <c r="G180" t="s">
        <v>141</v>
      </c>
      <c r="H180" t="s">
        <v>219</v>
      </c>
      <c r="I180" t="s">
        <v>383</v>
      </c>
      <c r="J180" t="s">
        <v>239</v>
      </c>
      <c r="K180" s="19">
        <v>0</v>
      </c>
      <c r="L180" s="19">
        <v>0</v>
      </c>
      <c r="M180" s="19">
        <v>0</v>
      </c>
      <c r="N180" s="19">
        <v>-284.56</v>
      </c>
      <c r="O180" s="156">
        <v>-27.57</v>
      </c>
      <c r="P180" s="19" t="s">
        <v>397</v>
      </c>
      <c r="Q180" s="19">
        <v>0</v>
      </c>
      <c r="R180" s="19">
        <v>0</v>
      </c>
      <c r="S180" s="19">
        <v>-156.06</v>
      </c>
      <c r="T180" s="19">
        <v>-156.06</v>
      </c>
      <c r="U180" s="19">
        <v>-156.06</v>
      </c>
      <c r="V180" s="19">
        <v>-156.06</v>
      </c>
      <c r="W180" s="19">
        <v>-936.36999999999989</v>
      </c>
      <c r="X180" t="s">
        <v>466</v>
      </c>
    </row>
    <row r="181" spans="2:24" x14ac:dyDescent="0.35">
      <c r="B181">
        <v>2026</v>
      </c>
      <c r="C181" t="s">
        <v>75</v>
      </c>
      <c r="D181" t="s">
        <v>76</v>
      </c>
      <c r="E181" t="s">
        <v>77</v>
      </c>
      <c r="F181" t="s">
        <v>78</v>
      </c>
      <c r="G181" t="s">
        <v>141</v>
      </c>
      <c r="H181" t="s">
        <v>219</v>
      </c>
      <c r="I181" t="s">
        <v>404</v>
      </c>
      <c r="J181" t="s">
        <v>239</v>
      </c>
      <c r="K181" s="19"/>
      <c r="L181" s="19"/>
      <c r="M181" s="19"/>
      <c r="N181" s="19"/>
      <c r="O181" s="156">
        <v>-581.49</v>
      </c>
      <c r="P181" s="19" t="s">
        <v>397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-581.49</v>
      </c>
      <c r="X181" t="s">
        <v>497</v>
      </c>
    </row>
    <row r="182" spans="2:24" x14ac:dyDescent="0.35">
      <c r="B182">
        <v>2026</v>
      </c>
      <c r="C182" t="s">
        <v>75</v>
      </c>
      <c r="D182" t="s">
        <v>76</v>
      </c>
      <c r="E182" t="s">
        <v>77</v>
      </c>
      <c r="F182" t="s">
        <v>78</v>
      </c>
      <c r="G182" t="s">
        <v>141</v>
      </c>
      <c r="H182" t="s">
        <v>219</v>
      </c>
      <c r="I182" t="s">
        <v>437</v>
      </c>
      <c r="J182" t="s">
        <v>239</v>
      </c>
      <c r="K182" s="19"/>
      <c r="L182" s="19"/>
      <c r="M182" s="19"/>
      <c r="N182" s="19"/>
      <c r="P182" s="19"/>
      <c r="Q182" s="19"/>
      <c r="R182" s="19">
        <v>-7396.59</v>
      </c>
      <c r="S182" s="19">
        <v>0</v>
      </c>
      <c r="T182" s="19">
        <v>0</v>
      </c>
      <c r="U182" s="19">
        <v>0</v>
      </c>
      <c r="V182" s="19">
        <v>0</v>
      </c>
      <c r="W182" s="19">
        <v>-7396.59</v>
      </c>
      <c r="X182" t="s">
        <v>498</v>
      </c>
    </row>
    <row r="183" spans="2:24" x14ac:dyDescent="0.35">
      <c r="B183">
        <v>2026</v>
      </c>
      <c r="C183" t="s">
        <v>75</v>
      </c>
      <c r="D183" t="s">
        <v>76</v>
      </c>
      <c r="E183" t="s">
        <v>77</v>
      </c>
      <c r="F183" t="s">
        <v>78</v>
      </c>
      <c r="G183" t="s">
        <v>141</v>
      </c>
      <c r="H183" t="s">
        <v>219</v>
      </c>
      <c r="I183" t="s">
        <v>220</v>
      </c>
      <c r="J183" t="s">
        <v>239</v>
      </c>
      <c r="K183" s="19">
        <v>-5921.54</v>
      </c>
      <c r="L183" s="19">
        <v>-1801.72</v>
      </c>
      <c r="M183" s="19">
        <v>-2503.2199999999998</v>
      </c>
      <c r="N183" s="19">
        <v>-285.97000000000003</v>
      </c>
      <c r="O183" s="156">
        <v>-159.84</v>
      </c>
      <c r="P183" s="19">
        <v>-4575.29</v>
      </c>
      <c r="Q183" s="19">
        <v>-5203.66</v>
      </c>
      <c r="R183" s="19">
        <v>-838.08</v>
      </c>
      <c r="S183" s="19">
        <v>-1190.6099999999999</v>
      </c>
      <c r="T183" s="19">
        <v>-2182.79</v>
      </c>
      <c r="U183" s="19">
        <v>-2976.53</v>
      </c>
      <c r="V183" s="19">
        <v>-3174.97</v>
      </c>
      <c r="W183" s="19">
        <v>-30814.22</v>
      </c>
      <c r="X183" t="s">
        <v>467</v>
      </c>
    </row>
    <row r="184" spans="2:24" x14ac:dyDescent="0.35">
      <c r="B184">
        <v>2026</v>
      </c>
      <c r="C184" t="s">
        <v>75</v>
      </c>
      <c r="D184" t="s">
        <v>76</v>
      </c>
      <c r="E184" t="s">
        <v>77</v>
      </c>
      <c r="F184" t="s">
        <v>78</v>
      </c>
      <c r="G184" t="s">
        <v>141</v>
      </c>
      <c r="H184" t="s">
        <v>221</v>
      </c>
      <c r="I184" t="s">
        <v>222</v>
      </c>
      <c r="J184" t="s">
        <v>239</v>
      </c>
      <c r="K184" s="19">
        <v>-693.91</v>
      </c>
      <c r="L184" s="19">
        <v>-557.9</v>
      </c>
      <c r="M184" s="19">
        <v>-881.48</v>
      </c>
      <c r="N184" s="19">
        <v>-630.79</v>
      </c>
      <c r="O184" s="156" t="s">
        <v>397</v>
      </c>
      <c r="P184" s="19" t="s">
        <v>397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-2764.08</v>
      </c>
      <c r="X184" t="s">
        <v>499</v>
      </c>
    </row>
    <row r="185" spans="2:24" x14ac:dyDescent="0.35">
      <c r="B185">
        <v>2026</v>
      </c>
      <c r="C185" t="s">
        <v>75</v>
      </c>
      <c r="D185" t="s">
        <v>76</v>
      </c>
      <c r="E185" t="s">
        <v>77</v>
      </c>
      <c r="F185" t="s">
        <v>78</v>
      </c>
      <c r="G185" t="s">
        <v>141</v>
      </c>
      <c r="H185" t="s">
        <v>418</v>
      </c>
      <c r="I185" t="s">
        <v>417</v>
      </c>
      <c r="J185" t="s">
        <v>239</v>
      </c>
      <c r="K185" s="19"/>
      <c r="L185" s="19"/>
      <c r="M185" s="19"/>
      <c r="N185" s="19"/>
      <c r="P185" s="19">
        <v>-211.6</v>
      </c>
      <c r="Q185" s="19" t="s">
        <v>432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-211.6</v>
      </c>
      <c r="X185" t="s">
        <v>500</v>
      </c>
    </row>
    <row r="186" spans="2:24" x14ac:dyDescent="0.35">
      <c r="B186">
        <v>2026</v>
      </c>
      <c r="C186" t="s">
        <v>75</v>
      </c>
      <c r="D186" t="s">
        <v>76</v>
      </c>
      <c r="E186" t="s">
        <v>77</v>
      </c>
      <c r="F186" t="s">
        <v>78</v>
      </c>
      <c r="G186" t="s">
        <v>223</v>
      </c>
      <c r="H186" t="s">
        <v>224</v>
      </c>
      <c r="I186" t="s">
        <v>225</v>
      </c>
      <c r="J186" t="s">
        <v>239</v>
      </c>
      <c r="K186" s="19">
        <v>-3154.35</v>
      </c>
      <c r="L186" s="19">
        <v>-3154.35</v>
      </c>
      <c r="M186" s="19">
        <v>-3154.35</v>
      </c>
      <c r="N186" s="19">
        <v>-3154.35</v>
      </c>
      <c r="O186" s="156">
        <v>-3154.35</v>
      </c>
      <c r="P186" s="19">
        <v>-3154.35</v>
      </c>
      <c r="Q186" s="19">
        <v>-3154.35</v>
      </c>
      <c r="R186" s="19">
        <v>-3154.35</v>
      </c>
      <c r="S186" s="19">
        <v>-3154.35</v>
      </c>
      <c r="T186" s="19">
        <v>-3154.35</v>
      </c>
      <c r="U186" s="19">
        <v>-3154.35</v>
      </c>
      <c r="V186" s="19">
        <v>-3154.35</v>
      </c>
      <c r="W186" s="19">
        <v>-37852.19999999999</v>
      </c>
      <c r="X186" t="s">
        <v>468</v>
      </c>
    </row>
    <row r="187" spans="2:24" x14ac:dyDescent="0.35">
      <c r="B187">
        <v>2026</v>
      </c>
      <c r="C187" t="s">
        <v>75</v>
      </c>
      <c r="D187" t="s">
        <v>76</v>
      </c>
      <c r="E187" t="s">
        <v>77</v>
      </c>
      <c r="F187" t="s">
        <v>78</v>
      </c>
      <c r="G187" t="s">
        <v>223</v>
      </c>
      <c r="H187" t="s">
        <v>224</v>
      </c>
      <c r="I187" t="s">
        <v>384</v>
      </c>
      <c r="J187" t="s">
        <v>239</v>
      </c>
      <c r="K187" s="19">
        <v>-6245.7</v>
      </c>
      <c r="L187" s="19">
        <v>-6245.7</v>
      </c>
      <c r="M187" s="19">
        <v>-5719.74</v>
      </c>
      <c r="N187" s="19">
        <v>-5719.74</v>
      </c>
      <c r="O187" s="156">
        <v>-5719.74</v>
      </c>
      <c r="P187" s="19">
        <v>-5719.74</v>
      </c>
      <c r="Q187" s="19">
        <v>-5772.02</v>
      </c>
      <c r="R187" s="19">
        <v>-5772.02</v>
      </c>
      <c r="S187" s="19">
        <v>-5772</v>
      </c>
      <c r="T187" s="19">
        <v>-5772</v>
      </c>
      <c r="U187" s="19">
        <v>-5772</v>
      </c>
      <c r="V187" s="19">
        <v>-5772</v>
      </c>
      <c r="W187" s="19">
        <v>-70002.399999999994</v>
      </c>
      <c r="X187" t="s">
        <v>468</v>
      </c>
    </row>
    <row r="188" spans="2:24" x14ac:dyDescent="0.35">
      <c r="B188">
        <v>2026</v>
      </c>
      <c r="C188" t="s">
        <v>75</v>
      </c>
      <c r="D188" t="s">
        <v>76</v>
      </c>
      <c r="E188" t="s">
        <v>77</v>
      </c>
      <c r="F188" t="s">
        <v>78</v>
      </c>
      <c r="G188" t="s">
        <v>223</v>
      </c>
      <c r="H188" t="s">
        <v>224</v>
      </c>
      <c r="I188" t="s">
        <v>226</v>
      </c>
      <c r="J188" t="s">
        <v>239</v>
      </c>
      <c r="K188" s="19">
        <v>-6398.5</v>
      </c>
      <c r="L188" s="19">
        <v>-6398.5</v>
      </c>
      <c r="M188" s="19">
        <v>-6398.5</v>
      </c>
      <c r="N188" s="19">
        <v>-6398.5</v>
      </c>
      <c r="O188" s="156">
        <v>-6398.5</v>
      </c>
      <c r="P188" s="19">
        <v>-6410.5</v>
      </c>
      <c r="Q188" s="19">
        <v>-6419.19</v>
      </c>
      <c r="R188" s="19">
        <v>-6419.19</v>
      </c>
      <c r="S188" s="19">
        <v>-6419</v>
      </c>
      <c r="T188" s="19">
        <v>-6419</v>
      </c>
      <c r="U188" s="19">
        <v>-6419</v>
      </c>
      <c r="V188" s="19">
        <v>-6419</v>
      </c>
      <c r="W188" s="19">
        <v>-76917.38</v>
      </c>
      <c r="X188" t="s">
        <v>468</v>
      </c>
    </row>
    <row r="189" spans="2:24" x14ac:dyDescent="0.35">
      <c r="B189">
        <v>2026</v>
      </c>
      <c r="C189" t="s">
        <v>75</v>
      </c>
      <c r="D189" t="s">
        <v>76</v>
      </c>
      <c r="E189" t="s">
        <v>77</v>
      </c>
      <c r="F189" t="s">
        <v>78</v>
      </c>
      <c r="G189" t="s">
        <v>223</v>
      </c>
      <c r="H189" t="s">
        <v>224</v>
      </c>
      <c r="I189" t="s">
        <v>385</v>
      </c>
      <c r="J189" t="s">
        <v>239</v>
      </c>
      <c r="K189" s="19">
        <v>-1522.43</v>
      </c>
      <c r="L189" s="19">
        <v>-1522.43</v>
      </c>
      <c r="M189" s="19">
        <v>-1522.43</v>
      </c>
      <c r="N189" s="19">
        <v>-1522.43</v>
      </c>
      <c r="O189" s="156">
        <v>-1522.43</v>
      </c>
      <c r="P189" s="19">
        <v>-1631.75</v>
      </c>
      <c r="Q189" s="19">
        <v>-1642.07</v>
      </c>
      <c r="R189" s="19">
        <v>-1642.07</v>
      </c>
      <c r="S189" s="19">
        <v>-1642</v>
      </c>
      <c r="T189" s="19">
        <v>-1642</v>
      </c>
      <c r="U189" s="19">
        <v>-1642</v>
      </c>
      <c r="V189" s="19">
        <v>-1642</v>
      </c>
      <c r="W189" s="19">
        <v>-19096.04</v>
      </c>
      <c r="X189" t="s">
        <v>468</v>
      </c>
    </row>
    <row r="190" spans="2:24" x14ac:dyDescent="0.35">
      <c r="B190">
        <v>2026</v>
      </c>
      <c r="C190" t="s">
        <v>75</v>
      </c>
      <c r="D190" t="s">
        <v>76</v>
      </c>
      <c r="E190" t="s">
        <v>77</v>
      </c>
      <c r="F190" t="s">
        <v>78</v>
      </c>
      <c r="G190" t="s">
        <v>223</v>
      </c>
      <c r="H190" t="s">
        <v>224</v>
      </c>
      <c r="I190" t="s">
        <v>227</v>
      </c>
      <c r="J190" t="s">
        <v>239</v>
      </c>
      <c r="K190" s="19">
        <v>-1325.66</v>
      </c>
      <c r="L190" s="19">
        <v>-1325.66</v>
      </c>
      <c r="M190" s="19">
        <v>-1325.66</v>
      </c>
      <c r="N190" s="19">
        <v>-1325.66</v>
      </c>
      <c r="O190" s="156">
        <v>-1325.66</v>
      </c>
      <c r="P190" s="19">
        <v>-1337.16</v>
      </c>
      <c r="Q190" s="19">
        <v>-1337.16</v>
      </c>
      <c r="R190" s="19">
        <v>-1337.16</v>
      </c>
      <c r="S190" s="19">
        <v>-1337</v>
      </c>
      <c r="T190" s="19">
        <v>-1337</v>
      </c>
      <c r="U190" s="19">
        <v>-1337</v>
      </c>
      <c r="V190" s="19">
        <v>-1337</v>
      </c>
      <c r="W190" s="19">
        <v>-15987.78</v>
      </c>
      <c r="X190" t="s">
        <v>468</v>
      </c>
    </row>
    <row r="191" spans="2:24" x14ac:dyDescent="0.35">
      <c r="B191">
        <v>2026</v>
      </c>
      <c r="C191" t="s">
        <v>75</v>
      </c>
      <c r="D191" t="s">
        <v>76</v>
      </c>
      <c r="E191" t="s">
        <v>77</v>
      </c>
      <c r="F191" t="s">
        <v>78</v>
      </c>
      <c r="G191" t="s">
        <v>223</v>
      </c>
      <c r="H191" t="s">
        <v>224</v>
      </c>
      <c r="I191" t="s">
        <v>386</v>
      </c>
      <c r="J191" t="s">
        <v>239</v>
      </c>
      <c r="K191" s="19">
        <v>-448.73</v>
      </c>
      <c r="L191" s="19">
        <v>-448.73</v>
      </c>
      <c r="M191" s="19">
        <v>-745.37</v>
      </c>
      <c r="N191" s="19">
        <v>-745.37</v>
      </c>
      <c r="O191" s="156">
        <v>-937.75</v>
      </c>
      <c r="P191" s="19">
        <v>-848</v>
      </c>
      <c r="Q191" s="19">
        <v>-855.5</v>
      </c>
      <c r="R191" s="19">
        <v>-855.5</v>
      </c>
      <c r="S191" s="19">
        <v>-856</v>
      </c>
      <c r="T191" s="19">
        <v>-856</v>
      </c>
      <c r="U191" s="19">
        <v>-856</v>
      </c>
      <c r="V191" s="19">
        <v>-856</v>
      </c>
      <c r="W191" s="19">
        <v>-9308.9500000000007</v>
      </c>
      <c r="X191" t="s">
        <v>468</v>
      </c>
    </row>
    <row r="192" spans="2:24" x14ac:dyDescent="0.35">
      <c r="B192">
        <v>2026</v>
      </c>
      <c r="C192" t="s">
        <v>75</v>
      </c>
      <c r="D192" t="s">
        <v>76</v>
      </c>
      <c r="E192" t="s">
        <v>77</v>
      </c>
      <c r="F192" t="s">
        <v>78</v>
      </c>
      <c r="G192" t="s">
        <v>223</v>
      </c>
      <c r="H192" t="s">
        <v>224</v>
      </c>
      <c r="I192" t="s">
        <v>387</v>
      </c>
      <c r="J192" t="s">
        <v>239</v>
      </c>
      <c r="K192" s="19">
        <v>-37.5</v>
      </c>
      <c r="L192" s="19">
        <v>-37.5</v>
      </c>
      <c r="M192" s="19">
        <v>-37.5</v>
      </c>
      <c r="N192" s="19">
        <v>-37.5</v>
      </c>
      <c r="O192" s="156">
        <v>-131.25</v>
      </c>
      <c r="P192" s="19">
        <v>41.25</v>
      </c>
      <c r="Q192" s="19">
        <v>-45</v>
      </c>
      <c r="R192" s="19">
        <v>-45</v>
      </c>
      <c r="S192" s="19">
        <v>-45</v>
      </c>
      <c r="T192" s="19">
        <v>-45</v>
      </c>
      <c r="U192" s="19">
        <v>-45</v>
      </c>
      <c r="V192" s="19">
        <v>-45</v>
      </c>
      <c r="W192" s="19">
        <v>-510</v>
      </c>
      <c r="X192" t="s">
        <v>468</v>
      </c>
    </row>
    <row r="193" spans="2:24" x14ac:dyDescent="0.35">
      <c r="B193">
        <v>2026</v>
      </c>
      <c r="C193" t="s">
        <v>75</v>
      </c>
      <c r="D193" t="s">
        <v>76</v>
      </c>
      <c r="E193" t="s">
        <v>77</v>
      </c>
      <c r="F193" t="s">
        <v>228</v>
      </c>
      <c r="G193" t="s">
        <v>229</v>
      </c>
      <c r="H193" t="s">
        <v>86</v>
      </c>
      <c r="I193" t="s">
        <v>400</v>
      </c>
      <c r="J193" t="s">
        <v>239</v>
      </c>
      <c r="K193" s="19">
        <v>0</v>
      </c>
      <c r="L193" s="19">
        <v>0</v>
      </c>
      <c r="M193" s="19">
        <v>0</v>
      </c>
      <c r="N193" s="19">
        <v>-23519.91</v>
      </c>
      <c r="O193" s="156">
        <v>-38633.949999999997</v>
      </c>
      <c r="P193" s="19">
        <v>-78488.47</v>
      </c>
      <c r="Q193" s="19">
        <v>-32604.18</v>
      </c>
      <c r="R193" s="19">
        <v>-19768.43</v>
      </c>
      <c r="S193" s="19">
        <v>-12975.21</v>
      </c>
      <c r="T193" s="19">
        <v>-24579.01</v>
      </c>
      <c r="U193" s="19">
        <v>-33042.67</v>
      </c>
      <c r="V193" s="19">
        <v>-35674.22</v>
      </c>
      <c r="W193" s="19">
        <v>-299286.05000000005</v>
      </c>
      <c r="X193" t="s">
        <v>475</v>
      </c>
    </row>
    <row r="194" spans="2:24" x14ac:dyDescent="0.35">
      <c r="B194">
        <v>2026</v>
      </c>
      <c r="C194" t="s">
        <v>75</v>
      </c>
      <c r="D194" t="s">
        <v>76</v>
      </c>
      <c r="E194" t="s">
        <v>77</v>
      </c>
      <c r="F194" t="s">
        <v>228</v>
      </c>
      <c r="G194" t="s">
        <v>229</v>
      </c>
      <c r="H194" t="s">
        <v>310</v>
      </c>
      <c r="I194" t="s">
        <v>388</v>
      </c>
      <c r="J194" t="s">
        <v>239</v>
      </c>
      <c r="K194" s="19">
        <v>0</v>
      </c>
      <c r="L194" s="19">
        <v>0</v>
      </c>
      <c r="M194" s="19">
        <v>0</v>
      </c>
      <c r="N194" s="19">
        <v>-937.05</v>
      </c>
      <c r="O194" s="156" t="s">
        <v>397</v>
      </c>
      <c r="P194" s="19" t="s">
        <v>397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-937.05</v>
      </c>
      <c r="X194" t="s">
        <v>501</v>
      </c>
    </row>
    <row r="195" spans="2:24" x14ac:dyDescent="0.35">
      <c r="B195">
        <v>2026</v>
      </c>
      <c r="C195" t="s">
        <v>75</v>
      </c>
      <c r="D195" t="s">
        <v>76</v>
      </c>
      <c r="E195" t="s">
        <v>77</v>
      </c>
      <c r="F195" t="s">
        <v>228</v>
      </c>
      <c r="G195" t="s">
        <v>229</v>
      </c>
      <c r="H195" t="s">
        <v>230</v>
      </c>
      <c r="I195" t="s">
        <v>389</v>
      </c>
      <c r="J195" t="s">
        <v>239</v>
      </c>
      <c r="K195" s="19">
        <v>-52.82</v>
      </c>
      <c r="L195" s="19">
        <v>0</v>
      </c>
      <c r="M195" s="19">
        <v>-79.37</v>
      </c>
      <c r="N195" s="19">
        <v>-26.51</v>
      </c>
      <c r="O195" s="156">
        <v>-17.690000000000001</v>
      </c>
      <c r="P195" s="19">
        <v>-8.86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-185.25</v>
      </c>
      <c r="X195" t="s">
        <v>502</v>
      </c>
    </row>
    <row r="196" spans="2:24" x14ac:dyDescent="0.35">
      <c r="B196">
        <v>2026</v>
      </c>
      <c r="C196" t="s">
        <v>75</v>
      </c>
      <c r="D196" t="s">
        <v>76</v>
      </c>
      <c r="E196" t="s">
        <v>77</v>
      </c>
      <c r="F196" t="s">
        <v>228</v>
      </c>
      <c r="G196" t="s">
        <v>229</v>
      </c>
      <c r="H196" t="s">
        <v>231</v>
      </c>
      <c r="I196" t="s">
        <v>390</v>
      </c>
      <c r="J196" t="s">
        <v>239</v>
      </c>
      <c r="K196" s="19">
        <v>0</v>
      </c>
      <c r="L196" s="19">
        <v>0</v>
      </c>
      <c r="M196" s="19">
        <v>0</v>
      </c>
      <c r="N196" s="19">
        <v>0</v>
      </c>
      <c r="O196" s="156">
        <v>0</v>
      </c>
      <c r="P196" s="19" t="s">
        <v>397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t="s">
        <v>446</v>
      </c>
    </row>
    <row r="197" spans="2:24" x14ac:dyDescent="0.35">
      <c r="B197">
        <v>2026</v>
      </c>
      <c r="C197" t="s">
        <v>75</v>
      </c>
      <c r="D197" t="s">
        <v>76</v>
      </c>
      <c r="E197" t="s">
        <v>77</v>
      </c>
      <c r="F197" t="s">
        <v>228</v>
      </c>
      <c r="G197" t="s">
        <v>229</v>
      </c>
      <c r="H197" t="s">
        <v>231</v>
      </c>
      <c r="I197" t="s">
        <v>232</v>
      </c>
      <c r="J197" t="s">
        <v>239</v>
      </c>
      <c r="K197" s="19">
        <v>0</v>
      </c>
      <c r="L197" s="19">
        <v>0</v>
      </c>
      <c r="M197" s="19">
        <v>0</v>
      </c>
      <c r="N197" s="19">
        <v>0</v>
      </c>
      <c r="O197" s="156">
        <v>0</v>
      </c>
      <c r="P197" s="19" t="s">
        <v>397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t="s">
        <v>446</v>
      </c>
    </row>
    <row r="198" spans="2:24" x14ac:dyDescent="0.35">
      <c r="B198">
        <v>2026</v>
      </c>
      <c r="C198" t="s">
        <v>75</v>
      </c>
      <c r="D198" t="s">
        <v>76</v>
      </c>
      <c r="E198" t="s">
        <v>77</v>
      </c>
      <c r="F198" t="s">
        <v>228</v>
      </c>
      <c r="G198" t="s">
        <v>229</v>
      </c>
      <c r="H198" t="s">
        <v>231</v>
      </c>
      <c r="I198" t="s">
        <v>233</v>
      </c>
      <c r="J198" t="s">
        <v>239</v>
      </c>
      <c r="K198" s="19">
        <v>0</v>
      </c>
      <c r="L198" s="19">
        <v>0</v>
      </c>
      <c r="M198" s="19">
        <v>0</v>
      </c>
      <c r="N198" s="19">
        <v>0</v>
      </c>
      <c r="O198" s="156">
        <v>0</v>
      </c>
      <c r="P198" s="19" t="s">
        <v>397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t="s">
        <v>446</v>
      </c>
    </row>
    <row r="199" spans="2:24" x14ac:dyDescent="0.35">
      <c r="B199">
        <v>2026</v>
      </c>
      <c r="C199" t="s">
        <v>75</v>
      </c>
      <c r="D199" t="s">
        <v>76</v>
      </c>
      <c r="E199" t="s">
        <v>77</v>
      </c>
      <c r="F199" t="s">
        <v>228</v>
      </c>
      <c r="G199" t="s">
        <v>229</v>
      </c>
      <c r="H199" t="s">
        <v>231</v>
      </c>
      <c r="I199" t="s">
        <v>391</v>
      </c>
      <c r="J199" t="s">
        <v>239</v>
      </c>
      <c r="K199" s="19">
        <v>0</v>
      </c>
      <c r="L199" s="19">
        <v>0</v>
      </c>
      <c r="M199" s="19">
        <v>0</v>
      </c>
      <c r="N199" s="19">
        <v>0</v>
      </c>
      <c r="O199" s="156">
        <v>0</v>
      </c>
      <c r="P199" s="19" t="s">
        <v>397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t="s">
        <v>446</v>
      </c>
    </row>
    <row r="200" spans="2:24" x14ac:dyDescent="0.35">
      <c r="B200">
        <v>2026</v>
      </c>
      <c r="C200" t="s">
        <v>75</v>
      </c>
      <c r="D200" t="s">
        <v>76</v>
      </c>
      <c r="E200" t="s">
        <v>77</v>
      </c>
      <c r="F200" t="s">
        <v>228</v>
      </c>
      <c r="G200" t="s">
        <v>229</v>
      </c>
      <c r="H200" t="s">
        <v>231</v>
      </c>
      <c r="I200" t="s">
        <v>234</v>
      </c>
      <c r="J200" t="s">
        <v>239</v>
      </c>
      <c r="K200" s="19">
        <v>0</v>
      </c>
      <c r="L200" s="19">
        <v>0</v>
      </c>
      <c r="M200" s="19">
        <v>0</v>
      </c>
      <c r="N200" s="19">
        <v>0</v>
      </c>
      <c r="O200" s="156">
        <v>0</v>
      </c>
      <c r="P200" s="19" t="s">
        <v>397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t="s">
        <v>446</v>
      </c>
    </row>
    <row r="201" spans="2:24" x14ac:dyDescent="0.35">
      <c r="B201">
        <v>2026</v>
      </c>
      <c r="C201" t="s">
        <v>75</v>
      </c>
      <c r="D201" t="s">
        <v>76</v>
      </c>
      <c r="E201" t="s">
        <v>77</v>
      </c>
      <c r="F201" t="s">
        <v>228</v>
      </c>
      <c r="G201" t="s">
        <v>229</v>
      </c>
      <c r="H201" t="s">
        <v>231</v>
      </c>
      <c r="I201" t="s">
        <v>235</v>
      </c>
      <c r="J201" t="s">
        <v>239</v>
      </c>
      <c r="K201" s="19">
        <v>0</v>
      </c>
      <c r="L201" s="19">
        <v>0</v>
      </c>
      <c r="M201" s="19">
        <v>0</v>
      </c>
      <c r="N201" s="19">
        <v>0</v>
      </c>
      <c r="O201" s="156">
        <v>0</v>
      </c>
      <c r="P201" s="19" t="s">
        <v>397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t="s">
        <v>446</v>
      </c>
    </row>
    <row r="202" spans="2:24" x14ac:dyDescent="0.35">
      <c r="B202">
        <v>2026</v>
      </c>
      <c r="C202" t="s">
        <v>75</v>
      </c>
      <c r="D202" t="s">
        <v>76</v>
      </c>
      <c r="E202" t="s">
        <v>77</v>
      </c>
      <c r="F202" t="s">
        <v>228</v>
      </c>
      <c r="G202" t="s">
        <v>229</v>
      </c>
      <c r="H202" t="s">
        <v>231</v>
      </c>
      <c r="I202" t="s">
        <v>236</v>
      </c>
      <c r="J202" t="s">
        <v>239</v>
      </c>
      <c r="K202" s="19">
        <v>0</v>
      </c>
      <c r="L202" s="19">
        <v>0</v>
      </c>
      <c r="M202" s="19">
        <v>0</v>
      </c>
      <c r="N202" s="19">
        <v>0</v>
      </c>
      <c r="O202" s="156">
        <v>0</v>
      </c>
      <c r="P202" s="19" t="s">
        <v>397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t="s">
        <v>446</v>
      </c>
    </row>
    <row r="203" spans="2:24" x14ac:dyDescent="0.35">
      <c r="B203">
        <v>2026</v>
      </c>
      <c r="C203" t="s">
        <v>75</v>
      </c>
      <c r="D203" t="s">
        <v>76</v>
      </c>
      <c r="E203" t="s">
        <v>77</v>
      </c>
      <c r="F203" t="s">
        <v>228</v>
      </c>
      <c r="G203" t="s">
        <v>237</v>
      </c>
      <c r="H203" t="s">
        <v>238</v>
      </c>
      <c r="I203" t="s">
        <v>392</v>
      </c>
      <c r="J203" t="s">
        <v>239</v>
      </c>
      <c r="K203" s="19">
        <v>0</v>
      </c>
      <c r="L203" s="19">
        <v>78.790000000000006</v>
      </c>
      <c r="M203" s="19">
        <v>15.51</v>
      </c>
      <c r="N203" s="19">
        <v>0</v>
      </c>
      <c r="O203" s="156">
        <v>2879.75</v>
      </c>
      <c r="P203" s="19">
        <v>1665.7</v>
      </c>
      <c r="Q203" s="19">
        <v>604.76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5244.51</v>
      </c>
      <c r="X203" t="s">
        <v>503</v>
      </c>
    </row>
    <row r="204" spans="2:24" x14ac:dyDescent="0.35">
      <c r="B204">
        <v>2026</v>
      </c>
      <c r="C204" t="s">
        <v>75</v>
      </c>
      <c r="D204" t="s">
        <v>76</v>
      </c>
      <c r="E204" t="s">
        <v>77</v>
      </c>
      <c r="F204" t="s">
        <v>78</v>
      </c>
      <c r="G204" t="s">
        <v>141</v>
      </c>
      <c r="H204" t="s">
        <v>395</v>
      </c>
      <c r="I204" t="s">
        <v>394</v>
      </c>
      <c r="J204" t="s">
        <v>239</v>
      </c>
      <c r="K204" s="19"/>
      <c r="L204" s="19"/>
      <c r="M204" s="19"/>
      <c r="N204" s="19"/>
      <c r="O204" s="156">
        <v>-1350</v>
      </c>
      <c r="P204" s="19" t="s">
        <v>397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-1350</v>
      </c>
      <c r="X204" t="s">
        <v>441</v>
      </c>
    </row>
    <row r="205" spans="2:24" x14ac:dyDescent="0.35">
      <c r="B205">
        <v>2026</v>
      </c>
      <c r="C205" t="s">
        <v>75</v>
      </c>
      <c r="D205" t="s">
        <v>76</v>
      </c>
      <c r="E205" t="s">
        <v>77</v>
      </c>
      <c r="F205" t="s">
        <v>228</v>
      </c>
      <c r="G205" t="s">
        <v>309</v>
      </c>
      <c r="H205" t="s">
        <v>420</v>
      </c>
      <c r="I205" t="s">
        <v>419</v>
      </c>
      <c r="J205" t="s">
        <v>239</v>
      </c>
      <c r="K205" s="19"/>
      <c r="L205" s="19"/>
      <c r="M205" s="19"/>
      <c r="N205" s="19"/>
      <c r="P205" s="19">
        <v>4495.93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4495.93</v>
      </c>
      <c r="X205" t="s">
        <v>504</v>
      </c>
    </row>
    <row r="206" spans="2:24" x14ac:dyDescent="0.35">
      <c r="K206" s="19"/>
      <c r="L206" s="19"/>
      <c r="M206" s="19"/>
      <c r="N206" s="19"/>
      <c r="P206" s="19"/>
      <c r="Q206" s="19"/>
      <c r="R206" s="19"/>
      <c r="S206" s="19"/>
      <c r="T206" s="19"/>
      <c r="U206" s="19"/>
      <c r="V206" s="19"/>
      <c r="W206" s="19"/>
    </row>
    <row r="207" spans="2:24" x14ac:dyDescent="0.35">
      <c r="K207" s="19"/>
      <c r="L207" s="19"/>
      <c r="M207" s="19"/>
      <c r="N207" s="19"/>
      <c r="P207" s="19"/>
      <c r="Q207" s="19"/>
      <c r="R207" s="19"/>
      <c r="S207" s="19"/>
      <c r="T207" s="19"/>
      <c r="U207" s="19"/>
      <c r="V207" s="19"/>
      <c r="W207" s="19"/>
    </row>
    <row r="208" spans="2:24" x14ac:dyDescent="0.35">
      <c r="K208" s="19"/>
      <c r="L208" s="19"/>
      <c r="M208" s="19"/>
      <c r="N208" s="19"/>
      <c r="P208" s="19"/>
      <c r="Q208" s="19"/>
      <c r="R208" s="19"/>
      <c r="S208" s="19"/>
      <c r="T208" s="19"/>
      <c r="U208" s="19"/>
      <c r="V208" s="19"/>
      <c r="W208" s="19"/>
    </row>
    <row r="209" spans="11:23" x14ac:dyDescent="0.35">
      <c r="K209" s="19"/>
      <c r="L209" s="19"/>
      <c r="M209" s="19"/>
      <c r="N209" s="19"/>
      <c r="P209" s="19"/>
      <c r="Q209" s="19"/>
      <c r="R209" s="19"/>
      <c r="S209" s="19"/>
      <c r="T209" s="19"/>
      <c r="U209" s="19"/>
      <c r="V209" s="19"/>
      <c r="W209" s="19"/>
    </row>
    <row r="210" spans="11:23" x14ac:dyDescent="0.35">
      <c r="K210" s="19"/>
      <c r="L210" s="19"/>
      <c r="M210" s="19"/>
      <c r="N210" s="19"/>
      <c r="P210" s="19"/>
      <c r="Q210" s="19"/>
      <c r="R210" s="19"/>
      <c r="S210" s="19"/>
      <c r="T210" s="19"/>
      <c r="U210" s="19"/>
      <c r="V210" s="19"/>
      <c r="W210" s="19"/>
    </row>
    <row r="211" spans="11:23" x14ac:dyDescent="0.35">
      <c r="P211" s="19"/>
      <c r="Q211" s="19"/>
      <c r="R211" s="19"/>
      <c r="W211" s="19"/>
    </row>
    <row r="212" spans="11:23" x14ac:dyDescent="0.35">
      <c r="K212" s="19"/>
      <c r="L212" s="19"/>
      <c r="M212" s="19"/>
      <c r="N212" s="19"/>
      <c r="P212" s="19"/>
      <c r="R212" s="19"/>
      <c r="S212" s="19"/>
      <c r="T212" s="19"/>
      <c r="U212" s="19"/>
      <c r="V212" s="19"/>
      <c r="W212" s="19"/>
    </row>
    <row r="213" spans="11:23" x14ac:dyDescent="0.35">
      <c r="K213" s="19"/>
      <c r="L213" s="19"/>
      <c r="M213" s="19"/>
      <c r="N213" s="19"/>
      <c r="P213" s="19"/>
      <c r="R213" s="19"/>
      <c r="S213" s="19"/>
      <c r="T213" s="19"/>
      <c r="U213" s="19"/>
      <c r="V213" s="19"/>
      <c r="W213" s="19"/>
    </row>
    <row r="214" spans="11:23" x14ac:dyDescent="0.35">
      <c r="K214" s="19"/>
      <c r="L214" s="19"/>
      <c r="M214" s="19"/>
      <c r="N214" s="19"/>
      <c r="P214" s="19"/>
      <c r="R214" s="19"/>
      <c r="S214" s="19"/>
      <c r="T214" s="19"/>
      <c r="U214" s="19"/>
      <c r="V214" s="19"/>
      <c r="W214" s="19"/>
    </row>
    <row r="215" spans="11:23" x14ac:dyDescent="0.35">
      <c r="K215" s="19"/>
      <c r="L215" s="19"/>
      <c r="M215" s="19"/>
      <c r="N215" s="19"/>
      <c r="P215" s="19"/>
      <c r="R215" s="19"/>
      <c r="S215" s="19"/>
      <c r="T215" s="19"/>
      <c r="U215" s="19"/>
      <c r="V215" s="19"/>
      <c r="W215" s="19"/>
    </row>
    <row r="216" spans="11:23" x14ac:dyDescent="0.35">
      <c r="K216" s="19"/>
      <c r="L216" s="19"/>
      <c r="M216" s="19"/>
      <c r="N216" s="19"/>
      <c r="P216" s="19"/>
      <c r="R216" s="19"/>
      <c r="W216" s="19"/>
    </row>
    <row r="217" spans="11:23" x14ac:dyDescent="0.35">
      <c r="K217" s="19"/>
      <c r="L217" s="19"/>
      <c r="M217" s="19"/>
      <c r="N217" s="19"/>
      <c r="P217" s="19"/>
      <c r="R217" s="19"/>
      <c r="W217" s="19"/>
    </row>
    <row r="218" spans="11:23" x14ac:dyDescent="0.35">
      <c r="K218" s="19"/>
      <c r="L218" s="19"/>
      <c r="M218" s="19"/>
      <c r="N218" s="19"/>
      <c r="P218" s="19"/>
      <c r="R218" s="19"/>
      <c r="W218" s="19"/>
    </row>
    <row r="219" spans="11:23" x14ac:dyDescent="0.35">
      <c r="K219" s="19"/>
      <c r="L219" s="19"/>
      <c r="M219" s="19"/>
      <c r="N219" s="19"/>
      <c r="P219" s="19"/>
      <c r="R219" s="19"/>
      <c r="W219" s="19"/>
    </row>
    <row r="220" spans="11:23" x14ac:dyDescent="0.35">
      <c r="K220" s="19"/>
      <c r="L220" s="19"/>
      <c r="M220" s="19"/>
      <c r="N220" s="19"/>
      <c r="O220" s="161"/>
      <c r="P220" s="161"/>
      <c r="R220" s="19"/>
      <c r="S220" s="19"/>
      <c r="T220" s="19"/>
      <c r="U220" s="19"/>
      <c r="V220" s="19"/>
      <c r="W220" s="19"/>
    </row>
    <row r="221" spans="11:23" x14ac:dyDescent="0.35">
      <c r="K221" s="19"/>
      <c r="L221" s="19"/>
      <c r="M221" s="19"/>
      <c r="N221" s="19"/>
      <c r="O221" s="161"/>
      <c r="P221" s="161"/>
      <c r="R221" s="19"/>
      <c r="S221" s="19"/>
      <c r="T221" s="19"/>
      <c r="U221" s="19"/>
      <c r="V221" s="19"/>
      <c r="W221" s="19"/>
    </row>
    <row r="222" spans="11:23" x14ac:dyDescent="0.35">
      <c r="K222" s="19"/>
      <c r="L222" s="19"/>
      <c r="M222" s="19"/>
      <c r="N222" s="19"/>
      <c r="O222" s="161"/>
      <c r="P222" s="161"/>
      <c r="R222" s="19"/>
      <c r="S222" s="19"/>
      <c r="T222" s="19"/>
      <c r="U222" s="19"/>
      <c r="V222" s="19"/>
      <c r="W222" s="19"/>
    </row>
    <row r="223" spans="11:23" x14ac:dyDescent="0.35">
      <c r="K223" s="19"/>
      <c r="L223" s="19"/>
      <c r="M223" s="19"/>
      <c r="N223" s="19"/>
      <c r="O223" s="161"/>
      <c r="P223" s="19"/>
      <c r="R223" s="19"/>
      <c r="W223" s="19"/>
    </row>
    <row r="224" spans="11:23" x14ac:dyDescent="0.35">
      <c r="K224" s="19"/>
      <c r="L224" s="19"/>
      <c r="M224" s="19"/>
      <c r="N224" s="19"/>
      <c r="O224" s="161"/>
      <c r="P224" s="19"/>
      <c r="R224" s="19"/>
      <c r="W224" s="19"/>
    </row>
    <row r="225" spans="16:23" x14ac:dyDescent="0.35">
      <c r="P225" s="19"/>
      <c r="Q225" s="19"/>
      <c r="R225" s="19"/>
      <c r="W225" s="19"/>
    </row>
    <row r="226" spans="16:23" x14ac:dyDescent="0.35">
      <c r="W226" s="19"/>
    </row>
    <row r="227" spans="16:23" x14ac:dyDescent="0.35">
      <c r="W227" s="19"/>
    </row>
    <row r="228" spans="16:23" x14ac:dyDescent="0.35">
      <c r="W228" s="19"/>
    </row>
    <row r="229" spans="16:23" x14ac:dyDescent="0.35">
      <c r="W229" s="19"/>
    </row>
    <row r="230" spans="16:23" x14ac:dyDescent="0.35">
      <c r="W230" s="19"/>
    </row>
    <row r="231" spans="16:23" x14ac:dyDescent="0.35">
      <c r="W231" s="19"/>
    </row>
    <row r="232" spans="16:23" x14ac:dyDescent="0.35">
      <c r="W232" s="19"/>
    </row>
    <row r="233" spans="16:23" x14ac:dyDescent="0.35">
      <c r="W233" s="19"/>
    </row>
    <row r="234" spans="16:23" x14ac:dyDescent="0.35">
      <c r="W234" s="19"/>
    </row>
    <row r="235" spans="16:23" x14ac:dyDescent="0.35">
      <c r="W235" s="19"/>
    </row>
    <row r="236" spans="16:23" x14ac:dyDescent="0.35">
      <c r="W236" s="19"/>
    </row>
    <row r="237" spans="16:23" x14ac:dyDescent="0.35">
      <c r="W237" s="19"/>
    </row>
    <row r="238" spans="16:23" x14ac:dyDescent="0.35">
      <c r="W238" s="19"/>
    </row>
    <row r="239" spans="16:23" x14ac:dyDescent="0.35">
      <c r="W239" s="19"/>
    </row>
    <row r="240" spans="16:23" x14ac:dyDescent="0.35">
      <c r="W240" s="19"/>
    </row>
    <row r="241" spans="23:23" x14ac:dyDescent="0.35">
      <c r="W241" s="19"/>
    </row>
    <row r="242" spans="23:23" x14ac:dyDescent="0.35">
      <c r="W242" s="19"/>
    </row>
    <row r="243" spans="23:23" x14ac:dyDescent="0.35">
      <c r="W243" s="19"/>
    </row>
    <row r="244" spans="23:23" x14ac:dyDescent="0.35">
      <c r="W244" s="19"/>
    </row>
    <row r="245" spans="23:23" x14ac:dyDescent="0.35">
      <c r="W245" s="19"/>
    </row>
    <row r="246" spans="23:23" x14ac:dyDescent="0.35">
      <c r="W246" s="19"/>
    </row>
    <row r="247" spans="23:23" x14ac:dyDescent="0.35">
      <c r="W247" s="19"/>
    </row>
    <row r="248" spans="23:23" x14ac:dyDescent="0.35">
      <c r="W248" s="19"/>
    </row>
    <row r="249" spans="23:23" x14ac:dyDescent="0.35">
      <c r="W249" s="19"/>
    </row>
    <row r="250" spans="23:23" x14ac:dyDescent="0.35">
      <c r="W250" s="19"/>
    </row>
    <row r="251" spans="23:23" x14ac:dyDescent="0.35">
      <c r="W251" s="19"/>
    </row>
    <row r="252" spans="23:23" x14ac:dyDescent="0.35">
      <c r="W252" s="19"/>
    </row>
    <row r="253" spans="23:23" x14ac:dyDescent="0.35">
      <c r="W253" s="19"/>
    </row>
    <row r="254" spans="23:23" x14ac:dyDescent="0.35">
      <c r="W254" s="19"/>
    </row>
    <row r="255" spans="23:23" x14ac:dyDescent="0.35">
      <c r="W255" s="19"/>
    </row>
    <row r="256" spans="23:23" x14ac:dyDescent="0.35">
      <c r="W256" s="19"/>
    </row>
    <row r="257" spans="23:23" x14ac:dyDescent="0.35">
      <c r="W257" s="19"/>
    </row>
    <row r="258" spans="23:23" x14ac:dyDescent="0.35">
      <c r="W258" s="19"/>
    </row>
    <row r="259" spans="23:23" x14ac:dyDescent="0.35">
      <c r="W259" s="19"/>
    </row>
  </sheetData>
  <autoFilter ref="B3:W259" xr:uid="{54B74828-DB15-400E-91CA-6CE7FA9D1E7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342B-A7EE-471A-A088-95E0F2A2590F}">
  <sheetPr>
    <tabColor rgb="FFFFC000"/>
  </sheetPr>
  <dimension ref="A1:I158"/>
  <sheetViews>
    <sheetView workbookViewId="0"/>
  </sheetViews>
  <sheetFormatPr baseColWidth="10" defaultRowHeight="14.5" x14ac:dyDescent="0.35"/>
  <cols>
    <col min="1" max="1" width="61.453125" bestFit="1" customWidth="1"/>
    <col min="2" max="2" width="12.54296875" bestFit="1" customWidth="1"/>
    <col min="3" max="3" width="6.453125" bestFit="1" customWidth="1"/>
    <col min="4" max="4" width="6" bestFit="1" customWidth="1"/>
    <col min="5" max="5" width="6.54296875" bestFit="1" customWidth="1"/>
    <col min="6" max="6" width="6.1796875" bestFit="1" customWidth="1"/>
    <col min="7" max="7" width="12.453125" bestFit="1" customWidth="1"/>
    <col min="8" max="8" width="16.26953125" style="156" bestFit="1" customWidth="1"/>
    <col min="9" max="9" width="12.54296875" bestFit="1" customWidth="1"/>
  </cols>
  <sheetData>
    <row r="1" spans="1:9" x14ac:dyDescent="0.35">
      <c r="A1" t="s">
        <v>73</v>
      </c>
      <c r="B1" t="s">
        <v>74</v>
      </c>
      <c r="C1" s="155">
        <v>46023</v>
      </c>
      <c r="D1" s="155">
        <v>46054</v>
      </c>
      <c r="E1" s="155">
        <v>46082</v>
      </c>
      <c r="F1" s="155">
        <v>46113</v>
      </c>
      <c r="G1" s="155">
        <v>46143</v>
      </c>
      <c r="H1" s="156" t="s">
        <v>405</v>
      </c>
      <c r="I1" t="s">
        <v>406</v>
      </c>
    </row>
    <row r="2" spans="1:9" x14ac:dyDescent="0.35">
      <c r="A2" t="s">
        <v>65</v>
      </c>
      <c r="B2" t="s">
        <v>239</v>
      </c>
      <c r="G2" s="19">
        <v>2029266.99</v>
      </c>
      <c r="H2" s="156">
        <f>VLOOKUP(A2,'PL Mensual 2026'!I:O,7,0)</f>
        <v>2029266.99</v>
      </c>
      <c r="I2" s="157">
        <f>G2-H2</f>
        <v>0</v>
      </c>
    </row>
    <row r="3" spans="1:9" x14ac:dyDescent="0.35">
      <c r="A3" t="s">
        <v>319</v>
      </c>
      <c r="B3" t="s">
        <v>239</v>
      </c>
      <c r="G3" s="19">
        <v>-106250.17</v>
      </c>
      <c r="H3" s="156">
        <f>VLOOKUP(A3,'PL Mensual 2026'!I:O,7,0)</f>
        <v>-106250.17</v>
      </c>
      <c r="I3" s="157">
        <f t="shared" ref="I3:I63" si="0">G3-H3</f>
        <v>0</v>
      </c>
    </row>
    <row r="4" spans="1:9" x14ac:dyDescent="0.35">
      <c r="A4" t="s">
        <v>320</v>
      </c>
      <c r="B4" t="s">
        <v>239</v>
      </c>
      <c r="G4" t="s">
        <v>397</v>
      </c>
      <c r="H4" s="156">
        <f>VLOOKUP(A4,'PL Mensual 2026'!I:O,7,0)</f>
        <v>0</v>
      </c>
      <c r="I4" s="157"/>
    </row>
    <row r="5" spans="1:9" x14ac:dyDescent="0.35">
      <c r="A5" t="s">
        <v>321</v>
      </c>
      <c r="B5" t="s">
        <v>239</v>
      </c>
      <c r="G5" t="s">
        <v>397</v>
      </c>
      <c r="H5" s="156" t="str">
        <f>VLOOKUP(A5,'PL Mensual 2026'!I:O,7,0)</f>
        <v xml:space="preserve">                            -  </v>
      </c>
      <c r="I5" s="157"/>
    </row>
    <row r="6" spans="1:9" x14ac:dyDescent="0.35">
      <c r="A6" t="s">
        <v>398</v>
      </c>
      <c r="B6" t="s">
        <v>239</v>
      </c>
      <c r="G6" s="19">
        <v>25140.75</v>
      </c>
      <c r="H6" s="156">
        <f>VLOOKUP(A6,'PL Mensual 2026'!I:O,7,0)</f>
        <v>25140.75</v>
      </c>
      <c r="I6" s="157">
        <f t="shared" si="0"/>
        <v>0</v>
      </c>
    </row>
    <row r="7" spans="1:9" x14ac:dyDescent="0.35">
      <c r="A7" t="s">
        <v>322</v>
      </c>
      <c r="B7" t="s">
        <v>239</v>
      </c>
      <c r="G7" s="19">
        <v>101865.8</v>
      </c>
      <c r="H7" s="156">
        <f>VLOOKUP(A7,'PL Mensual 2026'!I:O,7,0)</f>
        <v>0</v>
      </c>
      <c r="I7" s="157">
        <f t="shared" si="0"/>
        <v>101865.8</v>
      </c>
    </row>
    <row r="8" spans="1:9" x14ac:dyDescent="0.35">
      <c r="A8" t="s">
        <v>323</v>
      </c>
      <c r="B8" t="s">
        <v>239</v>
      </c>
      <c r="G8" t="s">
        <v>397</v>
      </c>
      <c r="H8" s="156" t="str">
        <f>VLOOKUP(A8,'PL Mensual 2026'!I:O,7,0)</f>
        <v xml:space="preserve">                            -  </v>
      </c>
      <c r="I8" s="157"/>
    </row>
    <row r="9" spans="1:9" x14ac:dyDescent="0.35">
      <c r="A9" t="s">
        <v>83</v>
      </c>
      <c r="B9" t="s">
        <v>239</v>
      </c>
      <c r="G9" s="19">
        <v>80917.990000000005</v>
      </c>
      <c r="H9" s="156">
        <f>VLOOKUP(A9,'PL Mensual 2026'!I:O,7,0)</f>
        <v>0</v>
      </c>
      <c r="I9" s="157">
        <f t="shared" si="0"/>
        <v>80917.990000000005</v>
      </c>
    </row>
    <row r="10" spans="1:9" x14ac:dyDescent="0.35">
      <c r="A10" t="s">
        <v>324</v>
      </c>
      <c r="B10" t="s">
        <v>239</v>
      </c>
      <c r="G10" s="19">
        <v>111557.6</v>
      </c>
      <c r="H10" s="156">
        <f>VLOOKUP(A10,'PL Mensual 2026'!I:O,7,0)</f>
        <v>0</v>
      </c>
      <c r="I10" s="157">
        <f t="shared" si="0"/>
        <v>111557.6</v>
      </c>
    </row>
    <row r="11" spans="1:9" x14ac:dyDescent="0.35">
      <c r="A11" t="s">
        <v>393</v>
      </c>
      <c r="B11" t="s">
        <v>399</v>
      </c>
      <c r="G11" s="19">
        <v>-111557.6</v>
      </c>
      <c r="H11" s="156" t="e">
        <f>VLOOKUP(A11,'PL Mensual 2026'!I:O,7,0)</f>
        <v>#N/A</v>
      </c>
      <c r="I11" s="157" t="e">
        <f t="shared" si="0"/>
        <v>#N/A</v>
      </c>
    </row>
    <row r="12" spans="1:9" x14ac:dyDescent="0.35">
      <c r="A12" t="s">
        <v>85</v>
      </c>
      <c r="B12" t="s">
        <v>239</v>
      </c>
      <c r="G12" s="19">
        <v>2913.09</v>
      </c>
      <c r="H12" s="156">
        <f>VLOOKUP(A12,'PL Mensual 2026'!I:O,7,0)</f>
        <v>2913.09</v>
      </c>
      <c r="I12" s="157">
        <f t="shared" si="0"/>
        <v>0</v>
      </c>
    </row>
    <row r="13" spans="1:9" x14ac:dyDescent="0.35">
      <c r="A13" t="s">
        <v>325</v>
      </c>
      <c r="B13" t="s">
        <v>239</v>
      </c>
      <c r="G13" t="s">
        <v>397</v>
      </c>
      <c r="H13" s="156">
        <f>VLOOKUP(A13,'PL Mensual 2026'!I:O,7,0)</f>
        <v>0</v>
      </c>
      <c r="I13" s="157"/>
    </row>
    <row r="14" spans="1:9" x14ac:dyDescent="0.35">
      <c r="A14" t="s">
        <v>400</v>
      </c>
      <c r="B14" t="s">
        <v>239</v>
      </c>
      <c r="G14" s="19">
        <v>-38633.949999999997</v>
      </c>
      <c r="H14" s="156">
        <f>VLOOKUP(A14,'PL Mensual 2026'!I:O,7,0)</f>
        <v>-38633.949999999997</v>
      </c>
      <c r="I14" s="157">
        <f t="shared" si="0"/>
        <v>0</v>
      </c>
    </row>
    <row r="15" spans="1:9" x14ac:dyDescent="0.35">
      <c r="A15" t="s">
        <v>326</v>
      </c>
      <c r="B15" t="s">
        <v>239</v>
      </c>
      <c r="G15" t="s">
        <v>397</v>
      </c>
      <c r="H15" s="156" t="str">
        <f>VLOOKUP(A15,'PL Mensual 2026'!I:O,7,0)</f>
        <v xml:space="preserve">                            -  </v>
      </c>
      <c r="I15" s="157"/>
    </row>
    <row r="16" spans="1:9" x14ac:dyDescent="0.35">
      <c r="A16" t="s">
        <v>88</v>
      </c>
      <c r="B16" t="s">
        <v>239</v>
      </c>
      <c r="G16" t="s">
        <v>397</v>
      </c>
      <c r="H16" s="156" t="str">
        <f>VLOOKUP(A16,'PL Mensual 2026'!I:O,7,0)</f>
        <v xml:space="preserve">                            -  </v>
      </c>
      <c r="I16" s="157"/>
    </row>
    <row r="17" spans="1:9" x14ac:dyDescent="0.35">
      <c r="A17" t="s">
        <v>394</v>
      </c>
      <c r="B17" t="s">
        <v>239</v>
      </c>
      <c r="G17" s="19">
        <v>-1350</v>
      </c>
      <c r="H17" s="156">
        <f>VLOOKUP(A17,'PL Mensual 2026'!I:O,7,0)</f>
        <v>-1350</v>
      </c>
      <c r="I17" s="157">
        <f t="shared" si="0"/>
        <v>0</v>
      </c>
    </row>
    <row r="18" spans="1:9" x14ac:dyDescent="0.35">
      <c r="A18" t="s">
        <v>328</v>
      </c>
      <c r="B18" t="s">
        <v>239</v>
      </c>
      <c r="G18" s="19">
        <v>4436.0200000000004</v>
      </c>
      <c r="H18" s="156">
        <f>VLOOKUP(A18,'PL Mensual 2026'!I:O,7,0)</f>
        <v>4436.0200000000004</v>
      </c>
      <c r="I18" s="157">
        <f t="shared" si="0"/>
        <v>0</v>
      </c>
    </row>
    <row r="19" spans="1:9" x14ac:dyDescent="0.35">
      <c r="A19" t="s">
        <v>329</v>
      </c>
      <c r="B19" t="s">
        <v>239</v>
      </c>
      <c r="G19" s="19">
        <v>-34727.120000000003</v>
      </c>
      <c r="H19" s="156">
        <f>VLOOKUP(A19,'PL Mensual 2026'!I:O,7,0)</f>
        <v>-34727.120000000003</v>
      </c>
      <c r="I19" s="157">
        <f t="shared" si="0"/>
        <v>0</v>
      </c>
    </row>
    <row r="20" spans="1:9" x14ac:dyDescent="0.35">
      <c r="A20" t="s">
        <v>101</v>
      </c>
      <c r="B20" t="s">
        <v>239</v>
      </c>
      <c r="G20" s="19">
        <v>-417425.43</v>
      </c>
      <c r="H20" s="156">
        <f>VLOOKUP(A20,'PL Mensual 2026'!I:O,7,0)</f>
        <v>-423709.62999999989</v>
      </c>
      <c r="I20" s="157">
        <f t="shared" si="0"/>
        <v>6284.1999999998952</v>
      </c>
    </row>
    <row r="21" spans="1:9" x14ac:dyDescent="0.35">
      <c r="A21" t="s">
        <v>330</v>
      </c>
      <c r="B21" t="s">
        <v>239</v>
      </c>
      <c r="G21" s="19">
        <v>-108150</v>
      </c>
      <c r="H21" s="156" t="e">
        <f>VLOOKUP(A21,'PL Mensual 2026'!I:O,7,0)</f>
        <v>#N/A</v>
      </c>
      <c r="I21" s="157" t="e">
        <f t="shared" si="0"/>
        <v>#N/A</v>
      </c>
    </row>
    <row r="22" spans="1:9" x14ac:dyDescent="0.35">
      <c r="A22" t="s">
        <v>103</v>
      </c>
      <c r="B22" t="s">
        <v>239</v>
      </c>
      <c r="G22" s="19">
        <v>-111111.14</v>
      </c>
      <c r="H22" s="156">
        <f>VLOOKUP(A22,'PL Mensual 2026'!I:O,7,0)</f>
        <v>-30193.149999999991</v>
      </c>
      <c r="I22" s="157">
        <f t="shared" si="0"/>
        <v>-80917.990000000005</v>
      </c>
    </row>
    <row r="23" spans="1:9" x14ac:dyDescent="0.35">
      <c r="A23" t="s">
        <v>104</v>
      </c>
      <c r="B23" t="s">
        <v>239</v>
      </c>
      <c r="G23" s="19">
        <v>-2784.91</v>
      </c>
      <c r="H23" s="156">
        <f>VLOOKUP(A23,'PL Mensual 2026'!I:O,7,0)</f>
        <v>-2784.91</v>
      </c>
      <c r="I23" s="157">
        <f t="shared" si="0"/>
        <v>0</v>
      </c>
    </row>
    <row r="24" spans="1:9" x14ac:dyDescent="0.35">
      <c r="A24" t="s">
        <v>105</v>
      </c>
      <c r="B24" t="s">
        <v>239</v>
      </c>
      <c r="G24" s="19">
        <v>-17326.400000000001</v>
      </c>
      <c r="H24" s="156">
        <f>VLOOKUP(A24,'PL Mensual 2026'!I:O,7,0)</f>
        <v>-17326.400000000001</v>
      </c>
      <c r="I24" s="157">
        <f t="shared" si="0"/>
        <v>0</v>
      </c>
    </row>
    <row r="25" spans="1:9" x14ac:dyDescent="0.35">
      <c r="A25" t="s">
        <v>106</v>
      </c>
      <c r="B25" t="s">
        <v>239</v>
      </c>
      <c r="G25" t="s">
        <v>397</v>
      </c>
      <c r="H25" s="156" t="str">
        <f>VLOOKUP(A25,'PL Mensual 2026'!I:O,7,0)</f>
        <v xml:space="preserve">                            -  </v>
      </c>
      <c r="I25" s="157"/>
    </row>
    <row r="26" spans="1:9" x14ac:dyDescent="0.35">
      <c r="A26" t="s">
        <v>107</v>
      </c>
      <c r="B26" t="s">
        <v>239</v>
      </c>
      <c r="G26" t="s">
        <v>397</v>
      </c>
      <c r="H26" s="156" t="str">
        <f>VLOOKUP(A26,'PL Mensual 2026'!I:O,7,0)</f>
        <v xml:space="preserve">                            -  </v>
      </c>
      <c r="I26" s="157"/>
    </row>
    <row r="27" spans="1:9" x14ac:dyDescent="0.35">
      <c r="A27" t="s">
        <v>108</v>
      </c>
      <c r="B27" t="s">
        <v>239</v>
      </c>
      <c r="G27" t="s">
        <v>397</v>
      </c>
      <c r="H27" s="156" t="str">
        <f>VLOOKUP(A27,'PL Mensual 2026'!I:O,7,0)</f>
        <v xml:space="preserve">                            -  </v>
      </c>
      <c r="I27" s="157"/>
    </row>
    <row r="28" spans="1:9" x14ac:dyDescent="0.35">
      <c r="A28" t="s">
        <v>112</v>
      </c>
      <c r="B28" t="s">
        <v>239</v>
      </c>
      <c r="G28" t="s">
        <v>397</v>
      </c>
      <c r="H28" s="156" t="str">
        <f>VLOOKUP(A28,'PL Mensual 2026'!I:O,7,0)</f>
        <v xml:space="preserve">                            -  </v>
      </c>
      <c r="I28" s="157"/>
    </row>
    <row r="29" spans="1:9" x14ac:dyDescent="0.35">
      <c r="A29" t="s">
        <v>113</v>
      </c>
      <c r="B29" t="s">
        <v>239</v>
      </c>
      <c r="G29" t="s">
        <v>397</v>
      </c>
      <c r="H29" s="156" t="str">
        <f>VLOOKUP(A29,'PL Mensual 2026'!I:O,7,0)</f>
        <v xml:space="preserve">                            -  </v>
      </c>
      <c r="I29" s="157"/>
    </row>
    <row r="30" spans="1:9" x14ac:dyDescent="0.35">
      <c r="A30" t="s">
        <v>331</v>
      </c>
      <c r="B30" t="s">
        <v>239</v>
      </c>
      <c r="G30">
        <v>-480.84</v>
      </c>
      <c r="H30" s="156">
        <f>VLOOKUP(A30,'PL Mensual 2026'!I:O,7,0)</f>
        <v>-480.84</v>
      </c>
      <c r="I30" s="157">
        <f t="shared" si="0"/>
        <v>0</v>
      </c>
    </row>
    <row r="31" spans="1:9" x14ac:dyDescent="0.35">
      <c r="A31" t="s">
        <v>114</v>
      </c>
      <c r="B31" t="s">
        <v>239</v>
      </c>
      <c r="G31" s="19">
        <v>1124</v>
      </c>
      <c r="H31" s="156">
        <f>VLOOKUP(A31,'PL Mensual 2026'!I:O,7,0)</f>
        <v>1124</v>
      </c>
      <c r="I31" s="157">
        <f t="shared" si="0"/>
        <v>0</v>
      </c>
    </row>
    <row r="32" spans="1:9" x14ac:dyDescent="0.35">
      <c r="A32" t="s">
        <v>332</v>
      </c>
      <c r="B32" t="s">
        <v>239</v>
      </c>
      <c r="G32" s="19">
        <v>-32102.71</v>
      </c>
      <c r="H32" s="156">
        <f>VLOOKUP(A32,'PL Mensual 2026'!I:O,7,0)</f>
        <v>-3540</v>
      </c>
      <c r="I32" s="157">
        <f t="shared" si="0"/>
        <v>-28562.71</v>
      </c>
    </row>
    <row r="33" spans="1:9" x14ac:dyDescent="0.35">
      <c r="A33" t="s">
        <v>393</v>
      </c>
      <c r="B33" t="s">
        <v>399</v>
      </c>
      <c r="G33" s="19">
        <v>28562.71</v>
      </c>
      <c r="H33" s="156" t="e">
        <f>VLOOKUP(A33,'PL Mensual 2026'!I:O,7,0)</f>
        <v>#N/A</v>
      </c>
      <c r="I33" s="157" t="e">
        <f t="shared" si="0"/>
        <v>#N/A</v>
      </c>
    </row>
    <row r="34" spans="1:9" x14ac:dyDescent="0.35">
      <c r="A34" t="s">
        <v>333</v>
      </c>
      <c r="B34" t="s">
        <v>239</v>
      </c>
      <c r="G34" s="19">
        <v>-43504.89</v>
      </c>
      <c r="H34" s="156">
        <f>VLOOKUP(A34,'PL Mensual 2026'!I:O,7,0)</f>
        <v>-43504.89</v>
      </c>
      <c r="I34" s="157">
        <f t="shared" si="0"/>
        <v>0</v>
      </c>
    </row>
    <row r="35" spans="1:9" x14ac:dyDescent="0.35">
      <c r="A35" t="s">
        <v>334</v>
      </c>
      <c r="B35" t="s">
        <v>239</v>
      </c>
      <c r="G35" s="19">
        <v>-73565.42</v>
      </c>
      <c r="H35" s="156">
        <f>VLOOKUP(A35,'PL Mensual 2026'!I:O,7,0)</f>
        <v>-73565.42</v>
      </c>
      <c r="I35" s="157">
        <f t="shared" si="0"/>
        <v>0</v>
      </c>
    </row>
    <row r="36" spans="1:9" x14ac:dyDescent="0.35">
      <c r="A36" t="s">
        <v>122</v>
      </c>
      <c r="B36" t="s">
        <v>239</v>
      </c>
      <c r="G36" s="19">
        <v>-104048.18</v>
      </c>
      <c r="H36" s="156">
        <f>VLOOKUP(A36,'PL Mensual 2026'!I:O,7,0)</f>
        <v>-104048.18</v>
      </c>
      <c r="I36" s="157">
        <f t="shared" si="0"/>
        <v>0</v>
      </c>
    </row>
    <row r="37" spans="1:9" x14ac:dyDescent="0.35">
      <c r="A37" t="s">
        <v>126</v>
      </c>
      <c r="B37" t="s">
        <v>239</v>
      </c>
      <c r="G37" t="s">
        <v>397</v>
      </c>
      <c r="H37" s="156" t="e">
        <f>VLOOKUP(A37,'PL Mensual 2026'!I:O,7,0)</f>
        <v>#N/A</v>
      </c>
      <c r="I37" s="157"/>
    </row>
    <row r="38" spans="1:9" x14ac:dyDescent="0.35">
      <c r="A38" t="s">
        <v>336</v>
      </c>
      <c r="B38" t="s">
        <v>239</v>
      </c>
      <c r="G38" s="19">
        <v>-30856.34</v>
      </c>
      <c r="H38" s="156">
        <f>VLOOKUP(A38,'PL Mensual 2026'!I:O,7,0)</f>
        <v>-30856.34</v>
      </c>
      <c r="I38" s="157">
        <f t="shared" si="0"/>
        <v>0</v>
      </c>
    </row>
    <row r="39" spans="1:9" x14ac:dyDescent="0.35">
      <c r="A39" t="s">
        <v>136</v>
      </c>
      <c r="B39" t="s">
        <v>239</v>
      </c>
      <c r="G39">
        <v>-88</v>
      </c>
      <c r="H39" s="156">
        <f>VLOOKUP(A39,'PL Mensual 2026'!I:O,7,0)</f>
        <v>-88</v>
      </c>
      <c r="I39" s="157">
        <f t="shared" si="0"/>
        <v>0</v>
      </c>
    </row>
    <row r="40" spans="1:9" x14ac:dyDescent="0.35">
      <c r="A40" t="s">
        <v>143</v>
      </c>
      <c r="B40" t="s">
        <v>239</v>
      </c>
      <c r="G40">
        <v>-487.47</v>
      </c>
      <c r="H40" s="156">
        <f>VLOOKUP(A40,'PL Mensual 2026'!I:O,7,0)</f>
        <v>-487.47</v>
      </c>
      <c r="I40" s="157">
        <f t="shared" si="0"/>
        <v>0</v>
      </c>
    </row>
    <row r="41" spans="1:9" x14ac:dyDescent="0.35">
      <c r="A41" t="s">
        <v>144</v>
      </c>
      <c r="B41" t="s">
        <v>239</v>
      </c>
      <c r="G41" s="19">
        <v>-1464.58</v>
      </c>
      <c r="H41" s="156">
        <f>VLOOKUP(A41,'PL Mensual 2026'!I:O,7,0)</f>
        <v>-1464.58</v>
      </c>
      <c r="I41" s="157">
        <f t="shared" si="0"/>
        <v>0</v>
      </c>
    </row>
    <row r="42" spans="1:9" x14ac:dyDescent="0.35">
      <c r="A42" t="s">
        <v>145</v>
      </c>
      <c r="B42" t="s">
        <v>239</v>
      </c>
      <c r="G42" s="19">
        <v>-1476.12</v>
      </c>
      <c r="H42" s="156">
        <f>VLOOKUP(A42,'PL Mensual 2026'!I:O,7,0)</f>
        <v>-1476.12</v>
      </c>
      <c r="I42" s="157">
        <f t="shared" si="0"/>
        <v>0</v>
      </c>
    </row>
    <row r="43" spans="1:9" x14ac:dyDescent="0.35">
      <c r="A43" t="s">
        <v>147</v>
      </c>
      <c r="B43" t="s">
        <v>239</v>
      </c>
      <c r="G43">
        <v>-192</v>
      </c>
      <c r="H43" s="156">
        <f>VLOOKUP(A43,'PL Mensual 2026'!I:O,7,0)</f>
        <v>-192</v>
      </c>
      <c r="I43" s="157">
        <f t="shared" si="0"/>
        <v>0</v>
      </c>
    </row>
    <row r="44" spans="1:9" x14ac:dyDescent="0.35">
      <c r="A44" t="s">
        <v>401</v>
      </c>
      <c r="B44" t="s">
        <v>239</v>
      </c>
      <c r="G44" s="19">
        <v>-15421.92</v>
      </c>
      <c r="H44" s="156">
        <f>VLOOKUP(A44,'PL Mensual 2026'!I:O,7,0)</f>
        <v>-15421.92</v>
      </c>
      <c r="I44" s="157">
        <f t="shared" si="0"/>
        <v>0</v>
      </c>
    </row>
    <row r="45" spans="1:9" x14ac:dyDescent="0.35">
      <c r="A45" t="s">
        <v>341</v>
      </c>
      <c r="B45" t="s">
        <v>239</v>
      </c>
      <c r="G45" t="s">
        <v>397</v>
      </c>
      <c r="H45" s="156" t="str">
        <f>VLOOKUP(A45,'PL Mensual 2026'!I:O,7,0)</f>
        <v xml:space="preserve">                            -  </v>
      </c>
      <c r="I45" s="157"/>
    </row>
    <row r="46" spans="1:9" x14ac:dyDescent="0.35">
      <c r="A46" t="s">
        <v>148</v>
      </c>
      <c r="B46" t="s">
        <v>239</v>
      </c>
      <c r="G46" t="s">
        <v>397</v>
      </c>
      <c r="H46" s="156" t="str">
        <f>VLOOKUP(A46,'PL Mensual 2026'!I:O,7,0)</f>
        <v xml:space="preserve">                            -  </v>
      </c>
      <c r="I46" s="157"/>
    </row>
    <row r="47" spans="1:9" x14ac:dyDescent="0.35">
      <c r="A47" t="s">
        <v>344</v>
      </c>
      <c r="B47" t="s">
        <v>239</v>
      </c>
      <c r="G47">
        <v>-338</v>
      </c>
      <c r="H47" s="156">
        <f>VLOOKUP(A47,'PL Mensual 2026'!I:O,7,0)</f>
        <v>-338</v>
      </c>
      <c r="I47" s="157">
        <f t="shared" si="0"/>
        <v>0</v>
      </c>
    </row>
    <row r="48" spans="1:9" x14ac:dyDescent="0.35">
      <c r="A48" t="s">
        <v>345</v>
      </c>
      <c r="B48" t="s">
        <v>239</v>
      </c>
      <c r="G48">
        <v>-443.49</v>
      </c>
      <c r="H48" s="156">
        <f>VLOOKUP(A48,'PL Mensual 2026'!I:O,7,0)</f>
        <v>-443.49</v>
      </c>
      <c r="I48" s="157">
        <f t="shared" si="0"/>
        <v>0</v>
      </c>
    </row>
    <row r="49" spans="1:9" x14ac:dyDescent="0.35">
      <c r="A49" t="s">
        <v>346</v>
      </c>
      <c r="B49" t="s">
        <v>239</v>
      </c>
      <c r="G49">
        <v>-399.42</v>
      </c>
      <c r="H49" s="156">
        <f>VLOOKUP(A49,'PL Mensual 2026'!I:O,7,0)</f>
        <v>-399.42</v>
      </c>
      <c r="I49" s="157">
        <f t="shared" si="0"/>
        <v>0</v>
      </c>
    </row>
    <row r="50" spans="1:9" x14ac:dyDescent="0.35">
      <c r="A50" t="s">
        <v>347</v>
      </c>
      <c r="B50" t="s">
        <v>239</v>
      </c>
      <c r="G50" t="s">
        <v>397</v>
      </c>
      <c r="H50" s="156" t="str">
        <f>VLOOKUP(A50,'PL Mensual 2026'!I:O,7,0)</f>
        <v xml:space="preserve">                            -  </v>
      </c>
      <c r="I50" s="157"/>
    </row>
    <row r="51" spans="1:9" x14ac:dyDescent="0.35">
      <c r="A51" t="s">
        <v>350</v>
      </c>
      <c r="B51" t="s">
        <v>239</v>
      </c>
      <c r="G51">
        <v>-200</v>
      </c>
      <c r="H51" s="156">
        <f>VLOOKUP(A51,'PL Mensual 2026'!I:O,7,0)</f>
        <v>-200</v>
      </c>
      <c r="I51" s="157">
        <f t="shared" si="0"/>
        <v>0</v>
      </c>
    </row>
    <row r="52" spans="1:9" x14ac:dyDescent="0.35">
      <c r="A52" t="s">
        <v>351</v>
      </c>
      <c r="B52" t="s">
        <v>239</v>
      </c>
      <c r="G52">
        <v>-200.22</v>
      </c>
      <c r="H52" s="156">
        <f>VLOOKUP(A52,'PL Mensual 2026'!I:O,7,0)</f>
        <v>-200.22</v>
      </c>
      <c r="I52" s="157">
        <f t="shared" si="0"/>
        <v>0</v>
      </c>
    </row>
    <row r="53" spans="1:9" x14ac:dyDescent="0.35">
      <c r="A53" t="s">
        <v>352</v>
      </c>
      <c r="B53" t="s">
        <v>239</v>
      </c>
      <c r="G53" t="s">
        <v>397</v>
      </c>
      <c r="H53" s="156" t="str">
        <f>VLOOKUP(A53,'PL Mensual 2026'!I:O,7,0)</f>
        <v xml:space="preserve">                            -  </v>
      </c>
      <c r="I53" s="157"/>
    </row>
    <row r="54" spans="1:9" x14ac:dyDescent="0.35">
      <c r="A54" t="s">
        <v>353</v>
      </c>
      <c r="B54" t="s">
        <v>239</v>
      </c>
      <c r="G54" s="19">
        <v>-1172.1400000000001</v>
      </c>
      <c r="H54" s="156">
        <f>VLOOKUP(A54,'PL Mensual 2026'!I:O,7,0)</f>
        <v>-1172.1400000000001</v>
      </c>
      <c r="I54" s="157">
        <f t="shared" si="0"/>
        <v>0</v>
      </c>
    </row>
    <row r="55" spans="1:9" x14ac:dyDescent="0.35">
      <c r="A55" t="s">
        <v>354</v>
      </c>
      <c r="B55" t="s">
        <v>239</v>
      </c>
      <c r="G55" s="19">
        <v>-1015.21</v>
      </c>
      <c r="H55" s="156">
        <f>VLOOKUP(A55,'PL Mensual 2026'!I:O,7,0)</f>
        <v>-1015.21</v>
      </c>
      <c r="I55" s="157">
        <f t="shared" si="0"/>
        <v>0</v>
      </c>
    </row>
    <row r="56" spans="1:9" x14ac:dyDescent="0.35">
      <c r="A56" t="s">
        <v>355</v>
      </c>
      <c r="B56" t="s">
        <v>239</v>
      </c>
      <c r="G56">
        <v>-677.53</v>
      </c>
      <c r="H56" s="156">
        <f>VLOOKUP(A56,'PL Mensual 2026'!I:O,7,0)</f>
        <v>-677.53</v>
      </c>
      <c r="I56" s="157">
        <f t="shared" si="0"/>
        <v>0</v>
      </c>
    </row>
    <row r="57" spans="1:9" x14ac:dyDescent="0.35">
      <c r="A57" t="s">
        <v>356</v>
      </c>
      <c r="B57" t="s">
        <v>239</v>
      </c>
      <c r="G57" s="19">
        <v>-1600</v>
      </c>
      <c r="H57" s="156">
        <f>VLOOKUP(A57,'PL Mensual 2026'!I:O,7,0)</f>
        <v>-1600</v>
      </c>
      <c r="I57" s="157">
        <f t="shared" si="0"/>
        <v>0</v>
      </c>
    </row>
    <row r="58" spans="1:9" x14ac:dyDescent="0.35">
      <c r="A58" t="s">
        <v>149</v>
      </c>
      <c r="B58" t="s">
        <v>239</v>
      </c>
      <c r="G58" s="19">
        <v>-1208.01</v>
      </c>
      <c r="H58" s="156">
        <f>VLOOKUP(A58,'PL Mensual 2026'!I:O,7,0)</f>
        <v>-1208.01</v>
      </c>
      <c r="I58" s="157">
        <f t="shared" si="0"/>
        <v>0</v>
      </c>
    </row>
    <row r="59" spans="1:9" x14ac:dyDescent="0.35">
      <c r="A59" t="s">
        <v>311</v>
      </c>
      <c r="B59" t="s">
        <v>239</v>
      </c>
      <c r="G59">
        <v>-665</v>
      </c>
      <c r="H59" s="156">
        <f>VLOOKUP(A59,'PL Mensual 2026'!I:O,7,0)</f>
        <v>0</v>
      </c>
      <c r="I59" s="157">
        <f t="shared" si="0"/>
        <v>-665</v>
      </c>
    </row>
    <row r="60" spans="1:9" x14ac:dyDescent="0.35">
      <c r="A60" t="s">
        <v>393</v>
      </c>
      <c r="B60" t="s">
        <v>399</v>
      </c>
      <c r="G60">
        <v>665</v>
      </c>
      <c r="H60" s="156" t="e">
        <f>VLOOKUP(A60,'PL Mensual 2026'!I:O,7,0)</f>
        <v>#N/A</v>
      </c>
      <c r="I60" s="157" t="e">
        <f t="shared" si="0"/>
        <v>#N/A</v>
      </c>
    </row>
    <row r="61" spans="1:9" x14ac:dyDescent="0.35">
      <c r="A61" t="s">
        <v>357</v>
      </c>
      <c r="B61" t="s">
        <v>239</v>
      </c>
      <c r="G61" t="s">
        <v>397</v>
      </c>
      <c r="H61" s="156" t="str">
        <f>VLOOKUP(A61,'PL Mensual 2026'!I:O,7,0)</f>
        <v xml:space="preserve">                            -  </v>
      </c>
      <c r="I61" s="157"/>
    </row>
    <row r="62" spans="1:9" x14ac:dyDescent="0.35">
      <c r="A62" t="s">
        <v>358</v>
      </c>
      <c r="B62" t="s">
        <v>239</v>
      </c>
      <c r="G62" t="s">
        <v>397</v>
      </c>
      <c r="H62" s="156" t="str">
        <f>VLOOKUP(A62,'PL Mensual 2026'!I:O,7,0)</f>
        <v xml:space="preserve">                            -  </v>
      </c>
      <c r="I62" s="157"/>
    </row>
    <row r="63" spans="1:9" x14ac:dyDescent="0.35">
      <c r="A63" t="s">
        <v>151</v>
      </c>
      <c r="B63" t="s">
        <v>239</v>
      </c>
      <c r="G63">
        <v>-183.66</v>
      </c>
      <c r="H63" s="156">
        <f>VLOOKUP(A63,'PL Mensual 2026'!I:O,7,0)</f>
        <v>-183.66</v>
      </c>
      <c r="I63" s="157">
        <f t="shared" si="0"/>
        <v>0</v>
      </c>
    </row>
    <row r="64" spans="1:9" x14ac:dyDescent="0.35">
      <c r="A64" t="s">
        <v>359</v>
      </c>
      <c r="B64" t="s">
        <v>239</v>
      </c>
      <c r="G64" t="s">
        <v>397</v>
      </c>
      <c r="H64" s="156" t="str">
        <f>VLOOKUP(A64,'PL Mensual 2026'!I:O,7,0)</f>
        <v xml:space="preserve">                            -  </v>
      </c>
      <c r="I64" s="157"/>
    </row>
    <row r="65" spans="1:9" x14ac:dyDescent="0.35">
      <c r="A65" t="s">
        <v>152</v>
      </c>
      <c r="B65" t="s">
        <v>239</v>
      </c>
      <c r="G65" t="s">
        <v>397</v>
      </c>
      <c r="H65" s="156" t="str">
        <f>VLOOKUP(A65,'PL Mensual 2026'!I:O,7,0)</f>
        <v xml:space="preserve">                            -  </v>
      </c>
      <c r="I65" s="157"/>
    </row>
    <row r="66" spans="1:9" x14ac:dyDescent="0.35">
      <c r="A66" t="s">
        <v>360</v>
      </c>
      <c r="B66" t="s">
        <v>239</v>
      </c>
      <c r="G66" t="s">
        <v>397</v>
      </c>
      <c r="H66" s="156" t="str">
        <f>VLOOKUP(A66,'PL Mensual 2026'!I:O,7,0)</f>
        <v xml:space="preserve">                            -  </v>
      </c>
      <c r="I66" s="157"/>
    </row>
    <row r="67" spans="1:9" x14ac:dyDescent="0.35">
      <c r="A67" t="s">
        <v>361</v>
      </c>
      <c r="B67" t="s">
        <v>239</v>
      </c>
      <c r="G67" t="s">
        <v>397</v>
      </c>
      <c r="H67" s="156" t="str">
        <f>VLOOKUP(A67,'PL Mensual 2026'!I:O,7,0)</f>
        <v xml:space="preserve">                            -  </v>
      </c>
      <c r="I67" s="157"/>
    </row>
    <row r="68" spans="1:9" x14ac:dyDescent="0.35">
      <c r="A68" t="s">
        <v>154</v>
      </c>
      <c r="B68" t="s">
        <v>239</v>
      </c>
      <c r="G68">
        <v>-942.88</v>
      </c>
      <c r="H68" s="156">
        <f>VLOOKUP(A68,'PL Mensual 2026'!I:O,7,0)</f>
        <v>-942.88</v>
      </c>
      <c r="I68" s="157">
        <f t="shared" ref="I68:I130" si="1">G68-H68</f>
        <v>0</v>
      </c>
    </row>
    <row r="69" spans="1:9" x14ac:dyDescent="0.35">
      <c r="A69" t="s">
        <v>155</v>
      </c>
      <c r="B69" t="s">
        <v>239</v>
      </c>
      <c r="G69" t="s">
        <v>397</v>
      </c>
      <c r="H69" s="156" t="str">
        <f>VLOOKUP(A69,'PL Mensual 2026'!I:O,7,0)</f>
        <v xml:space="preserve">                            -  </v>
      </c>
      <c r="I69" s="157"/>
    </row>
    <row r="70" spans="1:9" x14ac:dyDescent="0.35">
      <c r="A70" t="s">
        <v>156</v>
      </c>
      <c r="B70" t="s">
        <v>239</v>
      </c>
      <c r="G70" t="s">
        <v>397</v>
      </c>
      <c r="H70" s="156" t="str">
        <f>VLOOKUP(A70,'PL Mensual 2026'!I:O,7,0)</f>
        <v xml:space="preserve">                            -  </v>
      </c>
      <c r="I70" s="157"/>
    </row>
    <row r="71" spans="1:9" x14ac:dyDescent="0.35">
      <c r="A71" t="s">
        <v>157</v>
      </c>
      <c r="B71" t="s">
        <v>239</v>
      </c>
      <c r="G71" s="19">
        <v>-1092.45</v>
      </c>
      <c r="H71" s="156">
        <f>VLOOKUP(A71,'PL Mensual 2026'!I:O,7,0)</f>
        <v>-1092.45</v>
      </c>
      <c r="I71" s="157">
        <f t="shared" si="1"/>
        <v>0</v>
      </c>
    </row>
    <row r="72" spans="1:9" x14ac:dyDescent="0.35">
      <c r="A72" t="s">
        <v>158</v>
      </c>
      <c r="B72" t="s">
        <v>239</v>
      </c>
      <c r="G72">
        <v>-799.04</v>
      </c>
      <c r="H72" s="156">
        <f>VLOOKUP(A72,'PL Mensual 2026'!I:O,7,0)</f>
        <v>-799.04</v>
      </c>
      <c r="I72" s="157">
        <f t="shared" si="1"/>
        <v>0</v>
      </c>
    </row>
    <row r="73" spans="1:9" x14ac:dyDescent="0.35">
      <c r="A73" t="s">
        <v>159</v>
      </c>
      <c r="B73" t="s">
        <v>239</v>
      </c>
      <c r="G73" t="s">
        <v>397</v>
      </c>
      <c r="H73" s="156" t="str">
        <f>VLOOKUP(A73,'PL Mensual 2026'!I:O,7,0)</f>
        <v xml:space="preserve">                            -  </v>
      </c>
      <c r="I73" s="157"/>
    </row>
    <row r="74" spans="1:9" x14ac:dyDescent="0.35">
      <c r="A74" t="s">
        <v>161</v>
      </c>
      <c r="B74" t="s">
        <v>239</v>
      </c>
      <c r="G74" s="19">
        <v>-21698</v>
      </c>
      <c r="H74" s="156">
        <f>VLOOKUP(A74,'PL Mensual 2026'!I:O,7,0)</f>
        <v>-21698</v>
      </c>
      <c r="I74" s="157">
        <f t="shared" si="1"/>
        <v>0</v>
      </c>
    </row>
    <row r="75" spans="1:9" x14ac:dyDescent="0.35">
      <c r="A75" t="s">
        <v>363</v>
      </c>
      <c r="B75" t="s">
        <v>239</v>
      </c>
      <c r="G75" s="19">
        <v>-2891.19</v>
      </c>
      <c r="H75" s="156">
        <f>VLOOKUP(A75,'PL Mensual 2026'!I:O,7,0)</f>
        <v>-2891.19</v>
      </c>
      <c r="I75" s="157">
        <f t="shared" si="1"/>
        <v>0</v>
      </c>
    </row>
    <row r="76" spans="1:9" x14ac:dyDescent="0.35">
      <c r="A76" t="s">
        <v>364</v>
      </c>
      <c r="B76" t="s">
        <v>239</v>
      </c>
      <c r="G76" s="19">
        <v>-2271.2399999999998</v>
      </c>
      <c r="H76" s="156">
        <f>VLOOKUP(A76,'PL Mensual 2026'!I:O,7,0)</f>
        <v>-2271.2399999999998</v>
      </c>
      <c r="I76" s="157">
        <f t="shared" si="1"/>
        <v>0</v>
      </c>
    </row>
    <row r="77" spans="1:9" x14ac:dyDescent="0.35">
      <c r="A77" t="s">
        <v>162</v>
      </c>
      <c r="B77" t="s">
        <v>239</v>
      </c>
      <c r="G77" s="19">
        <v>-1574.71</v>
      </c>
      <c r="H77" s="156">
        <f>VLOOKUP(A77,'PL Mensual 2026'!I:O,7,0)</f>
        <v>-1574.71</v>
      </c>
      <c r="I77" s="157">
        <f t="shared" si="1"/>
        <v>0</v>
      </c>
    </row>
    <row r="78" spans="1:9" x14ac:dyDescent="0.35">
      <c r="A78" t="s">
        <v>365</v>
      </c>
      <c r="B78" t="s">
        <v>239</v>
      </c>
      <c r="G78">
        <v>-429</v>
      </c>
      <c r="H78" s="156">
        <f>VLOOKUP(A78,'PL Mensual 2026'!I:O,7,0)</f>
        <v>-429</v>
      </c>
      <c r="I78" s="157">
        <f t="shared" si="1"/>
        <v>0</v>
      </c>
    </row>
    <row r="79" spans="1:9" x14ac:dyDescent="0.35">
      <c r="A79" t="s">
        <v>163</v>
      </c>
      <c r="B79" t="s">
        <v>239</v>
      </c>
      <c r="G79" s="19">
        <v>-4225.22</v>
      </c>
      <c r="H79" s="156">
        <f>VLOOKUP(A79,'PL Mensual 2026'!I:O,7,0)</f>
        <v>-4225.22</v>
      </c>
      <c r="I79" s="157">
        <f t="shared" si="1"/>
        <v>0</v>
      </c>
    </row>
    <row r="80" spans="1:9" x14ac:dyDescent="0.35">
      <c r="A80" t="s">
        <v>366</v>
      </c>
      <c r="B80" t="s">
        <v>239</v>
      </c>
      <c r="G80">
        <v>-141.55000000000001</v>
      </c>
      <c r="H80" s="156">
        <f>VLOOKUP(A80,'PL Mensual 2026'!I:O,7,0)</f>
        <v>-141.55000000000001</v>
      </c>
      <c r="I80" s="157">
        <f t="shared" si="1"/>
        <v>0</v>
      </c>
    </row>
    <row r="81" spans="1:9" x14ac:dyDescent="0.35">
      <c r="A81" t="s">
        <v>164</v>
      </c>
      <c r="B81" t="s">
        <v>239</v>
      </c>
      <c r="G81" t="s">
        <v>397</v>
      </c>
      <c r="H81" s="156" t="str">
        <f>VLOOKUP(A81,'PL Mensual 2026'!I:O,7,0)</f>
        <v xml:space="preserve">                            -  </v>
      </c>
      <c r="I81" s="157"/>
    </row>
    <row r="82" spans="1:9" x14ac:dyDescent="0.35">
      <c r="A82" t="s">
        <v>402</v>
      </c>
      <c r="B82" t="s">
        <v>239</v>
      </c>
      <c r="G82" s="19">
        <v>-3398.55</v>
      </c>
      <c r="H82" s="156">
        <f>VLOOKUP(A82,'PL Mensual 2026'!I:O,7,0)</f>
        <v>-3398.55</v>
      </c>
      <c r="I82" s="157">
        <f t="shared" si="1"/>
        <v>0</v>
      </c>
    </row>
    <row r="83" spans="1:9" x14ac:dyDescent="0.35">
      <c r="A83" t="s">
        <v>166</v>
      </c>
      <c r="B83" t="s">
        <v>239</v>
      </c>
      <c r="G83">
        <v>-377.56</v>
      </c>
      <c r="H83" s="156">
        <f>VLOOKUP(A83,'PL Mensual 2026'!I:O,7,0)</f>
        <v>-377.56</v>
      </c>
      <c r="I83" s="157">
        <f t="shared" si="1"/>
        <v>0</v>
      </c>
    </row>
    <row r="84" spans="1:9" x14ac:dyDescent="0.35">
      <c r="A84" t="s">
        <v>168</v>
      </c>
      <c r="B84" t="s">
        <v>239</v>
      </c>
      <c r="G84" t="s">
        <v>397</v>
      </c>
      <c r="H84" s="156" t="str">
        <f>VLOOKUP(A84,'PL Mensual 2026'!I:O,7,0)</f>
        <v xml:space="preserve">                            -  </v>
      </c>
      <c r="I84" s="157"/>
    </row>
    <row r="85" spans="1:9" x14ac:dyDescent="0.35">
      <c r="A85" t="s">
        <v>367</v>
      </c>
      <c r="B85" t="s">
        <v>239</v>
      </c>
      <c r="G85">
        <v>-53.14</v>
      </c>
      <c r="H85" s="156">
        <f>VLOOKUP(A85,'PL Mensual 2026'!I:O,7,0)</f>
        <v>-53.14</v>
      </c>
      <c r="I85" s="157">
        <f t="shared" si="1"/>
        <v>0</v>
      </c>
    </row>
    <row r="86" spans="1:9" x14ac:dyDescent="0.35">
      <c r="A86" t="s">
        <v>368</v>
      </c>
      <c r="B86" t="s">
        <v>239</v>
      </c>
      <c r="G86" t="s">
        <v>397</v>
      </c>
      <c r="H86" s="156" t="str">
        <f>VLOOKUP(A86,'PL Mensual 2026'!I:O,7,0)</f>
        <v xml:space="preserve">                            -  </v>
      </c>
      <c r="I86" s="157"/>
    </row>
    <row r="87" spans="1:9" x14ac:dyDescent="0.35">
      <c r="A87" t="s">
        <v>369</v>
      </c>
      <c r="B87" t="s">
        <v>239</v>
      </c>
      <c r="G87" t="s">
        <v>397</v>
      </c>
      <c r="H87" s="156" t="str">
        <f>VLOOKUP(A87,'PL Mensual 2026'!I:O,7,0)</f>
        <v xml:space="preserve">                            -  </v>
      </c>
      <c r="I87" s="157"/>
    </row>
    <row r="88" spans="1:9" x14ac:dyDescent="0.35">
      <c r="A88" t="s">
        <v>169</v>
      </c>
      <c r="B88" t="s">
        <v>239</v>
      </c>
      <c r="G88">
        <v>-53.12</v>
      </c>
      <c r="H88" s="156">
        <f>VLOOKUP(A88,'PL Mensual 2026'!I:O,7,0)</f>
        <v>-53.12</v>
      </c>
      <c r="I88" s="157">
        <f t="shared" si="1"/>
        <v>0</v>
      </c>
    </row>
    <row r="89" spans="1:9" x14ac:dyDescent="0.35">
      <c r="A89" t="s">
        <v>370</v>
      </c>
      <c r="B89" t="s">
        <v>239</v>
      </c>
      <c r="G89" t="s">
        <v>397</v>
      </c>
      <c r="H89" s="156" t="str">
        <f>VLOOKUP(A89,'PL Mensual 2026'!I:O,7,0)</f>
        <v xml:space="preserve">                            -  </v>
      </c>
      <c r="I89" s="157"/>
    </row>
    <row r="90" spans="1:9" x14ac:dyDescent="0.35">
      <c r="A90" t="s">
        <v>371</v>
      </c>
      <c r="B90" t="s">
        <v>239</v>
      </c>
      <c r="G90" t="s">
        <v>397</v>
      </c>
      <c r="H90" s="156" t="str">
        <f>VLOOKUP(A90,'PL Mensual 2026'!I:O,7,0)</f>
        <v xml:space="preserve">                            -  </v>
      </c>
      <c r="I90" s="157"/>
    </row>
    <row r="91" spans="1:9" x14ac:dyDescent="0.35">
      <c r="A91" t="s">
        <v>372</v>
      </c>
      <c r="B91" t="s">
        <v>239</v>
      </c>
      <c r="G91" t="s">
        <v>397</v>
      </c>
      <c r="H91" s="156" t="str">
        <f>VLOOKUP(A91,'PL Mensual 2026'!I:O,7,0)</f>
        <v xml:space="preserve">                            -  </v>
      </c>
      <c r="I91" s="157"/>
    </row>
    <row r="92" spans="1:9" x14ac:dyDescent="0.35">
      <c r="A92" t="s">
        <v>403</v>
      </c>
      <c r="B92" t="s">
        <v>239</v>
      </c>
      <c r="G92">
        <v>-53.12</v>
      </c>
      <c r="H92" s="156">
        <f>VLOOKUP(A92,'PL Mensual 2026'!I:O,7,0)</f>
        <v>-53.12</v>
      </c>
      <c r="I92" s="157">
        <f t="shared" si="1"/>
        <v>0</v>
      </c>
    </row>
    <row r="93" spans="1:9" x14ac:dyDescent="0.35">
      <c r="A93" t="s">
        <v>171</v>
      </c>
      <c r="B93" t="s">
        <v>239</v>
      </c>
      <c r="G93" t="s">
        <v>397</v>
      </c>
      <c r="H93" s="156" t="str">
        <f>VLOOKUP(A93,'PL Mensual 2026'!I:O,7,0)</f>
        <v xml:space="preserve">                            -  </v>
      </c>
      <c r="I93" s="157"/>
    </row>
    <row r="94" spans="1:9" x14ac:dyDescent="0.35">
      <c r="A94" t="s">
        <v>373</v>
      </c>
      <c r="B94" t="s">
        <v>239</v>
      </c>
      <c r="G94" t="s">
        <v>397</v>
      </c>
      <c r="H94" s="156" t="str">
        <f>VLOOKUP(A94,'PL Mensual 2026'!I:O,7,0)</f>
        <v xml:space="preserve">                            -  </v>
      </c>
      <c r="I94" s="157"/>
    </row>
    <row r="95" spans="1:9" x14ac:dyDescent="0.35">
      <c r="A95" t="s">
        <v>374</v>
      </c>
      <c r="B95" t="s">
        <v>239</v>
      </c>
      <c r="G95">
        <v>-53.12</v>
      </c>
      <c r="H95" s="156">
        <f>VLOOKUP(A95,'PL Mensual 2026'!I:O,7,0)</f>
        <v>-53.12</v>
      </c>
      <c r="I95" s="157">
        <f t="shared" si="1"/>
        <v>0</v>
      </c>
    </row>
    <row r="96" spans="1:9" x14ac:dyDescent="0.35">
      <c r="A96" t="s">
        <v>174</v>
      </c>
      <c r="B96" t="s">
        <v>239</v>
      </c>
      <c r="G96" s="19">
        <v>-17966.84</v>
      </c>
      <c r="H96" s="156">
        <f>VLOOKUP(A96,'PL Mensual 2026'!I:O,7,0)</f>
        <v>-17966.84</v>
      </c>
      <c r="I96" s="157">
        <f t="shared" si="1"/>
        <v>0</v>
      </c>
    </row>
    <row r="97" spans="1:9" x14ac:dyDescent="0.35">
      <c r="A97" t="s">
        <v>175</v>
      </c>
      <c r="B97" t="s">
        <v>239</v>
      </c>
      <c r="G97">
        <v>-951.38</v>
      </c>
      <c r="H97" s="156">
        <f>VLOOKUP(A97,'PL Mensual 2026'!I:O,7,0)</f>
        <v>-951.38</v>
      </c>
      <c r="I97" s="157">
        <f t="shared" si="1"/>
        <v>0</v>
      </c>
    </row>
    <row r="98" spans="1:9" x14ac:dyDescent="0.35">
      <c r="A98" t="s">
        <v>176</v>
      </c>
      <c r="B98" t="s">
        <v>239</v>
      </c>
      <c r="G98" s="19">
        <v>-6790.44</v>
      </c>
      <c r="H98" s="156">
        <f>VLOOKUP(A98,'PL Mensual 2026'!I:O,7,0)</f>
        <v>-6790.44</v>
      </c>
      <c r="I98" s="157">
        <f t="shared" si="1"/>
        <v>0</v>
      </c>
    </row>
    <row r="99" spans="1:9" x14ac:dyDescent="0.35">
      <c r="A99" t="s">
        <v>177</v>
      </c>
      <c r="B99" t="s">
        <v>239</v>
      </c>
      <c r="G99" t="s">
        <v>397</v>
      </c>
      <c r="H99" s="156" t="str">
        <f>VLOOKUP(A99,'PL Mensual 2026'!I:O,7,0)</f>
        <v xml:space="preserve">                            -  </v>
      </c>
      <c r="I99" s="157"/>
    </row>
    <row r="100" spans="1:9" x14ac:dyDescent="0.35">
      <c r="A100" t="s">
        <v>178</v>
      </c>
      <c r="B100" t="s">
        <v>239</v>
      </c>
      <c r="G100" t="s">
        <v>397</v>
      </c>
      <c r="H100" s="156" t="str">
        <f>VLOOKUP(A100,'PL Mensual 2026'!I:O,7,0)</f>
        <v xml:space="preserve">                            -  </v>
      </c>
      <c r="I100" s="157"/>
    </row>
    <row r="101" spans="1:9" x14ac:dyDescent="0.35">
      <c r="A101" t="s">
        <v>179</v>
      </c>
      <c r="B101" t="s">
        <v>239</v>
      </c>
      <c r="G101" t="s">
        <v>397</v>
      </c>
      <c r="H101" s="156" t="str">
        <f>VLOOKUP(A101,'PL Mensual 2026'!I:O,7,0)</f>
        <v xml:space="preserve">                            -  </v>
      </c>
      <c r="I101" s="157"/>
    </row>
    <row r="102" spans="1:9" x14ac:dyDescent="0.35">
      <c r="A102" t="s">
        <v>182</v>
      </c>
      <c r="B102" t="s">
        <v>239</v>
      </c>
      <c r="G102" t="s">
        <v>397</v>
      </c>
      <c r="H102" s="156" t="str">
        <f>VLOOKUP(A102,'PL Mensual 2026'!I:O,7,0)</f>
        <v xml:space="preserve">                            -  </v>
      </c>
      <c r="I102" s="157"/>
    </row>
    <row r="103" spans="1:9" x14ac:dyDescent="0.35">
      <c r="A103" t="s">
        <v>183</v>
      </c>
      <c r="B103" t="s">
        <v>239</v>
      </c>
      <c r="G103" s="19">
        <v>-5788.51</v>
      </c>
      <c r="H103" s="156">
        <f>VLOOKUP(A103,'PL Mensual 2026'!I:O,7,0)</f>
        <v>-5788.51</v>
      </c>
      <c r="I103" s="157">
        <f t="shared" si="1"/>
        <v>0</v>
      </c>
    </row>
    <row r="104" spans="1:9" x14ac:dyDescent="0.35">
      <c r="A104" t="s">
        <v>184</v>
      </c>
      <c r="B104" t="s">
        <v>239</v>
      </c>
      <c r="G104" t="s">
        <v>397</v>
      </c>
      <c r="H104" s="156" t="str">
        <f>VLOOKUP(A104,'PL Mensual 2026'!I:O,7,0)</f>
        <v xml:space="preserve">                            -  </v>
      </c>
      <c r="I104" s="157"/>
    </row>
    <row r="105" spans="1:9" x14ac:dyDescent="0.35">
      <c r="A105" t="s">
        <v>376</v>
      </c>
      <c r="B105" t="s">
        <v>239</v>
      </c>
      <c r="G105">
        <v>-8.4700000000000006</v>
      </c>
      <c r="H105" s="156">
        <f>VLOOKUP(A105,'PL Mensual 2026'!I:O,7,0)</f>
        <v>-8.4700000000000006</v>
      </c>
      <c r="I105" s="157">
        <f t="shared" si="1"/>
        <v>0</v>
      </c>
    </row>
    <row r="106" spans="1:9" x14ac:dyDescent="0.35">
      <c r="A106" t="s">
        <v>377</v>
      </c>
      <c r="B106" t="s">
        <v>239</v>
      </c>
      <c r="G106">
        <v>-43.09</v>
      </c>
      <c r="H106" s="156">
        <f>VLOOKUP(A106,'PL Mensual 2026'!I:O,7,0)</f>
        <v>-43.09</v>
      </c>
      <c r="I106" s="157">
        <f t="shared" si="1"/>
        <v>0</v>
      </c>
    </row>
    <row r="107" spans="1:9" x14ac:dyDescent="0.35">
      <c r="A107" t="s">
        <v>186</v>
      </c>
      <c r="B107" t="s">
        <v>239</v>
      </c>
      <c r="G107" s="19">
        <v>-1201.98</v>
      </c>
      <c r="H107" s="156">
        <f>VLOOKUP(A107,'PL Mensual 2026'!I:O,7,0)</f>
        <v>-1201.98</v>
      </c>
      <c r="I107" s="157">
        <f t="shared" si="1"/>
        <v>0</v>
      </c>
    </row>
    <row r="108" spans="1:9" x14ac:dyDescent="0.35">
      <c r="A108" t="s">
        <v>378</v>
      </c>
      <c r="B108" t="s">
        <v>239</v>
      </c>
      <c r="G108">
        <v>-170.36</v>
      </c>
      <c r="H108" s="156">
        <f>VLOOKUP(A108,'PL Mensual 2026'!I:O,7,0)</f>
        <v>-170.36</v>
      </c>
      <c r="I108" s="157">
        <f t="shared" si="1"/>
        <v>0</v>
      </c>
    </row>
    <row r="109" spans="1:9" x14ac:dyDescent="0.35">
      <c r="A109" t="s">
        <v>191</v>
      </c>
      <c r="B109" t="s">
        <v>239</v>
      </c>
      <c r="G109" t="s">
        <v>397</v>
      </c>
      <c r="H109" s="156" t="str">
        <f>VLOOKUP(A109,'PL Mensual 2026'!I:O,7,0)</f>
        <v xml:space="preserve">                            -  </v>
      </c>
      <c r="I109" s="157"/>
    </row>
    <row r="110" spans="1:9" x14ac:dyDescent="0.35">
      <c r="A110" t="s">
        <v>192</v>
      </c>
      <c r="B110" t="s">
        <v>239</v>
      </c>
      <c r="G110">
        <v>-55</v>
      </c>
      <c r="H110" s="156">
        <f>VLOOKUP(A110,'PL Mensual 2026'!I:O,7,0)</f>
        <v>-55</v>
      </c>
      <c r="I110" s="157">
        <f t="shared" si="1"/>
        <v>0</v>
      </c>
    </row>
    <row r="111" spans="1:9" x14ac:dyDescent="0.35">
      <c r="A111" t="s">
        <v>193</v>
      </c>
      <c r="B111" t="s">
        <v>239</v>
      </c>
      <c r="G111" s="19">
        <v>-3208.9</v>
      </c>
      <c r="H111" s="156">
        <f>VLOOKUP(A111,'PL Mensual 2026'!I:O,7,0)</f>
        <v>-3208.9</v>
      </c>
      <c r="I111" s="157">
        <f t="shared" si="1"/>
        <v>0</v>
      </c>
    </row>
    <row r="112" spans="1:9" x14ac:dyDescent="0.35">
      <c r="A112" t="s">
        <v>379</v>
      </c>
      <c r="B112" t="s">
        <v>239</v>
      </c>
      <c r="G112" t="s">
        <v>397</v>
      </c>
      <c r="H112" s="156" t="str">
        <f>VLOOKUP(A112,'PL Mensual 2026'!I:O,7,0)</f>
        <v xml:space="preserve">                            -  </v>
      </c>
      <c r="I112" s="157"/>
    </row>
    <row r="113" spans="1:9" x14ac:dyDescent="0.35">
      <c r="A113" t="s">
        <v>196</v>
      </c>
      <c r="B113" t="s">
        <v>239</v>
      </c>
      <c r="G113" s="19">
        <v>-2638.99</v>
      </c>
      <c r="H113" s="156">
        <f>VLOOKUP(A113,'PL Mensual 2026'!I:O,7,0)</f>
        <v>-1115.2</v>
      </c>
      <c r="I113" s="157">
        <f t="shared" si="1"/>
        <v>-1523.7899999999997</v>
      </c>
    </row>
    <row r="114" spans="1:9" x14ac:dyDescent="0.35">
      <c r="A114" t="s">
        <v>393</v>
      </c>
      <c r="B114" t="s">
        <v>399</v>
      </c>
      <c r="G114" s="19">
        <v>1523.79</v>
      </c>
      <c r="H114" s="156" t="e">
        <f>VLOOKUP(A114,'PL Mensual 2026'!I:O,7,0)</f>
        <v>#N/A</v>
      </c>
      <c r="I114" s="157" t="e">
        <f t="shared" si="1"/>
        <v>#N/A</v>
      </c>
    </row>
    <row r="115" spans="1:9" x14ac:dyDescent="0.35">
      <c r="A115" t="s">
        <v>197</v>
      </c>
      <c r="B115" t="s">
        <v>239</v>
      </c>
      <c r="G115" t="s">
        <v>397</v>
      </c>
      <c r="H115" s="156" t="str">
        <f>VLOOKUP(A115,'PL Mensual 2026'!I:O,7,0)</f>
        <v xml:space="preserve">                            -  </v>
      </c>
      <c r="I115" s="157"/>
    </row>
    <row r="116" spans="1:9" x14ac:dyDescent="0.35">
      <c r="A116" t="s">
        <v>380</v>
      </c>
      <c r="B116" t="s">
        <v>239</v>
      </c>
      <c r="G116">
        <v>-259.61</v>
      </c>
      <c r="H116" s="156">
        <f>VLOOKUP(A116,'PL Mensual 2026'!I:O,7,0)</f>
        <v>-259.61</v>
      </c>
      <c r="I116" s="157">
        <f t="shared" si="1"/>
        <v>0</v>
      </c>
    </row>
    <row r="117" spans="1:9" x14ac:dyDescent="0.35">
      <c r="A117" t="s">
        <v>198</v>
      </c>
      <c r="B117" t="s">
        <v>239</v>
      </c>
      <c r="G117" s="19">
        <v>-1891.22</v>
      </c>
      <c r="H117" s="156">
        <f>VLOOKUP(A117,'PL Mensual 2026'!I:O,7,0)</f>
        <v>-1891.22</v>
      </c>
      <c r="I117" s="157">
        <f t="shared" si="1"/>
        <v>0</v>
      </c>
    </row>
    <row r="118" spans="1:9" x14ac:dyDescent="0.35">
      <c r="A118" t="s">
        <v>200</v>
      </c>
      <c r="B118" t="s">
        <v>239</v>
      </c>
      <c r="G118" t="s">
        <v>397</v>
      </c>
      <c r="H118" s="156" t="str">
        <f>VLOOKUP(A118,'PL Mensual 2026'!I:O,7,0)</f>
        <v xml:space="preserve">                            -  </v>
      </c>
      <c r="I118" s="157"/>
    </row>
    <row r="119" spans="1:9" x14ac:dyDescent="0.35">
      <c r="A119" t="s">
        <v>201</v>
      </c>
      <c r="B119" t="s">
        <v>239</v>
      </c>
      <c r="G119">
        <v>-277.83999999999997</v>
      </c>
      <c r="H119" s="156">
        <f>VLOOKUP(A119,'PL Mensual 2026'!I:O,7,0)</f>
        <v>-277.83999999999997</v>
      </c>
      <c r="I119" s="157">
        <f t="shared" si="1"/>
        <v>0</v>
      </c>
    </row>
    <row r="120" spans="1:9" x14ac:dyDescent="0.35">
      <c r="A120" t="s">
        <v>381</v>
      </c>
      <c r="B120" t="s">
        <v>239</v>
      </c>
      <c r="G120" t="s">
        <v>397</v>
      </c>
      <c r="H120" s="156" t="str">
        <f>VLOOKUP(A120,'PL Mensual 2026'!I:O,7,0)</f>
        <v xml:space="preserve">                            -  </v>
      </c>
      <c r="I120" s="157"/>
    </row>
    <row r="121" spans="1:9" x14ac:dyDescent="0.35">
      <c r="A121" t="s">
        <v>202</v>
      </c>
      <c r="B121" t="s">
        <v>239</v>
      </c>
      <c r="G121">
        <v>-75.94</v>
      </c>
      <c r="H121" s="156">
        <f>VLOOKUP(A121,'PL Mensual 2026'!I:O,7,0)</f>
        <v>-75.94</v>
      </c>
      <c r="I121" s="157">
        <f t="shared" si="1"/>
        <v>0</v>
      </c>
    </row>
    <row r="122" spans="1:9" x14ac:dyDescent="0.35">
      <c r="A122" t="s">
        <v>203</v>
      </c>
      <c r="B122" t="s">
        <v>239</v>
      </c>
      <c r="G122">
        <v>36.18</v>
      </c>
      <c r="H122" s="156">
        <f>VLOOKUP(A122,'PL Mensual 2026'!I:O,7,0)</f>
        <v>36.18</v>
      </c>
      <c r="I122" s="157">
        <f t="shared" si="1"/>
        <v>0</v>
      </c>
    </row>
    <row r="123" spans="1:9" x14ac:dyDescent="0.35">
      <c r="A123" t="s">
        <v>204</v>
      </c>
      <c r="B123" t="s">
        <v>239</v>
      </c>
      <c r="G123">
        <v>-144</v>
      </c>
      <c r="H123" s="156">
        <f>VLOOKUP(A123,'PL Mensual 2026'!I:O,7,0)</f>
        <v>-144</v>
      </c>
      <c r="I123" s="157">
        <f t="shared" si="1"/>
        <v>0</v>
      </c>
    </row>
    <row r="124" spans="1:9" x14ac:dyDescent="0.35">
      <c r="A124" t="s">
        <v>205</v>
      </c>
      <c r="B124" t="s">
        <v>239</v>
      </c>
      <c r="G124">
        <v>-971.18</v>
      </c>
      <c r="H124" s="156">
        <f>VLOOKUP(A124,'PL Mensual 2026'!I:O,7,0)</f>
        <v>-545.44999999999993</v>
      </c>
      <c r="I124" s="157">
        <f t="shared" si="1"/>
        <v>-425.73</v>
      </c>
    </row>
    <row r="125" spans="1:9" x14ac:dyDescent="0.35">
      <c r="A125" t="s">
        <v>393</v>
      </c>
      <c r="B125" t="s">
        <v>399</v>
      </c>
      <c r="G125">
        <v>425.73</v>
      </c>
      <c r="H125" s="156" t="e">
        <f>VLOOKUP(A125,'PL Mensual 2026'!I:O,7,0)</f>
        <v>#N/A</v>
      </c>
      <c r="I125" s="157" t="e">
        <f t="shared" si="1"/>
        <v>#N/A</v>
      </c>
    </row>
    <row r="126" spans="1:9" x14ac:dyDescent="0.35">
      <c r="A126" t="s">
        <v>206</v>
      </c>
      <c r="B126" t="s">
        <v>239</v>
      </c>
      <c r="G126" t="s">
        <v>397</v>
      </c>
      <c r="H126" s="156" t="str">
        <f>VLOOKUP(A126,'PL Mensual 2026'!I:O,7,0)</f>
        <v xml:space="preserve">                            -  </v>
      </c>
      <c r="I126" s="157"/>
    </row>
    <row r="127" spans="1:9" x14ac:dyDescent="0.35">
      <c r="A127" t="s">
        <v>208</v>
      </c>
      <c r="B127" t="s">
        <v>239</v>
      </c>
      <c r="G127">
        <v>29.06</v>
      </c>
      <c r="H127" s="156">
        <f>VLOOKUP(A127,'PL Mensual 2026'!I:O,7,0)</f>
        <v>29.06</v>
      </c>
      <c r="I127" s="157">
        <f t="shared" si="1"/>
        <v>0</v>
      </c>
    </row>
    <row r="128" spans="1:9" x14ac:dyDescent="0.35">
      <c r="A128" t="s">
        <v>209</v>
      </c>
      <c r="B128" t="s">
        <v>239</v>
      </c>
      <c r="G128">
        <v>-425</v>
      </c>
      <c r="H128" s="156">
        <f>VLOOKUP(A128,'PL Mensual 2026'!I:O,7,0)</f>
        <v>-425</v>
      </c>
      <c r="I128" s="157">
        <f t="shared" si="1"/>
        <v>0</v>
      </c>
    </row>
    <row r="129" spans="1:9" x14ac:dyDescent="0.35">
      <c r="A129" t="s">
        <v>210</v>
      </c>
      <c r="B129" t="s">
        <v>239</v>
      </c>
      <c r="G129" s="19">
        <v>-2671.84</v>
      </c>
      <c r="H129" s="156">
        <f>VLOOKUP(A129,'PL Mensual 2026'!I:O,7,0)</f>
        <v>-2671.84</v>
      </c>
      <c r="I129" s="157">
        <f t="shared" si="1"/>
        <v>0</v>
      </c>
    </row>
    <row r="130" spans="1:9" x14ac:dyDescent="0.35">
      <c r="A130" t="s">
        <v>211</v>
      </c>
      <c r="B130" t="s">
        <v>239</v>
      </c>
      <c r="G130">
        <v>-625.20000000000005</v>
      </c>
      <c r="H130" s="156">
        <f>VLOOKUP(A130,'PL Mensual 2026'!I:O,7,0)</f>
        <v>-625.20000000000005</v>
      </c>
      <c r="I130" s="157">
        <f t="shared" si="1"/>
        <v>0</v>
      </c>
    </row>
    <row r="131" spans="1:9" x14ac:dyDescent="0.35">
      <c r="A131" t="s">
        <v>212</v>
      </c>
      <c r="B131" t="s">
        <v>239</v>
      </c>
      <c r="G131" t="s">
        <v>397</v>
      </c>
      <c r="H131" s="156" t="str">
        <f>VLOOKUP(A131,'PL Mensual 2026'!I:O,7,0)</f>
        <v xml:space="preserve">                            -  </v>
      </c>
      <c r="I131" s="157"/>
    </row>
    <row r="132" spans="1:9" x14ac:dyDescent="0.35">
      <c r="A132" t="s">
        <v>213</v>
      </c>
      <c r="B132" t="s">
        <v>239</v>
      </c>
      <c r="G132" s="19">
        <v>-2533.9299999999998</v>
      </c>
      <c r="H132" s="156">
        <f>VLOOKUP(A132,'PL Mensual 2026'!I:O,7,0)</f>
        <v>-2533.9299999999998</v>
      </c>
      <c r="I132" s="157">
        <f t="shared" ref="I132:I155" si="2">G132-H132</f>
        <v>0</v>
      </c>
    </row>
    <row r="133" spans="1:9" x14ac:dyDescent="0.35">
      <c r="A133" t="s">
        <v>382</v>
      </c>
      <c r="B133" t="s">
        <v>239</v>
      </c>
      <c r="G133" s="19">
        <v>-2522.2600000000002</v>
      </c>
      <c r="H133" s="156">
        <f>VLOOKUP(A133,'PL Mensual 2026'!I:O,7,0)</f>
        <v>-2522.2600000000002</v>
      </c>
      <c r="I133" s="157">
        <f t="shared" si="2"/>
        <v>0</v>
      </c>
    </row>
    <row r="134" spans="1:9" x14ac:dyDescent="0.35">
      <c r="A134" t="s">
        <v>214</v>
      </c>
      <c r="B134" t="s">
        <v>239</v>
      </c>
      <c r="G134" s="19">
        <v>-1786.27</v>
      </c>
      <c r="H134" s="156">
        <f>VLOOKUP(A134,'PL Mensual 2026'!I:O,7,0)</f>
        <v>-1786.27</v>
      </c>
      <c r="I134" s="157">
        <f t="shared" si="2"/>
        <v>0</v>
      </c>
    </row>
    <row r="135" spans="1:9" x14ac:dyDescent="0.35">
      <c r="A135" t="s">
        <v>215</v>
      </c>
      <c r="B135" t="s">
        <v>239</v>
      </c>
      <c r="G135" s="19">
        <v>-3016.62</v>
      </c>
      <c r="H135" s="156">
        <f>VLOOKUP(A135,'PL Mensual 2026'!I:O,7,0)</f>
        <v>-3016.62</v>
      </c>
      <c r="I135" s="157">
        <f t="shared" si="2"/>
        <v>0</v>
      </c>
    </row>
    <row r="136" spans="1:9" x14ac:dyDescent="0.35">
      <c r="A136" t="s">
        <v>216</v>
      </c>
      <c r="B136" t="s">
        <v>239</v>
      </c>
      <c r="G136">
        <v>-506.79</v>
      </c>
      <c r="H136" s="156">
        <f>VLOOKUP(A136,'PL Mensual 2026'!I:O,7,0)</f>
        <v>-506.79</v>
      </c>
      <c r="I136" s="157">
        <f t="shared" si="2"/>
        <v>0</v>
      </c>
    </row>
    <row r="137" spans="1:9" x14ac:dyDescent="0.35">
      <c r="A137" t="s">
        <v>217</v>
      </c>
      <c r="B137" t="s">
        <v>239</v>
      </c>
      <c r="G137">
        <v>-222.62</v>
      </c>
      <c r="H137" s="156">
        <f>VLOOKUP(A137,'PL Mensual 2026'!I:O,7,0)</f>
        <v>-222.62</v>
      </c>
      <c r="I137" s="157">
        <f t="shared" si="2"/>
        <v>0</v>
      </c>
    </row>
    <row r="138" spans="1:9" x14ac:dyDescent="0.35">
      <c r="A138" t="s">
        <v>218</v>
      </c>
      <c r="B138" t="s">
        <v>239</v>
      </c>
      <c r="G138" t="s">
        <v>397</v>
      </c>
      <c r="H138" s="156" t="str">
        <f>VLOOKUP(A138,'PL Mensual 2026'!I:O,7,0)</f>
        <v xml:space="preserve">                            -  </v>
      </c>
      <c r="I138" s="157"/>
    </row>
    <row r="139" spans="1:9" x14ac:dyDescent="0.35">
      <c r="A139" t="s">
        <v>383</v>
      </c>
      <c r="B139" t="s">
        <v>239</v>
      </c>
      <c r="G139">
        <v>-27.57</v>
      </c>
      <c r="H139" s="156">
        <f>VLOOKUP(A139,'PL Mensual 2026'!I:O,7,0)</f>
        <v>-27.57</v>
      </c>
      <c r="I139" s="157">
        <f t="shared" si="2"/>
        <v>0</v>
      </c>
    </row>
    <row r="140" spans="1:9" x14ac:dyDescent="0.35">
      <c r="A140" t="s">
        <v>404</v>
      </c>
      <c r="B140" t="s">
        <v>239</v>
      </c>
      <c r="G140">
        <v>-581.49</v>
      </c>
      <c r="H140" s="156">
        <f>VLOOKUP(A140,'PL Mensual 2026'!I:O,7,0)</f>
        <v>-581.49</v>
      </c>
      <c r="I140" s="157">
        <f t="shared" si="2"/>
        <v>0</v>
      </c>
    </row>
    <row r="141" spans="1:9" x14ac:dyDescent="0.35">
      <c r="A141" t="s">
        <v>220</v>
      </c>
      <c r="B141" t="s">
        <v>239</v>
      </c>
      <c r="G141">
        <v>-159.84</v>
      </c>
      <c r="H141" s="156">
        <f>VLOOKUP(A141,'PL Mensual 2026'!I:O,7,0)</f>
        <v>-159.84</v>
      </c>
      <c r="I141" s="157">
        <f t="shared" si="2"/>
        <v>0</v>
      </c>
    </row>
    <row r="142" spans="1:9" x14ac:dyDescent="0.35">
      <c r="A142" t="s">
        <v>222</v>
      </c>
      <c r="B142" t="s">
        <v>239</v>
      </c>
      <c r="G142" t="s">
        <v>397</v>
      </c>
      <c r="H142" s="156" t="str">
        <f>VLOOKUP(A142,'PL Mensual 2026'!I:O,7,0)</f>
        <v xml:space="preserve">                            -  </v>
      </c>
      <c r="I142" s="157"/>
    </row>
    <row r="143" spans="1:9" x14ac:dyDescent="0.35">
      <c r="A143" t="s">
        <v>225</v>
      </c>
      <c r="B143" t="s">
        <v>239</v>
      </c>
      <c r="G143" s="19">
        <v>-3154.35</v>
      </c>
      <c r="H143" s="156">
        <f>VLOOKUP(A143,'PL Mensual 2026'!I:O,7,0)</f>
        <v>-3154.35</v>
      </c>
      <c r="I143" s="157">
        <f t="shared" si="2"/>
        <v>0</v>
      </c>
    </row>
    <row r="144" spans="1:9" x14ac:dyDescent="0.35">
      <c r="A144" t="s">
        <v>384</v>
      </c>
      <c r="B144" t="s">
        <v>239</v>
      </c>
      <c r="G144" s="19">
        <v>-5719.74</v>
      </c>
      <c r="H144" s="156">
        <f>VLOOKUP(A144,'PL Mensual 2026'!I:O,7,0)</f>
        <v>-5719.74</v>
      </c>
      <c r="I144" s="157">
        <f t="shared" si="2"/>
        <v>0</v>
      </c>
    </row>
    <row r="145" spans="1:9" x14ac:dyDescent="0.35">
      <c r="A145" t="s">
        <v>226</v>
      </c>
      <c r="B145" t="s">
        <v>239</v>
      </c>
      <c r="G145" s="19">
        <v>-6398.5</v>
      </c>
      <c r="H145" s="156">
        <f>VLOOKUP(A145,'PL Mensual 2026'!I:O,7,0)</f>
        <v>-6398.5</v>
      </c>
      <c r="I145" s="157">
        <f t="shared" si="2"/>
        <v>0</v>
      </c>
    </row>
    <row r="146" spans="1:9" x14ac:dyDescent="0.35">
      <c r="A146" t="s">
        <v>385</v>
      </c>
      <c r="B146" t="s">
        <v>239</v>
      </c>
      <c r="G146" s="19">
        <v>-1522.43</v>
      </c>
      <c r="H146" s="156">
        <f>VLOOKUP(A146,'PL Mensual 2026'!I:O,7,0)</f>
        <v>-1522.43</v>
      </c>
      <c r="I146" s="157">
        <f t="shared" si="2"/>
        <v>0</v>
      </c>
    </row>
    <row r="147" spans="1:9" x14ac:dyDescent="0.35">
      <c r="A147" t="s">
        <v>227</v>
      </c>
      <c r="B147" t="s">
        <v>239</v>
      </c>
      <c r="G147" s="19">
        <v>-1325.66</v>
      </c>
      <c r="H147" s="156">
        <f>VLOOKUP(A147,'PL Mensual 2026'!I:O,7,0)</f>
        <v>-1325.66</v>
      </c>
      <c r="I147" s="157">
        <f t="shared" si="2"/>
        <v>0</v>
      </c>
    </row>
    <row r="148" spans="1:9" x14ac:dyDescent="0.35">
      <c r="A148" t="s">
        <v>386</v>
      </c>
      <c r="B148" t="s">
        <v>239</v>
      </c>
      <c r="G148">
        <v>-937.75</v>
      </c>
      <c r="H148" s="156">
        <f>VLOOKUP(A148,'PL Mensual 2026'!I:O,7,0)</f>
        <v>-937.75</v>
      </c>
      <c r="I148" s="157">
        <f t="shared" si="2"/>
        <v>0</v>
      </c>
    </row>
    <row r="149" spans="1:9" x14ac:dyDescent="0.35">
      <c r="A149" t="s">
        <v>387</v>
      </c>
      <c r="B149" t="s">
        <v>239</v>
      </c>
      <c r="G149">
        <v>-131.25</v>
      </c>
      <c r="H149" s="156">
        <f>VLOOKUP(A149,'PL Mensual 2026'!I:O,7,0)</f>
        <v>-131.25</v>
      </c>
      <c r="I149" s="157">
        <f t="shared" si="2"/>
        <v>0</v>
      </c>
    </row>
    <row r="150" spans="1:9" x14ac:dyDescent="0.35">
      <c r="A150" t="s">
        <v>327</v>
      </c>
      <c r="B150" t="s">
        <v>239</v>
      </c>
      <c r="G150" t="s">
        <v>397</v>
      </c>
      <c r="H150" s="156" t="str">
        <f>VLOOKUP(A150,'PL Mensual 2026'!I:O,7,0)</f>
        <v xml:space="preserve">                            -  </v>
      </c>
      <c r="I150" s="157"/>
    </row>
    <row r="151" spans="1:9" x14ac:dyDescent="0.35">
      <c r="A151" t="s">
        <v>93</v>
      </c>
      <c r="B151" t="s">
        <v>239</v>
      </c>
      <c r="G151" t="s">
        <v>397</v>
      </c>
      <c r="H151" s="156">
        <f>VLOOKUP(A151,'PL Mensual 2026'!I:O,7,0)</f>
        <v>-1.43</v>
      </c>
      <c r="I151" s="157"/>
    </row>
    <row r="152" spans="1:9" x14ac:dyDescent="0.35">
      <c r="A152" t="s">
        <v>95</v>
      </c>
      <c r="B152" t="s">
        <v>239</v>
      </c>
      <c r="G152" t="s">
        <v>397</v>
      </c>
      <c r="H152" s="156" t="str">
        <f>VLOOKUP(A152,'PL Mensual 2026'!I:O,7,0)</f>
        <v xml:space="preserve">                            -  </v>
      </c>
      <c r="I152" s="157"/>
    </row>
    <row r="153" spans="1:9" x14ac:dyDescent="0.35">
      <c r="A153" t="s">
        <v>389</v>
      </c>
      <c r="B153" t="s">
        <v>239</v>
      </c>
      <c r="G153">
        <v>-17.690000000000001</v>
      </c>
      <c r="H153" s="156">
        <f>VLOOKUP(A153,'PL Mensual 2026'!I:O,7,0)</f>
        <v>-17.690000000000001</v>
      </c>
      <c r="I153" s="157">
        <f t="shared" si="2"/>
        <v>0</v>
      </c>
    </row>
    <row r="154" spans="1:9" x14ac:dyDescent="0.35">
      <c r="A154" t="s">
        <v>388</v>
      </c>
      <c r="B154" t="s">
        <v>239</v>
      </c>
      <c r="G154" t="s">
        <v>397</v>
      </c>
      <c r="H154" s="156" t="str">
        <f>VLOOKUP(A154,'PL Mensual 2026'!I:O,7,0)</f>
        <v xml:space="preserve">                            -  </v>
      </c>
      <c r="I154" s="157"/>
    </row>
    <row r="155" spans="1:9" x14ac:dyDescent="0.35">
      <c r="A155" t="s">
        <v>392</v>
      </c>
      <c r="B155" t="s">
        <v>239</v>
      </c>
      <c r="G155" s="19">
        <v>2879.75</v>
      </c>
      <c r="H155" s="156">
        <f>VLOOKUP(A155,'PL Mensual 2026'!I:O,7,0)</f>
        <v>2879.75</v>
      </c>
      <c r="I155" s="157">
        <f t="shared" si="2"/>
        <v>0</v>
      </c>
    </row>
    <row r="156" spans="1:9" x14ac:dyDescent="0.35">
      <c r="G156" s="19">
        <f>SUM(G2:G155)</f>
        <v>1013452.1500000007</v>
      </c>
      <c r="H156" s="19" t="e">
        <f>SUM(H2:H155)</f>
        <v>#N/A</v>
      </c>
      <c r="I156" s="19" t="e">
        <f>SUM(I2:I155)</f>
        <v>#N/A</v>
      </c>
    </row>
    <row r="157" spans="1:9" x14ac:dyDescent="0.35">
      <c r="G157" s="19">
        <f>'PL Mensual 2026'!O2</f>
        <v>1013450.7200000004</v>
      </c>
    </row>
    <row r="158" spans="1:9" x14ac:dyDescent="0.35">
      <c r="F158" s="159" t="s">
        <v>407</v>
      </c>
      <c r="G158" s="160">
        <f>G156-G157</f>
        <v>1.4300000002840534</v>
      </c>
      <c r="H158" s="158"/>
    </row>
  </sheetData>
  <autoFilter ref="A1:I155" xr:uid="{3BE9342B-A7EE-471A-A088-95E0F2A2590F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12EA-00AF-439E-8B17-260CF4F54B51}">
  <dimension ref="B1:M7"/>
  <sheetViews>
    <sheetView workbookViewId="0"/>
  </sheetViews>
  <sheetFormatPr baseColWidth="10" defaultRowHeight="14.5" x14ac:dyDescent="0.35"/>
  <cols>
    <col min="1" max="1" width="4.81640625" customWidth="1"/>
  </cols>
  <sheetData>
    <row r="1" spans="2:13" x14ac:dyDescent="0.35">
      <c r="B1" s="21" t="s">
        <v>37</v>
      </c>
    </row>
    <row r="2" spans="2:13" x14ac:dyDescent="0.35">
      <c r="B2" s="1">
        <v>2026</v>
      </c>
      <c r="C2" s="20"/>
    </row>
    <row r="3" spans="2:13" x14ac:dyDescent="0.35">
      <c r="C3" s="20"/>
    </row>
    <row r="4" spans="2:13" ht="15" thickBot="1" x14ac:dyDescent="0.4"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6">
        <v>9</v>
      </c>
      <c r="K4" s="26">
        <v>10</v>
      </c>
      <c r="L4" s="26">
        <v>11</v>
      </c>
      <c r="M4" s="26">
        <v>12</v>
      </c>
    </row>
    <row r="5" spans="2:13" ht="15" thickBot="1" x14ac:dyDescent="0.4">
      <c r="B5" s="27" t="s">
        <v>25</v>
      </c>
      <c r="C5" s="28" t="s">
        <v>26</v>
      </c>
      <c r="D5" s="28" t="s">
        <v>27</v>
      </c>
      <c r="E5" s="28" t="s">
        <v>28</v>
      </c>
      <c r="F5" s="28" t="s">
        <v>29</v>
      </c>
      <c r="G5" s="28" t="s">
        <v>30</v>
      </c>
      <c r="H5" s="28" t="s">
        <v>31</v>
      </c>
      <c r="I5" s="28" t="s">
        <v>32</v>
      </c>
      <c r="J5" s="28" t="s">
        <v>33</v>
      </c>
      <c r="K5" s="28" t="s">
        <v>34</v>
      </c>
      <c r="L5" s="28" t="s">
        <v>35</v>
      </c>
      <c r="M5" s="29" t="s">
        <v>36</v>
      </c>
    </row>
    <row r="6" spans="2:13" ht="15" thickBot="1" x14ac:dyDescent="0.4">
      <c r="B6" s="30">
        <v>26.201700000000002</v>
      </c>
      <c r="C6" s="31">
        <v>40.074889999999996</v>
      </c>
      <c r="D6" s="31">
        <v>29.27336</v>
      </c>
      <c r="E6" s="32">
        <v>0</v>
      </c>
      <c r="F6" s="32"/>
      <c r="G6" s="32"/>
      <c r="H6" s="32"/>
      <c r="I6" s="32"/>
      <c r="J6" s="32"/>
      <c r="K6" s="32"/>
      <c r="L6" s="32"/>
      <c r="M6" s="33"/>
    </row>
    <row r="7" spans="2:13" x14ac:dyDescent="0.35">
      <c r="B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D0B-4412-4BFF-A46E-9C90BA16CF0A}">
  <dimension ref="A1:O59"/>
  <sheetViews>
    <sheetView topLeftCell="A43" workbookViewId="0">
      <selection activeCell="D71" sqref="D71"/>
    </sheetView>
  </sheetViews>
  <sheetFormatPr baseColWidth="10" defaultRowHeight="14.5" x14ac:dyDescent="0.35"/>
  <cols>
    <col min="1" max="1" width="12.7265625" customWidth="1"/>
    <col min="2" max="2" width="10.54296875" bestFit="1" customWidth="1"/>
    <col min="3" max="3" width="8.81640625" bestFit="1" customWidth="1"/>
    <col min="4" max="4" width="22.54296875" customWidth="1"/>
    <col min="5" max="5" width="7.81640625" bestFit="1" customWidth="1"/>
    <col min="6" max="6" width="24.453125" bestFit="1" customWidth="1"/>
    <col min="7" max="7" width="30.26953125" bestFit="1" customWidth="1"/>
    <col min="8" max="8" width="29.1796875" bestFit="1" customWidth="1"/>
    <col min="9" max="9" width="19.453125" bestFit="1" customWidth="1"/>
    <col min="10" max="10" width="36.26953125" bestFit="1" customWidth="1"/>
    <col min="11" max="11" width="43.1796875" bestFit="1" customWidth="1"/>
    <col min="12" max="12" width="16.7265625" customWidth="1"/>
    <col min="13" max="13" width="10.1796875" bestFit="1" customWidth="1"/>
    <col min="14" max="14" width="11.81640625" style="156" bestFit="1" customWidth="1"/>
    <col min="15" max="15" width="33.1796875" bestFit="1" customWidth="1"/>
  </cols>
  <sheetData>
    <row r="1" spans="1:15" x14ac:dyDescent="0.35">
      <c r="N1" s="156">
        <f>SUM(N3:N2300)</f>
        <v>-100248.98525029339</v>
      </c>
    </row>
    <row r="2" spans="1:15" ht="15" thickBot="1" x14ac:dyDescent="0.4">
      <c r="A2" s="137" t="s">
        <v>244</v>
      </c>
      <c r="B2" s="138" t="s">
        <v>245</v>
      </c>
      <c r="C2" s="139" t="s">
        <v>67</v>
      </c>
      <c r="D2" s="139" t="s">
        <v>252</v>
      </c>
      <c r="E2" s="140" t="s">
        <v>246</v>
      </c>
      <c r="F2" s="140" t="s">
        <v>68</v>
      </c>
      <c r="G2" s="140" t="s">
        <v>69</v>
      </c>
      <c r="H2" s="140" t="s">
        <v>70</v>
      </c>
      <c r="I2" s="140" t="s">
        <v>71</v>
      </c>
      <c r="J2" s="141" t="s">
        <v>72</v>
      </c>
      <c r="K2" s="141" t="s">
        <v>247</v>
      </c>
      <c r="L2" s="140" t="s">
        <v>248</v>
      </c>
      <c r="M2" s="140" t="s">
        <v>249</v>
      </c>
      <c r="N2" s="162" t="s">
        <v>250</v>
      </c>
      <c r="O2" s="142" t="s">
        <v>251</v>
      </c>
    </row>
    <row r="3" spans="1:15" ht="15" thickTop="1" x14ac:dyDescent="0.35">
      <c r="A3" s="143">
        <v>46053</v>
      </c>
      <c r="B3">
        <v>1</v>
      </c>
      <c r="C3" t="s">
        <v>75</v>
      </c>
      <c r="D3" t="s">
        <v>240</v>
      </c>
      <c r="F3" t="s">
        <v>76</v>
      </c>
      <c r="G3" t="s">
        <v>77</v>
      </c>
      <c r="H3" s="34" t="s">
        <v>78</v>
      </c>
      <c r="I3" t="s">
        <v>120</v>
      </c>
      <c r="J3" t="s">
        <v>121</v>
      </c>
      <c r="K3" t="s">
        <v>239</v>
      </c>
      <c r="N3" s="156">
        <v>7934.82</v>
      </c>
      <c r="O3" t="s">
        <v>253</v>
      </c>
    </row>
    <row r="4" spans="1:15" x14ac:dyDescent="0.35">
      <c r="A4" s="143">
        <v>46053</v>
      </c>
      <c r="B4">
        <v>1</v>
      </c>
      <c r="C4" t="s">
        <v>75</v>
      </c>
      <c r="D4" t="s">
        <v>240</v>
      </c>
      <c r="F4" t="s">
        <v>76</v>
      </c>
      <c r="G4" t="s">
        <v>77</v>
      </c>
      <c r="H4" s="34" t="s">
        <v>78</v>
      </c>
      <c r="I4" t="s">
        <v>120</v>
      </c>
      <c r="J4" t="s">
        <v>128</v>
      </c>
      <c r="K4" t="s">
        <v>239</v>
      </c>
      <c r="N4" s="156">
        <v>1693.8</v>
      </c>
      <c r="O4" t="s">
        <v>253</v>
      </c>
    </row>
    <row r="5" spans="1:15" x14ac:dyDescent="0.35">
      <c r="A5" s="143">
        <v>46053</v>
      </c>
      <c r="B5">
        <v>1</v>
      </c>
      <c r="C5" t="s">
        <v>75</v>
      </c>
      <c r="D5" t="s">
        <v>240</v>
      </c>
      <c r="F5" t="s">
        <v>76</v>
      </c>
      <c r="G5" t="s">
        <v>77</v>
      </c>
      <c r="H5" s="34" t="s">
        <v>78</v>
      </c>
      <c r="I5" t="s">
        <v>120</v>
      </c>
      <c r="J5" t="s">
        <v>121</v>
      </c>
      <c r="K5" t="s">
        <v>239</v>
      </c>
      <c r="N5" s="156">
        <v>2166.7600000000002</v>
      </c>
      <c r="O5" t="s">
        <v>254</v>
      </c>
    </row>
    <row r="6" spans="1:15" x14ac:dyDescent="0.35">
      <c r="A6" s="143">
        <v>46053</v>
      </c>
      <c r="B6">
        <v>1</v>
      </c>
      <c r="C6" t="s">
        <v>75</v>
      </c>
      <c r="D6" t="s">
        <v>240</v>
      </c>
      <c r="F6" t="s">
        <v>76</v>
      </c>
      <c r="G6" t="s">
        <v>77</v>
      </c>
      <c r="H6" s="34" t="s">
        <v>78</v>
      </c>
      <c r="I6" t="s">
        <v>120</v>
      </c>
      <c r="J6" t="s">
        <v>128</v>
      </c>
      <c r="K6" t="s">
        <v>239</v>
      </c>
      <c r="N6" s="156">
        <v>911.41</v>
      </c>
      <c r="O6" t="s">
        <v>254</v>
      </c>
    </row>
    <row r="7" spans="1:15" x14ac:dyDescent="0.35">
      <c r="A7" s="143">
        <v>46053</v>
      </c>
      <c r="B7">
        <v>1</v>
      </c>
      <c r="C7" t="s">
        <v>75</v>
      </c>
      <c r="D7" t="s">
        <v>240</v>
      </c>
      <c r="F7" t="s">
        <v>76</v>
      </c>
      <c r="G7" t="s">
        <v>77</v>
      </c>
      <c r="H7" s="34" t="s">
        <v>78</v>
      </c>
      <c r="I7" t="s">
        <v>120</v>
      </c>
      <c r="J7" t="s">
        <v>121</v>
      </c>
      <c r="K7" t="s">
        <v>239</v>
      </c>
      <c r="N7" s="156">
        <v>4444.21</v>
      </c>
      <c r="O7" t="s">
        <v>255</v>
      </c>
    </row>
    <row r="8" spans="1:15" x14ac:dyDescent="0.35">
      <c r="A8" s="143">
        <v>46053</v>
      </c>
      <c r="B8">
        <v>1</v>
      </c>
      <c r="C8" t="s">
        <v>75</v>
      </c>
      <c r="D8" t="s">
        <v>240</v>
      </c>
      <c r="F8" t="s">
        <v>76</v>
      </c>
      <c r="G8" t="s">
        <v>77</v>
      </c>
      <c r="H8" s="34" t="s">
        <v>78</v>
      </c>
      <c r="I8" t="s">
        <v>120</v>
      </c>
      <c r="J8" t="s">
        <v>128</v>
      </c>
      <c r="K8" t="s">
        <v>239</v>
      </c>
      <c r="N8" s="156">
        <v>1720.91</v>
      </c>
      <c r="O8" t="s">
        <v>255</v>
      </c>
    </row>
    <row r="9" spans="1:15" x14ac:dyDescent="0.35">
      <c r="A9" s="143">
        <v>46053</v>
      </c>
      <c r="B9">
        <v>1</v>
      </c>
      <c r="C9" t="s">
        <v>75</v>
      </c>
      <c r="D9" t="s">
        <v>240</v>
      </c>
      <c r="F9" t="s">
        <v>76</v>
      </c>
      <c r="G9" t="s">
        <v>77</v>
      </c>
      <c r="H9" s="34" t="s">
        <v>78</v>
      </c>
      <c r="I9" t="s">
        <v>120</v>
      </c>
      <c r="J9" t="s">
        <v>121</v>
      </c>
      <c r="K9" t="s">
        <v>239</v>
      </c>
      <c r="N9" s="156">
        <v>5593.98</v>
      </c>
      <c r="O9" t="s">
        <v>256</v>
      </c>
    </row>
    <row r="10" spans="1:15" x14ac:dyDescent="0.35">
      <c r="A10" s="143">
        <v>46053</v>
      </c>
      <c r="B10">
        <v>1</v>
      </c>
      <c r="C10" t="s">
        <v>75</v>
      </c>
      <c r="D10" t="s">
        <v>240</v>
      </c>
      <c r="F10" t="s">
        <v>76</v>
      </c>
      <c r="G10" t="s">
        <v>77</v>
      </c>
      <c r="H10" s="34" t="s">
        <v>78</v>
      </c>
      <c r="I10" t="s">
        <v>120</v>
      </c>
      <c r="J10" t="s">
        <v>128</v>
      </c>
      <c r="K10" t="s">
        <v>239</v>
      </c>
      <c r="N10" s="156">
        <v>1735.81</v>
      </c>
      <c r="O10" t="s">
        <v>256</v>
      </c>
    </row>
    <row r="11" spans="1:15" x14ac:dyDescent="0.35">
      <c r="A11" s="143">
        <v>46081</v>
      </c>
      <c r="B11">
        <v>2</v>
      </c>
      <c r="C11" t="s">
        <v>75</v>
      </c>
      <c r="D11" t="s">
        <v>240</v>
      </c>
      <c r="F11" t="s">
        <v>76</v>
      </c>
      <c r="G11" t="s">
        <v>77</v>
      </c>
      <c r="H11" s="34" t="s">
        <v>78</v>
      </c>
      <c r="I11" t="s">
        <v>120</v>
      </c>
      <c r="J11" t="s">
        <v>121</v>
      </c>
      <c r="K11" t="s">
        <v>239</v>
      </c>
      <c r="N11" s="156">
        <v>9273.34</v>
      </c>
      <c r="O11" t="s">
        <v>253</v>
      </c>
    </row>
    <row r="12" spans="1:15" x14ac:dyDescent="0.35">
      <c r="A12" s="143">
        <v>46081</v>
      </c>
      <c r="B12">
        <v>2</v>
      </c>
      <c r="C12" t="s">
        <v>75</v>
      </c>
      <c r="D12" t="s">
        <v>240</v>
      </c>
      <c r="F12" t="s">
        <v>76</v>
      </c>
      <c r="G12" t="s">
        <v>77</v>
      </c>
      <c r="H12" s="34" t="s">
        <v>78</v>
      </c>
      <c r="I12" t="s">
        <v>120</v>
      </c>
      <c r="J12" t="s">
        <v>128</v>
      </c>
      <c r="K12" t="s">
        <v>239</v>
      </c>
      <c r="N12" s="156">
        <v>1774.57</v>
      </c>
      <c r="O12" t="s">
        <v>253</v>
      </c>
    </row>
    <row r="13" spans="1:15" x14ac:dyDescent="0.35">
      <c r="A13" s="143">
        <v>46081</v>
      </c>
      <c r="B13">
        <v>2</v>
      </c>
      <c r="C13" t="s">
        <v>75</v>
      </c>
      <c r="D13" t="s">
        <v>240</v>
      </c>
      <c r="F13" t="s">
        <v>76</v>
      </c>
      <c r="G13" t="s">
        <v>77</v>
      </c>
      <c r="H13" s="34" t="s">
        <v>78</v>
      </c>
      <c r="I13" t="s">
        <v>120</v>
      </c>
      <c r="J13" t="s">
        <v>121</v>
      </c>
      <c r="K13" t="s">
        <v>239</v>
      </c>
      <c r="N13" s="156">
        <v>3414.13</v>
      </c>
      <c r="O13" t="s">
        <v>254</v>
      </c>
    </row>
    <row r="14" spans="1:15" x14ac:dyDescent="0.35">
      <c r="A14" s="143">
        <v>46081</v>
      </c>
      <c r="B14">
        <v>2</v>
      </c>
      <c r="C14" t="s">
        <v>75</v>
      </c>
      <c r="D14" t="s">
        <v>240</v>
      </c>
      <c r="F14" t="s">
        <v>76</v>
      </c>
      <c r="G14" t="s">
        <v>77</v>
      </c>
      <c r="H14" s="34" t="s">
        <v>78</v>
      </c>
      <c r="I14" t="s">
        <v>120</v>
      </c>
      <c r="J14" t="s">
        <v>128</v>
      </c>
      <c r="K14" t="s">
        <v>239</v>
      </c>
      <c r="N14" s="156">
        <v>838.96</v>
      </c>
      <c r="O14" t="s">
        <v>254</v>
      </c>
    </row>
    <row r="15" spans="1:15" x14ac:dyDescent="0.35">
      <c r="A15" s="143">
        <v>46081</v>
      </c>
      <c r="B15">
        <v>2</v>
      </c>
      <c r="C15" t="s">
        <v>75</v>
      </c>
      <c r="D15" t="s">
        <v>242</v>
      </c>
      <c r="F15" t="s">
        <v>76</v>
      </c>
      <c r="G15" t="s">
        <v>77</v>
      </c>
      <c r="H15" s="34" t="s">
        <v>78</v>
      </c>
      <c r="I15" t="s">
        <v>120</v>
      </c>
      <c r="J15" t="s">
        <v>241</v>
      </c>
      <c r="K15" t="s">
        <v>239</v>
      </c>
      <c r="N15" s="156">
        <v>11278.98</v>
      </c>
      <c r="O15" t="s">
        <v>254</v>
      </c>
    </row>
    <row r="16" spans="1:15" x14ac:dyDescent="0.35">
      <c r="A16" s="143">
        <v>46081</v>
      </c>
      <c r="B16">
        <v>2</v>
      </c>
      <c r="C16" t="s">
        <v>75</v>
      </c>
      <c r="D16" t="s">
        <v>240</v>
      </c>
      <c r="F16" t="s">
        <v>76</v>
      </c>
      <c r="G16" t="s">
        <v>77</v>
      </c>
      <c r="H16" s="34" t="s">
        <v>78</v>
      </c>
      <c r="I16" t="s">
        <v>120</v>
      </c>
      <c r="J16" t="s">
        <v>121</v>
      </c>
      <c r="K16" t="s">
        <v>239</v>
      </c>
      <c r="N16" s="156">
        <v>4444.21</v>
      </c>
      <c r="O16" t="s">
        <v>255</v>
      </c>
    </row>
    <row r="17" spans="1:15" x14ac:dyDescent="0.35">
      <c r="A17" s="143">
        <v>46081</v>
      </c>
      <c r="B17">
        <v>2</v>
      </c>
      <c r="C17" t="s">
        <v>75</v>
      </c>
      <c r="D17" t="s">
        <v>240</v>
      </c>
      <c r="F17" t="s">
        <v>76</v>
      </c>
      <c r="G17" t="s">
        <v>77</v>
      </c>
      <c r="H17" s="34" t="s">
        <v>78</v>
      </c>
      <c r="I17" t="s">
        <v>120</v>
      </c>
      <c r="J17" t="s">
        <v>128</v>
      </c>
      <c r="K17" t="s">
        <v>239</v>
      </c>
      <c r="N17" s="156">
        <v>1720.91</v>
      </c>
      <c r="O17" t="s">
        <v>255</v>
      </c>
    </row>
    <row r="18" spans="1:15" x14ac:dyDescent="0.35">
      <c r="A18" s="143">
        <v>46081</v>
      </c>
      <c r="B18">
        <v>2</v>
      </c>
      <c r="C18" t="s">
        <v>75</v>
      </c>
      <c r="D18" t="s">
        <v>240</v>
      </c>
      <c r="F18" t="s">
        <v>76</v>
      </c>
      <c r="G18" t="s">
        <v>77</v>
      </c>
      <c r="H18" s="34" t="s">
        <v>78</v>
      </c>
      <c r="I18" t="s">
        <v>120</v>
      </c>
      <c r="J18" t="s">
        <v>121</v>
      </c>
      <c r="K18" t="s">
        <v>239</v>
      </c>
      <c r="N18" s="156">
        <v>5593.98</v>
      </c>
      <c r="O18" t="s">
        <v>256</v>
      </c>
    </row>
    <row r="19" spans="1:15" x14ac:dyDescent="0.35">
      <c r="A19" s="143">
        <v>46081</v>
      </c>
      <c r="B19">
        <v>2</v>
      </c>
      <c r="C19" t="s">
        <v>75</v>
      </c>
      <c r="D19" t="s">
        <v>240</v>
      </c>
      <c r="F19" t="s">
        <v>76</v>
      </c>
      <c r="G19" t="s">
        <v>77</v>
      </c>
      <c r="H19" s="34" t="s">
        <v>78</v>
      </c>
      <c r="I19" t="s">
        <v>120</v>
      </c>
      <c r="J19" t="s">
        <v>128</v>
      </c>
      <c r="K19" t="s">
        <v>239</v>
      </c>
      <c r="N19" s="156">
        <v>1735.81</v>
      </c>
      <c r="O19" t="s">
        <v>256</v>
      </c>
    </row>
    <row r="20" spans="1:15" x14ac:dyDescent="0.35">
      <c r="A20" s="143">
        <v>46112</v>
      </c>
      <c r="B20">
        <v>3</v>
      </c>
      <c r="C20" t="s">
        <v>75</v>
      </c>
      <c r="D20" t="s">
        <v>240</v>
      </c>
      <c r="F20" t="s">
        <v>76</v>
      </c>
      <c r="G20" t="s">
        <v>77</v>
      </c>
      <c r="H20" s="34" t="s">
        <v>78</v>
      </c>
      <c r="I20" t="s">
        <v>120</v>
      </c>
      <c r="J20" t="s">
        <v>121</v>
      </c>
      <c r="K20" t="s">
        <v>239</v>
      </c>
      <c r="N20" s="156">
        <v>10999.04</v>
      </c>
      <c r="O20" t="s">
        <v>313</v>
      </c>
    </row>
    <row r="21" spans="1:15" x14ac:dyDescent="0.35">
      <c r="A21" s="143">
        <v>46112</v>
      </c>
      <c r="B21">
        <v>3</v>
      </c>
      <c r="C21" t="s">
        <v>75</v>
      </c>
      <c r="D21" t="s">
        <v>240</v>
      </c>
      <c r="F21" t="s">
        <v>76</v>
      </c>
      <c r="G21" t="s">
        <v>77</v>
      </c>
      <c r="H21" t="s">
        <v>78</v>
      </c>
      <c r="I21" t="s">
        <v>120</v>
      </c>
      <c r="J21" t="s">
        <v>121</v>
      </c>
      <c r="K21" t="s">
        <v>239</v>
      </c>
      <c r="N21" s="156">
        <v>14077.68</v>
      </c>
      <c r="O21" t="s">
        <v>314</v>
      </c>
    </row>
    <row r="22" spans="1:15" x14ac:dyDescent="0.35">
      <c r="A22" s="143">
        <v>46112</v>
      </c>
      <c r="B22">
        <v>3</v>
      </c>
      <c r="C22" t="s">
        <v>75</v>
      </c>
      <c r="D22" t="s">
        <v>240</v>
      </c>
      <c r="F22" t="s">
        <v>76</v>
      </c>
      <c r="G22" t="s">
        <v>77</v>
      </c>
      <c r="H22" t="s">
        <v>78</v>
      </c>
      <c r="I22" t="s">
        <v>120</v>
      </c>
      <c r="J22" t="s">
        <v>128</v>
      </c>
      <c r="K22" t="s">
        <v>239</v>
      </c>
      <c r="N22" s="156">
        <v>2057.2800000000002</v>
      </c>
      <c r="O22" t="s">
        <v>313</v>
      </c>
    </row>
    <row r="23" spans="1:15" x14ac:dyDescent="0.35">
      <c r="A23" s="143">
        <v>46112</v>
      </c>
      <c r="B23">
        <v>3</v>
      </c>
      <c r="C23" t="s">
        <v>75</v>
      </c>
      <c r="D23" t="s">
        <v>240</v>
      </c>
      <c r="F23" t="s">
        <v>76</v>
      </c>
      <c r="G23" t="s">
        <v>77</v>
      </c>
      <c r="H23" t="s">
        <v>78</v>
      </c>
      <c r="I23" t="s">
        <v>120</v>
      </c>
      <c r="J23" t="s">
        <v>128</v>
      </c>
      <c r="K23" t="s">
        <v>239</v>
      </c>
      <c r="N23" s="156">
        <v>2139.36</v>
      </c>
      <c r="O23" t="s">
        <v>314</v>
      </c>
    </row>
    <row r="24" spans="1:15" x14ac:dyDescent="0.35">
      <c r="A24" s="143">
        <v>46173</v>
      </c>
      <c r="B24">
        <v>5</v>
      </c>
      <c r="C24" t="s">
        <v>75</v>
      </c>
      <c r="D24" t="s">
        <v>427</v>
      </c>
      <c r="F24" t="s">
        <v>76</v>
      </c>
      <c r="G24" t="s">
        <v>77</v>
      </c>
      <c r="H24" t="s">
        <v>78</v>
      </c>
      <c r="I24" t="s">
        <v>99</v>
      </c>
      <c r="J24" t="s">
        <v>115</v>
      </c>
      <c r="K24" t="s">
        <v>393</v>
      </c>
      <c r="N24" s="156">
        <v>28562.71</v>
      </c>
      <c r="O24" t="s">
        <v>409</v>
      </c>
    </row>
    <row r="25" spans="1:15" x14ac:dyDescent="0.35">
      <c r="A25" s="143">
        <v>46173</v>
      </c>
      <c r="B25">
        <v>5</v>
      </c>
      <c r="C25" t="s">
        <v>75</v>
      </c>
      <c r="D25" t="s">
        <v>427</v>
      </c>
      <c r="F25" t="s">
        <v>76</v>
      </c>
      <c r="G25" t="s">
        <v>77</v>
      </c>
      <c r="H25" t="s">
        <v>78</v>
      </c>
      <c r="I25" t="s">
        <v>141</v>
      </c>
      <c r="J25" t="s">
        <v>146</v>
      </c>
      <c r="K25" t="s">
        <v>393</v>
      </c>
      <c r="N25" s="156">
        <v>665</v>
      </c>
      <c r="O25" t="s">
        <v>410</v>
      </c>
    </row>
    <row r="26" spans="1:15" x14ac:dyDescent="0.35">
      <c r="A26" s="143">
        <v>46173</v>
      </c>
      <c r="B26">
        <v>5</v>
      </c>
      <c r="C26" t="s">
        <v>75</v>
      </c>
      <c r="D26" t="s">
        <v>427</v>
      </c>
      <c r="F26" t="s">
        <v>76</v>
      </c>
      <c r="G26" t="s">
        <v>77</v>
      </c>
      <c r="H26" t="s">
        <v>78</v>
      </c>
      <c r="I26" t="s">
        <v>141</v>
      </c>
      <c r="J26" t="s">
        <v>194</v>
      </c>
      <c r="K26" t="s">
        <v>393</v>
      </c>
      <c r="N26" s="156">
        <v>1523.79</v>
      </c>
      <c r="O26" t="s">
        <v>396</v>
      </c>
    </row>
    <row r="27" spans="1:15" x14ac:dyDescent="0.35">
      <c r="A27" s="143">
        <v>46173</v>
      </c>
      <c r="B27">
        <v>5</v>
      </c>
      <c r="C27" t="s">
        <v>75</v>
      </c>
      <c r="D27" t="s">
        <v>427</v>
      </c>
      <c r="F27" t="s">
        <v>76</v>
      </c>
      <c r="G27" t="s">
        <v>77</v>
      </c>
      <c r="H27" t="s">
        <v>78</v>
      </c>
      <c r="I27" t="s">
        <v>141</v>
      </c>
      <c r="J27" t="s">
        <v>199</v>
      </c>
      <c r="K27" t="s">
        <v>393</v>
      </c>
      <c r="N27" s="156">
        <v>425.73</v>
      </c>
      <c r="O27" t="s">
        <v>411</v>
      </c>
    </row>
    <row r="28" spans="1:15" x14ac:dyDescent="0.35">
      <c r="A28" s="143">
        <v>46173</v>
      </c>
      <c r="B28">
        <v>5</v>
      </c>
      <c r="C28" t="s">
        <v>75</v>
      </c>
      <c r="D28" t="s">
        <v>426</v>
      </c>
      <c r="F28" t="s">
        <v>76</v>
      </c>
      <c r="G28" t="s">
        <v>77</v>
      </c>
      <c r="H28" t="s">
        <v>78</v>
      </c>
      <c r="I28" t="s">
        <v>79</v>
      </c>
      <c r="J28" t="s">
        <v>312</v>
      </c>
      <c r="K28" t="s">
        <v>322</v>
      </c>
      <c r="N28" s="156">
        <v>-101865.8</v>
      </c>
      <c r="O28" t="s">
        <v>412</v>
      </c>
    </row>
    <row r="29" spans="1:15" x14ac:dyDescent="0.35">
      <c r="A29" s="143">
        <v>46173</v>
      </c>
      <c r="B29">
        <v>5</v>
      </c>
      <c r="C29" t="s">
        <v>75</v>
      </c>
      <c r="D29" t="s">
        <v>426</v>
      </c>
      <c r="F29" t="s">
        <v>76</v>
      </c>
      <c r="G29" t="s">
        <v>77</v>
      </c>
      <c r="H29" t="s">
        <v>78</v>
      </c>
      <c r="I29" t="s">
        <v>79</v>
      </c>
      <c r="J29" t="s">
        <v>82</v>
      </c>
      <c r="K29" t="s">
        <v>83</v>
      </c>
      <c r="N29" s="156">
        <v>-80917.990000000005</v>
      </c>
      <c r="O29" t="s">
        <v>413</v>
      </c>
    </row>
    <row r="30" spans="1:15" x14ac:dyDescent="0.35">
      <c r="A30" s="143">
        <v>46173</v>
      </c>
      <c r="B30">
        <v>5</v>
      </c>
      <c r="C30" t="s">
        <v>75</v>
      </c>
      <c r="D30" t="s">
        <v>426</v>
      </c>
      <c r="F30" t="s">
        <v>76</v>
      </c>
      <c r="G30" t="s">
        <v>77</v>
      </c>
      <c r="H30" t="s">
        <v>78</v>
      </c>
      <c r="I30" t="s">
        <v>79</v>
      </c>
      <c r="J30" t="s">
        <v>84</v>
      </c>
      <c r="K30" t="s">
        <v>324</v>
      </c>
      <c r="N30" s="156">
        <v>-111557.6</v>
      </c>
      <c r="O30" t="s">
        <v>399</v>
      </c>
    </row>
    <row r="31" spans="1:15" x14ac:dyDescent="0.35">
      <c r="A31" s="143">
        <v>46173</v>
      </c>
      <c r="B31">
        <v>5</v>
      </c>
      <c r="C31" t="s">
        <v>75</v>
      </c>
      <c r="D31" t="s">
        <v>426</v>
      </c>
      <c r="F31" t="s">
        <v>76</v>
      </c>
      <c r="G31" t="s">
        <v>77</v>
      </c>
      <c r="H31" t="s">
        <v>78</v>
      </c>
      <c r="I31" t="s">
        <v>99</v>
      </c>
      <c r="J31" t="s">
        <v>100</v>
      </c>
      <c r="K31" t="s">
        <v>101</v>
      </c>
      <c r="N31" s="156">
        <v>101865.8</v>
      </c>
      <c r="O31" t="s">
        <v>412</v>
      </c>
    </row>
    <row r="32" spans="1:15" x14ac:dyDescent="0.35">
      <c r="A32" s="143">
        <v>46173</v>
      </c>
      <c r="B32">
        <v>5</v>
      </c>
      <c r="C32" t="s">
        <v>75</v>
      </c>
      <c r="D32" t="s">
        <v>426</v>
      </c>
      <c r="F32" t="s">
        <v>76</v>
      </c>
      <c r="G32" t="s">
        <v>77</v>
      </c>
      <c r="H32" t="s">
        <v>78</v>
      </c>
      <c r="I32" t="s">
        <v>99</v>
      </c>
      <c r="J32" t="s">
        <v>102</v>
      </c>
      <c r="K32" t="s">
        <v>103</v>
      </c>
      <c r="N32" s="156">
        <v>80917.990000000005</v>
      </c>
      <c r="O32" t="s">
        <v>413</v>
      </c>
    </row>
    <row r="33" spans="1:15" x14ac:dyDescent="0.35">
      <c r="A33" s="143">
        <v>46203</v>
      </c>
      <c r="B33">
        <v>6</v>
      </c>
      <c r="C33" t="s">
        <v>75</v>
      </c>
      <c r="D33" t="s">
        <v>427</v>
      </c>
      <c r="F33" t="s">
        <v>76</v>
      </c>
      <c r="G33" t="s">
        <v>77</v>
      </c>
      <c r="H33" t="s">
        <v>78</v>
      </c>
      <c r="I33" t="s">
        <v>99</v>
      </c>
      <c r="J33" t="s">
        <v>115</v>
      </c>
      <c r="K33" t="s">
        <v>393</v>
      </c>
      <c r="N33" s="156">
        <v>36290</v>
      </c>
      <c r="O33" t="s">
        <v>409</v>
      </c>
    </row>
    <row r="34" spans="1:15" x14ac:dyDescent="0.35">
      <c r="A34" s="143">
        <v>46203</v>
      </c>
      <c r="B34">
        <v>6</v>
      </c>
      <c r="C34" t="s">
        <v>75</v>
      </c>
      <c r="D34" t="s">
        <v>427</v>
      </c>
      <c r="F34" t="s">
        <v>76</v>
      </c>
      <c r="G34" t="s">
        <v>77</v>
      </c>
      <c r="H34" t="s">
        <v>78</v>
      </c>
      <c r="I34" t="s">
        <v>141</v>
      </c>
      <c r="J34" t="s">
        <v>146</v>
      </c>
      <c r="K34" t="s">
        <v>393</v>
      </c>
      <c r="N34" s="156">
        <v>665</v>
      </c>
      <c r="O34" t="s">
        <v>410</v>
      </c>
    </row>
    <row r="35" spans="1:15" x14ac:dyDescent="0.35">
      <c r="A35" s="143">
        <v>46203</v>
      </c>
      <c r="B35">
        <v>6</v>
      </c>
      <c r="C35" t="s">
        <v>75</v>
      </c>
      <c r="D35" t="s">
        <v>427</v>
      </c>
      <c r="F35" t="s">
        <v>76</v>
      </c>
      <c r="G35" t="s">
        <v>77</v>
      </c>
      <c r="H35" t="s">
        <v>78</v>
      </c>
      <c r="I35" t="s">
        <v>141</v>
      </c>
      <c r="J35" t="s">
        <v>194</v>
      </c>
      <c r="K35" t="s">
        <v>393</v>
      </c>
      <c r="N35" s="156">
        <v>1217.6400000000001</v>
      </c>
      <c r="O35" t="s">
        <v>396</v>
      </c>
    </row>
    <row r="36" spans="1:15" x14ac:dyDescent="0.35">
      <c r="A36" s="143">
        <v>46203</v>
      </c>
      <c r="B36">
        <v>6</v>
      </c>
      <c r="C36" t="s">
        <v>75</v>
      </c>
      <c r="D36" t="s">
        <v>427</v>
      </c>
      <c r="F36" t="s">
        <v>76</v>
      </c>
      <c r="G36" t="s">
        <v>77</v>
      </c>
      <c r="H36" t="s">
        <v>78</v>
      </c>
      <c r="I36" t="s">
        <v>141</v>
      </c>
      <c r="J36" t="s">
        <v>199</v>
      </c>
      <c r="K36" t="s">
        <v>393</v>
      </c>
      <c r="N36" s="156">
        <v>340.2</v>
      </c>
      <c r="O36" t="s">
        <v>411</v>
      </c>
    </row>
    <row r="37" spans="1:15" x14ac:dyDescent="0.35">
      <c r="A37" s="143">
        <v>46203</v>
      </c>
      <c r="B37">
        <v>6</v>
      </c>
      <c r="C37" t="s">
        <v>75</v>
      </c>
      <c r="D37" t="s">
        <v>426</v>
      </c>
      <c r="F37" t="s">
        <v>76</v>
      </c>
      <c r="G37" t="s">
        <v>77</v>
      </c>
      <c r="H37" t="s">
        <v>78</v>
      </c>
      <c r="I37" t="s">
        <v>79</v>
      </c>
      <c r="J37" t="s">
        <v>312</v>
      </c>
      <c r="K37" t="s">
        <v>322</v>
      </c>
      <c r="N37" s="156">
        <v>-70011.64</v>
      </c>
      <c r="O37" t="s">
        <v>412</v>
      </c>
    </row>
    <row r="38" spans="1:15" x14ac:dyDescent="0.35">
      <c r="A38" s="143">
        <v>46203</v>
      </c>
      <c r="B38">
        <v>6</v>
      </c>
      <c r="C38" t="s">
        <v>75</v>
      </c>
      <c r="D38" t="s">
        <v>426</v>
      </c>
      <c r="F38" t="s">
        <v>76</v>
      </c>
      <c r="G38" t="s">
        <v>77</v>
      </c>
      <c r="H38" t="s">
        <v>78</v>
      </c>
      <c r="I38" t="s">
        <v>79</v>
      </c>
      <c r="J38" t="s">
        <v>82</v>
      </c>
      <c r="K38" t="s">
        <v>83</v>
      </c>
      <c r="N38" s="156">
        <v>-44823.06</v>
      </c>
      <c r="O38" t="s">
        <v>413</v>
      </c>
    </row>
    <row r="39" spans="1:15" x14ac:dyDescent="0.35">
      <c r="A39" s="143">
        <v>46203</v>
      </c>
      <c r="B39">
        <v>6</v>
      </c>
      <c r="C39" t="s">
        <v>75</v>
      </c>
      <c r="D39" t="s">
        <v>426</v>
      </c>
      <c r="F39" t="s">
        <v>76</v>
      </c>
      <c r="G39" t="s">
        <v>77</v>
      </c>
      <c r="H39" t="s">
        <v>78</v>
      </c>
      <c r="I39" t="s">
        <v>79</v>
      </c>
      <c r="J39" t="s">
        <v>84</v>
      </c>
      <c r="K39" t="s">
        <v>324</v>
      </c>
      <c r="N39" s="156">
        <v>-70833.600000000006</v>
      </c>
      <c r="O39" t="s">
        <v>399</v>
      </c>
    </row>
    <row r="40" spans="1:15" x14ac:dyDescent="0.35">
      <c r="A40" s="143">
        <v>46203</v>
      </c>
      <c r="B40">
        <v>6</v>
      </c>
      <c r="C40" t="s">
        <v>75</v>
      </c>
      <c r="D40" t="s">
        <v>426</v>
      </c>
      <c r="F40" t="s">
        <v>76</v>
      </c>
      <c r="G40" t="s">
        <v>77</v>
      </c>
      <c r="H40" t="s">
        <v>78</v>
      </c>
      <c r="I40" t="s">
        <v>99</v>
      </c>
      <c r="J40" t="s">
        <v>100</v>
      </c>
      <c r="K40" t="s">
        <v>101</v>
      </c>
      <c r="N40" s="156">
        <v>70011.64</v>
      </c>
      <c r="O40" t="s">
        <v>412</v>
      </c>
    </row>
    <row r="41" spans="1:15" x14ac:dyDescent="0.35">
      <c r="A41" s="143">
        <v>46203</v>
      </c>
      <c r="B41">
        <v>6</v>
      </c>
      <c r="C41" t="s">
        <v>75</v>
      </c>
      <c r="D41" t="s">
        <v>426</v>
      </c>
      <c r="F41" t="s">
        <v>76</v>
      </c>
      <c r="G41" t="s">
        <v>77</v>
      </c>
      <c r="H41" t="s">
        <v>78</v>
      </c>
      <c r="I41" t="s">
        <v>99</v>
      </c>
      <c r="J41" t="s">
        <v>102</v>
      </c>
      <c r="K41" t="s">
        <v>103</v>
      </c>
      <c r="N41" s="156">
        <v>44823.06</v>
      </c>
      <c r="O41" t="s">
        <v>413</v>
      </c>
    </row>
    <row r="42" spans="1:15" x14ac:dyDescent="0.35">
      <c r="A42" s="143">
        <v>46234</v>
      </c>
      <c r="B42">
        <v>7</v>
      </c>
      <c r="C42" t="s">
        <v>75</v>
      </c>
      <c r="D42" t="s">
        <v>427</v>
      </c>
      <c r="F42" t="s">
        <v>76</v>
      </c>
      <c r="G42" t="s">
        <v>77</v>
      </c>
      <c r="H42" t="s">
        <v>78</v>
      </c>
      <c r="I42" t="s">
        <v>99</v>
      </c>
      <c r="J42" t="s">
        <v>115</v>
      </c>
      <c r="K42" t="s">
        <v>393</v>
      </c>
      <c r="N42" s="156">
        <v>34757.97</v>
      </c>
      <c r="O42" t="s">
        <v>409</v>
      </c>
    </row>
    <row r="43" spans="1:15" x14ac:dyDescent="0.35">
      <c r="A43" s="143">
        <v>46234</v>
      </c>
      <c r="B43">
        <v>7</v>
      </c>
      <c r="C43" t="s">
        <v>75</v>
      </c>
      <c r="D43" t="s">
        <v>427</v>
      </c>
      <c r="F43" t="s">
        <v>76</v>
      </c>
      <c r="G43" t="s">
        <v>77</v>
      </c>
      <c r="H43" t="s">
        <v>78</v>
      </c>
      <c r="I43" t="s">
        <v>141</v>
      </c>
      <c r="J43" t="s">
        <v>146</v>
      </c>
      <c r="K43" t="s">
        <v>393</v>
      </c>
      <c r="N43" s="156">
        <v>665</v>
      </c>
      <c r="O43" t="s">
        <v>410</v>
      </c>
    </row>
    <row r="44" spans="1:15" x14ac:dyDescent="0.35">
      <c r="A44" s="143">
        <v>46234</v>
      </c>
      <c r="B44">
        <v>7</v>
      </c>
      <c r="C44" t="s">
        <v>75</v>
      </c>
      <c r="D44" t="s">
        <v>427</v>
      </c>
      <c r="F44" t="s">
        <v>76</v>
      </c>
      <c r="G44" t="s">
        <v>77</v>
      </c>
      <c r="H44" t="s">
        <v>78</v>
      </c>
      <c r="I44" t="s">
        <v>141</v>
      </c>
      <c r="J44" t="s">
        <v>194</v>
      </c>
      <c r="K44" t="s">
        <v>393</v>
      </c>
      <c r="N44" s="156">
        <v>599.66456452289231</v>
      </c>
      <c r="O44" t="s">
        <v>396</v>
      </c>
    </row>
    <row r="45" spans="1:15" x14ac:dyDescent="0.35">
      <c r="A45" s="143">
        <v>46234</v>
      </c>
      <c r="B45">
        <v>7</v>
      </c>
      <c r="C45" t="s">
        <v>75</v>
      </c>
      <c r="D45" t="s">
        <v>427</v>
      </c>
      <c r="F45" t="s">
        <v>76</v>
      </c>
      <c r="G45" t="s">
        <v>77</v>
      </c>
      <c r="H45" t="s">
        <v>78</v>
      </c>
      <c r="I45" t="s">
        <v>141</v>
      </c>
      <c r="J45" t="s">
        <v>199</v>
      </c>
      <c r="K45" t="s">
        <v>393</v>
      </c>
      <c r="N45" s="156">
        <v>167.54121647990033</v>
      </c>
      <c r="O45" t="s">
        <v>411</v>
      </c>
    </row>
    <row r="46" spans="1:15" x14ac:dyDescent="0.35">
      <c r="A46" s="143">
        <v>46234</v>
      </c>
      <c r="B46">
        <v>7</v>
      </c>
      <c r="C46" t="s">
        <v>75</v>
      </c>
      <c r="D46" t="s">
        <v>426</v>
      </c>
      <c r="F46" t="s">
        <v>76</v>
      </c>
      <c r="G46" t="s">
        <v>77</v>
      </c>
      <c r="H46" t="s">
        <v>78</v>
      </c>
      <c r="I46" t="s">
        <v>79</v>
      </c>
      <c r="J46" t="s">
        <v>312</v>
      </c>
      <c r="K46" t="s">
        <v>322</v>
      </c>
      <c r="N46" s="156">
        <v>-17402.29</v>
      </c>
      <c r="O46" t="s">
        <v>412</v>
      </c>
    </row>
    <row r="47" spans="1:15" x14ac:dyDescent="0.35">
      <c r="A47" s="143">
        <v>46234</v>
      </c>
      <c r="B47">
        <v>7</v>
      </c>
      <c r="C47" t="s">
        <v>75</v>
      </c>
      <c r="D47" t="s">
        <v>426</v>
      </c>
      <c r="F47" t="s">
        <v>76</v>
      </c>
      <c r="G47" t="s">
        <v>77</v>
      </c>
      <c r="H47" t="s">
        <v>78</v>
      </c>
      <c r="I47" t="s">
        <v>79</v>
      </c>
      <c r="J47" t="s">
        <v>82</v>
      </c>
      <c r="K47" t="s">
        <v>83</v>
      </c>
      <c r="N47" s="156">
        <v>-26969.69</v>
      </c>
      <c r="O47" t="s">
        <v>413</v>
      </c>
    </row>
    <row r="48" spans="1:15" x14ac:dyDescent="0.35">
      <c r="A48" s="143">
        <v>46234</v>
      </c>
      <c r="B48">
        <v>7</v>
      </c>
      <c r="C48" t="s">
        <v>75</v>
      </c>
      <c r="D48" t="s">
        <v>426</v>
      </c>
      <c r="F48" t="s">
        <v>76</v>
      </c>
      <c r="G48" t="s">
        <v>77</v>
      </c>
      <c r="H48" t="s">
        <v>78</v>
      </c>
      <c r="I48" t="s">
        <v>79</v>
      </c>
      <c r="J48" t="s">
        <v>84</v>
      </c>
      <c r="K48" t="s">
        <v>324</v>
      </c>
      <c r="N48" s="156">
        <v>-41581</v>
      </c>
      <c r="O48" t="s">
        <v>399</v>
      </c>
    </row>
    <row r="49" spans="1:15" x14ac:dyDescent="0.35">
      <c r="A49" s="143">
        <v>46234</v>
      </c>
      <c r="B49">
        <v>7</v>
      </c>
      <c r="C49" t="s">
        <v>75</v>
      </c>
      <c r="D49" t="s">
        <v>426</v>
      </c>
      <c r="F49" t="s">
        <v>76</v>
      </c>
      <c r="G49" t="s">
        <v>77</v>
      </c>
      <c r="H49" t="s">
        <v>78</v>
      </c>
      <c r="I49" t="s">
        <v>99</v>
      </c>
      <c r="J49" t="s">
        <v>100</v>
      </c>
      <c r="K49" t="s">
        <v>101</v>
      </c>
      <c r="N49" s="156">
        <v>17402.29</v>
      </c>
      <c r="O49" t="s">
        <v>412</v>
      </c>
    </row>
    <row r="50" spans="1:15" x14ac:dyDescent="0.35">
      <c r="A50" s="143">
        <v>46234</v>
      </c>
      <c r="B50">
        <v>7</v>
      </c>
      <c r="C50" t="s">
        <v>75</v>
      </c>
      <c r="D50" t="s">
        <v>426</v>
      </c>
      <c r="F50" t="s">
        <v>76</v>
      </c>
      <c r="G50" t="s">
        <v>77</v>
      </c>
      <c r="H50" t="s">
        <v>78</v>
      </c>
      <c r="I50" t="s">
        <v>99</v>
      </c>
      <c r="J50" t="s">
        <v>102</v>
      </c>
      <c r="K50" t="s">
        <v>103</v>
      </c>
      <c r="N50" s="156">
        <v>26969.69</v>
      </c>
      <c r="O50" t="s">
        <v>413</v>
      </c>
    </row>
    <row r="51" spans="1:15" x14ac:dyDescent="0.35">
      <c r="A51" s="143">
        <v>46265</v>
      </c>
      <c r="B51">
        <v>8</v>
      </c>
      <c r="C51" t="s">
        <v>75</v>
      </c>
      <c r="D51" t="s">
        <v>427</v>
      </c>
      <c r="F51" t="s">
        <v>76</v>
      </c>
      <c r="G51" t="s">
        <v>77</v>
      </c>
      <c r="H51" t="s">
        <v>78</v>
      </c>
      <c r="I51" t="s">
        <v>99</v>
      </c>
      <c r="J51" t="s">
        <v>115</v>
      </c>
      <c r="K51" t="s">
        <v>393</v>
      </c>
      <c r="N51" s="156">
        <v>19725.189999999999</v>
      </c>
      <c r="O51" t="s">
        <v>409</v>
      </c>
    </row>
    <row r="52" spans="1:15" x14ac:dyDescent="0.35">
      <c r="A52" s="143">
        <v>46265</v>
      </c>
      <c r="B52">
        <v>8</v>
      </c>
      <c r="C52" t="s">
        <v>75</v>
      </c>
      <c r="D52" t="s">
        <v>427</v>
      </c>
      <c r="F52" t="s">
        <v>76</v>
      </c>
      <c r="G52" t="s">
        <v>77</v>
      </c>
      <c r="H52" t="s">
        <v>78</v>
      </c>
      <c r="I52" t="s">
        <v>141</v>
      </c>
      <c r="J52" t="s">
        <v>146</v>
      </c>
      <c r="K52" t="s">
        <v>393</v>
      </c>
      <c r="N52" s="156">
        <v>665</v>
      </c>
      <c r="O52" t="s">
        <v>410</v>
      </c>
    </row>
    <row r="53" spans="1:15" x14ac:dyDescent="0.35">
      <c r="A53" s="143">
        <v>46265</v>
      </c>
      <c r="B53">
        <v>8</v>
      </c>
      <c r="C53" t="s">
        <v>75</v>
      </c>
      <c r="D53" t="s">
        <v>427</v>
      </c>
      <c r="F53" t="s">
        <v>76</v>
      </c>
      <c r="G53" t="s">
        <v>77</v>
      </c>
      <c r="H53" t="s">
        <v>78</v>
      </c>
      <c r="I53" t="s">
        <v>141</v>
      </c>
      <c r="J53" t="s">
        <v>194</v>
      </c>
      <c r="K53" t="s">
        <v>393</v>
      </c>
      <c r="N53" s="156">
        <v>2675.3568568927662</v>
      </c>
      <c r="O53" t="s">
        <v>396</v>
      </c>
    </row>
    <row r="54" spans="1:15" x14ac:dyDescent="0.35">
      <c r="A54" s="143">
        <v>46265</v>
      </c>
      <c r="B54">
        <v>8</v>
      </c>
      <c r="C54" t="s">
        <v>75</v>
      </c>
      <c r="D54" t="s">
        <v>427</v>
      </c>
      <c r="F54" t="s">
        <v>76</v>
      </c>
      <c r="G54" t="s">
        <v>77</v>
      </c>
      <c r="H54" t="s">
        <v>78</v>
      </c>
      <c r="I54" t="s">
        <v>141</v>
      </c>
      <c r="J54" t="s">
        <v>199</v>
      </c>
      <c r="K54" t="s">
        <v>393</v>
      </c>
      <c r="N54" s="156">
        <v>747.47211181104615</v>
      </c>
      <c r="O54" t="s">
        <v>411</v>
      </c>
    </row>
    <row r="55" spans="1:15" x14ac:dyDescent="0.35">
      <c r="A55" s="143">
        <v>46265</v>
      </c>
      <c r="B55">
        <v>8</v>
      </c>
      <c r="C55" t="s">
        <v>75</v>
      </c>
      <c r="D55" t="s">
        <v>426</v>
      </c>
      <c r="F55" t="s">
        <v>76</v>
      </c>
      <c r="G55" t="s">
        <v>77</v>
      </c>
      <c r="H55" t="s">
        <v>78</v>
      </c>
      <c r="I55" t="s">
        <v>79</v>
      </c>
      <c r="J55" t="s">
        <v>312</v>
      </c>
      <c r="K55" t="s">
        <v>322</v>
      </c>
      <c r="N55" s="156">
        <v>-141074.4</v>
      </c>
      <c r="O55" t="s">
        <v>412</v>
      </c>
    </row>
    <row r="56" spans="1:15" x14ac:dyDescent="0.35">
      <c r="A56" s="143">
        <v>46265</v>
      </c>
      <c r="B56">
        <v>8</v>
      </c>
      <c r="C56" t="s">
        <v>75</v>
      </c>
      <c r="D56" t="s">
        <v>426</v>
      </c>
      <c r="F56" t="s">
        <v>76</v>
      </c>
      <c r="G56" t="s">
        <v>77</v>
      </c>
      <c r="H56" t="s">
        <v>78</v>
      </c>
      <c r="I56" t="s">
        <v>79</v>
      </c>
      <c r="J56" t="s">
        <v>82</v>
      </c>
      <c r="K56" t="s">
        <v>83</v>
      </c>
      <c r="N56" s="156">
        <v>-59572.72</v>
      </c>
      <c r="O56" t="s">
        <v>413</v>
      </c>
    </row>
    <row r="57" spans="1:15" x14ac:dyDescent="0.35">
      <c r="A57" s="143">
        <v>46265</v>
      </c>
      <c r="B57">
        <v>8</v>
      </c>
      <c r="C57" t="s">
        <v>75</v>
      </c>
      <c r="D57" t="s">
        <v>426</v>
      </c>
      <c r="F57" t="s">
        <v>76</v>
      </c>
      <c r="G57" t="s">
        <v>77</v>
      </c>
      <c r="H57" t="s">
        <v>78</v>
      </c>
      <c r="I57" t="s">
        <v>79</v>
      </c>
      <c r="J57" t="s">
        <v>84</v>
      </c>
      <c r="K57" t="s">
        <v>324</v>
      </c>
      <c r="N57" s="156">
        <v>-101520</v>
      </c>
      <c r="O57" t="s">
        <v>399</v>
      </c>
    </row>
    <row r="58" spans="1:15" x14ac:dyDescent="0.35">
      <c r="A58" s="143">
        <v>46265</v>
      </c>
      <c r="B58">
        <v>8</v>
      </c>
      <c r="C58" t="s">
        <v>75</v>
      </c>
      <c r="D58" t="s">
        <v>426</v>
      </c>
      <c r="F58" t="s">
        <v>76</v>
      </c>
      <c r="G58" t="s">
        <v>77</v>
      </c>
      <c r="H58" t="s">
        <v>78</v>
      </c>
      <c r="I58" t="s">
        <v>99</v>
      </c>
      <c r="J58" t="s">
        <v>100</v>
      </c>
      <c r="K58" t="s">
        <v>101</v>
      </c>
      <c r="N58" s="156">
        <v>141074.4</v>
      </c>
      <c r="O58" t="s">
        <v>412</v>
      </c>
    </row>
    <row r="59" spans="1:15" x14ac:dyDescent="0.35">
      <c r="A59" s="143">
        <v>46265</v>
      </c>
      <c r="B59">
        <v>8</v>
      </c>
      <c r="C59" t="s">
        <v>75</v>
      </c>
      <c r="D59" t="s">
        <v>426</v>
      </c>
      <c r="F59" t="s">
        <v>76</v>
      </c>
      <c r="G59" t="s">
        <v>77</v>
      </c>
      <c r="H59" t="s">
        <v>78</v>
      </c>
      <c r="I59" t="s">
        <v>99</v>
      </c>
      <c r="J59" t="s">
        <v>102</v>
      </c>
      <c r="K59" t="s">
        <v>103</v>
      </c>
      <c r="N59" s="156">
        <v>59572.72</v>
      </c>
      <c r="O59" t="s">
        <v>413</v>
      </c>
    </row>
  </sheetData>
  <autoFilter ref="A2:O59" xr:uid="{AF431D0B-4412-4BFF-A46E-9C90BA16CF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A0A2-EA4A-49E0-8D57-FC7AC8F4F3D5}">
  <dimension ref="A1:N45"/>
  <sheetViews>
    <sheetView workbookViewId="0">
      <selection activeCell="D71" sqref="D71"/>
    </sheetView>
  </sheetViews>
  <sheetFormatPr baseColWidth="10" defaultRowHeight="14.5" x14ac:dyDescent="0.35"/>
  <cols>
    <col min="8" max="8" width="29.1796875" bestFit="1" customWidth="1"/>
  </cols>
  <sheetData>
    <row r="1" spans="1:14" x14ac:dyDescent="0.35">
      <c r="L1">
        <f>SUBTOTAL(9,L3:L52)</f>
        <v>174.42694000000009</v>
      </c>
    </row>
    <row r="2" spans="1:14" x14ac:dyDescent="0.35">
      <c r="A2" s="144" t="s">
        <v>257</v>
      </c>
      <c r="B2" s="144" t="s">
        <v>67</v>
      </c>
      <c r="C2" s="144" t="s">
        <v>258</v>
      </c>
      <c r="D2" s="144" t="s">
        <v>68</v>
      </c>
      <c r="E2" s="144" t="s">
        <v>69</v>
      </c>
      <c r="F2" s="144" t="s">
        <v>70</v>
      </c>
      <c r="G2" s="144" t="s">
        <v>71</v>
      </c>
      <c r="H2" s="144" t="s">
        <v>72</v>
      </c>
      <c r="I2" s="144" t="s">
        <v>73</v>
      </c>
      <c r="J2" s="144" t="s">
        <v>259</v>
      </c>
      <c r="K2" s="145" t="s">
        <v>260</v>
      </c>
      <c r="L2" s="145" t="s">
        <v>261</v>
      </c>
      <c r="M2" s="145" t="s">
        <v>251</v>
      </c>
      <c r="N2" s="145" t="s">
        <v>252</v>
      </c>
    </row>
    <row r="3" spans="1:14" x14ac:dyDescent="0.35">
      <c r="B3" s="146" t="s">
        <v>75</v>
      </c>
      <c r="C3" s="146" t="s">
        <v>61</v>
      </c>
      <c r="D3" s="146" t="s">
        <v>76</v>
      </c>
      <c r="E3" s="34" t="s">
        <v>77</v>
      </c>
      <c r="F3" s="34" t="s">
        <v>78</v>
      </c>
      <c r="G3" s="34" t="s">
        <v>120</v>
      </c>
      <c r="H3" s="34" t="s">
        <v>121</v>
      </c>
      <c r="I3" s="34"/>
      <c r="J3" s="146">
        <v>1</v>
      </c>
      <c r="K3" s="147">
        <v>9918.52</v>
      </c>
      <c r="L3" s="147">
        <f t="shared" ref="L3:L45" si="0">+K3/1000</f>
        <v>9.9185200000000009</v>
      </c>
      <c r="M3" s="148" t="s">
        <v>253</v>
      </c>
      <c r="N3" t="s">
        <v>240</v>
      </c>
    </row>
    <row r="4" spans="1:14" x14ac:dyDescent="0.35">
      <c r="B4" s="146" t="s">
        <v>75</v>
      </c>
      <c r="C4" s="146" t="s">
        <v>61</v>
      </c>
      <c r="D4" s="146" t="s">
        <v>76</v>
      </c>
      <c r="E4" s="34" t="s">
        <v>77</v>
      </c>
      <c r="F4" s="34" t="s">
        <v>78</v>
      </c>
      <c r="G4" s="34" t="s">
        <v>120</v>
      </c>
      <c r="H4" s="34" t="s">
        <v>128</v>
      </c>
      <c r="I4" s="34"/>
      <c r="J4" s="146">
        <v>1</v>
      </c>
      <c r="K4" s="147">
        <v>6612.34</v>
      </c>
      <c r="L4" s="147">
        <f t="shared" si="0"/>
        <v>6.6123400000000006</v>
      </c>
      <c r="M4" s="148" t="s">
        <v>253</v>
      </c>
      <c r="N4" t="s">
        <v>240</v>
      </c>
    </row>
    <row r="5" spans="1:14" x14ac:dyDescent="0.35">
      <c r="B5" s="146" t="s">
        <v>75</v>
      </c>
      <c r="C5" s="146" t="s">
        <v>61</v>
      </c>
      <c r="D5" s="146" t="s">
        <v>76</v>
      </c>
      <c r="E5" s="34" t="s">
        <v>77</v>
      </c>
      <c r="F5" s="34" t="s">
        <v>78</v>
      </c>
      <c r="G5" s="34" t="s">
        <v>120</v>
      </c>
      <c r="H5" s="34" t="s">
        <v>121</v>
      </c>
      <c r="I5" s="34"/>
      <c r="J5" s="146">
        <v>2</v>
      </c>
      <c r="K5" s="147">
        <v>1295.9100000000001</v>
      </c>
      <c r="L5" s="147">
        <f t="shared" si="0"/>
        <v>1.2959100000000001</v>
      </c>
      <c r="M5" s="148" t="s">
        <v>253</v>
      </c>
      <c r="N5" t="s">
        <v>240</v>
      </c>
    </row>
    <row r="6" spans="1:14" x14ac:dyDescent="0.35">
      <c r="B6" s="146" t="s">
        <v>75</v>
      </c>
      <c r="C6" s="146" t="s">
        <v>61</v>
      </c>
      <c r="D6" s="146" t="s">
        <v>76</v>
      </c>
      <c r="E6" s="34" t="s">
        <v>77</v>
      </c>
      <c r="F6" s="34" t="s">
        <v>78</v>
      </c>
      <c r="G6" s="34" t="s">
        <v>120</v>
      </c>
      <c r="H6" s="34" t="s">
        <v>128</v>
      </c>
      <c r="I6" s="34"/>
      <c r="J6" s="146">
        <v>2</v>
      </c>
      <c r="K6" s="147">
        <v>863.94</v>
      </c>
      <c r="L6" s="147">
        <f t="shared" si="0"/>
        <v>0.86394000000000004</v>
      </c>
      <c r="M6" s="148" t="s">
        <v>253</v>
      </c>
      <c r="N6" t="s">
        <v>240</v>
      </c>
    </row>
    <row r="7" spans="1:14" x14ac:dyDescent="0.35">
      <c r="B7" s="146" t="s">
        <v>75</v>
      </c>
      <c r="C7" s="146" t="s">
        <v>61</v>
      </c>
      <c r="D7" s="146" t="s">
        <v>76</v>
      </c>
      <c r="E7" s="34" t="s">
        <v>77</v>
      </c>
      <c r="F7" s="34" t="s">
        <v>78</v>
      </c>
      <c r="G7" s="34" t="s">
        <v>120</v>
      </c>
      <c r="H7" s="34" t="s">
        <v>121</v>
      </c>
      <c r="I7" s="34"/>
      <c r="J7" s="146">
        <v>1</v>
      </c>
      <c r="K7" s="147">
        <v>1708.45</v>
      </c>
      <c r="L7" s="147">
        <f t="shared" si="0"/>
        <v>1.70845</v>
      </c>
      <c r="M7" s="148" t="s">
        <v>254</v>
      </c>
      <c r="N7" t="s">
        <v>240</v>
      </c>
    </row>
    <row r="8" spans="1:14" x14ac:dyDescent="0.35">
      <c r="B8" s="146" t="s">
        <v>75</v>
      </c>
      <c r="C8" s="146" t="s">
        <v>61</v>
      </c>
      <c r="D8" s="146" t="s">
        <v>76</v>
      </c>
      <c r="E8" s="34" t="s">
        <v>77</v>
      </c>
      <c r="F8" s="34" t="s">
        <v>78</v>
      </c>
      <c r="G8" s="34" t="s">
        <v>120</v>
      </c>
      <c r="H8" s="34" t="s">
        <v>128</v>
      </c>
      <c r="I8" s="34"/>
      <c r="J8" s="146">
        <v>1</v>
      </c>
      <c r="K8" s="147">
        <v>659.51</v>
      </c>
      <c r="L8" s="147">
        <f t="shared" si="0"/>
        <v>0.65951000000000004</v>
      </c>
      <c r="M8" s="148" t="s">
        <v>254</v>
      </c>
      <c r="N8" t="s">
        <v>240</v>
      </c>
    </row>
    <row r="9" spans="1:14" x14ac:dyDescent="0.35">
      <c r="B9" s="146" t="s">
        <v>75</v>
      </c>
      <c r="C9" s="146" t="s">
        <v>61</v>
      </c>
      <c r="D9" s="146" t="s">
        <v>76</v>
      </c>
      <c r="E9" s="34" t="s">
        <v>77</v>
      </c>
      <c r="F9" s="34" t="s">
        <v>78</v>
      </c>
      <c r="G9" s="34" t="s">
        <v>120</v>
      </c>
      <c r="H9" s="34" t="s">
        <v>121</v>
      </c>
      <c r="I9" s="34"/>
      <c r="J9" s="146">
        <v>2</v>
      </c>
      <c r="K9" s="147">
        <v>1708.45</v>
      </c>
      <c r="L9" s="147">
        <f t="shared" si="0"/>
        <v>1.70845</v>
      </c>
      <c r="M9" s="148" t="s">
        <v>254</v>
      </c>
      <c r="N9" t="s">
        <v>240</v>
      </c>
    </row>
    <row r="10" spans="1:14" x14ac:dyDescent="0.35">
      <c r="B10" s="146" t="s">
        <v>75</v>
      </c>
      <c r="C10" s="146" t="s">
        <v>61</v>
      </c>
      <c r="D10" s="146" t="s">
        <v>76</v>
      </c>
      <c r="E10" s="34" t="s">
        <v>77</v>
      </c>
      <c r="F10" s="34" t="s">
        <v>78</v>
      </c>
      <c r="G10" s="34" t="s">
        <v>120</v>
      </c>
      <c r="H10" s="34" t="s">
        <v>128</v>
      </c>
      <c r="I10" s="34"/>
      <c r="J10" s="146">
        <v>2</v>
      </c>
      <c r="K10" s="147">
        <v>659.51</v>
      </c>
      <c r="L10" s="147">
        <f t="shared" si="0"/>
        <v>0.65951000000000004</v>
      </c>
      <c r="M10" s="148" t="s">
        <v>254</v>
      </c>
      <c r="N10" t="s">
        <v>240</v>
      </c>
    </row>
    <row r="11" spans="1:14" x14ac:dyDescent="0.35">
      <c r="B11" s="146" t="s">
        <v>75</v>
      </c>
      <c r="C11" s="146" t="s">
        <v>61</v>
      </c>
      <c r="D11" s="146" t="s">
        <v>76</v>
      </c>
      <c r="E11" s="34" t="s">
        <v>77</v>
      </c>
      <c r="F11" s="34" t="s">
        <v>78</v>
      </c>
      <c r="G11" s="34" t="s">
        <v>120</v>
      </c>
      <c r="H11" s="34" t="s">
        <v>121</v>
      </c>
      <c r="I11" s="34"/>
      <c r="J11" s="146">
        <v>3</v>
      </c>
      <c r="K11" s="147">
        <v>1708.45</v>
      </c>
      <c r="L11" s="147">
        <f t="shared" si="0"/>
        <v>1.70845</v>
      </c>
      <c r="M11" s="148" t="s">
        <v>254</v>
      </c>
      <c r="N11" t="s">
        <v>240</v>
      </c>
    </row>
    <row r="12" spans="1:14" x14ac:dyDescent="0.35">
      <c r="B12" s="146" t="s">
        <v>75</v>
      </c>
      <c r="C12" s="146" t="s">
        <v>61</v>
      </c>
      <c r="D12" s="146" t="s">
        <v>76</v>
      </c>
      <c r="E12" s="34" t="s">
        <v>77</v>
      </c>
      <c r="F12" s="34" t="s">
        <v>78</v>
      </c>
      <c r="G12" s="34" t="s">
        <v>120</v>
      </c>
      <c r="H12" s="34" t="s">
        <v>128</v>
      </c>
      <c r="I12" s="34"/>
      <c r="J12" s="146">
        <v>3</v>
      </c>
      <c r="K12" s="147">
        <v>659.51</v>
      </c>
      <c r="L12" s="147">
        <f t="shared" si="0"/>
        <v>0.65951000000000004</v>
      </c>
      <c r="M12" s="148" t="s">
        <v>254</v>
      </c>
      <c r="N12" t="s">
        <v>240</v>
      </c>
    </row>
    <row r="13" spans="1:14" x14ac:dyDescent="0.35">
      <c r="B13" s="146" t="s">
        <v>75</v>
      </c>
      <c r="C13" s="146" t="s">
        <v>61</v>
      </c>
      <c r="D13" s="146" t="s">
        <v>76</v>
      </c>
      <c r="E13" s="34" t="s">
        <v>77</v>
      </c>
      <c r="F13" s="34" t="s">
        <v>78</v>
      </c>
      <c r="G13" s="34" t="s">
        <v>120</v>
      </c>
      <c r="H13" s="34" t="s">
        <v>125</v>
      </c>
      <c r="I13" s="34"/>
      <c r="J13" s="146">
        <v>3</v>
      </c>
      <c r="K13" s="147">
        <v>19064.32</v>
      </c>
      <c r="L13" s="147">
        <f t="shared" si="0"/>
        <v>19.064319999999999</v>
      </c>
      <c r="M13" s="148" t="s">
        <v>254</v>
      </c>
      <c r="N13" t="s">
        <v>242</v>
      </c>
    </row>
    <row r="14" spans="1:14" x14ac:dyDescent="0.35">
      <c r="B14" s="146" t="s">
        <v>75</v>
      </c>
      <c r="C14" s="146" t="s">
        <v>61</v>
      </c>
      <c r="D14" s="146" t="s">
        <v>76</v>
      </c>
      <c r="E14" s="34" t="s">
        <v>77</v>
      </c>
      <c r="F14" s="34" t="s">
        <v>78</v>
      </c>
      <c r="G14" s="34" t="s">
        <v>120</v>
      </c>
      <c r="H14" s="34" t="s">
        <v>121</v>
      </c>
      <c r="I14" s="34"/>
      <c r="J14" s="146">
        <v>1</v>
      </c>
      <c r="K14" s="147">
        <v>5700.18</v>
      </c>
      <c r="L14" s="147">
        <f t="shared" si="0"/>
        <v>5.7001800000000005</v>
      </c>
      <c r="M14" s="148" t="s">
        <v>255</v>
      </c>
      <c r="N14" t="s">
        <v>240</v>
      </c>
    </row>
    <row r="15" spans="1:14" x14ac:dyDescent="0.35">
      <c r="B15" s="146" t="s">
        <v>75</v>
      </c>
      <c r="C15" s="146" t="s">
        <v>61</v>
      </c>
      <c r="D15" s="146" t="s">
        <v>76</v>
      </c>
      <c r="E15" s="34" t="s">
        <v>77</v>
      </c>
      <c r="F15" s="34" t="s">
        <v>78</v>
      </c>
      <c r="G15" s="34" t="s">
        <v>120</v>
      </c>
      <c r="H15" s="34" t="s">
        <v>128</v>
      </c>
      <c r="I15" s="34"/>
      <c r="J15" s="146">
        <v>1</v>
      </c>
      <c r="K15" s="147">
        <v>1409.09</v>
      </c>
      <c r="L15" s="147">
        <f t="shared" si="0"/>
        <v>1.40909</v>
      </c>
      <c r="M15" s="148" t="s">
        <v>255</v>
      </c>
      <c r="N15" t="s">
        <v>240</v>
      </c>
    </row>
    <row r="16" spans="1:14" x14ac:dyDescent="0.35">
      <c r="B16" s="146" t="s">
        <v>75</v>
      </c>
      <c r="C16" s="146" t="s">
        <v>61</v>
      </c>
      <c r="D16" s="146" t="s">
        <v>76</v>
      </c>
      <c r="E16" s="34" t="s">
        <v>77</v>
      </c>
      <c r="F16" s="34" t="s">
        <v>78</v>
      </c>
      <c r="G16" s="34" t="s">
        <v>120</v>
      </c>
      <c r="H16" s="34" t="s">
        <v>121</v>
      </c>
      <c r="I16" s="34"/>
      <c r="J16" s="146">
        <v>2</v>
      </c>
      <c r="K16" s="147">
        <v>5700.18</v>
      </c>
      <c r="L16" s="147">
        <f t="shared" si="0"/>
        <v>5.7001800000000005</v>
      </c>
      <c r="M16" s="148" t="s">
        <v>255</v>
      </c>
      <c r="N16" t="s">
        <v>240</v>
      </c>
    </row>
    <row r="17" spans="2:14" x14ac:dyDescent="0.35">
      <c r="B17" s="146" t="s">
        <v>75</v>
      </c>
      <c r="C17" s="146" t="s">
        <v>61</v>
      </c>
      <c r="D17" s="146" t="s">
        <v>76</v>
      </c>
      <c r="E17" s="34" t="s">
        <v>77</v>
      </c>
      <c r="F17" s="34" t="s">
        <v>78</v>
      </c>
      <c r="G17" s="34" t="s">
        <v>120</v>
      </c>
      <c r="H17" s="34" t="s">
        <v>128</v>
      </c>
      <c r="I17" s="34"/>
      <c r="J17" s="146">
        <v>2</v>
      </c>
      <c r="K17" s="147">
        <v>1409.09</v>
      </c>
      <c r="L17" s="147">
        <f t="shared" si="0"/>
        <v>1.40909</v>
      </c>
      <c r="M17" s="148" t="s">
        <v>255</v>
      </c>
      <c r="N17" t="s">
        <v>240</v>
      </c>
    </row>
    <row r="18" spans="2:14" x14ac:dyDescent="0.35">
      <c r="B18" s="146" t="s">
        <v>75</v>
      </c>
      <c r="C18" s="146" t="s">
        <v>61</v>
      </c>
      <c r="D18" s="146" t="s">
        <v>76</v>
      </c>
      <c r="E18" s="34" t="s">
        <v>77</v>
      </c>
      <c r="F18" s="34" t="s">
        <v>78</v>
      </c>
      <c r="G18" s="34" t="s">
        <v>120</v>
      </c>
      <c r="H18" s="34" t="s">
        <v>121</v>
      </c>
      <c r="I18" s="34"/>
      <c r="J18" s="146">
        <v>3</v>
      </c>
      <c r="K18" s="147">
        <v>5700.18</v>
      </c>
      <c r="L18" s="147">
        <f t="shared" si="0"/>
        <v>5.7001800000000005</v>
      </c>
      <c r="M18" s="148" t="s">
        <v>255</v>
      </c>
      <c r="N18" t="s">
        <v>240</v>
      </c>
    </row>
    <row r="19" spans="2:14" x14ac:dyDescent="0.35">
      <c r="B19" s="146" t="s">
        <v>75</v>
      </c>
      <c r="C19" s="146" t="s">
        <v>61</v>
      </c>
      <c r="D19" s="146" t="s">
        <v>76</v>
      </c>
      <c r="E19" s="34" t="s">
        <v>77</v>
      </c>
      <c r="F19" s="34" t="s">
        <v>78</v>
      </c>
      <c r="G19" s="34" t="s">
        <v>120</v>
      </c>
      <c r="H19" s="34" t="s">
        <v>128</v>
      </c>
      <c r="I19" s="34"/>
      <c r="J19" s="146">
        <v>3</v>
      </c>
      <c r="K19" s="147">
        <v>1409.09</v>
      </c>
      <c r="L19" s="147">
        <f t="shared" si="0"/>
        <v>1.40909</v>
      </c>
      <c r="M19" s="148" t="s">
        <v>255</v>
      </c>
      <c r="N19" t="s">
        <v>240</v>
      </c>
    </row>
    <row r="20" spans="2:14" x14ac:dyDescent="0.35">
      <c r="B20" s="146" t="s">
        <v>75</v>
      </c>
      <c r="C20" s="146" t="s">
        <v>61</v>
      </c>
      <c r="D20" s="146" t="s">
        <v>76</v>
      </c>
      <c r="E20" s="34" t="s">
        <v>77</v>
      </c>
      <c r="F20" s="34" t="s">
        <v>78</v>
      </c>
      <c r="G20" s="34" t="s">
        <v>120</v>
      </c>
      <c r="H20" s="34" t="s">
        <v>121</v>
      </c>
      <c r="I20" s="34"/>
      <c r="J20" s="146">
        <v>4</v>
      </c>
      <c r="K20" s="147">
        <v>5700.18</v>
      </c>
      <c r="L20" s="147">
        <f t="shared" si="0"/>
        <v>5.7001800000000005</v>
      </c>
      <c r="M20" s="148" t="s">
        <v>255</v>
      </c>
      <c r="N20" t="s">
        <v>240</v>
      </c>
    </row>
    <row r="21" spans="2:14" x14ac:dyDescent="0.35">
      <c r="B21" s="146" t="s">
        <v>75</v>
      </c>
      <c r="C21" s="146" t="s">
        <v>61</v>
      </c>
      <c r="D21" s="146" t="s">
        <v>76</v>
      </c>
      <c r="E21" s="34" t="s">
        <v>77</v>
      </c>
      <c r="F21" s="34" t="s">
        <v>78</v>
      </c>
      <c r="G21" s="34" t="s">
        <v>120</v>
      </c>
      <c r="H21" s="34" t="s">
        <v>128</v>
      </c>
      <c r="I21" s="34"/>
      <c r="J21" s="146">
        <v>4</v>
      </c>
      <c r="K21" s="147">
        <v>1409.09</v>
      </c>
      <c r="L21" s="147">
        <f t="shared" si="0"/>
        <v>1.40909</v>
      </c>
      <c r="M21" s="148" t="s">
        <v>255</v>
      </c>
      <c r="N21" t="s">
        <v>240</v>
      </c>
    </row>
    <row r="22" spans="2:14" x14ac:dyDescent="0.35">
      <c r="B22" s="146" t="s">
        <v>75</v>
      </c>
      <c r="C22" s="146" t="s">
        <v>61</v>
      </c>
      <c r="D22" s="146" t="s">
        <v>76</v>
      </c>
      <c r="E22" s="34" t="s">
        <v>77</v>
      </c>
      <c r="F22" s="34" t="s">
        <v>78</v>
      </c>
      <c r="G22" s="34" t="s">
        <v>120</v>
      </c>
      <c r="H22" s="34" t="s">
        <v>121</v>
      </c>
      <c r="I22" s="34"/>
      <c r="J22" s="146">
        <v>5</v>
      </c>
      <c r="K22" s="147">
        <v>5700.18</v>
      </c>
      <c r="L22" s="147">
        <f t="shared" si="0"/>
        <v>5.7001800000000005</v>
      </c>
      <c r="M22" s="148" t="s">
        <v>255</v>
      </c>
      <c r="N22" t="s">
        <v>240</v>
      </c>
    </row>
    <row r="23" spans="2:14" x14ac:dyDescent="0.35">
      <c r="B23" s="146" t="s">
        <v>75</v>
      </c>
      <c r="C23" s="146" t="s">
        <v>61</v>
      </c>
      <c r="D23" s="146" t="s">
        <v>76</v>
      </c>
      <c r="E23" s="34" t="s">
        <v>77</v>
      </c>
      <c r="F23" s="34" t="s">
        <v>78</v>
      </c>
      <c r="G23" s="34" t="s">
        <v>120</v>
      </c>
      <c r="H23" s="34" t="s">
        <v>128</v>
      </c>
      <c r="I23" s="34"/>
      <c r="J23" s="146">
        <v>5</v>
      </c>
      <c r="K23" s="147">
        <v>1409.09</v>
      </c>
      <c r="L23" s="147">
        <f t="shared" si="0"/>
        <v>1.40909</v>
      </c>
      <c r="M23" s="148" t="s">
        <v>255</v>
      </c>
      <c r="N23" t="s">
        <v>240</v>
      </c>
    </row>
    <row r="24" spans="2:14" x14ac:dyDescent="0.35">
      <c r="B24" s="146" t="s">
        <v>75</v>
      </c>
      <c r="C24" s="146" t="s">
        <v>61</v>
      </c>
      <c r="D24" s="146" t="s">
        <v>76</v>
      </c>
      <c r="E24" s="34" t="s">
        <v>77</v>
      </c>
      <c r="F24" s="34" t="s">
        <v>78</v>
      </c>
      <c r="G24" s="34" t="s">
        <v>120</v>
      </c>
      <c r="H24" s="34" t="s">
        <v>121</v>
      </c>
      <c r="I24" s="34"/>
      <c r="J24" s="146">
        <v>6</v>
      </c>
      <c r="K24" s="147">
        <v>5700.18</v>
      </c>
      <c r="L24" s="147">
        <f t="shared" si="0"/>
        <v>5.7001800000000005</v>
      </c>
      <c r="M24" s="148" t="s">
        <v>255</v>
      </c>
      <c r="N24" t="s">
        <v>240</v>
      </c>
    </row>
    <row r="25" spans="2:14" x14ac:dyDescent="0.35">
      <c r="B25" s="146" t="s">
        <v>75</v>
      </c>
      <c r="C25" s="146" t="s">
        <v>61</v>
      </c>
      <c r="D25" s="146" t="s">
        <v>76</v>
      </c>
      <c r="E25" s="34" t="s">
        <v>77</v>
      </c>
      <c r="F25" s="34" t="s">
        <v>78</v>
      </c>
      <c r="G25" s="34" t="s">
        <v>120</v>
      </c>
      <c r="H25" s="34" t="s">
        <v>128</v>
      </c>
      <c r="I25" s="34"/>
      <c r="J25" s="146">
        <v>6</v>
      </c>
      <c r="K25" s="147">
        <v>1409.09</v>
      </c>
      <c r="L25" s="147">
        <f t="shared" si="0"/>
        <v>1.40909</v>
      </c>
      <c r="M25" s="148" t="s">
        <v>255</v>
      </c>
      <c r="N25" t="s">
        <v>240</v>
      </c>
    </row>
    <row r="26" spans="2:14" x14ac:dyDescent="0.35">
      <c r="B26" s="146" t="s">
        <v>75</v>
      </c>
      <c r="C26" s="146" t="s">
        <v>61</v>
      </c>
      <c r="D26" s="146" t="s">
        <v>76</v>
      </c>
      <c r="E26" s="34" t="s">
        <v>77</v>
      </c>
      <c r="F26" s="34" t="s">
        <v>78</v>
      </c>
      <c r="G26" s="34" t="s">
        <v>120</v>
      </c>
      <c r="H26" s="34" t="s">
        <v>121</v>
      </c>
      <c r="I26" s="34"/>
      <c r="J26" s="146">
        <v>7</v>
      </c>
      <c r="K26" s="147">
        <v>5700.18</v>
      </c>
      <c r="L26" s="147">
        <f t="shared" si="0"/>
        <v>5.7001800000000005</v>
      </c>
      <c r="M26" s="148" t="s">
        <v>255</v>
      </c>
      <c r="N26" t="s">
        <v>240</v>
      </c>
    </row>
    <row r="27" spans="2:14" x14ac:dyDescent="0.35">
      <c r="B27" s="146" t="s">
        <v>75</v>
      </c>
      <c r="C27" s="146" t="s">
        <v>61</v>
      </c>
      <c r="D27" s="146" t="s">
        <v>76</v>
      </c>
      <c r="E27" s="34" t="s">
        <v>77</v>
      </c>
      <c r="F27" s="34" t="s">
        <v>78</v>
      </c>
      <c r="G27" s="34" t="s">
        <v>120</v>
      </c>
      <c r="H27" s="34" t="s">
        <v>128</v>
      </c>
      <c r="I27" s="34"/>
      <c r="J27" s="146">
        <v>7</v>
      </c>
      <c r="K27" s="147">
        <v>1409.09</v>
      </c>
      <c r="L27" s="147">
        <f t="shared" si="0"/>
        <v>1.40909</v>
      </c>
      <c r="M27" s="148" t="s">
        <v>255</v>
      </c>
      <c r="N27" t="s">
        <v>240</v>
      </c>
    </row>
    <row r="28" spans="2:14" x14ac:dyDescent="0.35">
      <c r="B28" s="146" t="s">
        <v>75</v>
      </c>
      <c r="C28" s="146" t="s">
        <v>61</v>
      </c>
      <c r="D28" s="146" t="s">
        <v>76</v>
      </c>
      <c r="E28" s="34" t="s">
        <v>77</v>
      </c>
      <c r="F28" s="34" t="s">
        <v>78</v>
      </c>
      <c r="G28" s="34" t="s">
        <v>120</v>
      </c>
      <c r="H28" s="34" t="s">
        <v>121</v>
      </c>
      <c r="I28" s="34"/>
      <c r="J28" s="146">
        <v>8</v>
      </c>
      <c r="K28" s="147">
        <v>3800.14</v>
      </c>
      <c r="L28" s="147">
        <f t="shared" si="0"/>
        <v>3.8001399999999999</v>
      </c>
      <c r="M28" s="148" t="s">
        <v>255</v>
      </c>
      <c r="N28" t="s">
        <v>240</v>
      </c>
    </row>
    <row r="29" spans="2:14" x14ac:dyDescent="0.35">
      <c r="B29" s="146" t="s">
        <v>75</v>
      </c>
      <c r="C29" s="146" t="s">
        <v>61</v>
      </c>
      <c r="D29" s="146" t="s">
        <v>76</v>
      </c>
      <c r="E29" s="34" t="s">
        <v>77</v>
      </c>
      <c r="F29" s="34" t="s">
        <v>78</v>
      </c>
      <c r="G29" s="34" t="s">
        <v>120</v>
      </c>
      <c r="H29" s="34" t="s">
        <v>128</v>
      </c>
      <c r="I29" s="34"/>
      <c r="J29" s="146">
        <v>8</v>
      </c>
      <c r="K29" s="147">
        <v>939.39</v>
      </c>
      <c r="L29" s="147">
        <f t="shared" si="0"/>
        <v>0.93938999999999995</v>
      </c>
      <c r="M29" s="148" t="s">
        <v>255</v>
      </c>
      <c r="N29" t="s">
        <v>240</v>
      </c>
    </row>
    <row r="30" spans="2:14" x14ac:dyDescent="0.35">
      <c r="B30" s="146" t="s">
        <v>75</v>
      </c>
      <c r="C30" s="146" t="s">
        <v>61</v>
      </c>
      <c r="D30" s="146" t="s">
        <v>76</v>
      </c>
      <c r="E30" s="34" t="s">
        <v>77</v>
      </c>
      <c r="F30" s="34" t="s">
        <v>78</v>
      </c>
      <c r="G30" s="34" t="s">
        <v>120</v>
      </c>
      <c r="H30" s="34" t="s">
        <v>121</v>
      </c>
      <c r="I30" s="34"/>
      <c r="J30" s="146">
        <v>1</v>
      </c>
      <c r="K30" s="147">
        <v>8364.9763795631643</v>
      </c>
      <c r="L30" s="147">
        <f t="shared" si="0"/>
        <v>8.3649763795631635</v>
      </c>
      <c r="M30" s="148" t="s">
        <v>256</v>
      </c>
      <c r="N30" t="s">
        <v>240</v>
      </c>
    </row>
    <row r="31" spans="2:14" x14ac:dyDescent="0.35">
      <c r="B31" s="146" t="s">
        <v>75</v>
      </c>
      <c r="C31" s="146" t="s">
        <v>61</v>
      </c>
      <c r="D31" s="146" t="s">
        <v>76</v>
      </c>
      <c r="E31" s="34" t="s">
        <v>77</v>
      </c>
      <c r="F31" s="34" t="s">
        <v>78</v>
      </c>
      <c r="G31" s="34" t="s">
        <v>120</v>
      </c>
      <c r="H31" s="34" t="s">
        <v>128</v>
      </c>
      <c r="I31" s="34"/>
      <c r="J31" s="146">
        <v>1</v>
      </c>
      <c r="K31" s="147">
        <v>1425.9301239939236</v>
      </c>
      <c r="L31" s="147">
        <f t="shared" si="0"/>
        <v>1.4259301239939237</v>
      </c>
      <c r="M31" s="148" t="s">
        <v>256</v>
      </c>
      <c r="N31" t="s">
        <v>240</v>
      </c>
    </row>
    <row r="32" spans="2:14" x14ac:dyDescent="0.35">
      <c r="B32" s="146" t="s">
        <v>75</v>
      </c>
      <c r="C32" s="146" t="s">
        <v>61</v>
      </c>
      <c r="D32" s="146" t="s">
        <v>76</v>
      </c>
      <c r="E32" s="34" t="s">
        <v>77</v>
      </c>
      <c r="F32" s="34" t="s">
        <v>78</v>
      </c>
      <c r="G32" s="34" t="s">
        <v>120</v>
      </c>
      <c r="H32" s="34" t="s">
        <v>121</v>
      </c>
      <c r="I32" s="34"/>
      <c r="J32" s="146">
        <v>2</v>
      </c>
      <c r="K32" s="147">
        <v>8364.9763795631643</v>
      </c>
      <c r="L32" s="147">
        <f t="shared" si="0"/>
        <v>8.3649763795631635</v>
      </c>
      <c r="M32" s="148" t="s">
        <v>256</v>
      </c>
      <c r="N32" t="s">
        <v>240</v>
      </c>
    </row>
    <row r="33" spans="2:14" x14ac:dyDescent="0.35">
      <c r="B33" s="146" t="s">
        <v>75</v>
      </c>
      <c r="C33" s="146" t="s">
        <v>61</v>
      </c>
      <c r="D33" s="146" t="s">
        <v>76</v>
      </c>
      <c r="E33" s="34" t="s">
        <v>77</v>
      </c>
      <c r="F33" s="34" t="s">
        <v>78</v>
      </c>
      <c r="G33" s="34" t="s">
        <v>120</v>
      </c>
      <c r="H33" s="34" t="s">
        <v>128</v>
      </c>
      <c r="I33" s="34"/>
      <c r="J33" s="146">
        <v>2</v>
      </c>
      <c r="K33" s="147">
        <v>1425.9301239939236</v>
      </c>
      <c r="L33" s="147">
        <f t="shared" si="0"/>
        <v>1.4259301239939237</v>
      </c>
      <c r="M33" s="148" t="s">
        <v>256</v>
      </c>
      <c r="N33" t="s">
        <v>240</v>
      </c>
    </row>
    <row r="34" spans="2:14" x14ac:dyDescent="0.35">
      <c r="B34" s="146" t="s">
        <v>75</v>
      </c>
      <c r="C34" s="146" t="s">
        <v>61</v>
      </c>
      <c r="D34" s="146" t="s">
        <v>76</v>
      </c>
      <c r="E34" s="34" t="s">
        <v>77</v>
      </c>
      <c r="F34" s="34" t="s">
        <v>78</v>
      </c>
      <c r="G34" s="34" t="s">
        <v>120</v>
      </c>
      <c r="H34" s="34" t="s">
        <v>121</v>
      </c>
      <c r="I34" s="34"/>
      <c r="J34" s="146">
        <v>3</v>
      </c>
      <c r="K34" s="147">
        <v>8364.9763795631643</v>
      </c>
      <c r="L34" s="147">
        <f t="shared" si="0"/>
        <v>8.3649763795631635</v>
      </c>
      <c r="M34" s="148" t="s">
        <v>256</v>
      </c>
      <c r="N34" t="s">
        <v>240</v>
      </c>
    </row>
    <row r="35" spans="2:14" x14ac:dyDescent="0.35">
      <c r="B35" s="146" t="s">
        <v>75</v>
      </c>
      <c r="C35" s="146" t="s">
        <v>61</v>
      </c>
      <c r="D35" s="146" t="s">
        <v>76</v>
      </c>
      <c r="E35" s="34" t="s">
        <v>77</v>
      </c>
      <c r="F35" s="34" t="s">
        <v>78</v>
      </c>
      <c r="G35" s="34" t="s">
        <v>120</v>
      </c>
      <c r="H35" s="34" t="s">
        <v>128</v>
      </c>
      <c r="I35" s="34"/>
      <c r="J35" s="146">
        <v>3</v>
      </c>
      <c r="K35" s="147">
        <v>1425.9301239939236</v>
      </c>
      <c r="L35" s="147">
        <f t="shared" si="0"/>
        <v>1.4259301239939237</v>
      </c>
      <c r="M35" s="148" t="s">
        <v>256</v>
      </c>
      <c r="N35" t="s">
        <v>240</v>
      </c>
    </row>
    <row r="36" spans="2:14" x14ac:dyDescent="0.35">
      <c r="B36" s="146" t="s">
        <v>75</v>
      </c>
      <c r="C36" s="146" t="s">
        <v>61</v>
      </c>
      <c r="D36" s="146" t="s">
        <v>76</v>
      </c>
      <c r="E36" s="34" t="s">
        <v>77</v>
      </c>
      <c r="F36" s="34" t="s">
        <v>78</v>
      </c>
      <c r="G36" s="34" t="s">
        <v>120</v>
      </c>
      <c r="H36" s="34" t="s">
        <v>121</v>
      </c>
      <c r="I36" s="34"/>
      <c r="J36" s="146">
        <v>4</v>
      </c>
      <c r="K36" s="147">
        <v>8364.9763795631643</v>
      </c>
      <c r="L36" s="147">
        <f t="shared" si="0"/>
        <v>8.3649763795631635</v>
      </c>
      <c r="M36" s="148" t="s">
        <v>256</v>
      </c>
      <c r="N36" t="s">
        <v>240</v>
      </c>
    </row>
    <row r="37" spans="2:14" x14ac:dyDescent="0.35">
      <c r="B37" s="146" t="s">
        <v>75</v>
      </c>
      <c r="C37" s="146" t="s">
        <v>61</v>
      </c>
      <c r="D37" s="146" t="s">
        <v>76</v>
      </c>
      <c r="E37" s="34" t="s">
        <v>77</v>
      </c>
      <c r="F37" s="34" t="s">
        <v>78</v>
      </c>
      <c r="G37" s="34" t="s">
        <v>120</v>
      </c>
      <c r="H37" s="34" t="s">
        <v>128</v>
      </c>
      <c r="I37" s="34"/>
      <c r="J37" s="146">
        <v>4</v>
      </c>
      <c r="K37" s="147">
        <v>1425.9301239939236</v>
      </c>
      <c r="L37" s="147">
        <f t="shared" si="0"/>
        <v>1.4259301239939237</v>
      </c>
      <c r="M37" s="148" t="s">
        <v>256</v>
      </c>
      <c r="N37" t="s">
        <v>240</v>
      </c>
    </row>
    <row r="38" spans="2:14" x14ac:dyDescent="0.35">
      <c r="B38" s="146" t="s">
        <v>75</v>
      </c>
      <c r="C38" s="146" t="s">
        <v>61</v>
      </c>
      <c r="D38" s="146" t="s">
        <v>76</v>
      </c>
      <c r="E38" s="34" t="s">
        <v>77</v>
      </c>
      <c r="F38" s="34" t="s">
        <v>78</v>
      </c>
      <c r="G38" s="34" t="s">
        <v>120</v>
      </c>
      <c r="H38" s="34" t="s">
        <v>121</v>
      </c>
      <c r="I38" s="34"/>
      <c r="J38" s="146">
        <v>5</v>
      </c>
      <c r="K38" s="147">
        <v>8364.9763795631643</v>
      </c>
      <c r="L38" s="147">
        <f t="shared" si="0"/>
        <v>8.3649763795631635</v>
      </c>
      <c r="M38" s="148" t="s">
        <v>256</v>
      </c>
      <c r="N38" t="s">
        <v>240</v>
      </c>
    </row>
    <row r="39" spans="2:14" x14ac:dyDescent="0.35">
      <c r="B39" s="146" t="s">
        <v>75</v>
      </c>
      <c r="C39" s="146" t="s">
        <v>61</v>
      </c>
      <c r="D39" s="146" t="s">
        <v>76</v>
      </c>
      <c r="E39" s="34" t="s">
        <v>77</v>
      </c>
      <c r="F39" s="34" t="s">
        <v>78</v>
      </c>
      <c r="G39" s="34" t="s">
        <v>120</v>
      </c>
      <c r="H39" s="34" t="s">
        <v>128</v>
      </c>
      <c r="I39" s="34"/>
      <c r="J39" s="146">
        <v>5</v>
      </c>
      <c r="K39" s="147">
        <v>1425.9301239939236</v>
      </c>
      <c r="L39" s="147">
        <f t="shared" si="0"/>
        <v>1.4259301239939237</v>
      </c>
      <c r="M39" s="148" t="s">
        <v>256</v>
      </c>
      <c r="N39" t="s">
        <v>240</v>
      </c>
    </row>
    <row r="40" spans="2:14" x14ac:dyDescent="0.35">
      <c r="B40" s="146" t="s">
        <v>75</v>
      </c>
      <c r="C40" s="146" t="s">
        <v>61</v>
      </c>
      <c r="D40" s="146" t="s">
        <v>76</v>
      </c>
      <c r="E40" s="34" t="s">
        <v>77</v>
      </c>
      <c r="F40" s="34" t="s">
        <v>78</v>
      </c>
      <c r="G40" s="34" t="s">
        <v>120</v>
      </c>
      <c r="H40" s="34" t="s">
        <v>121</v>
      </c>
      <c r="I40" s="34"/>
      <c r="J40" s="146">
        <v>6</v>
      </c>
      <c r="K40" s="147">
        <v>8364.9763795631643</v>
      </c>
      <c r="L40" s="147">
        <f t="shared" si="0"/>
        <v>8.3649763795631635</v>
      </c>
      <c r="M40" s="148" t="s">
        <v>256</v>
      </c>
      <c r="N40" t="s">
        <v>240</v>
      </c>
    </row>
    <row r="41" spans="2:14" x14ac:dyDescent="0.35">
      <c r="B41" s="146" t="s">
        <v>75</v>
      </c>
      <c r="C41" s="146" t="s">
        <v>61</v>
      </c>
      <c r="D41" s="146" t="s">
        <v>76</v>
      </c>
      <c r="E41" s="34" t="s">
        <v>77</v>
      </c>
      <c r="F41" s="34" t="s">
        <v>78</v>
      </c>
      <c r="G41" s="34" t="s">
        <v>120</v>
      </c>
      <c r="H41" s="34" t="s">
        <v>128</v>
      </c>
      <c r="I41" s="34"/>
      <c r="J41" s="146">
        <v>6</v>
      </c>
      <c r="K41" s="147">
        <v>1425.9301239939236</v>
      </c>
      <c r="L41" s="147">
        <f t="shared" si="0"/>
        <v>1.4259301239939237</v>
      </c>
      <c r="M41" s="148" t="s">
        <v>256</v>
      </c>
      <c r="N41" t="s">
        <v>240</v>
      </c>
    </row>
    <row r="42" spans="2:14" x14ac:dyDescent="0.35">
      <c r="B42" s="146" t="s">
        <v>75</v>
      </c>
      <c r="C42" s="146" t="s">
        <v>61</v>
      </c>
      <c r="D42" s="146" t="s">
        <v>76</v>
      </c>
      <c r="E42" s="34" t="s">
        <v>77</v>
      </c>
      <c r="F42" s="34" t="s">
        <v>78</v>
      </c>
      <c r="G42" s="34" t="s">
        <v>120</v>
      </c>
      <c r="H42" s="34" t="s">
        <v>121</v>
      </c>
      <c r="I42" s="34"/>
      <c r="J42" s="146">
        <v>7</v>
      </c>
      <c r="K42" s="147">
        <v>8364.9763795631643</v>
      </c>
      <c r="L42" s="147">
        <f t="shared" si="0"/>
        <v>8.3649763795631635</v>
      </c>
      <c r="M42" s="148" t="s">
        <v>256</v>
      </c>
      <c r="N42" t="s">
        <v>240</v>
      </c>
    </row>
    <row r="43" spans="2:14" x14ac:dyDescent="0.35">
      <c r="B43" s="146" t="s">
        <v>75</v>
      </c>
      <c r="C43" s="146" t="s">
        <v>61</v>
      </c>
      <c r="D43" s="146" t="s">
        <v>76</v>
      </c>
      <c r="E43" s="34" t="s">
        <v>77</v>
      </c>
      <c r="F43" s="34" t="s">
        <v>78</v>
      </c>
      <c r="G43" s="34" t="s">
        <v>120</v>
      </c>
      <c r="H43" s="34" t="s">
        <v>128</v>
      </c>
      <c r="I43" s="34"/>
      <c r="J43" s="146">
        <v>7</v>
      </c>
      <c r="K43" s="147">
        <v>1425.9301239939236</v>
      </c>
      <c r="L43" s="147">
        <f t="shared" si="0"/>
        <v>1.4259301239939237</v>
      </c>
      <c r="M43" s="148" t="s">
        <v>256</v>
      </c>
      <c r="N43" t="s">
        <v>240</v>
      </c>
    </row>
    <row r="44" spans="2:14" x14ac:dyDescent="0.35">
      <c r="B44" s="146" t="s">
        <v>75</v>
      </c>
      <c r="C44" s="146" t="s">
        <v>61</v>
      </c>
      <c r="D44" s="146" t="s">
        <v>76</v>
      </c>
      <c r="E44" s="34" t="s">
        <v>77</v>
      </c>
      <c r="F44" s="34" t="s">
        <v>78</v>
      </c>
      <c r="G44" s="34" t="s">
        <v>120</v>
      </c>
      <c r="H44" s="34" t="s">
        <v>121</v>
      </c>
      <c r="I44" s="34"/>
      <c r="J44" s="146">
        <v>8</v>
      </c>
      <c r="K44" s="147">
        <v>5576.6453430578558</v>
      </c>
      <c r="L44" s="147">
        <f t="shared" si="0"/>
        <v>5.576645343057856</v>
      </c>
      <c r="M44" s="148" t="s">
        <v>256</v>
      </c>
      <c r="N44" t="s">
        <v>240</v>
      </c>
    </row>
    <row r="45" spans="2:14" x14ac:dyDescent="0.35">
      <c r="B45" s="146" t="s">
        <v>75</v>
      </c>
      <c r="C45" s="146" t="s">
        <v>61</v>
      </c>
      <c r="D45" s="146" t="s">
        <v>76</v>
      </c>
      <c r="E45" s="34" t="s">
        <v>77</v>
      </c>
      <c r="F45" s="34" t="s">
        <v>78</v>
      </c>
      <c r="G45" s="34" t="s">
        <v>120</v>
      </c>
      <c r="H45" s="34" t="s">
        <v>128</v>
      </c>
      <c r="I45" s="34"/>
      <c r="J45" s="146">
        <v>8</v>
      </c>
      <c r="K45" s="147">
        <v>950.61913204253312</v>
      </c>
      <c r="L45" s="147">
        <f t="shared" si="0"/>
        <v>0.95061913204253312</v>
      </c>
      <c r="M45" s="148" t="s">
        <v>256</v>
      </c>
      <c r="N45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1F1-73A1-4742-B361-D4DC213B14E1}">
  <sheetPr filterMode="1"/>
  <dimension ref="B1:Q35"/>
  <sheetViews>
    <sheetView workbookViewId="0">
      <selection activeCell="D71" sqref="D71"/>
    </sheetView>
  </sheetViews>
  <sheetFormatPr baseColWidth="10" defaultRowHeight="14.5" x14ac:dyDescent="0.35"/>
  <cols>
    <col min="5" max="5" width="27.54296875" bestFit="1" customWidth="1"/>
    <col min="11" max="11" width="76.26953125" bestFit="1" customWidth="1"/>
    <col min="12" max="12" width="10.81640625" style="156"/>
    <col min="16" max="16" width="30.81640625" bestFit="1" customWidth="1"/>
    <col min="17" max="17" width="21.81640625" bestFit="1" customWidth="1"/>
  </cols>
  <sheetData>
    <row r="1" spans="2:17" x14ac:dyDescent="0.35">
      <c r="P1" s="152" t="s">
        <v>245</v>
      </c>
      <c r="Q1" t="s">
        <v>308</v>
      </c>
    </row>
    <row r="2" spans="2:17" ht="40.5" x14ac:dyDescent="0.35">
      <c r="B2" s="149" t="s">
        <v>244</v>
      </c>
      <c r="C2" s="150" t="s">
        <v>245</v>
      </c>
      <c r="D2" s="150" t="s">
        <v>67</v>
      </c>
      <c r="E2" s="150" t="s">
        <v>262</v>
      </c>
      <c r="F2" s="150" t="s">
        <v>246</v>
      </c>
      <c r="G2" s="150" t="s">
        <v>247</v>
      </c>
      <c r="H2" s="150" t="s">
        <v>258</v>
      </c>
      <c r="I2" s="150" t="s">
        <v>71</v>
      </c>
      <c r="J2" s="150" t="s">
        <v>248</v>
      </c>
      <c r="K2" s="150" t="s">
        <v>249</v>
      </c>
      <c r="L2" s="163" t="s">
        <v>263</v>
      </c>
      <c r="M2" s="150" t="s">
        <v>264</v>
      </c>
    </row>
    <row r="3" spans="2:17" hidden="1" x14ac:dyDescent="0.35">
      <c r="B3" s="143">
        <v>45667</v>
      </c>
      <c r="C3">
        <f>MONTH(B3)</f>
        <v>1</v>
      </c>
      <c r="D3" t="s">
        <v>42</v>
      </c>
      <c r="E3" t="s">
        <v>242</v>
      </c>
      <c r="G3">
        <v>641000007</v>
      </c>
      <c r="H3" t="s">
        <v>61</v>
      </c>
      <c r="K3" t="s">
        <v>265</v>
      </c>
      <c r="L3" s="19">
        <v>112732.33</v>
      </c>
      <c r="M3">
        <v>112.73233</v>
      </c>
      <c r="P3" s="152" t="s">
        <v>59</v>
      </c>
      <c r="Q3" t="s">
        <v>57</v>
      </c>
    </row>
    <row r="4" spans="2:17" hidden="1" x14ac:dyDescent="0.35">
      <c r="B4" s="143">
        <v>45734</v>
      </c>
      <c r="C4">
        <f t="shared" ref="C4:C35" si="0">MONTH(B4)</f>
        <v>3</v>
      </c>
      <c r="D4" t="s">
        <v>42</v>
      </c>
      <c r="E4" t="s">
        <v>266</v>
      </c>
      <c r="F4" t="s">
        <v>267</v>
      </c>
      <c r="G4">
        <v>623000001</v>
      </c>
      <c r="H4" t="s">
        <v>8</v>
      </c>
      <c r="J4" t="s">
        <v>268</v>
      </c>
      <c r="K4" t="s">
        <v>269</v>
      </c>
      <c r="L4" s="19">
        <v>14111.19</v>
      </c>
      <c r="M4">
        <v>14.111190000000001</v>
      </c>
      <c r="P4" s="67" t="s">
        <v>266</v>
      </c>
      <c r="Q4">
        <v>161.05205000000001</v>
      </c>
    </row>
    <row r="5" spans="2:17" hidden="1" x14ac:dyDescent="0.35">
      <c r="B5" s="143">
        <v>45744</v>
      </c>
      <c r="C5">
        <f t="shared" si="0"/>
        <v>3</v>
      </c>
      <c r="D5" t="s">
        <v>42</v>
      </c>
      <c r="E5" t="s">
        <v>266</v>
      </c>
      <c r="F5" t="s">
        <v>271</v>
      </c>
      <c r="G5">
        <v>623000001</v>
      </c>
      <c r="H5" t="s">
        <v>8</v>
      </c>
      <c r="J5" t="s">
        <v>268</v>
      </c>
      <c r="K5" t="s">
        <v>269</v>
      </c>
      <c r="L5" s="19">
        <v>4000</v>
      </c>
      <c r="M5">
        <v>4</v>
      </c>
      <c r="P5" s="67" t="s">
        <v>270</v>
      </c>
      <c r="Q5">
        <v>134.19398999999999</v>
      </c>
    </row>
    <row r="6" spans="2:17" hidden="1" x14ac:dyDescent="0.35">
      <c r="B6" s="143">
        <v>45776</v>
      </c>
      <c r="C6">
        <f t="shared" si="0"/>
        <v>4</v>
      </c>
      <c r="D6" t="s">
        <v>42</v>
      </c>
      <c r="E6" t="s">
        <v>266</v>
      </c>
      <c r="F6" t="s">
        <v>272</v>
      </c>
      <c r="G6">
        <v>623000001</v>
      </c>
      <c r="H6" t="s">
        <v>8</v>
      </c>
      <c r="J6" t="s">
        <v>268</v>
      </c>
      <c r="K6" t="s">
        <v>269</v>
      </c>
      <c r="L6" s="19">
        <v>4297.2299999999996</v>
      </c>
      <c r="M6">
        <v>4.2972299999999999</v>
      </c>
      <c r="P6" s="67" t="s">
        <v>279</v>
      </c>
      <c r="Q6">
        <v>48.997439999999997</v>
      </c>
    </row>
    <row r="7" spans="2:17" hidden="1" x14ac:dyDescent="0.35">
      <c r="B7" s="143">
        <v>45805</v>
      </c>
      <c r="C7">
        <f t="shared" si="0"/>
        <v>5</v>
      </c>
      <c r="D7" t="s">
        <v>42</v>
      </c>
      <c r="E7" t="s">
        <v>266</v>
      </c>
      <c r="F7" t="s">
        <v>273</v>
      </c>
      <c r="G7">
        <v>623000001</v>
      </c>
      <c r="H7" t="s">
        <v>8</v>
      </c>
      <c r="J7" t="s">
        <v>268</v>
      </c>
      <c r="K7" t="s">
        <v>269</v>
      </c>
      <c r="L7" s="19">
        <v>4000</v>
      </c>
      <c r="M7">
        <v>4</v>
      </c>
      <c r="P7" s="67" t="s">
        <v>242</v>
      </c>
      <c r="Q7">
        <v>112.73233</v>
      </c>
    </row>
    <row r="8" spans="2:17" x14ac:dyDescent="0.35">
      <c r="B8" s="143">
        <v>45838</v>
      </c>
      <c r="C8">
        <f t="shared" si="0"/>
        <v>6</v>
      </c>
      <c r="D8" t="s">
        <v>42</v>
      </c>
      <c r="E8" t="s">
        <v>266</v>
      </c>
      <c r="F8" t="s">
        <v>275</v>
      </c>
      <c r="G8">
        <v>623000001</v>
      </c>
      <c r="H8" t="s">
        <v>8</v>
      </c>
      <c r="J8" t="s">
        <v>268</v>
      </c>
      <c r="K8" t="s">
        <v>269</v>
      </c>
      <c r="L8" s="156">
        <v>4000</v>
      </c>
      <c r="M8">
        <v>4</v>
      </c>
      <c r="P8" s="67" t="s">
        <v>286</v>
      </c>
      <c r="Q8">
        <v>1.8</v>
      </c>
    </row>
    <row r="9" spans="2:17" hidden="1" x14ac:dyDescent="0.35">
      <c r="B9" s="143">
        <v>45866</v>
      </c>
      <c r="C9">
        <f t="shared" si="0"/>
        <v>7</v>
      </c>
      <c r="D9" t="s">
        <v>42</v>
      </c>
      <c r="E9" t="s">
        <v>266</v>
      </c>
      <c r="F9" t="s">
        <v>276</v>
      </c>
      <c r="G9">
        <v>623000001</v>
      </c>
      <c r="H9" t="s">
        <v>8</v>
      </c>
      <c r="J9" t="s">
        <v>268</v>
      </c>
      <c r="K9" t="s">
        <v>269</v>
      </c>
      <c r="L9" s="19">
        <v>4589.25</v>
      </c>
      <c r="M9">
        <v>4.5892499999999998</v>
      </c>
      <c r="P9" s="67" t="s">
        <v>61</v>
      </c>
      <c r="Q9">
        <v>310.01329000000004</v>
      </c>
    </row>
    <row r="10" spans="2:17" hidden="1" x14ac:dyDescent="0.35">
      <c r="B10" s="143">
        <v>45901</v>
      </c>
      <c r="C10">
        <f t="shared" si="0"/>
        <v>9</v>
      </c>
      <c r="D10" t="s">
        <v>42</v>
      </c>
      <c r="E10" t="s">
        <v>266</v>
      </c>
      <c r="F10" t="s">
        <v>277</v>
      </c>
      <c r="G10">
        <v>623000001</v>
      </c>
      <c r="H10" t="s">
        <v>8</v>
      </c>
      <c r="J10" t="s">
        <v>268</v>
      </c>
      <c r="K10" t="s">
        <v>269</v>
      </c>
      <c r="L10" s="19">
        <v>4000</v>
      </c>
      <c r="M10">
        <v>4</v>
      </c>
      <c r="P10" s="67" t="s">
        <v>303</v>
      </c>
      <c r="Q10">
        <v>139.50071000000003</v>
      </c>
    </row>
    <row r="11" spans="2:17" hidden="1" x14ac:dyDescent="0.35">
      <c r="B11" s="143">
        <v>45929</v>
      </c>
      <c r="C11">
        <f t="shared" si="0"/>
        <v>9</v>
      </c>
      <c r="D11" t="s">
        <v>42</v>
      </c>
      <c r="E11" t="s">
        <v>266</v>
      </c>
      <c r="F11" t="s">
        <v>278</v>
      </c>
      <c r="G11">
        <v>623000001</v>
      </c>
      <c r="H11" t="s">
        <v>8</v>
      </c>
      <c r="J11" t="s">
        <v>268</v>
      </c>
      <c r="K11" t="s">
        <v>269</v>
      </c>
      <c r="L11" s="19">
        <v>4054.38</v>
      </c>
      <c r="M11">
        <v>4.0543800000000001</v>
      </c>
      <c r="P11" s="67" t="s">
        <v>274</v>
      </c>
      <c r="Q11">
        <v>50.395649999999996</v>
      </c>
    </row>
    <row r="12" spans="2:17" hidden="1" x14ac:dyDescent="0.35">
      <c r="B12" s="143">
        <v>45875</v>
      </c>
      <c r="C12">
        <f t="shared" si="0"/>
        <v>8</v>
      </c>
      <c r="D12" t="s">
        <v>42</v>
      </c>
      <c r="E12" t="s">
        <v>279</v>
      </c>
      <c r="F12" t="s">
        <v>280</v>
      </c>
      <c r="G12">
        <v>627000005</v>
      </c>
      <c r="H12" t="s">
        <v>8</v>
      </c>
      <c r="J12" t="s">
        <v>281</v>
      </c>
      <c r="K12" t="s">
        <v>282</v>
      </c>
      <c r="L12" s="19">
        <v>40493.75</v>
      </c>
      <c r="M12">
        <v>40.493749999999999</v>
      </c>
      <c r="P12" s="67" t="s">
        <v>60</v>
      </c>
      <c r="Q12">
        <v>958.68546000000003</v>
      </c>
    </row>
    <row r="13" spans="2:17" hidden="1" x14ac:dyDescent="0.35">
      <c r="B13" s="143">
        <v>45875</v>
      </c>
      <c r="C13">
        <f t="shared" si="0"/>
        <v>8</v>
      </c>
      <c r="D13" t="s">
        <v>42</v>
      </c>
      <c r="E13" t="s">
        <v>279</v>
      </c>
      <c r="F13" t="s">
        <v>280</v>
      </c>
      <c r="G13">
        <v>634100000</v>
      </c>
      <c r="H13" t="s">
        <v>8</v>
      </c>
      <c r="J13" t="s">
        <v>281</v>
      </c>
      <c r="K13" t="s">
        <v>283</v>
      </c>
      <c r="L13">
        <v>8503.69</v>
      </c>
      <c r="M13">
        <v>8.5036900000000006</v>
      </c>
    </row>
    <row r="14" spans="2:17" hidden="1" x14ac:dyDescent="0.35">
      <c r="B14" s="143">
        <v>45962</v>
      </c>
      <c r="C14">
        <f t="shared" si="0"/>
        <v>11</v>
      </c>
      <c r="D14" t="s">
        <v>42</v>
      </c>
      <c r="E14" t="s">
        <v>266</v>
      </c>
      <c r="F14">
        <v>3522900376</v>
      </c>
      <c r="G14">
        <v>623000001</v>
      </c>
      <c r="H14" t="s">
        <v>8</v>
      </c>
      <c r="J14" t="s">
        <v>284</v>
      </c>
      <c r="K14" t="s">
        <v>285</v>
      </c>
      <c r="L14">
        <v>118000</v>
      </c>
      <c r="M14">
        <v>118</v>
      </c>
    </row>
    <row r="15" spans="2:17" hidden="1" x14ac:dyDescent="0.35">
      <c r="B15" s="143">
        <v>45993</v>
      </c>
      <c r="C15">
        <f t="shared" si="0"/>
        <v>12</v>
      </c>
      <c r="D15" t="s">
        <v>42</v>
      </c>
      <c r="E15" t="s">
        <v>286</v>
      </c>
      <c r="G15">
        <v>623000001</v>
      </c>
      <c r="H15" t="s">
        <v>8</v>
      </c>
      <c r="J15" t="s">
        <v>287</v>
      </c>
      <c r="K15" t="s">
        <v>288</v>
      </c>
      <c r="L15">
        <v>1800</v>
      </c>
      <c r="M15">
        <v>1.8</v>
      </c>
    </row>
    <row r="16" spans="2:17" hidden="1" x14ac:dyDescent="0.35">
      <c r="B16" s="143">
        <v>45748</v>
      </c>
      <c r="C16">
        <f t="shared" si="0"/>
        <v>4</v>
      </c>
      <c r="D16" t="s">
        <v>42</v>
      </c>
      <c r="E16" t="s">
        <v>274</v>
      </c>
      <c r="F16" t="s">
        <v>289</v>
      </c>
      <c r="G16">
        <v>622010201</v>
      </c>
      <c r="H16" t="s">
        <v>8</v>
      </c>
      <c r="J16" t="s">
        <v>290</v>
      </c>
      <c r="K16" t="s">
        <v>291</v>
      </c>
      <c r="L16">
        <v>11502.5</v>
      </c>
      <c r="M16">
        <v>11.5025</v>
      </c>
      <c r="Q16" s="151"/>
    </row>
    <row r="17" spans="2:13" hidden="1" x14ac:dyDescent="0.35">
      <c r="B17" s="143">
        <v>45748</v>
      </c>
      <c r="C17">
        <f t="shared" si="0"/>
        <v>4</v>
      </c>
      <c r="D17" t="s">
        <v>42</v>
      </c>
      <c r="E17" t="s">
        <v>274</v>
      </c>
      <c r="F17" t="s">
        <v>292</v>
      </c>
      <c r="G17">
        <v>622010201</v>
      </c>
      <c r="H17" t="s">
        <v>8</v>
      </c>
      <c r="J17" t="s">
        <v>290</v>
      </c>
      <c r="K17" t="s">
        <v>291</v>
      </c>
      <c r="L17">
        <v>11049.5</v>
      </c>
      <c r="M17">
        <v>11.0495</v>
      </c>
    </row>
    <row r="18" spans="2:13" hidden="1" x14ac:dyDescent="0.35">
      <c r="B18" s="143">
        <v>45992</v>
      </c>
      <c r="C18">
        <f t="shared" si="0"/>
        <v>12</v>
      </c>
      <c r="D18" t="s">
        <v>42</v>
      </c>
      <c r="E18" t="s">
        <v>274</v>
      </c>
      <c r="F18" t="s">
        <v>293</v>
      </c>
      <c r="G18">
        <v>622010201</v>
      </c>
      <c r="H18" t="s">
        <v>8</v>
      </c>
      <c r="J18" t="s">
        <v>290</v>
      </c>
      <c r="K18" t="s">
        <v>291</v>
      </c>
      <c r="L18">
        <v>12968</v>
      </c>
      <c r="M18">
        <v>12.968</v>
      </c>
    </row>
    <row r="19" spans="2:13" hidden="1" x14ac:dyDescent="0.35">
      <c r="B19" s="143">
        <v>45992</v>
      </c>
      <c r="C19">
        <f t="shared" si="0"/>
        <v>12</v>
      </c>
      <c r="D19" t="s">
        <v>42</v>
      </c>
      <c r="E19" t="s">
        <v>274</v>
      </c>
      <c r="F19" t="s">
        <v>294</v>
      </c>
      <c r="G19">
        <v>622000006</v>
      </c>
      <c r="H19" t="s">
        <v>8</v>
      </c>
      <c r="J19" t="s">
        <v>290</v>
      </c>
      <c r="L19">
        <v>4897</v>
      </c>
      <c r="M19">
        <v>4.8970000000000002</v>
      </c>
    </row>
    <row r="20" spans="2:13" hidden="1" x14ac:dyDescent="0.35">
      <c r="B20" s="143">
        <v>45713</v>
      </c>
      <c r="C20">
        <f t="shared" si="0"/>
        <v>2</v>
      </c>
      <c r="D20" t="s">
        <v>42</v>
      </c>
      <c r="E20" t="s">
        <v>274</v>
      </c>
      <c r="F20">
        <v>25000332</v>
      </c>
      <c r="G20">
        <v>622010200</v>
      </c>
      <c r="H20" t="s">
        <v>8</v>
      </c>
      <c r="J20" t="s">
        <v>295</v>
      </c>
      <c r="K20" t="s">
        <v>291</v>
      </c>
      <c r="L20">
        <v>9978.65</v>
      </c>
      <c r="M20">
        <v>9.97865</v>
      </c>
    </row>
    <row r="21" spans="2:13" hidden="1" x14ac:dyDescent="0.35">
      <c r="B21" s="143">
        <v>45721</v>
      </c>
      <c r="C21">
        <f t="shared" si="0"/>
        <v>3</v>
      </c>
      <c r="D21" t="s">
        <v>42</v>
      </c>
      <c r="E21" t="s">
        <v>270</v>
      </c>
      <c r="G21">
        <v>627000008</v>
      </c>
      <c r="H21" t="s">
        <v>8</v>
      </c>
      <c r="K21" t="s">
        <v>296</v>
      </c>
      <c r="L21">
        <v>8479.84</v>
      </c>
      <c r="M21">
        <v>8.4798399999999994</v>
      </c>
    </row>
    <row r="22" spans="2:13" hidden="1" x14ac:dyDescent="0.35">
      <c r="B22" s="143">
        <v>45677</v>
      </c>
      <c r="C22">
        <f t="shared" si="0"/>
        <v>1</v>
      </c>
      <c r="D22" t="s">
        <v>42</v>
      </c>
      <c r="E22" t="s">
        <v>270</v>
      </c>
      <c r="G22">
        <v>623100006</v>
      </c>
      <c r="H22" t="s">
        <v>8</v>
      </c>
      <c r="K22" t="s">
        <v>297</v>
      </c>
      <c r="L22">
        <v>21135</v>
      </c>
      <c r="M22">
        <v>21.135000000000002</v>
      </c>
    </row>
    <row r="23" spans="2:13" hidden="1" x14ac:dyDescent="0.35">
      <c r="B23" s="143">
        <v>45660</v>
      </c>
      <c r="C23">
        <f t="shared" si="0"/>
        <v>1</v>
      </c>
      <c r="D23" t="s">
        <v>42</v>
      </c>
      <c r="E23" t="s">
        <v>270</v>
      </c>
      <c r="G23">
        <v>623100007</v>
      </c>
      <c r="H23" t="s">
        <v>8</v>
      </c>
      <c r="K23" t="s">
        <v>298</v>
      </c>
      <c r="L23">
        <v>18863.509999999998</v>
      </c>
      <c r="M23">
        <v>18.863509999999998</v>
      </c>
    </row>
    <row r="24" spans="2:13" hidden="1" x14ac:dyDescent="0.35">
      <c r="B24" s="143">
        <v>45692</v>
      </c>
      <c r="C24">
        <f t="shared" si="0"/>
        <v>2</v>
      </c>
      <c r="D24" t="s">
        <v>42</v>
      </c>
      <c r="E24" t="s">
        <v>270</v>
      </c>
      <c r="G24">
        <v>623100007</v>
      </c>
      <c r="H24" t="s">
        <v>8</v>
      </c>
      <c r="K24" t="s">
        <v>298</v>
      </c>
      <c r="L24">
        <v>3423.3</v>
      </c>
      <c r="M24">
        <v>3.4233000000000002</v>
      </c>
    </row>
    <row r="25" spans="2:13" x14ac:dyDescent="0.35">
      <c r="B25" s="143">
        <v>45838</v>
      </c>
      <c r="C25">
        <f t="shared" si="0"/>
        <v>6</v>
      </c>
      <c r="D25" t="s">
        <v>42</v>
      </c>
      <c r="E25" t="s">
        <v>61</v>
      </c>
      <c r="G25">
        <v>640000000</v>
      </c>
      <c r="H25" t="s">
        <v>61</v>
      </c>
      <c r="K25" t="s">
        <v>299</v>
      </c>
      <c r="L25" s="156">
        <v>26136.49</v>
      </c>
      <c r="M25">
        <v>26.136490000000002</v>
      </c>
    </row>
    <row r="26" spans="2:13" hidden="1" x14ac:dyDescent="0.35">
      <c r="B26" s="143">
        <v>45930</v>
      </c>
      <c r="C26">
        <f t="shared" si="0"/>
        <v>9</v>
      </c>
      <c r="D26" t="s">
        <v>42</v>
      </c>
      <c r="E26" t="s">
        <v>61</v>
      </c>
      <c r="G26">
        <v>647000000</v>
      </c>
      <c r="H26" t="s">
        <v>61</v>
      </c>
      <c r="K26" t="s">
        <v>300</v>
      </c>
      <c r="L26">
        <v>65849.570000000007</v>
      </c>
      <c r="M26">
        <v>65.84957</v>
      </c>
    </row>
    <row r="27" spans="2:13" x14ac:dyDescent="0.35">
      <c r="B27" s="143">
        <v>45827</v>
      </c>
      <c r="C27">
        <f t="shared" si="0"/>
        <v>6</v>
      </c>
      <c r="D27" t="s">
        <v>42</v>
      </c>
      <c r="E27" t="s">
        <v>270</v>
      </c>
      <c r="G27">
        <v>623000001</v>
      </c>
      <c r="H27" t="s">
        <v>8</v>
      </c>
      <c r="K27" t="s">
        <v>301</v>
      </c>
      <c r="L27" s="156">
        <v>10969.96</v>
      </c>
      <c r="M27">
        <v>10.969959999999999</v>
      </c>
    </row>
    <row r="28" spans="2:13" hidden="1" x14ac:dyDescent="0.35">
      <c r="B28" s="143">
        <v>45740</v>
      </c>
      <c r="C28">
        <f t="shared" si="0"/>
        <v>3</v>
      </c>
      <c r="D28" t="s">
        <v>42</v>
      </c>
      <c r="E28" t="s">
        <v>270</v>
      </c>
      <c r="G28">
        <v>623000001</v>
      </c>
      <c r="H28" t="s">
        <v>8</v>
      </c>
      <c r="K28" t="s">
        <v>302</v>
      </c>
      <c r="L28">
        <v>50283.360000000001</v>
      </c>
      <c r="M28">
        <v>50.283360000000002</v>
      </c>
    </row>
    <row r="29" spans="2:13" hidden="1" x14ac:dyDescent="0.35">
      <c r="B29" s="143">
        <v>45775</v>
      </c>
      <c r="C29">
        <f t="shared" si="0"/>
        <v>4</v>
      </c>
      <c r="D29" t="s">
        <v>42</v>
      </c>
      <c r="E29" t="s">
        <v>303</v>
      </c>
      <c r="G29">
        <v>709000000</v>
      </c>
      <c r="H29" t="s">
        <v>1</v>
      </c>
      <c r="K29" t="s">
        <v>303</v>
      </c>
      <c r="L29">
        <v>102533.02</v>
      </c>
      <c r="M29">
        <v>102.53302000000001</v>
      </c>
    </row>
    <row r="30" spans="2:13" hidden="1" x14ac:dyDescent="0.35">
      <c r="B30" s="143">
        <v>45775</v>
      </c>
      <c r="C30">
        <f t="shared" si="0"/>
        <v>4</v>
      </c>
      <c r="D30" t="s">
        <v>42</v>
      </c>
      <c r="E30" t="s">
        <v>303</v>
      </c>
      <c r="G30">
        <v>709000000</v>
      </c>
      <c r="H30" t="s">
        <v>1</v>
      </c>
      <c r="K30" t="s">
        <v>303</v>
      </c>
      <c r="L30">
        <v>36967.69</v>
      </c>
      <c r="M30">
        <v>36.967690000000005</v>
      </c>
    </row>
    <row r="31" spans="2:13" hidden="1" x14ac:dyDescent="0.35">
      <c r="B31" s="143">
        <v>45716</v>
      </c>
      <c r="C31">
        <f t="shared" si="0"/>
        <v>2</v>
      </c>
      <c r="D31" t="s">
        <v>42</v>
      </c>
      <c r="E31" t="s">
        <v>61</v>
      </c>
      <c r="G31">
        <v>640000000</v>
      </c>
      <c r="H31" t="s">
        <v>61</v>
      </c>
      <c r="K31" t="s">
        <v>304</v>
      </c>
      <c r="L31">
        <v>135000</v>
      </c>
      <c r="M31">
        <v>135</v>
      </c>
    </row>
    <row r="32" spans="2:13" hidden="1" x14ac:dyDescent="0.35">
      <c r="B32" s="143">
        <v>45665</v>
      </c>
      <c r="C32">
        <f t="shared" si="0"/>
        <v>1</v>
      </c>
      <c r="D32" t="s">
        <v>42</v>
      </c>
      <c r="E32" t="s">
        <v>270</v>
      </c>
      <c r="G32">
        <v>627000010</v>
      </c>
      <c r="H32" t="s">
        <v>8</v>
      </c>
      <c r="K32" t="s">
        <v>305</v>
      </c>
      <c r="L32">
        <v>9175.4599999999991</v>
      </c>
      <c r="M32">
        <v>9.1754599999999993</v>
      </c>
    </row>
    <row r="33" spans="2:13" hidden="1" x14ac:dyDescent="0.35">
      <c r="B33" s="143">
        <v>45761</v>
      </c>
      <c r="C33">
        <f t="shared" si="0"/>
        <v>4</v>
      </c>
      <c r="D33" t="s">
        <v>42</v>
      </c>
      <c r="E33" t="s">
        <v>270</v>
      </c>
      <c r="G33">
        <v>627000010</v>
      </c>
      <c r="H33" t="s">
        <v>8</v>
      </c>
      <c r="K33" t="s">
        <v>306</v>
      </c>
      <c r="L33">
        <v>11863.56</v>
      </c>
      <c r="M33">
        <v>11.86356</v>
      </c>
    </row>
    <row r="34" spans="2:13" hidden="1" x14ac:dyDescent="0.35">
      <c r="B34" s="143">
        <v>45688</v>
      </c>
      <c r="C34">
        <f t="shared" si="0"/>
        <v>1</v>
      </c>
      <c r="D34" t="s">
        <v>42</v>
      </c>
      <c r="E34" t="s">
        <v>61</v>
      </c>
      <c r="G34">
        <v>640000000</v>
      </c>
      <c r="H34" t="s">
        <v>61</v>
      </c>
      <c r="K34" t="s">
        <v>307</v>
      </c>
      <c r="L34">
        <v>41513.615000000005</v>
      </c>
      <c r="M34">
        <v>41.513615000000009</v>
      </c>
    </row>
    <row r="35" spans="2:13" x14ac:dyDescent="0.35">
      <c r="B35" s="143">
        <v>45838</v>
      </c>
      <c r="C35">
        <f t="shared" si="0"/>
        <v>6</v>
      </c>
      <c r="D35" t="s">
        <v>42</v>
      </c>
      <c r="E35" t="s">
        <v>61</v>
      </c>
      <c r="G35">
        <v>640000000</v>
      </c>
      <c r="H35" t="s">
        <v>61</v>
      </c>
      <c r="K35" t="s">
        <v>307</v>
      </c>
      <c r="L35" s="156">
        <v>41513.615000000005</v>
      </c>
      <c r="M35">
        <v>41.513615000000009</v>
      </c>
    </row>
  </sheetData>
  <autoFilter ref="B2:M35" xr:uid="{727F31F1-73A1-4742-B361-D4DC213B14E1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B99-0898-43D8-B275-71037B2A0522}">
  <dimension ref="A1:B215"/>
  <sheetViews>
    <sheetView topLeftCell="A193" workbookViewId="0">
      <selection activeCell="D71" sqref="D71"/>
    </sheetView>
  </sheetViews>
  <sheetFormatPr baseColWidth="10" defaultRowHeight="14.5" x14ac:dyDescent="0.35"/>
  <cols>
    <col min="1" max="1" width="62.1796875" bestFit="1" customWidth="1"/>
    <col min="2" max="2" width="12.7265625" style="156" bestFit="1" customWidth="1"/>
  </cols>
  <sheetData>
    <row r="1" spans="1:2" x14ac:dyDescent="0.35">
      <c r="A1" s="1" t="s">
        <v>32</v>
      </c>
    </row>
    <row r="2" spans="1:2" x14ac:dyDescent="0.35">
      <c r="A2" t="s">
        <v>73</v>
      </c>
      <c r="B2" s="156" t="s">
        <v>421</v>
      </c>
    </row>
    <row r="3" spans="1:2" x14ac:dyDescent="0.35">
      <c r="A3" t="s">
        <v>65</v>
      </c>
      <c r="B3" s="156">
        <v>802410.56</v>
      </c>
    </row>
    <row r="4" spans="1:2" x14ac:dyDescent="0.35">
      <c r="A4" t="s">
        <v>319</v>
      </c>
      <c r="B4" s="156">
        <v>0</v>
      </c>
    </row>
    <row r="5" spans="1:2" x14ac:dyDescent="0.35">
      <c r="A5" t="s">
        <v>320</v>
      </c>
      <c r="B5" s="156" t="s">
        <v>432</v>
      </c>
    </row>
    <row r="6" spans="1:2" x14ac:dyDescent="0.35">
      <c r="A6" t="s">
        <v>398</v>
      </c>
      <c r="B6" s="156">
        <v>11429</v>
      </c>
    </row>
    <row r="7" spans="1:2" x14ac:dyDescent="0.35">
      <c r="A7" t="s">
        <v>321</v>
      </c>
      <c r="B7" s="156" t="s">
        <v>432</v>
      </c>
    </row>
    <row r="8" spans="1:2" x14ac:dyDescent="0.35">
      <c r="A8" t="s">
        <v>321</v>
      </c>
      <c r="B8" s="156" t="s">
        <v>432</v>
      </c>
    </row>
    <row r="9" spans="1:2" x14ac:dyDescent="0.35">
      <c r="A9" t="s">
        <v>322</v>
      </c>
      <c r="B9" s="156">
        <v>141074.4</v>
      </c>
    </row>
    <row r="10" spans="1:2" x14ac:dyDescent="0.35">
      <c r="A10" t="s">
        <v>323</v>
      </c>
      <c r="B10" s="156" t="s">
        <v>432</v>
      </c>
    </row>
    <row r="11" spans="1:2" x14ac:dyDescent="0.35">
      <c r="A11" t="s">
        <v>83</v>
      </c>
      <c r="B11" s="156">
        <v>59572.72</v>
      </c>
    </row>
    <row r="12" spans="1:2" x14ac:dyDescent="0.35">
      <c r="A12" t="s">
        <v>324</v>
      </c>
      <c r="B12" s="156">
        <v>101520</v>
      </c>
    </row>
    <row r="13" spans="1:2" x14ac:dyDescent="0.35">
      <c r="A13" t="s">
        <v>85</v>
      </c>
      <c r="B13" s="156">
        <v>1694.59</v>
      </c>
    </row>
    <row r="14" spans="1:2" x14ac:dyDescent="0.35">
      <c r="A14" t="s">
        <v>325</v>
      </c>
      <c r="B14" s="156" t="s">
        <v>432</v>
      </c>
    </row>
    <row r="15" spans="1:2" x14ac:dyDescent="0.35">
      <c r="A15" t="s">
        <v>326</v>
      </c>
      <c r="B15" s="156" t="s">
        <v>432</v>
      </c>
    </row>
    <row r="16" spans="1:2" x14ac:dyDescent="0.35">
      <c r="A16" t="s">
        <v>88</v>
      </c>
      <c r="B16" s="156">
        <v>-16000</v>
      </c>
    </row>
    <row r="17" spans="1:2" x14ac:dyDescent="0.35">
      <c r="A17" t="s">
        <v>327</v>
      </c>
      <c r="B17" s="156" t="s">
        <v>432</v>
      </c>
    </row>
    <row r="18" spans="1:2" x14ac:dyDescent="0.35">
      <c r="A18" t="s">
        <v>93</v>
      </c>
      <c r="B18" s="156">
        <v>-0.02</v>
      </c>
    </row>
    <row r="19" spans="1:2" x14ac:dyDescent="0.35">
      <c r="A19" t="s">
        <v>95</v>
      </c>
      <c r="B19" s="156">
        <v>0.01</v>
      </c>
    </row>
    <row r="20" spans="1:2" x14ac:dyDescent="0.35">
      <c r="A20" t="s">
        <v>328</v>
      </c>
      <c r="B20" s="156">
        <v>27557.62</v>
      </c>
    </row>
    <row r="21" spans="1:2" x14ac:dyDescent="0.35">
      <c r="A21" t="s">
        <v>329</v>
      </c>
      <c r="B21" s="156">
        <v>-20822.98</v>
      </c>
    </row>
    <row r="22" spans="1:2" x14ac:dyDescent="0.35">
      <c r="A22" t="s">
        <v>101</v>
      </c>
      <c r="B22" s="156">
        <v>-265516.84000000003</v>
      </c>
    </row>
    <row r="23" spans="1:2" x14ac:dyDescent="0.35">
      <c r="A23" t="s">
        <v>330</v>
      </c>
      <c r="B23" s="156">
        <v>-64800</v>
      </c>
    </row>
    <row r="24" spans="1:2" x14ac:dyDescent="0.35">
      <c r="A24" t="s">
        <v>103</v>
      </c>
      <c r="B24" s="156">
        <v>-68178.759999999995</v>
      </c>
    </row>
    <row r="25" spans="1:2" x14ac:dyDescent="0.35">
      <c r="A25" t="s">
        <v>414</v>
      </c>
      <c r="B25" s="156" t="s">
        <v>432</v>
      </c>
    </row>
    <row r="26" spans="1:2" x14ac:dyDescent="0.35">
      <c r="A26" t="s">
        <v>104</v>
      </c>
      <c r="B26" s="156">
        <v>-2886.68</v>
      </c>
    </row>
    <row r="27" spans="1:2" x14ac:dyDescent="0.35">
      <c r="A27" t="s">
        <v>105</v>
      </c>
      <c r="B27" s="156">
        <v>-4331.6000000000004</v>
      </c>
    </row>
    <row r="28" spans="1:2" x14ac:dyDescent="0.35">
      <c r="A28" t="s">
        <v>106</v>
      </c>
      <c r="B28" s="156" t="s">
        <v>432</v>
      </c>
    </row>
    <row r="29" spans="1:2" x14ac:dyDescent="0.35">
      <c r="A29" t="s">
        <v>107</v>
      </c>
      <c r="B29" s="156" t="s">
        <v>432</v>
      </c>
    </row>
    <row r="30" spans="1:2" x14ac:dyDescent="0.35">
      <c r="A30" t="s">
        <v>108</v>
      </c>
      <c r="B30" s="156">
        <v>-1108.8</v>
      </c>
    </row>
    <row r="31" spans="1:2" x14ac:dyDescent="0.35">
      <c r="A31" t="s">
        <v>109</v>
      </c>
      <c r="B31" s="156">
        <v>0</v>
      </c>
    </row>
    <row r="32" spans="1:2" x14ac:dyDescent="0.35">
      <c r="A32" t="s">
        <v>110</v>
      </c>
      <c r="B32" s="156">
        <v>0</v>
      </c>
    </row>
    <row r="33" spans="1:2" x14ac:dyDescent="0.35">
      <c r="A33" t="s">
        <v>111</v>
      </c>
      <c r="B33" s="156">
        <v>0</v>
      </c>
    </row>
    <row r="34" spans="1:2" x14ac:dyDescent="0.35">
      <c r="A34" t="s">
        <v>112</v>
      </c>
      <c r="B34" s="156">
        <v>-371.23</v>
      </c>
    </row>
    <row r="35" spans="1:2" x14ac:dyDescent="0.35">
      <c r="A35" t="s">
        <v>113</v>
      </c>
      <c r="B35" s="156" t="s">
        <v>432</v>
      </c>
    </row>
    <row r="36" spans="1:2" x14ac:dyDescent="0.35">
      <c r="A36" t="s">
        <v>331</v>
      </c>
      <c r="B36" s="156">
        <v>-2557.66</v>
      </c>
    </row>
    <row r="37" spans="1:2" x14ac:dyDescent="0.35">
      <c r="A37" t="s">
        <v>114</v>
      </c>
      <c r="B37" s="156" t="s">
        <v>432</v>
      </c>
    </row>
    <row r="38" spans="1:2" x14ac:dyDescent="0.35">
      <c r="A38" t="s">
        <v>332</v>
      </c>
      <c r="B38" s="156">
        <v>-25856.5</v>
      </c>
    </row>
    <row r="39" spans="1:2" x14ac:dyDescent="0.35">
      <c r="A39" t="s">
        <v>333</v>
      </c>
      <c r="B39" s="156">
        <v>-59037.03</v>
      </c>
    </row>
    <row r="40" spans="1:2" x14ac:dyDescent="0.35">
      <c r="A40" t="s">
        <v>334</v>
      </c>
      <c r="B40" s="156">
        <v>-4582.08</v>
      </c>
    </row>
    <row r="41" spans="1:2" x14ac:dyDescent="0.35">
      <c r="A41" t="s">
        <v>335</v>
      </c>
      <c r="B41" s="156">
        <v>0</v>
      </c>
    </row>
    <row r="42" spans="1:2" x14ac:dyDescent="0.35">
      <c r="A42" t="s">
        <v>122</v>
      </c>
      <c r="B42" s="156">
        <v>-128060.74</v>
      </c>
    </row>
    <row r="43" spans="1:2" x14ac:dyDescent="0.35">
      <c r="A43" t="s">
        <v>123</v>
      </c>
      <c r="B43" s="156">
        <v>0</v>
      </c>
    </row>
    <row r="44" spans="1:2" x14ac:dyDescent="0.35">
      <c r="A44" t="s">
        <v>124</v>
      </c>
      <c r="B44" s="156">
        <v>0</v>
      </c>
    </row>
    <row r="45" spans="1:2" x14ac:dyDescent="0.35">
      <c r="A45" t="s">
        <v>126</v>
      </c>
      <c r="B45" s="156" t="s">
        <v>432</v>
      </c>
    </row>
    <row r="46" spans="1:2" x14ac:dyDescent="0.35">
      <c r="A46" t="s">
        <v>127</v>
      </c>
      <c r="B46" s="156">
        <v>0</v>
      </c>
    </row>
    <row r="47" spans="1:2" x14ac:dyDescent="0.35">
      <c r="A47" t="s">
        <v>336</v>
      </c>
      <c r="B47" s="156">
        <v>-24572.05</v>
      </c>
    </row>
    <row r="48" spans="1:2" x14ac:dyDescent="0.35">
      <c r="A48" t="s">
        <v>130</v>
      </c>
      <c r="B48" s="156">
        <v>0</v>
      </c>
    </row>
    <row r="49" spans="1:2" x14ac:dyDescent="0.35">
      <c r="A49" t="s">
        <v>131</v>
      </c>
      <c r="B49" s="156">
        <v>0</v>
      </c>
    </row>
    <row r="50" spans="1:2" x14ac:dyDescent="0.35">
      <c r="A50" t="s">
        <v>132</v>
      </c>
      <c r="B50" s="156">
        <v>0</v>
      </c>
    </row>
    <row r="51" spans="1:2" x14ac:dyDescent="0.35">
      <c r="A51" t="s">
        <v>337</v>
      </c>
      <c r="B51" s="156">
        <v>0</v>
      </c>
    </row>
    <row r="52" spans="1:2" x14ac:dyDescent="0.35">
      <c r="A52" t="s">
        <v>133</v>
      </c>
      <c r="B52" s="156">
        <v>0</v>
      </c>
    </row>
    <row r="53" spans="1:2" x14ac:dyDescent="0.35">
      <c r="A53" t="s">
        <v>134</v>
      </c>
      <c r="B53" s="156">
        <v>0</v>
      </c>
    </row>
    <row r="54" spans="1:2" x14ac:dyDescent="0.35">
      <c r="A54" t="s">
        <v>135</v>
      </c>
      <c r="B54" s="156">
        <v>0</v>
      </c>
    </row>
    <row r="55" spans="1:2" x14ac:dyDescent="0.35">
      <c r="A55" t="s">
        <v>338</v>
      </c>
      <c r="B55" s="156">
        <v>0</v>
      </c>
    </row>
    <row r="56" spans="1:2" x14ac:dyDescent="0.35">
      <c r="A56" t="s">
        <v>136</v>
      </c>
      <c r="B56" s="156" t="s">
        <v>432</v>
      </c>
    </row>
    <row r="57" spans="1:2" x14ac:dyDescent="0.35">
      <c r="A57" t="s">
        <v>137</v>
      </c>
      <c r="B57" s="156">
        <v>0</v>
      </c>
    </row>
    <row r="58" spans="1:2" x14ac:dyDescent="0.35">
      <c r="A58" t="s">
        <v>339</v>
      </c>
      <c r="B58" s="156">
        <v>0</v>
      </c>
    </row>
    <row r="59" spans="1:2" x14ac:dyDescent="0.35">
      <c r="A59" t="s">
        <v>138</v>
      </c>
      <c r="B59" s="156">
        <v>0</v>
      </c>
    </row>
    <row r="60" spans="1:2" x14ac:dyDescent="0.35">
      <c r="A60" t="s">
        <v>139</v>
      </c>
      <c r="B60" s="156">
        <v>0</v>
      </c>
    </row>
    <row r="61" spans="1:2" x14ac:dyDescent="0.35">
      <c r="A61" t="s">
        <v>140</v>
      </c>
      <c r="B61" s="156">
        <v>0</v>
      </c>
    </row>
    <row r="62" spans="1:2" x14ac:dyDescent="0.35">
      <c r="A62" t="s">
        <v>143</v>
      </c>
      <c r="B62" s="156" t="s">
        <v>432</v>
      </c>
    </row>
    <row r="63" spans="1:2" x14ac:dyDescent="0.35">
      <c r="A63" t="s">
        <v>144</v>
      </c>
      <c r="B63" s="156">
        <v>-399.98</v>
      </c>
    </row>
    <row r="64" spans="1:2" x14ac:dyDescent="0.35">
      <c r="A64" t="s">
        <v>145</v>
      </c>
      <c r="B64" s="156">
        <v>-911.52</v>
      </c>
    </row>
    <row r="65" spans="1:2" x14ac:dyDescent="0.35">
      <c r="A65" t="s">
        <v>147</v>
      </c>
      <c r="B65" s="156">
        <v>-192</v>
      </c>
    </row>
    <row r="66" spans="1:2" x14ac:dyDescent="0.35">
      <c r="A66" t="s">
        <v>401</v>
      </c>
      <c r="B66" s="156" t="s">
        <v>432</v>
      </c>
    </row>
    <row r="67" spans="1:2" x14ac:dyDescent="0.35">
      <c r="A67" t="s">
        <v>340</v>
      </c>
      <c r="B67" s="156">
        <v>0</v>
      </c>
    </row>
    <row r="68" spans="1:2" x14ac:dyDescent="0.35">
      <c r="A68" t="s">
        <v>341</v>
      </c>
      <c r="B68" s="156" t="s">
        <v>432</v>
      </c>
    </row>
    <row r="69" spans="1:2" x14ac:dyDescent="0.35">
      <c r="A69" t="s">
        <v>342</v>
      </c>
      <c r="B69" s="156">
        <v>0</v>
      </c>
    </row>
    <row r="70" spans="1:2" x14ac:dyDescent="0.35">
      <c r="A70" t="s">
        <v>148</v>
      </c>
      <c r="B70" s="156" t="s">
        <v>432</v>
      </c>
    </row>
    <row r="71" spans="1:2" x14ac:dyDescent="0.35">
      <c r="A71" t="s">
        <v>343</v>
      </c>
      <c r="B71" s="156">
        <v>0</v>
      </c>
    </row>
    <row r="72" spans="1:2" x14ac:dyDescent="0.35">
      <c r="A72" t="s">
        <v>344</v>
      </c>
      <c r="B72" s="156">
        <v>-338</v>
      </c>
    </row>
    <row r="73" spans="1:2" x14ac:dyDescent="0.35">
      <c r="A73" t="s">
        <v>345</v>
      </c>
      <c r="B73" s="156" t="s">
        <v>432</v>
      </c>
    </row>
    <row r="74" spans="1:2" x14ac:dyDescent="0.35">
      <c r="A74" t="s">
        <v>346</v>
      </c>
      <c r="B74" s="156">
        <v>-399.42</v>
      </c>
    </row>
    <row r="75" spans="1:2" x14ac:dyDescent="0.35">
      <c r="A75" t="s">
        <v>347</v>
      </c>
      <c r="B75" s="156">
        <v>-1139.1600000000001</v>
      </c>
    </row>
    <row r="76" spans="1:2" x14ac:dyDescent="0.35">
      <c r="A76" t="s">
        <v>348</v>
      </c>
      <c r="B76" s="156">
        <v>0</v>
      </c>
    </row>
    <row r="77" spans="1:2" x14ac:dyDescent="0.35">
      <c r="A77" t="s">
        <v>349</v>
      </c>
      <c r="B77" s="156">
        <v>0</v>
      </c>
    </row>
    <row r="78" spans="1:2" x14ac:dyDescent="0.35">
      <c r="A78" t="s">
        <v>350</v>
      </c>
      <c r="B78" s="156">
        <v>-400</v>
      </c>
    </row>
    <row r="79" spans="1:2" x14ac:dyDescent="0.35">
      <c r="A79" t="s">
        <v>351</v>
      </c>
      <c r="B79" s="156">
        <v>-400.44</v>
      </c>
    </row>
    <row r="80" spans="1:2" x14ac:dyDescent="0.35">
      <c r="A80" t="s">
        <v>352</v>
      </c>
      <c r="B80" s="156" t="s">
        <v>432</v>
      </c>
    </row>
    <row r="81" spans="1:2" x14ac:dyDescent="0.35">
      <c r="A81" t="s">
        <v>353</v>
      </c>
      <c r="B81" s="156" t="s">
        <v>432</v>
      </c>
    </row>
    <row r="82" spans="1:2" x14ac:dyDescent="0.35">
      <c r="A82" t="s">
        <v>354</v>
      </c>
      <c r="B82" s="156" t="s">
        <v>432</v>
      </c>
    </row>
    <row r="83" spans="1:2" x14ac:dyDescent="0.35">
      <c r="A83" t="s">
        <v>355</v>
      </c>
      <c r="B83" s="156">
        <v>-677.53</v>
      </c>
    </row>
    <row r="84" spans="1:2" x14ac:dyDescent="0.35">
      <c r="A84" t="s">
        <v>356</v>
      </c>
      <c r="B84" s="156">
        <v>-1600</v>
      </c>
    </row>
    <row r="85" spans="1:2" x14ac:dyDescent="0.35">
      <c r="A85" t="s">
        <v>149</v>
      </c>
      <c r="B85" s="156">
        <v>-1208.01</v>
      </c>
    </row>
    <row r="86" spans="1:2" x14ac:dyDescent="0.35">
      <c r="A86" t="s">
        <v>311</v>
      </c>
      <c r="B86" s="156">
        <v>-1407</v>
      </c>
    </row>
    <row r="87" spans="1:2" x14ac:dyDescent="0.35">
      <c r="A87" t="s">
        <v>357</v>
      </c>
      <c r="B87" s="156" t="s">
        <v>432</v>
      </c>
    </row>
    <row r="88" spans="1:2" x14ac:dyDescent="0.35">
      <c r="A88" t="s">
        <v>358</v>
      </c>
      <c r="B88" s="156">
        <v>-115.48</v>
      </c>
    </row>
    <row r="89" spans="1:2" x14ac:dyDescent="0.35">
      <c r="A89" t="s">
        <v>151</v>
      </c>
      <c r="B89" s="156" t="s">
        <v>432</v>
      </c>
    </row>
    <row r="90" spans="1:2" x14ac:dyDescent="0.35">
      <c r="A90" t="s">
        <v>359</v>
      </c>
      <c r="B90" s="156" t="s">
        <v>432</v>
      </c>
    </row>
    <row r="91" spans="1:2" x14ac:dyDescent="0.35">
      <c r="A91" t="s">
        <v>152</v>
      </c>
      <c r="B91" s="156" t="s">
        <v>432</v>
      </c>
    </row>
    <row r="92" spans="1:2" x14ac:dyDescent="0.35">
      <c r="A92" t="s">
        <v>360</v>
      </c>
      <c r="B92" s="156" t="s">
        <v>432</v>
      </c>
    </row>
    <row r="93" spans="1:2" x14ac:dyDescent="0.35">
      <c r="A93" t="s">
        <v>153</v>
      </c>
      <c r="B93" s="156">
        <v>0</v>
      </c>
    </row>
    <row r="94" spans="1:2" x14ac:dyDescent="0.35">
      <c r="A94" t="s">
        <v>361</v>
      </c>
      <c r="B94" s="156">
        <v>-977.98</v>
      </c>
    </row>
    <row r="95" spans="1:2" x14ac:dyDescent="0.35">
      <c r="A95" t="s">
        <v>429</v>
      </c>
      <c r="B95" s="156" t="s">
        <v>432</v>
      </c>
    </row>
    <row r="96" spans="1:2" x14ac:dyDescent="0.35">
      <c r="A96" t="s">
        <v>362</v>
      </c>
      <c r="B96" s="156">
        <v>0</v>
      </c>
    </row>
    <row r="97" spans="1:2" x14ac:dyDescent="0.35">
      <c r="A97" t="s">
        <v>154</v>
      </c>
      <c r="B97" s="156">
        <v>-1983.69</v>
      </c>
    </row>
    <row r="98" spans="1:2" x14ac:dyDescent="0.35">
      <c r="A98" t="s">
        <v>155</v>
      </c>
      <c r="B98" s="156">
        <v>-5848.16</v>
      </c>
    </row>
    <row r="99" spans="1:2" x14ac:dyDescent="0.35">
      <c r="A99" t="s">
        <v>156</v>
      </c>
      <c r="B99" s="156">
        <v>-11965.55</v>
      </c>
    </row>
    <row r="100" spans="1:2" x14ac:dyDescent="0.35">
      <c r="A100" t="s">
        <v>157</v>
      </c>
      <c r="B100" s="156">
        <v>-288.39</v>
      </c>
    </row>
    <row r="101" spans="1:2" x14ac:dyDescent="0.35">
      <c r="A101" t="s">
        <v>158</v>
      </c>
      <c r="B101" s="156">
        <v>-108.17</v>
      </c>
    </row>
    <row r="102" spans="1:2" x14ac:dyDescent="0.35">
      <c r="A102" t="s">
        <v>159</v>
      </c>
      <c r="B102" s="156" t="s">
        <v>432</v>
      </c>
    </row>
    <row r="103" spans="1:2" x14ac:dyDescent="0.35">
      <c r="A103" t="s">
        <v>161</v>
      </c>
      <c r="B103" s="156">
        <v>-2853.02</v>
      </c>
    </row>
    <row r="104" spans="1:2" x14ac:dyDescent="0.35">
      <c r="A104" t="s">
        <v>363</v>
      </c>
      <c r="B104" s="156">
        <v>-2148.2399999999998</v>
      </c>
    </row>
    <row r="105" spans="1:2" x14ac:dyDescent="0.35">
      <c r="A105" t="s">
        <v>364</v>
      </c>
      <c r="B105" s="156" t="s">
        <v>432</v>
      </c>
    </row>
    <row r="106" spans="1:2" x14ac:dyDescent="0.35">
      <c r="A106" t="s">
        <v>162</v>
      </c>
      <c r="B106" s="156" t="s">
        <v>432</v>
      </c>
    </row>
    <row r="107" spans="1:2" x14ac:dyDescent="0.35">
      <c r="A107" t="s">
        <v>365</v>
      </c>
      <c r="B107" s="156">
        <v>-210</v>
      </c>
    </row>
    <row r="108" spans="1:2" x14ac:dyDescent="0.35">
      <c r="A108" t="s">
        <v>163</v>
      </c>
      <c r="B108" s="156">
        <v>-4396.3900000000003</v>
      </c>
    </row>
    <row r="109" spans="1:2" x14ac:dyDescent="0.35">
      <c r="A109" t="s">
        <v>366</v>
      </c>
      <c r="B109" s="156">
        <v>-20364.61</v>
      </c>
    </row>
    <row r="110" spans="1:2" x14ac:dyDescent="0.35">
      <c r="A110" t="s">
        <v>164</v>
      </c>
      <c r="B110" s="156">
        <v>-6760.66</v>
      </c>
    </row>
    <row r="111" spans="1:2" x14ac:dyDescent="0.35">
      <c r="A111" t="s">
        <v>402</v>
      </c>
      <c r="B111" s="156" t="s">
        <v>432</v>
      </c>
    </row>
    <row r="112" spans="1:2" x14ac:dyDescent="0.35">
      <c r="A112" t="s">
        <v>165</v>
      </c>
      <c r="B112" s="156">
        <v>0</v>
      </c>
    </row>
    <row r="113" spans="1:2" x14ac:dyDescent="0.35">
      <c r="A113" t="s">
        <v>166</v>
      </c>
      <c r="B113" s="156" t="s">
        <v>432</v>
      </c>
    </row>
    <row r="114" spans="1:2" x14ac:dyDescent="0.35">
      <c r="A114" t="s">
        <v>167</v>
      </c>
      <c r="B114" s="156">
        <v>0</v>
      </c>
    </row>
    <row r="115" spans="1:2" x14ac:dyDescent="0.35">
      <c r="A115" t="s">
        <v>168</v>
      </c>
      <c r="B115" s="156">
        <v>-663</v>
      </c>
    </row>
    <row r="116" spans="1:2" x14ac:dyDescent="0.35">
      <c r="A116" t="s">
        <v>169</v>
      </c>
      <c r="B116" s="156" t="s">
        <v>432</v>
      </c>
    </row>
    <row r="117" spans="1:2" x14ac:dyDescent="0.35">
      <c r="A117" t="s">
        <v>170</v>
      </c>
      <c r="B117" s="156">
        <v>0</v>
      </c>
    </row>
    <row r="118" spans="1:2" x14ac:dyDescent="0.35">
      <c r="A118" t="s">
        <v>403</v>
      </c>
      <c r="B118" s="156" t="s">
        <v>432</v>
      </c>
    </row>
    <row r="119" spans="1:2" x14ac:dyDescent="0.35">
      <c r="A119" t="s">
        <v>367</v>
      </c>
      <c r="B119" s="156" t="s">
        <v>432</v>
      </c>
    </row>
    <row r="120" spans="1:2" x14ac:dyDescent="0.35">
      <c r="A120" t="s">
        <v>368</v>
      </c>
      <c r="B120" s="156" t="s">
        <v>432</v>
      </c>
    </row>
    <row r="121" spans="1:2" x14ac:dyDescent="0.35">
      <c r="A121" t="s">
        <v>369</v>
      </c>
      <c r="B121" s="156" t="s">
        <v>432</v>
      </c>
    </row>
    <row r="122" spans="1:2" x14ac:dyDescent="0.35">
      <c r="A122" t="s">
        <v>370</v>
      </c>
      <c r="B122" s="156" t="s">
        <v>432</v>
      </c>
    </row>
    <row r="123" spans="1:2" x14ac:dyDescent="0.35">
      <c r="A123" t="s">
        <v>434</v>
      </c>
      <c r="B123" s="156">
        <v>-4869.95</v>
      </c>
    </row>
    <row r="124" spans="1:2" x14ac:dyDescent="0.35">
      <c r="A124" t="s">
        <v>371</v>
      </c>
      <c r="B124" s="156" t="s">
        <v>432</v>
      </c>
    </row>
    <row r="125" spans="1:2" x14ac:dyDescent="0.35">
      <c r="A125" t="s">
        <v>372</v>
      </c>
      <c r="B125" s="156" t="s">
        <v>432</v>
      </c>
    </row>
    <row r="126" spans="1:2" x14ac:dyDescent="0.35">
      <c r="A126" t="s">
        <v>171</v>
      </c>
      <c r="B126" s="156">
        <v>-212.5</v>
      </c>
    </row>
    <row r="127" spans="1:2" x14ac:dyDescent="0.35">
      <c r="A127" t="s">
        <v>373</v>
      </c>
      <c r="B127" s="156" t="s">
        <v>432</v>
      </c>
    </row>
    <row r="128" spans="1:2" x14ac:dyDescent="0.35">
      <c r="A128" t="s">
        <v>374</v>
      </c>
      <c r="B128" s="156" t="s">
        <v>432</v>
      </c>
    </row>
    <row r="129" spans="1:2" x14ac:dyDescent="0.35">
      <c r="A129" t="s">
        <v>172</v>
      </c>
      <c r="B129" s="156">
        <v>0</v>
      </c>
    </row>
    <row r="130" spans="1:2" x14ac:dyDescent="0.35">
      <c r="A130" t="s">
        <v>174</v>
      </c>
      <c r="B130" s="156">
        <v>-7363.19</v>
      </c>
    </row>
    <row r="131" spans="1:2" x14ac:dyDescent="0.35">
      <c r="A131" t="s">
        <v>175</v>
      </c>
      <c r="B131" s="156">
        <v>-8087.44</v>
      </c>
    </row>
    <row r="132" spans="1:2" x14ac:dyDescent="0.35">
      <c r="A132" t="s">
        <v>176</v>
      </c>
      <c r="B132" s="156">
        <v>-11901.38</v>
      </c>
    </row>
    <row r="133" spans="1:2" x14ac:dyDescent="0.35">
      <c r="A133" t="s">
        <v>177</v>
      </c>
      <c r="B133" s="156" t="s">
        <v>432</v>
      </c>
    </row>
    <row r="134" spans="1:2" x14ac:dyDescent="0.35">
      <c r="A134" t="s">
        <v>178</v>
      </c>
      <c r="B134" s="156">
        <v>-149.55000000000001</v>
      </c>
    </row>
    <row r="135" spans="1:2" x14ac:dyDescent="0.35">
      <c r="A135" t="s">
        <v>179</v>
      </c>
      <c r="B135" s="156" t="s">
        <v>432</v>
      </c>
    </row>
    <row r="136" spans="1:2" x14ac:dyDescent="0.35">
      <c r="A136" t="s">
        <v>180</v>
      </c>
      <c r="B136" s="156">
        <v>0</v>
      </c>
    </row>
    <row r="137" spans="1:2" x14ac:dyDescent="0.35">
      <c r="A137" t="s">
        <v>182</v>
      </c>
      <c r="B137" s="156" t="s">
        <v>432</v>
      </c>
    </row>
    <row r="138" spans="1:2" x14ac:dyDescent="0.35">
      <c r="A138" t="s">
        <v>430</v>
      </c>
      <c r="B138" s="156" t="s">
        <v>432</v>
      </c>
    </row>
    <row r="139" spans="1:2" x14ac:dyDescent="0.35">
      <c r="A139" t="s">
        <v>183</v>
      </c>
      <c r="B139" s="156" t="s">
        <v>432</v>
      </c>
    </row>
    <row r="140" spans="1:2" x14ac:dyDescent="0.35">
      <c r="A140" t="s">
        <v>184</v>
      </c>
      <c r="B140" s="156" t="s">
        <v>432</v>
      </c>
    </row>
    <row r="141" spans="1:2" x14ac:dyDescent="0.35">
      <c r="A141" t="s">
        <v>375</v>
      </c>
      <c r="B141" s="156">
        <v>0</v>
      </c>
    </row>
    <row r="142" spans="1:2" x14ac:dyDescent="0.35">
      <c r="A142" t="s">
        <v>376</v>
      </c>
      <c r="B142" s="156">
        <v>-7.26</v>
      </c>
    </row>
    <row r="143" spans="1:2" x14ac:dyDescent="0.35">
      <c r="A143" t="s">
        <v>377</v>
      </c>
      <c r="B143" s="156">
        <v>-143.33000000000001</v>
      </c>
    </row>
    <row r="144" spans="1:2" x14ac:dyDescent="0.35">
      <c r="A144" t="s">
        <v>186</v>
      </c>
      <c r="B144" s="156">
        <v>-615.71</v>
      </c>
    </row>
    <row r="145" spans="1:2" x14ac:dyDescent="0.35">
      <c r="A145" t="s">
        <v>188</v>
      </c>
      <c r="B145" s="156">
        <v>0</v>
      </c>
    </row>
    <row r="146" spans="1:2" x14ac:dyDescent="0.35">
      <c r="A146" t="s">
        <v>189</v>
      </c>
      <c r="B146" s="156">
        <v>-214.6</v>
      </c>
    </row>
    <row r="147" spans="1:2" x14ac:dyDescent="0.35">
      <c r="A147" t="s">
        <v>190</v>
      </c>
      <c r="B147" s="156" t="s">
        <v>432</v>
      </c>
    </row>
    <row r="148" spans="1:2" x14ac:dyDescent="0.35">
      <c r="A148" t="s">
        <v>378</v>
      </c>
      <c r="B148" s="156" t="s">
        <v>432</v>
      </c>
    </row>
    <row r="149" spans="1:2" x14ac:dyDescent="0.35">
      <c r="A149" t="s">
        <v>191</v>
      </c>
      <c r="B149" s="156" t="s">
        <v>432</v>
      </c>
    </row>
    <row r="150" spans="1:2" x14ac:dyDescent="0.35">
      <c r="A150" t="s">
        <v>192</v>
      </c>
      <c r="B150" s="156" t="s">
        <v>432</v>
      </c>
    </row>
    <row r="151" spans="1:2" x14ac:dyDescent="0.35">
      <c r="A151" t="s">
        <v>193</v>
      </c>
      <c r="B151" s="156">
        <v>-3164.3</v>
      </c>
    </row>
    <row r="152" spans="1:2" x14ac:dyDescent="0.35">
      <c r="A152" t="s">
        <v>379</v>
      </c>
      <c r="B152" s="156" t="s">
        <v>432</v>
      </c>
    </row>
    <row r="153" spans="1:2" x14ac:dyDescent="0.35">
      <c r="A153" t="s">
        <v>195</v>
      </c>
      <c r="B153" s="156" t="s">
        <v>432</v>
      </c>
    </row>
    <row r="154" spans="1:2" x14ac:dyDescent="0.35">
      <c r="A154" t="s">
        <v>196</v>
      </c>
      <c r="B154" s="156">
        <v>-4025.79</v>
      </c>
    </row>
    <row r="155" spans="1:2" x14ac:dyDescent="0.35">
      <c r="A155" t="s">
        <v>197</v>
      </c>
      <c r="B155" s="156" t="s">
        <v>432</v>
      </c>
    </row>
    <row r="156" spans="1:2" x14ac:dyDescent="0.35">
      <c r="A156" t="s">
        <v>380</v>
      </c>
      <c r="B156" s="156">
        <v>-853</v>
      </c>
    </row>
    <row r="157" spans="1:2" x14ac:dyDescent="0.35">
      <c r="A157" t="s">
        <v>198</v>
      </c>
      <c r="B157" s="156">
        <v>-1496.33</v>
      </c>
    </row>
    <row r="158" spans="1:2" x14ac:dyDescent="0.35">
      <c r="A158" t="s">
        <v>200</v>
      </c>
      <c r="B158" s="156" t="s">
        <v>432</v>
      </c>
    </row>
    <row r="159" spans="1:2" x14ac:dyDescent="0.35">
      <c r="A159" t="s">
        <v>201</v>
      </c>
      <c r="B159" s="156">
        <v>-986.98</v>
      </c>
    </row>
    <row r="160" spans="1:2" x14ac:dyDescent="0.35">
      <c r="A160" t="s">
        <v>381</v>
      </c>
      <c r="B160" s="156" t="s">
        <v>432</v>
      </c>
    </row>
    <row r="161" spans="1:2" x14ac:dyDescent="0.35">
      <c r="A161" t="s">
        <v>202</v>
      </c>
      <c r="B161" s="156">
        <v>-75.94</v>
      </c>
    </row>
    <row r="162" spans="1:2" x14ac:dyDescent="0.35">
      <c r="A162" t="s">
        <v>203</v>
      </c>
      <c r="B162" s="156" t="s">
        <v>432</v>
      </c>
    </row>
    <row r="163" spans="1:2" x14ac:dyDescent="0.35">
      <c r="A163" t="s">
        <v>204</v>
      </c>
      <c r="B163" s="156" t="s">
        <v>432</v>
      </c>
    </row>
    <row r="164" spans="1:2" x14ac:dyDescent="0.35">
      <c r="A164" t="s">
        <v>205</v>
      </c>
      <c r="B164" s="156">
        <v>-79.8</v>
      </c>
    </row>
    <row r="165" spans="1:2" x14ac:dyDescent="0.35">
      <c r="A165" t="s">
        <v>206</v>
      </c>
      <c r="B165" s="156" t="s">
        <v>432</v>
      </c>
    </row>
    <row r="166" spans="1:2" x14ac:dyDescent="0.35">
      <c r="A166" t="s">
        <v>207</v>
      </c>
      <c r="B166" s="156" t="s">
        <v>432</v>
      </c>
    </row>
    <row r="167" spans="1:2" x14ac:dyDescent="0.35">
      <c r="A167" t="s">
        <v>208</v>
      </c>
      <c r="B167" s="156">
        <v>-1663.31</v>
      </c>
    </row>
    <row r="168" spans="1:2" x14ac:dyDescent="0.35">
      <c r="A168" t="s">
        <v>209</v>
      </c>
      <c r="B168" s="156" t="s">
        <v>432</v>
      </c>
    </row>
    <row r="169" spans="1:2" x14ac:dyDescent="0.35">
      <c r="A169" t="s">
        <v>210</v>
      </c>
      <c r="B169" s="156">
        <v>-932.8</v>
      </c>
    </row>
    <row r="170" spans="1:2" x14ac:dyDescent="0.35">
      <c r="A170" t="s">
        <v>211</v>
      </c>
      <c r="B170" s="156">
        <v>-4513.8</v>
      </c>
    </row>
    <row r="171" spans="1:2" x14ac:dyDescent="0.35">
      <c r="A171" t="s">
        <v>212</v>
      </c>
      <c r="B171" s="156">
        <v>-340</v>
      </c>
    </row>
    <row r="172" spans="1:2" x14ac:dyDescent="0.35">
      <c r="A172" t="s">
        <v>431</v>
      </c>
      <c r="B172" s="156">
        <v>-107.24</v>
      </c>
    </row>
    <row r="173" spans="1:2" x14ac:dyDescent="0.35">
      <c r="A173" t="s">
        <v>435</v>
      </c>
      <c r="B173" s="156">
        <v>-500.03</v>
      </c>
    </row>
    <row r="174" spans="1:2" x14ac:dyDescent="0.35">
      <c r="A174" t="s">
        <v>213</v>
      </c>
      <c r="B174" s="156">
        <v>-2380.04</v>
      </c>
    </row>
    <row r="175" spans="1:2" x14ac:dyDescent="0.35">
      <c r="A175" t="s">
        <v>382</v>
      </c>
      <c r="B175" s="156">
        <v>-1290.01</v>
      </c>
    </row>
    <row r="176" spans="1:2" x14ac:dyDescent="0.35">
      <c r="A176" t="s">
        <v>214</v>
      </c>
      <c r="B176" s="156">
        <v>-1377.28</v>
      </c>
    </row>
    <row r="177" spans="1:2" x14ac:dyDescent="0.35">
      <c r="A177" t="s">
        <v>215</v>
      </c>
      <c r="B177" s="156">
        <v>-283.02999999999997</v>
      </c>
    </row>
    <row r="178" spans="1:2" x14ac:dyDescent="0.35">
      <c r="A178" t="s">
        <v>216</v>
      </c>
      <c r="B178" s="156">
        <v>-281.24</v>
      </c>
    </row>
    <row r="179" spans="1:2" x14ac:dyDescent="0.35">
      <c r="A179" t="s">
        <v>217</v>
      </c>
      <c r="B179" s="156" t="s">
        <v>432</v>
      </c>
    </row>
    <row r="180" spans="1:2" x14ac:dyDescent="0.35">
      <c r="A180" t="s">
        <v>218</v>
      </c>
      <c r="B180" s="156">
        <v>-100.45</v>
      </c>
    </row>
    <row r="181" spans="1:2" x14ac:dyDescent="0.35">
      <c r="A181" t="s">
        <v>436</v>
      </c>
      <c r="B181" s="156">
        <v>-141.13999999999999</v>
      </c>
    </row>
    <row r="182" spans="1:2" x14ac:dyDescent="0.35">
      <c r="A182" t="s">
        <v>383</v>
      </c>
      <c r="B182" s="156" t="s">
        <v>432</v>
      </c>
    </row>
    <row r="183" spans="1:2" x14ac:dyDescent="0.35">
      <c r="A183" t="s">
        <v>404</v>
      </c>
      <c r="B183" s="156" t="s">
        <v>432</v>
      </c>
    </row>
    <row r="184" spans="1:2" x14ac:dyDescent="0.35">
      <c r="A184" t="s">
        <v>437</v>
      </c>
      <c r="B184" s="156">
        <v>-7396.59</v>
      </c>
    </row>
    <row r="185" spans="1:2" x14ac:dyDescent="0.35">
      <c r="A185" t="s">
        <v>220</v>
      </c>
      <c r="B185" s="156">
        <v>-838.08</v>
      </c>
    </row>
    <row r="186" spans="1:2" x14ac:dyDescent="0.35">
      <c r="A186" t="s">
        <v>222</v>
      </c>
      <c r="B186" s="156" t="s">
        <v>432</v>
      </c>
    </row>
    <row r="187" spans="1:2" x14ac:dyDescent="0.35">
      <c r="A187" t="s">
        <v>225</v>
      </c>
      <c r="B187" s="156">
        <v>-3154.35</v>
      </c>
    </row>
    <row r="188" spans="1:2" x14ac:dyDescent="0.35">
      <c r="A188" t="s">
        <v>384</v>
      </c>
      <c r="B188" s="156">
        <v>-5772.02</v>
      </c>
    </row>
    <row r="189" spans="1:2" x14ac:dyDescent="0.35">
      <c r="A189" t="s">
        <v>226</v>
      </c>
      <c r="B189" s="156">
        <v>-6419.19</v>
      </c>
    </row>
    <row r="190" spans="1:2" x14ac:dyDescent="0.35">
      <c r="A190" t="s">
        <v>385</v>
      </c>
      <c r="B190" s="156">
        <v>-1642.07</v>
      </c>
    </row>
    <row r="191" spans="1:2" x14ac:dyDescent="0.35">
      <c r="A191" t="s">
        <v>227</v>
      </c>
      <c r="B191" s="156">
        <v>-1337.16</v>
      </c>
    </row>
    <row r="192" spans="1:2" x14ac:dyDescent="0.35">
      <c r="A192" t="s">
        <v>386</v>
      </c>
      <c r="B192" s="156">
        <v>-855.5</v>
      </c>
    </row>
    <row r="193" spans="1:2" x14ac:dyDescent="0.35">
      <c r="A193" t="s">
        <v>387</v>
      </c>
      <c r="B193" s="156">
        <v>-45</v>
      </c>
    </row>
    <row r="194" spans="1:2" x14ac:dyDescent="0.35">
      <c r="A194" t="s">
        <v>400</v>
      </c>
      <c r="B194" s="156">
        <v>-19768.43</v>
      </c>
    </row>
    <row r="195" spans="1:2" x14ac:dyDescent="0.35">
      <c r="A195" t="s">
        <v>388</v>
      </c>
      <c r="B195" s="156" t="s">
        <v>432</v>
      </c>
    </row>
    <row r="196" spans="1:2" x14ac:dyDescent="0.35">
      <c r="A196" t="s">
        <v>389</v>
      </c>
      <c r="B196" s="156" t="s">
        <v>432</v>
      </c>
    </row>
    <row r="197" spans="1:2" x14ac:dyDescent="0.35">
      <c r="A197" t="s">
        <v>390</v>
      </c>
      <c r="B197" s="156">
        <v>0</v>
      </c>
    </row>
    <row r="198" spans="1:2" x14ac:dyDescent="0.35">
      <c r="A198" t="s">
        <v>232</v>
      </c>
      <c r="B198" s="156">
        <v>0</v>
      </c>
    </row>
    <row r="199" spans="1:2" x14ac:dyDescent="0.35">
      <c r="A199" t="s">
        <v>233</v>
      </c>
      <c r="B199" s="156">
        <v>0</v>
      </c>
    </row>
    <row r="200" spans="1:2" x14ac:dyDescent="0.35">
      <c r="A200" t="s">
        <v>391</v>
      </c>
      <c r="B200" s="156">
        <v>0</v>
      </c>
    </row>
    <row r="201" spans="1:2" x14ac:dyDescent="0.35">
      <c r="A201" t="s">
        <v>234</v>
      </c>
      <c r="B201" s="156">
        <v>0</v>
      </c>
    </row>
    <row r="202" spans="1:2" x14ac:dyDescent="0.35">
      <c r="A202" t="s">
        <v>235</v>
      </c>
      <c r="B202" s="156">
        <v>0</v>
      </c>
    </row>
    <row r="203" spans="1:2" x14ac:dyDescent="0.35">
      <c r="A203" t="s">
        <v>236</v>
      </c>
      <c r="B203" s="156">
        <v>0</v>
      </c>
    </row>
    <row r="204" spans="1:2" x14ac:dyDescent="0.35">
      <c r="A204" t="s">
        <v>392</v>
      </c>
      <c r="B204" s="156" t="s">
        <v>432</v>
      </c>
    </row>
    <row r="205" spans="1:2" x14ac:dyDescent="0.35">
      <c r="A205" t="s">
        <v>394</v>
      </c>
      <c r="B205" s="156" t="s">
        <v>432</v>
      </c>
    </row>
    <row r="206" spans="1:2" x14ac:dyDescent="0.35">
      <c r="A206" t="s">
        <v>415</v>
      </c>
      <c r="B206" s="156" t="s">
        <v>432</v>
      </c>
    </row>
    <row r="207" spans="1:2" x14ac:dyDescent="0.35">
      <c r="A207" t="s">
        <v>416</v>
      </c>
      <c r="B207" s="166" t="s">
        <v>432</v>
      </c>
    </row>
    <row r="208" spans="1:2" x14ac:dyDescent="0.35">
      <c r="A208" t="s">
        <v>417</v>
      </c>
      <c r="B208" s="156" t="s">
        <v>432</v>
      </c>
    </row>
    <row r="209" spans="1:2" x14ac:dyDescent="0.35">
      <c r="A209" t="s">
        <v>419</v>
      </c>
      <c r="B209" s="156" t="s">
        <v>432</v>
      </c>
    </row>
    <row r="210" spans="1:2" x14ac:dyDescent="0.35">
      <c r="B210" s="156">
        <f>SUM(B2:B209)</f>
        <v>283433.72000000026</v>
      </c>
    </row>
    <row r="212" spans="1:2" x14ac:dyDescent="0.35">
      <c r="B212" s="156">
        <v>-77706.98</v>
      </c>
    </row>
    <row r="215" spans="1:2" x14ac:dyDescent="0.35">
      <c r="B215" s="156">
        <f>SUM(B210:B212)</f>
        <v>205726.74000000028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5796-7CFD-4A39-89E5-B33208C9508E}">
  <dimension ref="A1:O33"/>
  <sheetViews>
    <sheetView workbookViewId="0">
      <selection activeCell="J6" sqref="J6"/>
    </sheetView>
  </sheetViews>
  <sheetFormatPr baseColWidth="10" defaultRowHeight="14.5" x14ac:dyDescent="0.35"/>
  <cols>
    <col min="1" max="1" width="21.54296875" bestFit="1" customWidth="1"/>
    <col min="2" max="3" width="11.54296875" customWidth="1"/>
    <col min="4" max="4" width="17.453125" customWidth="1"/>
    <col min="5" max="14" width="11.54296875" customWidth="1"/>
  </cols>
  <sheetData>
    <row r="1" spans="1:14" x14ac:dyDescent="0.35">
      <c r="A1" s="54" t="s">
        <v>56</v>
      </c>
    </row>
    <row r="2" spans="1:14" x14ac:dyDescent="0.35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35">
      <c r="M3" s="2"/>
      <c r="N3" s="2"/>
    </row>
    <row r="4" spans="1:14" ht="15" thickBot="1" x14ac:dyDescent="0.4">
      <c r="A4" s="22" t="s">
        <v>18</v>
      </c>
      <c r="B4" s="56" t="s">
        <v>43</v>
      </c>
      <c r="C4" s="56" t="s">
        <v>44</v>
      </c>
      <c r="D4" s="56" t="s">
        <v>45</v>
      </c>
      <c r="E4" s="56" t="s">
        <v>46</v>
      </c>
      <c r="F4" s="56" t="s">
        <v>47</v>
      </c>
      <c r="G4" s="56" t="s">
        <v>48</v>
      </c>
      <c r="H4" s="56" t="s">
        <v>49</v>
      </c>
      <c r="I4" s="56" t="s">
        <v>50</v>
      </c>
      <c r="J4" s="56" t="s">
        <v>51</v>
      </c>
      <c r="K4" s="56" t="s">
        <v>52</v>
      </c>
      <c r="L4" s="56" t="s">
        <v>53</v>
      </c>
      <c r="M4" s="57" t="s">
        <v>54</v>
      </c>
      <c r="N4" s="58" t="s">
        <v>55</v>
      </c>
    </row>
    <row r="5" spans="1:14" x14ac:dyDescent="0.35">
      <c r="A5" s="9" t="s">
        <v>1</v>
      </c>
      <c r="B5" s="59">
        <v>622.28714000000002</v>
      </c>
      <c r="C5" s="59">
        <v>1062.44109</v>
      </c>
      <c r="D5" s="59">
        <v>1795.1470299999999</v>
      </c>
      <c r="E5" s="59">
        <v>1534.3508899999999</v>
      </c>
      <c r="F5" s="59">
        <v>1483.9151900000002</v>
      </c>
      <c r="G5" s="59">
        <v>1760.9420000000002</v>
      </c>
      <c r="H5" s="59">
        <v>1314.5644800000002</v>
      </c>
      <c r="I5" s="59">
        <v>664.49694000000011</v>
      </c>
      <c r="J5" s="59">
        <v>842.11579000000006</v>
      </c>
      <c r="K5" s="59">
        <v>699.58345000000179</v>
      </c>
      <c r="L5" s="59">
        <v>749.69916000000057</v>
      </c>
      <c r="M5" s="59">
        <v>248.50601</v>
      </c>
      <c r="N5" s="59">
        <f>SUM(B5:M5)</f>
        <v>12778.049170000004</v>
      </c>
    </row>
    <row r="6" spans="1:14" x14ac:dyDescent="0.35">
      <c r="A6" s="10" t="s">
        <v>2</v>
      </c>
      <c r="B6" s="3">
        <v>-518.09464999999989</v>
      </c>
      <c r="C6" s="3">
        <v>-451.51496000000003</v>
      </c>
      <c r="D6" s="3">
        <v>-510.02510999999993</v>
      </c>
      <c r="E6" s="3">
        <v>-440.06148000000002</v>
      </c>
      <c r="F6" s="3">
        <v>-669.88811999999984</v>
      </c>
      <c r="G6" s="3">
        <v>-248.36745000000002</v>
      </c>
      <c r="H6" s="3">
        <v>-330.56434000000002</v>
      </c>
      <c r="I6" s="3">
        <v>-99.204800000000034</v>
      </c>
      <c r="J6" s="3">
        <v>-265.37090999999998</v>
      </c>
      <c r="K6" s="3">
        <v>-361.07370999999995</v>
      </c>
      <c r="L6" s="3">
        <v>-275.74654000000027</v>
      </c>
      <c r="M6" s="3">
        <v>-116.42869999999995</v>
      </c>
      <c r="N6" s="3">
        <f>SUM(B6:M6)</f>
        <v>-4286.3407700000007</v>
      </c>
    </row>
    <row r="7" spans="1:14" x14ac:dyDescent="0.35">
      <c r="A7" s="11" t="s">
        <v>3</v>
      </c>
      <c r="B7" s="25">
        <f t="shared" ref="B7:N7" si="0">SUM(B5:B6)</f>
        <v>104.19249000000013</v>
      </c>
      <c r="C7" s="25">
        <f t="shared" si="0"/>
        <v>610.92613000000006</v>
      </c>
      <c r="D7" s="25">
        <f t="shared" si="0"/>
        <v>1285.12192</v>
      </c>
      <c r="E7" s="25">
        <f t="shared" si="0"/>
        <v>1094.2894099999999</v>
      </c>
      <c r="F7" s="25">
        <f t="shared" si="0"/>
        <v>814.02707000000032</v>
      </c>
      <c r="G7" s="25">
        <f t="shared" si="0"/>
        <v>1512.5745500000003</v>
      </c>
      <c r="H7" s="25">
        <f t="shared" si="0"/>
        <v>984.00014000000021</v>
      </c>
      <c r="I7" s="25">
        <f t="shared" si="0"/>
        <v>565.29214000000002</v>
      </c>
      <c r="J7" s="25">
        <f t="shared" si="0"/>
        <v>576.74488000000008</v>
      </c>
      <c r="K7" s="25">
        <f t="shared" si="0"/>
        <v>338.50974000000184</v>
      </c>
      <c r="L7" s="25">
        <f t="shared" si="0"/>
        <v>473.95262000000031</v>
      </c>
      <c r="M7" s="25">
        <f t="shared" si="0"/>
        <v>132.07731000000007</v>
      </c>
      <c r="N7" s="25">
        <f t="shared" si="0"/>
        <v>8491.7084000000032</v>
      </c>
    </row>
    <row r="8" spans="1:14" x14ac:dyDescent="0.35">
      <c r="A8" s="12" t="s">
        <v>4</v>
      </c>
      <c r="B8" s="4">
        <f t="shared" ref="B8:N8" si="1">+B7/B5</f>
        <v>0.16743474724545993</v>
      </c>
      <c r="C8" s="4">
        <f t="shared" si="1"/>
        <v>0.57502118070376973</v>
      </c>
      <c r="D8" s="4">
        <f t="shared" si="1"/>
        <v>0.71588672043203061</v>
      </c>
      <c r="E8" s="4">
        <f t="shared" si="1"/>
        <v>0.71319371411841781</v>
      </c>
      <c r="F8" s="4">
        <f t="shared" si="1"/>
        <v>0.54856711184417506</v>
      </c>
      <c r="G8" s="4">
        <f t="shared" si="1"/>
        <v>0.85895762040998513</v>
      </c>
      <c r="H8" s="4">
        <f t="shared" si="1"/>
        <v>0.74853699074540647</v>
      </c>
      <c r="I8" s="4">
        <f t="shared" si="1"/>
        <v>0.85070691220940753</v>
      </c>
      <c r="J8" s="4">
        <f t="shared" si="1"/>
        <v>0.68487598362215729</v>
      </c>
      <c r="K8" s="4">
        <f t="shared" si="1"/>
        <v>0.48387328202232482</v>
      </c>
      <c r="L8" s="4">
        <f t="shared" si="1"/>
        <v>0.63219041088428052</v>
      </c>
      <c r="M8" s="4">
        <f t="shared" si="1"/>
        <v>0.53148537534363882</v>
      </c>
      <c r="N8" s="4">
        <f t="shared" si="1"/>
        <v>0.66455436874798002</v>
      </c>
    </row>
    <row r="9" spans="1:14" x14ac:dyDescent="0.35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0"/>
      <c r="N9" s="61"/>
    </row>
    <row r="10" spans="1:14" x14ac:dyDescent="0.35">
      <c r="A10" s="13" t="s">
        <v>5</v>
      </c>
      <c r="B10" s="3">
        <v>17.397715000000019</v>
      </c>
      <c r="C10" s="3">
        <v>-169.90227999999996</v>
      </c>
      <c r="D10" s="3">
        <v>-215.24044999999998</v>
      </c>
      <c r="E10" s="3">
        <v>-145.05984999999998</v>
      </c>
      <c r="F10" s="3">
        <v>-141.27428000000003</v>
      </c>
      <c r="G10" s="3">
        <v>-98.245984999999976</v>
      </c>
      <c r="H10" s="3">
        <v>-218.74298000000002</v>
      </c>
      <c r="I10" s="3">
        <v>-131.97476999999995</v>
      </c>
      <c r="J10" s="3">
        <v>-133.72119999999998</v>
      </c>
      <c r="K10" s="3">
        <v>-300.72410999999994</v>
      </c>
      <c r="L10" s="3">
        <v>-153.08434999999992</v>
      </c>
      <c r="M10" s="3">
        <v>-172.01862</v>
      </c>
      <c r="N10" s="3">
        <f>SUM(B10:M10)</f>
        <v>-1862.5911599999997</v>
      </c>
    </row>
    <row r="11" spans="1:14" x14ac:dyDescent="0.35">
      <c r="A11" s="14" t="s">
        <v>6</v>
      </c>
      <c r="B11" s="4">
        <f t="shared" ref="B11:N11" si="2">+B10/B5</f>
        <v>2.7957696506471303E-2</v>
      </c>
      <c r="C11" s="4">
        <f t="shared" si="2"/>
        <v>-0.15991689478049079</v>
      </c>
      <c r="D11" s="4">
        <f t="shared" si="2"/>
        <v>-0.11990129298768358</v>
      </c>
      <c r="E11" s="4">
        <f t="shared" si="2"/>
        <v>-9.4541509993193273E-2</v>
      </c>
      <c r="F11" s="4">
        <f t="shared" si="2"/>
        <v>-9.5203742742198103E-2</v>
      </c>
      <c r="G11" s="4">
        <f t="shared" si="2"/>
        <v>-5.5791721135619435E-2</v>
      </c>
      <c r="H11" s="4">
        <f t="shared" si="2"/>
        <v>-0.16639958201213528</v>
      </c>
      <c r="I11" s="4">
        <f t="shared" si="2"/>
        <v>-0.19860854438246162</v>
      </c>
      <c r="J11" s="4">
        <f t="shared" si="2"/>
        <v>-0.15879194000150498</v>
      </c>
      <c r="K11" s="4">
        <f t="shared" si="2"/>
        <v>-0.42986166982652202</v>
      </c>
      <c r="L11" s="4">
        <f t="shared" si="2"/>
        <v>-0.20419437311360972</v>
      </c>
      <c r="M11" s="4">
        <f t="shared" si="2"/>
        <v>-0.69221110588029644</v>
      </c>
      <c r="N11" s="4">
        <f t="shared" si="2"/>
        <v>-0.14576490786817023</v>
      </c>
    </row>
    <row r="12" spans="1:14" x14ac:dyDescent="0.35">
      <c r="A12" s="14"/>
      <c r="B12" s="6"/>
      <c r="C12" s="6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64"/>
    </row>
    <row r="13" spans="1:14" x14ac:dyDescent="0.35">
      <c r="A13" s="10" t="s">
        <v>7</v>
      </c>
      <c r="B13" s="3">
        <v>0</v>
      </c>
      <c r="C13" s="3">
        <v>0.23943999999999999</v>
      </c>
      <c r="D13" s="3">
        <v>0</v>
      </c>
      <c r="E13" s="3">
        <v>0</v>
      </c>
      <c r="F13" s="3">
        <v>0.43575000000000003</v>
      </c>
      <c r="G13" s="3">
        <v>0.11769</v>
      </c>
      <c r="H13" s="3">
        <v>0</v>
      </c>
      <c r="I13" s="3">
        <v>0</v>
      </c>
      <c r="J13" s="3">
        <v>0</v>
      </c>
      <c r="K13" s="3">
        <v>1.8009600000000001</v>
      </c>
      <c r="L13" s="3">
        <v>0</v>
      </c>
      <c r="M13" s="3">
        <v>47.204360000000001</v>
      </c>
      <c r="N13" s="3">
        <f>SUM(B13:M13)</f>
        <v>49.798200000000001</v>
      </c>
    </row>
    <row r="14" spans="1:14" x14ac:dyDescent="0.35">
      <c r="A14" s="10" t="s">
        <v>8</v>
      </c>
      <c r="B14" s="3">
        <v>-83.04565999999997</v>
      </c>
      <c r="C14" s="3">
        <v>-74.849820000000022</v>
      </c>
      <c r="D14" s="3">
        <v>-105.74076999999997</v>
      </c>
      <c r="E14" s="3">
        <v>-91.37805000000003</v>
      </c>
      <c r="F14" s="3">
        <v>-108.29459000000003</v>
      </c>
      <c r="G14" s="3">
        <v>-116.04260999999998</v>
      </c>
      <c r="H14" s="3">
        <v>-102.38970999999998</v>
      </c>
      <c r="I14" s="3">
        <v>-68.705250000000007</v>
      </c>
      <c r="J14" s="3">
        <v>-73.912790000000001</v>
      </c>
      <c r="K14" s="3">
        <v>-122.16905</v>
      </c>
      <c r="L14" s="3">
        <v>-68.327619999999996</v>
      </c>
      <c r="M14" s="3">
        <v>-239.07332000000005</v>
      </c>
      <c r="N14" s="3">
        <f>SUM(B14:M14)</f>
        <v>-1253.9292399999999</v>
      </c>
    </row>
    <row r="15" spans="1:14" x14ac:dyDescent="0.35">
      <c r="A15" s="15" t="s">
        <v>9</v>
      </c>
      <c r="B15" s="7">
        <f t="shared" ref="B15:N15" si="3">SUM(B13:B14)</f>
        <v>-83.04565999999997</v>
      </c>
      <c r="C15" s="7">
        <f t="shared" si="3"/>
        <v>-74.610380000000021</v>
      </c>
      <c r="D15" s="7">
        <f t="shared" si="3"/>
        <v>-105.74076999999997</v>
      </c>
      <c r="E15" s="7">
        <f t="shared" si="3"/>
        <v>-91.37805000000003</v>
      </c>
      <c r="F15" s="7">
        <f t="shared" si="3"/>
        <v>-107.85884000000003</v>
      </c>
      <c r="G15" s="7">
        <f t="shared" si="3"/>
        <v>-115.92491999999999</v>
      </c>
      <c r="H15" s="7">
        <f t="shared" si="3"/>
        <v>-102.38970999999998</v>
      </c>
      <c r="I15" s="7">
        <f t="shared" si="3"/>
        <v>-68.705250000000007</v>
      </c>
      <c r="J15" s="7">
        <f t="shared" si="3"/>
        <v>-73.912790000000001</v>
      </c>
      <c r="K15" s="7">
        <f t="shared" si="3"/>
        <v>-120.36809</v>
      </c>
      <c r="L15" s="7">
        <f t="shared" si="3"/>
        <v>-68.327619999999996</v>
      </c>
      <c r="M15" s="7">
        <f t="shared" si="3"/>
        <v>-191.86896000000004</v>
      </c>
      <c r="N15" s="7">
        <f t="shared" si="3"/>
        <v>-1204.13104</v>
      </c>
    </row>
    <row r="16" spans="1:14" x14ac:dyDescent="0.35">
      <c r="A16" s="10" t="s">
        <v>6</v>
      </c>
      <c r="B16" s="4">
        <f t="shared" ref="B16:N16" si="4">+B15/B5</f>
        <v>-0.13345231591962509</v>
      </c>
      <c r="C16" s="4">
        <f t="shared" si="4"/>
        <v>-7.0225427745833902E-2</v>
      </c>
      <c r="D16" s="4">
        <f t="shared" si="4"/>
        <v>-5.8903682112322567E-2</v>
      </c>
      <c r="E16" s="4">
        <f t="shared" si="4"/>
        <v>-5.9554858406606091E-2</v>
      </c>
      <c r="F16" s="4">
        <f t="shared" si="4"/>
        <v>-7.2685312965898016E-2</v>
      </c>
      <c r="G16" s="4">
        <f t="shared" si="4"/>
        <v>-6.5831197166062241E-2</v>
      </c>
      <c r="H16" s="4">
        <f t="shared" si="4"/>
        <v>-7.7888693599875727E-2</v>
      </c>
      <c r="I16" s="4">
        <f t="shared" si="4"/>
        <v>-0.10339438131949862</v>
      </c>
      <c r="J16" s="4">
        <f t="shared" si="4"/>
        <v>-8.7770340940881778E-2</v>
      </c>
      <c r="K16" s="4">
        <f t="shared" si="4"/>
        <v>-0.17205680037170645</v>
      </c>
      <c r="L16" s="4">
        <f t="shared" si="4"/>
        <v>-9.1140051430763161E-2</v>
      </c>
      <c r="M16" s="4">
        <f t="shared" si="4"/>
        <v>-0.77208981786798658</v>
      </c>
      <c r="N16" s="4">
        <f t="shared" si="4"/>
        <v>-9.4234340780831385E-2</v>
      </c>
    </row>
    <row r="17" spans="1:15" x14ac:dyDescent="0.35">
      <c r="A17" s="16" t="s">
        <v>10</v>
      </c>
      <c r="B17" s="24">
        <f t="shared" ref="B17:N17" si="5">+B15+B10</f>
        <v>-65.64794499999995</v>
      </c>
      <c r="C17" s="24">
        <f t="shared" si="5"/>
        <v>-244.51265999999998</v>
      </c>
      <c r="D17" s="24">
        <f t="shared" si="5"/>
        <v>-320.98121999999995</v>
      </c>
      <c r="E17" s="24">
        <f t="shared" si="5"/>
        <v>-236.43790000000001</v>
      </c>
      <c r="F17" s="24">
        <f t="shared" si="5"/>
        <v>-249.13312000000008</v>
      </c>
      <c r="G17" s="24">
        <f t="shared" si="5"/>
        <v>-214.17090499999995</v>
      </c>
      <c r="H17" s="24">
        <f t="shared" si="5"/>
        <v>-321.13269000000003</v>
      </c>
      <c r="I17" s="24">
        <f t="shared" si="5"/>
        <v>-200.68001999999996</v>
      </c>
      <c r="J17" s="24">
        <f t="shared" si="5"/>
        <v>-207.63398999999998</v>
      </c>
      <c r="K17" s="24">
        <f t="shared" si="5"/>
        <v>-421.09219999999993</v>
      </c>
      <c r="L17" s="24">
        <f t="shared" si="5"/>
        <v>-221.41196999999991</v>
      </c>
      <c r="M17" s="24">
        <f t="shared" si="5"/>
        <v>-363.88758000000007</v>
      </c>
      <c r="N17" s="24">
        <f t="shared" si="5"/>
        <v>-3066.7221999999997</v>
      </c>
    </row>
    <row r="18" spans="1:15" x14ac:dyDescent="0.35">
      <c r="A18" s="17" t="s">
        <v>6</v>
      </c>
      <c r="B18" s="4">
        <f t="shared" ref="B18:N18" si="6">+B17/B5</f>
        <v>-0.10549461941315379</v>
      </c>
      <c r="C18" s="4">
        <f t="shared" si="6"/>
        <v>-0.23014232252632472</v>
      </c>
      <c r="D18" s="4">
        <f t="shared" si="6"/>
        <v>-0.17880497510000615</v>
      </c>
      <c r="E18" s="4">
        <f t="shared" si="6"/>
        <v>-0.15409636839979937</v>
      </c>
      <c r="F18" s="4">
        <f t="shared" si="6"/>
        <v>-0.16788905570809612</v>
      </c>
      <c r="G18" s="4">
        <f t="shared" si="6"/>
        <v>-0.12162291830168166</v>
      </c>
      <c r="H18" s="4">
        <f t="shared" si="6"/>
        <v>-0.24428827561201102</v>
      </c>
      <c r="I18" s="4">
        <f t="shared" si="6"/>
        <v>-0.30200292570196025</v>
      </c>
      <c r="J18" s="4">
        <f t="shared" si="6"/>
        <v>-0.24656228094238675</v>
      </c>
      <c r="K18" s="4">
        <f t="shared" si="6"/>
        <v>-0.60191847019822842</v>
      </c>
      <c r="L18" s="4">
        <f t="shared" si="6"/>
        <v>-0.29533442454437292</v>
      </c>
      <c r="M18" s="4">
        <f t="shared" si="6"/>
        <v>-1.4643009237482831</v>
      </c>
      <c r="N18" s="4">
        <f t="shared" si="6"/>
        <v>-0.23999924864900163</v>
      </c>
    </row>
    <row r="19" spans="1:15" x14ac:dyDescent="0.35">
      <c r="A19" s="11" t="s">
        <v>11</v>
      </c>
      <c r="B19" s="25">
        <f t="shared" ref="B19:N19" si="7">+B7+B17</f>
        <v>38.544545000000184</v>
      </c>
      <c r="C19" s="25">
        <f t="shared" si="7"/>
        <v>366.41347000000007</v>
      </c>
      <c r="D19" s="25">
        <f t="shared" si="7"/>
        <v>964.14070000000015</v>
      </c>
      <c r="E19" s="25">
        <f t="shared" si="7"/>
        <v>857.85150999999985</v>
      </c>
      <c r="F19" s="25">
        <f t="shared" si="7"/>
        <v>564.89395000000025</v>
      </c>
      <c r="G19" s="25">
        <f t="shared" si="7"/>
        <v>1298.4036450000003</v>
      </c>
      <c r="H19" s="25">
        <f t="shared" si="7"/>
        <v>662.86745000000019</v>
      </c>
      <c r="I19" s="25">
        <f t="shared" si="7"/>
        <v>364.61212000000006</v>
      </c>
      <c r="J19" s="25">
        <f t="shared" si="7"/>
        <v>369.1108900000001</v>
      </c>
      <c r="K19" s="25">
        <f t="shared" si="7"/>
        <v>-82.582459999998093</v>
      </c>
      <c r="L19" s="25">
        <f t="shared" si="7"/>
        <v>252.5406500000004</v>
      </c>
      <c r="M19" s="25">
        <f t="shared" si="7"/>
        <v>-231.81027</v>
      </c>
      <c r="N19" s="25">
        <f t="shared" si="7"/>
        <v>5424.986200000003</v>
      </c>
      <c r="O19" s="19"/>
    </row>
    <row r="20" spans="1:15" x14ac:dyDescent="0.35">
      <c r="A20" s="12" t="s">
        <v>12</v>
      </c>
      <c r="B20" s="8">
        <f t="shared" ref="B20:N20" si="8">+B19/B5</f>
        <v>6.1940127832306131E-2</v>
      </c>
      <c r="C20" s="8">
        <f t="shared" si="8"/>
        <v>0.34487885817744501</v>
      </c>
      <c r="D20" s="8">
        <f t="shared" si="8"/>
        <v>0.53708174533202457</v>
      </c>
      <c r="E20" s="8">
        <f t="shared" si="8"/>
        <v>0.55909734571861847</v>
      </c>
      <c r="F20" s="8">
        <f t="shared" si="8"/>
        <v>0.38067805613607891</v>
      </c>
      <c r="G20" s="8">
        <f t="shared" si="8"/>
        <v>0.73733470210830343</v>
      </c>
      <c r="H20" s="8">
        <f t="shared" si="8"/>
        <v>0.50424871513339542</v>
      </c>
      <c r="I20" s="8">
        <f t="shared" si="8"/>
        <v>0.54870398650744723</v>
      </c>
      <c r="J20" s="8">
        <f t="shared" si="8"/>
        <v>0.43831370267977054</v>
      </c>
      <c r="K20" s="8">
        <f t="shared" si="8"/>
        <v>-0.11804518817590365</v>
      </c>
      <c r="L20" s="8">
        <f t="shared" si="8"/>
        <v>0.3368559863399076</v>
      </c>
      <c r="M20" s="8">
        <f t="shared" si="8"/>
        <v>-0.9328155484046442</v>
      </c>
      <c r="N20" s="8">
        <f t="shared" si="8"/>
        <v>0.42455512009897839</v>
      </c>
    </row>
    <row r="21" spans="1:15" x14ac:dyDescent="0.3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5"/>
      <c r="N21" s="2"/>
    </row>
    <row r="22" spans="1:15" x14ac:dyDescent="0.35">
      <c r="A22" s="10" t="s">
        <v>13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-194.71201000000002</v>
      </c>
      <c r="L22" s="3">
        <v>-19.471199999999982</v>
      </c>
      <c r="M22" s="3">
        <v>-34.072369999999999</v>
      </c>
      <c r="N22" s="23">
        <f>SUM(B22:M22)</f>
        <v>-248.25558000000001</v>
      </c>
    </row>
    <row r="23" spans="1:15" x14ac:dyDescent="0.35">
      <c r="A23" s="10" t="s">
        <v>14</v>
      </c>
      <c r="B23" s="3">
        <v>0.92147000000000001</v>
      </c>
      <c r="C23" s="3">
        <v>3.1829999999999997E-2</v>
      </c>
      <c r="D23" s="3">
        <v>-1.0000000000000001E-5</v>
      </c>
      <c r="E23" s="3">
        <v>2.0000000000000002E-5</v>
      </c>
      <c r="F23" s="3">
        <v>3.1E-4</v>
      </c>
      <c r="G23" s="3">
        <v>2.2800000000000003E-3</v>
      </c>
      <c r="H23" s="3">
        <v>3.5699999999999998E-3</v>
      </c>
      <c r="I23" s="3">
        <v>0.47300999999999999</v>
      </c>
      <c r="J23" s="3">
        <v>-4.0640000000000003E-2</v>
      </c>
      <c r="K23" s="3">
        <v>0.81001000000000012</v>
      </c>
      <c r="L23" s="3">
        <v>4.4300000000002913E-3</v>
      </c>
      <c r="M23" s="3">
        <v>0.15045</v>
      </c>
      <c r="N23" s="23">
        <f>SUM(B23:M23)</f>
        <v>2.3567300000000007</v>
      </c>
    </row>
    <row r="24" spans="1:15" x14ac:dyDescent="0.35">
      <c r="A24" s="18" t="s">
        <v>15</v>
      </c>
      <c r="B24" s="66">
        <f t="shared" ref="B24:N24" si="9">+B19+B22+B23</f>
        <v>39.466015000000183</v>
      </c>
      <c r="C24" s="66">
        <f t="shared" si="9"/>
        <v>366.44530000000009</v>
      </c>
      <c r="D24" s="66">
        <f t="shared" si="9"/>
        <v>964.14069000000018</v>
      </c>
      <c r="E24" s="66">
        <f t="shared" si="9"/>
        <v>857.8515299999998</v>
      </c>
      <c r="F24" s="66">
        <f t="shared" si="9"/>
        <v>564.89426000000026</v>
      </c>
      <c r="G24" s="66">
        <f t="shared" si="9"/>
        <v>1298.4059250000003</v>
      </c>
      <c r="H24" s="66">
        <f t="shared" si="9"/>
        <v>662.87102000000016</v>
      </c>
      <c r="I24" s="66">
        <f t="shared" si="9"/>
        <v>365.08513000000005</v>
      </c>
      <c r="J24" s="66">
        <f t="shared" si="9"/>
        <v>369.0702500000001</v>
      </c>
      <c r="K24" s="66">
        <f t="shared" si="9"/>
        <v>-276.48445999999814</v>
      </c>
      <c r="L24" s="66">
        <f t="shared" si="9"/>
        <v>233.07388000000043</v>
      </c>
      <c r="M24" s="66">
        <f t="shared" si="9"/>
        <v>-265.73219</v>
      </c>
      <c r="N24" s="66">
        <f t="shared" si="9"/>
        <v>5179.0873500000034</v>
      </c>
    </row>
    <row r="25" spans="1:15" x14ac:dyDescent="0.35">
      <c r="A25" s="12" t="s">
        <v>16</v>
      </c>
      <c r="B25" s="4">
        <f t="shared" ref="B25:N25" si="10">+B24/B5</f>
        <v>6.3420907267985938E-2</v>
      </c>
      <c r="C25" s="4">
        <f t="shared" si="10"/>
        <v>0.34490881748558883</v>
      </c>
      <c r="D25" s="4">
        <f t="shared" si="10"/>
        <v>0.53708173976145024</v>
      </c>
      <c r="E25" s="4">
        <f t="shared" si="10"/>
        <v>0.55909735875344646</v>
      </c>
      <c r="F25" s="4">
        <f t="shared" si="10"/>
        <v>0.38067826504289654</v>
      </c>
      <c r="G25" s="4">
        <f t="shared" si="10"/>
        <v>0.73733599686985718</v>
      </c>
      <c r="H25" s="4">
        <f t="shared" si="10"/>
        <v>0.50425143086172541</v>
      </c>
      <c r="I25" s="4">
        <f t="shared" si="10"/>
        <v>0.54941581822784613</v>
      </c>
      <c r="J25" s="4">
        <f t="shared" si="10"/>
        <v>0.43826544328304312</v>
      </c>
      <c r="K25" s="4">
        <f t="shared" si="10"/>
        <v>-0.39521297995256666</v>
      </c>
      <c r="L25" s="4">
        <f t="shared" si="10"/>
        <v>0.31088987748098884</v>
      </c>
      <c r="M25" s="4">
        <f t="shared" si="10"/>
        <v>-1.069318967376282</v>
      </c>
      <c r="N25" s="4">
        <f t="shared" si="10"/>
        <v>0.40531127100053271</v>
      </c>
    </row>
    <row r="29" spans="1:15" x14ac:dyDescent="0.35">
      <c r="A29" t="s">
        <v>57</v>
      </c>
      <c r="B29" t="s">
        <v>58</v>
      </c>
    </row>
    <row r="30" spans="1:15" x14ac:dyDescent="0.35">
      <c r="A30" t="s">
        <v>59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36</v>
      </c>
      <c r="N30" t="s">
        <v>60</v>
      </c>
    </row>
    <row r="31" spans="1:15" x14ac:dyDescent="0.35">
      <c r="A31" s="67" t="s">
        <v>61</v>
      </c>
      <c r="B31" s="19">
        <v>112.73233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112.73233</v>
      </c>
    </row>
    <row r="32" spans="1:15" x14ac:dyDescent="0.35">
      <c r="A32" s="67" t="s">
        <v>8</v>
      </c>
      <c r="B32" s="19"/>
      <c r="C32" s="19">
        <v>9.97865</v>
      </c>
      <c r="D32" s="19">
        <v>18.111190000000001</v>
      </c>
      <c r="E32" s="19">
        <v>26.849229999999999</v>
      </c>
      <c r="F32" s="19">
        <v>4</v>
      </c>
      <c r="G32" s="19">
        <v>4</v>
      </c>
      <c r="H32" s="19">
        <v>4.5892499999999998</v>
      </c>
      <c r="I32" s="19">
        <v>48.997439999999997</v>
      </c>
      <c r="J32" s="19">
        <v>8.0543800000000001</v>
      </c>
      <c r="K32" s="19">
        <v>0</v>
      </c>
      <c r="L32" s="19">
        <v>118</v>
      </c>
      <c r="M32" s="19">
        <v>19.664999999999999</v>
      </c>
      <c r="N32" s="19">
        <v>262.24513999999999</v>
      </c>
    </row>
    <row r="33" spans="1:14" x14ac:dyDescent="0.35">
      <c r="A33" s="67" t="s">
        <v>60</v>
      </c>
      <c r="B33" s="19">
        <v>112.73233</v>
      </c>
      <c r="C33" s="19">
        <v>9.97865</v>
      </c>
      <c r="D33" s="19">
        <v>18.111190000000001</v>
      </c>
      <c r="E33" s="19">
        <v>26.849229999999999</v>
      </c>
      <c r="F33" s="19">
        <v>4</v>
      </c>
      <c r="G33" s="19">
        <v>4</v>
      </c>
      <c r="H33" s="19">
        <v>4.5892499999999998</v>
      </c>
      <c r="I33" s="19">
        <v>48.997439999999997</v>
      </c>
      <c r="J33" s="19">
        <v>8.0543800000000001</v>
      </c>
      <c r="K33" s="19">
        <v>0</v>
      </c>
      <c r="L33" s="19">
        <v>118</v>
      </c>
      <c r="M33" s="19">
        <v>19.664999999999999</v>
      </c>
      <c r="N33" s="19">
        <v>374.97746999999998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4F5-4B83-43DF-87D3-147B173658B4}">
  <dimension ref="B2:P20"/>
  <sheetViews>
    <sheetView workbookViewId="0">
      <selection activeCell="O3" sqref="O3:O20"/>
    </sheetView>
  </sheetViews>
  <sheetFormatPr baseColWidth="10" defaultColWidth="11.453125" defaultRowHeight="14.5" x14ac:dyDescent="0.35"/>
  <cols>
    <col min="1" max="1" width="4" customWidth="1"/>
    <col min="2" max="2" width="18.54296875" bestFit="1" customWidth="1"/>
    <col min="3" max="15" width="7.1796875" customWidth="1"/>
    <col min="16" max="16" width="50" bestFit="1" customWidth="1"/>
    <col min="18" max="18" width="5.54296875" customWidth="1"/>
    <col min="19" max="19" width="50" bestFit="1" customWidth="1"/>
    <col min="21" max="21" width="5" customWidth="1"/>
    <col min="22" max="22" width="50" bestFit="1" customWidth="1"/>
  </cols>
  <sheetData>
    <row r="2" spans="2:16" ht="15" thickBot="1" x14ac:dyDescent="0.4">
      <c r="B2" s="35" t="s">
        <v>41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 t="s">
        <v>63</v>
      </c>
    </row>
    <row r="3" spans="2:16" x14ac:dyDescent="0.35">
      <c r="B3" s="37" t="s">
        <v>1</v>
      </c>
      <c r="C3" s="38">
        <v>805.69362811979761</v>
      </c>
      <c r="D3" s="38">
        <v>1513.2479829827739</v>
      </c>
      <c r="E3" s="38">
        <v>2302.2173090809079</v>
      </c>
      <c r="F3" s="38">
        <v>1891.2553201136914</v>
      </c>
      <c r="G3" s="38">
        <v>1636.909212245115</v>
      </c>
      <c r="H3" s="38">
        <v>2150.2565698825038</v>
      </c>
      <c r="I3" s="38">
        <v>1348.0210279400669</v>
      </c>
      <c r="J3" s="38">
        <v>776.07561364342041</v>
      </c>
      <c r="K3" s="38">
        <v>1026.5684889409886</v>
      </c>
      <c r="L3" s="38">
        <v>798.567184017253</v>
      </c>
      <c r="M3" s="38">
        <v>1030.2430087822902</v>
      </c>
      <c r="N3" s="38">
        <v>659.94465275764242</v>
      </c>
      <c r="O3" s="38">
        <v>15938.999998506453</v>
      </c>
    </row>
    <row r="4" spans="2:16" x14ac:dyDescent="0.35">
      <c r="B4" s="39" t="s">
        <v>2</v>
      </c>
      <c r="C4" s="40">
        <v>-276.70290602512631</v>
      </c>
      <c r="D4" s="40">
        <v>-519.70140983383271</v>
      </c>
      <c r="E4" s="40">
        <v>-790.66061526468297</v>
      </c>
      <c r="F4" s="40">
        <v>-649.52213204437521</v>
      </c>
      <c r="G4" s="40">
        <v>-562.17092964296955</v>
      </c>
      <c r="H4" s="40">
        <v>-738.47207030119614</v>
      </c>
      <c r="I4" s="40">
        <v>-462.9567900201061</v>
      </c>
      <c r="J4" s="40">
        <v>-266.53106105791107</v>
      </c>
      <c r="K4" s="40">
        <v>-352.55893085151547</v>
      </c>
      <c r="L4" s="40">
        <v>-274.25543998595526</v>
      </c>
      <c r="M4" s="40">
        <v>-353.82088736060172</v>
      </c>
      <c r="N4" s="40">
        <v>-226.64682322769076</v>
      </c>
      <c r="O4" s="40">
        <v>-5473.9999956159636</v>
      </c>
    </row>
    <row r="5" spans="2:16" x14ac:dyDescent="0.35">
      <c r="B5" s="41" t="s">
        <v>3</v>
      </c>
      <c r="C5" s="42">
        <v>528.99072209467136</v>
      </c>
      <c r="D5" s="42">
        <v>993.54657314894121</v>
      </c>
      <c r="E5" s="42">
        <v>1511.5566938162249</v>
      </c>
      <c r="F5" s="42">
        <v>1241.7331880693162</v>
      </c>
      <c r="G5" s="42">
        <v>1074.7382826021453</v>
      </c>
      <c r="H5" s="42">
        <v>1411.7844995813075</v>
      </c>
      <c r="I5" s="42">
        <v>885.06423791996076</v>
      </c>
      <c r="J5" s="42">
        <v>509.54455258550934</v>
      </c>
      <c r="K5" s="42">
        <v>674.0095580894731</v>
      </c>
      <c r="L5" s="42">
        <v>524.31174403129774</v>
      </c>
      <c r="M5" s="42">
        <v>676.42212142168842</v>
      </c>
      <c r="N5" s="42">
        <v>433.29782952995163</v>
      </c>
      <c r="O5" s="42">
        <v>10465.000002890491</v>
      </c>
    </row>
    <row r="6" spans="2:16" x14ac:dyDescent="0.35">
      <c r="B6" s="43" t="s">
        <v>4</v>
      </c>
      <c r="C6" s="44">
        <v>0.65656560214972481</v>
      </c>
      <c r="D6" s="44">
        <v>0.65656560214972459</v>
      </c>
      <c r="E6" s="44">
        <v>0.65656560214972459</v>
      </c>
      <c r="F6" s="44">
        <v>0.6565656021497247</v>
      </c>
      <c r="G6" s="44">
        <v>0.65656560214972459</v>
      </c>
      <c r="H6" s="44">
        <v>0.65656560214972459</v>
      </c>
      <c r="I6" s="44">
        <v>0.65656560214972459</v>
      </c>
      <c r="J6" s="44">
        <v>0.65656560214972459</v>
      </c>
      <c r="K6" s="44">
        <v>0.65656560214972459</v>
      </c>
      <c r="L6" s="44">
        <v>0.6565656021497247</v>
      </c>
      <c r="M6" s="44">
        <v>0.65656560214972459</v>
      </c>
      <c r="N6" s="44">
        <v>0.65656692227048863</v>
      </c>
      <c r="O6" s="44">
        <v>0.65656565680852641</v>
      </c>
    </row>
    <row r="7" spans="2:16" x14ac:dyDescent="0.35">
      <c r="B7" s="43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2:16" x14ac:dyDescent="0.35">
      <c r="B8" s="39" t="s">
        <v>5</v>
      </c>
      <c r="C8" s="40">
        <v>-138.43100349644294</v>
      </c>
      <c r="D8" s="40">
        <v>-152.80201349644292</v>
      </c>
      <c r="E8" s="40">
        <v>-268.64421016310962</v>
      </c>
      <c r="F8" s="40">
        <v>-157.32982349644294</v>
      </c>
      <c r="G8" s="40">
        <v>-157.32982349644294</v>
      </c>
      <c r="H8" s="40">
        <v>-290.07649016310961</v>
      </c>
      <c r="I8" s="40">
        <v>-157.32982349644294</v>
      </c>
      <c r="J8" s="40">
        <v>-162.96320552489962</v>
      </c>
      <c r="K8" s="40">
        <v>-174.23000000000002</v>
      </c>
      <c r="L8" s="40">
        <v>-174.23000000000002</v>
      </c>
      <c r="M8" s="40">
        <v>-174.23000000000002</v>
      </c>
      <c r="N8" s="40">
        <v>-306.97666666666669</v>
      </c>
      <c r="O8" s="40">
        <v>-2314.5730600000006</v>
      </c>
      <c r="P8" s="154"/>
    </row>
    <row r="9" spans="2:16" x14ac:dyDescent="0.35">
      <c r="B9" s="39"/>
      <c r="C9" s="40">
        <v>-0.17181593432666417</v>
      </c>
      <c r="D9" s="40">
        <v>-0.1009761884468227</v>
      </c>
      <c r="E9" s="40">
        <v>-0.11668933645119621</v>
      </c>
      <c r="F9" s="40">
        <v>-8.3188040146258607E-2</v>
      </c>
      <c r="G9" s="40">
        <v>-9.6113958134951202E-2</v>
      </c>
      <c r="H9" s="40">
        <v>-0.13490319910007773</v>
      </c>
      <c r="I9" s="40">
        <v>-0.11671169828623611</v>
      </c>
      <c r="J9" s="40">
        <v>-0.20998366996720955</v>
      </c>
      <c r="K9" s="40">
        <v>-0.16972077545428679</v>
      </c>
      <c r="L9" s="40">
        <v>-0.21817826162543111</v>
      </c>
      <c r="M9" s="40">
        <v>-0.16911544025514286</v>
      </c>
      <c r="N9" s="40">
        <v>-0.46515516927659778</v>
      </c>
      <c r="O9" s="40">
        <v>-0.14521444634022745</v>
      </c>
    </row>
    <row r="10" spans="2:16" x14ac:dyDescent="0.35">
      <c r="B10" s="39" t="s">
        <v>7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</row>
    <row r="11" spans="2:16" x14ac:dyDescent="0.35">
      <c r="B11" s="39" t="s">
        <v>8</v>
      </c>
      <c r="C11" s="40">
        <v>-183.33532916333328</v>
      </c>
      <c r="D11" s="40">
        <v>-133.85531916333335</v>
      </c>
      <c r="E11" s="40">
        <v>-128.94531916333332</v>
      </c>
      <c r="F11" s="40">
        <v>-131.89531916333334</v>
      </c>
      <c r="G11" s="40">
        <v>-126.94532916333333</v>
      </c>
      <c r="H11" s="40">
        <v>-160.1953291633333</v>
      </c>
      <c r="I11" s="40">
        <v>-152.8033291633333</v>
      </c>
      <c r="J11" s="40">
        <v>-117.79332916333333</v>
      </c>
      <c r="K11" s="40">
        <v>-120.05332916333333</v>
      </c>
      <c r="L11" s="40">
        <v>-144.84268916333332</v>
      </c>
      <c r="M11" s="40">
        <v>-148.9926891633333</v>
      </c>
      <c r="N11" s="40">
        <v>-180.34268916333332</v>
      </c>
      <c r="O11" s="40">
        <v>-1729.9999999599997</v>
      </c>
    </row>
    <row r="12" spans="2:16" x14ac:dyDescent="0.35">
      <c r="B12" s="41" t="s">
        <v>9</v>
      </c>
      <c r="C12" s="42">
        <v>-183.33532916333328</v>
      </c>
      <c r="D12" s="42">
        <v>-133.85531916333335</v>
      </c>
      <c r="E12" s="42">
        <v>-128.94531916333332</v>
      </c>
      <c r="F12" s="42">
        <v>-131.89531916333334</v>
      </c>
      <c r="G12" s="42">
        <v>-126.94532916333333</v>
      </c>
      <c r="H12" s="42">
        <v>-160.1953291633333</v>
      </c>
      <c r="I12" s="42">
        <v>-152.8033291633333</v>
      </c>
      <c r="J12" s="42">
        <v>-117.79332916333333</v>
      </c>
      <c r="K12" s="42">
        <v>-120.05332916333333</v>
      </c>
      <c r="L12" s="42">
        <v>-144.84268916333332</v>
      </c>
      <c r="M12" s="42">
        <v>-148.9926891633333</v>
      </c>
      <c r="N12" s="42">
        <v>-180.34268916333332</v>
      </c>
      <c r="O12" s="42">
        <v>-1729.9999999599997</v>
      </c>
    </row>
    <row r="13" spans="2:16" x14ac:dyDescent="0.35">
      <c r="B13" s="43"/>
      <c r="C13" s="44">
        <v>0.22754968236645082</v>
      </c>
      <c r="D13" s="44">
        <v>8.8455640231213245E-2</v>
      </c>
      <c r="E13" s="44">
        <v>5.6009186732598637E-2</v>
      </c>
      <c r="F13" s="44">
        <v>6.9739562797583851E-2</v>
      </c>
      <c r="G13" s="44">
        <v>7.7551844789987168E-2</v>
      </c>
      <c r="H13" s="44">
        <v>7.4500564912626605E-2</v>
      </c>
      <c r="I13" s="44">
        <v>0.11335381718550383</v>
      </c>
      <c r="J13" s="44">
        <v>0.15178073771746581</v>
      </c>
      <c r="K13" s="44">
        <v>0.11694624416845362</v>
      </c>
      <c r="L13" s="44">
        <v>0.18137821345812277</v>
      </c>
      <c r="M13" s="44">
        <v>0.14461897619614739</v>
      </c>
      <c r="N13" s="44">
        <v>0.27326941495738166</v>
      </c>
      <c r="O13" s="44">
        <v>0.10853880419863902</v>
      </c>
    </row>
    <row r="14" spans="2:16" x14ac:dyDescent="0.35">
      <c r="B14" s="46" t="s">
        <v>11</v>
      </c>
      <c r="C14" s="47">
        <v>207.2243894348951</v>
      </c>
      <c r="D14" s="47">
        <v>706.88924048916499</v>
      </c>
      <c r="E14" s="47">
        <v>1113.9671644897819</v>
      </c>
      <c r="F14" s="47">
        <v>952.50804540953982</v>
      </c>
      <c r="G14" s="47">
        <v>790.46312994236905</v>
      </c>
      <c r="H14" s="47">
        <v>961.51268025486456</v>
      </c>
      <c r="I14" s="47">
        <v>574.93108526018455</v>
      </c>
      <c r="J14" s="47">
        <v>228.78801789727638</v>
      </c>
      <c r="K14" s="47">
        <v>379.72622892613981</v>
      </c>
      <c r="L14" s="47">
        <v>205.2390548679644</v>
      </c>
      <c r="M14" s="47">
        <v>353.19943225835505</v>
      </c>
      <c r="N14" s="47">
        <v>-54.021526300048379</v>
      </c>
      <c r="O14" s="47">
        <v>6420.4269429304895</v>
      </c>
    </row>
    <row r="15" spans="2:16" x14ac:dyDescent="0.35">
      <c r="B15" s="43" t="s">
        <v>12</v>
      </c>
      <c r="C15" s="48">
        <v>0.25719998545660977</v>
      </c>
      <c r="D15" s="48">
        <v>0.46713377347168872</v>
      </c>
      <c r="E15" s="48">
        <v>0.48386707896592973</v>
      </c>
      <c r="F15" s="48">
        <v>0.50363799920588226</v>
      </c>
      <c r="G15" s="48">
        <v>0.48289979922478626</v>
      </c>
      <c r="H15" s="48">
        <v>0.44716183813702026</v>
      </c>
      <c r="I15" s="48">
        <v>0.42650008667798467</v>
      </c>
      <c r="J15" s="48">
        <v>0.29480119446504921</v>
      </c>
      <c r="K15" s="48">
        <v>0.36989858252698427</v>
      </c>
      <c r="L15" s="48">
        <v>0.25700912706617085</v>
      </c>
      <c r="M15" s="48">
        <v>0.34283118569843435</v>
      </c>
      <c r="N15" s="48">
        <v>-8.1857661963490758E-2</v>
      </c>
      <c r="O15" s="48">
        <v>0.40281240626965986</v>
      </c>
    </row>
    <row r="16" spans="2:16" x14ac:dyDescent="0.3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2:15" x14ac:dyDescent="0.35">
      <c r="B17" s="49" t="s">
        <v>13</v>
      </c>
      <c r="C17" s="50">
        <v>-20.833333</v>
      </c>
      <c r="D17" s="50">
        <v>-20.833333</v>
      </c>
      <c r="E17" s="50">
        <v>-20.833333</v>
      </c>
      <c r="F17" s="50">
        <v>-20.833333</v>
      </c>
      <c r="G17" s="50">
        <v>-20.833333</v>
      </c>
      <c r="H17" s="50">
        <v>-20.833333</v>
      </c>
      <c r="I17" s="50">
        <v>-20.833333</v>
      </c>
      <c r="J17" s="50">
        <v>-20.833333</v>
      </c>
      <c r="K17" s="50">
        <v>-20.833333</v>
      </c>
      <c r="L17" s="50">
        <v>-20.833333</v>
      </c>
      <c r="M17" s="50">
        <v>-20.833333</v>
      </c>
      <c r="N17" s="50">
        <v>-20.833333</v>
      </c>
      <c r="O17" s="50">
        <v>-249.99999600000004</v>
      </c>
    </row>
    <row r="18" spans="2:15" x14ac:dyDescent="0.35">
      <c r="B18" s="49" t="s">
        <v>14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</row>
    <row r="19" spans="2:15" x14ac:dyDescent="0.35">
      <c r="B19" s="51" t="s">
        <v>40</v>
      </c>
      <c r="C19" s="52">
        <v>186.39105643489509</v>
      </c>
      <c r="D19" s="52">
        <v>686.05590748916495</v>
      </c>
      <c r="E19" s="52">
        <v>1093.1338314897819</v>
      </c>
      <c r="F19" s="52">
        <v>931.67471240953978</v>
      </c>
      <c r="G19" s="52">
        <v>769.62979694236901</v>
      </c>
      <c r="H19" s="52">
        <v>940.67934725486452</v>
      </c>
      <c r="I19" s="52">
        <v>554.09775226018451</v>
      </c>
      <c r="J19" s="52">
        <v>207.95468489727637</v>
      </c>
      <c r="K19" s="52">
        <v>358.89289592613983</v>
      </c>
      <c r="L19" s="52">
        <v>184.40572186796439</v>
      </c>
      <c r="M19" s="52">
        <v>332.36609925835506</v>
      </c>
      <c r="N19" s="52">
        <v>-74.854859300048375</v>
      </c>
      <c r="O19" s="52">
        <v>6170.4269469304891</v>
      </c>
    </row>
    <row r="20" spans="2:15" x14ac:dyDescent="0.35">
      <c r="B20" s="53" t="s">
        <v>16</v>
      </c>
      <c r="C20" s="48">
        <v>0.23134234891476743</v>
      </c>
      <c r="D20" s="48">
        <v>0.453366477407672</v>
      </c>
      <c r="E20" s="48">
        <v>0.47481783199961397</v>
      </c>
      <c r="F20" s="48">
        <v>0.49262238815726522</v>
      </c>
      <c r="G20" s="48">
        <v>0.47017256130337098</v>
      </c>
      <c r="H20" s="48">
        <v>0.43747307201868751</v>
      </c>
      <c r="I20" s="48">
        <v>0.41104533295516199</v>
      </c>
      <c r="J20" s="48">
        <v>0.26795673158830147</v>
      </c>
      <c r="K20" s="48">
        <v>0.34960443437765648</v>
      </c>
      <c r="L20" s="48">
        <v>0.230920735986542</v>
      </c>
      <c r="M20" s="48">
        <v>0.32260941974379398</v>
      </c>
      <c r="N20" s="48">
        <v>-0.11342596532491039</v>
      </c>
      <c r="O20" s="48">
        <v>0.38712760822565295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TABLA</vt:lpstr>
      <vt:lpstr>PL Mensual 2026</vt:lpstr>
      <vt:lpstr>Ginger</vt:lpstr>
      <vt:lpstr>Extraitems 2026</vt:lpstr>
      <vt:lpstr>Ext Items 2026</vt:lpstr>
      <vt:lpstr>Ext Items Budget</vt:lpstr>
      <vt:lpstr>Ext Items 2025</vt:lpstr>
      <vt:lpstr>Cuenta Ok</vt:lpstr>
      <vt:lpstr>P&amp;L Mensualitzada 2025</vt:lpstr>
      <vt:lpstr>Budget26 sin 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2026-09-25T11:32:45Z</dcterms:modified>
</cp:coreProperties>
</file>