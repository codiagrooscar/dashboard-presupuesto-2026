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99E9FDD7-85B0-4949-9F3A-09D94A48CDC8}" xr6:coauthVersionLast="47" xr6:coauthVersionMax="47" xr10:uidLastSave="{00000000-0000-0000-0000-000000000000}"/>
  <bookViews>
    <workbookView xWindow="-25710" yWindow="-110" windowWidth="25820" windowHeight="13900" activeTab="1" xr2:uid="{B4FDFCE5-8782-4620-B04A-DD65C6B158B8}"/>
  </bookViews>
  <sheets>
    <sheet name="2027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F12" i="2"/>
  <c r="F11" i="2"/>
  <c r="F10" i="2"/>
  <c r="F9" i="2"/>
  <c r="F8" i="2"/>
  <c r="F7" i="2"/>
  <c r="F6" i="2"/>
  <c r="F5" i="2"/>
  <c r="F4" i="2"/>
  <c r="F3" i="2"/>
  <c r="F2" i="2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<sst xmlns="http://schemas.openxmlformats.org/spreadsheetml/2006/main" count="199" uniqueCount="133">
  <si>
    <t>Columna1</t>
  </si>
  <si>
    <t>concepto</t>
  </si>
  <si>
    <t>enero</t>
  </si>
  <si>
    <t>feb</t>
  </si>
  <si>
    <t>mar</t>
  </si>
  <si>
    <t>abr</t>
  </si>
  <si>
    <t>may</t>
  </si>
  <si>
    <t>jun</t>
  </si>
  <si>
    <t>jul</t>
  </si>
  <si>
    <t>agos</t>
  </si>
  <si>
    <t>sept</t>
  </si>
  <si>
    <t>oct</t>
  </si>
  <si>
    <t>nov</t>
  </si>
  <si>
    <t>dec</t>
  </si>
  <si>
    <t>total</t>
  </si>
  <si>
    <t>marcas</t>
  </si>
  <si>
    <t>Amec chile</t>
  </si>
  <si>
    <t>Supuesto marcas</t>
  </si>
  <si>
    <t>se realiza la renovación 2 meses antes de la caducidad</t>
  </si>
  <si>
    <t>Amec Perú</t>
  </si>
  <si>
    <t>sobre el último precio de referencia de cada país+20%</t>
  </si>
  <si>
    <t>Amec Costa Rica</t>
  </si>
  <si>
    <t>Agropotasión UE-Int</t>
  </si>
  <si>
    <t>Agropotasión Jordania</t>
  </si>
  <si>
    <t>Supesto cambio moneda</t>
  </si>
  <si>
    <t>cambiio previsto en 2027 0,86€/USD</t>
  </si>
  <si>
    <t>Alcaplant Chile</t>
  </si>
  <si>
    <t>Alcaplant Perú</t>
  </si>
  <si>
    <t>Alcaplant Costa Rica</t>
  </si>
  <si>
    <t>Biorad Jordania</t>
  </si>
  <si>
    <t>Borocal Int</t>
  </si>
  <si>
    <t>Borocal Jordania</t>
  </si>
  <si>
    <t>Agroxigreen Int</t>
  </si>
  <si>
    <t>Calciamec Perú</t>
  </si>
  <si>
    <t>Fitokontrol Perú</t>
  </si>
  <si>
    <t>Poligreen España</t>
  </si>
  <si>
    <t>Polifruit España</t>
  </si>
  <si>
    <t>Salwax Costa Rica</t>
  </si>
  <si>
    <t>Xilato Ecuador</t>
  </si>
  <si>
    <t>vigilancia mundial anual</t>
  </si>
  <si>
    <t>vigilancia anual de 5 marcas (codiagro, amec, salwax, alcaplant, agroxilato) a nivel mundial</t>
  </si>
  <si>
    <t>Sprintium USA</t>
  </si>
  <si>
    <t>Imprevistos</t>
  </si>
  <si>
    <t>Codiagro USA</t>
  </si>
  <si>
    <t>Sprintium Omán</t>
  </si>
  <si>
    <t>extensión de marca.mensual</t>
  </si>
  <si>
    <t>Codiorgan-Guatemala</t>
  </si>
  <si>
    <t>registro marca nueva</t>
  </si>
  <si>
    <t>Trifeno-94-Europea</t>
  </si>
  <si>
    <t>Trifeno-94-Guatemala</t>
  </si>
  <si>
    <t>Salwax-Arabia</t>
  </si>
  <si>
    <t>registro marca nueva: sin presupuesto. Mensualizado</t>
  </si>
  <si>
    <t>Biorad- Arabia</t>
  </si>
  <si>
    <t>Floramec Avance Arabia</t>
  </si>
  <si>
    <t>registro marca nueva: sin presupuesto. Mensual</t>
  </si>
  <si>
    <t>cambio titular Guatemala</t>
  </si>
  <si>
    <t>cambio de titular 16 expedientes. Mensualizado</t>
  </si>
  <si>
    <t>cambio titular Jordania</t>
  </si>
  <si>
    <t>cambio de titular 8 expedientes. Mensualizado</t>
  </si>
  <si>
    <t>cambio titular Túnez</t>
  </si>
  <si>
    <t>cambio de titular 5 expedientes.Mensualizado</t>
  </si>
  <si>
    <t>cambio titular Emiratos</t>
  </si>
  <si>
    <t>cambio de titular 2 expedientes.Mensualizado</t>
  </si>
  <si>
    <t>cambio titualr Nicaragua</t>
  </si>
  <si>
    <t>cambio de titular de 3 expedientes. Mensualizado</t>
  </si>
  <si>
    <t>consejero seguridad</t>
  </si>
  <si>
    <t>Ecosmep</t>
  </si>
  <si>
    <t>mantenimiento anual</t>
  </si>
  <si>
    <t>FDS</t>
  </si>
  <si>
    <t>EQGEST</t>
  </si>
  <si>
    <t>calidad</t>
  </si>
  <si>
    <t>ISO-BUREAU VERITAS</t>
  </si>
  <si>
    <t>Auditoría de seguimiento+certificados</t>
  </si>
  <si>
    <t>general</t>
  </si>
  <si>
    <t>Quimacova</t>
  </si>
  <si>
    <t xml:space="preserve">Asociación quimica de la CCVV.  </t>
  </si>
  <si>
    <t>Seguridad industrial</t>
  </si>
  <si>
    <t>Inspección reglamentaria BT</t>
  </si>
  <si>
    <t>Inspección BT se realiza cada 5 años</t>
  </si>
  <si>
    <t>ecológicos</t>
  </si>
  <si>
    <t>Ecocert</t>
  </si>
  <si>
    <t>Renovación productos ecológicos Bayfolan-Sun y Organic-Ca-Flow para Chile</t>
  </si>
  <si>
    <t>FIBL</t>
  </si>
  <si>
    <t>Renovación productos ecológicos Codibor-L, Codifol-MB, Codifol-Mo-Plus, Bioculture-Potasio, BR-59-AE para biodinámica</t>
  </si>
  <si>
    <t>BCS-Kiwa</t>
  </si>
  <si>
    <t>Renovación productos ecológicos</t>
  </si>
  <si>
    <t>OMRI</t>
  </si>
  <si>
    <t>Renovación 3 productos ecológicos apra México y USA</t>
  </si>
  <si>
    <t>envases</t>
  </si>
  <si>
    <t>AEVAE-PEPE</t>
  </si>
  <si>
    <t>AEVAE-PEPE(plan empresarial de prevención de envases) obligatorio tenerlo por superar las TN de tipos de envases</t>
  </si>
  <si>
    <t>AEVAE-declaración</t>
  </si>
  <si>
    <t>AEVAE-declaración de envases año en vigor en tres cuotas.</t>
  </si>
  <si>
    <t>AEVAE-regularización</t>
  </si>
  <si>
    <t>AEVAE-regularización respecto a la declaración provisional realizada para ese año. Se divide en 2 cuotas</t>
  </si>
  <si>
    <t>medioambiente</t>
  </si>
  <si>
    <t>Residuos P y NP</t>
  </si>
  <si>
    <t>residuos peligrosos y no peligrosos con un aumento de la producción del 12%</t>
  </si>
  <si>
    <t>Regularización nave enfrente</t>
  </si>
  <si>
    <t>Presupuesto obra finalizada de 9600€</t>
  </si>
  <si>
    <t>Registros</t>
  </si>
  <si>
    <t>Registro-Azerbaiyán</t>
  </si>
  <si>
    <t>Registro Azerbaiyán de 6 productos, coste dividido en 4 meses en los que puede estar prevista la finalización del regsitro</t>
  </si>
  <si>
    <t>Análisis de labo externo para registros</t>
  </si>
  <si>
    <t>Análisis de laboratorio externo, tanto como requisito del regsitro, como necesidad de parámetros concretos para el registro.</t>
  </si>
  <si>
    <t>Registro - Guatemala</t>
  </si>
  <si>
    <t>regencia 4000$ anuales a pagar por trimestres. 550€ por producto, primer cuatrimestre por estar ya en maracha.</t>
  </si>
  <si>
    <t>Registro-Sudáfrica</t>
  </si>
  <si>
    <t>Costes de regsitro de 8 productos, se dividen mensualmente</t>
  </si>
  <si>
    <t>Registro-Omán</t>
  </si>
  <si>
    <t>Costes de análisis. No tenemos estimación de gastos de registro pues lo realizará el cliente de SAS, falta contrato</t>
  </si>
  <si>
    <t>imprevistos</t>
  </si>
  <si>
    <t>Registro-Arabia</t>
  </si>
  <si>
    <t>Análisis imprevistos durante el registro</t>
  </si>
  <si>
    <t>dic</t>
  </si>
  <si>
    <t>Codiagro-Rep.Dom</t>
  </si>
  <si>
    <t>Biorad-UE-Int</t>
  </si>
  <si>
    <t>seguridad industrial</t>
  </si>
  <si>
    <t>Inspección reglamentaria Antiincendios</t>
  </si>
  <si>
    <t>Inspección cada 5 años</t>
  </si>
  <si>
    <t>Inspección reglamentaria APQ</t>
  </si>
  <si>
    <t>Medioambiente</t>
  </si>
  <si>
    <t xml:space="preserve">Residuos P y NP </t>
  </si>
  <si>
    <t>Renovación de 4 productos</t>
  </si>
  <si>
    <t>Declaración envases 2026, tercer cuatrimestre</t>
  </si>
  <si>
    <t>AEVAR-regularización</t>
  </si>
  <si>
    <t>Regulación respecto a declaración provisional</t>
  </si>
  <si>
    <t>Registro Guatemala</t>
  </si>
  <si>
    <t>contrato teneduría Guatemala y gastos legalización y envío</t>
  </si>
  <si>
    <t>Registro Sudáfrica</t>
  </si>
  <si>
    <t>contrato teneduría Sudáfrica</t>
  </si>
  <si>
    <t>Registro Arabia</t>
  </si>
  <si>
    <t>legalización y gastos de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</si>
</sst>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B6D29-F379-4155-B0A3-59614F9E0545}" name="Tabla5" displayName="Tabla5" ref="A1:O55" totalsRowShown="0">
  <autoFilter ref="A1:O55" xr:uid="{A36B6D29-F379-4155-B0A3-59614F9E0545}"/>
  <tableColumns count="15">
    <tableColumn id="1" xr3:uid="{0591F4C5-FD52-41F1-822A-1B5E734695A7}" name="Columna1"/>
    <tableColumn id="2" xr3:uid="{464620DF-2483-4F15-9732-1D201BEAD221}" name="concepto"/>
    <tableColumn id="3" xr3:uid="{97C4E3C4-2CCB-4A77-B4B8-7BC369C03267}" name="enero"/>
    <tableColumn id="4" xr3:uid="{46E6092D-F0DF-49E0-86F7-6E69F54A9DD4}" name="feb"/>
    <tableColumn id="5" xr3:uid="{B23BA42D-E1A5-4E5F-B024-4908B0D100F3}" name="mar"/>
    <tableColumn id="6" xr3:uid="{A2DAC272-E2EC-4F44-9849-654CF6DE6F9D}" name="abr"/>
    <tableColumn id="7" xr3:uid="{D3DF807B-48C0-4E79-9B8D-DFA056330367}" name="may"/>
    <tableColumn id="8" xr3:uid="{D2A63F89-F743-4C1A-BFA7-1A3AFD340759}" name="jun"/>
    <tableColumn id="9" xr3:uid="{91296918-676A-4038-93C4-B97035838873}" name="jul"/>
    <tableColumn id="10" xr3:uid="{FAAD25AB-1FC2-4427-B727-84AC44C7B348}" name="agos"/>
    <tableColumn id="11" xr3:uid="{5BB20786-3CFF-4028-A042-CF45FF1D66A0}" name="sept"/>
    <tableColumn id="12" xr3:uid="{748A379C-DD4F-4F70-A252-7720E9B6BF42}" name="oct"/>
    <tableColumn id="13" xr3:uid="{27E9BE8D-0E0C-4AE5-8239-91E151E749D4}" name="nov"/>
    <tableColumn id="14" xr3:uid="{55C55149-1288-4FD1-9BFA-E811653C1055}" name="dec"/>
    <tableColumn id="15" xr3:uid="{58977697-1D7D-40CF-922E-2138E34F9915}" name="total">
      <calculatedColumnFormula>SUM(Tabla5[[#This Row],[enero]:[dec]])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3F60B-B1FF-4AD0-B6D0-D2521A015271}" name="Tabla4" displayName="Tabla4" ref="A1:F13" totalsRowShown="0">
  <autoFilter ref="A1:F13" xr:uid="{A353F60B-B1FF-4AD0-B6D0-D2521A015271}"/>
  <tableColumns count="6">
    <tableColumn id="1" xr3:uid="{451886BF-1D20-409D-827A-C2E8FC0B172D}" name="Columna1"/>
    <tableColumn id="2" xr3:uid="{120939C4-25D8-47E2-9845-141E1F4F9C76}" name="concepto" dataDxfId="0"/>
    <tableColumn id="3" xr3:uid="{18A9DF90-329F-426F-ADB3-8C3692AC82D5}" name="oct"/>
    <tableColumn id="4" xr3:uid="{5BB960AC-BFBB-4AEB-A523-5ACB3F8D79E1}" name="nov"/>
    <tableColumn id="5" xr3:uid="{B98CB922-7FA3-483B-9A98-C62CC6190827}" name="dic"/>
    <tableColumn id="6" xr3:uid="{2B317D74-CCAA-4E79-B98C-A560FD962373}" name="tot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6A3F-F325-4D4C-A0CF-C829B66A3271}">
  <dimension ref="A1:T55"/>
  <sheetViews>
    <sheetView workbookViewId="0">
      <selection activeCell="D27" sqref="D27"/>
    </sheetView>
  </sheetViews>
  <sheetFormatPr baseColWidth="10" defaultColWidth="11.1640625" defaultRowHeight="16" x14ac:dyDescent="0.4"/>
  <cols>
    <col min="1" max="1" width="10.6640625" style="1" customWidth="1"/>
    <col min="2" max="2" width="20.9140625" style="1" customWidth="1"/>
    <col min="3" max="15" width="11.1640625" style="1"/>
    <col min="16" max="16" width="15.9140625" style="4" customWidth="1"/>
    <col min="17" max="17" width="11.1640625" style="4"/>
    <col min="18" max="16384" width="11.1640625" style="1"/>
  </cols>
  <sheetData>
    <row r="1" spans="1:20" ht="22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/>
      <c r="S1" s="3"/>
    </row>
    <row r="2" spans="1:20" x14ac:dyDescent="0.4">
      <c r="A2" s="1" t="s">
        <v>15</v>
      </c>
      <c r="B2" s="1" t="s">
        <v>16</v>
      </c>
      <c r="D2" s="1">
        <v>1500</v>
      </c>
      <c r="O2" s="1">
        <f>SUM(Tabla5[[#This Row],[enero]:[dec]])</f>
        <v>1500</v>
      </c>
      <c r="P2" s="4" t="s">
        <v>17</v>
      </c>
      <c r="Q2" s="4" t="s">
        <v>18</v>
      </c>
    </row>
    <row r="3" spans="1:20" x14ac:dyDescent="0.4">
      <c r="A3" s="1" t="s">
        <v>15</v>
      </c>
      <c r="B3" s="1" t="s">
        <v>19</v>
      </c>
      <c r="E3" s="1">
        <v>1400</v>
      </c>
      <c r="O3" s="1">
        <f>SUM(Tabla5[[#This Row],[enero]:[dec]])</f>
        <v>1400</v>
      </c>
      <c r="Q3" s="4" t="s">
        <v>20</v>
      </c>
    </row>
    <row r="4" spans="1:20" x14ac:dyDescent="0.4">
      <c r="A4" s="1" t="s">
        <v>15</v>
      </c>
      <c r="B4" s="1" t="s">
        <v>21</v>
      </c>
      <c r="K4" s="1">
        <v>1400</v>
      </c>
      <c r="O4" s="1">
        <f>SUM(Tabla5[[#This Row],[enero]:[dec]])</f>
        <v>1400</v>
      </c>
    </row>
    <row r="5" spans="1:20" x14ac:dyDescent="0.4">
      <c r="A5" s="1" t="s">
        <v>15</v>
      </c>
      <c r="B5" s="1" t="s">
        <v>22</v>
      </c>
      <c r="J5" s="1">
        <v>4000</v>
      </c>
      <c r="O5" s="1">
        <f>SUM(Tabla5[[#This Row],[enero]:[dec]])</f>
        <v>4000</v>
      </c>
    </row>
    <row r="6" spans="1:20" x14ac:dyDescent="0.4">
      <c r="A6" s="1" t="s">
        <v>15</v>
      </c>
      <c r="B6" s="1" t="s">
        <v>23</v>
      </c>
      <c r="K6" s="1">
        <v>3000</v>
      </c>
      <c r="O6" s="1">
        <f>SUM(Tabla5[[#This Row],[enero]:[dec]])</f>
        <v>3000</v>
      </c>
      <c r="R6" s="4" t="s">
        <v>24</v>
      </c>
      <c r="T6" s="4" t="s">
        <v>25</v>
      </c>
    </row>
    <row r="7" spans="1:20" x14ac:dyDescent="0.4">
      <c r="A7" s="1" t="s">
        <v>15</v>
      </c>
      <c r="B7" s="1" t="s">
        <v>26</v>
      </c>
      <c r="F7" s="1">
        <v>1500</v>
      </c>
      <c r="O7" s="1">
        <f>SUM(Tabla5[[#This Row],[enero]:[dec]])</f>
        <v>1500</v>
      </c>
    </row>
    <row r="8" spans="1:20" x14ac:dyDescent="0.4">
      <c r="A8" s="1" t="s">
        <v>15</v>
      </c>
      <c r="B8" s="1" t="s">
        <v>27</v>
      </c>
      <c r="G8" s="1">
        <v>1400</v>
      </c>
      <c r="O8" s="1">
        <f>SUM(Tabla5[[#This Row],[enero]:[dec]])</f>
        <v>1400</v>
      </c>
    </row>
    <row r="9" spans="1:20" x14ac:dyDescent="0.4">
      <c r="A9" s="1" t="s">
        <v>15</v>
      </c>
      <c r="B9" s="1" t="s">
        <v>28</v>
      </c>
      <c r="K9" s="1">
        <v>1400</v>
      </c>
      <c r="O9" s="1">
        <f>SUM(Tabla5[[#This Row],[enero]:[dec]])</f>
        <v>1400</v>
      </c>
    </row>
    <row r="10" spans="1:20" x14ac:dyDescent="0.4">
      <c r="A10" s="1" t="s">
        <v>15</v>
      </c>
      <c r="B10" s="1" t="s">
        <v>29</v>
      </c>
      <c r="E10" s="1">
        <v>3000</v>
      </c>
      <c r="O10" s="1">
        <f>SUM(Tabla5[[#This Row],[enero]:[dec]])</f>
        <v>3000</v>
      </c>
    </row>
    <row r="11" spans="1:20" x14ac:dyDescent="0.4">
      <c r="A11" s="1" t="s">
        <v>15</v>
      </c>
      <c r="B11" s="1" t="s">
        <v>30</v>
      </c>
      <c r="D11" s="1">
        <v>4000</v>
      </c>
      <c r="O11" s="1">
        <f>SUM(Tabla5[[#This Row],[enero]:[dec]])</f>
        <v>4000</v>
      </c>
    </row>
    <row r="12" spans="1:20" x14ac:dyDescent="0.4">
      <c r="A12" s="1" t="s">
        <v>15</v>
      </c>
      <c r="B12" s="1" t="s">
        <v>31</v>
      </c>
      <c r="K12" s="1">
        <v>3000</v>
      </c>
      <c r="O12" s="1">
        <f>SUM(Tabla5[[#This Row],[enero]:[dec]])</f>
        <v>3000</v>
      </c>
    </row>
    <row r="13" spans="1:20" x14ac:dyDescent="0.4">
      <c r="A13" s="1" t="s">
        <v>15</v>
      </c>
      <c r="B13" s="1" t="s">
        <v>32</v>
      </c>
      <c r="D13" s="1">
        <v>4000</v>
      </c>
      <c r="O13" s="1">
        <f>SUM(Tabla5[[#This Row],[enero]:[dec]])</f>
        <v>4000</v>
      </c>
    </row>
    <row r="14" spans="1:20" x14ac:dyDescent="0.4">
      <c r="A14" s="1" t="s">
        <v>15</v>
      </c>
      <c r="B14" s="1" t="s">
        <v>33</v>
      </c>
      <c r="I14" s="1">
        <v>1400</v>
      </c>
      <c r="O14" s="1">
        <f>SUM(Tabla5[[#This Row],[enero]:[dec]])</f>
        <v>1400</v>
      </c>
    </row>
    <row r="15" spans="1:20" x14ac:dyDescent="0.4">
      <c r="A15" s="1" t="s">
        <v>15</v>
      </c>
      <c r="B15" s="1" t="s">
        <v>34</v>
      </c>
      <c r="I15" s="1">
        <v>1400</v>
      </c>
      <c r="O15" s="1">
        <f>SUM(Tabla5[[#This Row],[enero]:[dec]])</f>
        <v>1400</v>
      </c>
    </row>
    <row r="16" spans="1:20" x14ac:dyDescent="0.4">
      <c r="A16" s="1" t="s">
        <v>15</v>
      </c>
      <c r="B16" s="1" t="s">
        <v>35</v>
      </c>
      <c r="C16" s="1">
        <v>400</v>
      </c>
      <c r="O16" s="1">
        <f>SUM(Tabla5[[#This Row],[enero]:[dec]])</f>
        <v>400</v>
      </c>
    </row>
    <row r="17" spans="1:16" x14ac:dyDescent="0.4">
      <c r="A17" s="1" t="s">
        <v>15</v>
      </c>
      <c r="B17" s="1" t="s">
        <v>36</v>
      </c>
      <c r="C17" s="1">
        <v>400</v>
      </c>
      <c r="O17" s="1">
        <f>SUM(Tabla5[[#This Row],[enero]:[dec]])</f>
        <v>400</v>
      </c>
    </row>
    <row r="18" spans="1:16" x14ac:dyDescent="0.4">
      <c r="A18" s="1" t="s">
        <v>15</v>
      </c>
      <c r="B18" s="1" t="s">
        <v>37</v>
      </c>
      <c r="K18" s="1">
        <v>1400</v>
      </c>
      <c r="O18" s="1">
        <f>SUM(Tabla5[[#This Row],[enero]:[dec]])</f>
        <v>1400</v>
      </c>
    </row>
    <row r="19" spans="1:16" x14ac:dyDescent="0.4">
      <c r="A19" s="1" t="s">
        <v>15</v>
      </c>
      <c r="B19" s="1" t="s">
        <v>38</v>
      </c>
      <c r="G19" s="1">
        <v>2300</v>
      </c>
      <c r="O19" s="1">
        <f>SUM(Tabla5[[#This Row],[enero]:[dec]])</f>
        <v>2300</v>
      </c>
    </row>
    <row r="20" spans="1:16" x14ac:dyDescent="0.4">
      <c r="A20" s="1" t="s">
        <v>15</v>
      </c>
      <c r="B20" s="1" t="s">
        <v>39</v>
      </c>
      <c r="D20" s="1">
        <v>2550</v>
      </c>
      <c r="O20" s="1">
        <f>SUM(Tabla5[[#This Row],[enero]:[dec]])</f>
        <v>2550</v>
      </c>
      <c r="P20" s="4" t="s">
        <v>40</v>
      </c>
    </row>
    <row r="21" spans="1:16" x14ac:dyDescent="0.4">
      <c r="A21" s="1" t="s">
        <v>15</v>
      </c>
      <c r="B21" s="1" t="s">
        <v>41</v>
      </c>
      <c r="C21" s="1">
        <v>900</v>
      </c>
      <c r="E21" s="1">
        <v>400</v>
      </c>
      <c r="O21" s="1">
        <f>SUM(Tabla5[[#This Row],[enero]:[dec]])</f>
        <v>1300</v>
      </c>
      <c r="P21" s="5" t="s">
        <v>42</v>
      </c>
    </row>
    <row r="22" spans="1:16" x14ac:dyDescent="0.4">
      <c r="A22" s="1" t="s">
        <v>15</v>
      </c>
      <c r="B22" s="1" t="s">
        <v>43</v>
      </c>
      <c r="C22" s="1">
        <v>900</v>
      </c>
      <c r="E22" s="1">
        <v>400</v>
      </c>
      <c r="O22" s="1">
        <f>SUM(Tabla5[[#This Row],[enero]:[dec]])</f>
        <v>1300</v>
      </c>
      <c r="P22" s="5" t="s">
        <v>42</v>
      </c>
    </row>
    <row r="23" spans="1:16" x14ac:dyDescent="0.4">
      <c r="A23" s="1" t="s">
        <v>15</v>
      </c>
      <c r="B23" s="1" t="s">
        <v>44</v>
      </c>
      <c r="D23" s="1">
        <v>1700</v>
      </c>
      <c r="O23" s="1">
        <f>SUM(Tabla5[[#This Row],[enero]:[dec]])</f>
        <v>1700</v>
      </c>
      <c r="P23" s="4" t="s">
        <v>45</v>
      </c>
    </row>
    <row r="24" spans="1:16" x14ac:dyDescent="0.4">
      <c r="A24" s="1" t="s">
        <v>15</v>
      </c>
      <c r="B24" s="1" t="s">
        <v>46</v>
      </c>
      <c r="D24" s="1">
        <v>1750</v>
      </c>
      <c r="O24" s="1">
        <f>SUM(Tabla5[[#This Row],[enero]:[dec]])</f>
        <v>1750</v>
      </c>
      <c r="P24" s="4" t="s">
        <v>47</v>
      </c>
    </row>
    <row r="25" spans="1:16" x14ac:dyDescent="0.4">
      <c r="A25" s="1" t="s">
        <v>15</v>
      </c>
      <c r="B25" s="1" t="s">
        <v>48</v>
      </c>
      <c r="C25" s="1">
        <v>1500</v>
      </c>
      <c r="O25" s="1">
        <f>SUM(Tabla5[[#This Row],[enero]:[dec]])</f>
        <v>1500</v>
      </c>
      <c r="P25" s="4" t="s">
        <v>47</v>
      </c>
    </row>
    <row r="26" spans="1:16" x14ac:dyDescent="0.4">
      <c r="A26" s="1" t="s">
        <v>15</v>
      </c>
      <c r="B26" s="1" t="s">
        <v>49</v>
      </c>
      <c r="E26" s="1">
        <v>1750</v>
      </c>
      <c r="O26" s="1">
        <f>SUM(Tabla5[[#This Row],[enero]:[dec]])</f>
        <v>1750</v>
      </c>
      <c r="P26" s="4" t="s">
        <v>47</v>
      </c>
    </row>
    <row r="27" spans="1:16" x14ac:dyDescent="0.4">
      <c r="A27" s="1" t="s">
        <v>15</v>
      </c>
      <c r="B27" s="1" t="s">
        <v>50</v>
      </c>
      <c r="C27" s="1">
        <v>500</v>
      </c>
      <c r="D27" s="1">
        <v>500</v>
      </c>
      <c r="E27" s="1">
        <v>500</v>
      </c>
      <c r="F27" s="1">
        <v>500</v>
      </c>
      <c r="O27" s="1">
        <f>SUM(Tabla5[[#This Row],[enero]:[dec]])</f>
        <v>2000</v>
      </c>
      <c r="P27" s="4" t="s">
        <v>51</v>
      </c>
    </row>
    <row r="28" spans="1:16" x14ac:dyDescent="0.4">
      <c r="A28" s="1" t="s">
        <v>15</v>
      </c>
      <c r="B28" s="1" t="s">
        <v>52</v>
      </c>
      <c r="D28" s="1">
        <v>500</v>
      </c>
      <c r="E28" s="1">
        <v>500</v>
      </c>
      <c r="F28" s="1">
        <v>500</v>
      </c>
      <c r="G28" s="1">
        <v>500</v>
      </c>
      <c r="O28" s="1">
        <f>SUM(Tabla5[[#This Row],[enero]:[dec]])</f>
        <v>2000</v>
      </c>
      <c r="P28" s="4" t="s">
        <v>51</v>
      </c>
    </row>
    <row r="29" spans="1:16" x14ac:dyDescent="0.4">
      <c r="A29" s="1" t="s">
        <v>15</v>
      </c>
      <c r="B29" s="1" t="s">
        <v>53</v>
      </c>
      <c r="E29" s="1">
        <v>500</v>
      </c>
      <c r="F29" s="1">
        <v>500</v>
      </c>
      <c r="G29" s="1">
        <v>500</v>
      </c>
      <c r="H29" s="1">
        <v>500</v>
      </c>
      <c r="O29" s="1">
        <f>SUM(Tabla5[[#This Row],[enero]:[dec]])</f>
        <v>2000</v>
      </c>
      <c r="P29" s="4" t="s">
        <v>54</v>
      </c>
    </row>
    <row r="30" spans="1:16" ht="32" x14ac:dyDescent="0.4">
      <c r="A30" s="1" t="s">
        <v>15</v>
      </c>
      <c r="B30" s="1" t="s">
        <v>55</v>
      </c>
      <c r="C30" s="1">
        <v>570</v>
      </c>
      <c r="D30" s="1">
        <v>570</v>
      </c>
      <c r="E30" s="1">
        <v>570</v>
      </c>
      <c r="F30" s="1">
        <v>570</v>
      </c>
      <c r="G30" s="1">
        <v>570</v>
      </c>
      <c r="H30" s="1">
        <v>570</v>
      </c>
      <c r="I30" s="1">
        <v>570</v>
      </c>
      <c r="J30" s="1">
        <v>570</v>
      </c>
      <c r="K30" s="1">
        <v>570</v>
      </c>
      <c r="L30" s="1">
        <v>570</v>
      </c>
      <c r="M30" s="1">
        <v>570</v>
      </c>
      <c r="N30" s="1">
        <v>570</v>
      </c>
      <c r="O30" s="1">
        <f>SUM(Tabla5[[#This Row],[enero]:[dec]])</f>
        <v>6840</v>
      </c>
      <c r="P30" s="4" t="s">
        <v>56</v>
      </c>
    </row>
    <row r="31" spans="1:16" ht="18" customHeight="1" x14ac:dyDescent="0.4">
      <c r="A31" s="1" t="s">
        <v>15</v>
      </c>
      <c r="B31" s="1" t="s">
        <v>57</v>
      </c>
      <c r="C31" s="1">
        <v>400</v>
      </c>
      <c r="D31" s="1">
        <v>400</v>
      </c>
      <c r="E31" s="1">
        <v>400</v>
      </c>
      <c r="F31" s="1">
        <v>400</v>
      </c>
      <c r="G31" s="1">
        <v>400</v>
      </c>
      <c r="H31" s="1">
        <v>400</v>
      </c>
      <c r="I31" s="1">
        <v>400</v>
      </c>
      <c r="J31" s="1">
        <v>400</v>
      </c>
      <c r="K31" s="1">
        <v>400</v>
      </c>
      <c r="L31" s="1">
        <v>400</v>
      </c>
      <c r="M31" s="1">
        <v>400</v>
      </c>
      <c r="N31" s="1">
        <v>400</v>
      </c>
      <c r="O31" s="1">
        <f>SUM(Tabla5[[#This Row],[enero]:[dec]])</f>
        <v>4800</v>
      </c>
      <c r="P31" s="4" t="s">
        <v>58</v>
      </c>
    </row>
    <row r="32" spans="1:16" ht="18" customHeight="1" x14ac:dyDescent="0.4">
      <c r="A32" s="1" t="s">
        <v>15</v>
      </c>
      <c r="B32" s="1" t="s">
        <v>59</v>
      </c>
      <c r="C32" s="1">
        <v>200</v>
      </c>
      <c r="D32" s="1">
        <v>200</v>
      </c>
      <c r="E32" s="1">
        <v>200</v>
      </c>
      <c r="F32" s="1">
        <v>200</v>
      </c>
      <c r="G32" s="1">
        <v>200</v>
      </c>
      <c r="H32" s="1">
        <v>200</v>
      </c>
      <c r="I32" s="1">
        <v>200</v>
      </c>
      <c r="J32" s="1">
        <v>200</v>
      </c>
      <c r="K32" s="1">
        <v>200</v>
      </c>
      <c r="L32" s="1">
        <v>200</v>
      </c>
      <c r="M32" s="1">
        <v>200</v>
      </c>
      <c r="N32" s="1">
        <v>200</v>
      </c>
      <c r="O32" s="1">
        <f>SUM(Tabla5[[#This Row],[enero]:[dec]])</f>
        <v>2400</v>
      </c>
      <c r="P32" s="4" t="s">
        <v>60</v>
      </c>
    </row>
    <row r="33" spans="1:16" ht="18" customHeight="1" x14ac:dyDescent="0.4">
      <c r="A33" s="1" t="s">
        <v>15</v>
      </c>
      <c r="B33" s="1" t="s">
        <v>61</v>
      </c>
      <c r="C33" s="1">
        <v>350</v>
      </c>
      <c r="D33" s="1">
        <v>350</v>
      </c>
      <c r="E33" s="1">
        <v>350</v>
      </c>
      <c r="F33" s="1">
        <v>350</v>
      </c>
      <c r="G33" s="1">
        <v>350</v>
      </c>
      <c r="H33" s="1">
        <v>350</v>
      </c>
      <c r="I33" s="1">
        <v>350</v>
      </c>
      <c r="J33" s="1">
        <v>350</v>
      </c>
      <c r="K33" s="1">
        <v>350</v>
      </c>
      <c r="L33" s="1">
        <v>350</v>
      </c>
      <c r="M33" s="1">
        <v>350</v>
      </c>
      <c r="N33" s="1">
        <v>350</v>
      </c>
      <c r="O33" s="1">
        <f>SUM(Tabla5[[#This Row],[enero]:[dec]])</f>
        <v>4200</v>
      </c>
      <c r="P33" s="4" t="s">
        <v>62</v>
      </c>
    </row>
    <row r="34" spans="1:16" ht="18" customHeight="1" x14ac:dyDescent="0.4">
      <c r="A34" s="1" t="s">
        <v>15</v>
      </c>
      <c r="B34" s="1" t="s">
        <v>63</v>
      </c>
      <c r="C34" s="1">
        <v>200</v>
      </c>
      <c r="D34" s="1">
        <v>200</v>
      </c>
      <c r="E34" s="1">
        <v>200</v>
      </c>
      <c r="F34" s="1">
        <v>200</v>
      </c>
      <c r="G34" s="1">
        <v>200</v>
      </c>
      <c r="H34" s="1">
        <v>200</v>
      </c>
      <c r="I34" s="1">
        <v>200</v>
      </c>
      <c r="J34" s="1">
        <v>200</v>
      </c>
      <c r="K34" s="1">
        <v>200</v>
      </c>
      <c r="L34" s="1">
        <v>200</v>
      </c>
      <c r="M34" s="1">
        <v>200</v>
      </c>
      <c r="N34" s="1">
        <v>200</v>
      </c>
      <c r="O34" s="1">
        <f>SUM(Tabla5[[#This Row],[enero]:[dec]])</f>
        <v>2400</v>
      </c>
      <c r="P34" s="4" t="s">
        <v>64</v>
      </c>
    </row>
    <row r="35" spans="1:16" ht="32" x14ac:dyDescent="0.4">
      <c r="A35" s="1" t="s">
        <v>65</v>
      </c>
      <c r="B35" s="1" t="s">
        <v>66</v>
      </c>
      <c r="E35" s="1">
        <v>650</v>
      </c>
      <c r="O35" s="1">
        <f>SUM(Tabla5[[#This Row],[enero]:[dec]])</f>
        <v>650</v>
      </c>
      <c r="P35" s="4" t="s">
        <v>67</v>
      </c>
    </row>
    <row r="36" spans="1:16" x14ac:dyDescent="0.4">
      <c r="A36" s="1" t="s">
        <v>68</v>
      </c>
      <c r="B36" s="1" t="s">
        <v>69</v>
      </c>
      <c r="C36" s="1">
        <v>1220</v>
      </c>
      <c r="O36" s="1">
        <f>SUM(Tabla5[[#This Row],[enero]:[dec]])</f>
        <v>1220</v>
      </c>
      <c r="P36" s="4" t="s">
        <v>67</v>
      </c>
    </row>
    <row r="37" spans="1:16" ht="19.5" customHeight="1" x14ac:dyDescent="0.4">
      <c r="A37" s="1" t="s">
        <v>70</v>
      </c>
      <c r="B37" s="1" t="s">
        <v>71</v>
      </c>
      <c r="F37" s="1">
        <v>1000</v>
      </c>
      <c r="O37" s="1">
        <f>SUM(Tabla5[[#This Row],[enero]:[dec]])</f>
        <v>1000</v>
      </c>
      <c r="P37" s="4" t="s">
        <v>72</v>
      </c>
    </row>
    <row r="38" spans="1:16" x14ac:dyDescent="0.4">
      <c r="A38" s="1" t="s">
        <v>73</v>
      </c>
      <c r="B38" s="1" t="s">
        <v>74</v>
      </c>
      <c r="C38" s="1">
        <v>600</v>
      </c>
      <c r="F38" s="1">
        <v>600</v>
      </c>
      <c r="I38" s="1">
        <v>600</v>
      </c>
      <c r="M38" s="1">
        <v>600</v>
      </c>
      <c r="O38" s="1">
        <f>SUM(Tabla5[[#This Row],[enero]:[dec]])</f>
        <v>2400</v>
      </c>
      <c r="P38" s="4" t="s">
        <v>75</v>
      </c>
    </row>
    <row r="39" spans="1:16" ht="32" x14ac:dyDescent="0.4">
      <c r="A39" s="1" t="s">
        <v>76</v>
      </c>
      <c r="B39" s="1" t="s">
        <v>77</v>
      </c>
      <c r="F39" s="1">
        <v>700</v>
      </c>
      <c r="O39" s="1">
        <f>SUM(Tabla5[[#This Row],[enero]:[dec]])</f>
        <v>700</v>
      </c>
      <c r="P39" s="4" t="s">
        <v>78</v>
      </c>
    </row>
    <row r="40" spans="1:16" x14ac:dyDescent="0.4">
      <c r="A40" s="1" t="s">
        <v>79</v>
      </c>
      <c r="B40" s="1" t="s">
        <v>80</v>
      </c>
      <c r="D40" s="1">
        <v>970</v>
      </c>
      <c r="O40" s="1">
        <f>SUM(Tabla5[[#This Row],[enero]:[dec]])</f>
        <v>970</v>
      </c>
      <c r="P40" s="4" t="s">
        <v>81</v>
      </c>
    </row>
    <row r="41" spans="1:16" x14ac:dyDescent="0.4">
      <c r="A41" s="1" t="s">
        <v>79</v>
      </c>
      <c r="B41" s="1" t="s">
        <v>82</v>
      </c>
      <c r="M41" s="1">
        <v>1100</v>
      </c>
      <c r="O41" s="1">
        <f>SUM(Tabla5[[#This Row],[enero]:[dec]])</f>
        <v>1100</v>
      </c>
      <c r="P41" s="4" t="s">
        <v>83</v>
      </c>
    </row>
    <row r="42" spans="1:16" x14ac:dyDescent="0.4">
      <c r="A42" s="1" t="s">
        <v>79</v>
      </c>
      <c r="B42" s="1" t="s">
        <v>84</v>
      </c>
      <c r="C42" s="1">
        <v>980</v>
      </c>
      <c r="G42" s="1">
        <v>1610</v>
      </c>
      <c r="H42" s="1">
        <v>1268</v>
      </c>
      <c r="L42" s="1">
        <v>180</v>
      </c>
      <c r="N42" s="1">
        <v>1385</v>
      </c>
      <c r="O42" s="1">
        <f>SUM(Tabla5[[#This Row],[enero]:[dec]])</f>
        <v>5423</v>
      </c>
      <c r="P42" s="4" t="s">
        <v>85</v>
      </c>
    </row>
    <row r="43" spans="1:16" x14ac:dyDescent="0.4">
      <c r="A43" s="1" t="s">
        <v>79</v>
      </c>
      <c r="B43" s="1" t="s">
        <v>86</v>
      </c>
      <c r="E43" s="1">
        <v>2700</v>
      </c>
      <c r="O43" s="1">
        <f>SUM(Tabla5[[#This Row],[enero]:[dec]])</f>
        <v>2700</v>
      </c>
      <c r="P43" s="4" t="s">
        <v>87</v>
      </c>
    </row>
    <row r="44" spans="1:16" x14ac:dyDescent="0.4">
      <c r="A44" s="1" t="s">
        <v>88</v>
      </c>
      <c r="B44" s="1" t="s">
        <v>89</v>
      </c>
      <c r="I44" s="1">
        <v>515</v>
      </c>
      <c r="O44" s="1">
        <f>SUM(Tabla5[[#This Row],[enero]:[dec]])</f>
        <v>515</v>
      </c>
      <c r="P44" s="4" t="s">
        <v>90</v>
      </c>
    </row>
    <row r="45" spans="1:16" x14ac:dyDescent="0.4">
      <c r="A45" s="1" t="s">
        <v>88</v>
      </c>
      <c r="B45" s="1" t="s">
        <v>91</v>
      </c>
      <c r="C45" s="1">
        <v>7350</v>
      </c>
      <c r="K45" s="1">
        <v>7350</v>
      </c>
      <c r="N45" s="1">
        <v>7350</v>
      </c>
      <c r="O45" s="1">
        <f>SUM(Tabla5[[#This Row],[enero]:[dec]])</f>
        <v>22050</v>
      </c>
      <c r="P45" s="4" t="s">
        <v>92</v>
      </c>
    </row>
    <row r="46" spans="1:16" x14ac:dyDescent="0.4">
      <c r="A46" s="1" t="s">
        <v>88</v>
      </c>
      <c r="B46" s="1" t="s">
        <v>93</v>
      </c>
      <c r="K46" s="1">
        <v>1275</v>
      </c>
      <c r="N46" s="1">
        <v>1275</v>
      </c>
      <c r="O46" s="1">
        <f>SUM(Tabla5[[#This Row],[enero]:[dec]])</f>
        <v>2550</v>
      </c>
      <c r="P46" s="4" t="s">
        <v>94</v>
      </c>
    </row>
    <row r="47" spans="1:16" ht="32" x14ac:dyDescent="0.4">
      <c r="A47" s="1" t="s">
        <v>95</v>
      </c>
      <c r="B47" s="1" t="s">
        <v>96</v>
      </c>
      <c r="C47" s="1">
        <v>6200</v>
      </c>
      <c r="D47" s="1">
        <v>6200</v>
      </c>
      <c r="E47" s="1">
        <v>6200</v>
      </c>
      <c r="F47" s="1">
        <v>6200</v>
      </c>
      <c r="G47" s="1">
        <v>6200</v>
      </c>
      <c r="H47" s="1">
        <v>6200</v>
      </c>
      <c r="I47" s="1">
        <v>6200</v>
      </c>
      <c r="J47" s="1">
        <v>6200</v>
      </c>
      <c r="K47" s="1">
        <v>6200</v>
      </c>
      <c r="L47" s="1">
        <v>6200</v>
      </c>
      <c r="M47" s="1">
        <v>6200</v>
      </c>
      <c r="N47" s="1">
        <v>6200</v>
      </c>
      <c r="O47" s="1">
        <f>SUM(Tabla5[[#This Row],[enero]:[dec]])</f>
        <v>74400</v>
      </c>
      <c r="P47" s="4" t="s">
        <v>97</v>
      </c>
    </row>
    <row r="48" spans="1:16" ht="32" x14ac:dyDescent="0.4">
      <c r="A48" s="1" t="s">
        <v>95</v>
      </c>
      <c r="B48" s="1" t="s">
        <v>98</v>
      </c>
      <c r="C48" s="1">
        <v>800</v>
      </c>
      <c r="D48" s="1">
        <v>800</v>
      </c>
      <c r="E48" s="1">
        <v>800</v>
      </c>
      <c r="F48" s="1">
        <v>800</v>
      </c>
      <c r="G48" s="1">
        <v>800</v>
      </c>
      <c r="H48" s="1">
        <v>800</v>
      </c>
      <c r="I48" s="1">
        <v>800</v>
      </c>
      <c r="J48" s="1">
        <v>800</v>
      </c>
      <c r="K48" s="1">
        <v>800</v>
      </c>
      <c r="L48" s="1">
        <v>800</v>
      </c>
      <c r="M48" s="1">
        <v>800</v>
      </c>
      <c r="N48" s="1">
        <v>800</v>
      </c>
      <c r="O48" s="1">
        <f>SUM(Tabla5[[#This Row],[enero]:[dec]])</f>
        <v>9600</v>
      </c>
      <c r="P48" s="4" t="s">
        <v>99</v>
      </c>
    </row>
    <row r="49" spans="1:16" x14ac:dyDescent="0.4">
      <c r="A49" s="1" t="s">
        <v>100</v>
      </c>
      <c r="B49" s="1" t="s">
        <v>101</v>
      </c>
      <c r="C49" s="1">
        <v>3300</v>
      </c>
      <c r="D49" s="1">
        <v>3300</v>
      </c>
      <c r="E49" s="1">
        <v>3300</v>
      </c>
      <c r="F49" s="1">
        <v>3300</v>
      </c>
      <c r="O49" s="1">
        <f>SUM(Tabla5[[#This Row],[enero]:[dec]])</f>
        <v>13200</v>
      </c>
      <c r="P49" s="4" t="s">
        <v>102</v>
      </c>
    </row>
    <row r="50" spans="1:16" ht="32" x14ac:dyDescent="0.4">
      <c r="A50" s="1" t="s">
        <v>100</v>
      </c>
      <c r="B50" s="1" t="s">
        <v>103</v>
      </c>
      <c r="C50" s="1">
        <v>550</v>
      </c>
      <c r="D50" s="1">
        <v>550</v>
      </c>
      <c r="E50" s="1">
        <v>550</v>
      </c>
      <c r="F50" s="1">
        <v>550</v>
      </c>
      <c r="G50" s="1">
        <v>550</v>
      </c>
      <c r="H50" s="1">
        <v>550</v>
      </c>
      <c r="I50" s="1">
        <v>550</v>
      </c>
      <c r="J50" s="1">
        <v>550</v>
      </c>
      <c r="K50" s="1">
        <v>550</v>
      </c>
      <c r="L50" s="1">
        <v>550</v>
      </c>
      <c r="M50" s="1">
        <v>550</v>
      </c>
      <c r="N50" s="1">
        <v>550</v>
      </c>
      <c r="O50" s="1">
        <f>SUM(Tabla5[[#This Row],[enero]:[dec]])</f>
        <v>6600</v>
      </c>
      <c r="P50" s="4" t="s">
        <v>104</v>
      </c>
    </row>
    <row r="51" spans="1:16" x14ac:dyDescent="0.4">
      <c r="A51" s="1" t="s">
        <v>100</v>
      </c>
      <c r="B51" s="1" t="s">
        <v>105</v>
      </c>
      <c r="C51" s="1">
        <v>1360</v>
      </c>
      <c r="D51" s="1">
        <v>600</v>
      </c>
      <c r="E51" s="1">
        <v>600</v>
      </c>
      <c r="F51" s="1">
        <v>1460</v>
      </c>
      <c r="J51" s="1">
        <v>860</v>
      </c>
      <c r="N51" s="1">
        <v>860</v>
      </c>
      <c r="O51" s="1">
        <f>SUM(Tabla5[[#This Row],[enero]:[dec]])</f>
        <v>5740</v>
      </c>
      <c r="P51" s="4" t="s">
        <v>106</v>
      </c>
    </row>
    <row r="52" spans="1:16" x14ac:dyDescent="0.4">
      <c r="A52" s="1" t="s">
        <v>100</v>
      </c>
      <c r="B52" s="1" t="s">
        <v>107</v>
      </c>
      <c r="C52" s="1">
        <v>580</v>
      </c>
      <c r="D52" s="1">
        <v>580</v>
      </c>
      <c r="E52" s="1">
        <v>580</v>
      </c>
      <c r="F52" s="1">
        <v>580</v>
      </c>
      <c r="G52" s="1">
        <v>580</v>
      </c>
      <c r="H52" s="1">
        <v>580</v>
      </c>
      <c r="I52" s="1">
        <v>580</v>
      </c>
      <c r="J52" s="1">
        <v>580</v>
      </c>
      <c r="K52" s="1">
        <v>580</v>
      </c>
      <c r="L52" s="1">
        <v>580</v>
      </c>
      <c r="M52" s="1">
        <v>580</v>
      </c>
      <c r="N52" s="1">
        <v>580</v>
      </c>
      <c r="O52" s="1">
        <f>SUM(Tabla5[[#This Row],[enero]:[dec]])</f>
        <v>6960</v>
      </c>
      <c r="P52" s="4" t="s">
        <v>108</v>
      </c>
    </row>
    <row r="53" spans="1:16" x14ac:dyDescent="0.4">
      <c r="A53" s="1" t="s">
        <v>100</v>
      </c>
      <c r="B53" s="1" t="s">
        <v>109</v>
      </c>
      <c r="C53" s="1">
        <v>550</v>
      </c>
      <c r="O53" s="1">
        <f>SUM(Tabla5[[#This Row],[enero]:[dec]])</f>
        <v>550</v>
      </c>
      <c r="P53" s="4" t="s">
        <v>110</v>
      </c>
    </row>
    <row r="54" spans="1:16" x14ac:dyDescent="0.4">
      <c r="A54" s="1" t="s">
        <v>111</v>
      </c>
      <c r="B54" s="1" t="s">
        <v>112</v>
      </c>
      <c r="C54" s="1">
        <v>200</v>
      </c>
      <c r="O54" s="1">
        <f>SUM(Tabla5[[#This Row],[enero]:[dec]])</f>
        <v>200</v>
      </c>
      <c r="P54" s="4" t="s">
        <v>113</v>
      </c>
    </row>
    <row r="55" spans="1:16" x14ac:dyDescent="0.4">
      <c r="B55" s="1" t="s">
        <v>14</v>
      </c>
      <c r="C55" s="1">
        <f>SUBTOTAL(109,C2:C54)</f>
        <v>30010</v>
      </c>
      <c r="D55" s="1">
        <f t="shared" ref="D55:N55" si="0">SUBTOTAL(109,D2:D54)</f>
        <v>31220</v>
      </c>
      <c r="E55" s="1">
        <f t="shared" si="0"/>
        <v>25550</v>
      </c>
      <c r="F55" s="1">
        <f t="shared" si="0"/>
        <v>19910</v>
      </c>
      <c r="G55" s="1">
        <f t="shared" si="0"/>
        <v>16160</v>
      </c>
      <c r="H55" s="1">
        <f t="shared" si="0"/>
        <v>11618</v>
      </c>
      <c r="I55" s="1">
        <f t="shared" si="0"/>
        <v>13765</v>
      </c>
      <c r="J55" s="1">
        <f t="shared" si="0"/>
        <v>14710</v>
      </c>
      <c r="K55" s="1">
        <f t="shared" si="0"/>
        <v>28675</v>
      </c>
      <c r="L55" s="1">
        <f t="shared" si="0"/>
        <v>10030</v>
      </c>
      <c r="M55" s="1">
        <f t="shared" si="0"/>
        <v>11550</v>
      </c>
      <c r="N55" s="1">
        <f t="shared" si="0"/>
        <v>20720</v>
      </c>
      <c r="O55" s="1">
        <f>SUM(Tabla5[[#This Row],[enero]:[dec]])</f>
        <v>233918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72CB-6B4E-45CD-ABDF-9757D88AD647}">
  <dimension ref="A1:G13"/>
  <sheetViews>
    <sheetView tabSelected="1" workbookViewId="0">
      <selection activeCell="C22" sqref="C22"/>
    </sheetView>
  </sheetViews>
  <sheetFormatPr baseColWidth="10" defaultColWidth="11.1640625" defaultRowHeight="16" x14ac:dyDescent="0.4"/>
  <cols>
    <col min="1" max="1" width="15" style="1" customWidth="1"/>
    <col min="2" max="2" width="21.4140625" style="1" customWidth="1"/>
    <col min="3" max="6" width="11.1640625" style="1"/>
    <col min="7" max="7" width="11.1640625" style="4"/>
    <col min="8" max="16384" width="11.1640625" style="1"/>
  </cols>
  <sheetData>
    <row r="1" spans="1:7" x14ac:dyDescent="0.4">
      <c r="A1" s="1" t="s">
        <v>0</v>
      </c>
      <c r="B1" s="1" t="s">
        <v>1</v>
      </c>
      <c r="C1" s="1" t="s">
        <v>11</v>
      </c>
      <c r="D1" s="1" t="s">
        <v>12</v>
      </c>
      <c r="E1" s="1" t="s">
        <v>114</v>
      </c>
      <c r="F1" s="1" t="s">
        <v>14</v>
      </c>
    </row>
    <row r="2" spans="1:7" x14ac:dyDescent="0.4">
      <c r="A2" s="1" t="s">
        <v>15</v>
      </c>
      <c r="B2" s="1" t="s">
        <v>115</v>
      </c>
      <c r="C2" s="1">
        <v>900</v>
      </c>
      <c r="F2" s="1">
        <f>SUM(Tabla4[[#This Row],[oct]:[dic]])</f>
        <v>900</v>
      </c>
    </row>
    <row r="3" spans="1:7" s="7" customFormat="1" x14ac:dyDescent="0.4">
      <c r="A3" s="7" t="s">
        <v>15</v>
      </c>
      <c r="B3" s="7" t="s">
        <v>116</v>
      </c>
      <c r="E3" s="7">
        <v>4000</v>
      </c>
      <c r="F3" s="7">
        <f>SUM(Tabla4[[#This Row],[oct]:[dic]])</f>
        <v>4000</v>
      </c>
      <c r="G3" s="8"/>
    </row>
    <row r="4" spans="1:7" ht="32" x14ac:dyDescent="0.4">
      <c r="A4" s="1" t="s">
        <v>117</v>
      </c>
      <c r="B4" s="1" t="s">
        <v>118</v>
      </c>
      <c r="D4" s="1">
        <v>750</v>
      </c>
      <c r="F4" s="1">
        <f>SUM(Tabla4[[#This Row],[oct]:[dic]])</f>
        <v>750</v>
      </c>
      <c r="G4" s="4" t="s">
        <v>119</v>
      </c>
    </row>
    <row r="5" spans="1:7" ht="32" x14ac:dyDescent="0.4">
      <c r="A5" s="1" t="s">
        <v>117</v>
      </c>
      <c r="B5" s="1" t="s">
        <v>120</v>
      </c>
      <c r="D5" s="1">
        <v>750</v>
      </c>
      <c r="F5" s="1">
        <f>SUM(Tabla4[[#This Row],[oct]:[dic]])</f>
        <v>750</v>
      </c>
      <c r="G5" s="4" t="s">
        <v>119</v>
      </c>
    </row>
    <row r="6" spans="1:7" x14ac:dyDescent="0.4">
      <c r="A6" s="1" t="s">
        <v>121</v>
      </c>
      <c r="B6" s="1" t="s">
        <v>122</v>
      </c>
      <c r="C6" s="1">
        <v>4500</v>
      </c>
      <c r="D6" s="1">
        <v>4500</v>
      </c>
      <c r="E6" s="1">
        <v>4500</v>
      </c>
      <c r="F6" s="1">
        <f>SUM(Tabla4[[#This Row],[oct]:[dic]])</f>
        <v>13500</v>
      </c>
    </row>
    <row r="7" spans="1:7" x14ac:dyDescent="0.4">
      <c r="A7" s="1" t="s">
        <v>79</v>
      </c>
      <c r="B7" s="6" t="s">
        <v>84</v>
      </c>
      <c r="C7" s="1">
        <v>300</v>
      </c>
      <c r="E7" s="1">
        <v>1200</v>
      </c>
      <c r="F7" s="1">
        <f>SUM(Tabla4[[#This Row],[oct]:[dic]])</f>
        <v>1500</v>
      </c>
      <c r="G7" s="4" t="s">
        <v>123</v>
      </c>
    </row>
    <row r="8" spans="1:7" x14ac:dyDescent="0.4">
      <c r="A8" s="1" t="s">
        <v>88</v>
      </c>
      <c r="B8" s="1" t="s">
        <v>91</v>
      </c>
      <c r="E8" s="1">
        <v>1940</v>
      </c>
      <c r="F8" s="1">
        <f>SUM(Tabla4[[#This Row],[oct]:[dic]])</f>
        <v>1940</v>
      </c>
      <c r="G8" s="4" t="s">
        <v>124</v>
      </c>
    </row>
    <row r="9" spans="1:7" x14ac:dyDescent="0.4">
      <c r="A9" s="1" t="s">
        <v>88</v>
      </c>
      <c r="B9" s="1" t="s">
        <v>125</v>
      </c>
      <c r="E9" s="1">
        <v>976</v>
      </c>
      <c r="F9" s="1">
        <f>SUM(Tabla4[[#This Row],[oct]:[dic]])</f>
        <v>976</v>
      </c>
      <c r="G9" s="4" t="s">
        <v>126</v>
      </c>
    </row>
    <row r="10" spans="1:7" x14ac:dyDescent="0.4">
      <c r="A10" s="1" t="s">
        <v>100</v>
      </c>
      <c r="B10" s="1" t="s">
        <v>127</v>
      </c>
      <c r="C10" s="1">
        <v>550</v>
      </c>
      <c r="E10" s="1">
        <v>4550</v>
      </c>
      <c r="F10" s="1">
        <f>SUM(Tabla4[[#This Row],[oct]:[dic]])</f>
        <v>5100</v>
      </c>
      <c r="G10" s="4" t="s">
        <v>128</v>
      </c>
    </row>
    <row r="11" spans="1:7" x14ac:dyDescent="0.4">
      <c r="A11" s="1" t="s">
        <v>100</v>
      </c>
      <c r="B11" s="1" t="s">
        <v>129</v>
      </c>
      <c r="C11" s="1">
        <v>1600</v>
      </c>
      <c r="D11" s="1">
        <v>1600</v>
      </c>
      <c r="E11" s="1">
        <v>1600</v>
      </c>
      <c r="F11" s="1">
        <f>SUM(Tabla4[[#This Row],[oct]:[dic]])</f>
        <v>4800</v>
      </c>
      <c r="G11" s="4" t="s">
        <v>130</v>
      </c>
    </row>
    <row r="12" spans="1:7" x14ac:dyDescent="0.4">
      <c r="A12" s="1" t="s">
        <v>100</v>
      </c>
      <c r="B12" s="1" t="s">
        <v>131</v>
      </c>
      <c r="C12" s="1">
        <v>500</v>
      </c>
      <c r="F12" s="1">
        <f>SUM(Tabla4[[#This Row],[oct]:[dic]])</f>
        <v>500</v>
      </c>
      <c r="G12" s="4" t="s">
        <v>132</v>
      </c>
    </row>
    <row r="13" spans="1:7" x14ac:dyDescent="0.4">
      <c r="B13" s="1" t="s">
        <v>14</v>
      </c>
      <c r="C13" s="1">
        <f>SUBTOTAL(109,C2:C12)</f>
        <v>8350</v>
      </c>
      <c r="D13" s="1">
        <f t="shared" ref="D13:F13" si="0">SUBTOTAL(109,D2:D12)</f>
        <v>7600</v>
      </c>
      <c r="E13" s="1">
        <f t="shared" si="0"/>
        <v>18766</v>
      </c>
      <c r="F13" s="1">
        <f t="shared" si="0"/>
        <v>34716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2027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Oscar Ocampo</cp:lastModifiedBy>
  <dcterms:created xsi:type="dcterms:W3CDTF">2026-09-29T05:55:36Z</dcterms:created>
  <dcterms:modified xsi:type="dcterms:W3CDTF">2026-09-29T09:10:49Z</dcterms:modified>
</cp:coreProperties>
</file>