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AF157F22-69AC-41EB-B6FE-93F00999BE1E}" xr6:coauthVersionLast="47" xr6:coauthVersionMax="47" xr10:uidLastSave="{00000000-0000-0000-0000-000000000000}"/>
  <bookViews>
    <workbookView xWindow="-25710" yWindow="-110" windowWidth="25820" windowHeight="13900" xr2:uid="{26EF6AF5-A6D8-409B-BFBA-004C0060921B}"/>
  </bookViews>
  <sheets>
    <sheet name="Costes SKU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44" i="1" l="1"/>
  <c r="K444" i="1"/>
  <c r="J444" i="1"/>
  <c r="H444" i="1"/>
  <c r="G444" i="1"/>
  <c r="I444" i="1" s="1"/>
  <c r="F444" i="1"/>
  <c r="E444" i="1"/>
  <c r="D444" i="1"/>
  <c r="L443" i="1"/>
  <c r="K443" i="1"/>
  <c r="I443" i="1" s="1"/>
  <c r="H443" i="1"/>
  <c r="G443" i="1"/>
  <c r="E443" i="1"/>
  <c r="D443" i="1"/>
  <c r="L442" i="1"/>
  <c r="K442" i="1"/>
  <c r="J442" i="1"/>
  <c r="H442" i="1"/>
  <c r="G442" i="1"/>
  <c r="E442" i="1"/>
  <c r="D442" i="1"/>
  <c r="F442" i="1" s="1"/>
  <c r="L441" i="1"/>
  <c r="K441" i="1"/>
  <c r="J441" i="1" s="1"/>
  <c r="H441" i="1"/>
  <c r="G441" i="1"/>
  <c r="I441" i="1" s="1"/>
  <c r="F441" i="1"/>
  <c r="E441" i="1"/>
  <c r="D441" i="1"/>
  <c r="L440" i="1"/>
  <c r="K440" i="1"/>
  <c r="F440" i="1" s="1"/>
  <c r="J440" i="1"/>
  <c r="H440" i="1"/>
  <c r="G440" i="1"/>
  <c r="E440" i="1"/>
  <c r="D440" i="1"/>
  <c r="L439" i="1"/>
  <c r="K439" i="1"/>
  <c r="F439" i="1" s="1"/>
  <c r="J439" i="1"/>
  <c r="H439" i="1"/>
  <c r="G439" i="1"/>
  <c r="E439" i="1"/>
  <c r="D439" i="1"/>
  <c r="L438" i="1"/>
  <c r="K438" i="1"/>
  <c r="F438" i="1" s="1"/>
  <c r="H438" i="1"/>
  <c r="G438" i="1"/>
  <c r="E438" i="1"/>
  <c r="D438" i="1"/>
  <c r="L437" i="1"/>
  <c r="K437" i="1"/>
  <c r="J437" i="1" s="1"/>
  <c r="H437" i="1"/>
  <c r="G437" i="1"/>
  <c r="E437" i="1"/>
  <c r="D437" i="1"/>
  <c r="L436" i="1"/>
  <c r="K436" i="1"/>
  <c r="J436" i="1"/>
  <c r="H436" i="1"/>
  <c r="I436" i="1" s="1"/>
  <c r="G436" i="1"/>
  <c r="F436" i="1"/>
  <c r="E436" i="1"/>
  <c r="D436" i="1"/>
  <c r="L435" i="1"/>
  <c r="K435" i="1"/>
  <c r="J435" i="1" s="1"/>
  <c r="H435" i="1"/>
  <c r="G435" i="1"/>
  <c r="E435" i="1"/>
  <c r="D435" i="1"/>
  <c r="L434" i="1"/>
  <c r="K434" i="1"/>
  <c r="J434" i="1"/>
  <c r="H434" i="1"/>
  <c r="I434" i="1" s="1"/>
  <c r="G434" i="1"/>
  <c r="F434" i="1"/>
  <c r="E434" i="1"/>
  <c r="D434" i="1"/>
  <c r="L433" i="1"/>
  <c r="K433" i="1"/>
  <c r="J433" i="1"/>
  <c r="H433" i="1"/>
  <c r="I433" i="1" s="1"/>
  <c r="G433" i="1"/>
  <c r="E433" i="1"/>
  <c r="D433" i="1"/>
  <c r="L432" i="1"/>
  <c r="K432" i="1"/>
  <c r="J432" i="1"/>
  <c r="I432" i="1"/>
  <c r="H432" i="1"/>
  <c r="G432" i="1"/>
  <c r="E432" i="1"/>
  <c r="D432" i="1"/>
  <c r="F432" i="1" s="1"/>
  <c r="L431" i="1"/>
  <c r="K431" i="1"/>
  <c r="H431" i="1"/>
  <c r="G431" i="1"/>
  <c r="I431" i="1" s="1"/>
  <c r="E431" i="1"/>
  <c r="D431" i="1"/>
  <c r="L430" i="1"/>
  <c r="K430" i="1"/>
  <c r="J430" i="1"/>
  <c r="H430" i="1"/>
  <c r="G430" i="1"/>
  <c r="I430" i="1" s="1"/>
  <c r="F430" i="1"/>
  <c r="E430" i="1"/>
  <c r="D430" i="1"/>
  <c r="L429" i="1"/>
  <c r="K429" i="1"/>
  <c r="I429" i="1" s="1"/>
  <c r="H429" i="1"/>
  <c r="G429" i="1"/>
  <c r="E429" i="1"/>
  <c r="D429" i="1"/>
  <c r="L428" i="1"/>
  <c r="K428" i="1"/>
  <c r="J428" i="1" s="1"/>
  <c r="H428" i="1"/>
  <c r="G428" i="1"/>
  <c r="E428" i="1"/>
  <c r="D428" i="1"/>
  <c r="L427" i="1"/>
  <c r="K427" i="1"/>
  <c r="J427" i="1"/>
  <c r="H427" i="1"/>
  <c r="G427" i="1"/>
  <c r="I427" i="1" s="1"/>
  <c r="F427" i="1"/>
  <c r="E427" i="1"/>
  <c r="D427" i="1"/>
  <c r="L426" i="1"/>
  <c r="K426" i="1"/>
  <c r="F426" i="1" s="1"/>
  <c r="J426" i="1"/>
  <c r="H426" i="1"/>
  <c r="G426" i="1"/>
  <c r="E426" i="1"/>
  <c r="D426" i="1"/>
  <c r="L425" i="1"/>
  <c r="K425" i="1"/>
  <c r="F425" i="1" s="1"/>
  <c r="I425" i="1"/>
  <c r="H425" i="1"/>
  <c r="G425" i="1"/>
  <c r="E425" i="1"/>
  <c r="D425" i="1"/>
  <c r="L424" i="1"/>
  <c r="K424" i="1"/>
  <c r="H424" i="1"/>
  <c r="G424" i="1"/>
  <c r="E424" i="1"/>
  <c r="F424" i="1" s="1"/>
  <c r="D424" i="1"/>
  <c r="L423" i="1"/>
  <c r="K423" i="1"/>
  <c r="J423" i="1" s="1"/>
  <c r="I423" i="1"/>
  <c r="H423" i="1"/>
  <c r="G423" i="1"/>
  <c r="F423" i="1"/>
  <c r="E423" i="1"/>
  <c r="D423" i="1"/>
  <c r="L422" i="1"/>
  <c r="K422" i="1"/>
  <c r="J422" i="1"/>
  <c r="H422" i="1"/>
  <c r="I422" i="1" s="1"/>
  <c r="G422" i="1"/>
  <c r="E422" i="1"/>
  <c r="D422" i="1"/>
  <c r="F422" i="1" s="1"/>
  <c r="L421" i="1"/>
  <c r="K421" i="1"/>
  <c r="J421" i="1" s="1"/>
  <c r="H421" i="1"/>
  <c r="G421" i="1"/>
  <c r="E421" i="1"/>
  <c r="D421" i="1"/>
  <c r="L420" i="1"/>
  <c r="K420" i="1"/>
  <c r="J420" i="1"/>
  <c r="H420" i="1"/>
  <c r="I420" i="1" s="1"/>
  <c r="G420" i="1"/>
  <c r="E420" i="1"/>
  <c r="F420" i="1" s="1"/>
  <c r="D420" i="1"/>
  <c r="L419" i="1"/>
  <c r="K419" i="1"/>
  <c r="F419" i="1" s="1"/>
  <c r="J419" i="1"/>
  <c r="I419" i="1"/>
  <c r="H419" i="1"/>
  <c r="G419" i="1"/>
  <c r="E419" i="1"/>
  <c r="D419" i="1"/>
  <c r="L418" i="1"/>
  <c r="K418" i="1"/>
  <c r="J418" i="1"/>
  <c r="I418" i="1"/>
  <c r="H418" i="1"/>
  <c r="G418" i="1"/>
  <c r="E418" i="1"/>
  <c r="D418" i="1"/>
  <c r="F418" i="1" s="1"/>
  <c r="L417" i="1"/>
  <c r="K417" i="1"/>
  <c r="H417" i="1"/>
  <c r="G417" i="1"/>
  <c r="E417" i="1"/>
  <c r="D417" i="1"/>
  <c r="L416" i="1"/>
  <c r="K416" i="1"/>
  <c r="J416" i="1"/>
  <c r="H416" i="1"/>
  <c r="G416" i="1"/>
  <c r="I416" i="1" s="1"/>
  <c r="F416" i="1"/>
  <c r="E416" i="1"/>
  <c r="D416" i="1"/>
  <c r="L415" i="1"/>
  <c r="K415" i="1"/>
  <c r="I415" i="1" s="1"/>
  <c r="H415" i="1"/>
  <c r="G415" i="1"/>
  <c r="E415" i="1"/>
  <c r="D415" i="1"/>
  <c r="L414" i="1"/>
  <c r="K414" i="1"/>
  <c r="J414" i="1"/>
  <c r="H414" i="1"/>
  <c r="G414" i="1"/>
  <c r="E414" i="1"/>
  <c r="D414" i="1"/>
  <c r="F414" i="1" s="1"/>
  <c r="L413" i="1"/>
  <c r="K413" i="1"/>
  <c r="J413" i="1"/>
  <c r="H413" i="1"/>
  <c r="G413" i="1"/>
  <c r="I413" i="1" s="1"/>
  <c r="E413" i="1"/>
  <c r="F413" i="1" s="1"/>
  <c r="D413" i="1"/>
  <c r="L412" i="1"/>
  <c r="K412" i="1"/>
  <c r="F412" i="1" s="1"/>
  <c r="J412" i="1"/>
  <c r="H412" i="1"/>
  <c r="G412" i="1"/>
  <c r="E412" i="1"/>
  <c r="D412" i="1"/>
  <c r="L411" i="1"/>
  <c r="K411" i="1"/>
  <c r="F411" i="1" s="1"/>
  <c r="J411" i="1"/>
  <c r="H411" i="1"/>
  <c r="G411" i="1"/>
  <c r="I411" i="1" s="1"/>
  <c r="E411" i="1"/>
  <c r="D411" i="1"/>
  <c r="L410" i="1"/>
  <c r="K410" i="1"/>
  <c r="H410" i="1"/>
  <c r="G410" i="1"/>
  <c r="F410" i="1"/>
  <c r="E410" i="1"/>
  <c r="D410" i="1"/>
  <c r="L409" i="1"/>
  <c r="K409" i="1"/>
  <c r="J409" i="1" s="1"/>
  <c r="H409" i="1"/>
  <c r="G409" i="1"/>
  <c r="I409" i="1" s="1"/>
  <c r="E409" i="1"/>
  <c r="D409" i="1"/>
  <c r="L408" i="1"/>
  <c r="K408" i="1"/>
  <c r="J408" i="1"/>
  <c r="I408" i="1"/>
  <c r="H408" i="1"/>
  <c r="G408" i="1"/>
  <c r="E408" i="1"/>
  <c r="D408" i="1"/>
  <c r="F408" i="1" s="1"/>
  <c r="L407" i="1"/>
  <c r="K407" i="1"/>
  <c r="J407" i="1" s="1"/>
  <c r="H407" i="1"/>
  <c r="G407" i="1"/>
  <c r="E407" i="1"/>
  <c r="D407" i="1"/>
  <c r="L406" i="1"/>
  <c r="K406" i="1"/>
  <c r="J406" i="1"/>
  <c r="H406" i="1"/>
  <c r="I406" i="1" s="1"/>
  <c r="G406" i="1"/>
  <c r="E406" i="1"/>
  <c r="F406" i="1" s="1"/>
  <c r="D406" i="1"/>
  <c r="L405" i="1"/>
  <c r="K405" i="1"/>
  <c r="J405" i="1"/>
  <c r="I405" i="1"/>
  <c r="H405" i="1"/>
  <c r="G405" i="1"/>
  <c r="E405" i="1"/>
  <c r="D405" i="1"/>
  <c r="L404" i="1"/>
  <c r="K404" i="1"/>
  <c r="J404" i="1"/>
  <c r="I404" i="1"/>
  <c r="H404" i="1"/>
  <c r="G404" i="1"/>
  <c r="E404" i="1"/>
  <c r="D404" i="1"/>
  <c r="F404" i="1" s="1"/>
  <c r="L403" i="1"/>
  <c r="K403" i="1"/>
  <c r="I403" i="1" s="1"/>
  <c r="H403" i="1"/>
  <c r="G403" i="1"/>
  <c r="E403" i="1"/>
  <c r="D403" i="1"/>
  <c r="L402" i="1"/>
  <c r="K402" i="1"/>
  <c r="J402" i="1"/>
  <c r="H402" i="1"/>
  <c r="G402" i="1"/>
  <c r="E402" i="1"/>
  <c r="D402" i="1"/>
  <c r="F402" i="1" s="1"/>
  <c r="L401" i="1"/>
  <c r="K401" i="1"/>
  <c r="I401" i="1"/>
  <c r="H401" i="1"/>
  <c r="G401" i="1"/>
  <c r="E401" i="1"/>
  <c r="D401" i="1"/>
  <c r="L400" i="1"/>
  <c r="K400" i="1"/>
  <c r="I400" i="1" s="1"/>
  <c r="J400" i="1"/>
  <c r="H400" i="1"/>
  <c r="G400" i="1"/>
  <c r="E400" i="1"/>
  <c r="D400" i="1"/>
  <c r="L399" i="1"/>
  <c r="K399" i="1"/>
  <c r="J399" i="1"/>
  <c r="H399" i="1"/>
  <c r="G399" i="1"/>
  <c r="I399" i="1" s="1"/>
  <c r="E399" i="1"/>
  <c r="F399" i="1" s="1"/>
  <c r="D399" i="1"/>
  <c r="L398" i="1"/>
  <c r="K398" i="1"/>
  <c r="F398" i="1" s="1"/>
  <c r="J398" i="1"/>
  <c r="H398" i="1"/>
  <c r="G398" i="1"/>
  <c r="E398" i="1"/>
  <c r="D398" i="1"/>
  <c r="L397" i="1"/>
  <c r="K397" i="1"/>
  <c r="J397" i="1"/>
  <c r="H397" i="1"/>
  <c r="G397" i="1"/>
  <c r="E397" i="1"/>
  <c r="D397" i="1"/>
  <c r="L396" i="1"/>
  <c r="K396" i="1"/>
  <c r="H396" i="1"/>
  <c r="G396" i="1"/>
  <c r="F396" i="1"/>
  <c r="E396" i="1"/>
  <c r="D396" i="1"/>
  <c r="L395" i="1"/>
  <c r="K395" i="1"/>
  <c r="J395" i="1" s="1"/>
  <c r="H395" i="1"/>
  <c r="G395" i="1"/>
  <c r="E395" i="1"/>
  <c r="D395" i="1"/>
  <c r="L394" i="1"/>
  <c r="K394" i="1"/>
  <c r="J394" i="1"/>
  <c r="I394" i="1"/>
  <c r="H394" i="1"/>
  <c r="G394" i="1"/>
  <c r="F394" i="1"/>
  <c r="E394" i="1"/>
  <c r="D394" i="1"/>
  <c r="L393" i="1"/>
  <c r="K393" i="1"/>
  <c r="J393" i="1"/>
  <c r="H393" i="1"/>
  <c r="G393" i="1"/>
  <c r="E393" i="1"/>
  <c r="D393" i="1"/>
  <c r="L392" i="1"/>
  <c r="K392" i="1"/>
  <c r="J392" i="1"/>
  <c r="H392" i="1"/>
  <c r="I392" i="1" s="1"/>
  <c r="G392" i="1"/>
  <c r="F392" i="1"/>
  <c r="E392" i="1"/>
  <c r="D392" i="1"/>
  <c r="L391" i="1"/>
  <c r="K391" i="1"/>
  <c r="J391" i="1" s="1"/>
  <c r="H391" i="1"/>
  <c r="G391" i="1"/>
  <c r="I391" i="1" s="1"/>
  <c r="E391" i="1"/>
  <c r="D391" i="1"/>
  <c r="L390" i="1"/>
  <c r="K390" i="1"/>
  <c r="J390" i="1"/>
  <c r="I390" i="1"/>
  <c r="H390" i="1"/>
  <c r="G390" i="1"/>
  <c r="E390" i="1"/>
  <c r="D390" i="1"/>
  <c r="F390" i="1" s="1"/>
  <c r="L389" i="1"/>
  <c r="K389" i="1"/>
  <c r="I389" i="1" s="1"/>
  <c r="H389" i="1"/>
  <c r="G389" i="1"/>
  <c r="E389" i="1"/>
  <c r="D389" i="1"/>
  <c r="L388" i="1"/>
  <c r="K388" i="1"/>
  <c r="J388" i="1"/>
  <c r="H388" i="1"/>
  <c r="G388" i="1"/>
  <c r="E388" i="1"/>
  <c r="D388" i="1"/>
  <c r="F388" i="1" s="1"/>
  <c r="L387" i="1"/>
  <c r="K387" i="1"/>
  <c r="I387" i="1"/>
  <c r="H387" i="1"/>
  <c r="G387" i="1"/>
  <c r="E387" i="1"/>
  <c r="D387" i="1"/>
  <c r="L386" i="1"/>
  <c r="K386" i="1"/>
  <c r="J386" i="1"/>
  <c r="H386" i="1"/>
  <c r="G386" i="1"/>
  <c r="E386" i="1"/>
  <c r="D386" i="1"/>
  <c r="F386" i="1" s="1"/>
  <c r="L385" i="1"/>
  <c r="K385" i="1"/>
  <c r="J385" i="1"/>
  <c r="H385" i="1"/>
  <c r="G385" i="1"/>
  <c r="I385" i="1" s="1"/>
  <c r="E385" i="1"/>
  <c r="F385" i="1" s="1"/>
  <c r="D385" i="1"/>
  <c r="L384" i="1"/>
  <c r="K384" i="1"/>
  <c r="F384" i="1" s="1"/>
  <c r="J384" i="1"/>
  <c r="H384" i="1"/>
  <c r="G384" i="1"/>
  <c r="E384" i="1"/>
  <c r="D384" i="1"/>
  <c r="L383" i="1"/>
  <c r="K383" i="1"/>
  <c r="F383" i="1" s="1"/>
  <c r="J383" i="1"/>
  <c r="I383" i="1"/>
  <c r="H383" i="1"/>
  <c r="G383" i="1"/>
  <c r="E383" i="1"/>
  <c r="D383" i="1"/>
  <c r="L382" i="1"/>
  <c r="K382" i="1"/>
  <c r="H382" i="1"/>
  <c r="G382" i="1"/>
  <c r="E382" i="1"/>
  <c r="D382" i="1"/>
  <c r="F382" i="1" s="1"/>
  <c r="L381" i="1"/>
  <c r="K381" i="1"/>
  <c r="J381" i="1" s="1"/>
  <c r="I381" i="1"/>
  <c r="H381" i="1"/>
  <c r="G381" i="1"/>
  <c r="E381" i="1"/>
  <c r="D381" i="1"/>
  <c r="L380" i="1"/>
  <c r="K380" i="1"/>
  <c r="J380" i="1"/>
  <c r="I380" i="1"/>
  <c r="H380" i="1"/>
  <c r="G380" i="1"/>
  <c r="E380" i="1"/>
  <c r="D380" i="1"/>
  <c r="F380" i="1" s="1"/>
  <c r="L379" i="1"/>
  <c r="K379" i="1"/>
  <c r="J379" i="1" s="1"/>
  <c r="H379" i="1"/>
  <c r="G379" i="1"/>
  <c r="E379" i="1"/>
  <c r="D379" i="1"/>
  <c r="L378" i="1"/>
  <c r="K378" i="1"/>
  <c r="J378" i="1"/>
  <c r="H378" i="1"/>
  <c r="G378" i="1"/>
  <c r="E378" i="1"/>
  <c r="F378" i="1" s="1"/>
  <c r="D378" i="1"/>
  <c r="L377" i="1"/>
  <c r="K377" i="1"/>
  <c r="J377" i="1" s="1"/>
  <c r="I377" i="1"/>
  <c r="H377" i="1"/>
  <c r="G377" i="1"/>
  <c r="E377" i="1"/>
  <c r="D377" i="1"/>
  <c r="L376" i="1"/>
  <c r="K376" i="1"/>
  <c r="J376" i="1"/>
  <c r="I376" i="1"/>
  <c r="H376" i="1"/>
  <c r="G376" i="1"/>
  <c r="E376" i="1"/>
  <c r="D376" i="1"/>
  <c r="L375" i="1"/>
  <c r="K375" i="1"/>
  <c r="H375" i="1"/>
  <c r="G375" i="1"/>
  <c r="E375" i="1"/>
  <c r="D375" i="1"/>
  <c r="L374" i="1"/>
  <c r="K374" i="1"/>
  <c r="J374" i="1"/>
  <c r="H374" i="1"/>
  <c r="G374" i="1"/>
  <c r="I374" i="1" s="1"/>
  <c r="E374" i="1"/>
  <c r="D374" i="1"/>
  <c r="F374" i="1" s="1"/>
  <c r="L373" i="1"/>
  <c r="K373" i="1"/>
  <c r="I373" i="1" s="1"/>
  <c r="H373" i="1"/>
  <c r="G373" i="1"/>
  <c r="E373" i="1"/>
  <c r="D373" i="1"/>
  <c r="L372" i="1"/>
  <c r="K372" i="1"/>
  <c r="J372" i="1"/>
  <c r="H372" i="1"/>
  <c r="G372" i="1"/>
  <c r="E372" i="1"/>
  <c r="D372" i="1"/>
  <c r="F372" i="1" s="1"/>
  <c r="L371" i="1"/>
  <c r="K371" i="1"/>
  <c r="J371" i="1"/>
  <c r="H371" i="1"/>
  <c r="G371" i="1"/>
  <c r="I371" i="1" s="1"/>
  <c r="E371" i="1"/>
  <c r="F371" i="1" s="1"/>
  <c r="D371" i="1"/>
  <c r="L370" i="1"/>
  <c r="K370" i="1"/>
  <c r="F370" i="1" s="1"/>
  <c r="J370" i="1"/>
  <c r="H370" i="1"/>
  <c r="G370" i="1"/>
  <c r="E370" i="1"/>
  <c r="D370" i="1"/>
  <c r="L369" i="1"/>
  <c r="K369" i="1"/>
  <c r="F369" i="1" s="1"/>
  <c r="J369" i="1"/>
  <c r="H369" i="1"/>
  <c r="G369" i="1"/>
  <c r="I369" i="1" s="1"/>
  <c r="E369" i="1"/>
  <c r="D369" i="1"/>
  <c r="L368" i="1"/>
  <c r="K368" i="1"/>
  <c r="H368" i="1"/>
  <c r="G368" i="1"/>
  <c r="F368" i="1"/>
  <c r="E368" i="1"/>
  <c r="D368" i="1"/>
  <c r="L367" i="1"/>
  <c r="K367" i="1"/>
  <c r="J367" i="1" s="1"/>
  <c r="H367" i="1"/>
  <c r="G367" i="1"/>
  <c r="I367" i="1" s="1"/>
  <c r="E367" i="1"/>
  <c r="D367" i="1"/>
  <c r="L366" i="1"/>
  <c r="K366" i="1"/>
  <c r="J366" i="1"/>
  <c r="I366" i="1"/>
  <c r="H366" i="1"/>
  <c r="G366" i="1"/>
  <c r="E366" i="1"/>
  <c r="D366" i="1"/>
  <c r="F366" i="1" s="1"/>
  <c r="L365" i="1"/>
  <c r="K365" i="1"/>
  <c r="J365" i="1" s="1"/>
  <c r="H365" i="1"/>
  <c r="G365" i="1"/>
  <c r="E365" i="1"/>
  <c r="D365" i="1"/>
  <c r="L364" i="1"/>
  <c r="K364" i="1"/>
  <c r="J364" i="1"/>
  <c r="H364" i="1"/>
  <c r="G364" i="1"/>
  <c r="I364" i="1" s="1"/>
  <c r="E364" i="1"/>
  <c r="F364" i="1" s="1"/>
  <c r="D364" i="1"/>
  <c r="L363" i="1"/>
  <c r="K363" i="1"/>
  <c r="J363" i="1" s="1"/>
  <c r="H363" i="1"/>
  <c r="I363" i="1" s="1"/>
  <c r="G363" i="1"/>
  <c r="E363" i="1"/>
  <c r="D363" i="1"/>
  <c r="L362" i="1"/>
  <c r="K362" i="1"/>
  <c r="J362" i="1"/>
  <c r="I362" i="1"/>
  <c r="H362" i="1"/>
  <c r="G362" i="1"/>
  <c r="E362" i="1"/>
  <c r="D362" i="1"/>
  <c r="L361" i="1"/>
  <c r="K361" i="1"/>
  <c r="I361" i="1"/>
  <c r="H361" i="1"/>
  <c r="G361" i="1"/>
  <c r="E361" i="1"/>
  <c r="D361" i="1"/>
  <c r="L360" i="1"/>
  <c r="K360" i="1"/>
  <c r="J360" i="1"/>
  <c r="H360" i="1"/>
  <c r="G360" i="1"/>
  <c r="I360" i="1" s="1"/>
  <c r="E360" i="1"/>
  <c r="D360" i="1"/>
  <c r="F360" i="1" s="1"/>
  <c r="L359" i="1"/>
  <c r="K359" i="1"/>
  <c r="I359" i="1" s="1"/>
  <c r="H359" i="1"/>
  <c r="G359" i="1"/>
  <c r="E359" i="1"/>
  <c r="D359" i="1"/>
  <c r="L358" i="1"/>
  <c r="K358" i="1"/>
  <c r="J358" i="1"/>
  <c r="H358" i="1"/>
  <c r="G358" i="1"/>
  <c r="E358" i="1"/>
  <c r="D358" i="1"/>
  <c r="F358" i="1" s="1"/>
  <c r="L357" i="1"/>
  <c r="K357" i="1"/>
  <c r="J357" i="1"/>
  <c r="H357" i="1"/>
  <c r="G357" i="1"/>
  <c r="I357" i="1" s="1"/>
  <c r="F357" i="1"/>
  <c r="E357" i="1"/>
  <c r="D357" i="1"/>
  <c r="L356" i="1"/>
  <c r="K356" i="1"/>
  <c r="F356" i="1" s="1"/>
  <c r="J356" i="1"/>
  <c r="H356" i="1"/>
  <c r="G356" i="1"/>
  <c r="E356" i="1"/>
  <c r="D356" i="1"/>
  <c r="L355" i="1"/>
  <c r="K355" i="1"/>
  <c r="F355" i="1" s="1"/>
  <c r="I355" i="1"/>
  <c r="H355" i="1"/>
  <c r="G355" i="1"/>
  <c r="E355" i="1"/>
  <c r="D355" i="1"/>
  <c r="L354" i="1"/>
  <c r="K354" i="1"/>
  <c r="H354" i="1"/>
  <c r="G354" i="1"/>
  <c r="E354" i="1"/>
  <c r="F354" i="1" s="1"/>
  <c r="D354" i="1"/>
  <c r="L353" i="1"/>
  <c r="K353" i="1"/>
  <c r="J353" i="1" s="1"/>
  <c r="I353" i="1"/>
  <c r="H353" i="1"/>
  <c r="G353" i="1"/>
  <c r="F353" i="1"/>
  <c r="E353" i="1"/>
  <c r="D353" i="1"/>
  <c r="L352" i="1"/>
  <c r="K352" i="1"/>
  <c r="J352" i="1"/>
  <c r="H352" i="1"/>
  <c r="I352" i="1" s="1"/>
  <c r="G352" i="1"/>
  <c r="E352" i="1"/>
  <c r="D352" i="1"/>
  <c r="F352" i="1" s="1"/>
  <c r="L351" i="1"/>
  <c r="K351" i="1"/>
  <c r="J351" i="1"/>
  <c r="H351" i="1"/>
  <c r="G351" i="1"/>
  <c r="E351" i="1"/>
  <c r="D351" i="1"/>
  <c r="L350" i="1"/>
  <c r="K350" i="1"/>
  <c r="J350" i="1"/>
  <c r="H350" i="1"/>
  <c r="G350" i="1"/>
  <c r="I350" i="1" s="1"/>
  <c r="E350" i="1"/>
  <c r="F350" i="1" s="1"/>
  <c r="D350" i="1"/>
  <c r="L349" i="1"/>
  <c r="K349" i="1"/>
  <c r="J349" i="1" s="1"/>
  <c r="H349" i="1"/>
  <c r="I349" i="1" s="1"/>
  <c r="G349" i="1"/>
  <c r="E349" i="1"/>
  <c r="D349" i="1"/>
  <c r="L348" i="1"/>
  <c r="K348" i="1"/>
  <c r="F348" i="1" s="1"/>
  <c r="J348" i="1"/>
  <c r="I348" i="1"/>
  <c r="H348" i="1"/>
  <c r="G348" i="1"/>
  <c r="E348" i="1"/>
  <c r="D348" i="1"/>
  <c r="L347" i="1"/>
  <c r="K347" i="1"/>
  <c r="H347" i="1"/>
  <c r="G347" i="1"/>
  <c r="I347" i="1" s="1"/>
  <c r="E347" i="1"/>
  <c r="D347" i="1"/>
  <c r="L346" i="1"/>
  <c r="K346" i="1"/>
  <c r="J346" i="1"/>
  <c r="H346" i="1"/>
  <c r="G346" i="1"/>
  <c r="E346" i="1"/>
  <c r="D346" i="1"/>
  <c r="F346" i="1" s="1"/>
  <c r="L345" i="1"/>
  <c r="K345" i="1"/>
  <c r="I345" i="1" s="1"/>
  <c r="H345" i="1"/>
  <c r="G345" i="1"/>
  <c r="E345" i="1"/>
  <c r="D345" i="1"/>
  <c r="L344" i="1"/>
  <c r="K344" i="1"/>
  <c r="J344" i="1" s="1"/>
  <c r="H344" i="1"/>
  <c r="G344" i="1"/>
  <c r="E344" i="1"/>
  <c r="D344" i="1"/>
  <c r="L343" i="1"/>
  <c r="K343" i="1"/>
  <c r="J343" i="1"/>
  <c r="H343" i="1"/>
  <c r="G343" i="1"/>
  <c r="I343" i="1" s="1"/>
  <c r="F343" i="1"/>
  <c r="E343" i="1"/>
  <c r="D343" i="1"/>
  <c r="L342" i="1"/>
  <c r="K342" i="1"/>
  <c r="F342" i="1" s="1"/>
  <c r="J342" i="1"/>
  <c r="H342" i="1"/>
  <c r="G342" i="1"/>
  <c r="I342" i="1" s="1"/>
  <c r="E342" i="1"/>
  <c r="D342" i="1"/>
  <c r="L341" i="1"/>
  <c r="K341" i="1"/>
  <c r="F341" i="1" s="1"/>
  <c r="I341" i="1"/>
  <c r="H341" i="1"/>
  <c r="G341" i="1"/>
  <c r="E341" i="1"/>
  <c r="D341" i="1"/>
  <c r="L340" i="1"/>
  <c r="K340" i="1"/>
  <c r="H340" i="1"/>
  <c r="G340" i="1"/>
  <c r="E340" i="1"/>
  <c r="F340" i="1" s="1"/>
  <c r="D340" i="1"/>
  <c r="L339" i="1"/>
  <c r="K339" i="1"/>
  <c r="J339" i="1" s="1"/>
  <c r="I339" i="1"/>
  <c r="H339" i="1"/>
  <c r="G339" i="1"/>
  <c r="F339" i="1"/>
  <c r="E339" i="1"/>
  <c r="D339" i="1"/>
  <c r="L338" i="1"/>
  <c r="K338" i="1"/>
  <c r="J338" i="1"/>
  <c r="H338" i="1"/>
  <c r="I338" i="1" s="1"/>
  <c r="G338" i="1"/>
  <c r="E338" i="1"/>
  <c r="D338" i="1"/>
  <c r="F338" i="1" s="1"/>
  <c r="L337" i="1"/>
  <c r="K337" i="1"/>
  <c r="J337" i="1"/>
  <c r="H337" i="1"/>
  <c r="G337" i="1"/>
  <c r="E337" i="1"/>
  <c r="D337" i="1"/>
  <c r="L336" i="1"/>
  <c r="K336" i="1"/>
  <c r="J336" i="1"/>
  <c r="H336" i="1"/>
  <c r="G336" i="1"/>
  <c r="I336" i="1" s="1"/>
  <c r="E336" i="1"/>
  <c r="F336" i="1" s="1"/>
  <c r="D336" i="1"/>
  <c r="L335" i="1"/>
  <c r="K335" i="1"/>
  <c r="J335" i="1" s="1"/>
  <c r="H335" i="1"/>
  <c r="G335" i="1"/>
  <c r="I335" i="1" s="1"/>
  <c r="E335" i="1"/>
  <c r="D335" i="1"/>
  <c r="L334" i="1"/>
  <c r="K334" i="1"/>
  <c r="F334" i="1" s="1"/>
  <c r="J334" i="1"/>
  <c r="I334" i="1"/>
  <c r="H334" i="1"/>
  <c r="G334" i="1"/>
  <c r="E334" i="1"/>
  <c r="D334" i="1"/>
  <c r="L333" i="1"/>
  <c r="K333" i="1"/>
  <c r="I333" i="1"/>
  <c r="H333" i="1"/>
  <c r="G333" i="1"/>
  <c r="E333" i="1"/>
  <c r="D333" i="1"/>
  <c r="L332" i="1"/>
  <c r="K332" i="1"/>
  <c r="J332" i="1"/>
  <c r="H332" i="1"/>
  <c r="G332" i="1"/>
  <c r="F332" i="1"/>
  <c r="E332" i="1"/>
  <c r="D332" i="1"/>
  <c r="L331" i="1"/>
  <c r="K331" i="1"/>
  <c r="H331" i="1"/>
  <c r="G331" i="1"/>
  <c r="E331" i="1"/>
  <c r="D331" i="1"/>
  <c r="L330" i="1"/>
  <c r="K330" i="1"/>
  <c r="J330" i="1" s="1"/>
  <c r="H330" i="1"/>
  <c r="G330" i="1"/>
  <c r="E330" i="1"/>
  <c r="D330" i="1"/>
  <c r="L329" i="1"/>
  <c r="K329" i="1"/>
  <c r="J329" i="1"/>
  <c r="H329" i="1"/>
  <c r="G329" i="1"/>
  <c r="I329" i="1" s="1"/>
  <c r="F329" i="1"/>
  <c r="E329" i="1"/>
  <c r="D329" i="1"/>
  <c r="L328" i="1"/>
  <c r="K328" i="1"/>
  <c r="F328" i="1" s="1"/>
  <c r="J328" i="1"/>
  <c r="H328" i="1"/>
  <c r="G328" i="1"/>
  <c r="I328" i="1" s="1"/>
  <c r="E328" i="1"/>
  <c r="D328" i="1"/>
  <c r="L327" i="1"/>
  <c r="K327" i="1"/>
  <c r="J327" i="1"/>
  <c r="I327" i="1"/>
  <c r="H327" i="1"/>
  <c r="G327" i="1"/>
  <c r="E327" i="1"/>
  <c r="D327" i="1"/>
  <c r="L326" i="1"/>
  <c r="K326" i="1"/>
  <c r="F326" i="1" s="1"/>
  <c r="H326" i="1"/>
  <c r="G326" i="1"/>
  <c r="E326" i="1"/>
  <c r="D326" i="1"/>
  <c r="L325" i="1"/>
  <c r="K325" i="1"/>
  <c r="J325" i="1" s="1"/>
  <c r="I325" i="1"/>
  <c r="H325" i="1"/>
  <c r="G325" i="1"/>
  <c r="F325" i="1"/>
  <c r="E325" i="1"/>
  <c r="D325" i="1"/>
  <c r="L324" i="1"/>
  <c r="K324" i="1"/>
  <c r="J324" i="1"/>
  <c r="H324" i="1"/>
  <c r="I324" i="1" s="1"/>
  <c r="G324" i="1"/>
  <c r="E324" i="1"/>
  <c r="D324" i="1"/>
  <c r="F324" i="1" s="1"/>
  <c r="L323" i="1"/>
  <c r="K323" i="1"/>
  <c r="J323" i="1"/>
  <c r="H323" i="1"/>
  <c r="G323" i="1"/>
  <c r="E323" i="1"/>
  <c r="D323" i="1"/>
  <c r="L322" i="1"/>
  <c r="K322" i="1"/>
  <c r="J322" i="1"/>
  <c r="H322" i="1"/>
  <c r="G322" i="1"/>
  <c r="E322" i="1"/>
  <c r="F322" i="1" s="1"/>
  <c r="D322" i="1"/>
  <c r="L321" i="1"/>
  <c r="K321" i="1"/>
  <c r="J321" i="1" s="1"/>
  <c r="H321" i="1"/>
  <c r="G321" i="1"/>
  <c r="I321" i="1" s="1"/>
  <c r="E321" i="1"/>
  <c r="D321" i="1"/>
  <c r="L320" i="1"/>
  <c r="K320" i="1"/>
  <c r="F320" i="1" s="1"/>
  <c r="J320" i="1"/>
  <c r="I320" i="1"/>
  <c r="H320" i="1"/>
  <c r="G320" i="1"/>
  <c r="E320" i="1"/>
  <c r="D320" i="1"/>
  <c r="L319" i="1"/>
  <c r="K319" i="1"/>
  <c r="I319" i="1"/>
  <c r="H319" i="1"/>
  <c r="G319" i="1"/>
  <c r="E319" i="1"/>
  <c r="D319" i="1"/>
  <c r="L318" i="1"/>
  <c r="K318" i="1"/>
  <c r="J318" i="1"/>
  <c r="H318" i="1"/>
  <c r="G318" i="1"/>
  <c r="E318" i="1"/>
  <c r="D318" i="1"/>
  <c r="F318" i="1" s="1"/>
  <c r="L317" i="1"/>
  <c r="K317" i="1"/>
  <c r="I317" i="1"/>
  <c r="H317" i="1"/>
  <c r="G317" i="1"/>
  <c r="E317" i="1"/>
  <c r="D317" i="1"/>
  <c r="L316" i="1"/>
  <c r="K316" i="1"/>
  <c r="J316" i="1"/>
  <c r="H316" i="1"/>
  <c r="G316" i="1"/>
  <c r="F316" i="1"/>
  <c r="E316" i="1"/>
  <c r="D316" i="1"/>
  <c r="L315" i="1"/>
  <c r="K315" i="1"/>
  <c r="J315" i="1"/>
  <c r="H315" i="1"/>
  <c r="G315" i="1"/>
  <c r="I315" i="1" s="1"/>
  <c r="F315" i="1"/>
  <c r="E315" i="1"/>
  <c r="D315" i="1"/>
  <c r="L314" i="1"/>
  <c r="K314" i="1"/>
  <c r="F314" i="1" s="1"/>
  <c r="J314" i="1"/>
  <c r="H314" i="1"/>
  <c r="G314" i="1"/>
  <c r="I314" i="1" s="1"/>
  <c r="E314" i="1"/>
  <c r="D314" i="1"/>
  <c r="L313" i="1"/>
  <c r="K313" i="1"/>
  <c r="F313" i="1" s="1"/>
  <c r="J313" i="1"/>
  <c r="H313" i="1"/>
  <c r="G313" i="1"/>
  <c r="E313" i="1"/>
  <c r="D313" i="1"/>
  <c r="L312" i="1"/>
  <c r="K312" i="1"/>
  <c r="F312" i="1" s="1"/>
  <c r="H312" i="1"/>
  <c r="G312" i="1"/>
  <c r="E312" i="1"/>
  <c r="D312" i="1"/>
  <c r="L311" i="1"/>
  <c r="K311" i="1"/>
  <c r="J311" i="1" s="1"/>
  <c r="H311" i="1"/>
  <c r="G311" i="1"/>
  <c r="E311" i="1"/>
  <c r="D311" i="1"/>
  <c r="L310" i="1"/>
  <c r="K310" i="1"/>
  <c r="J310" i="1"/>
  <c r="H310" i="1"/>
  <c r="I310" i="1" s="1"/>
  <c r="G310" i="1"/>
  <c r="F310" i="1"/>
  <c r="E310" i="1"/>
  <c r="D310" i="1"/>
  <c r="L309" i="1"/>
  <c r="K309" i="1"/>
  <c r="J309" i="1" s="1"/>
  <c r="H309" i="1"/>
  <c r="G309" i="1"/>
  <c r="E309" i="1"/>
  <c r="D309" i="1"/>
  <c r="L308" i="1"/>
  <c r="K308" i="1"/>
  <c r="J308" i="1"/>
  <c r="H308" i="1"/>
  <c r="G308" i="1"/>
  <c r="F308" i="1"/>
  <c r="E308" i="1"/>
  <c r="D308" i="1"/>
  <c r="L307" i="1"/>
  <c r="K307" i="1"/>
  <c r="J307" i="1" s="1"/>
  <c r="H307" i="1"/>
  <c r="G307" i="1"/>
  <c r="I307" i="1" s="1"/>
  <c r="E307" i="1"/>
  <c r="D307" i="1"/>
  <c r="L306" i="1"/>
  <c r="K306" i="1"/>
  <c r="F306" i="1" s="1"/>
  <c r="J306" i="1"/>
  <c r="I306" i="1"/>
  <c r="H306" i="1"/>
  <c r="G306" i="1"/>
  <c r="E306" i="1"/>
  <c r="D306" i="1"/>
  <c r="L305" i="1"/>
  <c r="K305" i="1"/>
  <c r="I305" i="1"/>
  <c r="H305" i="1"/>
  <c r="G305" i="1"/>
  <c r="E305" i="1"/>
  <c r="D305" i="1"/>
  <c r="L304" i="1"/>
  <c r="K304" i="1"/>
  <c r="I304" i="1" s="1"/>
  <c r="J304" i="1"/>
  <c r="H304" i="1"/>
  <c r="G304" i="1"/>
  <c r="F304" i="1"/>
  <c r="E304" i="1"/>
  <c r="D304" i="1"/>
  <c r="L303" i="1"/>
  <c r="K303" i="1"/>
  <c r="I303" i="1"/>
  <c r="H303" i="1"/>
  <c r="G303" i="1"/>
  <c r="E303" i="1"/>
  <c r="D303" i="1"/>
  <c r="L302" i="1"/>
  <c r="K302" i="1"/>
  <c r="I302" i="1" s="1"/>
  <c r="J302" i="1"/>
  <c r="H302" i="1"/>
  <c r="G302" i="1"/>
  <c r="E302" i="1"/>
  <c r="D302" i="1"/>
  <c r="L301" i="1"/>
  <c r="K301" i="1"/>
  <c r="J301" i="1"/>
  <c r="H301" i="1"/>
  <c r="G301" i="1"/>
  <c r="I301" i="1" s="1"/>
  <c r="E301" i="1"/>
  <c r="F301" i="1" s="1"/>
  <c r="D301" i="1"/>
  <c r="L300" i="1"/>
  <c r="K300" i="1"/>
  <c r="F300" i="1" s="1"/>
  <c r="J300" i="1"/>
  <c r="H300" i="1"/>
  <c r="G300" i="1"/>
  <c r="E300" i="1"/>
  <c r="D300" i="1"/>
  <c r="L299" i="1"/>
  <c r="K299" i="1"/>
  <c r="F299" i="1" s="1"/>
  <c r="J299" i="1"/>
  <c r="H299" i="1"/>
  <c r="G299" i="1"/>
  <c r="E299" i="1"/>
  <c r="D299" i="1"/>
  <c r="L298" i="1"/>
  <c r="K298" i="1"/>
  <c r="H298" i="1"/>
  <c r="G298" i="1"/>
  <c r="E298" i="1"/>
  <c r="D298" i="1"/>
  <c r="L297" i="1"/>
  <c r="K297" i="1"/>
  <c r="J297" i="1" s="1"/>
  <c r="H297" i="1"/>
  <c r="G297" i="1"/>
  <c r="E297" i="1"/>
  <c r="D297" i="1"/>
  <c r="L296" i="1"/>
  <c r="K296" i="1"/>
  <c r="J296" i="1"/>
  <c r="H296" i="1"/>
  <c r="I296" i="1" s="1"/>
  <c r="G296" i="1"/>
  <c r="F296" i="1"/>
  <c r="E296" i="1"/>
  <c r="D296" i="1"/>
  <c r="L295" i="1"/>
  <c r="K295" i="1"/>
  <c r="H295" i="1"/>
  <c r="G295" i="1"/>
  <c r="E295" i="1"/>
  <c r="D295" i="1"/>
  <c r="L294" i="1"/>
  <c r="K294" i="1"/>
  <c r="J294" i="1"/>
  <c r="H294" i="1"/>
  <c r="G294" i="1"/>
  <c r="F294" i="1"/>
  <c r="E294" i="1"/>
  <c r="D294" i="1"/>
  <c r="L293" i="1"/>
  <c r="K293" i="1"/>
  <c r="J293" i="1" s="1"/>
  <c r="H293" i="1"/>
  <c r="G293" i="1"/>
  <c r="I293" i="1" s="1"/>
  <c r="E293" i="1"/>
  <c r="D293" i="1"/>
  <c r="L292" i="1"/>
  <c r="K292" i="1"/>
  <c r="J292" i="1"/>
  <c r="I292" i="1"/>
  <c r="H292" i="1"/>
  <c r="G292" i="1"/>
  <c r="E292" i="1"/>
  <c r="D292" i="1"/>
  <c r="L291" i="1"/>
  <c r="K291" i="1"/>
  <c r="I291" i="1" s="1"/>
  <c r="H291" i="1"/>
  <c r="G291" i="1"/>
  <c r="E291" i="1"/>
  <c r="D291" i="1"/>
  <c r="L290" i="1"/>
  <c r="K290" i="1"/>
  <c r="J290" i="1"/>
  <c r="H290" i="1"/>
  <c r="G290" i="1"/>
  <c r="F290" i="1"/>
  <c r="E290" i="1"/>
  <c r="D290" i="1"/>
  <c r="L289" i="1"/>
  <c r="K289" i="1"/>
  <c r="I289" i="1"/>
  <c r="H289" i="1"/>
  <c r="G289" i="1"/>
  <c r="E289" i="1"/>
  <c r="D289" i="1"/>
  <c r="L288" i="1"/>
  <c r="K288" i="1"/>
  <c r="I288" i="1" s="1"/>
  <c r="J288" i="1"/>
  <c r="H288" i="1"/>
  <c r="G288" i="1"/>
  <c r="F288" i="1"/>
  <c r="E288" i="1"/>
  <c r="D288" i="1"/>
  <c r="L287" i="1"/>
  <c r="K287" i="1"/>
  <c r="J287" i="1"/>
  <c r="H287" i="1"/>
  <c r="G287" i="1"/>
  <c r="I287" i="1" s="1"/>
  <c r="E287" i="1"/>
  <c r="F287" i="1" s="1"/>
  <c r="D287" i="1"/>
  <c r="L286" i="1"/>
  <c r="K286" i="1"/>
  <c r="F286" i="1" s="1"/>
  <c r="J286" i="1"/>
  <c r="H286" i="1"/>
  <c r="G286" i="1"/>
  <c r="E286" i="1"/>
  <c r="D286" i="1"/>
  <c r="L285" i="1"/>
  <c r="K285" i="1"/>
  <c r="F285" i="1" s="1"/>
  <c r="H285" i="1"/>
  <c r="G285" i="1"/>
  <c r="E285" i="1"/>
  <c r="D285" i="1"/>
  <c r="L284" i="1"/>
  <c r="K284" i="1"/>
  <c r="F284" i="1" s="1"/>
  <c r="H284" i="1"/>
  <c r="G284" i="1"/>
  <c r="E284" i="1"/>
  <c r="D284" i="1"/>
  <c r="L283" i="1"/>
  <c r="K283" i="1"/>
  <c r="J283" i="1" s="1"/>
  <c r="H283" i="1"/>
  <c r="G283" i="1"/>
  <c r="I283" i="1" s="1"/>
  <c r="F283" i="1"/>
  <c r="E283" i="1"/>
  <c r="D283" i="1"/>
  <c r="L282" i="1"/>
  <c r="K282" i="1"/>
  <c r="J282" i="1"/>
  <c r="H282" i="1"/>
  <c r="I282" i="1" s="1"/>
  <c r="G282" i="1"/>
  <c r="F282" i="1"/>
  <c r="E282" i="1"/>
  <c r="D282" i="1"/>
  <c r="L281" i="1"/>
  <c r="K281" i="1"/>
  <c r="J281" i="1" s="1"/>
  <c r="H281" i="1"/>
  <c r="G281" i="1"/>
  <c r="E281" i="1"/>
  <c r="D281" i="1"/>
  <c r="L280" i="1"/>
  <c r="K280" i="1"/>
  <c r="J280" i="1"/>
  <c r="H280" i="1"/>
  <c r="G280" i="1"/>
  <c r="E280" i="1"/>
  <c r="F280" i="1" s="1"/>
  <c r="D280" i="1"/>
  <c r="L279" i="1"/>
  <c r="K279" i="1"/>
  <c r="J279" i="1" s="1"/>
  <c r="H279" i="1"/>
  <c r="G279" i="1"/>
  <c r="I279" i="1" s="1"/>
  <c r="E279" i="1"/>
  <c r="D279" i="1"/>
  <c r="L278" i="1"/>
  <c r="K278" i="1"/>
  <c r="J278" i="1"/>
  <c r="I278" i="1"/>
  <c r="H278" i="1"/>
  <c r="G278" i="1"/>
  <c r="E278" i="1"/>
  <c r="D278" i="1"/>
  <c r="L277" i="1"/>
  <c r="K277" i="1"/>
  <c r="I277" i="1" s="1"/>
  <c r="H277" i="1"/>
  <c r="G277" i="1"/>
  <c r="E277" i="1"/>
  <c r="D277" i="1"/>
  <c r="L276" i="1"/>
  <c r="K276" i="1"/>
  <c r="I276" i="1" s="1"/>
  <c r="J276" i="1"/>
  <c r="H276" i="1"/>
  <c r="G276" i="1"/>
  <c r="F276" i="1"/>
  <c r="E276" i="1"/>
  <c r="D276" i="1"/>
  <c r="L275" i="1"/>
  <c r="K275" i="1"/>
  <c r="H275" i="1"/>
  <c r="I275" i="1" s="1"/>
  <c r="G275" i="1"/>
  <c r="E275" i="1"/>
  <c r="D275" i="1"/>
  <c r="L274" i="1"/>
  <c r="K274" i="1"/>
  <c r="I274" i="1" s="1"/>
  <c r="H274" i="1"/>
  <c r="G274" i="1"/>
  <c r="E274" i="1"/>
  <c r="D274" i="1"/>
  <c r="F274" i="1" s="1"/>
  <c r="L273" i="1"/>
  <c r="K273" i="1"/>
  <c r="J273" i="1"/>
  <c r="H273" i="1"/>
  <c r="G273" i="1"/>
  <c r="I273" i="1" s="1"/>
  <c r="E273" i="1"/>
  <c r="F273" i="1" s="1"/>
  <c r="D273" i="1"/>
  <c r="L272" i="1"/>
  <c r="K272" i="1"/>
  <c r="F272" i="1" s="1"/>
  <c r="J272" i="1"/>
  <c r="H272" i="1"/>
  <c r="G272" i="1"/>
  <c r="E272" i="1"/>
  <c r="D272" i="1"/>
  <c r="L271" i="1"/>
  <c r="K271" i="1"/>
  <c r="F271" i="1" s="1"/>
  <c r="H271" i="1"/>
  <c r="G271" i="1"/>
  <c r="E271" i="1"/>
  <c r="D271" i="1"/>
  <c r="L270" i="1"/>
  <c r="K270" i="1"/>
  <c r="H270" i="1"/>
  <c r="G270" i="1"/>
  <c r="E270" i="1"/>
  <c r="D270" i="1"/>
  <c r="F270" i="1" s="1"/>
  <c r="L269" i="1"/>
  <c r="K269" i="1"/>
  <c r="J269" i="1" s="1"/>
  <c r="H269" i="1"/>
  <c r="G269" i="1"/>
  <c r="I269" i="1" s="1"/>
  <c r="F269" i="1"/>
  <c r="E269" i="1"/>
  <c r="D269" i="1"/>
  <c r="L268" i="1"/>
  <c r="K268" i="1"/>
  <c r="J268" i="1"/>
  <c r="I268" i="1"/>
  <c r="H268" i="1"/>
  <c r="G268" i="1"/>
  <c r="F268" i="1"/>
  <c r="E268" i="1"/>
  <c r="D268" i="1"/>
  <c r="L267" i="1"/>
  <c r="K267" i="1"/>
  <c r="H267" i="1"/>
  <c r="G267" i="1"/>
  <c r="E267" i="1"/>
  <c r="D267" i="1"/>
  <c r="L266" i="1"/>
  <c r="K266" i="1"/>
  <c r="J266" i="1"/>
  <c r="H266" i="1"/>
  <c r="G266" i="1"/>
  <c r="I266" i="1" s="1"/>
  <c r="E266" i="1"/>
  <c r="F266" i="1" s="1"/>
  <c r="D266" i="1"/>
  <c r="L265" i="1"/>
  <c r="K265" i="1"/>
  <c r="J265" i="1" s="1"/>
  <c r="H265" i="1"/>
  <c r="G265" i="1"/>
  <c r="I265" i="1" s="1"/>
  <c r="E265" i="1"/>
  <c r="D265" i="1"/>
  <c r="L264" i="1"/>
  <c r="K264" i="1"/>
  <c r="J264" i="1"/>
  <c r="I264" i="1"/>
  <c r="H264" i="1"/>
  <c r="G264" i="1"/>
  <c r="E264" i="1"/>
  <c r="D264" i="1"/>
  <c r="L263" i="1"/>
  <c r="K263" i="1"/>
  <c r="H263" i="1"/>
  <c r="G263" i="1"/>
  <c r="I263" i="1" s="1"/>
  <c r="E263" i="1"/>
  <c r="D263" i="1"/>
  <c r="L262" i="1"/>
  <c r="K262" i="1"/>
  <c r="I262" i="1" s="1"/>
  <c r="J262" i="1"/>
  <c r="H262" i="1"/>
  <c r="G262" i="1"/>
  <c r="E262" i="1"/>
  <c r="D262" i="1"/>
  <c r="F262" i="1" s="1"/>
  <c r="L261" i="1"/>
  <c r="K261" i="1"/>
  <c r="H261" i="1"/>
  <c r="I261" i="1" s="1"/>
  <c r="G261" i="1"/>
  <c r="E261" i="1"/>
  <c r="D261" i="1"/>
  <c r="L260" i="1"/>
  <c r="K260" i="1"/>
  <c r="I260" i="1" s="1"/>
  <c r="H260" i="1"/>
  <c r="G260" i="1"/>
  <c r="E260" i="1"/>
  <c r="D260" i="1"/>
  <c r="L259" i="1"/>
  <c r="K259" i="1"/>
  <c r="J259" i="1"/>
  <c r="H259" i="1"/>
  <c r="G259" i="1"/>
  <c r="I259" i="1" s="1"/>
  <c r="E259" i="1"/>
  <c r="F259" i="1" s="1"/>
  <c r="D259" i="1"/>
  <c r="L258" i="1"/>
  <c r="K258" i="1"/>
  <c r="F258" i="1" s="1"/>
  <c r="J258" i="1"/>
  <c r="H258" i="1"/>
  <c r="G258" i="1"/>
  <c r="E258" i="1"/>
  <c r="D258" i="1"/>
  <c r="L257" i="1"/>
  <c r="K257" i="1"/>
  <c r="J257" i="1" s="1"/>
  <c r="H257" i="1"/>
  <c r="G257" i="1"/>
  <c r="I257" i="1" s="1"/>
  <c r="E257" i="1"/>
  <c r="D257" i="1"/>
  <c r="L256" i="1"/>
  <c r="K256" i="1"/>
  <c r="H256" i="1"/>
  <c r="G256" i="1"/>
  <c r="E256" i="1"/>
  <c r="D256" i="1"/>
  <c r="L255" i="1"/>
  <c r="K255" i="1"/>
  <c r="J255" i="1" s="1"/>
  <c r="H255" i="1"/>
  <c r="G255" i="1"/>
  <c r="I255" i="1" s="1"/>
  <c r="F255" i="1"/>
  <c r="E255" i="1"/>
  <c r="D255" i="1"/>
  <c r="L254" i="1"/>
  <c r="K254" i="1"/>
  <c r="J254" i="1"/>
  <c r="H254" i="1"/>
  <c r="I254" i="1" s="1"/>
  <c r="G254" i="1"/>
  <c r="E254" i="1"/>
  <c r="D254" i="1"/>
  <c r="F254" i="1" s="1"/>
  <c r="L253" i="1"/>
  <c r="K253" i="1"/>
  <c r="J253" i="1"/>
  <c r="H253" i="1"/>
  <c r="G253" i="1"/>
  <c r="E253" i="1"/>
  <c r="D253" i="1"/>
  <c r="L252" i="1"/>
  <c r="K252" i="1"/>
  <c r="J252" i="1"/>
  <c r="H252" i="1"/>
  <c r="G252" i="1"/>
  <c r="I252" i="1" s="1"/>
  <c r="E252" i="1"/>
  <c r="F252" i="1" s="1"/>
  <c r="D252" i="1"/>
  <c r="L251" i="1"/>
  <c r="K251" i="1"/>
  <c r="J251" i="1" s="1"/>
  <c r="H251" i="1"/>
  <c r="I251" i="1" s="1"/>
  <c r="G251" i="1"/>
  <c r="E251" i="1"/>
  <c r="D251" i="1"/>
  <c r="L250" i="1"/>
  <c r="K250" i="1"/>
  <c r="J250" i="1"/>
  <c r="I250" i="1"/>
  <c r="H250" i="1"/>
  <c r="G250" i="1"/>
  <c r="E250" i="1"/>
  <c r="D250" i="1"/>
  <c r="L249" i="1"/>
  <c r="K249" i="1"/>
  <c r="H249" i="1"/>
  <c r="G249" i="1"/>
  <c r="I249" i="1" s="1"/>
  <c r="E249" i="1"/>
  <c r="D249" i="1"/>
  <c r="L248" i="1"/>
  <c r="K248" i="1"/>
  <c r="J248" i="1"/>
  <c r="H248" i="1"/>
  <c r="G248" i="1"/>
  <c r="E248" i="1"/>
  <c r="D248" i="1"/>
  <c r="F248" i="1" s="1"/>
  <c r="L247" i="1"/>
  <c r="K247" i="1"/>
  <c r="I247" i="1" s="1"/>
  <c r="H247" i="1"/>
  <c r="G247" i="1"/>
  <c r="E247" i="1"/>
  <c r="D247" i="1"/>
  <c r="L246" i="1"/>
  <c r="K246" i="1"/>
  <c r="J246" i="1" s="1"/>
  <c r="H246" i="1"/>
  <c r="G246" i="1"/>
  <c r="F246" i="1"/>
  <c r="E246" i="1"/>
  <c r="D246" i="1"/>
  <c r="L245" i="1"/>
  <c r="K245" i="1"/>
  <c r="J245" i="1"/>
  <c r="H245" i="1"/>
  <c r="G245" i="1"/>
  <c r="I245" i="1" s="1"/>
  <c r="E245" i="1"/>
  <c r="F245" i="1" s="1"/>
  <c r="D245" i="1"/>
  <c r="L244" i="1"/>
  <c r="K244" i="1"/>
  <c r="F244" i="1" s="1"/>
  <c r="J244" i="1"/>
  <c r="H244" i="1"/>
  <c r="G244" i="1"/>
  <c r="I244" i="1" s="1"/>
  <c r="E244" i="1"/>
  <c r="D244" i="1"/>
  <c r="L243" i="1"/>
  <c r="K243" i="1"/>
  <c r="F243" i="1" s="1"/>
  <c r="H243" i="1"/>
  <c r="G243" i="1"/>
  <c r="E243" i="1"/>
  <c r="D243" i="1"/>
  <c r="L242" i="1"/>
  <c r="K242" i="1"/>
  <c r="H242" i="1"/>
  <c r="G242" i="1"/>
  <c r="E242" i="1"/>
  <c r="F242" i="1" s="1"/>
  <c r="D242" i="1"/>
  <c r="L241" i="1"/>
  <c r="K241" i="1"/>
  <c r="J241" i="1" s="1"/>
  <c r="H241" i="1"/>
  <c r="G241" i="1"/>
  <c r="F241" i="1"/>
  <c r="E241" i="1"/>
  <c r="D241" i="1"/>
  <c r="L240" i="1"/>
  <c r="K240" i="1"/>
  <c r="J240" i="1"/>
  <c r="H240" i="1"/>
  <c r="I240" i="1" s="1"/>
  <c r="G240" i="1"/>
  <c r="F240" i="1"/>
  <c r="E240" i="1"/>
  <c r="D240" i="1"/>
  <c r="L239" i="1"/>
  <c r="K239" i="1"/>
  <c r="J239" i="1" s="1"/>
  <c r="H239" i="1"/>
  <c r="G239" i="1"/>
  <c r="E239" i="1"/>
  <c r="D239" i="1"/>
  <c r="L238" i="1"/>
  <c r="K238" i="1"/>
  <c r="J238" i="1"/>
  <c r="H238" i="1"/>
  <c r="G238" i="1"/>
  <c r="I238" i="1" s="1"/>
  <c r="F238" i="1"/>
  <c r="E238" i="1"/>
  <c r="D238" i="1"/>
  <c r="L237" i="1"/>
  <c r="K237" i="1"/>
  <c r="J237" i="1" s="1"/>
  <c r="H237" i="1"/>
  <c r="I237" i="1" s="1"/>
  <c r="G237" i="1"/>
  <c r="E237" i="1"/>
  <c r="D237" i="1"/>
  <c r="L236" i="1"/>
  <c r="K236" i="1"/>
  <c r="J236" i="1"/>
  <c r="I236" i="1"/>
  <c r="H236" i="1"/>
  <c r="G236" i="1"/>
  <c r="E236" i="1"/>
  <c r="D236" i="1"/>
  <c r="L235" i="1"/>
  <c r="K235" i="1"/>
  <c r="H235" i="1"/>
  <c r="G235" i="1"/>
  <c r="I235" i="1" s="1"/>
  <c r="E235" i="1"/>
  <c r="D235" i="1"/>
  <c r="L234" i="1"/>
  <c r="K234" i="1"/>
  <c r="J234" i="1"/>
  <c r="H234" i="1"/>
  <c r="G234" i="1"/>
  <c r="E234" i="1"/>
  <c r="D234" i="1"/>
  <c r="F234" i="1" s="1"/>
  <c r="L233" i="1"/>
  <c r="K233" i="1"/>
  <c r="I233" i="1" s="1"/>
  <c r="H233" i="1"/>
  <c r="G233" i="1"/>
  <c r="E233" i="1"/>
  <c r="D233" i="1"/>
  <c r="L232" i="1"/>
  <c r="K232" i="1"/>
  <c r="I232" i="1" s="1"/>
  <c r="H232" i="1"/>
  <c r="G232" i="1"/>
  <c r="E232" i="1"/>
  <c r="D232" i="1"/>
  <c r="L231" i="1"/>
  <c r="K231" i="1"/>
  <c r="J231" i="1"/>
  <c r="H231" i="1"/>
  <c r="G231" i="1"/>
  <c r="I231" i="1" s="1"/>
  <c r="F231" i="1"/>
  <c r="E231" i="1"/>
  <c r="D231" i="1"/>
  <c r="L230" i="1"/>
  <c r="K230" i="1"/>
  <c r="F230" i="1" s="1"/>
  <c r="J230" i="1"/>
  <c r="H230" i="1"/>
  <c r="G230" i="1"/>
  <c r="E230" i="1"/>
  <c r="D230" i="1"/>
  <c r="L229" i="1"/>
  <c r="K229" i="1"/>
  <c r="F229" i="1" s="1"/>
  <c r="J229" i="1"/>
  <c r="H229" i="1"/>
  <c r="G229" i="1"/>
  <c r="E229" i="1"/>
  <c r="D229" i="1"/>
  <c r="L228" i="1"/>
  <c r="K228" i="1"/>
  <c r="H228" i="1"/>
  <c r="G228" i="1"/>
  <c r="E228" i="1"/>
  <c r="F228" i="1" s="1"/>
  <c r="D228" i="1"/>
  <c r="L227" i="1"/>
  <c r="K227" i="1"/>
  <c r="J227" i="1" s="1"/>
  <c r="H227" i="1"/>
  <c r="G227" i="1"/>
  <c r="E227" i="1"/>
  <c r="D227" i="1"/>
  <c r="L226" i="1"/>
  <c r="K226" i="1"/>
  <c r="J226" i="1"/>
  <c r="H226" i="1"/>
  <c r="I226" i="1" s="1"/>
  <c r="G226" i="1"/>
  <c r="F226" i="1"/>
  <c r="E226" i="1"/>
  <c r="D226" i="1"/>
  <c r="L225" i="1"/>
  <c r="K225" i="1"/>
  <c r="J225" i="1"/>
  <c r="H225" i="1"/>
  <c r="G225" i="1"/>
  <c r="E225" i="1"/>
  <c r="D225" i="1"/>
  <c r="L224" i="1"/>
  <c r="K224" i="1"/>
  <c r="J224" i="1"/>
  <c r="H224" i="1"/>
  <c r="G224" i="1"/>
  <c r="I224" i="1" s="1"/>
  <c r="F224" i="1"/>
  <c r="E224" i="1"/>
  <c r="D224" i="1"/>
  <c r="L223" i="1"/>
  <c r="K223" i="1"/>
  <c r="J223" i="1" s="1"/>
  <c r="I223" i="1"/>
  <c r="H223" i="1"/>
  <c r="G223" i="1"/>
  <c r="E223" i="1"/>
  <c r="D223" i="1"/>
  <c r="L222" i="1"/>
  <c r="K222" i="1"/>
  <c r="F222" i="1" s="1"/>
  <c r="J222" i="1"/>
  <c r="I222" i="1"/>
  <c r="H222" i="1"/>
  <c r="G222" i="1"/>
  <c r="E222" i="1"/>
  <c r="D222" i="1"/>
  <c r="L221" i="1"/>
  <c r="K221" i="1"/>
  <c r="I221" i="1" s="1"/>
  <c r="H221" i="1"/>
  <c r="G221" i="1"/>
  <c r="E221" i="1"/>
  <c r="D221" i="1"/>
  <c r="L220" i="1"/>
  <c r="K220" i="1"/>
  <c r="J220" i="1"/>
  <c r="H220" i="1"/>
  <c r="G220" i="1"/>
  <c r="E220" i="1"/>
  <c r="D220" i="1"/>
  <c r="F220" i="1" s="1"/>
  <c r="L219" i="1"/>
  <c r="K219" i="1"/>
  <c r="H219" i="1"/>
  <c r="I219" i="1" s="1"/>
  <c r="G219" i="1"/>
  <c r="E219" i="1"/>
  <c r="D219" i="1"/>
  <c r="L218" i="1"/>
  <c r="K218" i="1"/>
  <c r="I218" i="1" s="1"/>
  <c r="J218" i="1"/>
  <c r="H218" i="1"/>
  <c r="G218" i="1"/>
  <c r="E218" i="1"/>
  <c r="D218" i="1"/>
  <c r="L217" i="1"/>
  <c r="K217" i="1"/>
  <c r="J217" i="1"/>
  <c r="H217" i="1"/>
  <c r="G217" i="1"/>
  <c r="I217" i="1" s="1"/>
  <c r="F217" i="1"/>
  <c r="E217" i="1"/>
  <c r="D217" i="1"/>
  <c r="L216" i="1"/>
  <c r="K216" i="1"/>
  <c r="F216" i="1" s="1"/>
  <c r="J216" i="1"/>
  <c r="H216" i="1"/>
  <c r="G216" i="1"/>
  <c r="I216" i="1" s="1"/>
  <c r="E216" i="1"/>
  <c r="D216" i="1"/>
  <c r="L215" i="1"/>
  <c r="K215" i="1"/>
  <c r="J215" i="1" s="1"/>
  <c r="H215" i="1"/>
  <c r="G215" i="1"/>
  <c r="I215" i="1" s="1"/>
  <c r="E215" i="1"/>
  <c r="D215" i="1"/>
  <c r="L214" i="1"/>
  <c r="K214" i="1"/>
  <c r="H214" i="1"/>
  <c r="G214" i="1"/>
  <c r="E214" i="1"/>
  <c r="D214" i="1"/>
  <c r="L213" i="1"/>
  <c r="K213" i="1"/>
  <c r="J213" i="1" s="1"/>
  <c r="H213" i="1"/>
  <c r="G213" i="1"/>
  <c r="I213" i="1" s="1"/>
  <c r="F213" i="1"/>
  <c r="E213" i="1"/>
  <c r="D213" i="1"/>
  <c r="L212" i="1"/>
  <c r="K212" i="1"/>
  <c r="J212" i="1"/>
  <c r="H212" i="1"/>
  <c r="I212" i="1" s="1"/>
  <c r="G212" i="1"/>
  <c r="E212" i="1"/>
  <c r="D212" i="1"/>
  <c r="F212" i="1" s="1"/>
  <c r="L211" i="1"/>
  <c r="K211" i="1"/>
  <c r="J211" i="1"/>
  <c r="H211" i="1"/>
  <c r="G211" i="1"/>
  <c r="E211" i="1"/>
  <c r="D211" i="1"/>
  <c r="L210" i="1"/>
  <c r="K210" i="1"/>
  <c r="J210" i="1"/>
  <c r="H210" i="1"/>
  <c r="G210" i="1"/>
  <c r="E210" i="1"/>
  <c r="F210" i="1" s="1"/>
  <c r="D210" i="1"/>
  <c r="L209" i="1"/>
  <c r="K209" i="1"/>
  <c r="J209" i="1" s="1"/>
  <c r="I209" i="1"/>
  <c r="H209" i="1"/>
  <c r="G209" i="1"/>
  <c r="E209" i="1"/>
  <c r="D209" i="1"/>
  <c r="L208" i="1"/>
  <c r="K208" i="1"/>
  <c r="J208" i="1"/>
  <c r="I208" i="1"/>
  <c r="H208" i="1"/>
  <c r="G208" i="1"/>
  <c r="E208" i="1"/>
  <c r="D208" i="1"/>
  <c r="L207" i="1"/>
  <c r="K207" i="1"/>
  <c r="J207" i="1" s="1"/>
  <c r="H207" i="1"/>
  <c r="G207" i="1"/>
  <c r="F207" i="1"/>
  <c r="E207" i="1"/>
  <c r="D207" i="1"/>
  <c r="L206" i="1"/>
  <c r="K206" i="1"/>
  <c r="J206" i="1"/>
  <c r="H206" i="1"/>
  <c r="G206" i="1"/>
  <c r="F206" i="1"/>
  <c r="E206" i="1"/>
  <c r="D206" i="1"/>
  <c r="L205" i="1"/>
  <c r="K205" i="1"/>
  <c r="F205" i="1" s="1"/>
  <c r="J205" i="1"/>
  <c r="I205" i="1"/>
  <c r="H205" i="1"/>
  <c r="G205" i="1"/>
  <c r="E205" i="1"/>
  <c r="D205" i="1"/>
  <c r="L204" i="1"/>
  <c r="K204" i="1"/>
  <c r="J204" i="1" s="1"/>
  <c r="H204" i="1"/>
  <c r="G204" i="1"/>
  <c r="E204" i="1"/>
  <c r="D204" i="1"/>
  <c r="L203" i="1"/>
  <c r="K203" i="1"/>
  <c r="J203" i="1"/>
  <c r="H203" i="1"/>
  <c r="G203" i="1"/>
  <c r="I203" i="1" s="1"/>
  <c r="F203" i="1"/>
  <c r="E203" i="1"/>
  <c r="D203" i="1"/>
  <c r="L202" i="1"/>
  <c r="K202" i="1"/>
  <c r="F202" i="1" s="1"/>
  <c r="J202" i="1"/>
  <c r="H202" i="1"/>
  <c r="G202" i="1"/>
  <c r="I202" i="1" s="1"/>
  <c r="E202" i="1"/>
  <c r="D202" i="1"/>
  <c r="L201" i="1"/>
  <c r="K201" i="1"/>
  <c r="J201" i="1"/>
  <c r="H201" i="1"/>
  <c r="G201" i="1"/>
  <c r="I201" i="1" s="1"/>
  <c r="E201" i="1"/>
  <c r="D201" i="1"/>
  <c r="L200" i="1"/>
  <c r="K200" i="1"/>
  <c r="H200" i="1"/>
  <c r="G200" i="1"/>
  <c r="F200" i="1"/>
  <c r="E200" i="1"/>
  <c r="D200" i="1"/>
  <c r="L199" i="1"/>
  <c r="K199" i="1"/>
  <c r="J199" i="1" s="1"/>
  <c r="H199" i="1"/>
  <c r="G199" i="1"/>
  <c r="E199" i="1"/>
  <c r="D199" i="1"/>
  <c r="L198" i="1"/>
  <c r="K198" i="1"/>
  <c r="J198" i="1"/>
  <c r="I198" i="1"/>
  <c r="H198" i="1"/>
  <c r="G198" i="1"/>
  <c r="E198" i="1"/>
  <c r="D198" i="1"/>
  <c r="F198" i="1" s="1"/>
  <c r="L197" i="1"/>
  <c r="K197" i="1"/>
  <c r="J197" i="1" s="1"/>
  <c r="H197" i="1"/>
  <c r="G197" i="1"/>
  <c r="E197" i="1"/>
  <c r="D197" i="1"/>
  <c r="L196" i="1"/>
  <c r="K196" i="1"/>
  <c r="J196" i="1"/>
  <c r="H196" i="1"/>
  <c r="G196" i="1"/>
  <c r="I196" i="1" s="1"/>
  <c r="F196" i="1"/>
  <c r="E196" i="1"/>
  <c r="D196" i="1"/>
  <c r="L195" i="1"/>
  <c r="K195" i="1"/>
  <c r="J195" i="1" s="1"/>
  <c r="H195" i="1"/>
  <c r="I195" i="1" s="1"/>
  <c r="G195" i="1"/>
  <c r="E195" i="1"/>
  <c r="D195" i="1"/>
  <c r="L194" i="1"/>
  <c r="K194" i="1"/>
  <c r="J194" i="1" s="1"/>
  <c r="H194" i="1"/>
  <c r="G194" i="1"/>
  <c r="E194" i="1"/>
  <c r="D194" i="1"/>
  <c r="L193" i="1"/>
  <c r="K193" i="1"/>
  <c r="J193" i="1" s="1"/>
  <c r="I193" i="1"/>
  <c r="H193" i="1"/>
  <c r="G193" i="1"/>
  <c r="E193" i="1"/>
  <c r="D193" i="1"/>
  <c r="L192" i="1"/>
  <c r="K192" i="1"/>
  <c r="J192" i="1"/>
  <c r="H192" i="1"/>
  <c r="G192" i="1"/>
  <c r="E192" i="1"/>
  <c r="D192" i="1"/>
  <c r="F192" i="1" s="1"/>
  <c r="L191" i="1"/>
  <c r="K191" i="1"/>
  <c r="F191" i="1" s="1"/>
  <c r="J191" i="1"/>
  <c r="H191" i="1"/>
  <c r="G191" i="1"/>
  <c r="E191" i="1"/>
  <c r="D191" i="1"/>
  <c r="L190" i="1"/>
  <c r="K190" i="1"/>
  <c r="J190" i="1" s="1"/>
  <c r="H190" i="1"/>
  <c r="G190" i="1"/>
  <c r="E190" i="1"/>
  <c r="F190" i="1" s="1"/>
  <c r="D190" i="1"/>
  <c r="L189" i="1"/>
  <c r="K189" i="1"/>
  <c r="J189" i="1"/>
  <c r="H189" i="1"/>
  <c r="G189" i="1"/>
  <c r="I189" i="1" s="1"/>
  <c r="E189" i="1"/>
  <c r="F189" i="1" s="1"/>
  <c r="D189" i="1"/>
  <c r="L188" i="1"/>
  <c r="K188" i="1"/>
  <c r="F188" i="1" s="1"/>
  <c r="H188" i="1"/>
  <c r="I188" i="1" s="1"/>
  <c r="G188" i="1"/>
  <c r="E188" i="1"/>
  <c r="D188" i="1"/>
  <c r="L187" i="1"/>
  <c r="K187" i="1"/>
  <c r="J187" i="1" s="1"/>
  <c r="H187" i="1"/>
  <c r="G187" i="1"/>
  <c r="E187" i="1"/>
  <c r="D187" i="1"/>
  <c r="L186" i="1"/>
  <c r="K186" i="1"/>
  <c r="F186" i="1" s="1"/>
  <c r="H186" i="1"/>
  <c r="G186" i="1"/>
  <c r="E186" i="1"/>
  <c r="D186" i="1"/>
  <c r="L185" i="1"/>
  <c r="K185" i="1"/>
  <c r="J185" i="1"/>
  <c r="H185" i="1"/>
  <c r="G185" i="1"/>
  <c r="I185" i="1" s="1"/>
  <c r="F185" i="1"/>
  <c r="E185" i="1"/>
  <c r="D185" i="1"/>
  <c r="L184" i="1"/>
  <c r="K184" i="1"/>
  <c r="J184" i="1"/>
  <c r="I184" i="1"/>
  <c r="H184" i="1"/>
  <c r="G184" i="1"/>
  <c r="E184" i="1"/>
  <c r="D184" i="1"/>
  <c r="F184" i="1" s="1"/>
  <c r="L183" i="1"/>
  <c r="K183" i="1"/>
  <c r="J183" i="1" s="1"/>
  <c r="H183" i="1"/>
  <c r="G183" i="1"/>
  <c r="E183" i="1"/>
  <c r="D183" i="1"/>
  <c r="L182" i="1"/>
  <c r="K182" i="1"/>
  <c r="J182" i="1"/>
  <c r="H182" i="1"/>
  <c r="G182" i="1"/>
  <c r="I182" i="1" s="1"/>
  <c r="F182" i="1"/>
  <c r="E182" i="1"/>
  <c r="D182" i="1"/>
  <c r="L181" i="1"/>
  <c r="K181" i="1"/>
  <c r="J181" i="1" s="1"/>
  <c r="I181" i="1"/>
  <c r="H181" i="1"/>
  <c r="G181" i="1"/>
  <c r="E181" i="1"/>
  <c r="D181" i="1"/>
  <c r="L180" i="1"/>
  <c r="K180" i="1"/>
  <c r="J180" i="1"/>
  <c r="I180" i="1"/>
  <c r="H180" i="1"/>
  <c r="G180" i="1"/>
  <c r="E180" i="1"/>
  <c r="D180" i="1"/>
  <c r="F180" i="1" s="1"/>
  <c r="L179" i="1"/>
  <c r="K179" i="1"/>
  <c r="J179" i="1" s="1"/>
  <c r="H179" i="1"/>
  <c r="G179" i="1"/>
  <c r="F179" i="1"/>
  <c r="E179" i="1"/>
  <c r="D179" i="1"/>
  <c r="L178" i="1"/>
  <c r="K178" i="1"/>
  <c r="J178" i="1"/>
  <c r="H178" i="1"/>
  <c r="G178" i="1"/>
  <c r="F178" i="1"/>
  <c r="E178" i="1"/>
  <c r="D178" i="1"/>
  <c r="L177" i="1"/>
  <c r="K177" i="1"/>
  <c r="J177" i="1"/>
  <c r="I177" i="1"/>
  <c r="H177" i="1"/>
  <c r="G177" i="1"/>
  <c r="E177" i="1"/>
  <c r="D177" i="1"/>
  <c r="L176" i="1"/>
  <c r="K176" i="1"/>
  <c r="J176" i="1" s="1"/>
  <c r="H176" i="1"/>
  <c r="G176" i="1"/>
  <c r="E176" i="1"/>
  <c r="D176" i="1"/>
  <c r="L175" i="1"/>
  <c r="K175" i="1"/>
  <c r="J175" i="1"/>
  <c r="H175" i="1"/>
  <c r="G175" i="1"/>
  <c r="I175" i="1" s="1"/>
  <c r="E175" i="1"/>
  <c r="F175" i="1" s="1"/>
  <c r="D175" i="1"/>
  <c r="L174" i="1"/>
  <c r="K174" i="1"/>
  <c r="F174" i="1" s="1"/>
  <c r="H174" i="1"/>
  <c r="G174" i="1"/>
  <c r="E174" i="1"/>
  <c r="D174" i="1"/>
  <c r="L173" i="1"/>
  <c r="K173" i="1"/>
  <c r="J173" i="1" s="1"/>
  <c r="H173" i="1"/>
  <c r="G173" i="1"/>
  <c r="E173" i="1"/>
  <c r="F173" i="1" s="1"/>
  <c r="D173" i="1"/>
  <c r="L172" i="1"/>
  <c r="K172" i="1"/>
  <c r="J172" i="1" s="1"/>
  <c r="I172" i="1"/>
  <c r="H172" i="1"/>
  <c r="G172" i="1"/>
  <c r="E172" i="1"/>
  <c r="D172" i="1"/>
  <c r="L171" i="1"/>
  <c r="K171" i="1"/>
  <c r="J171" i="1" s="1"/>
  <c r="H171" i="1"/>
  <c r="I171" i="1" s="1"/>
  <c r="G171" i="1"/>
  <c r="E171" i="1"/>
  <c r="D171" i="1"/>
  <c r="L170" i="1"/>
  <c r="K170" i="1"/>
  <c r="J170" i="1"/>
  <c r="I170" i="1"/>
  <c r="H170" i="1"/>
  <c r="G170" i="1"/>
  <c r="E170" i="1"/>
  <c r="D170" i="1"/>
  <c r="F170" i="1" s="1"/>
  <c r="L169" i="1"/>
  <c r="K169" i="1"/>
  <c r="J169" i="1" s="1"/>
  <c r="H169" i="1"/>
  <c r="G169" i="1"/>
  <c r="E169" i="1"/>
  <c r="D169" i="1"/>
  <c r="L168" i="1"/>
  <c r="K168" i="1"/>
  <c r="J168" i="1" s="1"/>
  <c r="H168" i="1"/>
  <c r="G168" i="1"/>
  <c r="E168" i="1"/>
  <c r="F168" i="1" s="1"/>
  <c r="D168" i="1"/>
  <c r="L167" i="1"/>
  <c r="K167" i="1"/>
  <c r="J167" i="1" s="1"/>
  <c r="I167" i="1"/>
  <c r="H167" i="1"/>
  <c r="G167" i="1"/>
  <c r="E167" i="1"/>
  <c r="D167" i="1"/>
  <c r="L166" i="1"/>
  <c r="K166" i="1"/>
  <c r="J166" i="1" s="1"/>
  <c r="I166" i="1"/>
  <c r="H166" i="1"/>
  <c r="G166" i="1"/>
  <c r="E166" i="1"/>
  <c r="D166" i="1"/>
  <c r="L165" i="1"/>
  <c r="K165" i="1"/>
  <c r="J165" i="1"/>
  <c r="I165" i="1"/>
  <c r="H165" i="1"/>
  <c r="G165" i="1"/>
  <c r="E165" i="1"/>
  <c r="D165" i="1"/>
  <c r="F165" i="1" s="1"/>
  <c r="L164" i="1"/>
  <c r="K164" i="1"/>
  <c r="J164" i="1" s="1"/>
  <c r="H164" i="1"/>
  <c r="G164" i="1"/>
  <c r="F164" i="1"/>
  <c r="E164" i="1"/>
  <c r="D164" i="1"/>
  <c r="L163" i="1"/>
  <c r="K163" i="1"/>
  <c r="J163" i="1" s="1"/>
  <c r="I163" i="1"/>
  <c r="H163" i="1"/>
  <c r="G163" i="1"/>
  <c r="F163" i="1"/>
  <c r="E163" i="1"/>
  <c r="D163" i="1"/>
  <c r="L162" i="1"/>
  <c r="K162" i="1"/>
  <c r="J162" i="1" s="1"/>
  <c r="H162" i="1"/>
  <c r="G162" i="1"/>
  <c r="E162" i="1"/>
  <c r="D162" i="1"/>
  <c r="L161" i="1"/>
  <c r="K161" i="1"/>
  <c r="J161" i="1"/>
  <c r="I161" i="1"/>
  <c r="H161" i="1"/>
  <c r="G161" i="1"/>
  <c r="F161" i="1"/>
  <c r="E161" i="1"/>
  <c r="D161" i="1"/>
  <c r="L160" i="1"/>
  <c r="K160" i="1"/>
  <c r="J160" i="1" s="1"/>
  <c r="H160" i="1"/>
  <c r="G160" i="1"/>
  <c r="E160" i="1"/>
  <c r="D160" i="1"/>
  <c r="L159" i="1"/>
  <c r="K159" i="1"/>
  <c r="F159" i="1" s="1"/>
  <c r="J159" i="1"/>
  <c r="I159" i="1"/>
  <c r="H159" i="1"/>
  <c r="G159" i="1"/>
  <c r="E159" i="1"/>
  <c r="D159" i="1"/>
  <c r="L158" i="1"/>
  <c r="K158" i="1"/>
  <c r="J158" i="1" s="1"/>
  <c r="H158" i="1"/>
  <c r="G158" i="1"/>
  <c r="E158" i="1"/>
  <c r="D158" i="1"/>
  <c r="L157" i="1"/>
  <c r="K157" i="1"/>
  <c r="J157" i="1" s="1"/>
  <c r="H157" i="1"/>
  <c r="G157" i="1"/>
  <c r="E157" i="1"/>
  <c r="D157" i="1"/>
  <c r="L156" i="1"/>
  <c r="K156" i="1"/>
  <c r="J156" i="1"/>
  <c r="H156" i="1"/>
  <c r="G156" i="1"/>
  <c r="I156" i="1" s="1"/>
  <c r="F156" i="1"/>
  <c r="E156" i="1"/>
  <c r="D156" i="1"/>
  <c r="L155" i="1"/>
  <c r="K155" i="1"/>
  <c r="J155" i="1" s="1"/>
  <c r="H155" i="1"/>
  <c r="G155" i="1"/>
  <c r="E155" i="1"/>
  <c r="D155" i="1"/>
  <c r="L154" i="1"/>
  <c r="K154" i="1"/>
  <c r="F154" i="1" s="1"/>
  <c r="J154" i="1"/>
  <c r="I154" i="1"/>
  <c r="G154" i="1"/>
  <c r="D154" i="1"/>
  <c r="L153" i="1"/>
  <c r="K153" i="1"/>
  <c r="J153" i="1"/>
  <c r="H153" i="1"/>
  <c r="G153" i="1"/>
  <c r="I153" i="1" s="1"/>
  <c r="F153" i="1"/>
  <c r="E153" i="1"/>
  <c r="D153" i="1"/>
  <c r="L152" i="1"/>
  <c r="K152" i="1"/>
  <c r="F152" i="1" s="1"/>
  <c r="H152" i="1"/>
  <c r="G152" i="1"/>
  <c r="E152" i="1"/>
  <c r="D152" i="1"/>
  <c r="L151" i="1"/>
  <c r="K151" i="1"/>
  <c r="F151" i="1" s="1"/>
  <c r="J151" i="1"/>
  <c r="I151" i="1"/>
  <c r="H151" i="1"/>
  <c r="G151" i="1"/>
  <c r="E151" i="1"/>
  <c r="D151" i="1"/>
  <c r="L150" i="1"/>
  <c r="K150" i="1"/>
  <c r="J150" i="1" s="1"/>
  <c r="I150" i="1"/>
  <c r="H150" i="1"/>
  <c r="G150" i="1"/>
  <c r="E150" i="1"/>
  <c r="D150" i="1"/>
  <c r="F150" i="1" s="1"/>
  <c r="L149" i="1"/>
  <c r="K149" i="1"/>
  <c r="F149" i="1" s="1"/>
  <c r="H149" i="1"/>
  <c r="G149" i="1"/>
  <c r="E149" i="1"/>
  <c r="D149" i="1"/>
  <c r="L148" i="1"/>
  <c r="K148" i="1"/>
  <c r="J148" i="1"/>
  <c r="H148" i="1"/>
  <c r="G148" i="1"/>
  <c r="I148" i="1" s="1"/>
  <c r="F148" i="1"/>
  <c r="E148" i="1"/>
  <c r="D148" i="1"/>
  <c r="L147" i="1"/>
  <c r="K147" i="1"/>
  <c r="J147" i="1" s="1"/>
  <c r="H147" i="1"/>
  <c r="G147" i="1"/>
  <c r="E147" i="1"/>
  <c r="D147" i="1"/>
  <c r="L146" i="1"/>
  <c r="K146" i="1"/>
  <c r="F146" i="1" s="1"/>
  <c r="J146" i="1"/>
  <c r="I146" i="1"/>
  <c r="H146" i="1"/>
  <c r="G146" i="1"/>
  <c r="E146" i="1"/>
  <c r="D146" i="1"/>
  <c r="L145" i="1"/>
  <c r="K145" i="1"/>
  <c r="J145" i="1" s="1"/>
  <c r="I145" i="1"/>
  <c r="H145" i="1"/>
  <c r="G145" i="1"/>
  <c r="E145" i="1"/>
  <c r="D145" i="1"/>
  <c r="F145" i="1" s="1"/>
  <c r="L144" i="1"/>
  <c r="K144" i="1"/>
  <c r="F144" i="1" s="1"/>
  <c r="H144" i="1"/>
  <c r="G144" i="1"/>
  <c r="E144" i="1"/>
  <c r="D144" i="1"/>
  <c r="L143" i="1"/>
  <c r="K143" i="1"/>
  <c r="J143" i="1"/>
  <c r="H143" i="1"/>
  <c r="G143" i="1"/>
  <c r="I143" i="1" s="1"/>
  <c r="F143" i="1"/>
  <c r="E143" i="1"/>
  <c r="D143" i="1"/>
  <c r="L142" i="1"/>
  <c r="K142" i="1"/>
  <c r="J142" i="1" s="1"/>
  <c r="H142" i="1"/>
  <c r="G142" i="1"/>
  <c r="E142" i="1"/>
  <c r="D142" i="1"/>
  <c r="F142" i="1" s="1"/>
  <c r="L141" i="1"/>
  <c r="K141" i="1"/>
  <c r="I141" i="1" s="1"/>
  <c r="J141" i="1"/>
  <c r="H141" i="1"/>
  <c r="G141" i="1"/>
  <c r="E141" i="1"/>
  <c r="D141" i="1"/>
  <c r="L140" i="1"/>
  <c r="K140" i="1"/>
  <c r="J140" i="1" s="1"/>
  <c r="H140" i="1"/>
  <c r="G140" i="1"/>
  <c r="E140" i="1"/>
  <c r="F140" i="1" s="1"/>
  <c r="D140" i="1"/>
  <c r="L139" i="1"/>
  <c r="K139" i="1"/>
  <c r="J139" i="1"/>
  <c r="I139" i="1"/>
  <c r="H139" i="1"/>
  <c r="G139" i="1"/>
  <c r="F139" i="1"/>
  <c r="E139" i="1"/>
  <c r="D139" i="1"/>
  <c r="L138" i="1"/>
  <c r="K138" i="1"/>
  <c r="J138" i="1"/>
  <c r="I138" i="1"/>
  <c r="H138" i="1"/>
  <c r="G138" i="1"/>
  <c r="E138" i="1"/>
  <c r="D138" i="1"/>
  <c r="L137" i="1"/>
  <c r="K137" i="1"/>
  <c r="J137" i="1"/>
  <c r="I137" i="1"/>
  <c r="H137" i="1"/>
  <c r="G137" i="1"/>
  <c r="E137" i="1"/>
  <c r="D137" i="1"/>
  <c r="F137" i="1" s="1"/>
  <c r="L136" i="1"/>
  <c r="K136" i="1"/>
  <c r="J136" i="1" s="1"/>
  <c r="H136" i="1"/>
  <c r="G136" i="1"/>
  <c r="F136" i="1"/>
  <c r="E136" i="1"/>
  <c r="D136" i="1"/>
  <c r="L135" i="1"/>
  <c r="K135" i="1"/>
  <c r="J135" i="1" s="1"/>
  <c r="H135" i="1"/>
  <c r="G135" i="1"/>
  <c r="I135" i="1" s="1"/>
  <c r="F135" i="1"/>
  <c r="E135" i="1"/>
  <c r="D135" i="1"/>
  <c r="L134" i="1"/>
  <c r="K134" i="1"/>
  <c r="J134" i="1"/>
  <c r="H134" i="1"/>
  <c r="G134" i="1"/>
  <c r="I134" i="1" s="1"/>
  <c r="E134" i="1"/>
  <c r="D134" i="1"/>
  <c r="F134" i="1" s="1"/>
  <c r="L133" i="1"/>
  <c r="K133" i="1"/>
  <c r="J133" i="1"/>
  <c r="H133" i="1"/>
  <c r="G133" i="1"/>
  <c r="E133" i="1"/>
  <c r="D133" i="1"/>
  <c r="L132" i="1"/>
  <c r="K132" i="1"/>
  <c r="J132" i="1"/>
  <c r="I132" i="1"/>
  <c r="H132" i="1"/>
  <c r="G132" i="1"/>
  <c r="F132" i="1"/>
  <c r="E132" i="1"/>
  <c r="D132" i="1"/>
  <c r="L131" i="1"/>
  <c r="K131" i="1"/>
  <c r="J131" i="1" s="1"/>
  <c r="H131" i="1"/>
  <c r="G131" i="1"/>
  <c r="F131" i="1"/>
  <c r="E131" i="1"/>
  <c r="D131" i="1"/>
  <c r="L130" i="1"/>
  <c r="K130" i="1"/>
  <c r="J130" i="1" s="1"/>
  <c r="H130" i="1"/>
  <c r="G130" i="1"/>
  <c r="I130" i="1" s="1"/>
  <c r="F130" i="1"/>
  <c r="E130" i="1"/>
  <c r="D130" i="1"/>
  <c r="L129" i="1"/>
  <c r="K129" i="1"/>
  <c r="J129" i="1" s="1"/>
  <c r="H129" i="1"/>
  <c r="G129" i="1"/>
  <c r="E129" i="1"/>
  <c r="D129" i="1"/>
  <c r="L128" i="1"/>
  <c r="K128" i="1"/>
  <c r="I128" i="1" s="1"/>
  <c r="J128" i="1"/>
  <c r="H128" i="1"/>
  <c r="G128" i="1"/>
  <c r="E128" i="1"/>
  <c r="D128" i="1"/>
  <c r="L127" i="1"/>
  <c r="K127" i="1"/>
  <c r="J127" i="1"/>
  <c r="I127" i="1"/>
  <c r="H127" i="1"/>
  <c r="G127" i="1"/>
  <c r="E127" i="1"/>
  <c r="F127" i="1" s="1"/>
  <c r="D127" i="1"/>
  <c r="L126" i="1"/>
  <c r="K126" i="1"/>
  <c r="F126" i="1" s="1"/>
  <c r="I126" i="1"/>
  <c r="H126" i="1"/>
  <c r="G126" i="1"/>
  <c r="E126" i="1"/>
  <c r="D126" i="1"/>
  <c r="L125" i="1"/>
  <c r="K125" i="1"/>
  <c r="J125" i="1"/>
  <c r="I125" i="1"/>
  <c r="H125" i="1"/>
  <c r="G125" i="1"/>
  <c r="E125" i="1"/>
  <c r="D125" i="1"/>
  <c r="F125" i="1" s="1"/>
  <c r="L124" i="1"/>
  <c r="K124" i="1"/>
  <c r="J124" i="1"/>
  <c r="I124" i="1"/>
  <c r="H124" i="1"/>
  <c r="G124" i="1"/>
  <c r="E124" i="1"/>
  <c r="D124" i="1"/>
  <c r="L123" i="1"/>
  <c r="K123" i="1"/>
  <c r="F123" i="1" s="1"/>
  <c r="H123" i="1"/>
  <c r="G123" i="1"/>
  <c r="E123" i="1"/>
  <c r="D123" i="1"/>
  <c r="L122" i="1"/>
  <c r="K122" i="1"/>
  <c r="J122" i="1" s="1"/>
  <c r="H122" i="1"/>
  <c r="G122" i="1"/>
  <c r="E122" i="1"/>
  <c r="F122" i="1" s="1"/>
  <c r="D122" i="1"/>
  <c r="L121" i="1"/>
  <c r="K121" i="1"/>
  <c r="J121" i="1"/>
  <c r="I121" i="1"/>
  <c r="H121" i="1"/>
  <c r="G121" i="1"/>
  <c r="F121" i="1"/>
  <c r="E121" i="1"/>
  <c r="D121" i="1"/>
  <c r="L120" i="1"/>
  <c r="K120" i="1"/>
  <c r="J120" i="1"/>
  <c r="I120" i="1"/>
  <c r="H120" i="1"/>
  <c r="G120" i="1"/>
  <c r="E120" i="1"/>
  <c r="D120" i="1"/>
  <c r="F120" i="1" s="1"/>
  <c r="L119" i="1"/>
  <c r="K119" i="1"/>
  <c r="J119" i="1"/>
  <c r="H119" i="1"/>
  <c r="G119" i="1"/>
  <c r="E119" i="1"/>
  <c r="D119" i="1"/>
  <c r="L118" i="1"/>
  <c r="K118" i="1"/>
  <c r="F118" i="1" s="1"/>
  <c r="H118" i="1"/>
  <c r="G118" i="1"/>
  <c r="E118" i="1"/>
  <c r="D118" i="1"/>
  <c r="L117" i="1"/>
  <c r="K117" i="1"/>
  <c r="J117" i="1" s="1"/>
  <c r="H117" i="1"/>
  <c r="G117" i="1"/>
  <c r="E117" i="1"/>
  <c r="F117" i="1" s="1"/>
  <c r="D117" i="1"/>
  <c r="L116" i="1"/>
  <c r="K116" i="1"/>
  <c r="J116" i="1"/>
  <c r="I116" i="1"/>
  <c r="H116" i="1"/>
  <c r="G116" i="1"/>
  <c r="F116" i="1"/>
  <c r="E116" i="1"/>
  <c r="D116" i="1"/>
  <c r="L115" i="1"/>
  <c r="K115" i="1"/>
  <c r="F115" i="1" s="1"/>
  <c r="J115" i="1"/>
  <c r="I115" i="1"/>
  <c r="H115" i="1"/>
  <c r="G115" i="1"/>
  <c r="E115" i="1"/>
  <c r="D115" i="1"/>
  <c r="L114" i="1"/>
  <c r="K114" i="1"/>
  <c r="J114" i="1"/>
  <c r="H114" i="1"/>
  <c r="G114" i="1"/>
  <c r="E114" i="1"/>
  <c r="D114" i="1"/>
  <c r="F114" i="1" s="1"/>
  <c r="L113" i="1"/>
  <c r="K113" i="1"/>
  <c r="F113" i="1" s="1"/>
  <c r="H113" i="1"/>
  <c r="G113" i="1"/>
  <c r="E113" i="1"/>
  <c r="D113" i="1"/>
  <c r="L112" i="1"/>
  <c r="K112" i="1"/>
  <c r="J112" i="1"/>
  <c r="H112" i="1"/>
  <c r="G112" i="1"/>
  <c r="I112" i="1" s="1"/>
  <c r="F112" i="1"/>
  <c r="E112" i="1"/>
  <c r="D112" i="1"/>
  <c r="L111" i="1"/>
  <c r="K111" i="1"/>
  <c r="J111" i="1"/>
  <c r="H111" i="1"/>
  <c r="G111" i="1"/>
  <c r="I111" i="1" s="1"/>
  <c r="E111" i="1"/>
  <c r="D111" i="1"/>
  <c r="F111" i="1" s="1"/>
  <c r="L110" i="1"/>
  <c r="K110" i="1"/>
  <c r="F110" i="1" s="1"/>
  <c r="H110" i="1"/>
  <c r="G110" i="1"/>
  <c r="E110" i="1"/>
  <c r="D110" i="1"/>
  <c r="L109" i="1"/>
  <c r="K109" i="1"/>
  <c r="J109" i="1" s="1"/>
  <c r="H109" i="1"/>
  <c r="G109" i="1"/>
  <c r="E109" i="1"/>
  <c r="F109" i="1" s="1"/>
  <c r="D109" i="1"/>
  <c r="L108" i="1"/>
  <c r="K108" i="1"/>
  <c r="J108" i="1" s="1"/>
  <c r="I108" i="1"/>
  <c r="H108" i="1"/>
  <c r="G108" i="1"/>
  <c r="E108" i="1"/>
  <c r="D108" i="1"/>
  <c r="L107" i="1"/>
  <c r="K107" i="1"/>
  <c r="J107" i="1" s="1"/>
  <c r="H107" i="1"/>
  <c r="I107" i="1" s="1"/>
  <c r="G107" i="1"/>
  <c r="E107" i="1"/>
  <c r="D107" i="1"/>
  <c r="L106" i="1"/>
  <c r="K106" i="1"/>
  <c r="J106" i="1"/>
  <c r="I106" i="1"/>
  <c r="H106" i="1"/>
  <c r="G106" i="1"/>
  <c r="E106" i="1"/>
  <c r="D106" i="1"/>
  <c r="F106" i="1" s="1"/>
  <c r="L105" i="1"/>
  <c r="K105" i="1"/>
  <c r="J105" i="1" s="1"/>
  <c r="H105" i="1"/>
  <c r="G105" i="1"/>
  <c r="E105" i="1"/>
  <c r="D105" i="1"/>
  <c r="L104" i="1"/>
  <c r="K104" i="1"/>
  <c r="J104" i="1" s="1"/>
  <c r="H104" i="1"/>
  <c r="G104" i="1"/>
  <c r="E104" i="1"/>
  <c r="F104" i="1" s="1"/>
  <c r="D104" i="1"/>
  <c r="L103" i="1"/>
  <c r="K103" i="1"/>
  <c r="J103" i="1" s="1"/>
  <c r="I103" i="1"/>
  <c r="H103" i="1"/>
  <c r="G103" i="1"/>
  <c r="E103" i="1"/>
  <c r="D103" i="1"/>
  <c r="L102" i="1"/>
  <c r="K102" i="1"/>
  <c r="J102" i="1" s="1"/>
  <c r="I102" i="1"/>
  <c r="H102" i="1"/>
  <c r="G102" i="1"/>
  <c r="E102" i="1"/>
  <c r="D102" i="1"/>
  <c r="L101" i="1"/>
  <c r="K101" i="1"/>
  <c r="J101" i="1"/>
  <c r="I101" i="1"/>
  <c r="H101" i="1"/>
  <c r="G101" i="1"/>
  <c r="E101" i="1"/>
  <c r="D101" i="1"/>
  <c r="F101" i="1" s="1"/>
  <c r="L100" i="1"/>
  <c r="K100" i="1"/>
  <c r="J100" i="1" s="1"/>
  <c r="H100" i="1"/>
  <c r="G100" i="1"/>
  <c r="F100" i="1"/>
  <c r="E100" i="1"/>
  <c r="D100" i="1"/>
  <c r="L99" i="1"/>
  <c r="K99" i="1"/>
  <c r="J99" i="1" s="1"/>
  <c r="I99" i="1"/>
  <c r="H99" i="1"/>
  <c r="G99" i="1"/>
  <c r="F99" i="1"/>
  <c r="E99" i="1"/>
  <c r="D99" i="1"/>
  <c r="L98" i="1"/>
  <c r="K98" i="1"/>
  <c r="J98" i="1" s="1"/>
  <c r="H98" i="1"/>
  <c r="G98" i="1"/>
  <c r="E98" i="1"/>
  <c r="D98" i="1"/>
  <c r="L97" i="1"/>
  <c r="K97" i="1"/>
  <c r="J97" i="1"/>
  <c r="I97" i="1"/>
  <c r="H97" i="1"/>
  <c r="G97" i="1"/>
  <c r="F97" i="1"/>
  <c r="E97" i="1"/>
  <c r="D97" i="1"/>
  <c r="L96" i="1"/>
  <c r="K96" i="1"/>
  <c r="J96" i="1" s="1"/>
  <c r="H96" i="1"/>
  <c r="G96" i="1"/>
  <c r="E96" i="1"/>
  <c r="D96" i="1"/>
  <c r="L95" i="1"/>
  <c r="K95" i="1"/>
  <c r="J95" i="1"/>
  <c r="I95" i="1"/>
  <c r="H95" i="1"/>
  <c r="G95" i="1"/>
  <c r="E95" i="1"/>
  <c r="D95" i="1"/>
  <c r="F95" i="1" s="1"/>
  <c r="L94" i="1"/>
  <c r="K94" i="1"/>
  <c r="J94" i="1" s="1"/>
  <c r="H94" i="1"/>
  <c r="G94" i="1"/>
  <c r="E94" i="1"/>
  <c r="D94" i="1"/>
  <c r="L93" i="1"/>
  <c r="K93" i="1"/>
  <c r="J93" i="1" s="1"/>
  <c r="H93" i="1"/>
  <c r="G93" i="1"/>
  <c r="E93" i="1"/>
  <c r="D93" i="1"/>
  <c r="L92" i="1"/>
  <c r="K92" i="1"/>
  <c r="J92" i="1"/>
  <c r="H92" i="1"/>
  <c r="G92" i="1"/>
  <c r="I92" i="1" s="1"/>
  <c r="F92" i="1"/>
  <c r="E92" i="1"/>
  <c r="D92" i="1"/>
  <c r="L91" i="1"/>
  <c r="K91" i="1"/>
  <c r="J91" i="1" s="1"/>
  <c r="H91" i="1"/>
  <c r="G91" i="1"/>
  <c r="E91" i="1"/>
  <c r="D91" i="1"/>
  <c r="L90" i="1"/>
  <c r="K90" i="1"/>
  <c r="J90" i="1"/>
  <c r="I90" i="1"/>
  <c r="H90" i="1"/>
  <c r="G90" i="1"/>
  <c r="E90" i="1"/>
  <c r="F90" i="1" s="1"/>
  <c r="D90" i="1"/>
  <c r="L89" i="1"/>
  <c r="K89" i="1"/>
  <c r="J89" i="1" s="1"/>
  <c r="H89" i="1"/>
  <c r="G89" i="1"/>
  <c r="E89" i="1"/>
  <c r="D89" i="1"/>
  <c r="L88" i="1"/>
  <c r="K88" i="1"/>
  <c r="J88" i="1" s="1"/>
  <c r="H88" i="1"/>
  <c r="G88" i="1"/>
  <c r="E88" i="1"/>
  <c r="D88" i="1"/>
  <c r="L87" i="1"/>
  <c r="K87" i="1"/>
  <c r="F87" i="1" s="1"/>
  <c r="H87" i="1"/>
  <c r="G87" i="1"/>
  <c r="E87" i="1"/>
  <c r="D87" i="1"/>
  <c r="L86" i="1"/>
  <c r="K86" i="1"/>
  <c r="J86" i="1" s="1"/>
  <c r="H86" i="1"/>
  <c r="G86" i="1"/>
  <c r="E86" i="1"/>
  <c r="F86" i="1" s="1"/>
  <c r="D86" i="1"/>
  <c r="L85" i="1"/>
  <c r="K85" i="1"/>
  <c r="J85" i="1"/>
  <c r="I85" i="1"/>
  <c r="H85" i="1"/>
  <c r="G85" i="1"/>
  <c r="F85" i="1"/>
  <c r="E85" i="1"/>
  <c r="D85" i="1"/>
  <c r="L84" i="1"/>
  <c r="K84" i="1"/>
  <c r="F84" i="1" s="1"/>
  <c r="J84" i="1"/>
  <c r="I84" i="1"/>
  <c r="H84" i="1"/>
  <c r="G84" i="1"/>
  <c r="E84" i="1"/>
  <c r="D84" i="1"/>
  <c r="L83" i="1"/>
  <c r="K83" i="1"/>
  <c r="J83" i="1"/>
  <c r="H83" i="1"/>
  <c r="G83" i="1"/>
  <c r="I83" i="1" s="1"/>
  <c r="E83" i="1"/>
  <c r="D83" i="1"/>
  <c r="F83" i="1" s="1"/>
  <c r="L82" i="1"/>
  <c r="K82" i="1"/>
  <c r="J82" i="1"/>
  <c r="I82" i="1"/>
  <c r="H82" i="1"/>
  <c r="G82" i="1"/>
  <c r="E82" i="1"/>
  <c r="D82" i="1"/>
  <c r="L81" i="1"/>
  <c r="K81" i="1"/>
  <c r="J81" i="1"/>
  <c r="H81" i="1"/>
  <c r="G81" i="1"/>
  <c r="I81" i="1" s="1"/>
  <c r="F81" i="1"/>
  <c r="E81" i="1"/>
  <c r="D81" i="1"/>
  <c r="L80" i="1"/>
  <c r="K80" i="1"/>
  <c r="J80" i="1" s="1"/>
  <c r="H80" i="1"/>
  <c r="G80" i="1"/>
  <c r="E80" i="1"/>
  <c r="D80" i="1"/>
  <c r="F80" i="1" s="1"/>
  <c r="L79" i="1"/>
  <c r="K79" i="1"/>
  <c r="I79" i="1" s="1"/>
  <c r="J79" i="1"/>
  <c r="H79" i="1"/>
  <c r="G79" i="1"/>
  <c r="E79" i="1"/>
  <c r="D79" i="1"/>
  <c r="L78" i="1"/>
  <c r="K78" i="1"/>
  <c r="J78" i="1"/>
  <c r="H78" i="1"/>
  <c r="G78" i="1"/>
  <c r="I78" i="1" s="1"/>
  <c r="E78" i="1"/>
  <c r="F78" i="1" s="1"/>
  <c r="D78" i="1"/>
  <c r="L77" i="1"/>
  <c r="K77" i="1"/>
  <c r="J77" i="1"/>
  <c r="H77" i="1"/>
  <c r="G77" i="1"/>
  <c r="E77" i="1"/>
  <c r="D77" i="1"/>
  <c r="L76" i="1"/>
  <c r="K76" i="1"/>
  <c r="J76" i="1"/>
  <c r="H76" i="1"/>
  <c r="G76" i="1"/>
  <c r="I76" i="1" s="1"/>
  <c r="F76" i="1"/>
  <c r="E76" i="1"/>
  <c r="D76" i="1"/>
  <c r="L75" i="1"/>
  <c r="K75" i="1"/>
  <c r="J75" i="1" s="1"/>
  <c r="H75" i="1"/>
  <c r="G75" i="1"/>
  <c r="E75" i="1"/>
  <c r="D75" i="1"/>
  <c r="F75" i="1" s="1"/>
  <c r="L74" i="1"/>
  <c r="K74" i="1"/>
  <c r="I74" i="1" s="1"/>
  <c r="J74" i="1"/>
  <c r="H74" i="1"/>
  <c r="G74" i="1"/>
  <c r="E74" i="1"/>
  <c r="D74" i="1"/>
  <c r="L73" i="1"/>
  <c r="K73" i="1"/>
  <c r="J73" i="1" s="1"/>
  <c r="H73" i="1"/>
  <c r="G73" i="1"/>
  <c r="E73" i="1"/>
  <c r="F73" i="1" s="1"/>
  <c r="D73" i="1"/>
  <c r="L72" i="1"/>
  <c r="K72" i="1"/>
  <c r="J72" i="1"/>
  <c r="H72" i="1"/>
  <c r="G72" i="1"/>
  <c r="E72" i="1"/>
  <c r="D72" i="1"/>
  <c r="L71" i="1"/>
  <c r="K71" i="1"/>
  <c r="J71" i="1" s="1"/>
  <c r="H71" i="1"/>
  <c r="I71" i="1" s="1"/>
  <c r="G71" i="1"/>
  <c r="E71" i="1"/>
  <c r="D71" i="1"/>
  <c r="L70" i="1"/>
  <c r="K70" i="1"/>
  <c r="J70" i="1"/>
  <c r="I70" i="1"/>
  <c r="H70" i="1"/>
  <c r="G70" i="1"/>
  <c r="E70" i="1"/>
  <c r="D70" i="1"/>
  <c r="F70" i="1" s="1"/>
  <c r="L69" i="1"/>
  <c r="K69" i="1"/>
  <c r="J69" i="1"/>
  <c r="H69" i="1"/>
  <c r="G69" i="1"/>
  <c r="I69" i="1" s="1"/>
  <c r="E69" i="1"/>
  <c r="D69" i="1"/>
  <c r="F69" i="1" s="1"/>
  <c r="L68" i="1"/>
  <c r="K68" i="1"/>
  <c r="J68" i="1"/>
  <c r="H68" i="1"/>
  <c r="G68" i="1"/>
  <c r="I68" i="1" s="1"/>
  <c r="E68" i="1"/>
  <c r="D68" i="1"/>
  <c r="L67" i="1"/>
  <c r="K67" i="1"/>
  <c r="J67" i="1" s="1"/>
  <c r="H67" i="1"/>
  <c r="G67" i="1"/>
  <c r="E67" i="1"/>
  <c r="D67" i="1"/>
  <c r="L66" i="1"/>
  <c r="K66" i="1"/>
  <c r="J66" i="1" s="1"/>
  <c r="I66" i="1"/>
  <c r="H66" i="1"/>
  <c r="G66" i="1"/>
  <c r="E66" i="1"/>
  <c r="D66" i="1"/>
  <c r="L65" i="1"/>
  <c r="K65" i="1"/>
  <c r="J65" i="1"/>
  <c r="H65" i="1"/>
  <c r="G65" i="1"/>
  <c r="I65" i="1" s="1"/>
  <c r="E65" i="1"/>
  <c r="D65" i="1"/>
  <c r="F65" i="1" s="1"/>
  <c r="L64" i="1"/>
  <c r="K64" i="1"/>
  <c r="J64" i="1"/>
  <c r="I64" i="1"/>
  <c r="H64" i="1"/>
  <c r="G64" i="1"/>
  <c r="E64" i="1"/>
  <c r="D64" i="1"/>
  <c r="F64" i="1" s="1"/>
  <c r="L63" i="1"/>
  <c r="K63" i="1"/>
  <c r="J63" i="1" s="1"/>
  <c r="H63" i="1"/>
  <c r="G63" i="1"/>
  <c r="E63" i="1"/>
  <c r="D63" i="1"/>
  <c r="L62" i="1"/>
  <c r="K62" i="1"/>
  <c r="J62" i="1" s="1"/>
  <c r="H62" i="1"/>
  <c r="G62" i="1"/>
  <c r="E62" i="1"/>
  <c r="D62" i="1"/>
  <c r="L61" i="1"/>
  <c r="K61" i="1"/>
  <c r="J61" i="1" s="1"/>
  <c r="I61" i="1"/>
  <c r="H61" i="1"/>
  <c r="G61" i="1"/>
  <c r="E61" i="1"/>
  <c r="D61" i="1"/>
  <c r="L60" i="1"/>
  <c r="K60" i="1"/>
  <c r="J60" i="1"/>
  <c r="H60" i="1"/>
  <c r="G60" i="1"/>
  <c r="I60" i="1" s="1"/>
  <c r="E60" i="1"/>
  <c r="D60" i="1"/>
  <c r="F60" i="1" s="1"/>
  <c r="L59" i="1"/>
  <c r="K59" i="1"/>
  <c r="J59" i="1"/>
  <c r="I59" i="1"/>
  <c r="H59" i="1"/>
  <c r="G59" i="1"/>
  <c r="E59" i="1"/>
  <c r="D59" i="1"/>
  <c r="F59" i="1" s="1"/>
  <c r="L58" i="1"/>
  <c r="K58" i="1"/>
  <c r="J58" i="1" s="1"/>
  <c r="H58" i="1"/>
  <c r="I58" i="1" s="1"/>
  <c r="G58" i="1"/>
  <c r="E58" i="1"/>
  <c r="D58" i="1"/>
  <c r="L57" i="1"/>
  <c r="K57" i="1"/>
  <c r="J57" i="1"/>
  <c r="I57" i="1"/>
  <c r="H57" i="1"/>
  <c r="G57" i="1"/>
  <c r="E57" i="1"/>
  <c r="D57" i="1"/>
  <c r="F57" i="1" s="1"/>
  <c r="L56" i="1"/>
  <c r="K56" i="1"/>
  <c r="F56" i="1" s="1"/>
  <c r="H56" i="1"/>
  <c r="G56" i="1"/>
  <c r="E56" i="1"/>
  <c r="D56" i="1"/>
  <c r="L55" i="1"/>
  <c r="K55" i="1"/>
  <c r="J55" i="1"/>
  <c r="H55" i="1"/>
  <c r="G55" i="1"/>
  <c r="I55" i="1" s="1"/>
  <c r="F55" i="1"/>
  <c r="E55" i="1"/>
  <c r="D55" i="1"/>
  <c r="L54" i="1"/>
  <c r="K54" i="1"/>
  <c r="J54" i="1" s="1"/>
  <c r="H54" i="1"/>
  <c r="G54" i="1"/>
  <c r="E54" i="1"/>
  <c r="D54" i="1"/>
  <c r="L53" i="1"/>
  <c r="K53" i="1"/>
  <c r="I53" i="1" s="1"/>
  <c r="J53" i="1"/>
  <c r="H53" i="1"/>
  <c r="G53" i="1"/>
  <c r="E53" i="1"/>
  <c r="D53" i="1"/>
  <c r="L52" i="1"/>
  <c r="K52" i="1"/>
  <c r="J52" i="1" s="1"/>
  <c r="H52" i="1"/>
  <c r="G52" i="1"/>
  <c r="E52" i="1"/>
  <c r="F52" i="1" s="1"/>
  <c r="D52" i="1"/>
  <c r="L51" i="1"/>
  <c r="K51" i="1"/>
  <c r="J51" i="1"/>
  <c r="I51" i="1"/>
  <c r="H51" i="1"/>
  <c r="G51" i="1"/>
  <c r="F51" i="1"/>
  <c r="E51" i="1"/>
  <c r="D51" i="1"/>
  <c r="L50" i="1"/>
  <c r="K50" i="1"/>
  <c r="F50" i="1" s="1"/>
  <c r="J50" i="1"/>
  <c r="I50" i="1"/>
  <c r="H50" i="1"/>
  <c r="G50" i="1"/>
  <c r="E50" i="1"/>
  <c r="D50" i="1"/>
  <c r="L49" i="1"/>
  <c r="K49" i="1"/>
  <c r="J49" i="1"/>
  <c r="H49" i="1"/>
  <c r="G49" i="1"/>
  <c r="I49" i="1" s="1"/>
  <c r="E49" i="1"/>
  <c r="D49" i="1"/>
  <c r="F49" i="1" s="1"/>
  <c r="L48" i="1"/>
  <c r="K48" i="1"/>
  <c r="J48" i="1"/>
  <c r="I48" i="1"/>
  <c r="H48" i="1"/>
  <c r="G48" i="1"/>
  <c r="E48" i="1"/>
  <c r="D48" i="1"/>
  <c r="F48" i="1" s="1"/>
  <c r="L47" i="1"/>
  <c r="K47" i="1"/>
  <c r="J47" i="1" s="1"/>
  <c r="H47" i="1"/>
  <c r="I47" i="1" s="1"/>
  <c r="G47" i="1"/>
  <c r="E47" i="1"/>
  <c r="D47" i="1"/>
  <c r="L46" i="1"/>
  <c r="K46" i="1"/>
  <c r="J46" i="1"/>
  <c r="I46" i="1"/>
  <c r="H46" i="1"/>
  <c r="G46" i="1"/>
  <c r="E46" i="1"/>
  <c r="D46" i="1"/>
  <c r="F46" i="1" s="1"/>
  <c r="L45" i="1"/>
  <c r="K45" i="1"/>
  <c r="F45" i="1" s="1"/>
  <c r="H45" i="1"/>
  <c r="G45" i="1"/>
  <c r="E45" i="1"/>
  <c r="D45" i="1"/>
  <c r="L44" i="1"/>
  <c r="K44" i="1"/>
  <c r="J44" i="1"/>
  <c r="H44" i="1"/>
  <c r="G44" i="1"/>
  <c r="I44" i="1" s="1"/>
  <c r="F44" i="1"/>
  <c r="E44" i="1"/>
  <c r="D44" i="1"/>
  <c r="L43" i="1"/>
  <c r="K43" i="1"/>
  <c r="J43" i="1" s="1"/>
  <c r="H43" i="1"/>
  <c r="G43" i="1"/>
  <c r="E43" i="1"/>
  <c r="D43" i="1"/>
  <c r="L42" i="1"/>
  <c r="K42" i="1"/>
  <c r="F42" i="1" s="1"/>
  <c r="H42" i="1"/>
  <c r="G42" i="1"/>
  <c r="E42" i="1"/>
  <c r="D42" i="1"/>
  <c r="L41" i="1"/>
  <c r="K41" i="1"/>
  <c r="J41" i="1" s="1"/>
  <c r="H41" i="1"/>
  <c r="G41" i="1"/>
  <c r="I41" i="1" s="1"/>
  <c r="F41" i="1"/>
  <c r="E41" i="1"/>
  <c r="D41" i="1"/>
  <c r="L40" i="1"/>
  <c r="K40" i="1"/>
  <c r="J40" i="1" s="1"/>
  <c r="H40" i="1"/>
  <c r="G40" i="1"/>
  <c r="E40" i="1"/>
  <c r="D40" i="1"/>
  <c r="L39" i="1"/>
  <c r="K39" i="1"/>
  <c r="I39" i="1" s="1"/>
  <c r="J39" i="1"/>
  <c r="H39" i="1"/>
  <c r="G39" i="1"/>
  <c r="E39" i="1"/>
  <c r="D39" i="1"/>
  <c r="L38" i="1"/>
  <c r="K38" i="1"/>
  <c r="J38" i="1" s="1"/>
  <c r="H38" i="1"/>
  <c r="G38" i="1"/>
  <c r="E38" i="1"/>
  <c r="F38" i="1" s="1"/>
  <c r="D38" i="1"/>
  <c r="L37" i="1"/>
  <c r="K37" i="1"/>
  <c r="J37" i="1"/>
  <c r="I37" i="1"/>
  <c r="H37" i="1"/>
  <c r="G37" i="1"/>
  <c r="F37" i="1"/>
  <c r="E37" i="1"/>
  <c r="D37" i="1"/>
  <c r="L36" i="1"/>
  <c r="K36" i="1"/>
  <c r="F36" i="1" s="1"/>
  <c r="J36" i="1"/>
  <c r="I36" i="1"/>
  <c r="H36" i="1"/>
  <c r="G36" i="1"/>
  <c r="E36" i="1"/>
  <c r="D36" i="1"/>
  <c r="L35" i="1"/>
  <c r="K35" i="1"/>
  <c r="J35" i="1"/>
  <c r="I35" i="1"/>
  <c r="G35" i="1"/>
  <c r="F35" i="1"/>
  <c r="D35" i="1"/>
  <c r="L34" i="1"/>
  <c r="K34" i="1"/>
  <c r="F34" i="1" s="1"/>
  <c r="H34" i="1"/>
  <c r="G34" i="1"/>
  <c r="E34" i="1"/>
  <c r="D34" i="1"/>
  <c r="L33" i="1"/>
  <c r="K33" i="1"/>
  <c r="J33" i="1" s="1"/>
  <c r="H33" i="1"/>
  <c r="G33" i="1"/>
  <c r="I33" i="1" s="1"/>
  <c r="F33" i="1"/>
  <c r="E33" i="1"/>
  <c r="D33" i="1"/>
  <c r="L32" i="1"/>
  <c r="K32" i="1"/>
  <c r="J32" i="1" s="1"/>
  <c r="H32" i="1"/>
  <c r="G32" i="1"/>
  <c r="E32" i="1"/>
  <c r="D32" i="1"/>
  <c r="L31" i="1"/>
  <c r="K31" i="1"/>
  <c r="I31" i="1" s="1"/>
  <c r="J31" i="1"/>
  <c r="H31" i="1"/>
  <c r="G31" i="1"/>
  <c r="E31" i="1"/>
  <c r="D31" i="1"/>
  <c r="L30" i="1"/>
  <c r="K30" i="1"/>
  <c r="J30" i="1" s="1"/>
  <c r="H30" i="1"/>
  <c r="G30" i="1"/>
  <c r="E30" i="1"/>
  <c r="F30" i="1" s="1"/>
  <c r="D30" i="1"/>
  <c r="L29" i="1"/>
  <c r="K29" i="1"/>
  <c r="J29" i="1"/>
  <c r="I29" i="1"/>
  <c r="H29" i="1"/>
  <c r="G29" i="1"/>
  <c r="F29" i="1"/>
  <c r="E29" i="1"/>
  <c r="D29" i="1"/>
  <c r="L28" i="1"/>
  <c r="K28" i="1"/>
  <c r="F28" i="1" s="1"/>
  <c r="J28" i="1"/>
  <c r="I28" i="1"/>
  <c r="H28" i="1"/>
  <c r="G28" i="1"/>
  <c r="E28" i="1"/>
  <c r="D28" i="1"/>
  <c r="L27" i="1"/>
  <c r="K27" i="1"/>
  <c r="J27" i="1"/>
  <c r="H27" i="1"/>
  <c r="G27" i="1"/>
  <c r="I27" i="1" s="1"/>
  <c r="E27" i="1"/>
  <c r="D27" i="1"/>
  <c r="F27" i="1" s="1"/>
  <c r="L26" i="1"/>
  <c r="K26" i="1"/>
  <c r="J26" i="1"/>
  <c r="I26" i="1"/>
  <c r="H26" i="1"/>
  <c r="G26" i="1"/>
  <c r="E26" i="1"/>
  <c r="D26" i="1"/>
  <c r="F26" i="1" s="1"/>
  <c r="L25" i="1"/>
  <c r="K25" i="1"/>
  <c r="J25" i="1" s="1"/>
  <c r="H25" i="1"/>
  <c r="I25" i="1" s="1"/>
  <c r="G25" i="1"/>
  <c r="E25" i="1"/>
  <c r="D25" i="1"/>
  <c r="L24" i="1"/>
  <c r="K24" i="1"/>
  <c r="J24" i="1"/>
  <c r="I24" i="1"/>
  <c r="H24" i="1"/>
  <c r="G24" i="1"/>
  <c r="E24" i="1"/>
  <c r="D24" i="1"/>
  <c r="F24" i="1" s="1"/>
  <c r="L23" i="1"/>
  <c r="K23" i="1"/>
  <c r="F23" i="1" s="1"/>
  <c r="H23" i="1"/>
  <c r="G23" i="1"/>
  <c r="E23" i="1"/>
  <c r="D23" i="1"/>
  <c r="L22" i="1"/>
  <c r="K22" i="1"/>
  <c r="J22" i="1"/>
  <c r="H22" i="1"/>
  <c r="G22" i="1"/>
  <c r="I22" i="1" s="1"/>
  <c r="F22" i="1"/>
  <c r="E22" i="1"/>
  <c r="D22" i="1"/>
  <c r="L21" i="1"/>
  <c r="K21" i="1"/>
  <c r="J21" i="1" s="1"/>
  <c r="H21" i="1"/>
  <c r="G21" i="1"/>
  <c r="E21" i="1"/>
  <c r="D21" i="1"/>
  <c r="L20" i="1"/>
  <c r="K20" i="1"/>
  <c r="F20" i="1" s="1"/>
  <c r="H20" i="1"/>
  <c r="G20" i="1"/>
  <c r="E20" i="1"/>
  <c r="D20" i="1"/>
  <c r="L19" i="1"/>
  <c r="K19" i="1"/>
  <c r="J19" i="1" s="1"/>
  <c r="H19" i="1"/>
  <c r="G19" i="1"/>
  <c r="I19" i="1" s="1"/>
  <c r="F19" i="1"/>
  <c r="E19" i="1"/>
  <c r="D19" i="1"/>
  <c r="L18" i="1"/>
  <c r="K18" i="1"/>
  <c r="J18" i="1" s="1"/>
  <c r="H18" i="1"/>
  <c r="G18" i="1"/>
  <c r="E18" i="1"/>
  <c r="D18" i="1"/>
  <c r="L17" i="1"/>
  <c r="K17" i="1"/>
  <c r="I17" i="1" s="1"/>
  <c r="J17" i="1"/>
  <c r="H17" i="1"/>
  <c r="G17" i="1"/>
  <c r="E17" i="1"/>
  <c r="D17" i="1"/>
  <c r="L16" i="1"/>
  <c r="K16" i="1"/>
  <c r="J16" i="1" s="1"/>
  <c r="H16" i="1"/>
  <c r="G16" i="1"/>
  <c r="E16" i="1"/>
  <c r="F16" i="1" s="1"/>
  <c r="D16" i="1"/>
  <c r="L15" i="1"/>
  <c r="K15" i="1"/>
  <c r="J15" i="1"/>
  <c r="I15" i="1"/>
  <c r="H15" i="1"/>
  <c r="G15" i="1"/>
  <c r="F15" i="1"/>
  <c r="E15" i="1"/>
  <c r="D15" i="1"/>
  <c r="L14" i="1"/>
  <c r="K14" i="1"/>
  <c r="F14" i="1" s="1"/>
  <c r="J14" i="1"/>
  <c r="I14" i="1"/>
  <c r="H14" i="1"/>
  <c r="G14" i="1"/>
  <c r="E14" i="1"/>
  <c r="D14" i="1"/>
  <c r="L13" i="1"/>
  <c r="K13" i="1"/>
  <c r="F13" i="1" s="1"/>
  <c r="J13" i="1"/>
  <c r="H13" i="1"/>
  <c r="G13" i="1"/>
  <c r="I13" i="1" s="1"/>
  <c r="E13" i="1"/>
  <c r="D13" i="1"/>
  <c r="L12" i="1"/>
  <c r="K12" i="1"/>
  <c r="J12" i="1"/>
  <c r="I12" i="1"/>
  <c r="H12" i="1"/>
  <c r="G12" i="1"/>
  <c r="E12" i="1"/>
  <c r="D12" i="1"/>
  <c r="F12" i="1" s="1"/>
  <c r="L11" i="1"/>
  <c r="K11" i="1"/>
  <c r="J11" i="1" s="1"/>
  <c r="H11" i="1"/>
  <c r="I11" i="1" s="1"/>
  <c r="G11" i="1"/>
  <c r="E11" i="1"/>
  <c r="D11" i="1"/>
  <c r="L10" i="1"/>
  <c r="K10" i="1"/>
  <c r="J10" i="1"/>
  <c r="I10" i="1"/>
  <c r="H10" i="1"/>
  <c r="G10" i="1"/>
  <c r="E10" i="1"/>
  <c r="D10" i="1"/>
  <c r="F10" i="1" s="1"/>
  <c r="L9" i="1"/>
  <c r="K9" i="1"/>
  <c r="F9" i="1" s="1"/>
  <c r="H9" i="1"/>
  <c r="G9" i="1"/>
  <c r="E9" i="1"/>
  <c r="D9" i="1"/>
  <c r="L8" i="1"/>
  <c r="K8" i="1"/>
  <c r="J8" i="1"/>
  <c r="H8" i="1"/>
  <c r="G8" i="1"/>
  <c r="I8" i="1" s="1"/>
  <c r="F8" i="1"/>
  <c r="E8" i="1"/>
  <c r="D8" i="1"/>
  <c r="L7" i="1"/>
  <c r="K7" i="1"/>
  <c r="J7" i="1" s="1"/>
  <c r="H7" i="1"/>
  <c r="G7" i="1"/>
  <c r="E7" i="1"/>
  <c r="D7" i="1"/>
  <c r="L6" i="1"/>
  <c r="K6" i="1"/>
  <c r="J6" i="1" s="1"/>
  <c r="G6" i="1"/>
  <c r="D6" i="1"/>
  <c r="L5" i="1"/>
  <c r="K5" i="1"/>
  <c r="J5" i="1"/>
  <c r="I5" i="1"/>
  <c r="G5" i="1"/>
  <c r="F5" i="1"/>
  <c r="D5" i="1"/>
  <c r="F39" i="1" l="1"/>
  <c r="F53" i="1"/>
  <c r="F141" i="1"/>
  <c r="F227" i="1"/>
  <c r="F260" i="1"/>
  <c r="I267" i="1"/>
  <c r="F267" i="1"/>
  <c r="J298" i="1"/>
  <c r="I298" i="1"/>
  <c r="F331" i="1"/>
  <c r="J331" i="1"/>
  <c r="J375" i="1"/>
  <c r="F375" i="1"/>
  <c r="J417" i="1"/>
  <c r="F417" i="1"/>
  <c r="F17" i="1"/>
  <c r="F74" i="1"/>
  <c r="I9" i="1"/>
  <c r="I23" i="1"/>
  <c r="I45" i="1"/>
  <c r="I56" i="1"/>
  <c r="F61" i="1"/>
  <c r="F66" i="1"/>
  <c r="I72" i="1"/>
  <c r="I77" i="1"/>
  <c r="F77" i="1"/>
  <c r="I113" i="1"/>
  <c r="J126" i="1"/>
  <c r="F128" i="1"/>
  <c r="I144" i="1"/>
  <c r="I149" i="1"/>
  <c r="F177" i="1"/>
  <c r="I191" i="1"/>
  <c r="F193" i="1"/>
  <c r="J214" i="1"/>
  <c r="I214" i="1"/>
  <c r="F218" i="1"/>
  <c r="I225" i="1"/>
  <c r="F225" i="1"/>
  <c r="I234" i="1"/>
  <c r="J256" i="1"/>
  <c r="I256" i="1"/>
  <c r="F278" i="1"/>
  <c r="F289" i="1"/>
  <c r="J289" i="1"/>
  <c r="I311" i="1"/>
  <c r="I313" i="1"/>
  <c r="J333" i="1"/>
  <c r="F333" i="1"/>
  <c r="J355" i="1"/>
  <c r="I370" i="1"/>
  <c r="F381" i="1"/>
  <c r="I386" i="1"/>
  <c r="F397" i="1"/>
  <c r="I437" i="1"/>
  <c r="I439" i="1"/>
  <c r="I295" i="1"/>
  <c r="F295" i="1"/>
  <c r="F31" i="1"/>
  <c r="I6" i="1"/>
  <c r="J9" i="1"/>
  <c r="F11" i="1"/>
  <c r="I20" i="1"/>
  <c r="J23" i="1"/>
  <c r="F25" i="1"/>
  <c r="I34" i="1"/>
  <c r="I42" i="1"/>
  <c r="J45" i="1"/>
  <c r="F47" i="1"/>
  <c r="J56" i="1"/>
  <c r="F58" i="1"/>
  <c r="F71" i="1"/>
  <c r="F82" i="1"/>
  <c r="I87" i="1"/>
  <c r="F102" i="1"/>
  <c r="F107" i="1"/>
  <c r="I110" i="1"/>
  <c r="J113" i="1"/>
  <c r="I118" i="1"/>
  <c r="I123" i="1"/>
  <c r="I131" i="1"/>
  <c r="I136" i="1"/>
  <c r="J144" i="1"/>
  <c r="J149" i="1"/>
  <c r="F166" i="1"/>
  <c r="F171" i="1"/>
  <c r="I174" i="1"/>
  <c r="I179" i="1"/>
  <c r="I207" i="1"/>
  <c r="F236" i="1"/>
  <c r="F247" i="1"/>
  <c r="J247" i="1"/>
  <c r="I271" i="1"/>
  <c r="J291" i="1"/>
  <c r="F291" i="1"/>
  <c r="I344" i="1"/>
  <c r="I379" i="1"/>
  <c r="F379" i="1"/>
  <c r="I428" i="1"/>
  <c r="I133" i="1"/>
  <c r="F133" i="1"/>
  <c r="F6" i="1"/>
  <c r="F79" i="1"/>
  <c r="J20" i="1"/>
  <c r="J34" i="1"/>
  <c r="J42" i="1"/>
  <c r="J87" i="1"/>
  <c r="F89" i="1"/>
  <c r="F94" i="1"/>
  <c r="I100" i="1"/>
  <c r="I105" i="1"/>
  <c r="F105" i="1"/>
  <c r="J110" i="1"/>
  <c r="J118" i="1"/>
  <c r="J123" i="1"/>
  <c r="F158" i="1"/>
  <c r="I164" i="1"/>
  <c r="I169" i="1"/>
  <c r="F169" i="1"/>
  <c r="J174" i="1"/>
  <c r="F176" i="1"/>
  <c r="J200" i="1"/>
  <c r="I200" i="1"/>
  <c r="F204" i="1"/>
  <c r="I227" i="1"/>
  <c r="I229" i="1"/>
  <c r="J249" i="1"/>
  <c r="F249" i="1"/>
  <c r="J260" i="1"/>
  <c r="J271" i="1"/>
  <c r="I286" i="1"/>
  <c r="J295" i="1"/>
  <c r="F297" i="1"/>
  <c r="I308" i="1"/>
  <c r="F330" i="1"/>
  <c r="I337" i="1"/>
  <c r="F337" i="1"/>
  <c r="I346" i="1"/>
  <c r="J368" i="1"/>
  <c r="I368" i="1"/>
  <c r="F401" i="1"/>
  <c r="J401" i="1"/>
  <c r="J410" i="1"/>
  <c r="I410" i="1"/>
  <c r="I421" i="1"/>
  <c r="F421" i="1"/>
  <c r="J284" i="1"/>
  <c r="I284" i="1"/>
  <c r="J361" i="1"/>
  <c r="F361" i="1"/>
  <c r="I89" i="1"/>
  <c r="I94" i="1"/>
  <c r="F138" i="1"/>
  <c r="I158" i="1"/>
  <c r="J188" i="1"/>
  <c r="F199" i="1"/>
  <c r="I220" i="1"/>
  <c r="J242" i="1"/>
  <c r="I242" i="1"/>
  <c r="F264" i="1"/>
  <c r="F275" i="1"/>
  <c r="J275" i="1"/>
  <c r="I297" i="1"/>
  <c r="I299" i="1"/>
  <c r="J319" i="1"/>
  <c r="F319" i="1"/>
  <c r="J341" i="1"/>
  <c r="I356" i="1"/>
  <c r="F367" i="1"/>
  <c r="I372" i="1"/>
  <c r="I378" i="1"/>
  <c r="F400" i="1"/>
  <c r="F405" i="1"/>
  <c r="F409" i="1"/>
  <c r="I414" i="1"/>
  <c r="J425" i="1"/>
  <c r="J396" i="1"/>
  <c r="I396" i="1"/>
  <c r="F7" i="1"/>
  <c r="I16" i="1"/>
  <c r="F21" i="1"/>
  <c r="I30" i="1"/>
  <c r="I38" i="1"/>
  <c r="F43" i="1"/>
  <c r="I52" i="1"/>
  <c r="F68" i="1"/>
  <c r="I73" i="1"/>
  <c r="F88" i="1"/>
  <c r="F93" i="1"/>
  <c r="I96" i="1"/>
  <c r="I104" i="1"/>
  <c r="I109" i="1"/>
  <c r="I117" i="1"/>
  <c r="I122" i="1"/>
  <c r="I140" i="1"/>
  <c r="F157" i="1"/>
  <c r="I160" i="1"/>
  <c r="I168" i="1"/>
  <c r="I173" i="1"/>
  <c r="F187" i="1"/>
  <c r="J235" i="1"/>
  <c r="F235" i="1"/>
  <c r="I272" i="1"/>
  <c r="I294" i="1"/>
  <c r="I323" i="1"/>
  <c r="F323" i="1"/>
  <c r="I332" i="1"/>
  <c r="J354" i="1"/>
  <c r="I354" i="1"/>
  <c r="F376" i="1"/>
  <c r="F387" i="1"/>
  <c r="J387" i="1"/>
  <c r="I402" i="1"/>
  <c r="J186" i="1"/>
  <c r="I186" i="1"/>
  <c r="F359" i="1"/>
  <c r="J359" i="1"/>
  <c r="F443" i="1"/>
  <c r="J443" i="1"/>
  <c r="J277" i="1"/>
  <c r="F277" i="1"/>
  <c r="I330" i="1"/>
  <c r="I365" i="1"/>
  <c r="F365" i="1"/>
  <c r="I407" i="1"/>
  <c r="F407" i="1"/>
  <c r="F18" i="1"/>
  <c r="F32" i="1"/>
  <c r="F40" i="1"/>
  <c r="F62" i="1"/>
  <c r="F67" i="1"/>
  <c r="I86" i="1"/>
  <c r="I91" i="1"/>
  <c r="F91" i="1"/>
  <c r="F98" i="1"/>
  <c r="F129" i="1"/>
  <c r="I155" i="1"/>
  <c r="F155" i="1"/>
  <c r="F162" i="1"/>
  <c r="I178" i="1"/>
  <c r="I190" i="1"/>
  <c r="I199" i="1"/>
  <c r="I206" i="1"/>
  <c r="I210" i="1"/>
  <c r="F215" i="1"/>
  <c r="I230" i="1"/>
  <c r="I246" i="1"/>
  <c r="F257" i="1"/>
  <c r="I281" i="1"/>
  <c r="F281" i="1"/>
  <c r="I290" i="1"/>
  <c r="J312" i="1"/>
  <c r="I312" i="1"/>
  <c r="F345" i="1"/>
  <c r="J345" i="1"/>
  <c r="J389" i="1"/>
  <c r="F389" i="1"/>
  <c r="F429" i="1"/>
  <c r="J429" i="1"/>
  <c r="J438" i="1"/>
  <c r="I438" i="1"/>
  <c r="J403" i="1"/>
  <c r="F403" i="1"/>
  <c r="I253" i="1"/>
  <c r="F253" i="1"/>
  <c r="F317" i="1"/>
  <c r="J317" i="1"/>
  <c r="I63" i="1"/>
  <c r="F63" i="1"/>
  <c r="I204" i="1"/>
  <c r="F96" i="1"/>
  <c r="F160" i="1"/>
  <c r="F232" i="1"/>
  <c r="I239" i="1"/>
  <c r="F239" i="1"/>
  <c r="I248" i="1"/>
  <c r="J270" i="1"/>
  <c r="I270" i="1"/>
  <c r="F292" i="1"/>
  <c r="F303" i="1"/>
  <c r="J303" i="1"/>
  <c r="J347" i="1"/>
  <c r="F347" i="1"/>
  <c r="F395" i="1"/>
  <c r="J431" i="1"/>
  <c r="F431" i="1"/>
  <c r="I7" i="1"/>
  <c r="I21" i="1"/>
  <c r="I43" i="1"/>
  <c r="I54" i="1"/>
  <c r="F72" i="1"/>
  <c r="I88" i="1"/>
  <c r="I93" i="1"/>
  <c r="F103" i="1"/>
  <c r="F108" i="1"/>
  <c r="I114" i="1"/>
  <c r="I119" i="1"/>
  <c r="F119" i="1"/>
  <c r="I157" i="1"/>
  <c r="F167" i="1"/>
  <c r="F172" i="1"/>
  <c r="I187" i="1"/>
  <c r="I192" i="1"/>
  <c r="I194" i="1"/>
  <c r="F201" i="1"/>
  <c r="F208" i="1"/>
  <c r="J228" i="1"/>
  <c r="I228" i="1"/>
  <c r="F250" i="1"/>
  <c r="F261" i="1"/>
  <c r="J261" i="1"/>
  <c r="I285" i="1"/>
  <c r="F298" i="1"/>
  <c r="J305" i="1"/>
  <c r="F305" i="1"/>
  <c r="I358" i="1"/>
  <c r="I393" i="1"/>
  <c r="F393" i="1"/>
  <c r="I442" i="1"/>
  <c r="J326" i="1"/>
  <c r="I326" i="1"/>
  <c r="I211" i="1"/>
  <c r="F211" i="1"/>
  <c r="I176" i="1"/>
  <c r="I183" i="1"/>
  <c r="F183" i="1"/>
  <c r="I197" i="1"/>
  <c r="F197" i="1"/>
  <c r="F233" i="1"/>
  <c r="J233" i="1"/>
  <c r="I18" i="1"/>
  <c r="I32" i="1"/>
  <c r="I40" i="1"/>
  <c r="I62" i="1"/>
  <c r="I67" i="1"/>
  <c r="I75" i="1"/>
  <c r="I80" i="1"/>
  <c r="I98" i="1"/>
  <c r="F124" i="1"/>
  <c r="I129" i="1"/>
  <c r="I152" i="1"/>
  <c r="I162" i="1"/>
  <c r="F214" i="1"/>
  <c r="F219" i="1"/>
  <c r="J219" i="1"/>
  <c r="I241" i="1"/>
  <c r="I243" i="1"/>
  <c r="F256" i="1"/>
  <c r="J263" i="1"/>
  <c r="F263" i="1"/>
  <c r="J274" i="1"/>
  <c r="J285" i="1"/>
  <c r="I300" i="1"/>
  <c r="F311" i="1"/>
  <c r="I316" i="1"/>
  <c r="I322" i="1"/>
  <c r="F327" i="1"/>
  <c r="F344" i="1"/>
  <c r="I351" i="1"/>
  <c r="F351" i="1"/>
  <c r="J382" i="1"/>
  <c r="I382" i="1"/>
  <c r="F428" i="1"/>
  <c r="F433" i="1"/>
  <c r="F437" i="1"/>
  <c r="F54" i="1"/>
  <c r="I142" i="1"/>
  <c r="I147" i="1"/>
  <c r="F147" i="1"/>
  <c r="J152" i="1"/>
  <c r="F194" i="1"/>
  <c r="J221" i="1"/>
  <c r="F221" i="1"/>
  <c r="J232" i="1"/>
  <c r="J243" i="1"/>
  <c r="I258" i="1"/>
  <c r="J267" i="1"/>
  <c r="I280" i="1"/>
  <c r="F302" i="1"/>
  <c r="I309" i="1"/>
  <c r="F309" i="1"/>
  <c r="I318" i="1"/>
  <c r="I331" i="1"/>
  <c r="J340" i="1"/>
  <c r="I340" i="1"/>
  <c r="F362" i="1"/>
  <c r="F373" i="1"/>
  <c r="J373" i="1"/>
  <c r="I375" i="1"/>
  <c r="I388" i="1"/>
  <c r="I395" i="1"/>
  <c r="I397" i="1"/>
  <c r="F415" i="1"/>
  <c r="J415" i="1"/>
  <c r="I417" i="1"/>
  <c r="J424" i="1"/>
  <c r="I424" i="1"/>
  <c r="I435" i="1"/>
  <c r="F435" i="1"/>
  <c r="I384" i="1"/>
  <c r="I398" i="1"/>
  <c r="I412" i="1"/>
  <c r="I426" i="1"/>
  <c r="I440" i="1"/>
  <c r="F181" i="1"/>
  <c r="F195" i="1"/>
  <c r="F209" i="1"/>
  <c r="F223" i="1"/>
  <c r="F237" i="1"/>
  <c r="F251" i="1"/>
  <c r="F265" i="1"/>
  <c r="F279" i="1"/>
  <c r="F293" i="1"/>
  <c r="F307" i="1"/>
  <c r="F321" i="1"/>
  <c r="F335" i="1"/>
  <c r="F349" i="1"/>
  <c r="F363" i="1"/>
  <c r="F377" i="1"/>
  <c r="F391" i="1"/>
</calcChain>
</file>

<file path=xl/sharedStrings.xml><?xml version="1.0" encoding="utf-8"?>
<sst xmlns="http://schemas.openxmlformats.org/spreadsheetml/2006/main" count="1333" uniqueCount="477">
  <si>
    <t>Costes de componentes y empaquetado por SKU</t>
  </si>
  <si>
    <t>SKU</t>
  </si>
  <si>
    <t>Familia SKU</t>
  </si>
  <si>
    <t>País</t>
  </si>
  <si>
    <t>Formulación máximo</t>
  </si>
  <si>
    <t>Empaquetado máximo</t>
  </si>
  <si>
    <t>Total máximo</t>
  </si>
  <si>
    <t>Formulación media</t>
  </si>
  <si>
    <t>Empaquetado media</t>
  </si>
  <si>
    <t>Total medio</t>
  </si>
  <si>
    <t>Estado</t>
  </si>
  <si>
    <t>Líneas sin precio</t>
  </si>
  <si>
    <t>Códigos sin precio</t>
  </si>
  <si>
    <t>A-50BBTR</t>
  </si>
  <si>
    <t>43</t>
  </si>
  <si>
    <t>TURQUÍA</t>
  </si>
  <si>
    <t>A-501000TR</t>
  </si>
  <si>
    <t>AGXCR0200RO</t>
  </si>
  <si>
    <t>41</t>
  </si>
  <si>
    <t>RUMANÍA</t>
  </si>
  <si>
    <t>AGXCR1000CR</t>
  </si>
  <si>
    <t>COSTA RICA</t>
  </si>
  <si>
    <t>AGXCR1000RO</t>
  </si>
  <si>
    <t>AGXK0200</t>
  </si>
  <si>
    <t>ESPAÑA</t>
  </si>
  <si>
    <t>AGXK0200MA</t>
  </si>
  <si>
    <t>MARRUECOS</t>
  </si>
  <si>
    <t>AGXK1000</t>
  </si>
  <si>
    <t>AGXKAE1000</t>
  </si>
  <si>
    <t>AGXKC0200</t>
  </si>
  <si>
    <t>AGXKC1000</t>
  </si>
  <si>
    <t>AN1000EG</t>
  </si>
  <si>
    <t>EGIPTO</t>
  </si>
  <si>
    <t>AVAN0200</t>
  </si>
  <si>
    <t>AVAN0200RO</t>
  </si>
  <si>
    <t>AVAN1000</t>
  </si>
  <si>
    <t>B0200</t>
  </si>
  <si>
    <t>B0200RO</t>
  </si>
  <si>
    <t>B1000</t>
  </si>
  <si>
    <t>B1000CR</t>
  </si>
  <si>
    <t>B1000RO</t>
  </si>
  <si>
    <t>BIO0200</t>
  </si>
  <si>
    <t>BIO0200MA</t>
  </si>
  <si>
    <t>BIO1000</t>
  </si>
  <si>
    <t>BIO1000TR</t>
  </si>
  <si>
    <t>C-CU1000</t>
  </si>
  <si>
    <t>C-CU1000CR</t>
  </si>
  <si>
    <t>C-CU1000TR</t>
  </si>
  <si>
    <t>CPLUS0200</t>
  </si>
  <si>
    <t>CPLUS1000</t>
  </si>
  <si>
    <t>CSIL1000PE</t>
  </si>
  <si>
    <t>PERÚ</t>
  </si>
  <si>
    <t>CZNMNES1000TR</t>
  </si>
  <si>
    <t>F-A1000CR</t>
  </si>
  <si>
    <t>FLORCR1000CR</t>
  </si>
  <si>
    <t>FU1000TR</t>
  </si>
  <si>
    <t>G30200</t>
  </si>
  <si>
    <t>N0200</t>
  </si>
  <si>
    <t>NB1000CR</t>
  </si>
  <si>
    <t>P-5X1000</t>
  </si>
  <si>
    <t>P-ZM3.51000</t>
  </si>
  <si>
    <t>PIV0200</t>
  </si>
  <si>
    <t>RUN1000TR</t>
  </si>
  <si>
    <t>S0200</t>
  </si>
  <si>
    <t>S1000</t>
  </si>
  <si>
    <t>SPCE0200RO</t>
  </si>
  <si>
    <t>SPCE1000RO</t>
  </si>
  <si>
    <t>A-50(2)0001DO</t>
  </si>
  <si>
    <t>42</t>
  </si>
  <si>
    <t>DOMINICANA, REPÚBLICA</t>
  </si>
  <si>
    <t>A-50(2)0001RS</t>
  </si>
  <si>
    <t>SERBIA</t>
  </si>
  <si>
    <t>A-50(2)0005</t>
  </si>
  <si>
    <t>A-50(2)0005MA</t>
  </si>
  <si>
    <t>A-50(2)0020</t>
  </si>
  <si>
    <t>A-50(2)0020MA</t>
  </si>
  <si>
    <t>A-50EG0001EG</t>
  </si>
  <si>
    <t>A-500001</t>
  </si>
  <si>
    <t>A-500001GE</t>
  </si>
  <si>
    <t>GEORGIA</t>
  </si>
  <si>
    <t>A-500001PA</t>
  </si>
  <si>
    <t>PANAMÁ</t>
  </si>
  <si>
    <t>A-500001RO</t>
  </si>
  <si>
    <t>A-500005AZ</t>
  </si>
  <si>
    <t>AZERBAIYÁN</t>
  </si>
  <si>
    <t>A-500005CR</t>
  </si>
  <si>
    <t>A-500005GE</t>
  </si>
  <si>
    <t>A-500020CR</t>
  </si>
  <si>
    <t>A-500020RO</t>
  </si>
  <si>
    <t>AGFE0001</t>
  </si>
  <si>
    <t>AGFE0001RO</t>
  </si>
  <si>
    <t>AGFEL0001</t>
  </si>
  <si>
    <t>AGFEL0001RO</t>
  </si>
  <si>
    <t>AGFEL0005</t>
  </si>
  <si>
    <t>AGMG0001EC</t>
  </si>
  <si>
    <t>ECUADOR (INCLUIDAS LAS ISLAS GALÁPAGOS)</t>
  </si>
  <si>
    <t>AGMG0001RO</t>
  </si>
  <si>
    <t>AGMG0005CR</t>
  </si>
  <si>
    <t>AGMG0005LB</t>
  </si>
  <si>
    <t>LÍBANO</t>
  </si>
  <si>
    <t>AGMG0020CR</t>
  </si>
  <si>
    <t>AGMGL0005</t>
  </si>
  <si>
    <t>AGMNP0005</t>
  </si>
  <si>
    <t>AGN0005</t>
  </si>
  <si>
    <t>AGN0020</t>
  </si>
  <si>
    <t>AGNF0001RO</t>
  </si>
  <si>
    <t>AGNF0020MA</t>
  </si>
  <si>
    <t>AGNF0020RO</t>
  </si>
  <si>
    <t>AGRMG0001AZ</t>
  </si>
  <si>
    <t>AGRMG0005</t>
  </si>
  <si>
    <t>AGRMG0005MA</t>
  </si>
  <si>
    <t>AGRMG1000</t>
  </si>
  <si>
    <t>AGRMG20005EG</t>
  </si>
  <si>
    <t>AGRMGN0020</t>
  </si>
  <si>
    <t>AGRMGN0020MA</t>
  </si>
  <si>
    <t>AGXCR0001CO</t>
  </si>
  <si>
    <t>COLOMBIA</t>
  </si>
  <si>
    <t>AGXCR0001PA</t>
  </si>
  <si>
    <t>AGXCR0001RO</t>
  </si>
  <si>
    <t>AGXCR0005CO</t>
  </si>
  <si>
    <t>AGXCR0005PA</t>
  </si>
  <si>
    <t>AGXCR0005RO</t>
  </si>
  <si>
    <t>AGXCR0020</t>
  </si>
  <si>
    <t>AGXCR0020CO</t>
  </si>
  <si>
    <t>AGXCR0020LB</t>
  </si>
  <si>
    <t>AGXCR0020MA</t>
  </si>
  <si>
    <t>AGXCR0020RO</t>
  </si>
  <si>
    <t>AGXK0001AZ</t>
  </si>
  <si>
    <t>AGXK0001DO</t>
  </si>
  <si>
    <t>AGXK0001GE</t>
  </si>
  <si>
    <t>AGXK0005</t>
  </si>
  <si>
    <t>AGXK0005AZ</t>
  </si>
  <si>
    <t>AGXK0005EG</t>
  </si>
  <si>
    <t>AGXK0005GE</t>
  </si>
  <si>
    <t>AGXK0005MX</t>
  </si>
  <si>
    <t>NETHERLANS</t>
  </si>
  <si>
    <t>AGXK0020</t>
  </si>
  <si>
    <t>AGXK0020AZ</t>
  </si>
  <si>
    <t>AGXK0020MA</t>
  </si>
  <si>
    <t>AGXK0020MX</t>
  </si>
  <si>
    <t>AGXKAE0001RO</t>
  </si>
  <si>
    <t>AGXKAE0020</t>
  </si>
  <si>
    <t>AGXKAEP0005</t>
  </si>
  <si>
    <t>AGXKAEP0020</t>
  </si>
  <si>
    <t>AGXKC0020</t>
  </si>
  <si>
    <t>AGZ-M0001</t>
  </si>
  <si>
    <t>AGZ-M0005</t>
  </si>
  <si>
    <t>AGZN0001CR</t>
  </si>
  <si>
    <t>AGZN0005CR</t>
  </si>
  <si>
    <t>AGZNP0001EC</t>
  </si>
  <si>
    <t>AGZNP0001EG</t>
  </si>
  <si>
    <t>AGZNP0005</t>
  </si>
  <si>
    <t>AMGF0001AZ</t>
  </si>
  <si>
    <t>AMIMG0005</t>
  </si>
  <si>
    <t>AMIMG0020</t>
  </si>
  <si>
    <t>AN0005</t>
  </si>
  <si>
    <t>AN0005CO</t>
  </si>
  <si>
    <t>AN0005CR</t>
  </si>
  <si>
    <t>AN0005DO</t>
  </si>
  <si>
    <t>AN0005EC</t>
  </si>
  <si>
    <t>AN0005IT</t>
  </si>
  <si>
    <t>ITALIA</t>
  </si>
  <si>
    <t>AN0005MA</t>
  </si>
  <si>
    <t>AN0005PA</t>
  </si>
  <si>
    <t>AN0005RS</t>
  </si>
  <si>
    <t>AN0005TR</t>
  </si>
  <si>
    <t>AN0020</t>
  </si>
  <si>
    <t>AN0020AZ</t>
  </si>
  <si>
    <t>AN0020CL</t>
  </si>
  <si>
    <t>CHILE</t>
  </si>
  <si>
    <t>AN0020CO</t>
  </si>
  <si>
    <t>AN0020CR</t>
  </si>
  <si>
    <t>AN0020EC</t>
  </si>
  <si>
    <t>AN0020GE</t>
  </si>
  <si>
    <t>AN0020LB</t>
  </si>
  <si>
    <t>AN0020MA</t>
  </si>
  <si>
    <t>AN0020PE</t>
  </si>
  <si>
    <t>AN0020RO</t>
  </si>
  <si>
    <t>ANAE0005</t>
  </si>
  <si>
    <t>ANAE0020</t>
  </si>
  <si>
    <t>AO0005RO</t>
  </si>
  <si>
    <t>AO0020MX</t>
  </si>
  <si>
    <t>AO1000MX</t>
  </si>
  <si>
    <t>AQUOM000AZ</t>
  </si>
  <si>
    <t>AQUOM0001</t>
  </si>
  <si>
    <t>AQUOM0005</t>
  </si>
  <si>
    <t>AQUOM0020</t>
  </si>
  <si>
    <t>AQUOMAR0005SA</t>
  </si>
  <si>
    <t>ARABIA SAUDÍ</t>
  </si>
  <si>
    <t>AQUOMB0001EC</t>
  </si>
  <si>
    <t>AVAN0001</t>
  </si>
  <si>
    <t>AVAN0001EG</t>
  </si>
  <si>
    <t>AVAN0001RO</t>
  </si>
  <si>
    <t>AVAN0001RS</t>
  </si>
  <si>
    <t>AVAN0005</t>
  </si>
  <si>
    <t>AVAN0005AZ</t>
  </si>
  <si>
    <t>AVAN0005MA</t>
  </si>
  <si>
    <t>AVAN0020</t>
  </si>
  <si>
    <t>AVAN0020MA</t>
  </si>
  <si>
    <t>B0001</t>
  </si>
  <si>
    <t>B0001DO</t>
  </si>
  <si>
    <t>B0001RO</t>
  </si>
  <si>
    <t>B0005</t>
  </si>
  <si>
    <t>B0020</t>
  </si>
  <si>
    <t>B0020RO</t>
  </si>
  <si>
    <t>BAYCAL0020CL</t>
  </si>
  <si>
    <t>BC0005LB</t>
  </si>
  <si>
    <t>BC0020</t>
  </si>
  <si>
    <t>BEY0001DO</t>
  </si>
  <si>
    <t>BEY0005</t>
  </si>
  <si>
    <t>BEY0020</t>
  </si>
  <si>
    <t>BEY0020AZ</t>
  </si>
  <si>
    <t>BIO0001DO</t>
  </si>
  <si>
    <t>BIO0001PA</t>
  </si>
  <si>
    <t>BIO0001RO</t>
  </si>
  <si>
    <t>BIO0005</t>
  </si>
  <si>
    <t>BIO0005DO</t>
  </si>
  <si>
    <t>BIO0005PA</t>
  </si>
  <si>
    <t>BIO0005RO</t>
  </si>
  <si>
    <t>BIO0005SA</t>
  </si>
  <si>
    <t>BIO0020</t>
  </si>
  <si>
    <t>BIO0020AZ</t>
  </si>
  <si>
    <t>BIO0020DO</t>
  </si>
  <si>
    <t>BIO0020GE</t>
  </si>
  <si>
    <t>BIO0020MA</t>
  </si>
  <si>
    <t>BIO0020PA</t>
  </si>
  <si>
    <t>BIO0020RO</t>
  </si>
  <si>
    <t>BIO0020TR</t>
  </si>
  <si>
    <t>BM0005MA</t>
  </si>
  <si>
    <t>BPLUS0001CO</t>
  </si>
  <si>
    <t>BPLUS0005</t>
  </si>
  <si>
    <t>BPLUS0005LB</t>
  </si>
  <si>
    <t>BPLUS20005</t>
  </si>
  <si>
    <t>BR-59AE0005</t>
  </si>
  <si>
    <t>BR-590005</t>
  </si>
  <si>
    <t>BR-590005AZ</t>
  </si>
  <si>
    <t>BR-590005CO</t>
  </si>
  <si>
    <t>BR-590005MA</t>
  </si>
  <si>
    <t>BROTA0001</t>
  </si>
  <si>
    <t>BROTA0005</t>
  </si>
  <si>
    <t>BROTA0020</t>
  </si>
  <si>
    <t>C-CU0001</t>
  </si>
  <si>
    <t>C-CU0001CO</t>
  </si>
  <si>
    <t>C-CU0001DO</t>
  </si>
  <si>
    <t>C-CU0001EC</t>
  </si>
  <si>
    <t>C-CU0001GE</t>
  </si>
  <si>
    <t>C-CU0001RO</t>
  </si>
  <si>
    <t>C-CU0001RS</t>
  </si>
  <si>
    <t>C-CU0005</t>
  </si>
  <si>
    <t>C-CU0005AZ</t>
  </si>
  <si>
    <t>C-CU0005CO</t>
  </si>
  <si>
    <t>C-CU0005GE</t>
  </si>
  <si>
    <t>C-CU0005MA</t>
  </si>
  <si>
    <t>C-CU0020</t>
  </si>
  <si>
    <t>C-CU0020CO</t>
  </si>
  <si>
    <t>C-CU0020MX</t>
  </si>
  <si>
    <t>C-CU0020RO</t>
  </si>
  <si>
    <t>C-CU20001EG</t>
  </si>
  <si>
    <t>C-CUAE0005</t>
  </si>
  <si>
    <t>C-CUAE0005MA</t>
  </si>
  <si>
    <t>C-CUAE0020</t>
  </si>
  <si>
    <t>C-GLB0001</t>
  </si>
  <si>
    <t>C-GLB0001EC</t>
  </si>
  <si>
    <t>C-GLB0001RO</t>
  </si>
  <si>
    <t>C-GLB0005</t>
  </si>
  <si>
    <t>C-GLB0005RO</t>
  </si>
  <si>
    <t>C-L0001</t>
  </si>
  <si>
    <t>C-L0001DO</t>
  </si>
  <si>
    <t>C-L0001EC</t>
  </si>
  <si>
    <t>C-L0001RO</t>
  </si>
  <si>
    <t>C-L0005</t>
  </si>
  <si>
    <t>C-L0005AZ</t>
  </si>
  <si>
    <t>C-L0020</t>
  </si>
  <si>
    <t>C-L0020AZ</t>
  </si>
  <si>
    <t>C-M-P0001</t>
  </si>
  <si>
    <t>C-M-P0001EC</t>
  </si>
  <si>
    <t>C-M-P0005</t>
  </si>
  <si>
    <t>C-M-P0005MA</t>
  </si>
  <si>
    <t>C-M-P0020</t>
  </si>
  <si>
    <t>C-MB0001</t>
  </si>
  <si>
    <t>C-MB0001DO</t>
  </si>
  <si>
    <t>C-MB0005</t>
  </si>
  <si>
    <t>C-MB0005MA</t>
  </si>
  <si>
    <t>C-MB0020</t>
  </si>
  <si>
    <t>CALCIO0001RO</t>
  </si>
  <si>
    <t>CALCIO0005</t>
  </si>
  <si>
    <t>CALCIO0005MA</t>
  </si>
  <si>
    <t>CALCIO0020</t>
  </si>
  <si>
    <t>CALCIO0020RO</t>
  </si>
  <si>
    <t>CBASI0005</t>
  </si>
  <si>
    <t>CBROT0001</t>
  </si>
  <si>
    <t>CBROT0005</t>
  </si>
  <si>
    <t>CBROT0005RO</t>
  </si>
  <si>
    <t>CBROT0020</t>
  </si>
  <si>
    <t>CBROT0020AZ</t>
  </si>
  <si>
    <t>CM3M0001AZ</t>
  </si>
  <si>
    <t>CM3M0005</t>
  </si>
  <si>
    <t>CM30005GE</t>
  </si>
  <si>
    <t>CODIR0001PA</t>
  </si>
  <si>
    <t>CODIR0005PA</t>
  </si>
  <si>
    <t>CODIR1000CR</t>
  </si>
  <si>
    <t>CPLUS0020</t>
  </si>
  <si>
    <t>CSIL0001</t>
  </si>
  <si>
    <t>CSIL0005</t>
  </si>
  <si>
    <t>CSIL0005MA</t>
  </si>
  <si>
    <t>CSIL0020</t>
  </si>
  <si>
    <t>CZNMNES0001AZ</t>
  </si>
  <si>
    <t>CZNMNES0001GE</t>
  </si>
  <si>
    <t>CZNMNES0005</t>
  </si>
  <si>
    <t>CZNMNES0005AZ</t>
  </si>
  <si>
    <t>CZNMNES0005GE</t>
  </si>
  <si>
    <t>CZNMNES0005MA</t>
  </si>
  <si>
    <t>DECA0005CR</t>
  </si>
  <si>
    <t>F-A0001CO</t>
  </si>
  <si>
    <t>F-A0001DO</t>
  </si>
  <si>
    <t>F-A0005CO</t>
  </si>
  <si>
    <t>F-A0005DO</t>
  </si>
  <si>
    <t>F-MIX0005MA</t>
  </si>
  <si>
    <t>F-MIX0020MA</t>
  </si>
  <si>
    <t>FIORI1000IT</t>
  </si>
  <si>
    <t>FLOR0001DO</t>
  </si>
  <si>
    <t>FLOR0001RO</t>
  </si>
  <si>
    <t>FLOR0020</t>
  </si>
  <si>
    <t>FLOR0020RO</t>
  </si>
  <si>
    <t>FLOR0200</t>
  </si>
  <si>
    <t>FLORCR0001CO</t>
  </si>
  <si>
    <t>FLORCR0001PA</t>
  </si>
  <si>
    <t>FLORCR0005CO</t>
  </si>
  <si>
    <t>FLORCR0005PA</t>
  </si>
  <si>
    <t>FLORCR0020CO</t>
  </si>
  <si>
    <t>FROST-P0001RO</t>
  </si>
  <si>
    <t>FROST-P0005</t>
  </si>
  <si>
    <t>FROST-P0020</t>
  </si>
  <si>
    <t>FTK0005</t>
  </si>
  <si>
    <t>FTK0005AZ</t>
  </si>
  <si>
    <t>FTK0005MA</t>
  </si>
  <si>
    <t>FTK0005RS</t>
  </si>
  <si>
    <t>FTK0005TR</t>
  </si>
  <si>
    <t>FTK0020RS</t>
  </si>
  <si>
    <t>44</t>
  </si>
  <si>
    <t>FU0001</t>
  </si>
  <si>
    <t>FU0001AZ</t>
  </si>
  <si>
    <t>FU0001DO</t>
  </si>
  <si>
    <t>FU0001RS</t>
  </si>
  <si>
    <t>FU0005</t>
  </si>
  <si>
    <t>FU0005AZ</t>
  </si>
  <si>
    <t>FU0020</t>
  </si>
  <si>
    <t>FU0020AZ</t>
  </si>
  <si>
    <t>G0001PA</t>
  </si>
  <si>
    <t>G0001RO</t>
  </si>
  <si>
    <t>G0005PA</t>
  </si>
  <si>
    <t>G0020RO</t>
  </si>
  <si>
    <t>G0200RO</t>
  </si>
  <si>
    <t>G1000CR</t>
  </si>
  <si>
    <t>G30001</t>
  </si>
  <si>
    <t>G30001CO</t>
  </si>
  <si>
    <t>G30001DO</t>
  </si>
  <si>
    <t>G30001EC</t>
  </si>
  <si>
    <t>G30005</t>
  </si>
  <si>
    <t>G30005CO</t>
  </si>
  <si>
    <t>G30020</t>
  </si>
  <si>
    <t>GRE10001GR</t>
  </si>
  <si>
    <t>GRECIA</t>
  </si>
  <si>
    <t>GRE10005GR</t>
  </si>
  <si>
    <t>GRE20001GR</t>
  </si>
  <si>
    <t>GRE20005GR</t>
  </si>
  <si>
    <t>HST0001</t>
  </si>
  <si>
    <t>HST0005</t>
  </si>
  <si>
    <t>HST0005AZ</t>
  </si>
  <si>
    <t>HST0020</t>
  </si>
  <si>
    <t>JF0001</t>
  </si>
  <si>
    <t>JF0001DO</t>
  </si>
  <si>
    <t>JF0001EC</t>
  </si>
  <si>
    <t>JF0005</t>
  </si>
  <si>
    <t>JF0005MA</t>
  </si>
  <si>
    <t>JF0020</t>
  </si>
  <si>
    <t>JF1000</t>
  </si>
  <si>
    <t>LP0001DO</t>
  </si>
  <si>
    <t>LP0005DO</t>
  </si>
  <si>
    <t>MPH0001DO</t>
  </si>
  <si>
    <t>MPH0005DO</t>
  </si>
  <si>
    <t>N0001</t>
  </si>
  <si>
    <t>N0005</t>
  </si>
  <si>
    <t>N0020</t>
  </si>
  <si>
    <t>NI0005MA</t>
  </si>
  <si>
    <t>P-5X0005</t>
  </si>
  <si>
    <t>P-5X0020</t>
  </si>
  <si>
    <t>P-ZM3.50005</t>
  </si>
  <si>
    <t>P-ZM3.50020</t>
  </si>
  <si>
    <t>PHD0001</t>
  </si>
  <si>
    <t>PHD0001RO</t>
  </si>
  <si>
    <t>PHD0005</t>
  </si>
  <si>
    <t>PHD0005MA</t>
  </si>
  <si>
    <t>PHD0020</t>
  </si>
  <si>
    <t>PHD0020MA</t>
  </si>
  <si>
    <t>PIV0005</t>
  </si>
  <si>
    <t>PIV0020</t>
  </si>
  <si>
    <t>PK500001DO</t>
  </si>
  <si>
    <t>PK500001RO</t>
  </si>
  <si>
    <t>PK500005</t>
  </si>
  <si>
    <t>PK500020RO</t>
  </si>
  <si>
    <t>PML0001RO</t>
  </si>
  <si>
    <t>PREZN0005</t>
  </si>
  <si>
    <t>PT0001</t>
  </si>
  <si>
    <t>PT0001DO</t>
  </si>
  <si>
    <t>PT0001PA</t>
  </si>
  <si>
    <t>PT0001RO</t>
  </si>
  <si>
    <t>PT0005</t>
  </si>
  <si>
    <t>PT0005DO</t>
  </si>
  <si>
    <t>PT0005MA</t>
  </si>
  <si>
    <t>PT0005RO</t>
  </si>
  <si>
    <t>PT0020</t>
  </si>
  <si>
    <t>PT0020MA</t>
  </si>
  <si>
    <t>PT0020RO</t>
  </si>
  <si>
    <t>PT0200</t>
  </si>
  <si>
    <t>PT0200RO</t>
  </si>
  <si>
    <t>PT1000</t>
  </si>
  <si>
    <t>PT1000CR</t>
  </si>
  <si>
    <t>RUN0001AZ</t>
  </si>
  <si>
    <t>RUN0001DO</t>
  </si>
  <si>
    <t>RUN0001GE</t>
  </si>
  <si>
    <t>RUN0001RS</t>
  </si>
  <si>
    <t>RUN0001TR</t>
  </si>
  <si>
    <t>RUN0005</t>
  </si>
  <si>
    <t>RUN0005GE</t>
  </si>
  <si>
    <t>RUN0005MA</t>
  </si>
  <si>
    <t>RUN0020</t>
  </si>
  <si>
    <t>S0005</t>
  </si>
  <si>
    <t>S0020</t>
  </si>
  <si>
    <t>SPAR0001SA</t>
  </si>
  <si>
    <t>SPCE0001CR</t>
  </si>
  <si>
    <t>SPCE0001RO</t>
  </si>
  <si>
    <t>SPCE2B0001</t>
  </si>
  <si>
    <t>SPCE2B0001DO</t>
  </si>
  <si>
    <t>SPCE2B0001EG</t>
  </si>
  <si>
    <t>SPCE2B0001MA</t>
  </si>
  <si>
    <t>SPCE2B0005</t>
  </si>
  <si>
    <t>SPCE2B0020</t>
  </si>
  <si>
    <t>SPCE2B0020MA</t>
  </si>
  <si>
    <t>SPCE0005CR</t>
  </si>
  <si>
    <t>SPCE0020CR</t>
  </si>
  <si>
    <t>SPCE0020RO</t>
  </si>
  <si>
    <t>SS0001CR</t>
  </si>
  <si>
    <t>SS0001DO</t>
  </si>
  <si>
    <t>SS0001PA</t>
  </si>
  <si>
    <t>SS0001RO</t>
  </si>
  <si>
    <t>SS0005</t>
  </si>
  <si>
    <t>SS0005CR</t>
  </si>
  <si>
    <t>SS0005MA</t>
  </si>
  <si>
    <t>SS0005MX</t>
  </si>
  <si>
    <t>SS0020</t>
  </si>
  <si>
    <t>SS0020AZ</t>
  </si>
  <si>
    <t>SS0020CR</t>
  </si>
  <si>
    <t>SS0020MA</t>
  </si>
  <si>
    <t>SS0020RO</t>
  </si>
  <si>
    <t>SSAE0005</t>
  </si>
  <si>
    <t>SSAE0005RO</t>
  </si>
  <si>
    <t>SSEG0001CO</t>
  </si>
  <si>
    <t>SSEG0005CO</t>
  </si>
  <si>
    <t>SSEG0005EG</t>
  </si>
  <si>
    <t>SSEG0005SA</t>
  </si>
  <si>
    <t>SSEG0020EG</t>
  </si>
  <si>
    <t>START20001DO</t>
  </si>
  <si>
    <t>START20005</t>
  </si>
  <si>
    <t>TRI0001</t>
  </si>
  <si>
    <t>TRI0001EC</t>
  </si>
  <si>
    <t>TRI0005</t>
  </si>
  <si>
    <t>VITA0001GR</t>
  </si>
  <si>
    <t>VITA0005GR</t>
  </si>
  <si>
    <t>W330020CL</t>
  </si>
  <si>
    <t>WHITE0005GE</t>
  </si>
  <si>
    <t>WHITE0005RO</t>
  </si>
  <si>
    <t>WHITE0005TR</t>
  </si>
  <si>
    <t>WHITE0020</t>
  </si>
  <si>
    <t>WHITE0020GE</t>
  </si>
  <si>
    <t>WHITE0020MA</t>
  </si>
  <si>
    <t>WHITE0020RO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</si>
</sst>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;\(#,##0.0000\);0.0000"/>
    <numFmt numFmtId="165" formatCode="0.0000"/>
  </numFmts>
  <fonts count="5">
    <font>
      <sz val="11"/>
      <name val="Carlito"/>
    </font>
    <font>
      <sz val="10"/>
      <color rgb="FF202B38"/>
      <name val="Arial"/>
      <family val="2"/>
    </font>
    <font>
      <b/>
      <sz val="15"/>
      <color rgb="FF203D61"/>
      <name val="Arial"/>
      <family val="2"/>
    </font>
    <font>
      <b/>
      <sz val="10"/>
      <color rgb="FFFFFFFF"/>
      <name val="Arial"/>
      <family val="2"/>
    </font>
    <font>
      <b/>
      <sz val="10"/>
      <color rgb="FF202B3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D61"/>
      </patternFill>
    </fill>
    <fill>
      <patternFill patternType="solid">
        <fgColor rgb="FFEA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1">
    <dxf>
      <font>
        <b/>
        <color rgb="FFA12622"/>
      </font>
      <fill>
        <patternFill patternType="solid">
          <bgColor rgb="FFFC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OGS/Costes_BOM_por_SKU_Actualizado.xlsx" TargetMode="External"/><Relationship Id="rId2" Type="http://schemas.openxmlformats.org/officeDocument/2006/relationships/externalLinkPath" Target="https://agroquimicacodiagro365-my.sharepoint.com/personal/oscar_ocampo_codiagro_com/Documents/Escritorio/COGS/Costes_BOM_por_SKU_Actualizado.xlsx" TargetMode="External"/><Relationship Id="rId1" Type="http://schemas.openxmlformats.org/officeDocument/2006/relationships/externalLinkPath" Target="/personal/oscar_ocampo_codiagro_com/Documents/Escritorio/COGS/Costes_BOM_por_SKU_Ac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stes SKU"/>
      <sheetName val="Desglose_BOM_Componentes"/>
      <sheetName val="Precios componentes"/>
      <sheetName val="Compra 1"/>
      <sheetName val="Compra 2"/>
    </sheetNames>
    <sheetDataSet>
      <sheetData sheetId="0"/>
      <sheetData sheetId="1">
        <row r="2">
          <cell r="B2" t="str">
            <v>A-50(2)0001DO</v>
          </cell>
          <cell r="X2" t="str">
            <v>Formulación</v>
          </cell>
          <cell r="AC2">
            <v>1.0120000000000002</v>
          </cell>
          <cell r="AD2">
            <v>0.97900000000000009</v>
          </cell>
          <cell r="AE2" t="str">
            <v>Con precio</v>
          </cell>
        </row>
        <row r="3">
          <cell r="B3" t="str">
            <v>A-50(2)0001DO</v>
          </cell>
          <cell r="X3" t="str">
            <v>Formulación</v>
          </cell>
          <cell r="AC3">
            <v>0.42000000000000004</v>
          </cell>
          <cell r="AD3">
            <v>0.379</v>
          </cell>
          <cell r="AE3" t="str">
            <v>Con precio</v>
          </cell>
        </row>
        <row r="4">
          <cell r="B4" t="str">
            <v>A-50(2)0001DO</v>
          </cell>
          <cell r="X4" t="str">
            <v>Formulación</v>
          </cell>
          <cell r="AC4">
            <v>0.19600000000000001</v>
          </cell>
          <cell r="AD4">
            <v>0.19600000000000001</v>
          </cell>
          <cell r="AE4" t="str">
            <v>Con precio</v>
          </cell>
        </row>
        <row r="5">
          <cell r="B5" t="str">
            <v>A-50(2)0001DO</v>
          </cell>
          <cell r="X5" t="str">
            <v>Formulación</v>
          </cell>
          <cell r="AC5">
            <v>0.10500000000000001</v>
          </cell>
          <cell r="AD5">
            <v>7.4090000000000003E-2</v>
          </cell>
          <cell r="AE5" t="str">
            <v>Con precio</v>
          </cell>
        </row>
        <row r="6">
          <cell r="B6" t="str">
            <v>A-50(2)0001DO</v>
          </cell>
          <cell r="X6" t="str">
            <v>Empaquetado</v>
          </cell>
          <cell r="AC6">
            <v>5.3938139059304703E-2</v>
          </cell>
          <cell r="AD6">
            <v>5.3938139059304703E-2</v>
          </cell>
          <cell r="AE6" t="str">
            <v>Con precio</v>
          </cell>
        </row>
        <row r="7">
          <cell r="B7" t="str">
            <v>A-50(2)0001DO</v>
          </cell>
          <cell r="X7" t="str">
            <v>Empaquetado</v>
          </cell>
          <cell r="AC7">
            <v>5.5431216032608699E-3</v>
          </cell>
          <cell r="AD7">
            <v>5.5431216032608699E-3</v>
          </cell>
          <cell r="AE7" t="str">
            <v>Con precio</v>
          </cell>
        </row>
        <row r="8">
          <cell r="B8" t="str">
            <v>A-50(2)0001DO</v>
          </cell>
          <cell r="X8" t="str">
            <v>Empaquetado</v>
          </cell>
          <cell r="AC8">
            <v>3.9889583333333332E-2</v>
          </cell>
          <cell r="AD8">
            <v>3.9889583333333332E-2</v>
          </cell>
          <cell r="AE8" t="str">
            <v>Con precio</v>
          </cell>
        </row>
        <row r="9">
          <cell r="B9" t="str">
            <v>A-50(2)0001DO</v>
          </cell>
          <cell r="X9" t="str">
            <v>Empaquetado</v>
          </cell>
          <cell r="AC9">
            <v>1.4649621212121213E-2</v>
          </cell>
          <cell r="AD9">
            <v>1.4649621212121213E-2</v>
          </cell>
          <cell r="AE9" t="str">
            <v>Con precio</v>
          </cell>
        </row>
        <row r="10">
          <cell r="B10" t="str">
            <v>A-50(2)0001DO</v>
          </cell>
          <cell r="X10" t="str">
            <v>Empaquetado</v>
          </cell>
          <cell r="AC10">
            <v>1.8939393939393939E-5</v>
          </cell>
          <cell r="AD10">
            <v>1.8939393939393939E-5</v>
          </cell>
          <cell r="AE10" t="str">
            <v>Con precio</v>
          </cell>
        </row>
        <row r="11">
          <cell r="B11" t="str">
            <v>A-50(2)0001DO</v>
          </cell>
          <cell r="X11" t="str">
            <v>Empaquetado</v>
          </cell>
          <cell r="AC11">
            <v>4.4034090909090911E-4</v>
          </cell>
          <cell r="AD11">
            <v>4.4034090909090911E-4</v>
          </cell>
          <cell r="AE11" t="str">
            <v>Con precio</v>
          </cell>
        </row>
        <row r="12">
          <cell r="B12" t="str">
            <v>A-50(2)0001RS</v>
          </cell>
          <cell r="X12" t="str">
            <v>Formulación</v>
          </cell>
          <cell r="AC12">
            <v>1.0120000000000002</v>
          </cell>
          <cell r="AD12">
            <v>0.97900000000000009</v>
          </cell>
          <cell r="AE12" t="str">
            <v>Con precio</v>
          </cell>
        </row>
        <row r="13">
          <cell r="B13" t="str">
            <v>A-50(2)0001RS</v>
          </cell>
          <cell r="X13" t="str">
            <v>Formulación</v>
          </cell>
          <cell r="AC13">
            <v>0.42000000000000004</v>
          </cell>
          <cell r="AD13">
            <v>0.379</v>
          </cell>
          <cell r="AE13" t="str">
            <v>Con precio</v>
          </cell>
        </row>
        <row r="14">
          <cell r="B14" t="str">
            <v>A-50(2)0001RS</v>
          </cell>
          <cell r="X14" t="str">
            <v>Formulación</v>
          </cell>
          <cell r="AC14">
            <v>0.19600000000000001</v>
          </cell>
          <cell r="AD14">
            <v>0.19600000000000001</v>
          </cell>
          <cell r="AE14" t="str">
            <v>Con precio</v>
          </cell>
        </row>
        <row r="15">
          <cell r="B15" t="str">
            <v>A-50(2)0001RS</v>
          </cell>
          <cell r="X15" t="str">
            <v>Formulación</v>
          </cell>
          <cell r="AC15">
            <v>0.10500000000000001</v>
          </cell>
          <cell r="AD15">
            <v>7.4090000000000003E-2</v>
          </cell>
          <cell r="AE15" t="str">
            <v>Con precio</v>
          </cell>
        </row>
        <row r="16">
          <cell r="B16" t="str">
            <v>A-50(2)0001RS</v>
          </cell>
          <cell r="X16" t="str">
            <v>Empaquetado</v>
          </cell>
          <cell r="AC16">
            <v>5.3938139059304703E-2</v>
          </cell>
          <cell r="AD16">
            <v>5.3938139059304703E-2</v>
          </cell>
          <cell r="AE16" t="str">
            <v>Con precio</v>
          </cell>
        </row>
        <row r="17">
          <cell r="B17" t="str">
            <v>A-50(2)0001RS</v>
          </cell>
          <cell r="X17" t="str">
            <v>Empaquetado</v>
          </cell>
          <cell r="AC17">
            <v>5.5431216032608699E-3</v>
          </cell>
          <cell r="AD17">
            <v>5.5431216032608699E-3</v>
          </cell>
          <cell r="AE17" t="str">
            <v>Con precio</v>
          </cell>
        </row>
        <row r="18">
          <cell r="B18" t="str">
            <v>A-50(2)0001RS</v>
          </cell>
          <cell r="X18" t="str">
            <v>Empaquetado</v>
          </cell>
          <cell r="AC18">
            <v>3.9889583333333332E-2</v>
          </cell>
          <cell r="AD18">
            <v>3.9889583333333332E-2</v>
          </cell>
          <cell r="AE18" t="str">
            <v>Con precio</v>
          </cell>
        </row>
        <row r="19">
          <cell r="B19" t="str">
            <v>A-50(2)0001RS</v>
          </cell>
          <cell r="X19" t="str">
            <v>Empaquetado</v>
          </cell>
          <cell r="AC19">
            <v>1.4649621212121213E-2</v>
          </cell>
          <cell r="AD19">
            <v>1.4649621212121213E-2</v>
          </cell>
          <cell r="AE19" t="str">
            <v>Con precio</v>
          </cell>
        </row>
        <row r="20">
          <cell r="B20" t="str">
            <v>A-50(2)0001RS</v>
          </cell>
          <cell r="X20" t="str">
            <v>Empaquetado</v>
          </cell>
          <cell r="AC20">
            <v>1.8939393939393939E-5</v>
          </cell>
          <cell r="AD20">
            <v>1.8939393939393939E-5</v>
          </cell>
          <cell r="AE20" t="str">
            <v>Con precio</v>
          </cell>
        </row>
        <row r="21">
          <cell r="B21" t="str">
            <v>A-50(2)0001RS</v>
          </cell>
          <cell r="X21" t="str">
            <v>Empaquetado</v>
          </cell>
          <cell r="AC21">
            <v>4.4034090909090911E-4</v>
          </cell>
          <cell r="AD21">
            <v>4.4034090909090911E-4</v>
          </cell>
          <cell r="AE21" t="str">
            <v>Con precio</v>
          </cell>
        </row>
        <row r="22">
          <cell r="B22" t="str">
            <v>A-50(2)0005</v>
          </cell>
          <cell r="X22" t="str">
            <v>Formulación</v>
          </cell>
          <cell r="AC22">
            <v>1.0120000000000002</v>
          </cell>
          <cell r="AD22">
            <v>0.97900000000000009</v>
          </cell>
          <cell r="AE22" t="str">
            <v>Con precio</v>
          </cell>
        </row>
        <row r="23">
          <cell r="B23" t="str">
            <v>A-50(2)0005</v>
          </cell>
          <cell r="X23" t="str">
            <v>Formulación</v>
          </cell>
          <cell r="AC23">
            <v>0.42000000000000004</v>
          </cell>
          <cell r="AD23">
            <v>0.379</v>
          </cell>
          <cell r="AE23" t="str">
            <v>Con precio</v>
          </cell>
        </row>
        <row r="24">
          <cell r="B24" t="str">
            <v>A-50(2)0005</v>
          </cell>
          <cell r="X24" t="str">
            <v>Formulación</v>
          </cell>
          <cell r="AC24">
            <v>0.19600000000000001</v>
          </cell>
          <cell r="AD24">
            <v>0.19600000000000001</v>
          </cell>
          <cell r="AE24" t="str">
            <v>Con precio</v>
          </cell>
        </row>
        <row r="25">
          <cell r="B25" t="str">
            <v>A-50(2)0005</v>
          </cell>
          <cell r="X25" t="str">
            <v>Formulación</v>
          </cell>
          <cell r="AC25">
            <v>0.10500000000000001</v>
          </cell>
          <cell r="AD25">
            <v>7.4090000000000003E-2</v>
          </cell>
          <cell r="AE25" t="str">
            <v>Con precio</v>
          </cell>
        </row>
        <row r="26">
          <cell r="B26" t="str">
            <v>A-50(2)0005</v>
          </cell>
          <cell r="X26" t="str">
            <v>Empaquetado</v>
          </cell>
          <cell r="AC26">
            <v>6.1999999999999989E-4</v>
          </cell>
          <cell r="AD26">
            <v>6.1999999999999989E-4</v>
          </cell>
          <cell r="AE26" t="str">
            <v>Con precio</v>
          </cell>
        </row>
        <row r="27">
          <cell r="B27" t="str">
            <v>A-50(2)0005</v>
          </cell>
          <cell r="X27" t="str">
            <v>Empaquetado</v>
          </cell>
          <cell r="AC27">
            <v>2.0626666666666665E-2</v>
          </cell>
          <cell r="AD27">
            <v>2.0626666666666665E-2</v>
          </cell>
          <cell r="AE27" t="str">
            <v>Con precio</v>
          </cell>
        </row>
        <row r="28">
          <cell r="B28" t="str">
            <v>A-50(2)0005</v>
          </cell>
          <cell r="X28" t="str">
            <v>Empaquetado</v>
          </cell>
          <cell r="AC28">
            <v>1.0393066666666666E-2</v>
          </cell>
          <cell r="AD28">
            <v>1.0393066666666666E-2</v>
          </cell>
          <cell r="AE28" t="str">
            <v>Con precio</v>
          </cell>
        </row>
        <row r="29">
          <cell r="B29" t="str">
            <v>A-50(2)0005</v>
          </cell>
          <cell r="X29" t="str">
            <v>Empaquetado</v>
          </cell>
          <cell r="AC29">
            <v>1.8500000000000003E-2</v>
          </cell>
          <cell r="AD29">
            <v>1.8500000000000003E-2</v>
          </cell>
          <cell r="AE29" t="str">
            <v>Con precio</v>
          </cell>
        </row>
        <row r="30">
          <cell r="B30" t="str">
            <v>A-50(2)0005</v>
          </cell>
          <cell r="X30" t="str">
            <v>Empaquetado</v>
          </cell>
          <cell r="AC30">
            <v>2.1285586956521739E-2</v>
          </cell>
          <cell r="AD30">
            <v>2.1285586956521739E-2</v>
          </cell>
          <cell r="AE30" t="str">
            <v>Con precio</v>
          </cell>
        </row>
        <row r="31">
          <cell r="B31" t="str">
            <v>A-50(2)0005</v>
          </cell>
          <cell r="X31" t="str">
            <v>Empaquetado</v>
          </cell>
          <cell r="AC31">
            <v>2.9560014104372354E-2</v>
          </cell>
          <cell r="AD31">
            <v>2.9560014104372354E-2</v>
          </cell>
          <cell r="AE31" t="str">
            <v>Con precio</v>
          </cell>
        </row>
        <row r="32">
          <cell r="B32" t="str">
            <v>A-50(2)0005MA</v>
          </cell>
          <cell r="X32" t="str">
            <v>Formulación</v>
          </cell>
          <cell r="AC32">
            <v>1.0120000000000002</v>
          </cell>
          <cell r="AD32">
            <v>0.97900000000000009</v>
          </cell>
          <cell r="AE32" t="str">
            <v>Con precio</v>
          </cell>
        </row>
        <row r="33">
          <cell r="B33" t="str">
            <v>A-50(2)0005MA</v>
          </cell>
          <cell r="X33" t="str">
            <v>Formulación</v>
          </cell>
          <cell r="AC33">
            <v>0.42000000000000004</v>
          </cell>
          <cell r="AD33">
            <v>0.379</v>
          </cell>
          <cell r="AE33" t="str">
            <v>Con precio</v>
          </cell>
        </row>
        <row r="34">
          <cell r="B34" t="str">
            <v>A-50(2)0005MA</v>
          </cell>
          <cell r="X34" t="str">
            <v>Formulación</v>
          </cell>
          <cell r="AC34">
            <v>0.19600000000000001</v>
          </cell>
          <cell r="AD34">
            <v>0.19600000000000001</v>
          </cell>
          <cell r="AE34" t="str">
            <v>Con precio</v>
          </cell>
        </row>
        <row r="35">
          <cell r="B35" t="str">
            <v>A-50(2)0005MA</v>
          </cell>
          <cell r="X35" t="str">
            <v>Formulación</v>
          </cell>
          <cell r="AC35">
            <v>0.10500000000000001</v>
          </cell>
          <cell r="AD35">
            <v>7.4090000000000003E-2</v>
          </cell>
          <cell r="AE35" t="str">
            <v>Con precio</v>
          </cell>
        </row>
        <row r="36">
          <cell r="B36" t="str">
            <v>A-50(2)0005MA</v>
          </cell>
          <cell r="X36" t="str">
            <v>Empaquetado</v>
          </cell>
          <cell r="AC36">
            <v>6.1999999999999989E-4</v>
          </cell>
          <cell r="AD36">
            <v>6.1999999999999989E-4</v>
          </cell>
          <cell r="AE36" t="str">
            <v>Con precio</v>
          </cell>
        </row>
        <row r="37">
          <cell r="B37" t="str">
            <v>A-50(2)0005MA</v>
          </cell>
          <cell r="X37" t="str">
            <v>Empaquetado</v>
          </cell>
          <cell r="AC37">
            <v>2.0626666666666665E-2</v>
          </cell>
          <cell r="AD37">
            <v>2.0626666666666665E-2</v>
          </cell>
          <cell r="AE37" t="str">
            <v>Con precio</v>
          </cell>
        </row>
        <row r="38">
          <cell r="B38" t="str">
            <v>A-50(2)0005MA</v>
          </cell>
          <cell r="X38" t="str">
            <v>Empaquetado</v>
          </cell>
          <cell r="AC38">
            <v>1.0393066666666666E-2</v>
          </cell>
          <cell r="AD38">
            <v>1.0393066666666666E-2</v>
          </cell>
          <cell r="AE38" t="str">
            <v>Con precio</v>
          </cell>
        </row>
        <row r="39">
          <cell r="B39" t="str">
            <v>A-50(2)0005MA</v>
          </cell>
          <cell r="X39" t="str">
            <v>Empaquetado</v>
          </cell>
          <cell r="AC39">
            <v>1.8500000000000003E-2</v>
          </cell>
          <cell r="AD39">
            <v>1.8500000000000003E-2</v>
          </cell>
          <cell r="AE39" t="str">
            <v>Con precio</v>
          </cell>
        </row>
        <row r="40">
          <cell r="B40" t="str">
            <v>A-50(2)0005MA</v>
          </cell>
          <cell r="X40" t="str">
            <v>Empaquetado</v>
          </cell>
          <cell r="AC40">
            <v>2.1285586956521739E-2</v>
          </cell>
          <cell r="AD40">
            <v>2.1285586956521739E-2</v>
          </cell>
          <cell r="AE40" t="str">
            <v>Con precio</v>
          </cell>
        </row>
        <row r="41">
          <cell r="B41" t="str">
            <v>A-50(2)0005MA</v>
          </cell>
          <cell r="X41" t="str">
            <v>Empaquetado</v>
          </cell>
          <cell r="AC41">
            <v>2.9560014104372354E-2</v>
          </cell>
          <cell r="AD41">
            <v>2.9560014104372354E-2</v>
          </cell>
          <cell r="AE41" t="str">
            <v>Con precio</v>
          </cell>
        </row>
        <row r="42">
          <cell r="B42" t="str">
            <v>A-50(2)0020</v>
          </cell>
          <cell r="X42" t="str">
            <v>Formulación</v>
          </cell>
          <cell r="AC42">
            <v>1.0120000000000002</v>
          </cell>
          <cell r="AD42">
            <v>0.97900000000000009</v>
          </cell>
          <cell r="AE42" t="str">
            <v>Con precio</v>
          </cell>
        </row>
        <row r="43">
          <cell r="B43" t="str">
            <v>A-50(2)0020</v>
          </cell>
          <cell r="X43" t="str">
            <v>Formulación</v>
          </cell>
          <cell r="AC43">
            <v>0.42000000000000004</v>
          </cell>
          <cell r="AD43">
            <v>0.379</v>
          </cell>
          <cell r="AE43" t="str">
            <v>Con precio</v>
          </cell>
        </row>
        <row r="44">
          <cell r="B44" t="str">
            <v>A-50(2)0020</v>
          </cell>
          <cell r="X44" t="str">
            <v>Formulación</v>
          </cell>
          <cell r="AC44">
            <v>0.19600000000000001</v>
          </cell>
          <cell r="AD44">
            <v>0.19600000000000001</v>
          </cell>
          <cell r="AE44" t="str">
            <v>Con precio</v>
          </cell>
        </row>
        <row r="45">
          <cell r="B45" t="str">
            <v>A-50(2)0020</v>
          </cell>
          <cell r="X45" t="str">
            <v>Formulación</v>
          </cell>
          <cell r="AC45">
            <v>0.10500000000000001</v>
          </cell>
          <cell r="AD45">
            <v>7.4090000000000003E-2</v>
          </cell>
          <cell r="AE45" t="str">
            <v>Con precio</v>
          </cell>
        </row>
        <row r="46">
          <cell r="B46" t="str">
            <v>A-50(2)0020</v>
          </cell>
          <cell r="X46" t="str">
            <v>Empaquetado</v>
          </cell>
          <cell r="AC46">
            <v>6.8894999999999998E-3</v>
          </cell>
          <cell r="AD46">
            <v>6.8894999999999998E-3</v>
          </cell>
          <cell r="AE46" t="str">
            <v>Con precio</v>
          </cell>
        </row>
        <row r="47">
          <cell r="B47" t="str">
            <v>A-50(2)0020</v>
          </cell>
          <cell r="X47" t="str">
            <v>Empaquetado</v>
          </cell>
          <cell r="AC47">
            <v>1.6625000000000001E-2</v>
          </cell>
          <cell r="AD47">
            <v>1.6625000000000001E-2</v>
          </cell>
          <cell r="AE47" t="str">
            <v>Con precio</v>
          </cell>
        </row>
        <row r="48">
          <cell r="B48" t="str">
            <v>A-50(2)0020</v>
          </cell>
          <cell r="X48" t="str">
            <v>Empaquetado</v>
          </cell>
          <cell r="AC48">
            <v>8.8689945652173918E-3</v>
          </cell>
          <cell r="AD48">
            <v>8.8689945652173918E-3</v>
          </cell>
          <cell r="AE48" t="str">
            <v>Con precio</v>
          </cell>
        </row>
        <row r="49">
          <cell r="B49" t="str">
            <v>A-50(2)0020</v>
          </cell>
          <cell r="X49" t="str">
            <v>Empaquetado</v>
          </cell>
          <cell r="AC49">
            <v>1.9337500000000001E-2</v>
          </cell>
          <cell r="AD49">
            <v>1.9337500000000001E-2</v>
          </cell>
          <cell r="AE49" t="str">
            <v>Con precio</v>
          </cell>
        </row>
        <row r="50">
          <cell r="B50" t="str">
            <v>A-50(2)0020</v>
          </cell>
          <cell r="X50" t="str">
            <v>Empaquetado</v>
          </cell>
          <cell r="AC50">
            <v>5.8125000000000006E-4</v>
          </cell>
          <cell r="AD50">
            <v>5.8125000000000006E-4</v>
          </cell>
          <cell r="AE50" t="str">
            <v>Con precio</v>
          </cell>
        </row>
        <row r="51">
          <cell r="B51" t="str">
            <v>A-50(2)0020</v>
          </cell>
          <cell r="X51" t="str">
            <v>Empaquetado</v>
          </cell>
          <cell r="AC51">
            <v>3.6950017630465445E-2</v>
          </cell>
          <cell r="AD51">
            <v>3.6950017630465445E-2</v>
          </cell>
          <cell r="AE51" t="str">
            <v>Con precio</v>
          </cell>
        </row>
        <row r="52">
          <cell r="B52" t="str">
            <v>A-50(2)0020MA</v>
          </cell>
          <cell r="X52" t="str">
            <v>Formulación</v>
          </cell>
          <cell r="AC52">
            <v>1.0120000000000002</v>
          </cell>
          <cell r="AD52">
            <v>0.97900000000000009</v>
          </cell>
          <cell r="AE52" t="str">
            <v>Con precio</v>
          </cell>
        </row>
        <row r="53">
          <cell r="B53" t="str">
            <v>A-50(2)0020MA</v>
          </cell>
          <cell r="X53" t="str">
            <v>Formulación</v>
          </cell>
          <cell r="AC53">
            <v>0.42000000000000004</v>
          </cell>
          <cell r="AD53">
            <v>0.379</v>
          </cell>
          <cell r="AE53" t="str">
            <v>Con precio</v>
          </cell>
        </row>
        <row r="54">
          <cell r="B54" t="str">
            <v>A-50(2)0020MA</v>
          </cell>
          <cell r="X54" t="str">
            <v>Formulación</v>
          </cell>
          <cell r="AC54">
            <v>0.19600000000000001</v>
          </cell>
          <cell r="AD54">
            <v>0.19600000000000001</v>
          </cell>
          <cell r="AE54" t="str">
            <v>Con precio</v>
          </cell>
        </row>
        <row r="55">
          <cell r="B55" t="str">
            <v>A-50(2)0020MA</v>
          </cell>
          <cell r="X55" t="str">
            <v>Formulación</v>
          </cell>
          <cell r="AC55">
            <v>0.10500000000000001</v>
          </cell>
          <cell r="AD55">
            <v>7.4090000000000003E-2</v>
          </cell>
          <cell r="AE55" t="str">
            <v>Con precio</v>
          </cell>
        </row>
        <row r="56">
          <cell r="B56" t="str">
            <v>A-50(2)0020MA</v>
          </cell>
          <cell r="X56" t="str">
            <v>Empaquetado</v>
          </cell>
          <cell r="AC56">
            <v>6.8894999999999998E-3</v>
          </cell>
          <cell r="AD56">
            <v>6.8894999999999998E-3</v>
          </cell>
          <cell r="AE56" t="str">
            <v>Con precio</v>
          </cell>
        </row>
        <row r="57">
          <cell r="B57" t="str">
            <v>A-50(2)0020MA</v>
          </cell>
          <cell r="X57" t="str">
            <v>Empaquetado</v>
          </cell>
          <cell r="AC57">
            <v>1.6625000000000001E-2</v>
          </cell>
          <cell r="AD57">
            <v>1.6625000000000001E-2</v>
          </cell>
          <cell r="AE57" t="str">
            <v>Con precio</v>
          </cell>
        </row>
        <row r="58">
          <cell r="B58" t="str">
            <v>A-50(2)0020MA</v>
          </cell>
          <cell r="X58" t="str">
            <v>Empaquetado</v>
          </cell>
          <cell r="AC58">
            <v>8.8689945652173918E-3</v>
          </cell>
          <cell r="AD58">
            <v>8.8689945652173918E-3</v>
          </cell>
          <cell r="AE58" t="str">
            <v>Con precio</v>
          </cell>
        </row>
        <row r="59">
          <cell r="B59" t="str">
            <v>A-50(2)0020MA</v>
          </cell>
          <cell r="X59" t="str">
            <v>Empaquetado</v>
          </cell>
          <cell r="AC59">
            <v>1.9337500000000001E-2</v>
          </cell>
          <cell r="AD59">
            <v>1.9337500000000001E-2</v>
          </cell>
          <cell r="AE59" t="str">
            <v>Con precio</v>
          </cell>
        </row>
        <row r="60">
          <cell r="B60" t="str">
            <v>A-50(2)0020MA</v>
          </cell>
          <cell r="X60" t="str">
            <v>Empaquetado</v>
          </cell>
          <cell r="AC60">
            <v>5.8125000000000006E-4</v>
          </cell>
          <cell r="AD60">
            <v>5.8125000000000006E-4</v>
          </cell>
          <cell r="AE60" t="str">
            <v>Con precio</v>
          </cell>
        </row>
        <row r="61">
          <cell r="B61" t="str">
            <v>A-50(2)0020MA</v>
          </cell>
          <cell r="X61" t="str">
            <v>Empaquetado</v>
          </cell>
          <cell r="AC61">
            <v>3.6950017630465445E-2</v>
          </cell>
          <cell r="AD61">
            <v>3.6950017630465445E-2</v>
          </cell>
          <cell r="AE61" t="str">
            <v>Con precio</v>
          </cell>
        </row>
        <row r="62">
          <cell r="B62" t="str">
            <v>A-500001</v>
          </cell>
          <cell r="X62" t="str">
            <v>Formulación</v>
          </cell>
          <cell r="AC62">
            <v>1.0120000000000002</v>
          </cell>
          <cell r="AD62">
            <v>0.97900000000000009</v>
          </cell>
          <cell r="AE62" t="str">
            <v>Con precio</v>
          </cell>
        </row>
        <row r="63">
          <cell r="B63" t="str">
            <v>A-500001</v>
          </cell>
          <cell r="X63" t="str">
            <v>Formulación</v>
          </cell>
          <cell r="AC63">
            <v>0.63</v>
          </cell>
          <cell r="AD63">
            <v>0.56850000000000001</v>
          </cell>
          <cell r="AE63" t="str">
            <v>Con precio</v>
          </cell>
        </row>
        <row r="64">
          <cell r="B64" t="str">
            <v>A-500001</v>
          </cell>
          <cell r="X64" t="str">
            <v>Formulación</v>
          </cell>
          <cell r="AC64">
            <v>0.14699999999999999</v>
          </cell>
          <cell r="AD64">
            <v>0.14699999999999999</v>
          </cell>
          <cell r="AE64" t="str">
            <v>Con precio</v>
          </cell>
        </row>
        <row r="65">
          <cell r="B65" t="str">
            <v>A-500001</v>
          </cell>
          <cell r="X65" t="str">
            <v>Empaquetado</v>
          </cell>
          <cell r="AC65">
            <v>1.8939393939393939E-5</v>
          </cell>
          <cell r="AD65">
            <v>1.8939393939393939E-5</v>
          </cell>
          <cell r="AE65" t="str">
            <v>Con precio</v>
          </cell>
        </row>
        <row r="66">
          <cell r="B66" t="str">
            <v>A-500001</v>
          </cell>
          <cell r="X66" t="str">
            <v>Empaquetado</v>
          </cell>
          <cell r="AC66">
            <v>1.4649621212121213E-2</v>
          </cell>
          <cell r="AD66">
            <v>1.4649621212121213E-2</v>
          </cell>
          <cell r="AE66" t="str">
            <v>Con precio</v>
          </cell>
        </row>
        <row r="67">
          <cell r="B67" t="str">
            <v>A-500001</v>
          </cell>
          <cell r="X67" t="str">
            <v>Empaquetado</v>
          </cell>
          <cell r="AC67">
            <v>5.3938139059304703E-2</v>
          </cell>
          <cell r="AD67">
            <v>5.3938139059304703E-2</v>
          </cell>
          <cell r="AE67" t="str">
            <v>Con precio</v>
          </cell>
        </row>
        <row r="68">
          <cell r="B68" t="str">
            <v>A-500001</v>
          </cell>
          <cell r="X68" t="str">
            <v>Empaquetado</v>
          </cell>
          <cell r="AC68">
            <v>5.5431216032608699E-3</v>
          </cell>
          <cell r="AD68">
            <v>5.5431216032608699E-3</v>
          </cell>
          <cell r="AE68" t="str">
            <v>Con precio</v>
          </cell>
        </row>
        <row r="69">
          <cell r="B69" t="str">
            <v>A-500001</v>
          </cell>
          <cell r="X69" t="str">
            <v>Empaquetado</v>
          </cell>
          <cell r="AC69">
            <v>6.3339962121212137E-2</v>
          </cell>
          <cell r="AD69">
            <v>6.3339962121212137E-2</v>
          </cell>
          <cell r="AE69" t="str">
            <v>Con precio</v>
          </cell>
        </row>
        <row r="70">
          <cell r="B70" t="str">
            <v>A-500001</v>
          </cell>
          <cell r="X70" t="str">
            <v>Empaquetado</v>
          </cell>
          <cell r="AC70">
            <v>3.9889583333333332E-2</v>
          </cell>
          <cell r="AD70">
            <v>3.9889583333333332E-2</v>
          </cell>
          <cell r="AE70" t="str">
            <v>Con precio</v>
          </cell>
        </row>
        <row r="71">
          <cell r="B71" t="str">
            <v>A-500001GE</v>
          </cell>
          <cell r="X71" t="str">
            <v>Formulación</v>
          </cell>
          <cell r="AC71">
            <v>1.0120000000000002</v>
          </cell>
          <cell r="AD71">
            <v>0.97900000000000009</v>
          </cell>
          <cell r="AE71" t="str">
            <v>Con precio</v>
          </cell>
        </row>
        <row r="72">
          <cell r="B72" t="str">
            <v>A-500001GE</v>
          </cell>
          <cell r="X72" t="str">
            <v>Formulación</v>
          </cell>
          <cell r="AC72">
            <v>0.63</v>
          </cell>
          <cell r="AD72">
            <v>0.56850000000000001</v>
          </cell>
          <cell r="AE72" t="str">
            <v>Con precio</v>
          </cell>
        </row>
        <row r="73">
          <cell r="B73" t="str">
            <v>A-500001GE</v>
          </cell>
          <cell r="X73" t="str">
            <v>Formulación</v>
          </cell>
          <cell r="AC73">
            <v>0.14699999999999999</v>
          </cell>
          <cell r="AD73">
            <v>0.14699999999999999</v>
          </cell>
          <cell r="AE73" t="str">
            <v>Con precio</v>
          </cell>
        </row>
        <row r="74">
          <cell r="B74" t="str">
            <v>A-500001GE</v>
          </cell>
          <cell r="X74" t="str">
            <v>Empaquetado</v>
          </cell>
          <cell r="AC74">
            <v>1.8939393939393939E-5</v>
          </cell>
          <cell r="AD74">
            <v>1.8939393939393939E-5</v>
          </cell>
          <cell r="AE74" t="str">
            <v>Con precio</v>
          </cell>
        </row>
        <row r="75">
          <cell r="B75" t="str">
            <v>A-500001GE</v>
          </cell>
          <cell r="X75" t="str">
            <v>Empaquetado</v>
          </cell>
          <cell r="AC75">
            <v>1.4649621212121213E-2</v>
          </cell>
          <cell r="AD75">
            <v>1.4649621212121213E-2</v>
          </cell>
          <cell r="AE75" t="str">
            <v>Con precio</v>
          </cell>
        </row>
        <row r="76">
          <cell r="B76" t="str">
            <v>A-500001GE</v>
          </cell>
          <cell r="X76" t="str">
            <v>Empaquetado</v>
          </cell>
          <cell r="AC76">
            <v>5.3938139059304703E-2</v>
          </cell>
          <cell r="AD76">
            <v>5.3938139059304703E-2</v>
          </cell>
          <cell r="AE76" t="str">
            <v>Con precio</v>
          </cell>
        </row>
        <row r="77">
          <cell r="B77" t="str">
            <v>A-500001GE</v>
          </cell>
          <cell r="X77" t="str">
            <v>Empaquetado</v>
          </cell>
          <cell r="AC77">
            <v>5.5431216032608699E-3</v>
          </cell>
          <cell r="AD77">
            <v>5.5431216032608699E-3</v>
          </cell>
          <cell r="AE77" t="str">
            <v>Con precio</v>
          </cell>
        </row>
        <row r="78">
          <cell r="B78" t="str">
            <v>A-500001GE</v>
          </cell>
          <cell r="X78" t="str">
            <v>Empaquetado</v>
          </cell>
          <cell r="AC78">
            <v>6.3339962121212137E-2</v>
          </cell>
          <cell r="AD78">
            <v>6.3339962121212137E-2</v>
          </cell>
          <cell r="AE78" t="str">
            <v>Con precio</v>
          </cell>
        </row>
        <row r="79">
          <cell r="B79" t="str">
            <v>A-500001GE</v>
          </cell>
          <cell r="X79" t="str">
            <v>Empaquetado</v>
          </cell>
          <cell r="AC79">
            <v>3.9889583333333332E-2</v>
          </cell>
          <cell r="AD79">
            <v>3.9889583333333332E-2</v>
          </cell>
          <cell r="AE79" t="str">
            <v>Con precio</v>
          </cell>
        </row>
        <row r="80">
          <cell r="B80" t="str">
            <v>A-500001PA</v>
          </cell>
          <cell r="X80" t="str">
            <v>Formulación</v>
          </cell>
          <cell r="AC80">
            <v>1.0120000000000002</v>
          </cell>
          <cell r="AD80">
            <v>0.97900000000000009</v>
          </cell>
          <cell r="AE80" t="str">
            <v>Con precio</v>
          </cell>
        </row>
        <row r="81">
          <cell r="B81" t="str">
            <v>A-500001PA</v>
          </cell>
          <cell r="X81" t="str">
            <v>Formulación</v>
          </cell>
          <cell r="AC81">
            <v>0.63</v>
          </cell>
          <cell r="AD81">
            <v>0.56850000000000001</v>
          </cell>
          <cell r="AE81" t="str">
            <v>Con precio</v>
          </cell>
        </row>
        <row r="82">
          <cell r="B82" t="str">
            <v>A-500001PA</v>
          </cell>
          <cell r="X82" t="str">
            <v>Formulación</v>
          </cell>
          <cell r="AC82">
            <v>0.14699999999999999</v>
          </cell>
          <cell r="AD82">
            <v>0.14699999999999999</v>
          </cell>
          <cell r="AE82" t="str">
            <v>Con precio</v>
          </cell>
        </row>
        <row r="83">
          <cell r="B83" t="str">
            <v>A-500001PA</v>
          </cell>
          <cell r="X83" t="str">
            <v>Empaquetado</v>
          </cell>
          <cell r="AC83">
            <v>1.8939393939393939E-5</v>
          </cell>
          <cell r="AD83">
            <v>1.8939393939393939E-5</v>
          </cell>
          <cell r="AE83" t="str">
            <v>Con precio</v>
          </cell>
        </row>
        <row r="84">
          <cell r="B84" t="str">
            <v>A-500001PA</v>
          </cell>
          <cell r="X84" t="str">
            <v>Empaquetado</v>
          </cell>
          <cell r="AC84">
            <v>1.4649621212121213E-2</v>
          </cell>
          <cell r="AD84">
            <v>1.4649621212121213E-2</v>
          </cell>
          <cell r="AE84" t="str">
            <v>Con precio</v>
          </cell>
        </row>
        <row r="85">
          <cell r="B85" t="str">
            <v>A-500001PA</v>
          </cell>
          <cell r="X85" t="str">
            <v>Empaquetado</v>
          </cell>
          <cell r="AC85">
            <v>5.3938139059304703E-2</v>
          </cell>
          <cell r="AD85">
            <v>5.3938139059304703E-2</v>
          </cell>
          <cell r="AE85" t="str">
            <v>Con precio</v>
          </cell>
        </row>
        <row r="86">
          <cell r="B86" t="str">
            <v>A-500001PA</v>
          </cell>
          <cell r="X86" t="str">
            <v>Empaquetado</v>
          </cell>
          <cell r="AC86">
            <v>5.5431216032608699E-3</v>
          </cell>
          <cell r="AD86">
            <v>5.5431216032608699E-3</v>
          </cell>
          <cell r="AE86" t="str">
            <v>Con precio</v>
          </cell>
        </row>
        <row r="87">
          <cell r="B87" t="str">
            <v>A-500001PA</v>
          </cell>
          <cell r="X87" t="str">
            <v>Empaquetado</v>
          </cell>
          <cell r="AC87">
            <v>6.3339962121212137E-2</v>
          </cell>
          <cell r="AD87">
            <v>6.3339962121212137E-2</v>
          </cell>
          <cell r="AE87" t="str">
            <v>Con precio</v>
          </cell>
        </row>
        <row r="88">
          <cell r="B88" t="str">
            <v>A-500001PA</v>
          </cell>
          <cell r="X88" t="str">
            <v>Empaquetado</v>
          </cell>
          <cell r="AC88">
            <v>3.9889583333333332E-2</v>
          </cell>
          <cell r="AD88">
            <v>3.9889583333333332E-2</v>
          </cell>
          <cell r="AE88" t="str">
            <v>Con precio</v>
          </cell>
        </row>
        <row r="89">
          <cell r="B89" t="str">
            <v>A-500001RO</v>
          </cell>
          <cell r="X89" t="str">
            <v>Formulación</v>
          </cell>
          <cell r="AC89">
            <v>1.0120000000000002</v>
          </cell>
          <cell r="AD89">
            <v>0.97900000000000009</v>
          </cell>
          <cell r="AE89" t="str">
            <v>Con precio</v>
          </cell>
        </row>
        <row r="90">
          <cell r="B90" t="str">
            <v>A-500001RO</v>
          </cell>
          <cell r="X90" t="str">
            <v>Formulación</v>
          </cell>
          <cell r="AC90">
            <v>0.63</v>
          </cell>
          <cell r="AD90">
            <v>0.56850000000000001</v>
          </cell>
          <cell r="AE90" t="str">
            <v>Con precio</v>
          </cell>
        </row>
        <row r="91">
          <cell r="B91" t="str">
            <v>A-500001RO</v>
          </cell>
          <cell r="X91" t="str">
            <v>Formulación</v>
          </cell>
          <cell r="AC91">
            <v>0.14699999999999999</v>
          </cell>
          <cell r="AD91">
            <v>0.14699999999999999</v>
          </cell>
          <cell r="AE91" t="str">
            <v>Con precio</v>
          </cell>
        </row>
        <row r="92">
          <cell r="B92" t="str">
            <v>A-500001RO</v>
          </cell>
          <cell r="X92" t="str">
            <v>Empaquetado</v>
          </cell>
          <cell r="AC92">
            <v>1.8939393939393939E-5</v>
          </cell>
          <cell r="AD92">
            <v>1.8939393939393939E-5</v>
          </cell>
          <cell r="AE92" t="str">
            <v>Con precio</v>
          </cell>
        </row>
        <row r="93">
          <cell r="B93" t="str">
            <v>A-500001RO</v>
          </cell>
          <cell r="X93" t="str">
            <v>Empaquetado</v>
          </cell>
          <cell r="AC93">
            <v>1.4649621212121213E-2</v>
          </cell>
          <cell r="AD93">
            <v>1.4649621212121213E-2</v>
          </cell>
          <cell r="AE93" t="str">
            <v>Con precio</v>
          </cell>
        </row>
        <row r="94">
          <cell r="B94" t="str">
            <v>A-500001RO</v>
          </cell>
          <cell r="X94" t="str">
            <v>Empaquetado</v>
          </cell>
          <cell r="AC94">
            <v>5.3938139059304703E-2</v>
          </cell>
          <cell r="AD94">
            <v>5.3938139059304703E-2</v>
          </cell>
          <cell r="AE94" t="str">
            <v>Con precio</v>
          </cell>
        </row>
        <row r="95">
          <cell r="B95" t="str">
            <v>A-500001RO</v>
          </cell>
          <cell r="X95" t="str">
            <v>Empaquetado</v>
          </cell>
          <cell r="AC95">
            <v>5.5431216032608699E-3</v>
          </cell>
          <cell r="AD95">
            <v>5.5431216032608699E-3</v>
          </cell>
          <cell r="AE95" t="str">
            <v>Con precio</v>
          </cell>
        </row>
        <row r="96">
          <cell r="B96" t="str">
            <v>A-500001RO</v>
          </cell>
          <cell r="X96" t="str">
            <v>Empaquetado</v>
          </cell>
          <cell r="AC96">
            <v>6.3339962121212137E-2</v>
          </cell>
          <cell r="AD96">
            <v>6.3339962121212137E-2</v>
          </cell>
          <cell r="AE96" t="str">
            <v>Con precio</v>
          </cell>
        </row>
        <row r="97">
          <cell r="B97" t="str">
            <v>A-500001RO</v>
          </cell>
          <cell r="X97" t="str">
            <v>Empaquetado</v>
          </cell>
          <cell r="AC97">
            <v>3.9889583333333332E-2</v>
          </cell>
          <cell r="AD97">
            <v>3.9889583333333332E-2</v>
          </cell>
          <cell r="AE97" t="str">
            <v>Con precio</v>
          </cell>
        </row>
        <row r="98">
          <cell r="B98" t="str">
            <v>A-500005AZ</v>
          </cell>
          <cell r="X98" t="str">
            <v>Formulación</v>
          </cell>
          <cell r="AC98">
            <v>1.0120000000000002</v>
          </cell>
          <cell r="AD98">
            <v>0.97900000000000009</v>
          </cell>
          <cell r="AE98" t="str">
            <v>Con precio</v>
          </cell>
        </row>
        <row r="99">
          <cell r="B99" t="str">
            <v>A-500005AZ</v>
          </cell>
          <cell r="X99" t="str">
            <v>Formulación</v>
          </cell>
          <cell r="AC99">
            <v>0.63</v>
          </cell>
          <cell r="AD99">
            <v>0.56850000000000001</v>
          </cell>
          <cell r="AE99" t="str">
            <v>Con precio</v>
          </cell>
        </row>
        <row r="100">
          <cell r="B100" t="str">
            <v>A-500005AZ</v>
          </cell>
          <cell r="X100" t="str">
            <v>Formulación</v>
          </cell>
          <cell r="AC100">
            <v>0.14699999999999999</v>
          </cell>
          <cell r="AD100">
            <v>0.14699999999999999</v>
          </cell>
          <cell r="AE100" t="str">
            <v>Con precio</v>
          </cell>
        </row>
        <row r="101">
          <cell r="B101" t="str">
            <v>A-500005AZ</v>
          </cell>
          <cell r="X101" t="str">
            <v>Empaquetado</v>
          </cell>
          <cell r="AC101">
            <v>1.0393066666666666E-2</v>
          </cell>
          <cell r="AD101">
            <v>1.0393066666666666E-2</v>
          </cell>
          <cell r="AE101" t="str">
            <v>Con precio</v>
          </cell>
        </row>
        <row r="102">
          <cell r="B102" t="str">
            <v>A-500005AZ</v>
          </cell>
          <cell r="X102" t="str">
            <v>Empaquetado</v>
          </cell>
          <cell r="AC102">
            <v>2.0626666666666665E-2</v>
          </cell>
          <cell r="AD102">
            <v>2.0626666666666665E-2</v>
          </cell>
          <cell r="AE102" t="str">
            <v>Con precio</v>
          </cell>
        </row>
        <row r="103">
          <cell r="B103" t="str">
            <v>A-500005AZ</v>
          </cell>
          <cell r="X103" t="str">
            <v>Empaquetado</v>
          </cell>
          <cell r="AC103">
            <v>2.1285586956521739E-2</v>
          </cell>
          <cell r="AD103">
            <v>2.1285586956521739E-2</v>
          </cell>
          <cell r="AE103" t="str">
            <v>Con precio</v>
          </cell>
        </row>
        <row r="104">
          <cell r="B104" t="str">
            <v>A-500005AZ</v>
          </cell>
          <cell r="X104" t="str">
            <v>Empaquetado</v>
          </cell>
          <cell r="AC104">
            <v>2.9560014104372354E-2</v>
          </cell>
          <cell r="AD104">
            <v>2.9560014104372354E-2</v>
          </cell>
          <cell r="AE104" t="str">
            <v>Con precio</v>
          </cell>
        </row>
        <row r="105">
          <cell r="B105" t="str">
            <v>A-500005AZ</v>
          </cell>
          <cell r="X105" t="str">
            <v>Empaquetado</v>
          </cell>
          <cell r="AC105">
            <v>2.1682000000000003E-2</v>
          </cell>
          <cell r="AD105">
            <v>2.1682000000000003E-2</v>
          </cell>
          <cell r="AE105" t="str">
            <v>Con precio</v>
          </cell>
        </row>
        <row r="106">
          <cell r="B106" t="str">
            <v>A-500005CR</v>
          </cell>
          <cell r="X106" t="str">
            <v>Formulación</v>
          </cell>
          <cell r="AC106">
            <v>1.0120000000000002</v>
          </cell>
          <cell r="AD106">
            <v>0.97900000000000009</v>
          </cell>
          <cell r="AE106" t="str">
            <v>Con precio</v>
          </cell>
        </row>
        <row r="107">
          <cell r="B107" t="str">
            <v>A-500005CR</v>
          </cell>
          <cell r="X107" t="str">
            <v>Formulación</v>
          </cell>
          <cell r="AC107">
            <v>0.63</v>
          </cell>
          <cell r="AD107">
            <v>0.56850000000000001</v>
          </cell>
          <cell r="AE107" t="str">
            <v>Con precio</v>
          </cell>
        </row>
        <row r="108">
          <cell r="B108" t="str">
            <v>A-500005CR</v>
          </cell>
          <cell r="X108" t="str">
            <v>Formulación</v>
          </cell>
          <cell r="AC108">
            <v>0.14699999999999999</v>
          </cell>
          <cell r="AD108">
            <v>0.14699999999999999</v>
          </cell>
          <cell r="AE108" t="str">
            <v>Con precio</v>
          </cell>
        </row>
        <row r="109">
          <cell r="B109" t="str">
            <v>A-500005CR</v>
          </cell>
          <cell r="X109" t="str">
            <v>Empaquetado</v>
          </cell>
          <cell r="AC109">
            <v>1.0393066666666666E-2</v>
          </cell>
          <cell r="AD109">
            <v>1.0393066666666666E-2</v>
          </cell>
          <cell r="AE109" t="str">
            <v>Con precio</v>
          </cell>
        </row>
        <row r="110">
          <cell r="B110" t="str">
            <v>A-500005CR</v>
          </cell>
          <cell r="X110" t="str">
            <v>Empaquetado</v>
          </cell>
          <cell r="AC110">
            <v>2.0626666666666665E-2</v>
          </cell>
          <cell r="AD110">
            <v>2.0626666666666665E-2</v>
          </cell>
          <cell r="AE110" t="str">
            <v>Con precio</v>
          </cell>
        </row>
        <row r="111">
          <cell r="B111" t="str">
            <v>A-500005CR</v>
          </cell>
          <cell r="X111" t="str">
            <v>Empaquetado</v>
          </cell>
          <cell r="AC111">
            <v>2.1285586956521739E-2</v>
          </cell>
          <cell r="AD111">
            <v>2.1285586956521739E-2</v>
          </cell>
          <cell r="AE111" t="str">
            <v>Con precio</v>
          </cell>
        </row>
        <row r="112">
          <cell r="B112" t="str">
            <v>A-500005CR</v>
          </cell>
          <cell r="X112" t="str">
            <v>Empaquetado</v>
          </cell>
          <cell r="AC112">
            <v>2.9560014104372354E-2</v>
          </cell>
          <cell r="AD112">
            <v>2.9560014104372354E-2</v>
          </cell>
          <cell r="AE112" t="str">
            <v>Con precio</v>
          </cell>
        </row>
        <row r="113">
          <cell r="B113" t="str">
            <v>A-500005CR</v>
          </cell>
          <cell r="X113" t="str">
            <v>Empaquetado</v>
          </cell>
          <cell r="AC113">
            <v>2.1682000000000003E-2</v>
          </cell>
          <cell r="AD113">
            <v>2.1682000000000003E-2</v>
          </cell>
          <cell r="AE113" t="str">
            <v>Con precio</v>
          </cell>
        </row>
        <row r="114">
          <cell r="B114" t="str">
            <v>A-500005GE</v>
          </cell>
          <cell r="X114" t="str">
            <v>Formulación</v>
          </cell>
          <cell r="AC114">
            <v>1.0120000000000002</v>
          </cell>
          <cell r="AD114">
            <v>0.97900000000000009</v>
          </cell>
          <cell r="AE114" t="str">
            <v>Con precio</v>
          </cell>
        </row>
        <row r="115">
          <cell r="B115" t="str">
            <v>A-500005GE</v>
          </cell>
          <cell r="X115" t="str">
            <v>Formulación</v>
          </cell>
          <cell r="AC115">
            <v>0.63</v>
          </cell>
          <cell r="AD115">
            <v>0.56850000000000001</v>
          </cell>
          <cell r="AE115" t="str">
            <v>Con precio</v>
          </cell>
        </row>
        <row r="116">
          <cell r="B116" t="str">
            <v>A-500005GE</v>
          </cell>
          <cell r="X116" t="str">
            <v>Formulación</v>
          </cell>
          <cell r="AC116">
            <v>0.14699999999999999</v>
          </cell>
          <cell r="AD116">
            <v>0.14699999999999999</v>
          </cell>
          <cell r="AE116" t="str">
            <v>Con precio</v>
          </cell>
        </row>
        <row r="117">
          <cell r="B117" t="str">
            <v>A-500005GE</v>
          </cell>
          <cell r="X117" t="str">
            <v>Empaquetado</v>
          </cell>
          <cell r="AC117">
            <v>1.0393066666666666E-2</v>
          </cell>
          <cell r="AD117">
            <v>1.0393066666666666E-2</v>
          </cell>
          <cell r="AE117" t="str">
            <v>Con precio</v>
          </cell>
        </row>
        <row r="118">
          <cell r="B118" t="str">
            <v>A-500005GE</v>
          </cell>
          <cell r="X118" t="str">
            <v>Empaquetado</v>
          </cell>
          <cell r="AC118">
            <v>2.0626666666666665E-2</v>
          </cell>
          <cell r="AD118">
            <v>2.0626666666666665E-2</v>
          </cell>
          <cell r="AE118" t="str">
            <v>Con precio</v>
          </cell>
        </row>
        <row r="119">
          <cell r="B119" t="str">
            <v>A-500005GE</v>
          </cell>
          <cell r="X119" t="str">
            <v>Empaquetado</v>
          </cell>
          <cell r="AC119">
            <v>2.1285586956521739E-2</v>
          </cell>
          <cell r="AD119">
            <v>2.1285586956521739E-2</v>
          </cell>
          <cell r="AE119" t="str">
            <v>Con precio</v>
          </cell>
        </row>
        <row r="120">
          <cell r="B120" t="str">
            <v>A-500005GE</v>
          </cell>
          <cell r="X120" t="str">
            <v>Empaquetado</v>
          </cell>
          <cell r="AC120">
            <v>2.9560014104372354E-2</v>
          </cell>
          <cell r="AD120">
            <v>2.9560014104372354E-2</v>
          </cell>
          <cell r="AE120" t="str">
            <v>Con precio</v>
          </cell>
        </row>
        <row r="121">
          <cell r="B121" t="str">
            <v>A-500005GE</v>
          </cell>
          <cell r="X121" t="str">
            <v>Empaquetado</v>
          </cell>
          <cell r="AC121">
            <v>2.1682000000000003E-2</v>
          </cell>
          <cell r="AD121">
            <v>2.1682000000000003E-2</v>
          </cell>
          <cell r="AE121" t="str">
            <v>Con precio</v>
          </cell>
        </row>
        <row r="122">
          <cell r="B122" t="str">
            <v>A-500020CR</v>
          </cell>
          <cell r="X122" t="str">
            <v>Formulación</v>
          </cell>
          <cell r="AC122">
            <v>1.0120000000000002</v>
          </cell>
          <cell r="AD122">
            <v>0.97900000000000009</v>
          </cell>
          <cell r="AE122" t="str">
            <v>Con precio</v>
          </cell>
        </row>
        <row r="123">
          <cell r="B123" t="str">
            <v>A-500020CR</v>
          </cell>
          <cell r="X123" t="str">
            <v>Formulación</v>
          </cell>
          <cell r="AC123">
            <v>0.63</v>
          </cell>
          <cell r="AD123">
            <v>0.56850000000000001</v>
          </cell>
          <cell r="AE123" t="str">
            <v>Con precio</v>
          </cell>
        </row>
        <row r="124">
          <cell r="B124" t="str">
            <v>A-500020CR</v>
          </cell>
          <cell r="X124" t="str">
            <v>Formulación</v>
          </cell>
          <cell r="AC124">
            <v>0.14699999999999999</v>
          </cell>
          <cell r="AD124">
            <v>0.14699999999999999</v>
          </cell>
          <cell r="AE124" t="str">
            <v>Con precio</v>
          </cell>
        </row>
        <row r="125">
          <cell r="B125" t="str">
            <v>A-500020CR</v>
          </cell>
          <cell r="X125" t="str">
            <v>Empaquetado</v>
          </cell>
          <cell r="AC125">
            <v>6.8894999999999998E-3</v>
          </cell>
          <cell r="AD125">
            <v>6.8894999999999998E-3</v>
          </cell>
          <cell r="AE125" t="str">
            <v>Con precio</v>
          </cell>
        </row>
        <row r="126">
          <cell r="B126" t="str">
            <v>A-500020CR</v>
          </cell>
          <cell r="X126" t="str">
            <v>Empaquetado</v>
          </cell>
          <cell r="AC126">
            <v>8.8689945652173918E-3</v>
          </cell>
          <cell r="AD126">
            <v>8.8689945652173918E-3</v>
          </cell>
          <cell r="AE126" t="str">
            <v>Con precio</v>
          </cell>
        </row>
        <row r="127">
          <cell r="B127" t="str">
            <v>A-500020CR</v>
          </cell>
          <cell r="X127" t="str">
            <v>Empaquetado</v>
          </cell>
          <cell r="AC127">
            <v>1.6625000000000001E-2</v>
          </cell>
          <cell r="AD127">
            <v>1.6625000000000001E-2</v>
          </cell>
          <cell r="AE127" t="str">
            <v>Con precio</v>
          </cell>
        </row>
        <row r="128">
          <cell r="B128" t="str">
            <v>A-500020CR</v>
          </cell>
          <cell r="X128" t="str">
            <v>Empaquetado</v>
          </cell>
          <cell r="AC128">
            <v>1.9337500000000001E-2</v>
          </cell>
          <cell r="AD128">
            <v>1.9337500000000001E-2</v>
          </cell>
          <cell r="AE128" t="str">
            <v>Con precio</v>
          </cell>
        </row>
        <row r="129">
          <cell r="B129" t="str">
            <v>A-500020CR</v>
          </cell>
          <cell r="X129" t="str">
            <v>Empaquetado</v>
          </cell>
          <cell r="AC129">
            <v>3.6950017630465445E-2</v>
          </cell>
          <cell r="AD129">
            <v>3.6950017630465445E-2</v>
          </cell>
          <cell r="AE129" t="str">
            <v>Con precio</v>
          </cell>
        </row>
        <row r="130">
          <cell r="B130" t="str">
            <v>A-500020RO</v>
          </cell>
          <cell r="X130" t="str">
            <v>Formulación</v>
          </cell>
          <cell r="AC130">
            <v>1.0120000000000002</v>
          </cell>
          <cell r="AD130">
            <v>0.97900000000000009</v>
          </cell>
          <cell r="AE130" t="str">
            <v>Con precio</v>
          </cell>
        </row>
        <row r="131">
          <cell r="B131" t="str">
            <v>A-500020RO</v>
          </cell>
          <cell r="X131" t="str">
            <v>Formulación</v>
          </cell>
          <cell r="AC131">
            <v>0.63</v>
          </cell>
          <cell r="AD131">
            <v>0.56850000000000001</v>
          </cell>
          <cell r="AE131" t="str">
            <v>Con precio</v>
          </cell>
        </row>
        <row r="132">
          <cell r="B132" t="str">
            <v>A-500020RO</v>
          </cell>
          <cell r="X132" t="str">
            <v>Formulación</v>
          </cell>
          <cell r="AC132">
            <v>0.14699999999999999</v>
          </cell>
          <cell r="AD132">
            <v>0.14699999999999999</v>
          </cell>
          <cell r="AE132" t="str">
            <v>Con precio</v>
          </cell>
        </row>
        <row r="133">
          <cell r="B133" t="str">
            <v>A-500020RO</v>
          </cell>
          <cell r="X133" t="str">
            <v>Empaquetado</v>
          </cell>
          <cell r="AC133">
            <v>6.8894999999999998E-3</v>
          </cell>
          <cell r="AD133">
            <v>6.8894999999999998E-3</v>
          </cell>
          <cell r="AE133" t="str">
            <v>Con precio</v>
          </cell>
        </row>
        <row r="134">
          <cell r="B134" t="str">
            <v>A-500020RO</v>
          </cell>
          <cell r="X134" t="str">
            <v>Empaquetado</v>
          </cell>
          <cell r="AC134">
            <v>8.8689945652173918E-3</v>
          </cell>
          <cell r="AD134">
            <v>8.8689945652173918E-3</v>
          </cell>
          <cell r="AE134" t="str">
            <v>Con precio</v>
          </cell>
        </row>
        <row r="135">
          <cell r="B135" t="str">
            <v>A-500020RO</v>
          </cell>
          <cell r="X135" t="str">
            <v>Empaquetado</v>
          </cell>
          <cell r="AC135">
            <v>1.6625000000000001E-2</v>
          </cell>
          <cell r="AD135">
            <v>1.6625000000000001E-2</v>
          </cell>
          <cell r="AE135" t="str">
            <v>Con precio</v>
          </cell>
        </row>
        <row r="136">
          <cell r="B136" t="str">
            <v>A-500020RO</v>
          </cell>
          <cell r="X136" t="str">
            <v>Empaquetado</v>
          </cell>
          <cell r="AC136">
            <v>1.9337500000000001E-2</v>
          </cell>
          <cell r="AD136">
            <v>1.9337500000000001E-2</v>
          </cell>
          <cell r="AE136" t="str">
            <v>Con precio</v>
          </cell>
        </row>
        <row r="137">
          <cell r="B137" t="str">
            <v>A-500020RO</v>
          </cell>
          <cell r="X137" t="str">
            <v>Empaquetado</v>
          </cell>
          <cell r="AC137">
            <v>3.6950017630465445E-2</v>
          </cell>
          <cell r="AD137">
            <v>3.6950017630465445E-2</v>
          </cell>
          <cell r="AE137" t="str">
            <v>Con precio</v>
          </cell>
        </row>
        <row r="138">
          <cell r="B138" t="str">
            <v>A-501000TR</v>
          </cell>
          <cell r="X138" t="str">
            <v>Formulación</v>
          </cell>
          <cell r="AC138">
            <v>1.0120000000000002</v>
          </cell>
          <cell r="AD138">
            <v>0.97900000000000009</v>
          </cell>
          <cell r="AE138" t="str">
            <v>Con precio</v>
          </cell>
        </row>
        <row r="139">
          <cell r="B139" t="str">
            <v>A-501000TR</v>
          </cell>
          <cell r="X139" t="str">
            <v>Formulación</v>
          </cell>
          <cell r="AC139">
            <v>0.63</v>
          </cell>
          <cell r="AD139">
            <v>0.56850000000000001</v>
          </cell>
          <cell r="AE139" t="str">
            <v>Con precio</v>
          </cell>
        </row>
        <row r="140">
          <cell r="B140" t="str">
            <v>A-501000TR</v>
          </cell>
          <cell r="X140" t="str">
            <v>Formulación</v>
          </cell>
          <cell r="AC140">
            <v>0.14699999999999999</v>
          </cell>
          <cell r="AD140">
            <v>0.14699999999999999</v>
          </cell>
          <cell r="AE140" t="str">
            <v>Con precio</v>
          </cell>
        </row>
        <row r="141">
          <cell r="B141" t="str">
            <v>A-50BBTR</v>
          </cell>
          <cell r="X141" t="str">
            <v>Formulación</v>
          </cell>
          <cell r="AC141">
            <v>1.0120000000000002</v>
          </cell>
          <cell r="AD141">
            <v>0.97900000000000009</v>
          </cell>
          <cell r="AE141" t="str">
            <v>Con precio</v>
          </cell>
        </row>
        <row r="142">
          <cell r="B142" t="str">
            <v>A-50BBTR</v>
          </cell>
          <cell r="X142" t="str">
            <v>Formulación</v>
          </cell>
          <cell r="AC142">
            <v>0.63</v>
          </cell>
          <cell r="AD142">
            <v>0.56850000000000001</v>
          </cell>
          <cell r="AE142" t="str">
            <v>Con precio</v>
          </cell>
        </row>
        <row r="143">
          <cell r="B143" t="str">
            <v>A-50BBTR</v>
          </cell>
          <cell r="X143" t="str">
            <v>Formulación</v>
          </cell>
          <cell r="AC143">
            <v>0.14699999999999999</v>
          </cell>
          <cell r="AD143">
            <v>0.14699999999999999</v>
          </cell>
          <cell r="AE143" t="str">
            <v>Con precio</v>
          </cell>
        </row>
        <row r="144">
          <cell r="B144" t="str">
            <v>A-50EG0001EG</v>
          </cell>
          <cell r="X144" t="str">
            <v>Formulación</v>
          </cell>
          <cell r="AC144">
            <v>0.40479999999999999</v>
          </cell>
          <cell r="AD144">
            <v>0.3916</v>
          </cell>
          <cell r="AE144" t="str">
            <v>Con precio</v>
          </cell>
        </row>
        <row r="145">
          <cell r="B145" t="str">
            <v>A-50EG0001EG</v>
          </cell>
          <cell r="X145" t="str">
            <v>Formulación</v>
          </cell>
          <cell r="AC145">
            <v>1.05</v>
          </cell>
          <cell r="AD145">
            <v>0.94750000000000001</v>
          </cell>
          <cell r="AE145" t="str">
            <v>Con precio</v>
          </cell>
        </row>
        <row r="146">
          <cell r="B146" t="str">
            <v>A-50EG0001EG</v>
          </cell>
          <cell r="X146" t="str">
            <v>Formulación</v>
          </cell>
          <cell r="AC146">
            <v>9.8000000000000004E-2</v>
          </cell>
          <cell r="AD146">
            <v>9.8000000000000004E-2</v>
          </cell>
          <cell r="AE146" t="str">
            <v>Con precio</v>
          </cell>
        </row>
        <row r="147">
          <cell r="B147" t="str">
            <v>A-50EG0001EG</v>
          </cell>
          <cell r="X147" t="str">
            <v>Formulación</v>
          </cell>
          <cell r="AC147">
            <v>7.0499999999999993E-2</v>
          </cell>
          <cell r="AD147">
            <v>5.7479999999999996E-2</v>
          </cell>
          <cell r="AE147" t="str">
            <v>Con precio</v>
          </cell>
        </row>
        <row r="148">
          <cell r="B148" t="str">
            <v>A-50EG0001EG</v>
          </cell>
          <cell r="X148" t="str">
            <v>Formulación</v>
          </cell>
          <cell r="AC148">
            <v>0.13500000000000001</v>
          </cell>
          <cell r="AD148">
            <v>0.10642857142857146</v>
          </cell>
          <cell r="AE148" t="str">
            <v>Con precio</v>
          </cell>
        </row>
        <row r="149">
          <cell r="B149" t="str">
            <v>A-50EG0001EG</v>
          </cell>
          <cell r="X149" t="str">
            <v>Formulación</v>
          </cell>
          <cell r="AC149">
            <v>0.10500000000000001</v>
          </cell>
          <cell r="AD149">
            <v>7.4090000000000003E-2</v>
          </cell>
          <cell r="AE149" t="str">
            <v>Con precio</v>
          </cell>
        </row>
        <row r="150">
          <cell r="B150" t="str">
            <v>A-50EG0001EG</v>
          </cell>
          <cell r="X150" t="str">
            <v>Empaquetado</v>
          </cell>
          <cell r="AC150">
            <v>1.8939393939393939E-5</v>
          </cell>
          <cell r="AD150">
            <v>1.8939393939393939E-5</v>
          </cell>
          <cell r="AE150" t="str">
            <v>Con precio</v>
          </cell>
        </row>
        <row r="151">
          <cell r="B151" t="str">
            <v>A-50EG0001EG</v>
          </cell>
          <cell r="X151" t="str">
            <v>Empaquetado</v>
          </cell>
          <cell r="AC151">
            <v>1.4649621212121213E-2</v>
          </cell>
          <cell r="AD151">
            <v>1.4649621212121213E-2</v>
          </cell>
          <cell r="AE151" t="str">
            <v>Con precio</v>
          </cell>
        </row>
        <row r="152">
          <cell r="B152" t="str">
            <v>A-50EG0001EG</v>
          </cell>
          <cell r="X152" t="str">
            <v>Empaquetado</v>
          </cell>
          <cell r="AC152">
            <v>5.3938139059304703E-2</v>
          </cell>
          <cell r="AD152">
            <v>5.3938139059304703E-2</v>
          </cell>
          <cell r="AE152" t="str">
            <v>Con precio</v>
          </cell>
        </row>
        <row r="153">
          <cell r="B153" t="str">
            <v>A-50EG0001EG</v>
          </cell>
          <cell r="X153" t="str">
            <v>Empaquetado</v>
          </cell>
          <cell r="AC153">
            <v>5.5431216032608699E-3</v>
          </cell>
          <cell r="AD153">
            <v>5.5431216032608699E-3</v>
          </cell>
          <cell r="AE153" t="str">
            <v>Con precio</v>
          </cell>
        </row>
        <row r="154">
          <cell r="B154" t="str">
            <v>A-50EG0001EG</v>
          </cell>
          <cell r="X154" t="str">
            <v>Empaquetado</v>
          </cell>
          <cell r="AC154">
            <v>4.9949908925318767E-2</v>
          </cell>
          <cell r="AD154">
            <v>4.9949908925318767E-2</v>
          </cell>
          <cell r="AE154" t="str">
            <v>Con precio</v>
          </cell>
        </row>
        <row r="155">
          <cell r="B155" t="str">
            <v>A-50EG0001EG</v>
          </cell>
          <cell r="X155" t="str">
            <v>Empaquetado</v>
          </cell>
          <cell r="AC155">
            <v>6.3339962121212137E-2</v>
          </cell>
          <cell r="AD155">
            <v>6.3339962121212137E-2</v>
          </cell>
          <cell r="AE155" t="str">
            <v>Con precio</v>
          </cell>
        </row>
        <row r="156">
          <cell r="B156" t="str">
            <v>AGFE0001</v>
          </cell>
          <cell r="X156" t="str">
            <v>Formulación</v>
          </cell>
          <cell r="AC156">
            <v>3.69</v>
          </cell>
          <cell r="AD156">
            <v>3.69</v>
          </cell>
          <cell r="AE156" t="str">
            <v>Con precio</v>
          </cell>
        </row>
        <row r="157">
          <cell r="B157" t="str">
            <v>AGFE0001</v>
          </cell>
          <cell r="X157" t="str">
            <v>Empaquetado</v>
          </cell>
          <cell r="AC157">
            <v>4.0000000000000003E-5</v>
          </cell>
          <cell r="AD157">
            <v>4.0000000000000003E-5</v>
          </cell>
          <cell r="AE157" t="str">
            <v>Con precio</v>
          </cell>
        </row>
        <row r="158">
          <cell r="B158" t="str">
            <v>AGFE0001</v>
          </cell>
          <cell r="X158" t="str">
            <v>Empaquetado</v>
          </cell>
          <cell r="AC158">
            <v>5.5874665760869569E-3</v>
          </cell>
          <cell r="AD158">
            <v>5.5874665760869569E-3</v>
          </cell>
          <cell r="AE158" t="str">
            <v>Con precio</v>
          </cell>
        </row>
        <row r="159">
          <cell r="B159" t="str">
            <v>AGFE0001</v>
          </cell>
          <cell r="X159" t="str">
            <v>Empaquetado</v>
          </cell>
          <cell r="AC159">
            <v>4.6557022214386456E-2</v>
          </cell>
          <cell r="AD159">
            <v>4.6557022214386456E-2</v>
          </cell>
          <cell r="AE159" t="str">
            <v>Con precio</v>
          </cell>
        </row>
        <row r="160">
          <cell r="B160" t="str">
            <v>AGFE0001</v>
          </cell>
          <cell r="X160" t="str">
            <v>Empaquetado</v>
          </cell>
          <cell r="AC160">
            <v>7.1629848670756655E-2</v>
          </cell>
          <cell r="AD160">
            <v>7.1629848670756655E-2</v>
          </cell>
          <cell r="AE160" t="str">
            <v>Con precio</v>
          </cell>
        </row>
        <row r="161">
          <cell r="B161" t="str">
            <v>AGFE0001</v>
          </cell>
          <cell r="X161" t="str">
            <v>Empaquetado</v>
          </cell>
          <cell r="AC161">
            <v>6.6887000000000002E-2</v>
          </cell>
          <cell r="AD161">
            <v>6.6887000000000002E-2</v>
          </cell>
          <cell r="AE161" t="str">
            <v>Con precio</v>
          </cell>
        </row>
        <row r="162">
          <cell r="B162" t="str">
            <v>AGFE0001</v>
          </cell>
          <cell r="X162" t="str">
            <v>Empaquetado</v>
          </cell>
          <cell r="AC162">
            <v>3.0940000000000002E-2</v>
          </cell>
          <cell r="AD162">
            <v>3.0940000000000002E-2</v>
          </cell>
          <cell r="AE162" t="str">
            <v>Con precio</v>
          </cell>
        </row>
        <row r="163">
          <cell r="B163" t="str">
            <v>AGFE0001</v>
          </cell>
          <cell r="X163" t="str">
            <v>Empaquetado</v>
          </cell>
          <cell r="AC163">
            <v>3.9889583333333332E-2</v>
          </cell>
          <cell r="AD163">
            <v>3.9889583333333332E-2</v>
          </cell>
          <cell r="AE163" t="str">
            <v>Con precio</v>
          </cell>
        </row>
        <row r="164">
          <cell r="B164" t="str">
            <v>AGFE0001RO</v>
          </cell>
          <cell r="X164" t="str">
            <v>Formulación</v>
          </cell>
          <cell r="AC164">
            <v>3.69</v>
          </cell>
          <cell r="AD164">
            <v>3.69</v>
          </cell>
          <cell r="AE164" t="str">
            <v>Con precio</v>
          </cell>
        </row>
        <row r="165">
          <cell r="B165" t="str">
            <v>AGFE0001RO</v>
          </cell>
          <cell r="X165" t="str">
            <v>Empaquetado</v>
          </cell>
          <cell r="AC165">
            <v>4.0000000000000003E-5</v>
          </cell>
          <cell r="AD165">
            <v>4.0000000000000003E-5</v>
          </cell>
          <cell r="AE165" t="str">
            <v>Con precio</v>
          </cell>
        </row>
        <row r="166">
          <cell r="B166" t="str">
            <v>AGFE0001RO</v>
          </cell>
          <cell r="X166" t="str">
            <v>Empaquetado</v>
          </cell>
          <cell r="AC166">
            <v>5.5874665760869569E-3</v>
          </cell>
          <cell r="AD166">
            <v>5.5874665760869569E-3</v>
          </cell>
          <cell r="AE166" t="str">
            <v>Con precio</v>
          </cell>
        </row>
        <row r="167">
          <cell r="B167" t="str">
            <v>AGFE0001RO</v>
          </cell>
          <cell r="X167" t="str">
            <v>Empaquetado</v>
          </cell>
          <cell r="AC167">
            <v>4.6557022214386456E-2</v>
          </cell>
          <cell r="AD167">
            <v>4.6557022214386456E-2</v>
          </cell>
          <cell r="AE167" t="str">
            <v>Con precio</v>
          </cell>
        </row>
        <row r="168">
          <cell r="B168" t="str">
            <v>AGFE0001RO</v>
          </cell>
          <cell r="X168" t="str">
            <v>Empaquetado</v>
          </cell>
          <cell r="AC168">
            <v>7.1629848670756655E-2</v>
          </cell>
          <cell r="AD168">
            <v>7.1629848670756655E-2</v>
          </cell>
          <cell r="AE168" t="str">
            <v>Con precio</v>
          </cell>
        </row>
        <row r="169">
          <cell r="B169" t="str">
            <v>AGFE0001RO</v>
          </cell>
          <cell r="X169" t="str">
            <v>Empaquetado</v>
          </cell>
          <cell r="AC169">
            <v>6.6887000000000002E-2</v>
          </cell>
          <cell r="AD169">
            <v>6.6887000000000002E-2</v>
          </cell>
          <cell r="AE169" t="str">
            <v>Con precio</v>
          </cell>
        </row>
        <row r="170">
          <cell r="B170" t="str">
            <v>AGFE0001RO</v>
          </cell>
          <cell r="X170" t="str">
            <v>Empaquetado</v>
          </cell>
          <cell r="AC170">
            <v>3.0940000000000002E-2</v>
          </cell>
          <cell r="AD170">
            <v>3.0940000000000002E-2</v>
          </cell>
          <cell r="AE170" t="str">
            <v>Con precio</v>
          </cell>
        </row>
        <row r="171">
          <cell r="B171" t="str">
            <v>AGFE0001RO</v>
          </cell>
          <cell r="X171" t="str">
            <v>Empaquetado</v>
          </cell>
          <cell r="AC171">
            <v>3.9889583333333332E-2</v>
          </cell>
          <cell r="AD171">
            <v>3.9889583333333332E-2</v>
          </cell>
          <cell r="AE171" t="str">
            <v>Con precio</v>
          </cell>
        </row>
        <row r="172">
          <cell r="B172" t="str">
            <v>AGFEL0001</v>
          </cell>
          <cell r="X172" t="str">
            <v>Formulación</v>
          </cell>
          <cell r="AC172">
            <v>1.4375</v>
          </cell>
          <cell r="AD172">
            <v>1.4375</v>
          </cell>
          <cell r="AE172" t="str">
            <v>Con precio</v>
          </cell>
        </row>
        <row r="173">
          <cell r="B173" t="str">
            <v>AGFEL0001</v>
          </cell>
          <cell r="X173" t="str">
            <v>Empaquetado</v>
          </cell>
          <cell r="AC173">
            <v>3.0303030303030299E-5</v>
          </cell>
          <cell r="AD173">
            <v>3.0303030303030299E-5</v>
          </cell>
          <cell r="AE173" t="str">
            <v>Con precio</v>
          </cell>
        </row>
        <row r="174">
          <cell r="B174" t="str">
            <v>AGFEL0001</v>
          </cell>
          <cell r="X174" t="str">
            <v>Empaquetado</v>
          </cell>
          <cell r="AC174">
            <v>2.3439393939393937E-2</v>
          </cell>
          <cell r="AD174">
            <v>2.3439393939393937E-2</v>
          </cell>
          <cell r="AE174" t="str">
            <v>Con precio</v>
          </cell>
        </row>
        <row r="175">
          <cell r="B175" t="str">
            <v>AGFEL0001</v>
          </cell>
          <cell r="X175" t="str">
            <v>Empaquetado</v>
          </cell>
          <cell r="AC175">
            <v>7.1917518745739595E-2</v>
          </cell>
          <cell r="AD175">
            <v>7.1917518745739595E-2</v>
          </cell>
          <cell r="AE175" t="str">
            <v>Con precio</v>
          </cell>
        </row>
        <row r="176">
          <cell r="B176" t="str">
            <v>AGFEL0001</v>
          </cell>
          <cell r="X176" t="str">
            <v>Empaquetado</v>
          </cell>
          <cell r="AC176">
            <v>0.11874999999999999</v>
          </cell>
          <cell r="AD176">
            <v>0.11874999999999999</v>
          </cell>
          <cell r="AE176" t="str">
            <v>Con precio</v>
          </cell>
        </row>
        <row r="177">
          <cell r="B177" t="str">
            <v>AGFEL0001</v>
          </cell>
          <cell r="X177" t="str">
            <v>Empaquetado</v>
          </cell>
          <cell r="AC177">
            <v>0.10989326355340848</v>
          </cell>
          <cell r="AD177">
            <v>0.10989326355340848</v>
          </cell>
          <cell r="AE177" t="str">
            <v>Con precio</v>
          </cell>
        </row>
        <row r="178">
          <cell r="B178" t="str">
            <v>AGFEL0001</v>
          </cell>
          <cell r="X178" t="str">
            <v>Empaquetado</v>
          </cell>
          <cell r="AC178">
            <v>0.59068001033057849</v>
          </cell>
          <cell r="AD178">
            <v>0.59068001033057849</v>
          </cell>
          <cell r="AE178" t="str">
            <v>Con precio</v>
          </cell>
        </row>
        <row r="179">
          <cell r="B179" t="str">
            <v>AGFEL0001RO</v>
          </cell>
          <cell r="X179" t="str">
            <v>Formulación</v>
          </cell>
          <cell r="AC179">
            <v>1.4375</v>
          </cell>
          <cell r="AD179">
            <v>1.4375</v>
          </cell>
          <cell r="AE179" t="str">
            <v>Con precio</v>
          </cell>
        </row>
        <row r="180">
          <cell r="B180" t="str">
            <v>AGFEL0001RO</v>
          </cell>
          <cell r="X180" t="str">
            <v>Empaquetado</v>
          </cell>
          <cell r="AC180">
            <v>3.0303030303030299E-5</v>
          </cell>
          <cell r="AD180">
            <v>3.0303030303030299E-5</v>
          </cell>
          <cell r="AE180" t="str">
            <v>Con precio</v>
          </cell>
        </row>
        <row r="181">
          <cell r="B181" t="str">
            <v>AGFEL0001RO</v>
          </cell>
          <cell r="X181" t="str">
            <v>Empaquetado</v>
          </cell>
          <cell r="AC181">
            <v>2.3439393939393937E-2</v>
          </cell>
          <cell r="AD181">
            <v>2.3439393939393937E-2</v>
          </cell>
          <cell r="AE181" t="str">
            <v>Con precio</v>
          </cell>
        </row>
        <row r="182">
          <cell r="B182" t="str">
            <v>AGFEL0001RO</v>
          </cell>
          <cell r="X182" t="str">
            <v>Empaquetado</v>
          </cell>
          <cell r="AC182">
            <v>7.1917518745739595E-2</v>
          </cell>
          <cell r="AD182">
            <v>7.1917518745739595E-2</v>
          </cell>
          <cell r="AE182" t="str">
            <v>Con precio</v>
          </cell>
        </row>
        <row r="183">
          <cell r="B183" t="str">
            <v>AGFEL0001RO</v>
          </cell>
          <cell r="X183" t="str">
            <v>Empaquetado</v>
          </cell>
          <cell r="AC183">
            <v>0.11874999999999999</v>
          </cell>
          <cell r="AD183">
            <v>0.11874999999999999</v>
          </cell>
          <cell r="AE183" t="str">
            <v>Con precio</v>
          </cell>
        </row>
        <row r="184">
          <cell r="B184" t="str">
            <v>AGFEL0001RO</v>
          </cell>
          <cell r="X184" t="str">
            <v>Empaquetado</v>
          </cell>
          <cell r="AC184">
            <v>0.10989326355340848</v>
          </cell>
          <cell r="AD184">
            <v>0.10989326355340848</v>
          </cell>
          <cell r="AE184" t="str">
            <v>Con precio</v>
          </cell>
        </row>
        <row r="185">
          <cell r="B185" t="str">
            <v>AGFEL0001RO</v>
          </cell>
          <cell r="X185" t="str">
            <v>Empaquetado</v>
          </cell>
          <cell r="AC185">
            <v>0.59068001033057849</v>
          </cell>
          <cell r="AD185">
            <v>0.59068001033057849</v>
          </cell>
          <cell r="AE185" t="str">
            <v>Con precio</v>
          </cell>
        </row>
        <row r="186">
          <cell r="B186" t="str">
            <v>AGFEL0005</v>
          </cell>
          <cell r="X186" t="str">
            <v>Formulación</v>
          </cell>
          <cell r="AC186">
            <v>1.4375</v>
          </cell>
          <cell r="AD186">
            <v>1.4375</v>
          </cell>
          <cell r="AE186" t="str">
            <v>Con precio</v>
          </cell>
        </row>
        <row r="187">
          <cell r="B187" t="str">
            <v>AGFEL0005</v>
          </cell>
          <cell r="X187" t="str">
            <v>Empaquetado</v>
          </cell>
          <cell r="AC187">
            <v>1.2991333333333337E-2</v>
          </cell>
          <cell r="AD187">
            <v>1.2991333333333337E-2</v>
          </cell>
          <cell r="AE187" t="str">
            <v>Con precio</v>
          </cell>
        </row>
        <row r="188">
          <cell r="B188" t="str">
            <v>AGFEL0005</v>
          </cell>
          <cell r="X188" t="str">
            <v>Empaquetado</v>
          </cell>
          <cell r="AC188">
            <v>2.5783333333333339E-2</v>
          </cell>
          <cell r="AD188">
            <v>2.5783333333333339E-2</v>
          </cell>
          <cell r="AE188" t="str">
            <v>Con precio</v>
          </cell>
        </row>
        <row r="189">
          <cell r="B189" t="str">
            <v>AGFEL0005</v>
          </cell>
          <cell r="X189" t="str">
            <v>Empaquetado</v>
          </cell>
          <cell r="AC189">
            <v>2.5359983896940424E-2</v>
          </cell>
          <cell r="AD189">
            <v>2.5359983896940424E-2</v>
          </cell>
          <cell r="AE189" t="str">
            <v>Con precio</v>
          </cell>
        </row>
        <row r="190">
          <cell r="B190" t="str">
            <v>AGFEL0005</v>
          </cell>
          <cell r="X190" t="str">
            <v>Empaquetado</v>
          </cell>
          <cell r="AC190">
            <v>0.17399999999999999</v>
          </cell>
          <cell r="AD190">
            <v>0.17399999999999999</v>
          </cell>
          <cell r="AE190" t="str">
            <v>Con precio</v>
          </cell>
        </row>
        <row r="191">
          <cell r="B191" t="str">
            <v>AGFEL0005</v>
          </cell>
          <cell r="X191" t="str">
            <v>Empaquetado</v>
          </cell>
          <cell r="AC191">
            <v>5.7799999999999997E-2</v>
          </cell>
          <cell r="AD191">
            <v>5.7799999999999997E-2</v>
          </cell>
          <cell r="AE191" t="str">
            <v>Con precio</v>
          </cell>
        </row>
        <row r="192">
          <cell r="B192" t="str">
            <v>AGFEL0005</v>
          </cell>
          <cell r="X192" t="str">
            <v>Empaquetado</v>
          </cell>
          <cell r="AC192">
            <v>3.6950017630465445E-2</v>
          </cell>
          <cell r="AD192">
            <v>3.6950017630465445E-2</v>
          </cell>
          <cell r="AE192" t="str">
            <v>Con precio</v>
          </cell>
        </row>
        <row r="193">
          <cell r="B193" t="str">
            <v>AGMG0001EC</v>
          </cell>
          <cell r="X193" t="str">
            <v>Formulación</v>
          </cell>
          <cell r="AC193">
            <v>1.6154910000000002</v>
          </cell>
          <cell r="AD193">
            <v>1.0957986571428573</v>
          </cell>
          <cell r="AE193" t="str">
            <v>Con precio</v>
          </cell>
        </row>
        <row r="194">
          <cell r="B194" t="str">
            <v>AGMG0001EC</v>
          </cell>
          <cell r="X194" t="str">
            <v>Formulación</v>
          </cell>
          <cell r="AC194">
            <v>0.28250900000000001</v>
          </cell>
          <cell r="AD194">
            <v>0.23760150000000002</v>
          </cell>
          <cell r="AE194" t="str">
            <v>Con precio</v>
          </cell>
        </row>
        <row r="195">
          <cell r="B195" t="str">
            <v>AGMG0001EC</v>
          </cell>
          <cell r="X195" t="str">
            <v>Formulación</v>
          </cell>
          <cell r="AC195">
            <v>0.32174550000000002</v>
          </cell>
          <cell r="AD195">
            <v>0.2536512142857143</v>
          </cell>
          <cell r="AE195" t="str">
            <v>Con precio</v>
          </cell>
        </row>
        <row r="196">
          <cell r="B196" t="str">
            <v>AGMG0001EC</v>
          </cell>
          <cell r="X196" t="str">
            <v>Empaquetado</v>
          </cell>
          <cell r="AC196">
            <v>1.8939393939393939E-5</v>
          </cell>
          <cell r="AD196">
            <v>1.8939393939393939E-5</v>
          </cell>
          <cell r="AE196" t="str">
            <v>Con precio</v>
          </cell>
        </row>
        <row r="197">
          <cell r="B197" t="str">
            <v>AGMG0001EC</v>
          </cell>
          <cell r="X197" t="str">
            <v>Empaquetado</v>
          </cell>
          <cell r="AC197">
            <v>1.4649621212121213E-2</v>
          </cell>
          <cell r="AD197">
            <v>1.4649621212121213E-2</v>
          </cell>
          <cell r="AE197" t="str">
            <v>Con precio</v>
          </cell>
        </row>
        <row r="198">
          <cell r="B198" t="str">
            <v>AGMG0001EC</v>
          </cell>
          <cell r="X198" t="str">
            <v>Empaquetado</v>
          </cell>
          <cell r="AC198">
            <v>5.3938139059304703E-2</v>
          </cell>
          <cell r="AD198">
            <v>5.3938139059304703E-2</v>
          </cell>
          <cell r="AE198" t="str">
            <v>Con precio</v>
          </cell>
        </row>
        <row r="199">
          <cell r="B199" t="str">
            <v>AGMG0001EC</v>
          </cell>
          <cell r="X199" t="str">
            <v>Empaquetado</v>
          </cell>
          <cell r="AC199">
            <v>5.5431216032608699E-3</v>
          </cell>
          <cell r="AD199">
            <v>5.5431216032608699E-3</v>
          </cell>
          <cell r="AE199" t="str">
            <v>Con precio</v>
          </cell>
        </row>
        <row r="200">
          <cell r="B200" t="str">
            <v>AGMG0001EC</v>
          </cell>
          <cell r="X200" t="str">
            <v>Empaquetado</v>
          </cell>
          <cell r="AC200">
            <v>3.9889583333333332E-2</v>
          </cell>
          <cell r="AD200">
            <v>3.9889583333333332E-2</v>
          </cell>
          <cell r="AE200" t="str">
            <v>Con precio</v>
          </cell>
        </row>
        <row r="201">
          <cell r="B201" t="str">
            <v>AGMG0001EC</v>
          </cell>
          <cell r="X201" t="str">
            <v>Empaquetado</v>
          </cell>
          <cell r="AC201">
            <v>6.3339962121212137E-2</v>
          </cell>
          <cell r="AD201">
            <v>6.3339962121212137E-2</v>
          </cell>
          <cell r="AE201" t="str">
            <v>Con precio</v>
          </cell>
        </row>
        <row r="202">
          <cell r="B202" t="str">
            <v>AGMG0001RO</v>
          </cell>
          <cell r="X202" t="str">
            <v>Formulación</v>
          </cell>
          <cell r="AC202">
            <v>1.6154910000000002</v>
          </cell>
          <cell r="AD202">
            <v>1.0957986571428573</v>
          </cell>
          <cell r="AE202" t="str">
            <v>Con precio</v>
          </cell>
        </row>
        <row r="203">
          <cell r="B203" t="str">
            <v>AGMG0001RO</v>
          </cell>
          <cell r="X203" t="str">
            <v>Formulación</v>
          </cell>
          <cell r="AC203">
            <v>0.28250900000000001</v>
          </cell>
          <cell r="AD203">
            <v>0.23760150000000002</v>
          </cell>
          <cell r="AE203" t="str">
            <v>Con precio</v>
          </cell>
        </row>
        <row r="204">
          <cell r="B204" t="str">
            <v>AGMG0001RO</v>
          </cell>
          <cell r="X204" t="str">
            <v>Formulación</v>
          </cell>
          <cell r="AC204">
            <v>0.32174550000000002</v>
          </cell>
          <cell r="AD204">
            <v>0.2536512142857143</v>
          </cell>
          <cell r="AE204" t="str">
            <v>Con precio</v>
          </cell>
        </row>
        <row r="205">
          <cell r="B205" t="str">
            <v>AGMG0001RO</v>
          </cell>
          <cell r="X205" t="str">
            <v>Empaquetado</v>
          </cell>
          <cell r="AC205">
            <v>1.8939393939393939E-5</v>
          </cell>
          <cell r="AD205">
            <v>1.8939393939393939E-5</v>
          </cell>
          <cell r="AE205" t="str">
            <v>Con precio</v>
          </cell>
        </row>
        <row r="206">
          <cell r="B206" t="str">
            <v>AGMG0001RO</v>
          </cell>
          <cell r="X206" t="str">
            <v>Empaquetado</v>
          </cell>
          <cell r="AC206">
            <v>1.4649621212121213E-2</v>
          </cell>
          <cell r="AD206">
            <v>1.4649621212121213E-2</v>
          </cell>
          <cell r="AE206" t="str">
            <v>Con precio</v>
          </cell>
        </row>
        <row r="207">
          <cell r="B207" t="str">
            <v>AGMG0001RO</v>
          </cell>
          <cell r="X207" t="str">
            <v>Empaquetado</v>
          </cell>
          <cell r="AC207">
            <v>5.3938139059304703E-2</v>
          </cell>
          <cell r="AD207">
            <v>5.3938139059304703E-2</v>
          </cell>
          <cell r="AE207" t="str">
            <v>Con precio</v>
          </cell>
        </row>
        <row r="208">
          <cell r="B208" t="str">
            <v>AGMG0001RO</v>
          </cell>
          <cell r="X208" t="str">
            <v>Empaquetado</v>
          </cell>
          <cell r="AC208">
            <v>5.5431216032608699E-3</v>
          </cell>
          <cell r="AD208">
            <v>5.5431216032608699E-3</v>
          </cell>
          <cell r="AE208" t="str">
            <v>Con precio</v>
          </cell>
        </row>
        <row r="209">
          <cell r="B209" t="str">
            <v>AGMG0001RO</v>
          </cell>
          <cell r="X209" t="str">
            <v>Empaquetado</v>
          </cell>
          <cell r="AC209">
            <v>3.9889583333333332E-2</v>
          </cell>
          <cell r="AD209">
            <v>3.9889583333333332E-2</v>
          </cell>
          <cell r="AE209" t="str">
            <v>Con precio</v>
          </cell>
        </row>
        <row r="210">
          <cell r="B210" t="str">
            <v>AGMG0001RO</v>
          </cell>
          <cell r="X210" t="str">
            <v>Empaquetado</v>
          </cell>
          <cell r="AC210">
            <v>6.3339962121212137E-2</v>
          </cell>
          <cell r="AD210">
            <v>6.3339962121212137E-2</v>
          </cell>
          <cell r="AE210" t="str">
            <v>Con precio</v>
          </cell>
        </row>
        <row r="211">
          <cell r="B211" t="str">
            <v>AGMG0005CR</v>
          </cell>
          <cell r="X211" t="str">
            <v>Formulación</v>
          </cell>
          <cell r="AC211">
            <v>1.6154910000000002</v>
          </cell>
          <cell r="AD211">
            <v>1.0957986571428573</v>
          </cell>
          <cell r="AE211" t="str">
            <v>Con precio</v>
          </cell>
        </row>
        <row r="212">
          <cell r="B212" t="str">
            <v>AGMG0005CR</v>
          </cell>
          <cell r="X212" t="str">
            <v>Formulación</v>
          </cell>
          <cell r="AC212">
            <v>0.28250900000000001</v>
          </cell>
          <cell r="AD212">
            <v>0.23760150000000002</v>
          </cell>
          <cell r="AE212" t="str">
            <v>Con precio</v>
          </cell>
        </row>
        <row r="213">
          <cell r="B213" t="str">
            <v>AGMG0005CR</v>
          </cell>
          <cell r="X213" t="str">
            <v>Formulación</v>
          </cell>
          <cell r="AC213">
            <v>0.32174550000000002</v>
          </cell>
          <cell r="AD213">
            <v>0.2536512142857143</v>
          </cell>
          <cell r="AE213" t="str">
            <v>Con precio</v>
          </cell>
        </row>
        <row r="214">
          <cell r="B214" t="str">
            <v>AGMG0005CR</v>
          </cell>
          <cell r="X214" t="str">
            <v>Empaquetado</v>
          </cell>
          <cell r="AC214">
            <v>1.0393066666666666E-2</v>
          </cell>
          <cell r="AD214">
            <v>1.0393066666666666E-2</v>
          </cell>
          <cell r="AE214" t="str">
            <v>Con precio</v>
          </cell>
        </row>
        <row r="215">
          <cell r="B215" t="str">
            <v>AGMG0005CR</v>
          </cell>
          <cell r="X215" t="str">
            <v>Empaquetado</v>
          </cell>
          <cell r="AC215">
            <v>2.0626666666666665E-2</v>
          </cell>
          <cell r="AD215">
            <v>2.0626666666666665E-2</v>
          </cell>
          <cell r="AE215" t="str">
            <v>Con precio</v>
          </cell>
        </row>
        <row r="216">
          <cell r="B216" t="str">
            <v>AGMG0005CR</v>
          </cell>
          <cell r="X216" t="str">
            <v>Empaquetado</v>
          </cell>
          <cell r="AC216">
            <v>2.1285586956521739E-2</v>
          </cell>
          <cell r="AD216">
            <v>2.1285586956521739E-2</v>
          </cell>
          <cell r="AE216" t="str">
            <v>Con precio</v>
          </cell>
        </row>
        <row r="217">
          <cell r="B217" t="str">
            <v>AGMG0005CR</v>
          </cell>
          <cell r="X217" t="str">
            <v>Empaquetado</v>
          </cell>
          <cell r="AC217">
            <v>2.9560014104372354E-2</v>
          </cell>
          <cell r="AD217">
            <v>2.9560014104372354E-2</v>
          </cell>
          <cell r="AE217" t="str">
            <v>Con precio</v>
          </cell>
        </row>
        <row r="218">
          <cell r="B218" t="str">
            <v>AGMG0005CR</v>
          </cell>
          <cell r="X218" t="str">
            <v>Empaquetado</v>
          </cell>
          <cell r="AC218">
            <v>2.1682000000000003E-2</v>
          </cell>
          <cell r="AD218">
            <v>2.1682000000000003E-2</v>
          </cell>
          <cell r="AE218" t="str">
            <v>Con precio</v>
          </cell>
        </row>
        <row r="219">
          <cell r="B219" t="str">
            <v>AGMG0005LB</v>
          </cell>
          <cell r="X219" t="str">
            <v>Formulación</v>
          </cell>
          <cell r="AC219">
            <v>1.6154910000000002</v>
          </cell>
          <cell r="AD219">
            <v>1.0957986571428573</v>
          </cell>
          <cell r="AE219" t="str">
            <v>Con precio</v>
          </cell>
        </row>
        <row r="220">
          <cell r="B220" t="str">
            <v>AGMG0005LB</v>
          </cell>
          <cell r="X220" t="str">
            <v>Formulación</v>
          </cell>
          <cell r="AC220">
            <v>0.28250900000000001</v>
          </cell>
          <cell r="AD220">
            <v>0.23760150000000002</v>
          </cell>
          <cell r="AE220" t="str">
            <v>Con precio</v>
          </cell>
        </row>
        <row r="221">
          <cell r="B221" t="str">
            <v>AGMG0005LB</v>
          </cell>
          <cell r="X221" t="str">
            <v>Formulación</v>
          </cell>
          <cell r="AC221">
            <v>0.32174550000000002</v>
          </cell>
          <cell r="AD221">
            <v>0.2536512142857143</v>
          </cell>
          <cell r="AE221" t="str">
            <v>Con precio</v>
          </cell>
        </row>
        <row r="222">
          <cell r="B222" t="str">
            <v>AGMG0005LB</v>
          </cell>
          <cell r="X222" t="str">
            <v>Empaquetado</v>
          </cell>
          <cell r="AC222">
            <v>1.0393066666666666E-2</v>
          </cell>
          <cell r="AD222">
            <v>1.0393066666666666E-2</v>
          </cell>
          <cell r="AE222" t="str">
            <v>Con precio</v>
          </cell>
        </row>
        <row r="223">
          <cell r="B223" t="str">
            <v>AGMG0005LB</v>
          </cell>
          <cell r="X223" t="str">
            <v>Empaquetado</v>
          </cell>
          <cell r="AC223">
            <v>2.0626666666666665E-2</v>
          </cell>
          <cell r="AD223">
            <v>2.0626666666666665E-2</v>
          </cell>
          <cell r="AE223" t="str">
            <v>Con precio</v>
          </cell>
        </row>
        <row r="224">
          <cell r="B224" t="str">
            <v>AGMG0005LB</v>
          </cell>
          <cell r="X224" t="str">
            <v>Empaquetado</v>
          </cell>
          <cell r="AC224">
            <v>2.1285586956521739E-2</v>
          </cell>
          <cell r="AD224">
            <v>2.1285586956521739E-2</v>
          </cell>
          <cell r="AE224" t="str">
            <v>Con precio</v>
          </cell>
        </row>
        <row r="225">
          <cell r="B225" t="str">
            <v>AGMG0005LB</v>
          </cell>
          <cell r="X225" t="str">
            <v>Empaquetado</v>
          </cell>
          <cell r="AC225">
            <v>2.9560014104372354E-2</v>
          </cell>
          <cell r="AD225">
            <v>2.9560014104372354E-2</v>
          </cell>
          <cell r="AE225" t="str">
            <v>Con precio</v>
          </cell>
        </row>
        <row r="226">
          <cell r="B226" t="str">
            <v>AGMG0005LB</v>
          </cell>
          <cell r="X226" t="str">
            <v>Empaquetado</v>
          </cell>
          <cell r="AC226">
            <v>2.1682000000000003E-2</v>
          </cell>
          <cell r="AD226">
            <v>2.1682000000000003E-2</v>
          </cell>
          <cell r="AE226" t="str">
            <v>Con precio</v>
          </cell>
        </row>
        <row r="227">
          <cell r="B227" t="str">
            <v>AGMG0020CR</v>
          </cell>
          <cell r="X227" t="str">
            <v>Formulación</v>
          </cell>
          <cell r="AC227">
            <v>1.6154910000000002</v>
          </cell>
          <cell r="AD227">
            <v>1.0957986571428573</v>
          </cell>
          <cell r="AE227" t="str">
            <v>Con precio</v>
          </cell>
        </row>
        <row r="228">
          <cell r="B228" t="str">
            <v>AGMG0020CR</v>
          </cell>
          <cell r="X228" t="str">
            <v>Formulación</v>
          </cell>
          <cell r="AC228">
            <v>0.28250900000000001</v>
          </cell>
          <cell r="AD228">
            <v>0.23760150000000002</v>
          </cell>
          <cell r="AE228" t="str">
            <v>Con precio</v>
          </cell>
        </row>
        <row r="229">
          <cell r="B229" t="str">
            <v>AGMG0020CR</v>
          </cell>
          <cell r="X229" t="str">
            <v>Formulación</v>
          </cell>
          <cell r="AC229">
            <v>0.32174550000000002</v>
          </cell>
          <cell r="AD229">
            <v>0.2536512142857143</v>
          </cell>
          <cell r="AE229" t="str">
            <v>Con precio</v>
          </cell>
        </row>
        <row r="230">
          <cell r="B230" t="str">
            <v>AGMG0020CR</v>
          </cell>
          <cell r="X230" t="str">
            <v>Empaquetado</v>
          </cell>
          <cell r="AC230">
            <v>1.5470000000000001E-2</v>
          </cell>
          <cell r="AD230">
            <v>1.5470000000000001E-2</v>
          </cell>
          <cell r="AE230" t="str">
            <v>Con precio</v>
          </cell>
        </row>
        <row r="231">
          <cell r="B231" t="str">
            <v>AGMG0020CR</v>
          </cell>
          <cell r="X231" t="str">
            <v>Empaquetado</v>
          </cell>
          <cell r="AC231">
            <v>5.5115999999999993E-3</v>
          </cell>
          <cell r="AD231">
            <v>5.5115999999999993E-3</v>
          </cell>
          <cell r="AE231" t="str">
            <v>Con precio</v>
          </cell>
        </row>
        <row r="232">
          <cell r="B232" t="str">
            <v>AGMG0020CR</v>
          </cell>
          <cell r="X232" t="str">
            <v>Empaquetado</v>
          </cell>
          <cell r="AC232">
            <v>8.8689945652173918E-3</v>
          </cell>
          <cell r="AD232">
            <v>8.8689945652173918E-3</v>
          </cell>
          <cell r="AE232" t="str">
            <v>Con precio</v>
          </cell>
        </row>
        <row r="233">
          <cell r="B233" t="str">
            <v>AGMG0020CR</v>
          </cell>
          <cell r="X233" t="str">
            <v>Empaquetado</v>
          </cell>
          <cell r="AC233">
            <v>1.6625000000000001E-2</v>
          </cell>
          <cell r="AD233">
            <v>1.6625000000000001E-2</v>
          </cell>
          <cell r="AE233" t="str">
            <v>Con precio</v>
          </cell>
        </row>
        <row r="234">
          <cell r="B234" t="str">
            <v>AGMG0020CR</v>
          </cell>
          <cell r="X234" t="str">
            <v>Empaquetado</v>
          </cell>
          <cell r="AC234">
            <v>3.6950017630465445E-2</v>
          </cell>
          <cell r="AD234">
            <v>3.6950017630465445E-2</v>
          </cell>
          <cell r="AE234" t="str">
            <v>Con precio</v>
          </cell>
        </row>
        <row r="235">
          <cell r="B235" t="str">
            <v>AGMGL0005</v>
          </cell>
          <cell r="X235" t="str">
            <v>Formulación</v>
          </cell>
          <cell r="AC235">
            <v>1.8375499999999998</v>
          </cell>
          <cell r="AD235">
            <v>1.8375499999999998</v>
          </cell>
          <cell r="AE235" t="str">
            <v>Con precio</v>
          </cell>
        </row>
        <row r="236">
          <cell r="B236" t="str">
            <v>AGMGL0005</v>
          </cell>
          <cell r="X236" t="str">
            <v>Empaquetado</v>
          </cell>
          <cell r="AC236">
            <v>1.2991333333333337E-2</v>
          </cell>
          <cell r="AD236">
            <v>1.2991333333333337E-2</v>
          </cell>
          <cell r="AE236" t="str">
            <v>Con precio</v>
          </cell>
        </row>
        <row r="237">
          <cell r="B237" t="str">
            <v>AGMGL0005</v>
          </cell>
          <cell r="X237" t="str">
            <v>Empaquetado</v>
          </cell>
          <cell r="AC237">
            <v>2.5783333333333339E-2</v>
          </cell>
          <cell r="AD237">
            <v>2.5783333333333339E-2</v>
          </cell>
          <cell r="AE237" t="str">
            <v>Con precio</v>
          </cell>
        </row>
        <row r="238">
          <cell r="B238" t="str">
            <v>AGMGL0005</v>
          </cell>
          <cell r="X238" t="str">
            <v>Empaquetado</v>
          </cell>
          <cell r="AC238">
            <v>3.6950017630465445E-2</v>
          </cell>
          <cell r="AD238">
            <v>3.6950017630465445E-2</v>
          </cell>
          <cell r="AE238" t="str">
            <v>Con precio</v>
          </cell>
        </row>
        <row r="239">
          <cell r="B239" t="str">
            <v>AGMGL0005</v>
          </cell>
          <cell r="X239" t="str">
            <v>Empaquetado</v>
          </cell>
          <cell r="AC239">
            <v>0.17399999999999999</v>
          </cell>
          <cell r="AD239">
            <v>0.17399999999999999</v>
          </cell>
          <cell r="AE239" t="str">
            <v>Con precio</v>
          </cell>
        </row>
        <row r="240">
          <cell r="B240" t="str">
            <v>AGMGL0005</v>
          </cell>
          <cell r="X240" t="str">
            <v>Empaquetado</v>
          </cell>
          <cell r="AC240">
            <v>3.4200000000000001E-2</v>
          </cell>
          <cell r="AD240">
            <v>3.4200000000000001E-2</v>
          </cell>
          <cell r="AE240" t="str">
            <v>Con precio</v>
          </cell>
        </row>
        <row r="241">
          <cell r="B241" t="str">
            <v>AGMGL0005</v>
          </cell>
          <cell r="X241" t="str">
            <v>Empaquetado</v>
          </cell>
          <cell r="AC241">
            <v>2.5359983896940424E-2</v>
          </cell>
          <cell r="AD241">
            <v>2.5359983896940424E-2</v>
          </cell>
          <cell r="AE241" t="str">
            <v>Con precio</v>
          </cell>
        </row>
        <row r="242">
          <cell r="B242" t="str">
            <v>AGMNP0005</v>
          </cell>
          <cell r="X242" t="str">
            <v>Formulación</v>
          </cell>
          <cell r="AC242">
            <v>1.5389999999999999</v>
          </cell>
          <cell r="AD242">
            <v>1.0439142857142856</v>
          </cell>
          <cell r="AE242" t="str">
            <v>Con precio</v>
          </cell>
        </row>
        <row r="243">
          <cell r="B243" t="str">
            <v>AGMNP0005</v>
          </cell>
          <cell r="X243" t="str">
            <v>Formulación</v>
          </cell>
          <cell r="AC243">
            <v>0.49439999999999995</v>
          </cell>
          <cell r="AD243">
            <v>0.49439999999999995</v>
          </cell>
          <cell r="AE243" t="str">
            <v>Con precio</v>
          </cell>
        </row>
        <row r="244">
          <cell r="B244" t="str">
            <v>AGMNP0005</v>
          </cell>
          <cell r="X244" t="str">
            <v>Formulación</v>
          </cell>
          <cell r="AC244">
            <v>2.4299999999999999E-2</v>
          </cell>
          <cell r="AD244">
            <v>1.9157142857142859E-2</v>
          </cell>
          <cell r="AE244" t="str">
            <v>Con precio</v>
          </cell>
        </row>
        <row r="245">
          <cell r="B245" t="str">
            <v>AGMNP0005</v>
          </cell>
          <cell r="X245" t="str">
            <v>Empaquetado</v>
          </cell>
          <cell r="AC245">
            <v>1.0393066666666666E-2</v>
          </cell>
          <cell r="AD245">
            <v>1.0393066666666666E-2</v>
          </cell>
          <cell r="AE245" t="str">
            <v>Con precio</v>
          </cell>
        </row>
        <row r="246">
          <cell r="B246" t="str">
            <v>AGMNP0005</v>
          </cell>
          <cell r="X246" t="str">
            <v>Empaquetado</v>
          </cell>
          <cell r="AC246">
            <v>2.0626666666666665E-2</v>
          </cell>
          <cell r="AD246">
            <v>2.0626666666666665E-2</v>
          </cell>
          <cell r="AE246" t="str">
            <v>Con precio</v>
          </cell>
        </row>
        <row r="247">
          <cell r="B247" t="str">
            <v>AGMNP0005</v>
          </cell>
          <cell r="X247" t="str">
            <v>Empaquetado</v>
          </cell>
          <cell r="AC247">
            <v>2.1285586956521739E-2</v>
          </cell>
          <cell r="AD247">
            <v>2.1285586956521739E-2</v>
          </cell>
          <cell r="AE247" t="str">
            <v>Con precio</v>
          </cell>
        </row>
        <row r="248">
          <cell r="B248" t="str">
            <v>AGMNP0005</v>
          </cell>
          <cell r="X248" t="str">
            <v>Empaquetado</v>
          </cell>
          <cell r="AC248">
            <v>2.9560014104372354E-2</v>
          </cell>
          <cell r="AD248">
            <v>2.9560014104372354E-2</v>
          </cell>
          <cell r="AE248" t="str">
            <v>Con precio</v>
          </cell>
        </row>
        <row r="249">
          <cell r="B249" t="str">
            <v>AGMNP0005</v>
          </cell>
          <cell r="X249" t="str">
            <v>Empaquetado</v>
          </cell>
          <cell r="AC249">
            <v>2.1682000000000003E-2</v>
          </cell>
          <cell r="AD249">
            <v>2.1682000000000003E-2</v>
          </cell>
          <cell r="AE249" t="str">
            <v>Con precio</v>
          </cell>
        </row>
        <row r="250">
          <cell r="B250" t="str">
            <v>AGN0005</v>
          </cell>
          <cell r="X250" t="str">
            <v>Formulación</v>
          </cell>
          <cell r="AC250">
            <v>4.8799999999999998E-3</v>
          </cell>
          <cell r="AD250">
            <v>4.8799999999999998E-3</v>
          </cell>
          <cell r="AE250" t="str">
            <v>Con precio</v>
          </cell>
        </row>
        <row r="251">
          <cell r="B251" t="str">
            <v>AGN0005</v>
          </cell>
          <cell r="X251" t="str">
            <v>Formulación</v>
          </cell>
          <cell r="AC251">
            <v>0</v>
          </cell>
          <cell r="AD251">
            <v>0</v>
          </cell>
          <cell r="AE251" t="str">
            <v>Con precio</v>
          </cell>
        </row>
        <row r="252">
          <cell r="B252" t="str">
            <v>AGN0005</v>
          </cell>
          <cell r="X252" t="str">
            <v>Formulación</v>
          </cell>
          <cell r="AC252">
            <v>0.12844</v>
          </cell>
          <cell r="AD252">
            <v>0.12844</v>
          </cell>
          <cell r="AE252" t="str">
            <v>Con precio</v>
          </cell>
        </row>
        <row r="253">
          <cell r="B253" t="str">
            <v>AGN0005</v>
          </cell>
          <cell r="X253" t="str">
            <v>Formulación</v>
          </cell>
          <cell r="AC253">
            <v>0.14787000000000003</v>
          </cell>
          <cell r="AD253">
            <v>0.14787000000000003</v>
          </cell>
          <cell r="AE253" t="str">
            <v>Con precio</v>
          </cell>
        </row>
        <row r="254">
          <cell r="B254" t="str">
            <v>AGN0005</v>
          </cell>
          <cell r="X254" t="str">
            <v>Formulación</v>
          </cell>
          <cell r="AC254">
            <v>8.3250000000000008E-3</v>
          </cell>
          <cell r="AD254">
            <v>7.4333333333333335E-3</v>
          </cell>
          <cell r="AE254" t="str">
            <v>Con precio</v>
          </cell>
        </row>
        <row r="255">
          <cell r="B255" t="str">
            <v>AGN0005</v>
          </cell>
          <cell r="X255" t="str">
            <v>Formulación</v>
          </cell>
          <cell r="AC255">
            <v>0.375</v>
          </cell>
          <cell r="AD255">
            <v>0.375</v>
          </cell>
          <cell r="AE255" t="str">
            <v>Con precio</v>
          </cell>
        </row>
        <row r="256">
          <cell r="B256" t="str">
            <v>AGN0005</v>
          </cell>
          <cell r="X256" t="str">
            <v>Empaquetado</v>
          </cell>
          <cell r="AC256">
            <v>1.2991333333333337E-2</v>
          </cell>
          <cell r="AD256">
            <v>1.2991333333333337E-2</v>
          </cell>
          <cell r="AE256" t="str">
            <v>Con precio</v>
          </cell>
        </row>
        <row r="257">
          <cell r="B257" t="str">
            <v>AGN0005</v>
          </cell>
          <cell r="X257" t="str">
            <v>Empaquetado</v>
          </cell>
          <cell r="AC257">
            <v>2.5783333333333339E-2</v>
          </cell>
          <cell r="AD257">
            <v>2.5783333333333339E-2</v>
          </cell>
          <cell r="AE257" t="str">
            <v>Con precio</v>
          </cell>
        </row>
        <row r="258">
          <cell r="B258" t="str">
            <v>AGN0005</v>
          </cell>
          <cell r="X258" t="str">
            <v>Empaquetado</v>
          </cell>
          <cell r="AC258">
            <v>0.17399999999999999</v>
          </cell>
          <cell r="AD258">
            <v>0.17399999999999999</v>
          </cell>
          <cell r="AE258" t="str">
            <v>Con precio</v>
          </cell>
        </row>
        <row r="259">
          <cell r="B259" t="str">
            <v>AGN0005</v>
          </cell>
          <cell r="X259" t="str">
            <v>Empaquetado</v>
          </cell>
          <cell r="AC259">
            <v>3.6950017630465445E-2</v>
          </cell>
          <cell r="AD259">
            <v>3.6950017630465445E-2</v>
          </cell>
          <cell r="AE259" t="str">
            <v>Con precio</v>
          </cell>
        </row>
        <row r="260">
          <cell r="B260" t="str">
            <v>AGN0005</v>
          </cell>
          <cell r="X260" t="str">
            <v>Empaquetado</v>
          </cell>
          <cell r="AC260">
            <v>3.4200000000000001E-2</v>
          </cell>
          <cell r="AD260">
            <v>3.4200000000000001E-2</v>
          </cell>
          <cell r="AE260" t="str">
            <v>Con precio</v>
          </cell>
        </row>
        <row r="261">
          <cell r="B261" t="str">
            <v>AGN0005</v>
          </cell>
          <cell r="X261" t="str">
            <v>Empaquetado</v>
          </cell>
          <cell r="AC261">
            <v>2.5359983896940424E-2</v>
          </cell>
          <cell r="AD261">
            <v>2.5359983896940424E-2</v>
          </cell>
          <cell r="AE261" t="str">
            <v>Con precio</v>
          </cell>
        </row>
        <row r="262">
          <cell r="B262" t="str">
            <v>AGN0020</v>
          </cell>
          <cell r="X262" t="str">
            <v>Formulación</v>
          </cell>
          <cell r="AC262">
            <v>4.8799999999999998E-3</v>
          </cell>
          <cell r="AD262">
            <v>4.8799999999999998E-3</v>
          </cell>
          <cell r="AE262" t="str">
            <v>Con precio</v>
          </cell>
        </row>
        <row r="263">
          <cell r="B263" t="str">
            <v>AGN0020</v>
          </cell>
          <cell r="X263" t="str">
            <v>Formulación</v>
          </cell>
          <cell r="AC263">
            <v>0</v>
          </cell>
          <cell r="AD263">
            <v>0</v>
          </cell>
          <cell r="AE263" t="str">
            <v>Con precio</v>
          </cell>
        </row>
        <row r="264">
          <cell r="B264" t="str">
            <v>AGN0020</v>
          </cell>
          <cell r="X264" t="str">
            <v>Formulación</v>
          </cell>
          <cell r="AC264">
            <v>0.12844</v>
          </cell>
          <cell r="AD264">
            <v>0.12844</v>
          </cell>
          <cell r="AE264" t="str">
            <v>Con precio</v>
          </cell>
        </row>
        <row r="265">
          <cell r="B265" t="str">
            <v>AGN0020</v>
          </cell>
          <cell r="X265" t="str">
            <v>Formulación</v>
          </cell>
          <cell r="AC265">
            <v>0.14787000000000003</v>
          </cell>
          <cell r="AD265">
            <v>0.14787000000000003</v>
          </cell>
          <cell r="AE265" t="str">
            <v>Con precio</v>
          </cell>
        </row>
        <row r="266">
          <cell r="B266" t="str">
            <v>AGN0020</v>
          </cell>
          <cell r="X266" t="str">
            <v>Formulación</v>
          </cell>
          <cell r="AC266">
            <v>8.3250000000000008E-3</v>
          </cell>
          <cell r="AD266">
            <v>7.4333333333333335E-3</v>
          </cell>
          <cell r="AE266" t="str">
            <v>Con precio</v>
          </cell>
        </row>
        <row r="267">
          <cell r="B267" t="str">
            <v>AGN0020</v>
          </cell>
          <cell r="X267" t="str">
            <v>Formulación</v>
          </cell>
          <cell r="AC267">
            <v>0.375</v>
          </cell>
          <cell r="AD267">
            <v>0.375</v>
          </cell>
          <cell r="AE267" t="str">
            <v>Con precio</v>
          </cell>
        </row>
        <row r="268">
          <cell r="B268" t="str">
            <v>AGN0020</v>
          </cell>
          <cell r="X268" t="str">
            <v>Empaquetado</v>
          </cell>
          <cell r="AC268">
            <v>7.3209374999999993E-3</v>
          </cell>
          <cell r="AD268">
            <v>7.3209374999999993E-3</v>
          </cell>
          <cell r="AE268" t="str">
            <v>Con precio</v>
          </cell>
        </row>
        <row r="269">
          <cell r="B269" t="str">
            <v>AGN0020</v>
          </cell>
          <cell r="X269" t="str">
            <v>Empaquetado</v>
          </cell>
          <cell r="AC269">
            <v>2.4171875000000002E-2</v>
          </cell>
          <cell r="AD269">
            <v>2.4171875000000002E-2</v>
          </cell>
          <cell r="AE269" t="str">
            <v>Con precio</v>
          </cell>
        </row>
        <row r="270">
          <cell r="B270" t="str">
            <v>AGN0020</v>
          </cell>
          <cell r="X270" t="str">
            <v>Empaquetado</v>
          </cell>
          <cell r="AC270">
            <v>5.0719967793880849E-3</v>
          </cell>
          <cell r="AD270">
            <v>5.0719967793880849E-3</v>
          </cell>
          <cell r="AE270" t="str">
            <v>Con precio</v>
          </cell>
        </row>
        <row r="271">
          <cell r="B271" t="str">
            <v>AGN0020</v>
          </cell>
          <cell r="X271" t="str">
            <v>Empaquetado</v>
          </cell>
          <cell r="AC271">
            <v>0.18266505681818179</v>
          </cell>
          <cell r="AD271">
            <v>0.18266505681818179</v>
          </cell>
          <cell r="AE271" t="str">
            <v>Con precio</v>
          </cell>
        </row>
        <row r="272">
          <cell r="B272" t="str">
            <v>AGN0020</v>
          </cell>
          <cell r="X272" t="str">
            <v>Empaquetado</v>
          </cell>
          <cell r="AC272">
            <v>2.4035031847133761E-2</v>
          </cell>
          <cell r="AD272">
            <v>2.4035031847133761E-2</v>
          </cell>
          <cell r="AE272" t="str">
            <v>Con precio</v>
          </cell>
        </row>
        <row r="273">
          <cell r="B273" t="str">
            <v>AGNF0001RO</v>
          </cell>
          <cell r="X273" t="str">
            <v>Formulación</v>
          </cell>
          <cell r="AC273">
            <v>4.8799999999999998E-3</v>
          </cell>
          <cell r="AD273">
            <v>4.8799999999999998E-3</v>
          </cell>
          <cell r="AE273" t="str">
            <v>Con precio</v>
          </cell>
        </row>
        <row r="274">
          <cell r="B274" t="str">
            <v>AGNF0001RO</v>
          </cell>
          <cell r="X274" t="str">
            <v>Formulación</v>
          </cell>
          <cell r="AC274">
            <v>0</v>
          </cell>
          <cell r="AD274">
            <v>0</v>
          </cell>
          <cell r="AE274" t="str">
            <v>Con precio</v>
          </cell>
        </row>
        <row r="275">
          <cell r="B275" t="str">
            <v>AGNF0001RO</v>
          </cell>
          <cell r="X275" t="str">
            <v>Formulación</v>
          </cell>
          <cell r="AC275">
            <v>0.27322299999999999</v>
          </cell>
          <cell r="AD275">
            <v>0.27322299999999999</v>
          </cell>
          <cell r="AE275" t="str">
            <v>Con precio</v>
          </cell>
        </row>
        <row r="276">
          <cell r="B276" t="str">
            <v>AGNF0001RO</v>
          </cell>
          <cell r="X276" t="str">
            <v>Formulación</v>
          </cell>
          <cell r="AC276">
            <v>1.9980000000000001E-2</v>
          </cell>
          <cell r="AD276">
            <v>1.7839999999999998E-2</v>
          </cell>
          <cell r="AE276" t="str">
            <v>Con precio</v>
          </cell>
        </row>
        <row r="277">
          <cell r="B277" t="str">
            <v>AGNF0001RO</v>
          </cell>
          <cell r="X277" t="str">
            <v>Formulación</v>
          </cell>
          <cell r="AC277">
            <v>0.62100000000000011</v>
          </cell>
          <cell r="AD277">
            <v>0.42122857142857145</v>
          </cell>
          <cell r="AE277" t="str">
            <v>Con precio</v>
          </cell>
        </row>
        <row r="278">
          <cell r="B278" t="str">
            <v>AGNF0001RO</v>
          </cell>
          <cell r="X278" t="str">
            <v>Formulación</v>
          </cell>
          <cell r="AC278">
            <v>9.8799999999999999E-2</v>
          </cell>
          <cell r="AD278">
            <v>9.8799999999999999E-2</v>
          </cell>
          <cell r="AE278" t="str">
            <v>Con precio</v>
          </cell>
        </row>
        <row r="279">
          <cell r="B279" t="str">
            <v>AGNF0001RO</v>
          </cell>
          <cell r="X279" t="str">
            <v>Empaquetado</v>
          </cell>
          <cell r="AC279">
            <v>3.0303030303030299E-5</v>
          </cell>
          <cell r="AD279">
            <v>3.0303030303030299E-5</v>
          </cell>
          <cell r="AE279" t="str">
            <v>Con precio</v>
          </cell>
        </row>
        <row r="280">
          <cell r="B280" t="str">
            <v>AGNF0001RO</v>
          </cell>
          <cell r="X280" t="str">
            <v>Empaquetado</v>
          </cell>
          <cell r="AC280">
            <v>2.3439393939393937E-2</v>
          </cell>
          <cell r="AD280">
            <v>2.3439393939393937E-2</v>
          </cell>
          <cell r="AE280" t="str">
            <v>Con precio</v>
          </cell>
        </row>
        <row r="281">
          <cell r="B281" t="str">
            <v>AGNF0001RO</v>
          </cell>
          <cell r="X281" t="str">
            <v>Empaquetado</v>
          </cell>
          <cell r="AC281">
            <v>7.1917518745739595E-2</v>
          </cell>
          <cell r="AD281">
            <v>7.1917518745739595E-2</v>
          </cell>
          <cell r="AE281" t="str">
            <v>Con precio</v>
          </cell>
        </row>
        <row r="282">
          <cell r="B282" t="str">
            <v>AGNF0001RO</v>
          </cell>
          <cell r="X282" t="str">
            <v>Empaquetado</v>
          </cell>
          <cell r="AC282">
            <v>0.44322992424242419</v>
          </cell>
          <cell r="AD282">
            <v>0.44322992424242419</v>
          </cell>
          <cell r="AE282" t="str">
            <v>Con precio</v>
          </cell>
        </row>
        <row r="283">
          <cell r="B283" t="str">
            <v>AGNF0001RO</v>
          </cell>
          <cell r="X283" t="str">
            <v>Empaquetado</v>
          </cell>
          <cell r="AC283">
            <v>0.45124999999999998</v>
          </cell>
          <cell r="AD283">
            <v>0.32061666666666666</v>
          </cell>
          <cell r="AE283" t="str">
            <v>Con precio</v>
          </cell>
        </row>
        <row r="284">
          <cell r="B284" t="str">
            <v>AGNF0001RO</v>
          </cell>
          <cell r="X284" t="str">
            <v>Empaquetado</v>
          </cell>
          <cell r="AC284">
            <v>9.6080774456521717E-2</v>
          </cell>
          <cell r="AD284">
            <v>9.6080774456521717E-2</v>
          </cell>
          <cell r="AE284" t="str">
            <v>Con precio</v>
          </cell>
        </row>
        <row r="285">
          <cell r="B285" t="str">
            <v>AGNF0020MA</v>
          </cell>
          <cell r="X285" t="str">
            <v>Formulación</v>
          </cell>
          <cell r="AC285">
            <v>4.8799999999999998E-3</v>
          </cell>
          <cell r="AD285">
            <v>4.8799999999999998E-3</v>
          </cell>
          <cell r="AE285" t="str">
            <v>Con precio</v>
          </cell>
        </row>
        <row r="286">
          <cell r="B286" t="str">
            <v>AGNF0020MA</v>
          </cell>
          <cell r="X286" t="str">
            <v>Formulación</v>
          </cell>
          <cell r="AC286">
            <v>0</v>
          </cell>
          <cell r="AD286">
            <v>0</v>
          </cell>
          <cell r="AE286" t="str">
            <v>Con precio</v>
          </cell>
        </row>
        <row r="287">
          <cell r="B287" t="str">
            <v>AGNF0020MA</v>
          </cell>
          <cell r="X287" t="str">
            <v>Formulación</v>
          </cell>
          <cell r="AC287">
            <v>0.27322299999999999</v>
          </cell>
          <cell r="AD287">
            <v>0.27322299999999999</v>
          </cell>
          <cell r="AE287" t="str">
            <v>Con precio</v>
          </cell>
        </row>
        <row r="288">
          <cell r="B288" t="str">
            <v>AGNF0020MA</v>
          </cell>
          <cell r="X288" t="str">
            <v>Formulación</v>
          </cell>
          <cell r="AC288">
            <v>1.9980000000000001E-2</v>
          </cell>
          <cell r="AD288">
            <v>1.7839999999999998E-2</v>
          </cell>
          <cell r="AE288" t="str">
            <v>Con precio</v>
          </cell>
        </row>
        <row r="289">
          <cell r="B289" t="str">
            <v>AGNF0020MA</v>
          </cell>
          <cell r="X289" t="str">
            <v>Formulación</v>
          </cell>
          <cell r="AC289">
            <v>0.62100000000000011</v>
          </cell>
          <cell r="AD289">
            <v>0.42122857142857145</v>
          </cell>
          <cell r="AE289" t="str">
            <v>Con precio</v>
          </cell>
        </row>
        <row r="290">
          <cell r="B290" t="str">
            <v>AGNF0020MA</v>
          </cell>
          <cell r="X290" t="str">
            <v>Formulación</v>
          </cell>
          <cell r="AC290">
            <v>9.8799999999999999E-2</v>
          </cell>
          <cell r="AD290">
            <v>9.8799999999999999E-2</v>
          </cell>
          <cell r="AE290" t="str">
            <v>Con precio</v>
          </cell>
        </row>
        <row r="291">
          <cell r="B291" t="str">
            <v>AGNF0020MA</v>
          </cell>
          <cell r="X291" t="str">
            <v>Empaquetado</v>
          </cell>
          <cell r="AC291">
            <v>7.3209374999999993E-3</v>
          </cell>
          <cell r="AD291">
            <v>7.3209374999999993E-3</v>
          </cell>
          <cell r="AE291" t="str">
            <v>Con precio</v>
          </cell>
        </row>
        <row r="292">
          <cell r="B292" t="str">
            <v>AGNF0020MA</v>
          </cell>
          <cell r="X292" t="str">
            <v>Empaquetado</v>
          </cell>
          <cell r="AC292">
            <v>2.4171875000000002E-2</v>
          </cell>
          <cell r="AD292">
            <v>2.4171875000000002E-2</v>
          </cell>
          <cell r="AE292" t="str">
            <v>Con precio</v>
          </cell>
        </row>
        <row r="293">
          <cell r="B293" t="str">
            <v>AGNF0020MA</v>
          </cell>
          <cell r="X293" t="str">
            <v>Empaquetado</v>
          </cell>
          <cell r="AC293">
            <v>5.0719967793880849E-3</v>
          </cell>
          <cell r="AD293">
            <v>5.0719967793880849E-3</v>
          </cell>
          <cell r="AE293" t="str">
            <v>Con precio</v>
          </cell>
        </row>
        <row r="294">
          <cell r="B294" t="str">
            <v>AGNF0020MA</v>
          </cell>
          <cell r="X294" t="str">
            <v>Empaquetado</v>
          </cell>
          <cell r="AC294">
            <v>0.18266505681818179</v>
          </cell>
          <cell r="AD294">
            <v>0.18266505681818179</v>
          </cell>
          <cell r="AE294" t="str">
            <v>Con precio</v>
          </cell>
        </row>
        <row r="295">
          <cell r="B295" t="str">
            <v>AGNF0020MA</v>
          </cell>
          <cell r="X295" t="str">
            <v>Empaquetado</v>
          </cell>
          <cell r="AC295">
            <v>2.4035031847133761E-2</v>
          </cell>
          <cell r="AD295">
            <v>2.4035031847133761E-2</v>
          </cell>
          <cell r="AE295" t="str">
            <v>Con precio</v>
          </cell>
        </row>
        <row r="296">
          <cell r="B296" t="str">
            <v>AGNF0020RO</v>
          </cell>
          <cell r="X296" t="str">
            <v>Formulación</v>
          </cell>
          <cell r="AC296">
            <v>4.8799999999999998E-3</v>
          </cell>
          <cell r="AD296">
            <v>4.8799999999999998E-3</v>
          </cell>
          <cell r="AE296" t="str">
            <v>Con precio</v>
          </cell>
        </row>
        <row r="297">
          <cell r="B297" t="str">
            <v>AGNF0020RO</v>
          </cell>
          <cell r="X297" t="str">
            <v>Formulación</v>
          </cell>
          <cell r="AC297">
            <v>0</v>
          </cell>
          <cell r="AD297">
            <v>0</v>
          </cell>
          <cell r="AE297" t="str">
            <v>Con precio</v>
          </cell>
        </row>
        <row r="298">
          <cell r="B298" t="str">
            <v>AGNF0020RO</v>
          </cell>
          <cell r="X298" t="str">
            <v>Formulación</v>
          </cell>
          <cell r="AC298">
            <v>0.27322299999999999</v>
          </cell>
          <cell r="AD298">
            <v>0.27322299999999999</v>
          </cell>
          <cell r="AE298" t="str">
            <v>Con precio</v>
          </cell>
        </row>
        <row r="299">
          <cell r="B299" t="str">
            <v>AGNF0020RO</v>
          </cell>
          <cell r="X299" t="str">
            <v>Formulación</v>
          </cell>
          <cell r="AC299">
            <v>1.9980000000000001E-2</v>
          </cell>
          <cell r="AD299">
            <v>1.7839999999999998E-2</v>
          </cell>
          <cell r="AE299" t="str">
            <v>Con precio</v>
          </cell>
        </row>
        <row r="300">
          <cell r="B300" t="str">
            <v>AGNF0020RO</v>
          </cell>
          <cell r="X300" t="str">
            <v>Formulación</v>
          </cell>
          <cell r="AC300">
            <v>0.62100000000000011</v>
          </cell>
          <cell r="AD300">
            <v>0.42122857142857145</v>
          </cell>
          <cell r="AE300" t="str">
            <v>Con precio</v>
          </cell>
        </row>
        <row r="301">
          <cell r="B301" t="str">
            <v>AGNF0020RO</v>
          </cell>
          <cell r="X301" t="str">
            <v>Formulación</v>
          </cell>
          <cell r="AC301">
            <v>9.8799999999999999E-2</v>
          </cell>
          <cell r="AD301">
            <v>9.8799999999999999E-2</v>
          </cell>
          <cell r="AE301" t="str">
            <v>Con precio</v>
          </cell>
        </row>
        <row r="302">
          <cell r="B302" t="str">
            <v>AGNF0020RO</v>
          </cell>
          <cell r="X302" t="str">
            <v>Empaquetado</v>
          </cell>
          <cell r="AC302">
            <v>7.3209374999999993E-3</v>
          </cell>
          <cell r="AD302">
            <v>7.3209374999999993E-3</v>
          </cell>
          <cell r="AE302" t="str">
            <v>Con precio</v>
          </cell>
        </row>
        <row r="303">
          <cell r="B303" t="str">
            <v>AGNF0020RO</v>
          </cell>
          <cell r="X303" t="str">
            <v>Empaquetado</v>
          </cell>
          <cell r="AC303">
            <v>2.4171875000000002E-2</v>
          </cell>
          <cell r="AD303">
            <v>2.4171875000000002E-2</v>
          </cell>
          <cell r="AE303" t="str">
            <v>Con precio</v>
          </cell>
        </row>
        <row r="304">
          <cell r="B304" t="str">
            <v>AGNF0020RO</v>
          </cell>
          <cell r="X304" t="str">
            <v>Empaquetado</v>
          </cell>
          <cell r="AC304">
            <v>5.0719967793880849E-3</v>
          </cell>
          <cell r="AD304">
            <v>5.0719967793880849E-3</v>
          </cell>
          <cell r="AE304" t="str">
            <v>Con precio</v>
          </cell>
        </row>
        <row r="305">
          <cell r="B305" t="str">
            <v>AGNF0020RO</v>
          </cell>
          <cell r="X305" t="str">
            <v>Empaquetado</v>
          </cell>
          <cell r="AC305">
            <v>0.18266505681818179</v>
          </cell>
          <cell r="AD305">
            <v>0.18266505681818179</v>
          </cell>
          <cell r="AE305" t="str">
            <v>Con precio</v>
          </cell>
        </row>
        <row r="306">
          <cell r="B306" t="str">
            <v>AGNF0020RO</v>
          </cell>
          <cell r="X306" t="str">
            <v>Empaquetado</v>
          </cell>
          <cell r="AC306">
            <v>2.4035031847133761E-2</v>
          </cell>
          <cell r="AD306">
            <v>2.4035031847133761E-2</v>
          </cell>
          <cell r="AE306" t="str">
            <v>Con precio</v>
          </cell>
        </row>
        <row r="307">
          <cell r="B307" t="str">
            <v>AGRMG0001AZ</v>
          </cell>
          <cell r="X307" t="str">
            <v>Formulación</v>
          </cell>
          <cell r="AC307">
            <v>4.8799999999999998E-3</v>
          </cell>
          <cell r="AD307">
            <v>4.8799999999999998E-3</v>
          </cell>
          <cell r="AE307" t="str">
            <v>Con precio</v>
          </cell>
        </row>
        <row r="308">
          <cell r="B308" t="str">
            <v>AGRMG0001AZ</v>
          </cell>
          <cell r="X308" t="str">
            <v>Formulación</v>
          </cell>
          <cell r="AC308">
            <v>0.13571599999999998</v>
          </cell>
          <cell r="AD308">
            <v>0.1231138</v>
          </cell>
          <cell r="AE308" t="str">
            <v>Con precio</v>
          </cell>
        </row>
        <row r="309">
          <cell r="B309" t="str">
            <v>AGRMG0001AZ</v>
          </cell>
          <cell r="X309" t="str">
            <v>Formulación</v>
          </cell>
          <cell r="AC309">
            <v>4.1400000000000006E-2</v>
          </cell>
          <cell r="AD309">
            <v>3.3923999999999996E-2</v>
          </cell>
          <cell r="AE309" t="str">
            <v>Con precio</v>
          </cell>
        </row>
        <row r="310">
          <cell r="B310" t="str">
            <v>AGRMG0001AZ</v>
          </cell>
          <cell r="X310" t="str">
            <v>Formulación</v>
          </cell>
          <cell r="AC310">
            <v>0.38879999999999998</v>
          </cell>
          <cell r="AD310">
            <v>0.26372571428571429</v>
          </cell>
          <cell r="AE310" t="str">
            <v>Con precio</v>
          </cell>
        </row>
        <row r="311">
          <cell r="B311" t="str">
            <v>AGRMG0001AZ</v>
          </cell>
          <cell r="X311" t="str">
            <v>Formulación</v>
          </cell>
          <cell r="AC311">
            <v>4.5671999999999997E-2</v>
          </cell>
          <cell r="AD311">
            <v>3.8412000000000002E-2</v>
          </cell>
          <cell r="AE311" t="str">
            <v>Con precio</v>
          </cell>
        </row>
        <row r="312">
          <cell r="B312" t="str">
            <v>AGRMG0001AZ</v>
          </cell>
          <cell r="X312" t="str">
            <v>Formulación</v>
          </cell>
          <cell r="AC312">
            <v>2.6600000000000002E-2</v>
          </cell>
          <cell r="AD312">
            <v>2.6600000000000002E-2</v>
          </cell>
          <cell r="AE312" t="str">
            <v>Con precio</v>
          </cell>
        </row>
        <row r="313">
          <cell r="B313" t="str">
            <v>AGRMG0001AZ</v>
          </cell>
          <cell r="X313" t="str">
            <v>Formulación</v>
          </cell>
          <cell r="AC313">
            <v>5.6700000000000007E-2</v>
          </cell>
          <cell r="AD313">
            <v>4.4700000000000011E-2</v>
          </cell>
          <cell r="AE313" t="str">
            <v>Con precio</v>
          </cell>
        </row>
        <row r="314">
          <cell r="B314" t="str">
            <v>AGRMG0001AZ</v>
          </cell>
          <cell r="X314" t="str">
            <v>Formulación</v>
          </cell>
          <cell r="AC314">
            <v>4.4160000000000005E-2</v>
          </cell>
          <cell r="AD314">
            <v>4.2720000000000001E-2</v>
          </cell>
          <cell r="AE314" t="str">
            <v>Con precio</v>
          </cell>
        </row>
        <row r="315">
          <cell r="B315" t="str">
            <v>AGRMG0001AZ</v>
          </cell>
          <cell r="X315" t="str">
            <v>Formulación</v>
          </cell>
          <cell r="AC315">
            <v>9.7899999999999994E-5</v>
          </cell>
          <cell r="AD315">
            <v>9.7899999999999994E-5</v>
          </cell>
          <cell r="AE315" t="str">
            <v>Con precio</v>
          </cell>
        </row>
        <row r="316">
          <cell r="B316" t="str">
            <v>AGRMG0001AZ</v>
          </cell>
          <cell r="X316" t="str">
            <v>Formulación</v>
          </cell>
          <cell r="AC316">
            <v>0.27934999999999999</v>
          </cell>
          <cell r="AD316">
            <v>0.21996500000000002</v>
          </cell>
          <cell r="AE316" t="str">
            <v>Con precio</v>
          </cell>
        </row>
        <row r="317">
          <cell r="B317" t="str">
            <v>AGRMG0001AZ</v>
          </cell>
          <cell r="X317" t="str">
            <v>Empaquetado</v>
          </cell>
          <cell r="AC317">
            <v>3.0303030303030299E-5</v>
          </cell>
          <cell r="AD317">
            <v>3.0303030303030299E-5</v>
          </cell>
          <cell r="AE317" t="str">
            <v>Con precio</v>
          </cell>
        </row>
        <row r="318">
          <cell r="B318" t="str">
            <v>AGRMG0001AZ</v>
          </cell>
          <cell r="X318" t="str">
            <v>Empaquetado</v>
          </cell>
          <cell r="AC318">
            <v>2.3439393939393937E-2</v>
          </cell>
          <cell r="AD318">
            <v>2.3439393939393937E-2</v>
          </cell>
          <cell r="AE318" t="str">
            <v>Con precio</v>
          </cell>
        </row>
        <row r="319">
          <cell r="B319" t="str">
            <v>AGRMG0001AZ</v>
          </cell>
          <cell r="X319" t="str">
            <v>Empaquetado</v>
          </cell>
          <cell r="AC319">
            <v>7.1917518745739595E-2</v>
          </cell>
          <cell r="AD319">
            <v>7.1917518745739595E-2</v>
          </cell>
          <cell r="AE319" t="str">
            <v>Con precio</v>
          </cell>
        </row>
        <row r="320">
          <cell r="B320" t="str">
            <v>AGRMG0001AZ</v>
          </cell>
          <cell r="X320" t="str">
            <v>Empaquetado</v>
          </cell>
          <cell r="AC320">
            <v>0.44322992424242419</v>
          </cell>
          <cell r="AD320">
            <v>0.44322992424242419</v>
          </cell>
          <cell r="AE320" t="str">
            <v>Con precio</v>
          </cell>
        </row>
        <row r="321">
          <cell r="B321" t="str">
            <v>AGRMG0001AZ</v>
          </cell>
          <cell r="X321" t="str">
            <v>Empaquetado</v>
          </cell>
          <cell r="AC321">
            <v>0.11874999999999999</v>
          </cell>
          <cell r="AD321">
            <v>0.11874999999999999</v>
          </cell>
          <cell r="AE321" t="str">
            <v>Con precio</v>
          </cell>
        </row>
        <row r="322">
          <cell r="B322" t="str">
            <v>AGRMG0001AZ</v>
          </cell>
          <cell r="X322" t="str">
            <v>Empaquetado</v>
          </cell>
          <cell r="AC322">
            <v>9.6080774456521717E-2</v>
          </cell>
          <cell r="AD322">
            <v>9.6080774456521717E-2</v>
          </cell>
          <cell r="AE322" t="str">
            <v>Con precio</v>
          </cell>
        </row>
        <row r="323">
          <cell r="B323" t="str">
            <v>AGRMG0005</v>
          </cell>
          <cell r="X323" t="str">
            <v>Formulación</v>
          </cell>
          <cell r="AC323">
            <v>4.8799999999999998E-3</v>
          </cell>
          <cell r="AD323">
            <v>4.8799999999999998E-3</v>
          </cell>
          <cell r="AE323" t="str">
            <v>Con precio</v>
          </cell>
        </row>
        <row r="324">
          <cell r="B324" t="str">
            <v>AGRMG0005</v>
          </cell>
          <cell r="X324" t="str">
            <v>Formulación</v>
          </cell>
          <cell r="AC324">
            <v>0.13571599999999998</v>
          </cell>
          <cell r="AD324">
            <v>0.1231138</v>
          </cell>
          <cell r="AE324" t="str">
            <v>Con precio</v>
          </cell>
        </row>
        <row r="325">
          <cell r="B325" t="str">
            <v>AGRMG0005</v>
          </cell>
          <cell r="X325" t="str">
            <v>Formulación</v>
          </cell>
          <cell r="AC325">
            <v>4.1400000000000006E-2</v>
          </cell>
          <cell r="AD325">
            <v>3.3923999999999996E-2</v>
          </cell>
          <cell r="AE325" t="str">
            <v>Con precio</v>
          </cell>
        </row>
        <row r="326">
          <cell r="B326" t="str">
            <v>AGRMG0005</v>
          </cell>
          <cell r="X326" t="str">
            <v>Formulación</v>
          </cell>
          <cell r="AC326">
            <v>0.38879999999999998</v>
          </cell>
          <cell r="AD326">
            <v>0.26372571428571429</v>
          </cell>
          <cell r="AE326" t="str">
            <v>Con precio</v>
          </cell>
        </row>
        <row r="327">
          <cell r="B327" t="str">
            <v>AGRMG0005</v>
          </cell>
          <cell r="X327" t="str">
            <v>Formulación</v>
          </cell>
          <cell r="AC327">
            <v>4.5671999999999997E-2</v>
          </cell>
          <cell r="AD327">
            <v>3.8412000000000002E-2</v>
          </cell>
          <cell r="AE327" t="str">
            <v>Con precio</v>
          </cell>
        </row>
        <row r="328">
          <cell r="B328" t="str">
            <v>AGRMG0005</v>
          </cell>
          <cell r="X328" t="str">
            <v>Formulación</v>
          </cell>
          <cell r="AC328">
            <v>2.6600000000000002E-2</v>
          </cell>
          <cell r="AD328">
            <v>2.6600000000000002E-2</v>
          </cell>
          <cell r="AE328" t="str">
            <v>Con precio</v>
          </cell>
        </row>
        <row r="329">
          <cell r="B329" t="str">
            <v>AGRMG0005</v>
          </cell>
          <cell r="X329" t="str">
            <v>Formulación</v>
          </cell>
          <cell r="AC329">
            <v>5.6700000000000007E-2</v>
          </cell>
          <cell r="AD329">
            <v>4.4700000000000011E-2</v>
          </cell>
          <cell r="AE329" t="str">
            <v>Con precio</v>
          </cell>
        </row>
        <row r="330">
          <cell r="B330" t="str">
            <v>AGRMG0005</v>
          </cell>
          <cell r="X330" t="str">
            <v>Formulación</v>
          </cell>
          <cell r="AC330">
            <v>4.4160000000000005E-2</v>
          </cell>
          <cell r="AD330">
            <v>4.2720000000000001E-2</v>
          </cell>
          <cell r="AE330" t="str">
            <v>Con precio</v>
          </cell>
        </row>
        <row r="331">
          <cell r="B331" t="str">
            <v>AGRMG0005</v>
          </cell>
          <cell r="X331" t="str">
            <v>Formulación</v>
          </cell>
          <cell r="AC331">
            <v>9.7899999999999994E-5</v>
          </cell>
          <cell r="AD331">
            <v>9.7899999999999994E-5</v>
          </cell>
          <cell r="AE331" t="str">
            <v>Con precio</v>
          </cell>
        </row>
        <row r="332">
          <cell r="B332" t="str">
            <v>AGRMG0005</v>
          </cell>
          <cell r="X332" t="str">
            <v>Formulación</v>
          </cell>
          <cell r="AC332">
            <v>0.27934999999999999</v>
          </cell>
          <cell r="AD332">
            <v>0.21996500000000002</v>
          </cell>
          <cell r="AE332" t="str">
            <v>Con precio</v>
          </cell>
        </row>
        <row r="333">
          <cell r="B333" t="str">
            <v>AGRMG0005</v>
          </cell>
          <cell r="X333" t="str">
            <v>Empaquetado</v>
          </cell>
          <cell r="AC333">
            <v>1.2991333333333337E-2</v>
          </cell>
          <cell r="AD333">
            <v>1.2991333333333337E-2</v>
          </cell>
          <cell r="AE333" t="str">
            <v>Con precio</v>
          </cell>
        </row>
        <row r="334">
          <cell r="B334" t="str">
            <v>AGRMG0005</v>
          </cell>
          <cell r="X334" t="str">
            <v>Empaquetado</v>
          </cell>
          <cell r="AC334">
            <v>2.5783333333333339E-2</v>
          </cell>
          <cell r="AD334">
            <v>2.5783333333333339E-2</v>
          </cell>
          <cell r="AE334" t="str">
            <v>Con precio</v>
          </cell>
        </row>
        <row r="335">
          <cell r="B335" t="str">
            <v>AGRMG0005</v>
          </cell>
          <cell r="X335" t="str">
            <v>Empaquetado</v>
          </cell>
          <cell r="AC335">
            <v>3.4200000000000001E-2</v>
          </cell>
          <cell r="AD335">
            <v>3.4200000000000001E-2</v>
          </cell>
          <cell r="AE335" t="str">
            <v>Con precio</v>
          </cell>
        </row>
        <row r="336">
          <cell r="B336" t="str">
            <v>AGRMG0005</v>
          </cell>
          <cell r="X336" t="str">
            <v>Empaquetado</v>
          </cell>
          <cell r="AC336">
            <v>0.17399999999999999</v>
          </cell>
          <cell r="AD336">
            <v>0.17399999999999999</v>
          </cell>
          <cell r="AE336" t="str">
            <v>Con precio</v>
          </cell>
        </row>
        <row r="337">
          <cell r="B337" t="str">
            <v>AGRMG0005</v>
          </cell>
          <cell r="X337" t="str">
            <v>Empaquetado</v>
          </cell>
          <cell r="AC337">
            <v>3.6950017630465445E-2</v>
          </cell>
          <cell r="AD337">
            <v>3.6950017630465445E-2</v>
          </cell>
          <cell r="AE337" t="str">
            <v>Con precio</v>
          </cell>
        </row>
        <row r="338">
          <cell r="B338" t="str">
            <v>AGRMG0005</v>
          </cell>
          <cell r="X338" t="str">
            <v>Empaquetado</v>
          </cell>
          <cell r="AC338">
            <v>2.5359983896940424E-2</v>
          </cell>
          <cell r="AD338">
            <v>2.5359983896940424E-2</v>
          </cell>
          <cell r="AE338" t="str">
            <v>Con precio</v>
          </cell>
        </row>
        <row r="339">
          <cell r="B339" t="str">
            <v>AGRMG0005MA</v>
          </cell>
          <cell r="X339" t="str">
            <v>Formulación</v>
          </cell>
          <cell r="AC339">
            <v>4.8799999999999998E-3</v>
          </cell>
          <cell r="AD339">
            <v>4.8799999999999998E-3</v>
          </cell>
          <cell r="AE339" t="str">
            <v>Con precio</v>
          </cell>
        </row>
        <row r="340">
          <cell r="B340" t="str">
            <v>AGRMG0005MA</v>
          </cell>
          <cell r="X340" t="str">
            <v>Formulación</v>
          </cell>
          <cell r="AC340">
            <v>0.13571599999999998</v>
          </cell>
          <cell r="AD340">
            <v>0.1231138</v>
          </cell>
          <cell r="AE340" t="str">
            <v>Con precio</v>
          </cell>
        </row>
        <row r="341">
          <cell r="B341" t="str">
            <v>AGRMG0005MA</v>
          </cell>
          <cell r="X341" t="str">
            <v>Formulación</v>
          </cell>
          <cell r="AC341">
            <v>4.1400000000000006E-2</v>
          </cell>
          <cell r="AD341">
            <v>3.3923999999999996E-2</v>
          </cell>
          <cell r="AE341" t="str">
            <v>Con precio</v>
          </cell>
        </row>
        <row r="342">
          <cell r="B342" t="str">
            <v>AGRMG0005MA</v>
          </cell>
          <cell r="X342" t="str">
            <v>Formulación</v>
          </cell>
          <cell r="AC342">
            <v>0.38879999999999998</v>
          </cell>
          <cell r="AD342">
            <v>0.26372571428571429</v>
          </cell>
          <cell r="AE342" t="str">
            <v>Con precio</v>
          </cell>
        </row>
        <row r="343">
          <cell r="B343" t="str">
            <v>AGRMG0005MA</v>
          </cell>
          <cell r="X343" t="str">
            <v>Formulación</v>
          </cell>
          <cell r="AC343">
            <v>4.5671999999999997E-2</v>
          </cell>
          <cell r="AD343">
            <v>3.8412000000000002E-2</v>
          </cell>
          <cell r="AE343" t="str">
            <v>Con precio</v>
          </cell>
        </row>
        <row r="344">
          <cell r="B344" t="str">
            <v>AGRMG0005MA</v>
          </cell>
          <cell r="X344" t="str">
            <v>Formulación</v>
          </cell>
          <cell r="AC344">
            <v>2.6600000000000002E-2</v>
          </cell>
          <cell r="AD344">
            <v>2.6600000000000002E-2</v>
          </cell>
          <cell r="AE344" t="str">
            <v>Con precio</v>
          </cell>
        </row>
        <row r="345">
          <cell r="B345" t="str">
            <v>AGRMG0005MA</v>
          </cell>
          <cell r="X345" t="str">
            <v>Formulación</v>
          </cell>
          <cell r="AC345">
            <v>5.6700000000000007E-2</v>
          </cell>
          <cell r="AD345">
            <v>4.4700000000000011E-2</v>
          </cell>
          <cell r="AE345" t="str">
            <v>Con precio</v>
          </cell>
        </row>
        <row r="346">
          <cell r="B346" t="str">
            <v>AGRMG0005MA</v>
          </cell>
          <cell r="X346" t="str">
            <v>Formulación</v>
          </cell>
          <cell r="AC346">
            <v>4.4160000000000005E-2</v>
          </cell>
          <cell r="AD346">
            <v>4.2720000000000001E-2</v>
          </cell>
          <cell r="AE346" t="str">
            <v>Con precio</v>
          </cell>
        </row>
        <row r="347">
          <cell r="B347" t="str">
            <v>AGRMG0005MA</v>
          </cell>
          <cell r="X347" t="str">
            <v>Formulación</v>
          </cell>
          <cell r="AC347">
            <v>9.7899999999999994E-5</v>
          </cell>
          <cell r="AD347">
            <v>9.7899999999999994E-5</v>
          </cell>
          <cell r="AE347" t="str">
            <v>Con precio</v>
          </cell>
        </row>
        <row r="348">
          <cell r="B348" t="str">
            <v>AGRMG0005MA</v>
          </cell>
          <cell r="X348" t="str">
            <v>Formulación</v>
          </cell>
          <cell r="AC348">
            <v>0.27934999999999999</v>
          </cell>
          <cell r="AD348">
            <v>0.21996500000000002</v>
          </cell>
          <cell r="AE348" t="str">
            <v>Con precio</v>
          </cell>
        </row>
        <row r="349">
          <cell r="B349" t="str">
            <v>AGRMG0005MA</v>
          </cell>
          <cell r="X349" t="str">
            <v>Empaquetado</v>
          </cell>
          <cell r="AC349">
            <v>1.2991333333333337E-2</v>
          </cell>
          <cell r="AD349">
            <v>1.2991333333333337E-2</v>
          </cell>
          <cell r="AE349" t="str">
            <v>Con precio</v>
          </cell>
        </row>
        <row r="350">
          <cell r="B350" t="str">
            <v>AGRMG0005MA</v>
          </cell>
          <cell r="X350" t="str">
            <v>Empaquetado</v>
          </cell>
          <cell r="AC350">
            <v>2.5783333333333339E-2</v>
          </cell>
          <cell r="AD350">
            <v>2.5783333333333339E-2</v>
          </cell>
          <cell r="AE350" t="str">
            <v>Con precio</v>
          </cell>
        </row>
        <row r="351">
          <cell r="B351" t="str">
            <v>AGRMG0005MA</v>
          </cell>
          <cell r="X351" t="str">
            <v>Empaquetado</v>
          </cell>
          <cell r="AC351">
            <v>3.4200000000000001E-2</v>
          </cell>
          <cell r="AD351">
            <v>3.4200000000000001E-2</v>
          </cell>
          <cell r="AE351" t="str">
            <v>Con precio</v>
          </cell>
        </row>
        <row r="352">
          <cell r="B352" t="str">
            <v>AGRMG0005MA</v>
          </cell>
          <cell r="X352" t="str">
            <v>Empaquetado</v>
          </cell>
          <cell r="AC352">
            <v>0.17399999999999999</v>
          </cell>
          <cell r="AD352">
            <v>0.17399999999999999</v>
          </cell>
          <cell r="AE352" t="str">
            <v>Con precio</v>
          </cell>
        </row>
        <row r="353">
          <cell r="B353" t="str">
            <v>AGRMG0005MA</v>
          </cell>
          <cell r="X353" t="str">
            <v>Empaquetado</v>
          </cell>
          <cell r="AC353">
            <v>3.6950017630465445E-2</v>
          </cell>
          <cell r="AD353">
            <v>3.6950017630465445E-2</v>
          </cell>
          <cell r="AE353" t="str">
            <v>Con precio</v>
          </cell>
        </row>
        <row r="354">
          <cell r="B354" t="str">
            <v>AGRMG0005MA</v>
          </cell>
          <cell r="X354" t="str">
            <v>Empaquetado</v>
          </cell>
          <cell r="AC354">
            <v>2.5359983896940424E-2</v>
          </cell>
          <cell r="AD354">
            <v>2.5359983896940424E-2</v>
          </cell>
          <cell r="AE354" t="str">
            <v>Con precio</v>
          </cell>
        </row>
        <row r="355">
          <cell r="B355" t="str">
            <v>AGRMG1000</v>
          </cell>
          <cell r="X355" t="str">
            <v>Formulación</v>
          </cell>
          <cell r="AC355">
            <v>4.8799999999999998E-3</v>
          </cell>
          <cell r="AD355">
            <v>4.8799999999999998E-3</v>
          </cell>
          <cell r="AE355" t="str">
            <v>Con precio</v>
          </cell>
        </row>
        <row r="356">
          <cell r="B356" t="str">
            <v>AGRMG1000</v>
          </cell>
          <cell r="X356" t="str">
            <v>Formulación</v>
          </cell>
          <cell r="AC356">
            <v>0.13571599999999998</v>
          </cell>
          <cell r="AD356">
            <v>0.1231138</v>
          </cell>
          <cell r="AE356" t="str">
            <v>Con precio</v>
          </cell>
        </row>
        <row r="357">
          <cell r="B357" t="str">
            <v>AGRMG1000</v>
          </cell>
          <cell r="X357" t="str">
            <v>Formulación</v>
          </cell>
          <cell r="AC357">
            <v>4.1400000000000006E-2</v>
          </cell>
          <cell r="AD357">
            <v>3.3923999999999996E-2</v>
          </cell>
          <cell r="AE357" t="str">
            <v>Con precio</v>
          </cell>
        </row>
        <row r="358">
          <cell r="B358" t="str">
            <v>AGRMG1000</v>
          </cell>
          <cell r="X358" t="str">
            <v>Formulación</v>
          </cell>
          <cell r="AC358">
            <v>0.38879999999999998</v>
          </cell>
          <cell r="AD358">
            <v>0.26372571428571429</v>
          </cell>
          <cell r="AE358" t="str">
            <v>Con precio</v>
          </cell>
        </row>
        <row r="359">
          <cell r="B359" t="str">
            <v>AGRMG1000</v>
          </cell>
          <cell r="X359" t="str">
            <v>Formulación</v>
          </cell>
          <cell r="AC359">
            <v>4.5671999999999997E-2</v>
          </cell>
          <cell r="AD359">
            <v>3.8412000000000002E-2</v>
          </cell>
          <cell r="AE359" t="str">
            <v>Con precio</v>
          </cell>
        </row>
        <row r="360">
          <cell r="B360" t="str">
            <v>AGRMG1000</v>
          </cell>
          <cell r="X360" t="str">
            <v>Formulación</v>
          </cell>
          <cell r="AC360">
            <v>2.6600000000000002E-2</v>
          </cell>
          <cell r="AD360">
            <v>2.6600000000000002E-2</v>
          </cell>
          <cell r="AE360" t="str">
            <v>Con precio</v>
          </cell>
        </row>
        <row r="361">
          <cell r="B361" t="str">
            <v>AGRMG1000</v>
          </cell>
          <cell r="X361" t="str">
            <v>Formulación</v>
          </cell>
          <cell r="AC361">
            <v>5.6700000000000007E-2</v>
          </cell>
          <cell r="AD361">
            <v>4.4700000000000011E-2</v>
          </cell>
          <cell r="AE361" t="str">
            <v>Con precio</v>
          </cell>
        </row>
        <row r="362">
          <cell r="B362" t="str">
            <v>AGRMG1000</v>
          </cell>
          <cell r="X362" t="str">
            <v>Formulación</v>
          </cell>
          <cell r="AC362">
            <v>4.4160000000000005E-2</v>
          </cell>
          <cell r="AD362">
            <v>4.2720000000000001E-2</v>
          </cell>
          <cell r="AE362" t="str">
            <v>Con precio</v>
          </cell>
        </row>
        <row r="363">
          <cell r="B363" t="str">
            <v>AGRMG1000</v>
          </cell>
          <cell r="X363" t="str">
            <v>Formulación</v>
          </cell>
          <cell r="AC363">
            <v>9.7899999999999994E-5</v>
          </cell>
          <cell r="AD363">
            <v>9.7899999999999994E-5</v>
          </cell>
          <cell r="AE363" t="str">
            <v>Con precio</v>
          </cell>
        </row>
        <row r="364">
          <cell r="B364" t="str">
            <v>AGRMG1000</v>
          </cell>
          <cell r="X364" t="str">
            <v>Formulación</v>
          </cell>
          <cell r="AC364">
            <v>0.27934999999999999</v>
          </cell>
          <cell r="AD364">
            <v>0.21996500000000002</v>
          </cell>
          <cell r="AE364" t="str">
            <v>Con precio</v>
          </cell>
        </row>
        <row r="365">
          <cell r="B365" t="str">
            <v>AGRMG1000</v>
          </cell>
          <cell r="X365" t="str">
            <v>Empaquetado</v>
          </cell>
          <cell r="AC365">
            <v>6.9846153846153836E-2</v>
          </cell>
          <cell r="AD365">
            <v>6.9846153846153836E-2</v>
          </cell>
          <cell r="AE365" t="str">
            <v>Con precio</v>
          </cell>
        </row>
        <row r="366">
          <cell r="B366" t="str">
            <v>AGRMG1000</v>
          </cell>
          <cell r="X366" t="str">
            <v>Empaquetado</v>
          </cell>
          <cell r="AC366">
            <v>1.014399355877617E-4</v>
          </cell>
          <cell r="AD366">
            <v>1.014399355877617E-4</v>
          </cell>
          <cell r="AE366" t="str">
            <v>Con precio</v>
          </cell>
        </row>
        <row r="367">
          <cell r="B367" t="str">
            <v>AGRMG20005EG</v>
          </cell>
          <cell r="X367" t="str">
            <v>Formulación</v>
          </cell>
          <cell r="AC367">
            <v>4.8799999999999998E-3</v>
          </cell>
          <cell r="AD367">
            <v>4.8799999999999998E-3</v>
          </cell>
          <cell r="AE367" t="str">
            <v>Con precio</v>
          </cell>
        </row>
        <row r="368">
          <cell r="B368" t="str">
            <v>AGRMG20005EG</v>
          </cell>
          <cell r="X368" t="str">
            <v>Formulación</v>
          </cell>
          <cell r="AC368">
            <v>4.1400000000000006E-2</v>
          </cell>
          <cell r="AD368">
            <v>3.3923999999999996E-2</v>
          </cell>
          <cell r="AE368" t="str">
            <v>Con precio</v>
          </cell>
        </row>
        <row r="369">
          <cell r="B369" t="str">
            <v>AGRMG20005EG</v>
          </cell>
          <cell r="X369" t="str">
            <v>Formulación</v>
          </cell>
          <cell r="AC369">
            <v>0.39419999999999999</v>
          </cell>
          <cell r="AD369">
            <v>0.26738857142857142</v>
          </cell>
          <cell r="AE369" t="str">
            <v>Con precio</v>
          </cell>
        </row>
        <row r="370">
          <cell r="B370" t="str">
            <v>AGRMG20005EG</v>
          </cell>
          <cell r="X370" t="str">
            <v>Formulación</v>
          </cell>
          <cell r="AC370">
            <v>4.6017999999999996E-2</v>
          </cell>
          <cell r="AD370">
            <v>3.8703000000000001E-2</v>
          </cell>
          <cell r="AE370" t="str">
            <v>Con precio</v>
          </cell>
        </row>
        <row r="371">
          <cell r="B371" t="str">
            <v>AGRMG20005EG</v>
          </cell>
          <cell r="X371" t="str">
            <v>Formulación</v>
          </cell>
          <cell r="AC371">
            <v>0.16008</v>
          </cell>
          <cell r="AD371">
            <v>0.13989750000000001</v>
          </cell>
          <cell r="AE371" t="str">
            <v>Con precio</v>
          </cell>
        </row>
        <row r="372">
          <cell r="B372" t="str">
            <v>AGRMG20005EG</v>
          </cell>
          <cell r="X372" t="str">
            <v>Formulación</v>
          </cell>
          <cell r="AC372">
            <v>5.8049999999999997E-2</v>
          </cell>
          <cell r="AD372">
            <v>4.5764285714285723E-2</v>
          </cell>
          <cell r="AE372" t="str">
            <v>Con precio</v>
          </cell>
        </row>
        <row r="373">
          <cell r="B373" t="str">
            <v>AGRMG20005EG</v>
          </cell>
          <cell r="X373" t="str">
            <v>Formulación</v>
          </cell>
          <cell r="AC373">
            <v>7.3830000000000007E-2</v>
          </cell>
          <cell r="AD373">
            <v>6.2100000000000009E-2</v>
          </cell>
          <cell r="AE373" t="str">
            <v>Con precio</v>
          </cell>
        </row>
        <row r="374">
          <cell r="B374" t="str">
            <v>AGRMG20005EG</v>
          </cell>
          <cell r="X374" t="str">
            <v>Formulación</v>
          </cell>
          <cell r="AC374">
            <v>4.6000000000000006E-2</v>
          </cell>
          <cell r="AD374">
            <v>4.4500000000000005E-2</v>
          </cell>
          <cell r="AE374" t="str">
            <v>Con precio</v>
          </cell>
        </row>
        <row r="375">
          <cell r="B375" t="str">
            <v>AGRMG20005EG</v>
          </cell>
          <cell r="X375" t="str">
            <v>Formulación</v>
          </cell>
          <cell r="AC375">
            <v>9.7899999999999994E-5</v>
          </cell>
          <cell r="AD375">
            <v>9.7899999999999994E-5</v>
          </cell>
          <cell r="AE375" t="str">
            <v>Con precio</v>
          </cell>
        </row>
        <row r="376">
          <cell r="B376" t="str">
            <v>AGRMG20005EG</v>
          </cell>
          <cell r="X376" t="str">
            <v>Formulación</v>
          </cell>
          <cell r="AC376">
            <v>0.28689999999999999</v>
          </cell>
          <cell r="AD376">
            <v>0.22591</v>
          </cell>
          <cell r="AE376" t="str">
            <v>Con precio</v>
          </cell>
        </row>
        <row r="377">
          <cell r="B377" t="str">
            <v>AGRMG20005EG</v>
          </cell>
          <cell r="X377" t="str">
            <v>Empaquetado</v>
          </cell>
          <cell r="AC377">
            <v>1.2991333333333337E-2</v>
          </cell>
          <cell r="AD377">
            <v>1.2991333333333337E-2</v>
          </cell>
          <cell r="AE377" t="str">
            <v>Con precio</v>
          </cell>
        </row>
        <row r="378">
          <cell r="B378" t="str">
            <v>AGRMG20005EG</v>
          </cell>
          <cell r="X378" t="str">
            <v>Empaquetado</v>
          </cell>
          <cell r="AC378">
            <v>2.5783333333333339E-2</v>
          </cell>
          <cell r="AD378">
            <v>2.5783333333333339E-2</v>
          </cell>
          <cell r="AE378" t="str">
            <v>Con precio</v>
          </cell>
        </row>
        <row r="379">
          <cell r="B379" t="str">
            <v>AGRMG20005EG</v>
          </cell>
          <cell r="X379" t="str">
            <v>Empaquetado</v>
          </cell>
          <cell r="AC379">
            <v>5.7799999999999997E-2</v>
          </cell>
          <cell r="AD379">
            <v>5.7799999999999997E-2</v>
          </cell>
          <cell r="AE379" t="str">
            <v>Con precio</v>
          </cell>
        </row>
        <row r="380">
          <cell r="B380" t="str">
            <v>AGRMG20005EG</v>
          </cell>
          <cell r="X380" t="str">
            <v>Empaquetado</v>
          </cell>
          <cell r="AC380">
            <v>2.5359983896940424E-2</v>
          </cell>
          <cell r="AD380">
            <v>2.5359983896940424E-2</v>
          </cell>
          <cell r="AE380" t="str">
            <v>Con precio</v>
          </cell>
        </row>
        <row r="381">
          <cell r="B381" t="str">
            <v>AGRMG20005EG</v>
          </cell>
          <cell r="X381" t="str">
            <v>Empaquetado</v>
          </cell>
          <cell r="AC381">
            <v>0.17399999999999999</v>
          </cell>
          <cell r="AD381">
            <v>0.17399999999999999</v>
          </cell>
          <cell r="AE381" t="str">
            <v>Con precio</v>
          </cell>
        </row>
        <row r="382">
          <cell r="B382" t="str">
            <v>AGRMG20005EG</v>
          </cell>
          <cell r="X382" t="str">
            <v>Empaquetado</v>
          </cell>
          <cell r="AC382">
            <v>3.6950017630465445E-2</v>
          </cell>
          <cell r="AD382">
            <v>3.6950017630465445E-2</v>
          </cell>
          <cell r="AE382" t="str">
            <v>Con precio</v>
          </cell>
        </row>
        <row r="383">
          <cell r="B383" t="str">
            <v>AGRMGN0020</v>
          </cell>
          <cell r="X383" t="str">
            <v>Formulación</v>
          </cell>
          <cell r="AC383">
            <v>4.8799999999999998E-3</v>
          </cell>
          <cell r="AD383">
            <v>4.8799999999999998E-3</v>
          </cell>
          <cell r="AE383" t="str">
            <v>Con precio</v>
          </cell>
        </row>
        <row r="384">
          <cell r="B384" t="str">
            <v>AGRMGN0020</v>
          </cell>
          <cell r="X384" t="str">
            <v>Formulación</v>
          </cell>
          <cell r="AC384">
            <v>0.13571599999999998</v>
          </cell>
          <cell r="AD384">
            <v>0.1231138</v>
          </cell>
          <cell r="AE384" t="str">
            <v>Con precio</v>
          </cell>
        </row>
        <row r="385">
          <cell r="B385" t="str">
            <v>AGRMGN0020</v>
          </cell>
          <cell r="X385" t="str">
            <v>Formulación</v>
          </cell>
          <cell r="AC385">
            <v>4.1400000000000006E-2</v>
          </cell>
          <cell r="AD385">
            <v>3.3923999999999996E-2</v>
          </cell>
          <cell r="AE385" t="str">
            <v>Con precio</v>
          </cell>
        </row>
        <row r="386">
          <cell r="B386" t="str">
            <v>AGRMGN0020</v>
          </cell>
          <cell r="X386" t="str">
            <v>Formulación</v>
          </cell>
          <cell r="AC386">
            <v>0.38879999999999998</v>
          </cell>
          <cell r="AD386">
            <v>0.26372571428571429</v>
          </cell>
          <cell r="AE386" t="str">
            <v>Con precio</v>
          </cell>
        </row>
        <row r="387">
          <cell r="B387" t="str">
            <v>AGRMGN0020</v>
          </cell>
          <cell r="X387" t="str">
            <v>Formulación</v>
          </cell>
          <cell r="AC387">
            <v>4.5671999999999997E-2</v>
          </cell>
          <cell r="AD387">
            <v>3.8412000000000002E-2</v>
          </cell>
          <cell r="AE387" t="str">
            <v>Con precio</v>
          </cell>
        </row>
        <row r="388">
          <cell r="B388" t="str">
            <v>AGRMGN0020</v>
          </cell>
          <cell r="X388" t="str">
            <v>Formulación</v>
          </cell>
          <cell r="AC388">
            <v>2.6600000000000002E-2</v>
          </cell>
          <cell r="AD388">
            <v>2.6600000000000002E-2</v>
          </cell>
          <cell r="AE388" t="str">
            <v>Con precio</v>
          </cell>
        </row>
        <row r="389">
          <cell r="B389" t="str">
            <v>AGRMGN0020</v>
          </cell>
          <cell r="X389" t="str">
            <v>Formulación</v>
          </cell>
          <cell r="AC389">
            <v>5.6700000000000007E-2</v>
          </cell>
          <cell r="AD389">
            <v>4.4700000000000011E-2</v>
          </cell>
          <cell r="AE389" t="str">
            <v>Con precio</v>
          </cell>
        </row>
        <row r="390">
          <cell r="B390" t="str">
            <v>AGRMGN0020</v>
          </cell>
          <cell r="X390" t="str">
            <v>Formulación</v>
          </cell>
          <cell r="AC390">
            <v>4.4160000000000005E-2</v>
          </cell>
          <cell r="AD390">
            <v>4.2720000000000001E-2</v>
          </cell>
          <cell r="AE390" t="str">
            <v>Con precio</v>
          </cell>
        </row>
        <row r="391">
          <cell r="B391" t="str">
            <v>AGRMGN0020</v>
          </cell>
          <cell r="X391" t="str">
            <v>Formulación</v>
          </cell>
          <cell r="AC391">
            <v>9.7899999999999994E-5</v>
          </cell>
          <cell r="AD391">
            <v>9.7899999999999994E-5</v>
          </cell>
          <cell r="AE391" t="str">
            <v>Con precio</v>
          </cell>
        </row>
        <row r="392">
          <cell r="B392" t="str">
            <v>AGRMGN0020</v>
          </cell>
          <cell r="X392" t="str">
            <v>Formulación</v>
          </cell>
          <cell r="AC392">
            <v>0.27934999999999999</v>
          </cell>
          <cell r="AD392">
            <v>0.21996500000000002</v>
          </cell>
          <cell r="AE392" t="str">
            <v>Con precio</v>
          </cell>
        </row>
        <row r="393">
          <cell r="B393" t="str">
            <v>AGRMGN0020</v>
          </cell>
          <cell r="X393" t="str">
            <v>Empaquetado</v>
          </cell>
          <cell r="AC393">
            <v>7.3209374999999993E-3</v>
          </cell>
          <cell r="AD393">
            <v>7.3209374999999993E-3</v>
          </cell>
          <cell r="AE393" t="str">
            <v>Con precio</v>
          </cell>
        </row>
        <row r="394">
          <cell r="B394" t="str">
            <v>AGRMGN0020</v>
          </cell>
          <cell r="X394" t="str">
            <v>Empaquetado</v>
          </cell>
          <cell r="AC394">
            <v>2.4171875000000002E-2</v>
          </cell>
          <cell r="AD394">
            <v>2.4171875000000002E-2</v>
          </cell>
          <cell r="AE394" t="str">
            <v>Con precio</v>
          </cell>
        </row>
        <row r="395">
          <cell r="B395" t="str">
            <v>AGRMGN0020</v>
          </cell>
          <cell r="X395" t="str">
            <v>Empaquetado</v>
          </cell>
          <cell r="AC395">
            <v>5.0719967793880849E-3</v>
          </cell>
          <cell r="AD395">
            <v>5.0719967793880849E-3</v>
          </cell>
          <cell r="AE395" t="str">
            <v>Con precio</v>
          </cell>
        </row>
        <row r="396">
          <cell r="B396" t="str">
            <v>AGRMGN0020</v>
          </cell>
          <cell r="X396" t="str">
            <v>Empaquetado</v>
          </cell>
          <cell r="AC396">
            <v>0.18266505681818179</v>
          </cell>
          <cell r="AD396">
            <v>0.18266505681818179</v>
          </cell>
          <cell r="AE396" t="str">
            <v>Con precio</v>
          </cell>
        </row>
        <row r="397">
          <cell r="B397" t="str">
            <v>AGRMGN0020</v>
          </cell>
          <cell r="X397" t="str">
            <v>Empaquetado</v>
          </cell>
          <cell r="AC397">
            <v>1.2352941176470591E-2</v>
          </cell>
          <cell r="AD397">
            <v>1.2352941176470591E-2</v>
          </cell>
          <cell r="AE397" t="str">
            <v>Con precio</v>
          </cell>
        </row>
        <row r="398">
          <cell r="B398" t="str">
            <v>AGRMGN0020MA</v>
          </cell>
          <cell r="X398" t="str">
            <v>Formulación</v>
          </cell>
          <cell r="AC398">
            <v>4.8799999999999998E-3</v>
          </cell>
          <cell r="AD398">
            <v>4.8799999999999998E-3</v>
          </cell>
          <cell r="AE398" t="str">
            <v>Con precio</v>
          </cell>
        </row>
        <row r="399">
          <cell r="B399" t="str">
            <v>AGRMGN0020MA</v>
          </cell>
          <cell r="X399" t="str">
            <v>Formulación</v>
          </cell>
          <cell r="AC399">
            <v>0.13571599999999998</v>
          </cell>
          <cell r="AD399">
            <v>0.1231138</v>
          </cell>
          <cell r="AE399" t="str">
            <v>Con precio</v>
          </cell>
        </row>
        <row r="400">
          <cell r="B400" t="str">
            <v>AGRMGN0020MA</v>
          </cell>
          <cell r="X400" t="str">
            <v>Formulación</v>
          </cell>
          <cell r="AC400">
            <v>4.1400000000000006E-2</v>
          </cell>
          <cell r="AD400">
            <v>3.3923999999999996E-2</v>
          </cell>
          <cell r="AE400" t="str">
            <v>Con precio</v>
          </cell>
        </row>
        <row r="401">
          <cell r="B401" t="str">
            <v>AGRMGN0020MA</v>
          </cell>
          <cell r="X401" t="str">
            <v>Formulación</v>
          </cell>
          <cell r="AC401">
            <v>0.38879999999999998</v>
          </cell>
          <cell r="AD401">
            <v>0.26372571428571429</v>
          </cell>
          <cell r="AE401" t="str">
            <v>Con precio</v>
          </cell>
        </row>
        <row r="402">
          <cell r="B402" t="str">
            <v>AGRMGN0020MA</v>
          </cell>
          <cell r="X402" t="str">
            <v>Formulación</v>
          </cell>
          <cell r="AC402">
            <v>4.5671999999999997E-2</v>
          </cell>
          <cell r="AD402">
            <v>3.8412000000000002E-2</v>
          </cell>
          <cell r="AE402" t="str">
            <v>Con precio</v>
          </cell>
        </row>
        <row r="403">
          <cell r="B403" t="str">
            <v>AGRMGN0020MA</v>
          </cell>
          <cell r="X403" t="str">
            <v>Formulación</v>
          </cell>
          <cell r="AC403">
            <v>2.6600000000000002E-2</v>
          </cell>
          <cell r="AD403">
            <v>2.6600000000000002E-2</v>
          </cell>
          <cell r="AE403" t="str">
            <v>Con precio</v>
          </cell>
        </row>
        <row r="404">
          <cell r="B404" t="str">
            <v>AGRMGN0020MA</v>
          </cell>
          <cell r="X404" t="str">
            <v>Formulación</v>
          </cell>
          <cell r="AC404">
            <v>5.6700000000000007E-2</v>
          </cell>
          <cell r="AD404">
            <v>4.4700000000000011E-2</v>
          </cell>
          <cell r="AE404" t="str">
            <v>Con precio</v>
          </cell>
        </row>
        <row r="405">
          <cell r="B405" t="str">
            <v>AGRMGN0020MA</v>
          </cell>
          <cell r="X405" t="str">
            <v>Formulación</v>
          </cell>
          <cell r="AC405">
            <v>4.4160000000000005E-2</v>
          </cell>
          <cell r="AD405">
            <v>4.2720000000000001E-2</v>
          </cell>
          <cell r="AE405" t="str">
            <v>Con precio</v>
          </cell>
        </row>
        <row r="406">
          <cell r="B406" t="str">
            <v>AGRMGN0020MA</v>
          </cell>
          <cell r="X406" t="str">
            <v>Formulación</v>
          </cell>
          <cell r="AC406">
            <v>9.7899999999999994E-5</v>
          </cell>
          <cell r="AD406">
            <v>9.7899999999999994E-5</v>
          </cell>
          <cell r="AE406" t="str">
            <v>Con precio</v>
          </cell>
        </row>
        <row r="407">
          <cell r="B407" t="str">
            <v>AGRMGN0020MA</v>
          </cell>
          <cell r="X407" t="str">
            <v>Formulación</v>
          </cell>
          <cell r="AC407">
            <v>0.27934999999999999</v>
          </cell>
          <cell r="AD407">
            <v>0.21996500000000002</v>
          </cell>
          <cell r="AE407" t="str">
            <v>Con precio</v>
          </cell>
        </row>
        <row r="408">
          <cell r="B408" t="str">
            <v>AGRMGN0020MA</v>
          </cell>
          <cell r="X408" t="str">
            <v>Empaquetado</v>
          </cell>
          <cell r="AC408">
            <v>7.3209374999999993E-3</v>
          </cell>
          <cell r="AD408">
            <v>7.3209374999999993E-3</v>
          </cell>
          <cell r="AE408" t="str">
            <v>Con precio</v>
          </cell>
        </row>
        <row r="409">
          <cell r="B409" t="str">
            <v>AGRMGN0020MA</v>
          </cell>
          <cell r="X409" t="str">
            <v>Empaquetado</v>
          </cell>
          <cell r="AC409">
            <v>2.4171875000000002E-2</v>
          </cell>
          <cell r="AD409">
            <v>2.4171875000000002E-2</v>
          </cell>
          <cell r="AE409" t="str">
            <v>Con precio</v>
          </cell>
        </row>
        <row r="410">
          <cell r="B410" t="str">
            <v>AGRMGN0020MA</v>
          </cell>
          <cell r="X410" t="str">
            <v>Empaquetado</v>
          </cell>
          <cell r="AC410">
            <v>5.0719967793880849E-3</v>
          </cell>
          <cell r="AD410">
            <v>5.0719967793880849E-3</v>
          </cell>
          <cell r="AE410" t="str">
            <v>Con precio</v>
          </cell>
        </row>
        <row r="411">
          <cell r="B411" t="str">
            <v>AGRMGN0020MA</v>
          </cell>
          <cell r="X411" t="str">
            <v>Empaquetado</v>
          </cell>
          <cell r="AC411">
            <v>0.18266505681818179</v>
          </cell>
          <cell r="AD411">
            <v>0.18266505681818179</v>
          </cell>
          <cell r="AE411" t="str">
            <v>Con precio</v>
          </cell>
        </row>
        <row r="412">
          <cell r="B412" t="str">
            <v>AGRMGN0020MA</v>
          </cell>
          <cell r="X412" t="str">
            <v>Empaquetado</v>
          </cell>
          <cell r="AC412">
            <v>1.2352941176470591E-2</v>
          </cell>
          <cell r="AD412">
            <v>1.2352941176470591E-2</v>
          </cell>
          <cell r="AE412" t="str">
            <v>Con precio</v>
          </cell>
        </row>
        <row r="413">
          <cell r="B413" t="str">
            <v>AGXCR0001CO</v>
          </cell>
          <cell r="X413" t="str">
            <v>Formulación</v>
          </cell>
          <cell r="AC413">
            <v>0.12939000000000001</v>
          </cell>
          <cell r="AD413">
            <v>0.11894800000000001</v>
          </cell>
          <cell r="AE413" t="str">
            <v>Con precio</v>
          </cell>
        </row>
        <row r="414">
          <cell r="B414" t="str">
            <v>AGXCR0001CO</v>
          </cell>
          <cell r="X414" t="str">
            <v>Formulación</v>
          </cell>
          <cell r="AC414">
            <v>0.46200000000000002</v>
          </cell>
          <cell r="AD414">
            <v>0.4284</v>
          </cell>
          <cell r="AE414" t="str">
            <v>Con precio</v>
          </cell>
        </row>
        <row r="415">
          <cell r="B415" t="str">
            <v>AGXCR0001CO</v>
          </cell>
          <cell r="X415" t="str">
            <v>Formulación</v>
          </cell>
          <cell r="AC415">
            <v>3.4399999999999999E-3</v>
          </cell>
          <cell r="AD415">
            <v>2.5720000000000001E-3</v>
          </cell>
          <cell r="AE415" t="str">
            <v>Con precio</v>
          </cell>
        </row>
        <row r="416">
          <cell r="B416" t="str">
            <v>AGXCR0001CO</v>
          </cell>
          <cell r="X416" t="str">
            <v>Formulación</v>
          </cell>
          <cell r="AC416">
            <v>1.7600000000000003E-3</v>
          </cell>
          <cell r="AD416">
            <v>1.7600000000000003E-3</v>
          </cell>
          <cell r="AE416" t="str">
            <v>Con precio</v>
          </cell>
        </row>
        <row r="417">
          <cell r="B417" t="str">
            <v>AGXCR0001CO</v>
          </cell>
          <cell r="X417" t="str">
            <v>Formulación</v>
          </cell>
          <cell r="AC417">
            <v>1.7250000000000001E-2</v>
          </cell>
          <cell r="AD417">
            <v>1.4134999999999998E-2</v>
          </cell>
          <cell r="AE417" t="str">
            <v>Con precio</v>
          </cell>
        </row>
        <row r="418">
          <cell r="B418" t="str">
            <v>AGXCR0001CO</v>
          </cell>
          <cell r="X418" t="str">
            <v>Formulación</v>
          </cell>
          <cell r="AC418">
            <v>0.19328000000000001</v>
          </cell>
          <cell r="AD418">
            <v>0.15219200000000002</v>
          </cell>
          <cell r="AE418" t="str">
            <v>Con precio</v>
          </cell>
        </row>
        <row r="419">
          <cell r="B419" t="str">
            <v>AGXCR0001CO</v>
          </cell>
          <cell r="X419" t="str">
            <v>Empaquetado</v>
          </cell>
          <cell r="AC419">
            <v>3.0303030303030299E-5</v>
          </cell>
          <cell r="AD419">
            <v>3.0303030303030299E-5</v>
          </cell>
          <cell r="AE419" t="str">
            <v>Con precio</v>
          </cell>
        </row>
        <row r="420">
          <cell r="B420" t="str">
            <v>AGXCR0001CO</v>
          </cell>
          <cell r="X420" t="str">
            <v>Empaquetado</v>
          </cell>
          <cell r="AC420">
            <v>2.3439393939393937E-2</v>
          </cell>
          <cell r="AD420">
            <v>2.3439393939393937E-2</v>
          </cell>
          <cell r="AE420" t="str">
            <v>Con precio</v>
          </cell>
        </row>
        <row r="421">
          <cell r="B421" t="str">
            <v>AGXCR0001CO</v>
          </cell>
          <cell r="X421" t="str">
            <v>Empaquetado</v>
          </cell>
          <cell r="AC421">
            <v>7.1917518745739595E-2</v>
          </cell>
          <cell r="AD421">
            <v>7.1917518745739595E-2</v>
          </cell>
          <cell r="AE421" t="str">
            <v>Con precio</v>
          </cell>
        </row>
        <row r="422">
          <cell r="B422" t="str">
            <v>AGXCR0001CO</v>
          </cell>
          <cell r="X422" t="str">
            <v>Empaquetado</v>
          </cell>
          <cell r="AC422">
            <v>0.44322992424242419</v>
          </cell>
          <cell r="AD422">
            <v>0.44322992424242419</v>
          </cell>
          <cell r="AE422" t="str">
            <v>Con precio</v>
          </cell>
        </row>
        <row r="423">
          <cell r="B423" t="str">
            <v>AGXCR0001CO</v>
          </cell>
          <cell r="X423" t="str">
            <v>Empaquetado</v>
          </cell>
          <cell r="AC423">
            <v>0.11874999999999999</v>
          </cell>
          <cell r="AD423">
            <v>0.11874999999999999</v>
          </cell>
          <cell r="AE423" t="str">
            <v>Con precio</v>
          </cell>
        </row>
        <row r="424">
          <cell r="B424" t="str">
            <v>AGXCR0001CO</v>
          </cell>
          <cell r="X424" t="str">
            <v>Empaquetado</v>
          </cell>
          <cell r="AC424">
            <v>9.6080774456521717E-2</v>
          </cell>
          <cell r="AD424">
            <v>9.6080774456521717E-2</v>
          </cell>
          <cell r="AE424" t="str">
            <v>Con precio</v>
          </cell>
        </row>
        <row r="425">
          <cell r="B425" t="str">
            <v>AGXCR0001PA</v>
          </cell>
          <cell r="X425" t="str">
            <v>Formulación</v>
          </cell>
          <cell r="AC425">
            <v>0.12939000000000001</v>
          </cell>
          <cell r="AD425">
            <v>0.11894800000000001</v>
          </cell>
          <cell r="AE425" t="str">
            <v>Con precio</v>
          </cell>
        </row>
        <row r="426">
          <cell r="B426" t="str">
            <v>AGXCR0001PA</v>
          </cell>
          <cell r="X426" t="str">
            <v>Formulación</v>
          </cell>
          <cell r="AC426">
            <v>0.46200000000000002</v>
          </cell>
          <cell r="AD426">
            <v>0.4284</v>
          </cell>
          <cell r="AE426" t="str">
            <v>Con precio</v>
          </cell>
        </row>
        <row r="427">
          <cell r="B427" t="str">
            <v>AGXCR0001PA</v>
          </cell>
          <cell r="X427" t="str">
            <v>Formulación</v>
          </cell>
          <cell r="AC427">
            <v>3.4399999999999999E-3</v>
          </cell>
          <cell r="AD427">
            <v>2.5720000000000001E-3</v>
          </cell>
          <cell r="AE427" t="str">
            <v>Con precio</v>
          </cell>
        </row>
        <row r="428">
          <cell r="B428" t="str">
            <v>AGXCR0001PA</v>
          </cell>
          <cell r="X428" t="str">
            <v>Formulación</v>
          </cell>
          <cell r="AC428">
            <v>1.7600000000000003E-3</v>
          </cell>
          <cell r="AD428">
            <v>1.7600000000000003E-3</v>
          </cell>
          <cell r="AE428" t="str">
            <v>Con precio</v>
          </cell>
        </row>
        <row r="429">
          <cell r="B429" t="str">
            <v>AGXCR0001PA</v>
          </cell>
          <cell r="X429" t="str">
            <v>Formulación</v>
          </cell>
          <cell r="AC429">
            <v>1.7250000000000001E-2</v>
          </cell>
          <cell r="AD429">
            <v>1.4134999999999998E-2</v>
          </cell>
          <cell r="AE429" t="str">
            <v>Con precio</v>
          </cell>
        </row>
        <row r="430">
          <cell r="B430" t="str">
            <v>AGXCR0001PA</v>
          </cell>
          <cell r="X430" t="str">
            <v>Formulación</v>
          </cell>
          <cell r="AC430">
            <v>0.19328000000000001</v>
          </cell>
          <cell r="AD430">
            <v>0.15219200000000002</v>
          </cell>
          <cell r="AE430" t="str">
            <v>Con precio</v>
          </cell>
        </row>
        <row r="431">
          <cell r="B431" t="str">
            <v>AGXCR0001PA</v>
          </cell>
          <cell r="X431" t="str">
            <v>Empaquetado</v>
          </cell>
          <cell r="AC431">
            <v>3.0303030303030299E-5</v>
          </cell>
          <cell r="AD431">
            <v>3.0303030303030299E-5</v>
          </cell>
          <cell r="AE431" t="str">
            <v>Con precio</v>
          </cell>
        </row>
        <row r="432">
          <cell r="B432" t="str">
            <v>AGXCR0001PA</v>
          </cell>
          <cell r="X432" t="str">
            <v>Empaquetado</v>
          </cell>
          <cell r="AC432">
            <v>2.3439393939393937E-2</v>
          </cell>
          <cell r="AD432">
            <v>2.3439393939393937E-2</v>
          </cell>
          <cell r="AE432" t="str">
            <v>Con precio</v>
          </cell>
        </row>
        <row r="433">
          <cell r="B433" t="str">
            <v>AGXCR0001PA</v>
          </cell>
          <cell r="X433" t="str">
            <v>Empaquetado</v>
          </cell>
          <cell r="AC433">
            <v>7.1917518745739595E-2</v>
          </cell>
          <cell r="AD433">
            <v>7.1917518745739595E-2</v>
          </cell>
          <cell r="AE433" t="str">
            <v>Con precio</v>
          </cell>
        </row>
        <row r="434">
          <cell r="B434" t="str">
            <v>AGXCR0001PA</v>
          </cell>
          <cell r="X434" t="str">
            <v>Empaquetado</v>
          </cell>
          <cell r="AC434">
            <v>0.44322992424242419</v>
          </cell>
          <cell r="AD434">
            <v>0.44322992424242419</v>
          </cell>
          <cell r="AE434" t="str">
            <v>Con precio</v>
          </cell>
        </row>
        <row r="435">
          <cell r="B435" t="str">
            <v>AGXCR0001PA</v>
          </cell>
          <cell r="X435" t="str">
            <v>Empaquetado</v>
          </cell>
          <cell r="AC435">
            <v>0.11874999999999999</v>
          </cell>
          <cell r="AD435">
            <v>0.11874999999999999</v>
          </cell>
          <cell r="AE435" t="str">
            <v>Con precio</v>
          </cell>
        </row>
        <row r="436">
          <cell r="B436" t="str">
            <v>AGXCR0001PA</v>
          </cell>
          <cell r="X436" t="str">
            <v>Empaquetado</v>
          </cell>
          <cell r="AC436">
            <v>9.6080774456521717E-2</v>
          </cell>
          <cell r="AD436">
            <v>9.6080774456521717E-2</v>
          </cell>
          <cell r="AE436" t="str">
            <v>Con precio</v>
          </cell>
        </row>
        <row r="437">
          <cell r="B437" t="str">
            <v>AGXCR0001RO</v>
          </cell>
          <cell r="X437" t="str">
            <v>Formulación</v>
          </cell>
          <cell r="AC437">
            <v>0.12939000000000001</v>
          </cell>
          <cell r="AD437">
            <v>0.11894800000000001</v>
          </cell>
          <cell r="AE437" t="str">
            <v>Con precio</v>
          </cell>
        </row>
        <row r="438">
          <cell r="B438" t="str">
            <v>AGXCR0001RO</v>
          </cell>
          <cell r="X438" t="str">
            <v>Formulación</v>
          </cell>
          <cell r="AC438">
            <v>0.46200000000000002</v>
          </cell>
          <cell r="AD438">
            <v>0.4284</v>
          </cell>
          <cell r="AE438" t="str">
            <v>Con precio</v>
          </cell>
        </row>
        <row r="439">
          <cell r="B439" t="str">
            <v>AGXCR0001RO</v>
          </cell>
          <cell r="X439" t="str">
            <v>Formulación</v>
          </cell>
          <cell r="AC439">
            <v>3.4399999999999999E-3</v>
          </cell>
          <cell r="AD439">
            <v>2.5720000000000001E-3</v>
          </cell>
          <cell r="AE439" t="str">
            <v>Con precio</v>
          </cell>
        </row>
        <row r="440">
          <cell r="B440" t="str">
            <v>AGXCR0001RO</v>
          </cell>
          <cell r="X440" t="str">
            <v>Formulación</v>
          </cell>
          <cell r="AC440">
            <v>1.7600000000000003E-3</v>
          </cell>
          <cell r="AD440">
            <v>1.7600000000000003E-3</v>
          </cell>
          <cell r="AE440" t="str">
            <v>Con precio</v>
          </cell>
        </row>
        <row r="441">
          <cell r="B441" t="str">
            <v>AGXCR0001RO</v>
          </cell>
          <cell r="X441" t="str">
            <v>Formulación</v>
          </cell>
          <cell r="AC441">
            <v>1.7250000000000001E-2</v>
          </cell>
          <cell r="AD441">
            <v>1.4134999999999998E-2</v>
          </cell>
          <cell r="AE441" t="str">
            <v>Con precio</v>
          </cell>
        </row>
        <row r="442">
          <cell r="B442" t="str">
            <v>AGXCR0001RO</v>
          </cell>
          <cell r="X442" t="str">
            <v>Formulación</v>
          </cell>
          <cell r="AC442">
            <v>0.19328000000000001</v>
          </cell>
          <cell r="AD442">
            <v>0.15219200000000002</v>
          </cell>
          <cell r="AE442" t="str">
            <v>Con precio</v>
          </cell>
        </row>
        <row r="443">
          <cell r="B443" t="str">
            <v>AGXCR0001RO</v>
          </cell>
          <cell r="X443" t="str">
            <v>Empaquetado</v>
          </cell>
          <cell r="AC443">
            <v>3.0303030303030299E-5</v>
          </cell>
          <cell r="AD443">
            <v>3.0303030303030299E-5</v>
          </cell>
          <cell r="AE443" t="str">
            <v>Con precio</v>
          </cell>
        </row>
        <row r="444">
          <cell r="B444" t="str">
            <v>AGXCR0001RO</v>
          </cell>
          <cell r="X444" t="str">
            <v>Empaquetado</v>
          </cell>
          <cell r="AC444">
            <v>2.3439393939393937E-2</v>
          </cell>
          <cell r="AD444">
            <v>2.3439393939393937E-2</v>
          </cell>
          <cell r="AE444" t="str">
            <v>Con precio</v>
          </cell>
        </row>
        <row r="445">
          <cell r="B445" t="str">
            <v>AGXCR0001RO</v>
          </cell>
          <cell r="X445" t="str">
            <v>Empaquetado</v>
          </cell>
          <cell r="AC445">
            <v>7.1917518745739595E-2</v>
          </cell>
          <cell r="AD445">
            <v>7.1917518745739595E-2</v>
          </cell>
          <cell r="AE445" t="str">
            <v>Con precio</v>
          </cell>
        </row>
        <row r="446">
          <cell r="B446" t="str">
            <v>AGXCR0001RO</v>
          </cell>
          <cell r="X446" t="str">
            <v>Empaquetado</v>
          </cell>
          <cell r="AC446">
            <v>0.44322992424242419</v>
          </cell>
          <cell r="AD446">
            <v>0.44322992424242419</v>
          </cell>
          <cell r="AE446" t="str">
            <v>Con precio</v>
          </cell>
        </row>
        <row r="447">
          <cell r="B447" t="str">
            <v>AGXCR0001RO</v>
          </cell>
          <cell r="X447" t="str">
            <v>Empaquetado</v>
          </cell>
          <cell r="AC447">
            <v>0.11874999999999999</v>
          </cell>
          <cell r="AD447">
            <v>0.11874999999999999</v>
          </cell>
          <cell r="AE447" t="str">
            <v>Con precio</v>
          </cell>
        </row>
        <row r="448">
          <cell r="B448" t="str">
            <v>AGXCR0001RO</v>
          </cell>
          <cell r="X448" t="str">
            <v>Empaquetado</v>
          </cell>
          <cell r="AC448">
            <v>9.6080774456521717E-2</v>
          </cell>
          <cell r="AD448">
            <v>9.6080774456521717E-2</v>
          </cell>
          <cell r="AE448" t="str">
            <v>Con precio</v>
          </cell>
        </row>
        <row r="449">
          <cell r="B449" t="str">
            <v>AGXCR0005CO</v>
          </cell>
          <cell r="X449" t="str">
            <v>Formulación</v>
          </cell>
          <cell r="AC449">
            <v>0.12939000000000001</v>
          </cell>
          <cell r="AD449">
            <v>0.11894800000000001</v>
          </cell>
          <cell r="AE449" t="str">
            <v>Con precio</v>
          </cell>
        </row>
        <row r="450">
          <cell r="B450" t="str">
            <v>AGXCR0005CO</v>
          </cell>
          <cell r="X450" t="str">
            <v>Formulación</v>
          </cell>
          <cell r="AC450">
            <v>0.46200000000000002</v>
          </cell>
          <cell r="AD450">
            <v>0.4284</v>
          </cell>
          <cell r="AE450" t="str">
            <v>Con precio</v>
          </cell>
        </row>
        <row r="451">
          <cell r="B451" t="str">
            <v>AGXCR0005CO</v>
          </cell>
          <cell r="X451" t="str">
            <v>Formulación</v>
          </cell>
          <cell r="AC451">
            <v>3.4399999999999999E-3</v>
          </cell>
          <cell r="AD451">
            <v>2.5720000000000001E-3</v>
          </cell>
          <cell r="AE451" t="str">
            <v>Con precio</v>
          </cell>
        </row>
        <row r="452">
          <cell r="B452" t="str">
            <v>AGXCR0005CO</v>
          </cell>
          <cell r="X452" t="str">
            <v>Formulación</v>
          </cell>
          <cell r="AC452">
            <v>1.7600000000000003E-3</v>
          </cell>
          <cell r="AD452">
            <v>1.7600000000000003E-3</v>
          </cell>
          <cell r="AE452" t="str">
            <v>Con precio</v>
          </cell>
        </row>
        <row r="453">
          <cell r="B453" t="str">
            <v>AGXCR0005CO</v>
          </cell>
          <cell r="X453" t="str">
            <v>Formulación</v>
          </cell>
          <cell r="AC453">
            <v>1.7250000000000001E-2</v>
          </cell>
          <cell r="AD453">
            <v>1.4134999999999998E-2</v>
          </cell>
          <cell r="AE453" t="str">
            <v>Con precio</v>
          </cell>
        </row>
        <row r="454">
          <cell r="B454" t="str">
            <v>AGXCR0005CO</v>
          </cell>
          <cell r="X454" t="str">
            <v>Formulación</v>
          </cell>
          <cell r="AC454">
            <v>0.19328000000000001</v>
          </cell>
          <cell r="AD454">
            <v>0.15219200000000002</v>
          </cell>
          <cell r="AE454" t="str">
            <v>Con precio</v>
          </cell>
        </row>
        <row r="455">
          <cell r="B455" t="str">
            <v>AGXCR0005CO</v>
          </cell>
          <cell r="X455" t="str">
            <v>Empaquetado</v>
          </cell>
          <cell r="AC455">
            <v>1.2991333333333337E-2</v>
          </cell>
          <cell r="AD455">
            <v>1.2991333333333337E-2</v>
          </cell>
          <cell r="AE455" t="str">
            <v>Con precio</v>
          </cell>
        </row>
        <row r="456">
          <cell r="B456" t="str">
            <v>AGXCR0005CO</v>
          </cell>
          <cell r="X456" t="str">
            <v>Empaquetado</v>
          </cell>
          <cell r="AC456">
            <v>2.5783333333333339E-2</v>
          </cell>
          <cell r="AD456">
            <v>2.5783333333333339E-2</v>
          </cell>
          <cell r="AE456" t="str">
            <v>Con precio</v>
          </cell>
        </row>
        <row r="457">
          <cell r="B457" t="str">
            <v>AGXCR0005CO</v>
          </cell>
          <cell r="X457" t="str">
            <v>Empaquetado</v>
          </cell>
          <cell r="AC457">
            <v>2.5359983896940424E-2</v>
          </cell>
          <cell r="AD457">
            <v>2.5359983896940424E-2</v>
          </cell>
          <cell r="AE457" t="str">
            <v>Con precio</v>
          </cell>
        </row>
        <row r="458">
          <cell r="B458" t="str">
            <v>AGXCR0005CO</v>
          </cell>
          <cell r="X458" t="str">
            <v>Empaquetado</v>
          </cell>
          <cell r="AC458">
            <v>3.4200000000000001E-2</v>
          </cell>
          <cell r="AD458">
            <v>3.4200000000000001E-2</v>
          </cell>
          <cell r="AE458" t="str">
            <v>Con precio</v>
          </cell>
        </row>
        <row r="459">
          <cell r="B459" t="str">
            <v>AGXCR0005CO</v>
          </cell>
          <cell r="X459" t="str">
            <v>Empaquetado</v>
          </cell>
          <cell r="AC459">
            <v>0.17399999999999999</v>
          </cell>
          <cell r="AD459">
            <v>0.17399999999999999</v>
          </cell>
          <cell r="AE459" t="str">
            <v>Con precio</v>
          </cell>
        </row>
        <row r="460">
          <cell r="B460" t="str">
            <v>AGXCR0005CO</v>
          </cell>
          <cell r="X460" t="str">
            <v>Empaquetado</v>
          </cell>
          <cell r="AC460">
            <v>3.6950017630465445E-2</v>
          </cell>
          <cell r="AD460">
            <v>3.6950017630465445E-2</v>
          </cell>
          <cell r="AE460" t="str">
            <v>Con precio</v>
          </cell>
        </row>
        <row r="461">
          <cell r="B461" t="str">
            <v>AGXCR0005PA</v>
          </cell>
          <cell r="X461" t="str">
            <v>Formulación</v>
          </cell>
          <cell r="AC461">
            <v>0.12939000000000001</v>
          </cell>
          <cell r="AD461">
            <v>0.11894800000000001</v>
          </cell>
          <cell r="AE461" t="str">
            <v>Con precio</v>
          </cell>
        </row>
        <row r="462">
          <cell r="B462" t="str">
            <v>AGXCR0005PA</v>
          </cell>
          <cell r="X462" t="str">
            <v>Formulación</v>
          </cell>
          <cell r="AC462">
            <v>0.46200000000000002</v>
          </cell>
          <cell r="AD462">
            <v>0.4284</v>
          </cell>
          <cell r="AE462" t="str">
            <v>Con precio</v>
          </cell>
        </row>
        <row r="463">
          <cell r="B463" t="str">
            <v>AGXCR0005PA</v>
          </cell>
          <cell r="X463" t="str">
            <v>Formulación</v>
          </cell>
          <cell r="AC463">
            <v>3.4399999999999999E-3</v>
          </cell>
          <cell r="AD463">
            <v>2.5720000000000001E-3</v>
          </cell>
          <cell r="AE463" t="str">
            <v>Con precio</v>
          </cell>
        </row>
        <row r="464">
          <cell r="B464" t="str">
            <v>AGXCR0005PA</v>
          </cell>
          <cell r="X464" t="str">
            <v>Formulación</v>
          </cell>
          <cell r="AC464">
            <v>1.7600000000000003E-3</v>
          </cell>
          <cell r="AD464">
            <v>1.7600000000000003E-3</v>
          </cell>
          <cell r="AE464" t="str">
            <v>Con precio</v>
          </cell>
        </row>
        <row r="465">
          <cell r="B465" t="str">
            <v>AGXCR0005PA</v>
          </cell>
          <cell r="X465" t="str">
            <v>Formulación</v>
          </cell>
          <cell r="AC465">
            <v>1.7250000000000001E-2</v>
          </cell>
          <cell r="AD465">
            <v>1.4134999999999998E-2</v>
          </cell>
          <cell r="AE465" t="str">
            <v>Con precio</v>
          </cell>
        </row>
        <row r="466">
          <cell r="B466" t="str">
            <v>AGXCR0005PA</v>
          </cell>
          <cell r="X466" t="str">
            <v>Formulación</v>
          </cell>
          <cell r="AC466">
            <v>0.19328000000000001</v>
          </cell>
          <cell r="AD466">
            <v>0.15219200000000002</v>
          </cell>
          <cell r="AE466" t="str">
            <v>Con precio</v>
          </cell>
        </row>
        <row r="467">
          <cell r="B467" t="str">
            <v>AGXCR0005PA</v>
          </cell>
          <cell r="X467" t="str">
            <v>Empaquetado</v>
          </cell>
          <cell r="AC467">
            <v>1.2991333333333337E-2</v>
          </cell>
          <cell r="AD467">
            <v>1.2991333333333337E-2</v>
          </cell>
          <cell r="AE467" t="str">
            <v>Con precio</v>
          </cell>
        </row>
        <row r="468">
          <cell r="B468" t="str">
            <v>AGXCR0005PA</v>
          </cell>
          <cell r="X468" t="str">
            <v>Empaquetado</v>
          </cell>
          <cell r="AC468">
            <v>2.5783333333333339E-2</v>
          </cell>
          <cell r="AD468">
            <v>2.5783333333333339E-2</v>
          </cell>
          <cell r="AE468" t="str">
            <v>Con precio</v>
          </cell>
        </row>
        <row r="469">
          <cell r="B469" t="str">
            <v>AGXCR0005PA</v>
          </cell>
          <cell r="X469" t="str">
            <v>Empaquetado</v>
          </cell>
          <cell r="AC469">
            <v>2.5359983896940424E-2</v>
          </cell>
          <cell r="AD469">
            <v>2.5359983896940424E-2</v>
          </cell>
          <cell r="AE469" t="str">
            <v>Con precio</v>
          </cell>
        </row>
        <row r="470">
          <cell r="B470" t="str">
            <v>AGXCR0005PA</v>
          </cell>
          <cell r="X470" t="str">
            <v>Empaquetado</v>
          </cell>
          <cell r="AC470">
            <v>3.4200000000000001E-2</v>
          </cell>
          <cell r="AD470">
            <v>3.4200000000000001E-2</v>
          </cell>
          <cell r="AE470" t="str">
            <v>Con precio</v>
          </cell>
        </row>
        <row r="471">
          <cell r="B471" t="str">
            <v>AGXCR0005PA</v>
          </cell>
          <cell r="X471" t="str">
            <v>Empaquetado</v>
          </cell>
          <cell r="AC471">
            <v>0.17399999999999999</v>
          </cell>
          <cell r="AD471">
            <v>0.17399999999999999</v>
          </cell>
          <cell r="AE471" t="str">
            <v>Con precio</v>
          </cell>
        </row>
        <row r="472">
          <cell r="B472" t="str">
            <v>AGXCR0005PA</v>
          </cell>
          <cell r="X472" t="str">
            <v>Empaquetado</v>
          </cell>
          <cell r="AC472">
            <v>3.6950017630465445E-2</v>
          </cell>
          <cell r="AD472">
            <v>3.6950017630465445E-2</v>
          </cell>
          <cell r="AE472" t="str">
            <v>Con precio</v>
          </cell>
        </row>
        <row r="473">
          <cell r="B473" t="str">
            <v>AGXCR0005RO</v>
          </cell>
          <cell r="X473" t="str">
            <v>Formulación</v>
          </cell>
          <cell r="AC473">
            <v>0.12939000000000001</v>
          </cell>
          <cell r="AD473">
            <v>0.11894800000000001</v>
          </cell>
          <cell r="AE473" t="str">
            <v>Con precio</v>
          </cell>
        </row>
        <row r="474">
          <cell r="B474" t="str">
            <v>AGXCR0005RO</v>
          </cell>
          <cell r="X474" t="str">
            <v>Formulación</v>
          </cell>
          <cell r="AC474">
            <v>0.46200000000000002</v>
          </cell>
          <cell r="AD474">
            <v>0.4284</v>
          </cell>
          <cell r="AE474" t="str">
            <v>Con precio</v>
          </cell>
        </row>
        <row r="475">
          <cell r="B475" t="str">
            <v>AGXCR0005RO</v>
          </cell>
          <cell r="X475" t="str">
            <v>Formulación</v>
          </cell>
          <cell r="AC475">
            <v>3.4399999999999999E-3</v>
          </cell>
          <cell r="AD475">
            <v>2.5720000000000001E-3</v>
          </cell>
          <cell r="AE475" t="str">
            <v>Con precio</v>
          </cell>
        </row>
        <row r="476">
          <cell r="B476" t="str">
            <v>AGXCR0005RO</v>
          </cell>
          <cell r="X476" t="str">
            <v>Formulación</v>
          </cell>
          <cell r="AC476">
            <v>1.7600000000000003E-3</v>
          </cell>
          <cell r="AD476">
            <v>1.7600000000000003E-3</v>
          </cell>
          <cell r="AE476" t="str">
            <v>Con precio</v>
          </cell>
        </row>
        <row r="477">
          <cell r="B477" t="str">
            <v>AGXCR0005RO</v>
          </cell>
          <cell r="X477" t="str">
            <v>Formulación</v>
          </cell>
          <cell r="AC477">
            <v>1.7250000000000001E-2</v>
          </cell>
          <cell r="AD477">
            <v>1.4134999999999998E-2</v>
          </cell>
          <cell r="AE477" t="str">
            <v>Con precio</v>
          </cell>
        </row>
        <row r="478">
          <cell r="B478" t="str">
            <v>AGXCR0005RO</v>
          </cell>
          <cell r="X478" t="str">
            <v>Formulación</v>
          </cell>
          <cell r="AC478">
            <v>0.19328000000000001</v>
          </cell>
          <cell r="AD478">
            <v>0.15219200000000002</v>
          </cell>
          <cell r="AE478" t="str">
            <v>Con precio</v>
          </cell>
        </row>
        <row r="479">
          <cell r="B479" t="str">
            <v>AGXCR0005RO</v>
          </cell>
          <cell r="X479" t="str">
            <v>Empaquetado</v>
          </cell>
          <cell r="AC479">
            <v>1.2991333333333337E-2</v>
          </cell>
          <cell r="AD479">
            <v>1.2991333333333337E-2</v>
          </cell>
          <cell r="AE479" t="str">
            <v>Con precio</v>
          </cell>
        </row>
        <row r="480">
          <cell r="B480" t="str">
            <v>AGXCR0005RO</v>
          </cell>
          <cell r="X480" t="str">
            <v>Empaquetado</v>
          </cell>
          <cell r="AC480">
            <v>2.5783333333333339E-2</v>
          </cell>
          <cell r="AD480">
            <v>2.5783333333333339E-2</v>
          </cell>
          <cell r="AE480" t="str">
            <v>Con precio</v>
          </cell>
        </row>
        <row r="481">
          <cell r="B481" t="str">
            <v>AGXCR0005RO</v>
          </cell>
          <cell r="X481" t="str">
            <v>Empaquetado</v>
          </cell>
          <cell r="AC481">
            <v>2.5359983896940424E-2</v>
          </cell>
          <cell r="AD481">
            <v>2.5359983896940424E-2</v>
          </cell>
          <cell r="AE481" t="str">
            <v>Con precio</v>
          </cell>
        </row>
        <row r="482">
          <cell r="B482" t="str">
            <v>AGXCR0005RO</v>
          </cell>
          <cell r="X482" t="str">
            <v>Empaquetado</v>
          </cell>
          <cell r="AC482">
            <v>3.4200000000000001E-2</v>
          </cell>
          <cell r="AD482">
            <v>3.4200000000000001E-2</v>
          </cell>
          <cell r="AE482" t="str">
            <v>Con precio</v>
          </cell>
        </row>
        <row r="483">
          <cell r="B483" t="str">
            <v>AGXCR0005RO</v>
          </cell>
          <cell r="X483" t="str">
            <v>Empaquetado</v>
          </cell>
          <cell r="AC483">
            <v>0.17399999999999999</v>
          </cell>
          <cell r="AD483">
            <v>0.17399999999999999</v>
          </cell>
          <cell r="AE483" t="str">
            <v>Con precio</v>
          </cell>
        </row>
        <row r="484">
          <cell r="B484" t="str">
            <v>AGXCR0005RO</v>
          </cell>
          <cell r="X484" t="str">
            <v>Empaquetado</v>
          </cell>
          <cell r="AC484">
            <v>3.6950017630465445E-2</v>
          </cell>
          <cell r="AD484">
            <v>3.6950017630465445E-2</v>
          </cell>
          <cell r="AE484" t="str">
            <v>Con precio</v>
          </cell>
        </row>
        <row r="485">
          <cell r="B485" t="str">
            <v>AGXCR0020</v>
          </cell>
          <cell r="X485" t="str">
            <v>Formulación</v>
          </cell>
          <cell r="AC485">
            <v>0.12939000000000001</v>
          </cell>
          <cell r="AD485">
            <v>0.11894800000000001</v>
          </cell>
          <cell r="AE485" t="str">
            <v>Con precio</v>
          </cell>
        </row>
        <row r="486">
          <cell r="B486" t="str">
            <v>AGXCR0020</v>
          </cell>
          <cell r="X486" t="str">
            <v>Formulación</v>
          </cell>
          <cell r="AC486">
            <v>0.46200000000000002</v>
          </cell>
          <cell r="AD486">
            <v>0.4284</v>
          </cell>
          <cell r="AE486" t="str">
            <v>Con precio</v>
          </cell>
        </row>
        <row r="487">
          <cell r="B487" t="str">
            <v>AGXCR0020</v>
          </cell>
          <cell r="X487" t="str">
            <v>Formulación</v>
          </cell>
          <cell r="AC487">
            <v>3.4399999999999999E-3</v>
          </cell>
          <cell r="AD487">
            <v>2.5720000000000001E-3</v>
          </cell>
          <cell r="AE487" t="str">
            <v>Con precio</v>
          </cell>
        </row>
        <row r="488">
          <cell r="B488" t="str">
            <v>AGXCR0020</v>
          </cell>
          <cell r="X488" t="str">
            <v>Formulación</v>
          </cell>
          <cell r="AC488">
            <v>1.7600000000000003E-3</v>
          </cell>
          <cell r="AD488">
            <v>1.7600000000000003E-3</v>
          </cell>
          <cell r="AE488" t="str">
            <v>Con precio</v>
          </cell>
        </row>
        <row r="489">
          <cell r="B489" t="str">
            <v>AGXCR0020</v>
          </cell>
          <cell r="X489" t="str">
            <v>Formulación</v>
          </cell>
          <cell r="AC489">
            <v>1.7250000000000001E-2</v>
          </cell>
          <cell r="AD489">
            <v>1.4134999999999998E-2</v>
          </cell>
          <cell r="AE489" t="str">
            <v>Con precio</v>
          </cell>
        </row>
        <row r="490">
          <cell r="B490" t="str">
            <v>AGXCR0020</v>
          </cell>
          <cell r="X490" t="str">
            <v>Formulación</v>
          </cell>
          <cell r="AC490">
            <v>0.19328000000000001</v>
          </cell>
          <cell r="AD490">
            <v>0.15219200000000002</v>
          </cell>
          <cell r="AE490" t="str">
            <v>Con precio</v>
          </cell>
        </row>
        <row r="491">
          <cell r="B491" t="str">
            <v>AGXCR0020</v>
          </cell>
          <cell r="X491" t="str">
            <v>Empaquetado</v>
          </cell>
          <cell r="AC491">
            <v>7.3209374999999993E-3</v>
          </cell>
          <cell r="AD491">
            <v>7.3209374999999993E-3</v>
          </cell>
          <cell r="AE491" t="str">
            <v>Con precio</v>
          </cell>
        </row>
        <row r="492">
          <cell r="B492" t="str">
            <v>AGXCR0020</v>
          </cell>
          <cell r="X492" t="str">
            <v>Empaquetado</v>
          </cell>
          <cell r="AC492">
            <v>2.4171875000000002E-2</v>
          </cell>
          <cell r="AD492">
            <v>2.4171875000000002E-2</v>
          </cell>
          <cell r="AE492" t="str">
            <v>Con precio</v>
          </cell>
        </row>
        <row r="493">
          <cell r="B493" t="str">
            <v>AGXCR0020</v>
          </cell>
          <cell r="X493" t="str">
            <v>Empaquetado</v>
          </cell>
          <cell r="AC493">
            <v>5.0719967793880849E-3</v>
          </cell>
          <cell r="AD493">
            <v>5.0719967793880849E-3</v>
          </cell>
          <cell r="AE493" t="str">
            <v>Con precio</v>
          </cell>
        </row>
        <row r="494">
          <cell r="B494" t="str">
            <v>AGXCR0020</v>
          </cell>
          <cell r="X494" t="str">
            <v>Empaquetado</v>
          </cell>
          <cell r="AC494">
            <v>1.3125000000000001E-2</v>
          </cell>
          <cell r="AD494">
            <v>1.3125000000000001E-2</v>
          </cell>
          <cell r="AE494" t="str">
            <v>Con precio</v>
          </cell>
        </row>
        <row r="495">
          <cell r="B495" t="str">
            <v>AGXCR0020</v>
          </cell>
          <cell r="X495" t="str">
            <v>Empaquetado</v>
          </cell>
          <cell r="AC495">
            <v>0.18266505681818179</v>
          </cell>
          <cell r="AD495">
            <v>0.18266505681818179</v>
          </cell>
          <cell r="AE495" t="str">
            <v>Con precio</v>
          </cell>
        </row>
        <row r="496">
          <cell r="B496" t="str">
            <v>AGXCR0020CO</v>
          </cell>
          <cell r="X496" t="str">
            <v>Formulación</v>
          </cell>
          <cell r="AC496">
            <v>0.12939000000000001</v>
          </cell>
          <cell r="AD496">
            <v>0.11894800000000001</v>
          </cell>
          <cell r="AE496" t="str">
            <v>Con precio</v>
          </cell>
        </row>
        <row r="497">
          <cell r="B497" t="str">
            <v>AGXCR0020CO</v>
          </cell>
          <cell r="X497" t="str">
            <v>Formulación</v>
          </cell>
          <cell r="AC497">
            <v>0.46200000000000002</v>
          </cell>
          <cell r="AD497">
            <v>0.4284</v>
          </cell>
          <cell r="AE497" t="str">
            <v>Con precio</v>
          </cell>
        </row>
        <row r="498">
          <cell r="B498" t="str">
            <v>AGXCR0020CO</v>
          </cell>
          <cell r="X498" t="str">
            <v>Formulación</v>
          </cell>
          <cell r="AC498">
            <v>3.4399999999999999E-3</v>
          </cell>
          <cell r="AD498">
            <v>2.5720000000000001E-3</v>
          </cell>
          <cell r="AE498" t="str">
            <v>Con precio</v>
          </cell>
        </row>
        <row r="499">
          <cell r="B499" t="str">
            <v>AGXCR0020CO</v>
          </cell>
          <cell r="X499" t="str">
            <v>Formulación</v>
          </cell>
          <cell r="AC499">
            <v>1.7600000000000003E-3</v>
          </cell>
          <cell r="AD499">
            <v>1.7600000000000003E-3</v>
          </cell>
          <cell r="AE499" t="str">
            <v>Con precio</v>
          </cell>
        </row>
        <row r="500">
          <cell r="B500" t="str">
            <v>AGXCR0020CO</v>
          </cell>
          <cell r="X500" t="str">
            <v>Formulación</v>
          </cell>
          <cell r="AC500">
            <v>1.7250000000000001E-2</v>
          </cell>
          <cell r="AD500">
            <v>1.4134999999999998E-2</v>
          </cell>
          <cell r="AE500" t="str">
            <v>Con precio</v>
          </cell>
        </row>
        <row r="501">
          <cell r="B501" t="str">
            <v>AGXCR0020CO</v>
          </cell>
          <cell r="X501" t="str">
            <v>Formulación</v>
          </cell>
          <cell r="AC501">
            <v>0.19328000000000001</v>
          </cell>
          <cell r="AD501">
            <v>0.15219200000000002</v>
          </cell>
          <cell r="AE501" t="str">
            <v>Con precio</v>
          </cell>
        </row>
        <row r="502">
          <cell r="B502" t="str">
            <v>AGXCR0020CO</v>
          </cell>
          <cell r="X502" t="str">
            <v>Empaquetado</v>
          </cell>
          <cell r="AC502">
            <v>7.3209374999999993E-3</v>
          </cell>
          <cell r="AD502">
            <v>7.3209374999999993E-3</v>
          </cell>
          <cell r="AE502" t="str">
            <v>Con precio</v>
          </cell>
        </row>
        <row r="503">
          <cell r="B503" t="str">
            <v>AGXCR0020CO</v>
          </cell>
          <cell r="X503" t="str">
            <v>Empaquetado</v>
          </cell>
          <cell r="AC503">
            <v>2.4171875000000002E-2</v>
          </cell>
          <cell r="AD503">
            <v>2.4171875000000002E-2</v>
          </cell>
          <cell r="AE503" t="str">
            <v>Con precio</v>
          </cell>
        </row>
        <row r="504">
          <cell r="B504" t="str">
            <v>AGXCR0020CO</v>
          </cell>
          <cell r="X504" t="str">
            <v>Empaquetado</v>
          </cell>
          <cell r="AC504">
            <v>5.0719967793880849E-3</v>
          </cell>
          <cell r="AD504">
            <v>5.0719967793880849E-3</v>
          </cell>
          <cell r="AE504" t="str">
            <v>Con precio</v>
          </cell>
        </row>
        <row r="505">
          <cell r="B505" t="str">
            <v>AGXCR0020CO</v>
          </cell>
          <cell r="X505" t="str">
            <v>Empaquetado</v>
          </cell>
          <cell r="AC505">
            <v>1.3125000000000001E-2</v>
          </cell>
          <cell r="AD505">
            <v>1.3125000000000001E-2</v>
          </cell>
          <cell r="AE505" t="str">
            <v>Con precio</v>
          </cell>
        </row>
        <row r="506">
          <cell r="B506" t="str">
            <v>AGXCR0020CO</v>
          </cell>
          <cell r="X506" t="str">
            <v>Empaquetado</v>
          </cell>
          <cell r="AC506">
            <v>0.18266505681818179</v>
          </cell>
          <cell r="AD506">
            <v>0.18266505681818179</v>
          </cell>
          <cell r="AE506" t="str">
            <v>Con precio</v>
          </cell>
        </row>
        <row r="507">
          <cell r="B507" t="str">
            <v>AGXCR0020LB</v>
          </cell>
          <cell r="X507" t="str">
            <v>Formulación</v>
          </cell>
          <cell r="AC507">
            <v>0.12939000000000001</v>
          </cell>
          <cell r="AD507">
            <v>0.11894800000000001</v>
          </cell>
          <cell r="AE507" t="str">
            <v>Con precio</v>
          </cell>
        </row>
        <row r="508">
          <cell r="B508" t="str">
            <v>AGXCR0020LB</v>
          </cell>
          <cell r="X508" t="str">
            <v>Formulación</v>
          </cell>
          <cell r="AC508">
            <v>0.46200000000000002</v>
          </cell>
          <cell r="AD508">
            <v>0.4284</v>
          </cell>
          <cell r="AE508" t="str">
            <v>Con precio</v>
          </cell>
        </row>
        <row r="509">
          <cell r="B509" t="str">
            <v>AGXCR0020LB</v>
          </cell>
          <cell r="X509" t="str">
            <v>Formulación</v>
          </cell>
          <cell r="AC509">
            <v>3.4399999999999999E-3</v>
          </cell>
          <cell r="AD509">
            <v>2.5720000000000001E-3</v>
          </cell>
          <cell r="AE509" t="str">
            <v>Con precio</v>
          </cell>
        </row>
        <row r="510">
          <cell r="B510" t="str">
            <v>AGXCR0020LB</v>
          </cell>
          <cell r="X510" t="str">
            <v>Formulación</v>
          </cell>
          <cell r="AC510">
            <v>1.7600000000000003E-3</v>
          </cell>
          <cell r="AD510">
            <v>1.7600000000000003E-3</v>
          </cell>
          <cell r="AE510" t="str">
            <v>Con precio</v>
          </cell>
        </row>
        <row r="511">
          <cell r="B511" t="str">
            <v>AGXCR0020LB</v>
          </cell>
          <cell r="X511" t="str">
            <v>Formulación</v>
          </cell>
          <cell r="AC511">
            <v>1.7250000000000001E-2</v>
          </cell>
          <cell r="AD511">
            <v>1.4134999999999998E-2</v>
          </cell>
          <cell r="AE511" t="str">
            <v>Con precio</v>
          </cell>
        </row>
        <row r="512">
          <cell r="B512" t="str">
            <v>AGXCR0020LB</v>
          </cell>
          <cell r="X512" t="str">
            <v>Formulación</v>
          </cell>
          <cell r="AC512">
            <v>0.19328000000000001</v>
          </cell>
          <cell r="AD512">
            <v>0.15219200000000002</v>
          </cell>
          <cell r="AE512" t="str">
            <v>Con precio</v>
          </cell>
        </row>
        <row r="513">
          <cell r="B513" t="str">
            <v>AGXCR0020LB</v>
          </cell>
          <cell r="X513" t="str">
            <v>Empaquetado</v>
          </cell>
          <cell r="AC513">
            <v>7.3209374999999993E-3</v>
          </cell>
          <cell r="AD513">
            <v>7.3209374999999993E-3</v>
          </cell>
          <cell r="AE513" t="str">
            <v>Con precio</v>
          </cell>
        </row>
        <row r="514">
          <cell r="B514" t="str">
            <v>AGXCR0020LB</v>
          </cell>
          <cell r="X514" t="str">
            <v>Empaquetado</v>
          </cell>
          <cell r="AC514">
            <v>2.4171875000000002E-2</v>
          </cell>
          <cell r="AD514">
            <v>2.4171875000000002E-2</v>
          </cell>
          <cell r="AE514" t="str">
            <v>Con precio</v>
          </cell>
        </row>
        <row r="515">
          <cell r="B515" t="str">
            <v>AGXCR0020LB</v>
          </cell>
          <cell r="X515" t="str">
            <v>Empaquetado</v>
          </cell>
          <cell r="AC515">
            <v>5.0719967793880849E-3</v>
          </cell>
          <cell r="AD515">
            <v>5.0719967793880849E-3</v>
          </cell>
          <cell r="AE515" t="str">
            <v>Con precio</v>
          </cell>
        </row>
        <row r="516">
          <cell r="B516" t="str">
            <v>AGXCR0020LB</v>
          </cell>
          <cell r="X516" t="str">
            <v>Empaquetado</v>
          </cell>
          <cell r="AC516">
            <v>1.3125000000000001E-2</v>
          </cell>
          <cell r="AD516">
            <v>1.3125000000000001E-2</v>
          </cell>
          <cell r="AE516" t="str">
            <v>Con precio</v>
          </cell>
        </row>
        <row r="517">
          <cell r="B517" t="str">
            <v>AGXCR0020LB</v>
          </cell>
          <cell r="X517" t="str">
            <v>Empaquetado</v>
          </cell>
          <cell r="AC517">
            <v>0.18266505681818179</v>
          </cell>
          <cell r="AD517">
            <v>0.18266505681818179</v>
          </cell>
          <cell r="AE517" t="str">
            <v>Con precio</v>
          </cell>
        </row>
        <row r="518">
          <cell r="B518" t="str">
            <v>AGXCR0020MA</v>
          </cell>
          <cell r="X518" t="str">
            <v>Formulación</v>
          </cell>
          <cell r="AC518">
            <v>0.12939000000000001</v>
          </cell>
          <cell r="AD518">
            <v>0.11894800000000001</v>
          </cell>
          <cell r="AE518" t="str">
            <v>Con precio</v>
          </cell>
        </row>
        <row r="519">
          <cell r="B519" t="str">
            <v>AGXCR0020MA</v>
          </cell>
          <cell r="X519" t="str">
            <v>Formulación</v>
          </cell>
          <cell r="AC519">
            <v>0.46200000000000002</v>
          </cell>
          <cell r="AD519">
            <v>0.4284</v>
          </cell>
          <cell r="AE519" t="str">
            <v>Con precio</v>
          </cell>
        </row>
        <row r="520">
          <cell r="B520" t="str">
            <v>AGXCR0020MA</v>
          </cell>
          <cell r="X520" t="str">
            <v>Formulación</v>
          </cell>
          <cell r="AC520">
            <v>3.4399999999999999E-3</v>
          </cell>
          <cell r="AD520">
            <v>2.5720000000000001E-3</v>
          </cell>
          <cell r="AE520" t="str">
            <v>Con precio</v>
          </cell>
        </row>
        <row r="521">
          <cell r="B521" t="str">
            <v>AGXCR0020MA</v>
          </cell>
          <cell r="X521" t="str">
            <v>Formulación</v>
          </cell>
          <cell r="AC521">
            <v>1.7600000000000003E-3</v>
          </cell>
          <cell r="AD521">
            <v>1.7600000000000003E-3</v>
          </cell>
          <cell r="AE521" t="str">
            <v>Con precio</v>
          </cell>
        </row>
        <row r="522">
          <cell r="B522" t="str">
            <v>AGXCR0020MA</v>
          </cell>
          <cell r="X522" t="str">
            <v>Formulación</v>
          </cell>
          <cell r="AC522">
            <v>1.7250000000000001E-2</v>
          </cell>
          <cell r="AD522">
            <v>1.4134999999999998E-2</v>
          </cell>
          <cell r="AE522" t="str">
            <v>Con precio</v>
          </cell>
        </row>
        <row r="523">
          <cell r="B523" t="str">
            <v>AGXCR0020MA</v>
          </cell>
          <cell r="X523" t="str">
            <v>Formulación</v>
          </cell>
          <cell r="AC523">
            <v>0.19328000000000001</v>
          </cell>
          <cell r="AD523">
            <v>0.15219200000000002</v>
          </cell>
          <cell r="AE523" t="str">
            <v>Con precio</v>
          </cell>
        </row>
        <row r="524">
          <cell r="B524" t="str">
            <v>AGXCR0020MA</v>
          </cell>
          <cell r="X524" t="str">
            <v>Empaquetado</v>
          </cell>
          <cell r="AC524">
            <v>7.3209374999999993E-3</v>
          </cell>
          <cell r="AD524">
            <v>7.3209374999999993E-3</v>
          </cell>
          <cell r="AE524" t="str">
            <v>Con precio</v>
          </cell>
        </row>
        <row r="525">
          <cell r="B525" t="str">
            <v>AGXCR0020MA</v>
          </cell>
          <cell r="X525" t="str">
            <v>Empaquetado</v>
          </cell>
          <cell r="AC525">
            <v>2.4171875000000002E-2</v>
          </cell>
          <cell r="AD525">
            <v>2.4171875000000002E-2</v>
          </cell>
          <cell r="AE525" t="str">
            <v>Con precio</v>
          </cell>
        </row>
        <row r="526">
          <cell r="B526" t="str">
            <v>AGXCR0020MA</v>
          </cell>
          <cell r="X526" t="str">
            <v>Empaquetado</v>
          </cell>
          <cell r="AC526">
            <v>5.0719967793880849E-3</v>
          </cell>
          <cell r="AD526">
            <v>5.0719967793880849E-3</v>
          </cell>
          <cell r="AE526" t="str">
            <v>Con precio</v>
          </cell>
        </row>
        <row r="527">
          <cell r="B527" t="str">
            <v>AGXCR0020MA</v>
          </cell>
          <cell r="X527" t="str">
            <v>Empaquetado</v>
          </cell>
          <cell r="AC527">
            <v>1.3125000000000001E-2</v>
          </cell>
          <cell r="AD527">
            <v>1.3125000000000001E-2</v>
          </cell>
          <cell r="AE527" t="str">
            <v>Con precio</v>
          </cell>
        </row>
        <row r="528">
          <cell r="B528" t="str">
            <v>AGXCR0020MA</v>
          </cell>
          <cell r="X528" t="str">
            <v>Empaquetado</v>
          </cell>
          <cell r="AC528">
            <v>0.18266505681818179</v>
          </cell>
          <cell r="AD528">
            <v>0.18266505681818179</v>
          </cell>
          <cell r="AE528" t="str">
            <v>Con precio</v>
          </cell>
        </row>
        <row r="529">
          <cell r="B529" t="str">
            <v>AGXCR0020RO</v>
          </cell>
          <cell r="X529" t="str">
            <v>Formulación</v>
          </cell>
          <cell r="AC529">
            <v>0.12939000000000001</v>
          </cell>
          <cell r="AD529">
            <v>0.11894800000000001</v>
          </cell>
          <cell r="AE529" t="str">
            <v>Con precio</v>
          </cell>
        </row>
        <row r="530">
          <cell r="B530" t="str">
            <v>AGXCR0020RO</v>
          </cell>
          <cell r="X530" t="str">
            <v>Formulación</v>
          </cell>
          <cell r="AC530">
            <v>0.46200000000000002</v>
          </cell>
          <cell r="AD530">
            <v>0.4284</v>
          </cell>
          <cell r="AE530" t="str">
            <v>Con precio</v>
          </cell>
        </row>
        <row r="531">
          <cell r="B531" t="str">
            <v>AGXCR0020RO</v>
          </cell>
          <cell r="X531" t="str">
            <v>Formulación</v>
          </cell>
          <cell r="AC531">
            <v>3.4399999999999999E-3</v>
          </cell>
          <cell r="AD531">
            <v>2.5720000000000001E-3</v>
          </cell>
          <cell r="AE531" t="str">
            <v>Con precio</v>
          </cell>
        </row>
        <row r="532">
          <cell r="B532" t="str">
            <v>AGXCR0020RO</v>
          </cell>
          <cell r="X532" t="str">
            <v>Formulación</v>
          </cell>
          <cell r="AC532">
            <v>1.7600000000000003E-3</v>
          </cell>
          <cell r="AD532">
            <v>1.7600000000000003E-3</v>
          </cell>
          <cell r="AE532" t="str">
            <v>Con precio</v>
          </cell>
        </row>
        <row r="533">
          <cell r="B533" t="str">
            <v>AGXCR0020RO</v>
          </cell>
          <cell r="X533" t="str">
            <v>Formulación</v>
          </cell>
          <cell r="AC533">
            <v>1.7250000000000001E-2</v>
          </cell>
          <cell r="AD533">
            <v>1.4134999999999998E-2</v>
          </cell>
          <cell r="AE533" t="str">
            <v>Con precio</v>
          </cell>
        </row>
        <row r="534">
          <cell r="B534" t="str">
            <v>AGXCR0020RO</v>
          </cell>
          <cell r="X534" t="str">
            <v>Formulación</v>
          </cell>
          <cell r="AC534">
            <v>0.19328000000000001</v>
          </cell>
          <cell r="AD534">
            <v>0.15219200000000002</v>
          </cell>
          <cell r="AE534" t="str">
            <v>Con precio</v>
          </cell>
        </row>
        <row r="535">
          <cell r="B535" t="str">
            <v>AGXCR0020RO</v>
          </cell>
          <cell r="X535" t="str">
            <v>Empaquetado</v>
          </cell>
          <cell r="AC535">
            <v>7.3209374999999993E-3</v>
          </cell>
          <cell r="AD535">
            <v>7.3209374999999993E-3</v>
          </cell>
          <cell r="AE535" t="str">
            <v>Con precio</v>
          </cell>
        </row>
        <row r="536">
          <cell r="B536" t="str">
            <v>AGXCR0020RO</v>
          </cell>
          <cell r="X536" t="str">
            <v>Empaquetado</v>
          </cell>
          <cell r="AC536">
            <v>2.4171875000000002E-2</v>
          </cell>
          <cell r="AD536">
            <v>2.4171875000000002E-2</v>
          </cell>
          <cell r="AE536" t="str">
            <v>Con precio</v>
          </cell>
        </row>
        <row r="537">
          <cell r="B537" t="str">
            <v>AGXCR0020RO</v>
          </cell>
          <cell r="X537" t="str">
            <v>Empaquetado</v>
          </cell>
          <cell r="AC537">
            <v>5.0719967793880849E-3</v>
          </cell>
          <cell r="AD537">
            <v>5.0719967793880849E-3</v>
          </cell>
          <cell r="AE537" t="str">
            <v>Con precio</v>
          </cell>
        </row>
        <row r="538">
          <cell r="B538" t="str">
            <v>AGXCR0020RO</v>
          </cell>
          <cell r="X538" t="str">
            <v>Empaquetado</v>
          </cell>
          <cell r="AC538">
            <v>1.3125000000000001E-2</v>
          </cell>
          <cell r="AD538">
            <v>1.3125000000000001E-2</v>
          </cell>
          <cell r="AE538" t="str">
            <v>Con precio</v>
          </cell>
        </row>
        <row r="539">
          <cell r="B539" t="str">
            <v>AGXCR0020RO</v>
          </cell>
          <cell r="X539" t="str">
            <v>Empaquetado</v>
          </cell>
          <cell r="AC539">
            <v>0.18266505681818179</v>
          </cell>
          <cell r="AD539">
            <v>0.18266505681818179</v>
          </cell>
          <cell r="AE539" t="str">
            <v>Con precio</v>
          </cell>
        </row>
        <row r="540">
          <cell r="B540" t="str">
            <v>AGXCR0200RO</v>
          </cell>
          <cell r="X540" t="str">
            <v>Formulación</v>
          </cell>
          <cell r="AC540">
            <v>0.12939000000000001</v>
          </cell>
          <cell r="AD540">
            <v>0.11894800000000001</v>
          </cell>
          <cell r="AE540" t="str">
            <v>Con precio</v>
          </cell>
        </row>
        <row r="541">
          <cell r="B541" t="str">
            <v>AGXCR0200RO</v>
          </cell>
          <cell r="X541" t="str">
            <v>Formulación</v>
          </cell>
          <cell r="AC541">
            <v>0.46200000000000002</v>
          </cell>
          <cell r="AD541">
            <v>0.4284</v>
          </cell>
          <cell r="AE541" t="str">
            <v>Con precio</v>
          </cell>
        </row>
        <row r="542">
          <cell r="B542" t="str">
            <v>AGXCR0200RO</v>
          </cell>
          <cell r="X542" t="str">
            <v>Formulación</v>
          </cell>
          <cell r="AC542">
            <v>3.4399999999999999E-3</v>
          </cell>
          <cell r="AD542">
            <v>2.5720000000000001E-3</v>
          </cell>
          <cell r="AE542" t="str">
            <v>Con precio</v>
          </cell>
        </row>
        <row r="543">
          <cell r="B543" t="str">
            <v>AGXCR0200RO</v>
          </cell>
          <cell r="X543" t="str">
            <v>Formulación</v>
          </cell>
          <cell r="AC543">
            <v>1.7600000000000003E-3</v>
          </cell>
          <cell r="AD543">
            <v>1.7600000000000003E-3</v>
          </cell>
          <cell r="AE543" t="str">
            <v>Con precio</v>
          </cell>
        </row>
        <row r="544">
          <cell r="B544" t="str">
            <v>AGXCR0200RO</v>
          </cell>
          <cell r="X544" t="str">
            <v>Formulación</v>
          </cell>
          <cell r="AC544">
            <v>1.7250000000000001E-2</v>
          </cell>
          <cell r="AD544">
            <v>1.4134999999999998E-2</v>
          </cell>
          <cell r="AE544" t="str">
            <v>Con precio</v>
          </cell>
        </row>
        <row r="545">
          <cell r="B545" t="str">
            <v>AGXCR0200RO</v>
          </cell>
          <cell r="X545" t="str">
            <v>Formulación</v>
          </cell>
          <cell r="AC545">
            <v>0.19328000000000001</v>
          </cell>
          <cell r="AD545">
            <v>0.15219200000000002</v>
          </cell>
          <cell r="AE545" t="str">
            <v>Con precio</v>
          </cell>
        </row>
        <row r="546">
          <cell r="B546" t="str">
            <v>AGXCR0200RO</v>
          </cell>
          <cell r="X546" t="str">
            <v>Empaquetado</v>
          </cell>
          <cell r="AC546">
            <v>5.0719967793880845E-4</v>
          </cell>
          <cell r="AD546">
            <v>5.0719967793880845E-4</v>
          </cell>
          <cell r="AE546" t="str">
            <v>Con precio</v>
          </cell>
        </row>
        <row r="547">
          <cell r="B547" t="str">
            <v>AGXCR0200RO</v>
          </cell>
          <cell r="X547" t="str">
            <v>Empaquetado</v>
          </cell>
          <cell r="AC547">
            <v>2.1875000000000002E-3</v>
          </cell>
          <cell r="AD547">
            <v>2.1875000000000002E-3</v>
          </cell>
          <cell r="AE547" t="str">
            <v>Con precio</v>
          </cell>
        </row>
        <row r="548">
          <cell r="B548" t="str">
            <v>AGXCR0200RO</v>
          </cell>
          <cell r="X548" t="str">
            <v>Empaquetado</v>
          </cell>
          <cell r="AC548">
            <v>0.16730511363636363</v>
          </cell>
          <cell r="AD548">
            <v>0.16730511363636363</v>
          </cell>
          <cell r="AE548" t="str">
            <v>Con precio</v>
          </cell>
        </row>
        <row r="549">
          <cell r="B549" t="str">
            <v>AGXCR0200RO</v>
          </cell>
          <cell r="X549" t="str">
            <v>Empaquetado</v>
          </cell>
          <cell r="AC549">
            <v>1.9337500000000001E-2</v>
          </cell>
          <cell r="AD549">
            <v>1.9337500000000001E-2</v>
          </cell>
          <cell r="AE549" t="str">
            <v>Con precio</v>
          </cell>
        </row>
        <row r="550">
          <cell r="B550" t="str">
            <v>AGXCR0200RO</v>
          </cell>
          <cell r="X550" t="str">
            <v>Empaquetado</v>
          </cell>
          <cell r="AC550">
            <v>3.4999999999999996E-3</v>
          </cell>
          <cell r="AD550">
            <v>3.4999999999999996E-3</v>
          </cell>
          <cell r="AE550" t="str">
            <v>Con precio</v>
          </cell>
        </row>
        <row r="551">
          <cell r="B551" t="str">
            <v>AGXCR0200RO</v>
          </cell>
          <cell r="X551" t="str">
            <v>Empaquetado</v>
          </cell>
          <cell r="AC551">
            <v>2.2500000000000003E-3</v>
          </cell>
          <cell r="AD551">
            <v>2.2500000000000003E-3</v>
          </cell>
          <cell r="AE551" t="str">
            <v>Con precio</v>
          </cell>
        </row>
        <row r="552">
          <cell r="B552" t="str">
            <v>AGXCR1000CR</v>
          </cell>
          <cell r="X552" t="str">
            <v>Formulación</v>
          </cell>
          <cell r="AC552">
            <v>0.12939000000000001</v>
          </cell>
          <cell r="AD552">
            <v>0.11894800000000001</v>
          </cell>
          <cell r="AE552" t="str">
            <v>Con precio</v>
          </cell>
        </row>
        <row r="553">
          <cell r="B553" t="str">
            <v>AGXCR1000CR</v>
          </cell>
          <cell r="X553" t="str">
            <v>Formulación</v>
          </cell>
          <cell r="AC553">
            <v>0.46200000000000002</v>
          </cell>
          <cell r="AD553">
            <v>0.4284</v>
          </cell>
          <cell r="AE553" t="str">
            <v>Con precio</v>
          </cell>
        </row>
        <row r="554">
          <cell r="B554" t="str">
            <v>AGXCR1000CR</v>
          </cell>
          <cell r="X554" t="str">
            <v>Formulación</v>
          </cell>
          <cell r="AC554">
            <v>3.4399999999999999E-3</v>
          </cell>
          <cell r="AD554">
            <v>2.5720000000000001E-3</v>
          </cell>
          <cell r="AE554" t="str">
            <v>Con precio</v>
          </cell>
        </row>
        <row r="555">
          <cell r="B555" t="str">
            <v>AGXCR1000CR</v>
          </cell>
          <cell r="X555" t="str">
            <v>Formulación</v>
          </cell>
          <cell r="AC555">
            <v>1.7600000000000003E-3</v>
          </cell>
          <cell r="AD555">
            <v>1.7600000000000003E-3</v>
          </cell>
          <cell r="AE555" t="str">
            <v>Con precio</v>
          </cell>
        </row>
        <row r="556">
          <cell r="B556" t="str">
            <v>AGXCR1000CR</v>
          </cell>
          <cell r="X556" t="str">
            <v>Formulación</v>
          </cell>
          <cell r="AC556">
            <v>1.7250000000000001E-2</v>
          </cell>
          <cell r="AD556">
            <v>1.4134999999999998E-2</v>
          </cell>
          <cell r="AE556" t="str">
            <v>Con precio</v>
          </cell>
        </row>
        <row r="557">
          <cell r="B557" t="str">
            <v>AGXCR1000CR</v>
          </cell>
          <cell r="X557" t="str">
            <v>Formulación</v>
          </cell>
          <cell r="AC557">
            <v>0.19328000000000001</v>
          </cell>
          <cell r="AD557">
            <v>0.15219200000000002</v>
          </cell>
          <cell r="AE557" t="str">
            <v>Con precio</v>
          </cell>
        </row>
        <row r="558">
          <cell r="B558" t="str">
            <v>AGXCR1000CR</v>
          </cell>
          <cell r="X558" t="str">
            <v>Empaquetado</v>
          </cell>
          <cell r="AC558">
            <v>6.9846153846153836E-2</v>
          </cell>
          <cell r="AD558">
            <v>6.9846153846153836E-2</v>
          </cell>
          <cell r="AE558" t="str">
            <v>Con precio</v>
          </cell>
        </row>
        <row r="559">
          <cell r="B559" t="str">
            <v>AGXCR1000CR</v>
          </cell>
          <cell r="X559" t="str">
            <v>Empaquetado</v>
          </cell>
          <cell r="AC559">
            <v>1.014399355877617E-4</v>
          </cell>
          <cell r="AD559">
            <v>1.014399355877617E-4</v>
          </cell>
          <cell r="AE559" t="str">
            <v>Con precio</v>
          </cell>
        </row>
        <row r="560">
          <cell r="B560" t="str">
            <v>AGXCR1000RO</v>
          </cell>
          <cell r="X560" t="str">
            <v>Formulación</v>
          </cell>
          <cell r="AC560">
            <v>0.12939000000000001</v>
          </cell>
          <cell r="AD560">
            <v>0.11894800000000001</v>
          </cell>
          <cell r="AE560" t="str">
            <v>Con precio</v>
          </cell>
        </row>
        <row r="561">
          <cell r="B561" t="str">
            <v>AGXCR1000RO</v>
          </cell>
          <cell r="X561" t="str">
            <v>Formulación</v>
          </cell>
          <cell r="AC561">
            <v>0.46200000000000002</v>
          </cell>
          <cell r="AD561">
            <v>0.4284</v>
          </cell>
          <cell r="AE561" t="str">
            <v>Con precio</v>
          </cell>
        </row>
        <row r="562">
          <cell r="B562" t="str">
            <v>AGXCR1000RO</v>
          </cell>
          <cell r="X562" t="str">
            <v>Formulación</v>
          </cell>
          <cell r="AC562">
            <v>3.4399999999999999E-3</v>
          </cell>
          <cell r="AD562">
            <v>2.5720000000000001E-3</v>
          </cell>
          <cell r="AE562" t="str">
            <v>Con precio</v>
          </cell>
        </row>
        <row r="563">
          <cell r="B563" t="str">
            <v>AGXCR1000RO</v>
          </cell>
          <cell r="X563" t="str">
            <v>Formulación</v>
          </cell>
          <cell r="AC563">
            <v>1.7600000000000003E-3</v>
          </cell>
          <cell r="AD563">
            <v>1.7600000000000003E-3</v>
          </cell>
          <cell r="AE563" t="str">
            <v>Con precio</v>
          </cell>
        </row>
        <row r="564">
          <cell r="B564" t="str">
            <v>AGXCR1000RO</v>
          </cell>
          <cell r="X564" t="str">
            <v>Formulación</v>
          </cell>
          <cell r="AC564">
            <v>1.7250000000000001E-2</v>
          </cell>
          <cell r="AD564">
            <v>1.4134999999999998E-2</v>
          </cell>
          <cell r="AE564" t="str">
            <v>Con precio</v>
          </cell>
        </row>
        <row r="565">
          <cell r="B565" t="str">
            <v>AGXCR1000RO</v>
          </cell>
          <cell r="X565" t="str">
            <v>Formulación</v>
          </cell>
          <cell r="AC565">
            <v>0.19328000000000001</v>
          </cell>
          <cell r="AD565">
            <v>0.15219200000000002</v>
          </cell>
          <cell r="AE565" t="str">
            <v>Con precio</v>
          </cell>
        </row>
        <row r="566">
          <cell r="B566" t="str">
            <v>AGXCR1000RO</v>
          </cell>
          <cell r="X566" t="str">
            <v>Empaquetado</v>
          </cell>
          <cell r="AC566">
            <v>6.9846153846153836E-2</v>
          </cell>
          <cell r="AD566">
            <v>6.9846153846153836E-2</v>
          </cell>
          <cell r="AE566" t="str">
            <v>Con precio</v>
          </cell>
        </row>
        <row r="567">
          <cell r="B567" t="str">
            <v>AGXCR1000RO</v>
          </cell>
          <cell r="X567" t="str">
            <v>Empaquetado</v>
          </cell>
          <cell r="AC567">
            <v>1.014399355877617E-4</v>
          </cell>
          <cell r="AD567">
            <v>1.014399355877617E-4</v>
          </cell>
          <cell r="AE567" t="str">
            <v>Con precio</v>
          </cell>
        </row>
        <row r="568">
          <cell r="B568" t="str">
            <v>AGXK0001AZ</v>
          </cell>
          <cell r="X568" t="str">
            <v>Formulación</v>
          </cell>
          <cell r="AC568">
            <v>4.8799999999999998E-3</v>
          </cell>
          <cell r="AD568">
            <v>4.8799999999999998E-3</v>
          </cell>
          <cell r="AE568" t="str">
            <v>Con precio</v>
          </cell>
        </row>
        <row r="569">
          <cell r="B569" t="str">
            <v>AGXK0001AZ</v>
          </cell>
          <cell r="X569" t="str">
            <v>Formulación</v>
          </cell>
          <cell r="AC569">
            <v>8.6069999999999994E-2</v>
          </cell>
          <cell r="AD569">
            <v>7.9124E-2</v>
          </cell>
          <cell r="AE569" t="str">
            <v>Con precio</v>
          </cell>
        </row>
        <row r="570">
          <cell r="B570" t="str">
            <v>AGXK0001AZ</v>
          </cell>
          <cell r="X570" t="str">
            <v>Formulación</v>
          </cell>
          <cell r="AC570">
            <v>0.16499999999999998</v>
          </cell>
          <cell r="AD570">
            <v>0.16499999999999998</v>
          </cell>
          <cell r="AE570" t="str">
            <v>Con precio</v>
          </cell>
        </row>
        <row r="571">
          <cell r="B571" t="str">
            <v>AGXK0001AZ</v>
          </cell>
          <cell r="X571" t="str">
            <v>Formulación</v>
          </cell>
          <cell r="AC571">
            <v>0.53900000000000003</v>
          </cell>
          <cell r="AD571">
            <v>0.49980000000000002</v>
          </cell>
          <cell r="AE571" t="str">
            <v>Con precio</v>
          </cell>
        </row>
        <row r="572">
          <cell r="B572" t="str">
            <v>AGXK0001AZ</v>
          </cell>
          <cell r="X572" t="str">
            <v>Formulación</v>
          </cell>
          <cell r="AC572">
            <v>3.4399999999999999E-3</v>
          </cell>
          <cell r="AD572">
            <v>2.5720000000000001E-3</v>
          </cell>
          <cell r="AE572" t="str">
            <v>Con precio</v>
          </cell>
        </row>
        <row r="573">
          <cell r="B573" t="str">
            <v>AGXK0001AZ</v>
          </cell>
          <cell r="X573" t="str">
            <v>Formulación</v>
          </cell>
          <cell r="AC573">
            <v>1.7250000000000001E-2</v>
          </cell>
          <cell r="AD573">
            <v>1.4134999999999998E-2</v>
          </cell>
          <cell r="AE573" t="str">
            <v>Con precio</v>
          </cell>
        </row>
        <row r="574">
          <cell r="B574" t="str">
            <v>AGXK0001AZ</v>
          </cell>
          <cell r="X574" t="str">
            <v>Formulación</v>
          </cell>
          <cell r="AC574">
            <v>8.8000000000000014E-4</v>
          </cell>
          <cell r="AD574">
            <v>8.8000000000000014E-4</v>
          </cell>
          <cell r="AE574" t="str">
            <v>Con precio</v>
          </cell>
        </row>
        <row r="575">
          <cell r="B575" t="str">
            <v>AGXK0001AZ</v>
          </cell>
          <cell r="X575" t="str">
            <v>Empaquetado</v>
          </cell>
          <cell r="AC575">
            <v>3.0303030303030299E-5</v>
          </cell>
          <cell r="AD575">
            <v>3.0303030303030299E-5</v>
          </cell>
          <cell r="AE575" t="str">
            <v>Con precio</v>
          </cell>
        </row>
        <row r="576">
          <cell r="B576" t="str">
            <v>AGXK0001AZ</v>
          </cell>
          <cell r="X576" t="str">
            <v>Empaquetado</v>
          </cell>
          <cell r="AC576">
            <v>2.3439393939393937E-2</v>
          </cell>
          <cell r="AD576">
            <v>2.3439393939393937E-2</v>
          </cell>
          <cell r="AE576" t="str">
            <v>Con precio</v>
          </cell>
        </row>
        <row r="577">
          <cell r="B577" t="str">
            <v>AGXK0001AZ</v>
          </cell>
          <cell r="X577" t="str">
            <v>Empaquetado</v>
          </cell>
          <cell r="AC577">
            <v>7.1917518745739595E-2</v>
          </cell>
          <cell r="AD577">
            <v>7.1917518745739595E-2</v>
          </cell>
          <cell r="AE577" t="str">
            <v>Con precio</v>
          </cell>
        </row>
        <row r="578">
          <cell r="B578" t="str">
            <v>AGXK0001AZ</v>
          </cell>
          <cell r="X578" t="str">
            <v>Empaquetado</v>
          </cell>
          <cell r="AC578">
            <v>0.44322992424242419</v>
          </cell>
          <cell r="AD578">
            <v>0.44322992424242419</v>
          </cell>
          <cell r="AE578" t="str">
            <v>Con precio</v>
          </cell>
        </row>
        <row r="579">
          <cell r="B579" t="str">
            <v>AGXK0001AZ</v>
          </cell>
          <cell r="X579" t="str">
            <v>Empaquetado</v>
          </cell>
          <cell r="AC579">
            <v>0.11874999999999999</v>
          </cell>
          <cell r="AD579">
            <v>0.11874999999999999</v>
          </cell>
          <cell r="AE579" t="str">
            <v>Con precio</v>
          </cell>
        </row>
        <row r="580">
          <cell r="B580" t="str">
            <v>AGXK0001AZ</v>
          </cell>
          <cell r="X580" t="str">
            <v>Empaquetado</v>
          </cell>
          <cell r="AC580">
            <v>9.6080774456521717E-2</v>
          </cell>
          <cell r="AD580">
            <v>9.6080774456521717E-2</v>
          </cell>
          <cell r="AE580" t="str">
            <v>Con precio</v>
          </cell>
        </row>
        <row r="581">
          <cell r="B581" t="str">
            <v>AGXK0001DO</v>
          </cell>
          <cell r="X581" t="str">
            <v>Formulación</v>
          </cell>
          <cell r="AC581">
            <v>4.8799999999999998E-3</v>
          </cell>
          <cell r="AD581">
            <v>4.8799999999999998E-3</v>
          </cell>
          <cell r="AE581" t="str">
            <v>Con precio</v>
          </cell>
        </row>
        <row r="582">
          <cell r="B582" t="str">
            <v>AGXK0001DO</v>
          </cell>
          <cell r="X582" t="str">
            <v>Formulación</v>
          </cell>
          <cell r="AC582">
            <v>8.6069999999999994E-2</v>
          </cell>
          <cell r="AD582">
            <v>7.9124E-2</v>
          </cell>
          <cell r="AE582" t="str">
            <v>Con precio</v>
          </cell>
        </row>
        <row r="583">
          <cell r="B583" t="str">
            <v>AGXK0001DO</v>
          </cell>
          <cell r="X583" t="str">
            <v>Formulación</v>
          </cell>
          <cell r="AC583">
            <v>0.16499999999999998</v>
          </cell>
          <cell r="AD583">
            <v>0.16499999999999998</v>
          </cell>
          <cell r="AE583" t="str">
            <v>Con precio</v>
          </cell>
        </row>
        <row r="584">
          <cell r="B584" t="str">
            <v>AGXK0001DO</v>
          </cell>
          <cell r="X584" t="str">
            <v>Formulación</v>
          </cell>
          <cell r="AC584">
            <v>0.53900000000000003</v>
          </cell>
          <cell r="AD584">
            <v>0.49980000000000002</v>
          </cell>
          <cell r="AE584" t="str">
            <v>Con precio</v>
          </cell>
        </row>
        <row r="585">
          <cell r="B585" t="str">
            <v>AGXK0001DO</v>
          </cell>
          <cell r="X585" t="str">
            <v>Formulación</v>
          </cell>
          <cell r="AC585">
            <v>3.4399999999999999E-3</v>
          </cell>
          <cell r="AD585">
            <v>2.5720000000000001E-3</v>
          </cell>
          <cell r="AE585" t="str">
            <v>Con precio</v>
          </cell>
        </row>
        <row r="586">
          <cell r="B586" t="str">
            <v>AGXK0001DO</v>
          </cell>
          <cell r="X586" t="str">
            <v>Formulación</v>
          </cell>
          <cell r="AC586">
            <v>1.7250000000000001E-2</v>
          </cell>
          <cell r="AD586">
            <v>1.4134999999999998E-2</v>
          </cell>
          <cell r="AE586" t="str">
            <v>Con precio</v>
          </cell>
        </row>
        <row r="587">
          <cell r="B587" t="str">
            <v>AGXK0001DO</v>
          </cell>
          <cell r="X587" t="str">
            <v>Formulación</v>
          </cell>
          <cell r="AC587">
            <v>8.8000000000000014E-4</v>
          </cell>
          <cell r="AD587">
            <v>8.8000000000000014E-4</v>
          </cell>
          <cell r="AE587" t="str">
            <v>Con precio</v>
          </cell>
        </row>
        <row r="588">
          <cell r="B588" t="str">
            <v>AGXK0001DO</v>
          </cell>
          <cell r="X588" t="str">
            <v>Empaquetado</v>
          </cell>
          <cell r="AC588">
            <v>3.0303030303030299E-5</v>
          </cell>
          <cell r="AD588">
            <v>3.0303030303030299E-5</v>
          </cell>
          <cell r="AE588" t="str">
            <v>Con precio</v>
          </cell>
        </row>
        <row r="589">
          <cell r="B589" t="str">
            <v>AGXK0001DO</v>
          </cell>
          <cell r="X589" t="str">
            <v>Empaquetado</v>
          </cell>
          <cell r="AC589">
            <v>2.3439393939393937E-2</v>
          </cell>
          <cell r="AD589">
            <v>2.3439393939393937E-2</v>
          </cell>
          <cell r="AE589" t="str">
            <v>Con precio</v>
          </cell>
        </row>
        <row r="590">
          <cell r="B590" t="str">
            <v>AGXK0001DO</v>
          </cell>
          <cell r="X590" t="str">
            <v>Empaquetado</v>
          </cell>
          <cell r="AC590">
            <v>7.1917518745739595E-2</v>
          </cell>
          <cell r="AD590">
            <v>7.1917518745739595E-2</v>
          </cell>
          <cell r="AE590" t="str">
            <v>Con precio</v>
          </cell>
        </row>
        <row r="591">
          <cell r="B591" t="str">
            <v>AGXK0001DO</v>
          </cell>
          <cell r="X591" t="str">
            <v>Empaquetado</v>
          </cell>
          <cell r="AC591">
            <v>0.44322992424242419</v>
          </cell>
          <cell r="AD591">
            <v>0.44322992424242419</v>
          </cell>
          <cell r="AE591" t="str">
            <v>Con precio</v>
          </cell>
        </row>
        <row r="592">
          <cell r="B592" t="str">
            <v>AGXK0001DO</v>
          </cell>
          <cell r="X592" t="str">
            <v>Empaquetado</v>
          </cell>
          <cell r="AC592">
            <v>0.11874999999999999</v>
          </cell>
          <cell r="AD592">
            <v>0.11874999999999999</v>
          </cell>
          <cell r="AE592" t="str">
            <v>Con precio</v>
          </cell>
        </row>
        <row r="593">
          <cell r="B593" t="str">
            <v>AGXK0001DO</v>
          </cell>
          <cell r="X593" t="str">
            <v>Empaquetado</v>
          </cell>
          <cell r="AC593">
            <v>9.6080774456521717E-2</v>
          </cell>
          <cell r="AD593">
            <v>9.6080774456521717E-2</v>
          </cell>
          <cell r="AE593" t="str">
            <v>Con precio</v>
          </cell>
        </row>
        <row r="594">
          <cell r="B594" t="str">
            <v>AGXK0001GE</v>
          </cell>
          <cell r="X594" t="str">
            <v>Formulación</v>
          </cell>
          <cell r="AC594">
            <v>4.8799999999999998E-3</v>
          </cell>
          <cell r="AD594">
            <v>4.8799999999999998E-3</v>
          </cell>
          <cell r="AE594" t="str">
            <v>Con precio</v>
          </cell>
        </row>
        <row r="595">
          <cell r="B595" t="str">
            <v>AGXK0001GE</v>
          </cell>
          <cell r="X595" t="str">
            <v>Formulación</v>
          </cell>
          <cell r="AC595">
            <v>8.6069999999999994E-2</v>
          </cell>
          <cell r="AD595">
            <v>7.9124E-2</v>
          </cell>
          <cell r="AE595" t="str">
            <v>Con precio</v>
          </cell>
        </row>
        <row r="596">
          <cell r="B596" t="str">
            <v>AGXK0001GE</v>
          </cell>
          <cell r="X596" t="str">
            <v>Formulación</v>
          </cell>
          <cell r="AC596">
            <v>0.16499999999999998</v>
          </cell>
          <cell r="AD596">
            <v>0.16499999999999998</v>
          </cell>
          <cell r="AE596" t="str">
            <v>Con precio</v>
          </cell>
        </row>
        <row r="597">
          <cell r="B597" t="str">
            <v>AGXK0001GE</v>
          </cell>
          <cell r="X597" t="str">
            <v>Formulación</v>
          </cell>
          <cell r="AC597">
            <v>0.53900000000000003</v>
          </cell>
          <cell r="AD597">
            <v>0.49980000000000002</v>
          </cell>
          <cell r="AE597" t="str">
            <v>Con precio</v>
          </cell>
        </row>
        <row r="598">
          <cell r="B598" t="str">
            <v>AGXK0001GE</v>
          </cell>
          <cell r="X598" t="str">
            <v>Formulación</v>
          </cell>
          <cell r="AC598">
            <v>3.4399999999999999E-3</v>
          </cell>
          <cell r="AD598">
            <v>2.5720000000000001E-3</v>
          </cell>
          <cell r="AE598" t="str">
            <v>Con precio</v>
          </cell>
        </row>
        <row r="599">
          <cell r="B599" t="str">
            <v>AGXK0001GE</v>
          </cell>
          <cell r="X599" t="str">
            <v>Formulación</v>
          </cell>
          <cell r="AC599">
            <v>1.7250000000000001E-2</v>
          </cell>
          <cell r="AD599">
            <v>1.4134999999999998E-2</v>
          </cell>
          <cell r="AE599" t="str">
            <v>Con precio</v>
          </cell>
        </row>
        <row r="600">
          <cell r="B600" t="str">
            <v>AGXK0001GE</v>
          </cell>
          <cell r="X600" t="str">
            <v>Formulación</v>
          </cell>
          <cell r="AC600">
            <v>8.8000000000000014E-4</v>
          </cell>
          <cell r="AD600">
            <v>8.8000000000000014E-4</v>
          </cell>
          <cell r="AE600" t="str">
            <v>Con precio</v>
          </cell>
        </row>
        <row r="601">
          <cell r="B601" t="str">
            <v>AGXK0001GE</v>
          </cell>
          <cell r="X601" t="str">
            <v>Empaquetado</v>
          </cell>
          <cell r="AC601">
            <v>3.0303030303030299E-5</v>
          </cell>
          <cell r="AD601">
            <v>3.0303030303030299E-5</v>
          </cell>
          <cell r="AE601" t="str">
            <v>Con precio</v>
          </cell>
        </row>
        <row r="602">
          <cell r="B602" t="str">
            <v>AGXK0001GE</v>
          </cell>
          <cell r="X602" t="str">
            <v>Empaquetado</v>
          </cell>
          <cell r="AC602">
            <v>2.3439393939393937E-2</v>
          </cell>
          <cell r="AD602">
            <v>2.3439393939393937E-2</v>
          </cell>
          <cell r="AE602" t="str">
            <v>Con precio</v>
          </cell>
        </row>
        <row r="603">
          <cell r="B603" t="str">
            <v>AGXK0001GE</v>
          </cell>
          <cell r="X603" t="str">
            <v>Empaquetado</v>
          </cell>
          <cell r="AC603">
            <v>7.1917518745739595E-2</v>
          </cell>
          <cell r="AD603">
            <v>7.1917518745739595E-2</v>
          </cell>
          <cell r="AE603" t="str">
            <v>Con precio</v>
          </cell>
        </row>
        <row r="604">
          <cell r="B604" t="str">
            <v>AGXK0001GE</v>
          </cell>
          <cell r="X604" t="str">
            <v>Empaquetado</v>
          </cell>
          <cell r="AC604">
            <v>0.44322992424242419</v>
          </cell>
          <cell r="AD604">
            <v>0.44322992424242419</v>
          </cell>
          <cell r="AE604" t="str">
            <v>Con precio</v>
          </cell>
        </row>
        <row r="605">
          <cell r="B605" t="str">
            <v>AGXK0001GE</v>
          </cell>
          <cell r="X605" t="str">
            <v>Empaquetado</v>
          </cell>
          <cell r="AC605">
            <v>0.11874999999999999</v>
          </cell>
          <cell r="AD605">
            <v>0.11874999999999999</v>
          </cell>
          <cell r="AE605" t="str">
            <v>Con precio</v>
          </cell>
        </row>
        <row r="606">
          <cell r="B606" t="str">
            <v>AGXK0001GE</v>
          </cell>
          <cell r="X606" t="str">
            <v>Empaquetado</v>
          </cell>
          <cell r="AC606">
            <v>9.6080774456521717E-2</v>
          </cell>
          <cell r="AD606">
            <v>9.6080774456521717E-2</v>
          </cell>
          <cell r="AE606" t="str">
            <v>Con precio</v>
          </cell>
        </row>
        <row r="607">
          <cell r="B607" t="str">
            <v>AGXK0005</v>
          </cell>
          <cell r="X607" t="str">
            <v>Formulación</v>
          </cell>
          <cell r="AC607">
            <v>4.8799999999999998E-3</v>
          </cell>
          <cell r="AD607">
            <v>4.8799999999999998E-3</v>
          </cell>
          <cell r="AE607" t="str">
            <v>Con precio</v>
          </cell>
        </row>
        <row r="608">
          <cell r="B608" t="str">
            <v>AGXK0005</v>
          </cell>
          <cell r="X608" t="str">
            <v>Formulación</v>
          </cell>
          <cell r="AC608">
            <v>8.6069999999999994E-2</v>
          </cell>
          <cell r="AD608">
            <v>7.9124E-2</v>
          </cell>
          <cell r="AE608" t="str">
            <v>Con precio</v>
          </cell>
        </row>
        <row r="609">
          <cell r="B609" t="str">
            <v>AGXK0005</v>
          </cell>
          <cell r="X609" t="str">
            <v>Formulación</v>
          </cell>
          <cell r="AC609">
            <v>0.16499999999999998</v>
          </cell>
          <cell r="AD609">
            <v>0.16499999999999998</v>
          </cell>
          <cell r="AE609" t="str">
            <v>Con precio</v>
          </cell>
        </row>
        <row r="610">
          <cell r="B610" t="str">
            <v>AGXK0005</v>
          </cell>
          <cell r="X610" t="str">
            <v>Formulación</v>
          </cell>
          <cell r="AC610">
            <v>0.53900000000000003</v>
          </cell>
          <cell r="AD610">
            <v>0.49980000000000002</v>
          </cell>
          <cell r="AE610" t="str">
            <v>Con precio</v>
          </cell>
        </row>
        <row r="611">
          <cell r="B611" t="str">
            <v>AGXK0005</v>
          </cell>
          <cell r="X611" t="str">
            <v>Formulación</v>
          </cell>
          <cell r="AC611">
            <v>3.4399999999999999E-3</v>
          </cell>
          <cell r="AD611">
            <v>2.5720000000000001E-3</v>
          </cell>
          <cell r="AE611" t="str">
            <v>Con precio</v>
          </cell>
        </row>
        <row r="612">
          <cell r="B612" t="str">
            <v>AGXK0005</v>
          </cell>
          <cell r="X612" t="str">
            <v>Formulación</v>
          </cell>
          <cell r="AC612">
            <v>1.7250000000000001E-2</v>
          </cell>
          <cell r="AD612">
            <v>1.4134999999999998E-2</v>
          </cell>
          <cell r="AE612" t="str">
            <v>Con precio</v>
          </cell>
        </row>
        <row r="613">
          <cell r="B613" t="str">
            <v>AGXK0005</v>
          </cell>
          <cell r="X613" t="str">
            <v>Formulación</v>
          </cell>
          <cell r="AC613">
            <v>8.8000000000000014E-4</v>
          </cell>
          <cell r="AD613">
            <v>8.8000000000000014E-4</v>
          </cell>
          <cell r="AE613" t="str">
            <v>Con precio</v>
          </cell>
        </row>
        <row r="614">
          <cell r="B614" t="str">
            <v>AGXK0005</v>
          </cell>
          <cell r="X614" t="str">
            <v>Empaquetado</v>
          </cell>
          <cell r="AC614">
            <v>1.2991333333333337E-2</v>
          </cell>
          <cell r="AD614">
            <v>1.2991333333333337E-2</v>
          </cell>
          <cell r="AE614" t="str">
            <v>Con precio</v>
          </cell>
        </row>
        <row r="615">
          <cell r="B615" t="str">
            <v>AGXK0005</v>
          </cell>
          <cell r="X615" t="str">
            <v>Empaquetado</v>
          </cell>
          <cell r="AC615">
            <v>2.5783333333333339E-2</v>
          </cell>
          <cell r="AD615">
            <v>2.5783333333333339E-2</v>
          </cell>
          <cell r="AE615" t="str">
            <v>Con precio</v>
          </cell>
        </row>
        <row r="616">
          <cell r="B616" t="str">
            <v>AGXK0005</v>
          </cell>
          <cell r="X616" t="str">
            <v>Empaquetado</v>
          </cell>
          <cell r="AC616">
            <v>2.5359983896940424E-2</v>
          </cell>
          <cell r="AD616">
            <v>2.5359983896940424E-2</v>
          </cell>
          <cell r="AE616" t="str">
            <v>Con precio</v>
          </cell>
        </row>
        <row r="617">
          <cell r="B617" t="str">
            <v>AGXK0005</v>
          </cell>
          <cell r="X617" t="str">
            <v>Empaquetado</v>
          </cell>
          <cell r="AC617">
            <v>0.17399999999999999</v>
          </cell>
          <cell r="AD617">
            <v>0.17399999999999999</v>
          </cell>
          <cell r="AE617" t="str">
            <v>Con precio</v>
          </cell>
        </row>
        <row r="618">
          <cell r="B618" t="str">
            <v>AGXK0005</v>
          </cell>
          <cell r="X618" t="str">
            <v>Empaquetado</v>
          </cell>
          <cell r="AC618">
            <v>3.4200000000000001E-2</v>
          </cell>
          <cell r="AD618">
            <v>3.4200000000000001E-2</v>
          </cell>
          <cell r="AE618" t="str">
            <v>Con precio</v>
          </cell>
        </row>
        <row r="619">
          <cell r="B619" t="str">
            <v>AGXK0005</v>
          </cell>
          <cell r="X619" t="str">
            <v>Empaquetado</v>
          </cell>
          <cell r="AC619">
            <v>3.6950017630465445E-2</v>
          </cell>
          <cell r="AD619">
            <v>3.6950017630465445E-2</v>
          </cell>
          <cell r="AE619" t="str">
            <v>Con precio</v>
          </cell>
        </row>
        <row r="620">
          <cell r="B620" t="str">
            <v>AGXK0005AZ</v>
          </cell>
          <cell r="X620" t="str">
            <v>Formulación</v>
          </cell>
          <cell r="AC620">
            <v>4.8799999999999998E-3</v>
          </cell>
          <cell r="AD620">
            <v>4.8799999999999998E-3</v>
          </cell>
          <cell r="AE620" t="str">
            <v>Con precio</v>
          </cell>
        </row>
        <row r="621">
          <cell r="B621" t="str">
            <v>AGXK0005AZ</v>
          </cell>
          <cell r="X621" t="str">
            <v>Formulación</v>
          </cell>
          <cell r="AC621">
            <v>8.6069999999999994E-2</v>
          </cell>
          <cell r="AD621">
            <v>7.9124E-2</v>
          </cell>
          <cell r="AE621" t="str">
            <v>Con precio</v>
          </cell>
        </row>
        <row r="622">
          <cell r="B622" t="str">
            <v>AGXK0005AZ</v>
          </cell>
          <cell r="X622" t="str">
            <v>Formulación</v>
          </cell>
          <cell r="AC622">
            <v>0.16499999999999998</v>
          </cell>
          <cell r="AD622">
            <v>0.16499999999999998</v>
          </cell>
          <cell r="AE622" t="str">
            <v>Con precio</v>
          </cell>
        </row>
        <row r="623">
          <cell r="B623" t="str">
            <v>AGXK0005AZ</v>
          </cell>
          <cell r="X623" t="str">
            <v>Formulación</v>
          </cell>
          <cell r="AC623">
            <v>0.53900000000000003</v>
          </cell>
          <cell r="AD623">
            <v>0.49980000000000002</v>
          </cell>
          <cell r="AE623" t="str">
            <v>Con precio</v>
          </cell>
        </row>
        <row r="624">
          <cell r="B624" t="str">
            <v>AGXK0005AZ</v>
          </cell>
          <cell r="X624" t="str">
            <v>Formulación</v>
          </cell>
          <cell r="AC624">
            <v>3.4399999999999999E-3</v>
          </cell>
          <cell r="AD624">
            <v>2.5720000000000001E-3</v>
          </cell>
          <cell r="AE624" t="str">
            <v>Con precio</v>
          </cell>
        </row>
        <row r="625">
          <cell r="B625" t="str">
            <v>AGXK0005AZ</v>
          </cell>
          <cell r="X625" t="str">
            <v>Formulación</v>
          </cell>
          <cell r="AC625">
            <v>1.7250000000000001E-2</v>
          </cell>
          <cell r="AD625">
            <v>1.4134999999999998E-2</v>
          </cell>
          <cell r="AE625" t="str">
            <v>Con precio</v>
          </cell>
        </row>
        <row r="626">
          <cell r="B626" t="str">
            <v>AGXK0005AZ</v>
          </cell>
          <cell r="X626" t="str">
            <v>Formulación</v>
          </cell>
          <cell r="AC626">
            <v>8.8000000000000014E-4</v>
          </cell>
          <cell r="AD626">
            <v>8.8000000000000014E-4</v>
          </cell>
          <cell r="AE626" t="str">
            <v>Con precio</v>
          </cell>
        </row>
        <row r="627">
          <cell r="B627" t="str">
            <v>AGXK0005AZ</v>
          </cell>
          <cell r="X627" t="str">
            <v>Empaquetado</v>
          </cell>
          <cell r="AC627">
            <v>1.2991333333333337E-2</v>
          </cell>
          <cell r="AD627">
            <v>1.2991333333333337E-2</v>
          </cell>
          <cell r="AE627" t="str">
            <v>Con precio</v>
          </cell>
        </row>
        <row r="628">
          <cell r="B628" t="str">
            <v>AGXK0005AZ</v>
          </cell>
          <cell r="X628" t="str">
            <v>Empaquetado</v>
          </cell>
          <cell r="AC628">
            <v>2.5783333333333339E-2</v>
          </cell>
          <cell r="AD628">
            <v>2.5783333333333339E-2</v>
          </cell>
          <cell r="AE628" t="str">
            <v>Con precio</v>
          </cell>
        </row>
        <row r="629">
          <cell r="B629" t="str">
            <v>AGXK0005AZ</v>
          </cell>
          <cell r="X629" t="str">
            <v>Empaquetado</v>
          </cell>
          <cell r="AC629">
            <v>2.5359983896940424E-2</v>
          </cell>
          <cell r="AD629">
            <v>2.5359983896940424E-2</v>
          </cell>
          <cell r="AE629" t="str">
            <v>Con precio</v>
          </cell>
        </row>
        <row r="630">
          <cell r="B630" t="str">
            <v>AGXK0005AZ</v>
          </cell>
          <cell r="X630" t="str">
            <v>Empaquetado</v>
          </cell>
          <cell r="AC630">
            <v>0.17399999999999999</v>
          </cell>
          <cell r="AD630">
            <v>0.17399999999999999</v>
          </cell>
          <cell r="AE630" t="str">
            <v>Con precio</v>
          </cell>
        </row>
        <row r="631">
          <cell r="B631" t="str">
            <v>AGXK0005AZ</v>
          </cell>
          <cell r="X631" t="str">
            <v>Empaquetado</v>
          </cell>
          <cell r="AC631">
            <v>3.4200000000000001E-2</v>
          </cell>
          <cell r="AD631">
            <v>3.4200000000000001E-2</v>
          </cell>
          <cell r="AE631" t="str">
            <v>Con precio</v>
          </cell>
        </row>
        <row r="632">
          <cell r="B632" t="str">
            <v>AGXK0005AZ</v>
          </cell>
          <cell r="X632" t="str">
            <v>Empaquetado</v>
          </cell>
          <cell r="AC632">
            <v>3.6950017630465445E-2</v>
          </cell>
          <cell r="AD632">
            <v>3.6950017630465445E-2</v>
          </cell>
          <cell r="AE632" t="str">
            <v>Con precio</v>
          </cell>
        </row>
        <row r="633">
          <cell r="B633" t="str">
            <v>AGXK0005EG</v>
          </cell>
          <cell r="X633" t="str">
            <v>Formulación</v>
          </cell>
          <cell r="AC633">
            <v>4.8799999999999998E-3</v>
          </cell>
          <cell r="AD633">
            <v>4.8799999999999998E-3</v>
          </cell>
          <cell r="AE633" t="str">
            <v>Con precio</v>
          </cell>
        </row>
        <row r="634">
          <cell r="B634" t="str">
            <v>AGXK0005EG</v>
          </cell>
          <cell r="X634" t="str">
            <v>Formulación</v>
          </cell>
          <cell r="AC634">
            <v>8.6069999999999994E-2</v>
          </cell>
          <cell r="AD634">
            <v>7.9124E-2</v>
          </cell>
          <cell r="AE634" t="str">
            <v>Con precio</v>
          </cell>
        </row>
        <row r="635">
          <cell r="B635" t="str">
            <v>AGXK0005EG</v>
          </cell>
          <cell r="X635" t="str">
            <v>Formulación</v>
          </cell>
          <cell r="AC635">
            <v>0.16499999999999998</v>
          </cell>
          <cell r="AD635">
            <v>0.16499999999999998</v>
          </cell>
          <cell r="AE635" t="str">
            <v>Con precio</v>
          </cell>
        </row>
        <row r="636">
          <cell r="B636" t="str">
            <v>AGXK0005EG</v>
          </cell>
          <cell r="X636" t="str">
            <v>Formulación</v>
          </cell>
          <cell r="AC636">
            <v>0.53900000000000003</v>
          </cell>
          <cell r="AD636">
            <v>0.49980000000000002</v>
          </cell>
          <cell r="AE636" t="str">
            <v>Con precio</v>
          </cell>
        </row>
        <row r="637">
          <cell r="B637" t="str">
            <v>AGXK0005EG</v>
          </cell>
          <cell r="X637" t="str">
            <v>Formulación</v>
          </cell>
          <cell r="AC637">
            <v>3.4399999999999999E-3</v>
          </cell>
          <cell r="AD637">
            <v>2.5720000000000001E-3</v>
          </cell>
          <cell r="AE637" t="str">
            <v>Con precio</v>
          </cell>
        </row>
        <row r="638">
          <cell r="B638" t="str">
            <v>AGXK0005EG</v>
          </cell>
          <cell r="X638" t="str">
            <v>Formulación</v>
          </cell>
          <cell r="AC638">
            <v>1.7250000000000001E-2</v>
          </cell>
          <cell r="AD638">
            <v>1.4134999999999998E-2</v>
          </cell>
          <cell r="AE638" t="str">
            <v>Con precio</v>
          </cell>
        </row>
        <row r="639">
          <cell r="B639" t="str">
            <v>AGXK0005EG</v>
          </cell>
          <cell r="X639" t="str">
            <v>Formulación</v>
          </cell>
          <cell r="AC639">
            <v>8.8000000000000014E-4</v>
          </cell>
          <cell r="AD639">
            <v>8.8000000000000014E-4</v>
          </cell>
          <cell r="AE639" t="str">
            <v>Con precio</v>
          </cell>
        </row>
        <row r="640">
          <cell r="B640" t="str">
            <v>AGXK0005EG</v>
          </cell>
          <cell r="X640" t="str">
            <v>Empaquetado</v>
          </cell>
          <cell r="AC640">
            <v>1.2991333333333337E-2</v>
          </cell>
          <cell r="AD640">
            <v>1.2991333333333337E-2</v>
          </cell>
          <cell r="AE640" t="str">
            <v>Con precio</v>
          </cell>
        </row>
        <row r="641">
          <cell r="B641" t="str">
            <v>AGXK0005EG</v>
          </cell>
          <cell r="X641" t="str">
            <v>Empaquetado</v>
          </cell>
          <cell r="AC641">
            <v>2.5783333333333339E-2</v>
          </cell>
          <cell r="AD641">
            <v>2.5783333333333339E-2</v>
          </cell>
          <cell r="AE641" t="str">
            <v>Con precio</v>
          </cell>
        </row>
        <row r="642">
          <cell r="B642" t="str">
            <v>AGXK0005EG</v>
          </cell>
          <cell r="X642" t="str">
            <v>Empaquetado</v>
          </cell>
          <cell r="AC642">
            <v>2.5359983896940424E-2</v>
          </cell>
          <cell r="AD642">
            <v>2.5359983896940424E-2</v>
          </cell>
          <cell r="AE642" t="str">
            <v>Con precio</v>
          </cell>
        </row>
        <row r="643">
          <cell r="B643" t="str">
            <v>AGXK0005EG</v>
          </cell>
          <cell r="X643" t="str">
            <v>Empaquetado</v>
          </cell>
          <cell r="AC643">
            <v>0.17399999999999999</v>
          </cell>
          <cell r="AD643">
            <v>0.17399999999999999</v>
          </cell>
          <cell r="AE643" t="str">
            <v>Con precio</v>
          </cell>
        </row>
        <row r="644">
          <cell r="B644" t="str">
            <v>AGXK0005EG</v>
          </cell>
          <cell r="X644" t="str">
            <v>Empaquetado</v>
          </cell>
          <cell r="AC644">
            <v>3.4200000000000001E-2</v>
          </cell>
          <cell r="AD644">
            <v>3.4200000000000001E-2</v>
          </cell>
          <cell r="AE644" t="str">
            <v>Con precio</v>
          </cell>
        </row>
        <row r="645">
          <cell r="B645" t="str">
            <v>AGXK0005EG</v>
          </cell>
          <cell r="X645" t="str">
            <v>Empaquetado</v>
          </cell>
          <cell r="AC645">
            <v>3.6950017630465445E-2</v>
          </cell>
          <cell r="AD645">
            <v>3.6950017630465445E-2</v>
          </cell>
          <cell r="AE645" t="str">
            <v>Con precio</v>
          </cell>
        </row>
        <row r="646">
          <cell r="B646" t="str">
            <v>AGXK0005GE</v>
          </cell>
          <cell r="X646" t="str">
            <v>Formulación</v>
          </cell>
          <cell r="AC646">
            <v>4.8799999999999998E-3</v>
          </cell>
          <cell r="AD646">
            <v>4.8799999999999998E-3</v>
          </cell>
          <cell r="AE646" t="str">
            <v>Con precio</v>
          </cell>
        </row>
        <row r="647">
          <cell r="B647" t="str">
            <v>AGXK0005GE</v>
          </cell>
          <cell r="X647" t="str">
            <v>Formulación</v>
          </cell>
          <cell r="AC647">
            <v>8.6069999999999994E-2</v>
          </cell>
          <cell r="AD647">
            <v>7.9124E-2</v>
          </cell>
          <cell r="AE647" t="str">
            <v>Con precio</v>
          </cell>
        </row>
        <row r="648">
          <cell r="B648" t="str">
            <v>AGXK0005GE</v>
          </cell>
          <cell r="X648" t="str">
            <v>Formulación</v>
          </cell>
          <cell r="AC648">
            <v>0.16499999999999998</v>
          </cell>
          <cell r="AD648">
            <v>0.16499999999999998</v>
          </cell>
          <cell r="AE648" t="str">
            <v>Con precio</v>
          </cell>
        </row>
        <row r="649">
          <cell r="B649" t="str">
            <v>AGXK0005GE</v>
          </cell>
          <cell r="X649" t="str">
            <v>Formulación</v>
          </cell>
          <cell r="AC649">
            <v>0.53900000000000003</v>
          </cell>
          <cell r="AD649">
            <v>0.49980000000000002</v>
          </cell>
          <cell r="AE649" t="str">
            <v>Con precio</v>
          </cell>
        </row>
        <row r="650">
          <cell r="B650" t="str">
            <v>AGXK0005GE</v>
          </cell>
          <cell r="X650" t="str">
            <v>Formulación</v>
          </cell>
          <cell r="AC650">
            <v>3.4399999999999999E-3</v>
          </cell>
          <cell r="AD650">
            <v>2.5720000000000001E-3</v>
          </cell>
          <cell r="AE650" t="str">
            <v>Con precio</v>
          </cell>
        </row>
        <row r="651">
          <cell r="B651" t="str">
            <v>AGXK0005GE</v>
          </cell>
          <cell r="X651" t="str">
            <v>Formulación</v>
          </cell>
          <cell r="AC651">
            <v>1.7250000000000001E-2</v>
          </cell>
          <cell r="AD651">
            <v>1.4134999999999998E-2</v>
          </cell>
          <cell r="AE651" t="str">
            <v>Con precio</v>
          </cell>
        </row>
        <row r="652">
          <cell r="B652" t="str">
            <v>AGXK0005GE</v>
          </cell>
          <cell r="X652" t="str">
            <v>Formulación</v>
          </cell>
          <cell r="AC652">
            <v>8.8000000000000014E-4</v>
          </cell>
          <cell r="AD652">
            <v>8.8000000000000014E-4</v>
          </cell>
          <cell r="AE652" t="str">
            <v>Con precio</v>
          </cell>
        </row>
        <row r="653">
          <cell r="B653" t="str">
            <v>AGXK0005GE</v>
          </cell>
          <cell r="X653" t="str">
            <v>Empaquetado</v>
          </cell>
          <cell r="AC653">
            <v>1.2991333333333337E-2</v>
          </cell>
          <cell r="AD653">
            <v>1.2991333333333337E-2</v>
          </cell>
          <cell r="AE653" t="str">
            <v>Con precio</v>
          </cell>
        </row>
        <row r="654">
          <cell r="B654" t="str">
            <v>AGXK0005GE</v>
          </cell>
          <cell r="X654" t="str">
            <v>Empaquetado</v>
          </cell>
          <cell r="AC654">
            <v>2.5783333333333339E-2</v>
          </cell>
          <cell r="AD654">
            <v>2.5783333333333339E-2</v>
          </cell>
          <cell r="AE654" t="str">
            <v>Con precio</v>
          </cell>
        </row>
        <row r="655">
          <cell r="B655" t="str">
            <v>AGXK0005GE</v>
          </cell>
          <cell r="X655" t="str">
            <v>Empaquetado</v>
          </cell>
          <cell r="AC655">
            <v>2.5359983896940424E-2</v>
          </cell>
          <cell r="AD655">
            <v>2.5359983896940424E-2</v>
          </cell>
          <cell r="AE655" t="str">
            <v>Con precio</v>
          </cell>
        </row>
        <row r="656">
          <cell r="B656" t="str">
            <v>AGXK0005GE</v>
          </cell>
          <cell r="X656" t="str">
            <v>Empaquetado</v>
          </cell>
          <cell r="AC656">
            <v>0.17399999999999999</v>
          </cell>
          <cell r="AD656">
            <v>0.17399999999999999</v>
          </cell>
          <cell r="AE656" t="str">
            <v>Con precio</v>
          </cell>
        </row>
        <row r="657">
          <cell r="B657" t="str">
            <v>AGXK0005GE</v>
          </cell>
          <cell r="X657" t="str">
            <v>Empaquetado</v>
          </cell>
          <cell r="AC657">
            <v>3.4200000000000001E-2</v>
          </cell>
          <cell r="AD657">
            <v>3.4200000000000001E-2</v>
          </cell>
          <cell r="AE657" t="str">
            <v>Con precio</v>
          </cell>
        </row>
        <row r="658">
          <cell r="B658" t="str">
            <v>AGXK0005GE</v>
          </cell>
          <cell r="X658" t="str">
            <v>Empaquetado</v>
          </cell>
          <cell r="AC658">
            <v>3.6950017630465445E-2</v>
          </cell>
          <cell r="AD658">
            <v>3.6950017630465445E-2</v>
          </cell>
          <cell r="AE658" t="str">
            <v>Con precio</v>
          </cell>
        </row>
        <row r="659">
          <cell r="B659" t="str">
            <v>AGXK0005MX</v>
          </cell>
          <cell r="X659" t="str">
            <v>Formulación</v>
          </cell>
          <cell r="AC659">
            <v>4.8799999999999998E-3</v>
          </cell>
          <cell r="AD659">
            <v>4.8799999999999998E-3</v>
          </cell>
          <cell r="AE659" t="str">
            <v>Con precio</v>
          </cell>
        </row>
        <row r="660">
          <cell r="B660" t="str">
            <v>AGXK0005MX</v>
          </cell>
          <cell r="X660" t="str">
            <v>Formulación</v>
          </cell>
          <cell r="AC660">
            <v>8.6069999999999994E-2</v>
          </cell>
          <cell r="AD660">
            <v>7.9124E-2</v>
          </cell>
          <cell r="AE660" t="str">
            <v>Con precio</v>
          </cell>
        </row>
        <row r="661">
          <cell r="B661" t="str">
            <v>AGXK0005MX</v>
          </cell>
          <cell r="X661" t="str">
            <v>Formulación</v>
          </cell>
          <cell r="AC661">
            <v>0.16499999999999998</v>
          </cell>
          <cell r="AD661">
            <v>0.16499999999999998</v>
          </cell>
          <cell r="AE661" t="str">
            <v>Con precio</v>
          </cell>
        </row>
        <row r="662">
          <cell r="B662" t="str">
            <v>AGXK0005MX</v>
          </cell>
          <cell r="X662" t="str">
            <v>Formulación</v>
          </cell>
          <cell r="AC662">
            <v>0.53900000000000003</v>
          </cell>
          <cell r="AD662">
            <v>0.49980000000000002</v>
          </cell>
          <cell r="AE662" t="str">
            <v>Con precio</v>
          </cell>
        </row>
        <row r="663">
          <cell r="B663" t="str">
            <v>AGXK0005MX</v>
          </cell>
          <cell r="X663" t="str">
            <v>Formulación</v>
          </cell>
          <cell r="AC663">
            <v>3.4399999999999999E-3</v>
          </cell>
          <cell r="AD663">
            <v>2.5720000000000001E-3</v>
          </cell>
          <cell r="AE663" t="str">
            <v>Con precio</v>
          </cell>
        </row>
        <row r="664">
          <cell r="B664" t="str">
            <v>AGXK0005MX</v>
          </cell>
          <cell r="X664" t="str">
            <v>Formulación</v>
          </cell>
          <cell r="AC664">
            <v>1.7250000000000001E-2</v>
          </cell>
          <cell r="AD664">
            <v>1.4134999999999998E-2</v>
          </cell>
          <cell r="AE664" t="str">
            <v>Con precio</v>
          </cell>
        </row>
        <row r="665">
          <cell r="B665" t="str">
            <v>AGXK0005MX</v>
          </cell>
          <cell r="X665" t="str">
            <v>Formulación</v>
          </cell>
          <cell r="AC665">
            <v>8.8000000000000014E-4</v>
          </cell>
          <cell r="AD665">
            <v>8.8000000000000014E-4</v>
          </cell>
          <cell r="AE665" t="str">
            <v>Con precio</v>
          </cell>
        </row>
        <row r="666">
          <cell r="B666" t="str">
            <v>AGXK0005MX</v>
          </cell>
          <cell r="X666" t="str">
            <v>Empaquetado</v>
          </cell>
          <cell r="AC666">
            <v>1.2991333333333337E-2</v>
          </cell>
          <cell r="AD666">
            <v>1.2991333333333337E-2</v>
          </cell>
          <cell r="AE666" t="str">
            <v>Con precio</v>
          </cell>
        </row>
        <row r="667">
          <cell r="B667" t="str">
            <v>AGXK0005MX</v>
          </cell>
          <cell r="X667" t="str">
            <v>Empaquetado</v>
          </cell>
          <cell r="AC667">
            <v>2.5783333333333339E-2</v>
          </cell>
          <cell r="AD667">
            <v>2.5783333333333339E-2</v>
          </cell>
          <cell r="AE667" t="str">
            <v>Con precio</v>
          </cell>
        </row>
        <row r="668">
          <cell r="B668" t="str">
            <v>AGXK0005MX</v>
          </cell>
          <cell r="X668" t="str">
            <v>Empaquetado</v>
          </cell>
          <cell r="AC668">
            <v>2.5359983896940424E-2</v>
          </cell>
          <cell r="AD668">
            <v>2.5359983896940424E-2</v>
          </cell>
          <cell r="AE668" t="str">
            <v>Con precio</v>
          </cell>
        </row>
        <row r="669">
          <cell r="B669" t="str">
            <v>AGXK0005MX</v>
          </cell>
          <cell r="X669" t="str">
            <v>Empaquetado</v>
          </cell>
          <cell r="AC669">
            <v>0.17399999999999999</v>
          </cell>
          <cell r="AD669">
            <v>0.17399999999999999</v>
          </cell>
          <cell r="AE669" t="str">
            <v>Con precio</v>
          </cell>
        </row>
        <row r="670">
          <cell r="B670" t="str">
            <v>AGXK0005MX</v>
          </cell>
          <cell r="X670" t="str">
            <v>Empaquetado</v>
          </cell>
          <cell r="AC670">
            <v>3.4200000000000001E-2</v>
          </cell>
          <cell r="AD670">
            <v>3.4200000000000001E-2</v>
          </cell>
          <cell r="AE670" t="str">
            <v>Con precio</v>
          </cell>
        </row>
        <row r="671">
          <cell r="B671" t="str">
            <v>AGXK0005MX</v>
          </cell>
          <cell r="X671" t="str">
            <v>Empaquetado</v>
          </cell>
          <cell r="AC671">
            <v>3.6950017630465445E-2</v>
          </cell>
          <cell r="AD671">
            <v>3.6950017630465445E-2</v>
          </cell>
          <cell r="AE671" t="str">
            <v>Con precio</v>
          </cell>
        </row>
        <row r="672">
          <cell r="B672" t="str">
            <v>AGXK0020</v>
          </cell>
          <cell r="X672" t="str">
            <v>Formulación</v>
          </cell>
          <cell r="AC672">
            <v>4.8799999999999998E-3</v>
          </cell>
          <cell r="AD672">
            <v>4.8799999999999998E-3</v>
          </cell>
          <cell r="AE672" t="str">
            <v>Con precio</v>
          </cell>
        </row>
        <row r="673">
          <cell r="B673" t="str">
            <v>AGXK0020</v>
          </cell>
          <cell r="X673" t="str">
            <v>Formulación</v>
          </cell>
          <cell r="AC673">
            <v>8.6069999999999994E-2</v>
          </cell>
          <cell r="AD673">
            <v>7.9124E-2</v>
          </cell>
          <cell r="AE673" t="str">
            <v>Con precio</v>
          </cell>
        </row>
        <row r="674">
          <cell r="B674" t="str">
            <v>AGXK0020</v>
          </cell>
          <cell r="X674" t="str">
            <v>Formulación</v>
          </cell>
          <cell r="AC674">
            <v>0.16499999999999998</v>
          </cell>
          <cell r="AD674">
            <v>0.16499999999999998</v>
          </cell>
          <cell r="AE674" t="str">
            <v>Con precio</v>
          </cell>
        </row>
        <row r="675">
          <cell r="B675" t="str">
            <v>AGXK0020</v>
          </cell>
          <cell r="X675" t="str">
            <v>Formulación</v>
          </cell>
          <cell r="AC675">
            <v>0.53900000000000003</v>
          </cell>
          <cell r="AD675">
            <v>0.49980000000000002</v>
          </cell>
          <cell r="AE675" t="str">
            <v>Con precio</v>
          </cell>
        </row>
        <row r="676">
          <cell r="B676" t="str">
            <v>AGXK0020</v>
          </cell>
          <cell r="X676" t="str">
            <v>Formulación</v>
          </cell>
          <cell r="AC676">
            <v>3.4399999999999999E-3</v>
          </cell>
          <cell r="AD676">
            <v>2.5720000000000001E-3</v>
          </cell>
          <cell r="AE676" t="str">
            <v>Con precio</v>
          </cell>
        </row>
        <row r="677">
          <cell r="B677" t="str">
            <v>AGXK0020</v>
          </cell>
          <cell r="X677" t="str">
            <v>Formulación</v>
          </cell>
          <cell r="AC677">
            <v>1.7250000000000001E-2</v>
          </cell>
          <cell r="AD677">
            <v>1.4134999999999998E-2</v>
          </cell>
          <cell r="AE677" t="str">
            <v>Con precio</v>
          </cell>
        </row>
        <row r="678">
          <cell r="B678" t="str">
            <v>AGXK0020</v>
          </cell>
          <cell r="X678" t="str">
            <v>Formulación</v>
          </cell>
          <cell r="AC678">
            <v>8.8000000000000014E-4</v>
          </cell>
          <cell r="AD678">
            <v>8.8000000000000014E-4</v>
          </cell>
          <cell r="AE678" t="str">
            <v>Con precio</v>
          </cell>
        </row>
        <row r="679">
          <cell r="B679" t="str">
            <v>AGXK0020</v>
          </cell>
          <cell r="X679" t="str">
            <v>Empaquetado</v>
          </cell>
          <cell r="AC679">
            <v>7.3209374999999993E-3</v>
          </cell>
          <cell r="AD679">
            <v>7.3209374999999993E-3</v>
          </cell>
          <cell r="AE679" t="str">
            <v>Con precio</v>
          </cell>
        </row>
        <row r="680">
          <cell r="B680" t="str">
            <v>AGXK0020</v>
          </cell>
          <cell r="X680" t="str">
            <v>Empaquetado</v>
          </cell>
          <cell r="AC680">
            <v>2.4171875000000002E-2</v>
          </cell>
          <cell r="AD680">
            <v>2.4171875000000002E-2</v>
          </cell>
          <cell r="AE680" t="str">
            <v>Con precio</v>
          </cell>
        </row>
        <row r="681">
          <cell r="B681" t="str">
            <v>AGXK0020</v>
          </cell>
          <cell r="X681" t="str">
            <v>Empaquetado</v>
          </cell>
          <cell r="AC681">
            <v>5.0719967793880849E-3</v>
          </cell>
          <cell r="AD681">
            <v>5.0719967793880849E-3</v>
          </cell>
          <cell r="AE681" t="str">
            <v>Con precio</v>
          </cell>
        </row>
        <row r="682">
          <cell r="B682" t="str">
            <v>AGXK0020</v>
          </cell>
          <cell r="X682" t="str">
            <v>Empaquetado</v>
          </cell>
          <cell r="AC682">
            <v>0.18266505681818179</v>
          </cell>
          <cell r="AD682">
            <v>0.18266505681818179</v>
          </cell>
          <cell r="AE682" t="str">
            <v>Con precio</v>
          </cell>
        </row>
        <row r="683">
          <cell r="B683" t="str">
            <v>AGXK0020</v>
          </cell>
          <cell r="X683" t="str">
            <v>Empaquetado</v>
          </cell>
          <cell r="AC683">
            <v>1.2352941176470591E-2</v>
          </cell>
          <cell r="AD683">
            <v>1.2352941176470591E-2</v>
          </cell>
          <cell r="AE683" t="str">
            <v>Con precio</v>
          </cell>
        </row>
        <row r="684">
          <cell r="B684" t="str">
            <v>AGXK0020AZ</v>
          </cell>
          <cell r="X684" t="str">
            <v>Formulación</v>
          </cell>
          <cell r="AC684">
            <v>4.8799999999999998E-3</v>
          </cell>
          <cell r="AD684">
            <v>4.8799999999999998E-3</v>
          </cell>
          <cell r="AE684" t="str">
            <v>Con precio</v>
          </cell>
        </row>
        <row r="685">
          <cell r="B685" t="str">
            <v>AGXK0020AZ</v>
          </cell>
          <cell r="X685" t="str">
            <v>Formulación</v>
          </cell>
          <cell r="AC685">
            <v>8.6069999999999994E-2</v>
          </cell>
          <cell r="AD685">
            <v>7.9124E-2</v>
          </cell>
          <cell r="AE685" t="str">
            <v>Con precio</v>
          </cell>
        </row>
        <row r="686">
          <cell r="B686" t="str">
            <v>AGXK0020AZ</v>
          </cell>
          <cell r="X686" t="str">
            <v>Formulación</v>
          </cell>
          <cell r="AC686">
            <v>0.16499999999999998</v>
          </cell>
          <cell r="AD686">
            <v>0.16499999999999998</v>
          </cell>
          <cell r="AE686" t="str">
            <v>Con precio</v>
          </cell>
        </row>
        <row r="687">
          <cell r="B687" t="str">
            <v>AGXK0020AZ</v>
          </cell>
          <cell r="X687" t="str">
            <v>Formulación</v>
          </cell>
          <cell r="AC687">
            <v>0.53900000000000003</v>
          </cell>
          <cell r="AD687">
            <v>0.49980000000000002</v>
          </cell>
          <cell r="AE687" t="str">
            <v>Con precio</v>
          </cell>
        </row>
        <row r="688">
          <cell r="B688" t="str">
            <v>AGXK0020AZ</v>
          </cell>
          <cell r="X688" t="str">
            <v>Formulación</v>
          </cell>
          <cell r="AC688">
            <v>3.4399999999999999E-3</v>
          </cell>
          <cell r="AD688">
            <v>2.5720000000000001E-3</v>
          </cell>
          <cell r="AE688" t="str">
            <v>Con precio</v>
          </cell>
        </row>
        <row r="689">
          <cell r="B689" t="str">
            <v>AGXK0020AZ</v>
          </cell>
          <cell r="X689" t="str">
            <v>Formulación</v>
          </cell>
          <cell r="AC689">
            <v>1.7250000000000001E-2</v>
          </cell>
          <cell r="AD689">
            <v>1.4134999999999998E-2</v>
          </cell>
          <cell r="AE689" t="str">
            <v>Con precio</v>
          </cell>
        </row>
        <row r="690">
          <cell r="B690" t="str">
            <v>AGXK0020AZ</v>
          </cell>
          <cell r="X690" t="str">
            <v>Formulación</v>
          </cell>
          <cell r="AC690">
            <v>8.8000000000000014E-4</v>
          </cell>
          <cell r="AD690">
            <v>8.8000000000000014E-4</v>
          </cell>
          <cell r="AE690" t="str">
            <v>Con precio</v>
          </cell>
        </row>
        <row r="691">
          <cell r="B691" t="str">
            <v>AGXK0020AZ</v>
          </cell>
          <cell r="X691" t="str">
            <v>Empaquetado</v>
          </cell>
          <cell r="AC691">
            <v>7.3209374999999993E-3</v>
          </cell>
          <cell r="AD691">
            <v>7.3209374999999993E-3</v>
          </cell>
          <cell r="AE691" t="str">
            <v>Con precio</v>
          </cell>
        </row>
        <row r="692">
          <cell r="B692" t="str">
            <v>AGXK0020AZ</v>
          </cell>
          <cell r="X692" t="str">
            <v>Empaquetado</v>
          </cell>
          <cell r="AC692">
            <v>2.4171875000000002E-2</v>
          </cell>
          <cell r="AD692">
            <v>2.4171875000000002E-2</v>
          </cell>
          <cell r="AE692" t="str">
            <v>Con precio</v>
          </cell>
        </row>
        <row r="693">
          <cell r="B693" t="str">
            <v>AGXK0020AZ</v>
          </cell>
          <cell r="X693" t="str">
            <v>Empaquetado</v>
          </cell>
          <cell r="AC693">
            <v>5.0719967793880849E-3</v>
          </cell>
          <cell r="AD693">
            <v>5.0719967793880849E-3</v>
          </cell>
          <cell r="AE693" t="str">
            <v>Con precio</v>
          </cell>
        </row>
        <row r="694">
          <cell r="B694" t="str">
            <v>AGXK0020AZ</v>
          </cell>
          <cell r="X694" t="str">
            <v>Empaquetado</v>
          </cell>
          <cell r="AC694">
            <v>0.18266505681818179</v>
          </cell>
          <cell r="AD694">
            <v>0.18266505681818179</v>
          </cell>
          <cell r="AE694" t="str">
            <v>Con precio</v>
          </cell>
        </row>
        <row r="695">
          <cell r="B695" t="str">
            <v>AGXK0020AZ</v>
          </cell>
          <cell r="X695" t="str">
            <v>Empaquetado</v>
          </cell>
          <cell r="AC695">
            <v>1.2352941176470591E-2</v>
          </cell>
          <cell r="AD695">
            <v>1.2352941176470591E-2</v>
          </cell>
          <cell r="AE695" t="str">
            <v>Con precio</v>
          </cell>
        </row>
        <row r="696">
          <cell r="B696" t="str">
            <v>AGXK0020MA</v>
          </cell>
          <cell r="X696" t="str">
            <v>Formulación</v>
          </cell>
          <cell r="AC696">
            <v>4.8799999999999998E-3</v>
          </cell>
          <cell r="AD696">
            <v>4.8799999999999998E-3</v>
          </cell>
          <cell r="AE696" t="str">
            <v>Con precio</v>
          </cell>
        </row>
        <row r="697">
          <cell r="B697" t="str">
            <v>AGXK0020MA</v>
          </cell>
          <cell r="X697" t="str">
            <v>Formulación</v>
          </cell>
          <cell r="AC697">
            <v>8.6069999999999994E-2</v>
          </cell>
          <cell r="AD697">
            <v>7.9124E-2</v>
          </cell>
          <cell r="AE697" t="str">
            <v>Con precio</v>
          </cell>
        </row>
        <row r="698">
          <cell r="B698" t="str">
            <v>AGXK0020MA</v>
          </cell>
          <cell r="X698" t="str">
            <v>Formulación</v>
          </cell>
          <cell r="AC698">
            <v>0.16499999999999998</v>
          </cell>
          <cell r="AD698">
            <v>0.16499999999999998</v>
          </cell>
          <cell r="AE698" t="str">
            <v>Con precio</v>
          </cell>
        </row>
        <row r="699">
          <cell r="B699" t="str">
            <v>AGXK0020MA</v>
          </cell>
          <cell r="X699" t="str">
            <v>Formulación</v>
          </cell>
          <cell r="AC699">
            <v>0.53900000000000003</v>
          </cell>
          <cell r="AD699">
            <v>0.49980000000000002</v>
          </cell>
          <cell r="AE699" t="str">
            <v>Con precio</v>
          </cell>
        </row>
        <row r="700">
          <cell r="B700" t="str">
            <v>AGXK0020MA</v>
          </cell>
          <cell r="X700" t="str">
            <v>Formulación</v>
          </cell>
          <cell r="AC700">
            <v>3.4399999999999999E-3</v>
          </cell>
          <cell r="AD700">
            <v>2.5720000000000001E-3</v>
          </cell>
          <cell r="AE700" t="str">
            <v>Con precio</v>
          </cell>
        </row>
        <row r="701">
          <cell r="B701" t="str">
            <v>AGXK0020MA</v>
          </cell>
          <cell r="X701" t="str">
            <v>Formulación</v>
          </cell>
          <cell r="AC701">
            <v>1.7250000000000001E-2</v>
          </cell>
          <cell r="AD701">
            <v>1.4134999999999998E-2</v>
          </cell>
          <cell r="AE701" t="str">
            <v>Con precio</v>
          </cell>
        </row>
        <row r="702">
          <cell r="B702" t="str">
            <v>AGXK0020MA</v>
          </cell>
          <cell r="X702" t="str">
            <v>Formulación</v>
          </cell>
          <cell r="AC702">
            <v>8.8000000000000014E-4</v>
          </cell>
          <cell r="AD702">
            <v>8.8000000000000014E-4</v>
          </cell>
          <cell r="AE702" t="str">
            <v>Con precio</v>
          </cell>
        </row>
        <row r="703">
          <cell r="B703" t="str">
            <v>AGXK0020MA</v>
          </cell>
          <cell r="X703" t="str">
            <v>Empaquetado</v>
          </cell>
          <cell r="AC703">
            <v>7.3209374999999993E-3</v>
          </cell>
          <cell r="AD703">
            <v>7.3209374999999993E-3</v>
          </cell>
          <cell r="AE703" t="str">
            <v>Con precio</v>
          </cell>
        </row>
        <row r="704">
          <cell r="B704" t="str">
            <v>AGXK0020MA</v>
          </cell>
          <cell r="X704" t="str">
            <v>Empaquetado</v>
          </cell>
          <cell r="AC704">
            <v>2.4171875000000002E-2</v>
          </cell>
          <cell r="AD704">
            <v>2.4171875000000002E-2</v>
          </cell>
          <cell r="AE704" t="str">
            <v>Con precio</v>
          </cell>
        </row>
        <row r="705">
          <cell r="B705" t="str">
            <v>AGXK0020MA</v>
          </cell>
          <cell r="X705" t="str">
            <v>Empaquetado</v>
          </cell>
          <cell r="AC705">
            <v>5.0719967793880849E-3</v>
          </cell>
          <cell r="AD705">
            <v>5.0719967793880849E-3</v>
          </cell>
          <cell r="AE705" t="str">
            <v>Con precio</v>
          </cell>
        </row>
        <row r="706">
          <cell r="B706" t="str">
            <v>AGXK0020MA</v>
          </cell>
          <cell r="X706" t="str">
            <v>Empaquetado</v>
          </cell>
          <cell r="AC706">
            <v>0.18266505681818179</v>
          </cell>
          <cell r="AD706">
            <v>0.18266505681818179</v>
          </cell>
          <cell r="AE706" t="str">
            <v>Con precio</v>
          </cell>
        </row>
        <row r="707">
          <cell r="B707" t="str">
            <v>AGXK0020MA</v>
          </cell>
          <cell r="X707" t="str">
            <v>Empaquetado</v>
          </cell>
          <cell r="AC707">
            <v>1.2352941176470591E-2</v>
          </cell>
          <cell r="AD707">
            <v>1.2352941176470591E-2</v>
          </cell>
          <cell r="AE707" t="str">
            <v>Con precio</v>
          </cell>
        </row>
        <row r="708">
          <cell r="B708" t="str">
            <v>AGXK0020MX</v>
          </cell>
          <cell r="X708" t="str">
            <v>Formulación</v>
          </cell>
          <cell r="AC708">
            <v>4.8799999999999998E-3</v>
          </cell>
          <cell r="AD708">
            <v>4.8799999999999998E-3</v>
          </cell>
          <cell r="AE708" t="str">
            <v>Con precio</v>
          </cell>
        </row>
        <row r="709">
          <cell r="B709" t="str">
            <v>AGXK0020MX</v>
          </cell>
          <cell r="X709" t="str">
            <v>Formulación</v>
          </cell>
          <cell r="AC709">
            <v>8.6069999999999994E-2</v>
          </cell>
          <cell r="AD709">
            <v>7.9124E-2</v>
          </cell>
          <cell r="AE709" t="str">
            <v>Con precio</v>
          </cell>
        </row>
        <row r="710">
          <cell r="B710" t="str">
            <v>AGXK0020MX</v>
          </cell>
          <cell r="X710" t="str">
            <v>Formulación</v>
          </cell>
          <cell r="AC710">
            <v>0.16499999999999998</v>
          </cell>
          <cell r="AD710">
            <v>0.16499999999999998</v>
          </cell>
          <cell r="AE710" t="str">
            <v>Con precio</v>
          </cell>
        </row>
        <row r="711">
          <cell r="B711" t="str">
            <v>AGXK0020MX</v>
          </cell>
          <cell r="X711" t="str">
            <v>Formulación</v>
          </cell>
          <cell r="AC711">
            <v>0.53900000000000003</v>
          </cell>
          <cell r="AD711">
            <v>0.49980000000000002</v>
          </cell>
          <cell r="AE711" t="str">
            <v>Con precio</v>
          </cell>
        </row>
        <row r="712">
          <cell r="B712" t="str">
            <v>AGXK0020MX</v>
          </cell>
          <cell r="X712" t="str">
            <v>Formulación</v>
          </cell>
          <cell r="AC712">
            <v>3.4399999999999999E-3</v>
          </cell>
          <cell r="AD712">
            <v>2.5720000000000001E-3</v>
          </cell>
          <cell r="AE712" t="str">
            <v>Con precio</v>
          </cell>
        </row>
        <row r="713">
          <cell r="B713" t="str">
            <v>AGXK0020MX</v>
          </cell>
          <cell r="X713" t="str">
            <v>Formulación</v>
          </cell>
          <cell r="AC713">
            <v>1.7250000000000001E-2</v>
          </cell>
          <cell r="AD713">
            <v>1.4134999999999998E-2</v>
          </cell>
          <cell r="AE713" t="str">
            <v>Con precio</v>
          </cell>
        </row>
        <row r="714">
          <cell r="B714" t="str">
            <v>AGXK0020MX</v>
          </cell>
          <cell r="X714" t="str">
            <v>Formulación</v>
          </cell>
          <cell r="AC714">
            <v>8.8000000000000014E-4</v>
          </cell>
          <cell r="AD714">
            <v>8.8000000000000014E-4</v>
          </cell>
          <cell r="AE714" t="str">
            <v>Con precio</v>
          </cell>
        </row>
        <row r="715">
          <cell r="B715" t="str">
            <v>AGXK0020MX</v>
          </cell>
          <cell r="X715" t="str">
            <v>Empaquetado</v>
          </cell>
          <cell r="AC715">
            <v>7.3209374999999993E-3</v>
          </cell>
          <cell r="AD715">
            <v>7.3209374999999993E-3</v>
          </cell>
          <cell r="AE715" t="str">
            <v>Con precio</v>
          </cell>
        </row>
        <row r="716">
          <cell r="B716" t="str">
            <v>AGXK0020MX</v>
          </cell>
          <cell r="X716" t="str">
            <v>Empaquetado</v>
          </cell>
          <cell r="AC716">
            <v>2.4171875000000002E-2</v>
          </cell>
          <cell r="AD716">
            <v>2.4171875000000002E-2</v>
          </cell>
          <cell r="AE716" t="str">
            <v>Con precio</v>
          </cell>
        </row>
        <row r="717">
          <cell r="B717" t="str">
            <v>AGXK0020MX</v>
          </cell>
          <cell r="X717" t="str">
            <v>Empaquetado</v>
          </cell>
          <cell r="AC717">
            <v>5.0719967793880849E-3</v>
          </cell>
          <cell r="AD717">
            <v>5.0719967793880849E-3</v>
          </cell>
          <cell r="AE717" t="str">
            <v>Con precio</v>
          </cell>
        </row>
        <row r="718">
          <cell r="B718" t="str">
            <v>AGXK0020MX</v>
          </cell>
          <cell r="X718" t="str">
            <v>Empaquetado</v>
          </cell>
          <cell r="AC718">
            <v>0.18266505681818179</v>
          </cell>
          <cell r="AD718">
            <v>0.18266505681818179</v>
          </cell>
          <cell r="AE718" t="str">
            <v>Con precio</v>
          </cell>
        </row>
        <row r="719">
          <cell r="B719" t="str">
            <v>AGXK0020MX</v>
          </cell>
          <cell r="X719" t="str">
            <v>Empaquetado</v>
          </cell>
          <cell r="AC719">
            <v>1.2352941176470591E-2</v>
          </cell>
          <cell r="AD719">
            <v>1.2352941176470591E-2</v>
          </cell>
          <cell r="AE719" t="str">
            <v>Con precio</v>
          </cell>
        </row>
        <row r="720">
          <cell r="B720" t="str">
            <v>AGXK0200</v>
          </cell>
          <cell r="X720" t="str">
            <v>Formulación</v>
          </cell>
          <cell r="AC720">
            <v>4.8799999999999998E-3</v>
          </cell>
          <cell r="AD720">
            <v>4.8799999999999998E-3</v>
          </cell>
          <cell r="AE720" t="str">
            <v>Con precio</v>
          </cell>
        </row>
        <row r="721">
          <cell r="B721" t="str">
            <v>AGXK0200</v>
          </cell>
          <cell r="X721" t="str">
            <v>Formulación</v>
          </cell>
          <cell r="AC721">
            <v>8.6069999999999994E-2</v>
          </cell>
          <cell r="AD721">
            <v>7.9124E-2</v>
          </cell>
          <cell r="AE721" t="str">
            <v>Con precio</v>
          </cell>
        </row>
        <row r="722">
          <cell r="B722" t="str">
            <v>AGXK0200</v>
          </cell>
          <cell r="X722" t="str">
            <v>Formulación</v>
          </cell>
          <cell r="AC722">
            <v>0.16499999999999998</v>
          </cell>
          <cell r="AD722">
            <v>0.16499999999999998</v>
          </cell>
          <cell r="AE722" t="str">
            <v>Con precio</v>
          </cell>
        </row>
        <row r="723">
          <cell r="B723" t="str">
            <v>AGXK0200</v>
          </cell>
          <cell r="X723" t="str">
            <v>Formulación</v>
          </cell>
          <cell r="AC723">
            <v>0.53900000000000003</v>
          </cell>
          <cell r="AD723">
            <v>0.49980000000000002</v>
          </cell>
          <cell r="AE723" t="str">
            <v>Con precio</v>
          </cell>
        </row>
        <row r="724">
          <cell r="B724" t="str">
            <v>AGXK0200</v>
          </cell>
          <cell r="X724" t="str">
            <v>Formulación</v>
          </cell>
          <cell r="AC724">
            <v>3.4399999999999999E-3</v>
          </cell>
          <cell r="AD724">
            <v>2.5720000000000001E-3</v>
          </cell>
          <cell r="AE724" t="str">
            <v>Con precio</v>
          </cell>
        </row>
        <row r="725">
          <cell r="B725" t="str">
            <v>AGXK0200</v>
          </cell>
          <cell r="X725" t="str">
            <v>Formulación</v>
          </cell>
          <cell r="AC725">
            <v>1.7250000000000001E-2</v>
          </cell>
          <cell r="AD725">
            <v>1.4134999999999998E-2</v>
          </cell>
          <cell r="AE725" t="str">
            <v>Con precio</v>
          </cell>
        </row>
        <row r="726">
          <cell r="B726" t="str">
            <v>AGXK0200</v>
          </cell>
          <cell r="X726" t="str">
            <v>Formulación</v>
          </cell>
          <cell r="AC726">
            <v>8.8000000000000014E-4</v>
          </cell>
          <cell r="AD726">
            <v>8.8000000000000014E-4</v>
          </cell>
          <cell r="AE726" t="str">
            <v>Con precio</v>
          </cell>
        </row>
        <row r="727">
          <cell r="B727" t="str">
            <v>AGXK0200</v>
          </cell>
          <cell r="X727" t="str">
            <v>Empaquetado</v>
          </cell>
          <cell r="AC727">
            <v>5.0719967793880845E-4</v>
          </cell>
          <cell r="AD727">
            <v>5.0719967793880845E-4</v>
          </cell>
          <cell r="AE727" t="str">
            <v>Con precio</v>
          </cell>
        </row>
        <row r="728">
          <cell r="B728" t="str">
            <v>AGXK0200</v>
          </cell>
          <cell r="X728" t="str">
            <v>Empaquetado</v>
          </cell>
          <cell r="AC728">
            <v>2.1875000000000002E-3</v>
          </cell>
          <cell r="AD728">
            <v>2.1875000000000002E-3</v>
          </cell>
          <cell r="AE728" t="str">
            <v>Con precio</v>
          </cell>
        </row>
        <row r="729">
          <cell r="B729" t="str">
            <v>AGXK0200</v>
          </cell>
          <cell r="X729" t="str">
            <v>Empaquetado</v>
          </cell>
          <cell r="AC729">
            <v>0.16730511363636363</v>
          </cell>
          <cell r="AD729">
            <v>0.16730511363636363</v>
          </cell>
          <cell r="AE729" t="str">
            <v>Con precio</v>
          </cell>
        </row>
        <row r="730">
          <cell r="B730" t="str">
            <v>AGXK0200</v>
          </cell>
          <cell r="X730" t="str">
            <v>Empaquetado</v>
          </cell>
          <cell r="AC730">
            <v>1.9337500000000001E-2</v>
          </cell>
          <cell r="AD730">
            <v>1.9337500000000001E-2</v>
          </cell>
          <cell r="AE730" t="str">
            <v>Con precio</v>
          </cell>
        </row>
        <row r="731">
          <cell r="B731" t="str">
            <v>AGXK0200</v>
          </cell>
          <cell r="X731" t="str">
            <v>Empaquetado</v>
          </cell>
          <cell r="AC731">
            <v>3.4999999999999996E-3</v>
          </cell>
          <cell r="AD731">
            <v>3.4999999999999996E-3</v>
          </cell>
          <cell r="AE731" t="str">
            <v>Con precio</v>
          </cell>
        </row>
        <row r="732">
          <cell r="B732" t="str">
            <v>AGXK0200</v>
          </cell>
          <cell r="X732" t="str">
            <v>Empaquetado</v>
          </cell>
          <cell r="AC732">
            <v>2.2500000000000003E-3</v>
          </cell>
          <cell r="AD732">
            <v>2.2500000000000003E-3</v>
          </cell>
          <cell r="AE732" t="str">
            <v>Con precio</v>
          </cell>
        </row>
        <row r="733">
          <cell r="B733" t="str">
            <v>AGXK0200MA</v>
          </cell>
          <cell r="X733" t="str">
            <v>Formulación</v>
          </cell>
          <cell r="AC733">
            <v>4.8799999999999998E-3</v>
          </cell>
          <cell r="AD733">
            <v>4.8799999999999998E-3</v>
          </cell>
          <cell r="AE733" t="str">
            <v>Con precio</v>
          </cell>
        </row>
        <row r="734">
          <cell r="B734" t="str">
            <v>AGXK0200MA</v>
          </cell>
          <cell r="X734" t="str">
            <v>Formulación</v>
          </cell>
          <cell r="AC734">
            <v>8.6069999999999994E-2</v>
          </cell>
          <cell r="AD734">
            <v>7.9124E-2</v>
          </cell>
          <cell r="AE734" t="str">
            <v>Con precio</v>
          </cell>
        </row>
        <row r="735">
          <cell r="B735" t="str">
            <v>AGXK0200MA</v>
          </cell>
          <cell r="X735" t="str">
            <v>Formulación</v>
          </cell>
          <cell r="AC735">
            <v>0.16499999999999998</v>
          </cell>
          <cell r="AD735">
            <v>0.16499999999999998</v>
          </cell>
          <cell r="AE735" t="str">
            <v>Con precio</v>
          </cell>
        </row>
        <row r="736">
          <cell r="B736" t="str">
            <v>AGXK0200MA</v>
          </cell>
          <cell r="X736" t="str">
            <v>Formulación</v>
          </cell>
          <cell r="AC736">
            <v>0.53900000000000003</v>
          </cell>
          <cell r="AD736">
            <v>0.49980000000000002</v>
          </cell>
          <cell r="AE736" t="str">
            <v>Con precio</v>
          </cell>
        </row>
        <row r="737">
          <cell r="B737" t="str">
            <v>AGXK0200MA</v>
          </cell>
          <cell r="X737" t="str">
            <v>Formulación</v>
          </cell>
          <cell r="AC737">
            <v>3.4399999999999999E-3</v>
          </cell>
          <cell r="AD737">
            <v>2.5720000000000001E-3</v>
          </cell>
          <cell r="AE737" t="str">
            <v>Con precio</v>
          </cell>
        </row>
        <row r="738">
          <cell r="B738" t="str">
            <v>AGXK0200MA</v>
          </cell>
          <cell r="X738" t="str">
            <v>Formulación</v>
          </cell>
          <cell r="AC738">
            <v>1.7250000000000001E-2</v>
          </cell>
          <cell r="AD738">
            <v>1.4134999999999998E-2</v>
          </cell>
          <cell r="AE738" t="str">
            <v>Con precio</v>
          </cell>
        </row>
        <row r="739">
          <cell r="B739" t="str">
            <v>AGXK0200MA</v>
          </cell>
          <cell r="X739" t="str">
            <v>Formulación</v>
          </cell>
          <cell r="AC739">
            <v>8.8000000000000014E-4</v>
          </cell>
          <cell r="AD739">
            <v>8.8000000000000014E-4</v>
          </cell>
          <cell r="AE739" t="str">
            <v>Con precio</v>
          </cell>
        </row>
        <row r="740">
          <cell r="B740" t="str">
            <v>AGXK0200MA</v>
          </cell>
          <cell r="X740" t="str">
            <v>Empaquetado</v>
          </cell>
          <cell r="AC740">
            <v>5.0719967793880845E-4</v>
          </cell>
          <cell r="AD740">
            <v>5.0719967793880845E-4</v>
          </cell>
          <cell r="AE740" t="str">
            <v>Con precio</v>
          </cell>
        </row>
        <row r="741">
          <cell r="B741" t="str">
            <v>AGXK0200MA</v>
          </cell>
          <cell r="X741" t="str">
            <v>Empaquetado</v>
          </cell>
          <cell r="AC741">
            <v>2.1875000000000002E-3</v>
          </cell>
          <cell r="AD741">
            <v>2.1875000000000002E-3</v>
          </cell>
          <cell r="AE741" t="str">
            <v>Con precio</v>
          </cell>
        </row>
        <row r="742">
          <cell r="B742" t="str">
            <v>AGXK0200MA</v>
          </cell>
          <cell r="X742" t="str">
            <v>Empaquetado</v>
          </cell>
          <cell r="AC742">
            <v>0.16730511363636363</v>
          </cell>
          <cell r="AD742">
            <v>0.16730511363636363</v>
          </cell>
          <cell r="AE742" t="str">
            <v>Con precio</v>
          </cell>
        </row>
        <row r="743">
          <cell r="B743" t="str">
            <v>AGXK0200MA</v>
          </cell>
          <cell r="X743" t="str">
            <v>Empaquetado</v>
          </cell>
          <cell r="AC743">
            <v>1.9337500000000001E-2</v>
          </cell>
          <cell r="AD743">
            <v>1.9337500000000001E-2</v>
          </cell>
          <cell r="AE743" t="str">
            <v>Con precio</v>
          </cell>
        </row>
        <row r="744">
          <cell r="B744" t="str">
            <v>AGXK0200MA</v>
          </cell>
          <cell r="X744" t="str">
            <v>Empaquetado</v>
          </cell>
          <cell r="AC744">
            <v>3.4999999999999996E-3</v>
          </cell>
          <cell r="AD744">
            <v>3.4999999999999996E-3</v>
          </cell>
          <cell r="AE744" t="str">
            <v>Con precio</v>
          </cell>
        </row>
        <row r="745">
          <cell r="B745" t="str">
            <v>AGXK0200MA</v>
          </cell>
          <cell r="X745" t="str">
            <v>Empaquetado</v>
          </cell>
          <cell r="AC745">
            <v>2.2500000000000003E-3</v>
          </cell>
          <cell r="AD745">
            <v>2.2500000000000003E-3</v>
          </cell>
          <cell r="AE745" t="str">
            <v>Con precio</v>
          </cell>
        </row>
        <row r="746">
          <cell r="B746" t="str">
            <v>AGXK1000</v>
          </cell>
          <cell r="X746" t="str">
            <v>Formulación</v>
          </cell>
          <cell r="AC746">
            <v>4.8799999999999998E-3</v>
          </cell>
          <cell r="AD746">
            <v>4.8799999999999998E-3</v>
          </cell>
          <cell r="AE746" t="str">
            <v>Con precio</v>
          </cell>
        </row>
        <row r="747">
          <cell r="B747" t="str">
            <v>AGXK1000</v>
          </cell>
          <cell r="X747" t="str">
            <v>Formulación</v>
          </cell>
          <cell r="AC747">
            <v>8.6069999999999994E-2</v>
          </cell>
          <cell r="AD747">
            <v>7.9124E-2</v>
          </cell>
          <cell r="AE747" t="str">
            <v>Con precio</v>
          </cell>
        </row>
        <row r="748">
          <cell r="B748" t="str">
            <v>AGXK1000</v>
          </cell>
          <cell r="X748" t="str">
            <v>Formulación</v>
          </cell>
          <cell r="AC748">
            <v>0.16499999999999998</v>
          </cell>
          <cell r="AD748">
            <v>0.16499999999999998</v>
          </cell>
          <cell r="AE748" t="str">
            <v>Con precio</v>
          </cell>
        </row>
        <row r="749">
          <cell r="B749" t="str">
            <v>AGXK1000</v>
          </cell>
          <cell r="X749" t="str">
            <v>Formulación</v>
          </cell>
          <cell r="AC749">
            <v>0.53900000000000003</v>
          </cell>
          <cell r="AD749">
            <v>0.49980000000000002</v>
          </cell>
          <cell r="AE749" t="str">
            <v>Con precio</v>
          </cell>
        </row>
        <row r="750">
          <cell r="B750" t="str">
            <v>AGXK1000</v>
          </cell>
          <cell r="X750" t="str">
            <v>Formulación</v>
          </cell>
          <cell r="AC750">
            <v>3.4399999999999999E-3</v>
          </cell>
          <cell r="AD750">
            <v>2.5720000000000001E-3</v>
          </cell>
          <cell r="AE750" t="str">
            <v>Con precio</v>
          </cell>
        </row>
        <row r="751">
          <cell r="B751" t="str">
            <v>AGXK1000</v>
          </cell>
          <cell r="X751" t="str">
            <v>Formulación</v>
          </cell>
          <cell r="AC751">
            <v>1.7250000000000001E-2</v>
          </cell>
          <cell r="AD751">
            <v>1.4134999999999998E-2</v>
          </cell>
          <cell r="AE751" t="str">
            <v>Con precio</v>
          </cell>
        </row>
        <row r="752">
          <cell r="B752" t="str">
            <v>AGXK1000</v>
          </cell>
          <cell r="X752" t="str">
            <v>Formulación</v>
          </cell>
          <cell r="AC752">
            <v>8.8000000000000014E-4</v>
          </cell>
          <cell r="AD752">
            <v>8.8000000000000014E-4</v>
          </cell>
          <cell r="AE752" t="str">
            <v>Con precio</v>
          </cell>
        </row>
        <row r="753">
          <cell r="B753" t="str">
            <v>AGXK1000</v>
          </cell>
          <cell r="X753" t="str">
            <v>Empaquetado</v>
          </cell>
          <cell r="AC753">
            <v>0.11700000000000001</v>
          </cell>
          <cell r="AD753">
            <v>0.11700000000000001</v>
          </cell>
          <cell r="AE753" t="str">
            <v>Con precio</v>
          </cell>
        </row>
        <row r="754">
          <cell r="B754" t="str">
            <v>AGXK1000</v>
          </cell>
          <cell r="X754" t="str">
            <v>Empaquetado</v>
          </cell>
          <cell r="AC754">
            <v>1.014399355877617E-4</v>
          </cell>
          <cell r="AD754">
            <v>1.014399355877617E-4</v>
          </cell>
          <cell r="AE754" t="str">
            <v>Con precio</v>
          </cell>
        </row>
        <row r="755">
          <cell r="B755" t="str">
            <v>AGXKAE0001RO</v>
          </cell>
          <cell r="X755" t="str">
            <v>Formulación</v>
          </cell>
          <cell r="AC755">
            <v>4.8799999999999998E-3</v>
          </cell>
          <cell r="AD755">
            <v>4.8799999999999998E-3</v>
          </cell>
          <cell r="AE755" t="str">
            <v>Con precio</v>
          </cell>
        </row>
        <row r="756">
          <cell r="B756" t="str">
            <v>AGXKAE0001RO</v>
          </cell>
          <cell r="X756" t="str">
            <v>Formulación</v>
          </cell>
          <cell r="AC756">
            <v>8.6069999999999994E-2</v>
          </cell>
          <cell r="AD756">
            <v>7.9124E-2</v>
          </cell>
          <cell r="AE756" t="str">
            <v>Con precio</v>
          </cell>
        </row>
        <row r="757">
          <cell r="B757" t="str">
            <v>AGXKAE0001RO</v>
          </cell>
          <cell r="X757" t="str">
            <v>Formulación</v>
          </cell>
          <cell r="AC757">
            <v>0.16499999999999998</v>
          </cell>
          <cell r="AD757">
            <v>0.16499999999999998</v>
          </cell>
          <cell r="AE757" t="str">
            <v>Con precio</v>
          </cell>
        </row>
        <row r="758">
          <cell r="B758" t="str">
            <v>AGXKAE0001RO</v>
          </cell>
          <cell r="X758" t="str">
            <v>Formulación</v>
          </cell>
          <cell r="AC758">
            <v>0.53900000000000003</v>
          </cell>
          <cell r="AD758">
            <v>0.49980000000000002</v>
          </cell>
          <cell r="AE758" t="str">
            <v>Con precio</v>
          </cell>
        </row>
        <row r="759">
          <cell r="B759" t="str">
            <v>AGXKAE0001RO</v>
          </cell>
          <cell r="X759" t="str">
            <v>Formulación</v>
          </cell>
          <cell r="AC759">
            <v>3.4399999999999999E-3</v>
          </cell>
          <cell r="AD759">
            <v>2.5720000000000001E-3</v>
          </cell>
          <cell r="AE759" t="str">
            <v>Con precio</v>
          </cell>
        </row>
        <row r="760">
          <cell r="B760" t="str">
            <v>AGXKAE0001RO</v>
          </cell>
          <cell r="X760" t="str">
            <v>Formulación</v>
          </cell>
          <cell r="AC760">
            <v>1.7250000000000001E-2</v>
          </cell>
          <cell r="AD760">
            <v>1.4134999999999998E-2</v>
          </cell>
          <cell r="AE760" t="str">
            <v>Con precio</v>
          </cell>
        </row>
        <row r="761">
          <cell r="B761" t="str">
            <v>AGXKAE0001RO</v>
          </cell>
          <cell r="X761" t="str">
            <v>Formulación</v>
          </cell>
          <cell r="AC761">
            <v>8.8000000000000014E-4</v>
          </cell>
          <cell r="AD761">
            <v>8.8000000000000014E-4</v>
          </cell>
          <cell r="AE761" t="str">
            <v>Con precio</v>
          </cell>
        </row>
        <row r="762">
          <cell r="B762" t="str">
            <v>AGXKAE0001RO</v>
          </cell>
          <cell r="X762" t="str">
            <v>Empaquetado</v>
          </cell>
          <cell r="AC762">
            <v>3.0303030303030299E-5</v>
          </cell>
          <cell r="AD762">
            <v>3.0303030303030299E-5</v>
          </cell>
          <cell r="AE762" t="str">
            <v>Con precio</v>
          </cell>
        </row>
        <row r="763">
          <cell r="B763" t="str">
            <v>AGXKAE0001RO</v>
          </cell>
          <cell r="X763" t="str">
            <v>Empaquetado</v>
          </cell>
          <cell r="AC763">
            <v>2.3439393939393937E-2</v>
          </cell>
          <cell r="AD763">
            <v>2.3439393939393937E-2</v>
          </cell>
          <cell r="AE763" t="str">
            <v>Con precio</v>
          </cell>
        </row>
        <row r="764">
          <cell r="B764" t="str">
            <v>AGXKAE0001RO</v>
          </cell>
          <cell r="X764" t="str">
            <v>Empaquetado</v>
          </cell>
          <cell r="AC764">
            <v>7.1917518745739595E-2</v>
          </cell>
          <cell r="AD764">
            <v>7.1917518745739595E-2</v>
          </cell>
          <cell r="AE764" t="str">
            <v>Con precio</v>
          </cell>
        </row>
        <row r="765">
          <cell r="B765" t="str">
            <v>AGXKAE0001RO</v>
          </cell>
          <cell r="X765" t="str">
            <v>Empaquetado</v>
          </cell>
          <cell r="AC765">
            <v>0.44322992424242419</v>
          </cell>
          <cell r="AD765">
            <v>0.44322992424242419</v>
          </cell>
          <cell r="AE765" t="str">
            <v>Con precio</v>
          </cell>
        </row>
        <row r="766">
          <cell r="B766" t="str">
            <v>AGXKAE0001RO</v>
          </cell>
          <cell r="X766" t="str">
            <v>Empaquetado</v>
          </cell>
          <cell r="AC766">
            <v>0.11874999999999999</v>
          </cell>
          <cell r="AD766">
            <v>0.11874999999999999</v>
          </cell>
          <cell r="AE766" t="str">
            <v>Con precio</v>
          </cell>
        </row>
        <row r="767">
          <cell r="B767" t="str">
            <v>AGXKAE0001RO</v>
          </cell>
          <cell r="X767" t="str">
            <v>Empaquetado</v>
          </cell>
          <cell r="AC767">
            <v>9.6080774456521717E-2</v>
          </cell>
          <cell r="AD767">
            <v>9.6080774456521717E-2</v>
          </cell>
          <cell r="AE767" t="str">
            <v>Con precio</v>
          </cell>
        </row>
        <row r="768">
          <cell r="B768" t="str">
            <v>AGXKAE0020</v>
          </cell>
          <cell r="X768" t="str">
            <v>Formulación</v>
          </cell>
          <cell r="AC768">
            <v>4.8799999999999998E-3</v>
          </cell>
          <cell r="AD768">
            <v>4.8799999999999998E-3</v>
          </cell>
          <cell r="AE768" t="str">
            <v>Con precio</v>
          </cell>
        </row>
        <row r="769">
          <cell r="B769" t="str">
            <v>AGXKAE0020</v>
          </cell>
          <cell r="X769" t="str">
            <v>Formulación</v>
          </cell>
          <cell r="AC769">
            <v>8.6069999999999994E-2</v>
          </cell>
          <cell r="AD769">
            <v>7.9124E-2</v>
          </cell>
          <cell r="AE769" t="str">
            <v>Con precio</v>
          </cell>
        </row>
        <row r="770">
          <cell r="B770" t="str">
            <v>AGXKAE0020</v>
          </cell>
          <cell r="X770" t="str">
            <v>Formulación</v>
          </cell>
          <cell r="AC770">
            <v>0.16499999999999998</v>
          </cell>
          <cell r="AD770">
            <v>0.16499999999999998</v>
          </cell>
          <cell r="AE770" t="str">
            <v>Con precio</v>
          </cell>
        </row>
        <row r="771">
          <cell r="B771" t="str">
            <v>AGXKAE0020</v>
          </cell>
          <cell r="X771" t="str">
            <v>Formulación</v>
          </cell>
          <cell r="AC771">
            <v>0.53900000000000003</v>
          </cell>
          <cell r="AD771">
            <v>0.49980000000000002</v>
          </cell>
          <cell r="AE771" t="str">
            <v>Con precio</v>
          </cell>
        </row>
        <row r="772">
          <cell r="B772" t="str">
            <v>AGXKAE0020</v>
          </cell>
          <cell r="X772" t="str">
            <v>Formulación</v>
          </cell>
          <cell r="AC772">
            <v>3.4399999999999999E-3</v>
          </cell>
          <cell r="AD772">
            <v>2.5720000000000001E-3</v>
          </cell>
          <cell r="AE772" t="str">
            <v>Con precio</v>
          </cell>
        </row>
        <row r="773">
          <cell r="B773" t="str">
            <v>AGXKAE0020</v>
          </cell>
          <cell r="X773" t="str">
            <v>Formulación</v>
          </cell>
          <cell r="AC773">
            <v>1.7250000000000001E-2</v>
          </cell>
          <cell r="AD773">
            <v>1.4134999999999998E-2</v>
          </cell>
          <cell r="AE773" t="str">
            <v>Con precio</v>
          </cell>
        </row>
        <row r="774">
          <cell r="B774" t="str">
            <v>AGXKAE0020</v>
          </cell>
          <cell r="X774" t="str">
            <v>Formulación</v>
          </cell>
          <cell r="AC774">
            <v>8.8000000000000014E-4</v>
          </cell>
          <cell r="AD774">
            <v>8.8000000000000014E-4</v>
          </cell>
          <cell r="AE774" t="str">
            <v>Con precio</v>
          </cell>
        </row>
        <row r="775">
          <cell r="B775" t="str">
            <v>AGXKAE0020</v>
          </cell>
          <cell r="X775" t="str">
            <v>Empaquetado</v>
          </cell>
          <cell r="AC775">
            <v>7.3209374999999993E-3</v>
          </cell>
          <cell r="AD775">
            <v>7.3209374999999993E-3</v>
          </cell>
          <cell r="AE775" t="str">
            <v>Con precio</v>
          </cell>
        </row>
        <row r="776">
          <cell r="B776" t="str">
            <v>AGXKAE0020</v>
          </cell>
          <cell r="X776" t="str">
            <v>Empaquetado</v>
          </cell>
          <cell r="AC776">
            <v>2.4171875000000002E-2</v>
          </cell>
          <cell r="AD776">
            <v>2.4171875000000002E-2</v>
          </cell>
          <cell r="AE776" t="str">
            <v>Con precio</v>
          </cell>
        </row>
        <row r="777">
          <cell r="B777" t="str">
            <v>AGXKAE0020</v>
          </cell>
          <cell r="X777" t="str">
            <v>Empaquetado</v>
          </cell>
          <cell r="AC777">
            <v>5.0719967793880849E-3</v>
          </cell>
          <cell r="AD777">
            <v>5.0719967793880849E-3</v>
          </cell>
          <cell r="AE777" t="str">
            <v>Con precio</v>
          </cell>
        </row>
        <row r="778">
          <cell r="B778" t="str">
            <v>AGXKAE0020</v>
          </cell>
          <cell r="X778" t="str">
            <v>Empaquetado</v>
          </cell>
          <cell r="AC778">
            <v>1.2352941176470591E-2</v>
          </cell>
          <cell r="AD778">
            <v>1.2352941176470591E-2</v>
          </cell>
          <cell r="AE778" t="str">
            <v>Con precio</v>
          </cell>
        </row>
        <row r="779">
          <cell r="B779" t="str">
            <v>AGXKAE0020</v>
          </cell>
          <cell r="X779" t="str">
            <v>Empaquetado</v>
          </cell>
          <cell r="AC779">
            <v>0.18266505681818179</v>
          </cell>
          <cell r="AD779">
            <v>0.18266505681818179</v>
          </cell>
          <cell r="AE779" t="str">
            <v>Con precio</v>
          </cell>
        </row>
        <row r="780">
          <cell r="B780" t="str">
            <v>AGXKAE1000</v>
          </cell>
          <cell r="X780" t="str">
            <v>Formulación</v>
          </cell>
          <cell r="AC780">
            <v>4.8799999999999998E-3</v>
          </cell>
          <cell r="AD780">
            <v>4.8799999999999998E-3</v>
          </cell>
          <cell r="AE780" t="str">
            <v>Con precio</v>
          </cell>
        </row>
        <row r="781">
          <cell r="B781" t="str">
            <v>AGXKAE1000</v>
          </cell>
          <cell r="X781" t="str">
            <v>Formulación</v>
          </cell>
          <cell r="AC781">
            <v>8.6069999999999994E-2</v>
          </cell>
          <cell r="AD781">
            <v>7.9124E-2</v>
          </cell>
          <cell r="AE781" t="str">
            <v>Con precio</v>
          </cell>
        </row>
        <row r="782">
          <cell r="B782" t="str">
            <v>AGXKAE1000</v>
          </cell>
          <cell r="X782" t="str">
            <v>Formulación</v>
          </cell>
          <cell r="AC782">
            <v>0.16499999999999998</v>
          </cell>
          <cell r="AD782">
            <v>0.16499999999999998</v>
          </cell>
          <cell r="AE782" t="str">
            <v>Con precio</v>
          </cell>
        </row>
        <row r="783">
          <cell r="B783" t="str">
            <v>AGXKAE1000</v>
          </cell>
          <cell r="X783" t="str">
            <v>Formulación</v>
          </cell>
          <cell r="AC783">
            <v>0.53900000000000003</v>
          </cell>
          <cell r="AD783">
            <v>0.49980000000000002</v>
          </cell>
          <cell r="AE783" t="str">
            <v>Con precio</v>
          </cell>
        </row>
        <row r="784">
          <cell r="B784" t="str">
            <v>AGXKAE1000</v>
          </cell>
          <cell r="X784" t="str">
            <v>Formulación</v>
          </cell>
          <cell r="AC784">
            <v>3.4399999999999999E-3</v>
          </cell>
          <cell r="AD784">
            <v>2.5720000000000001E-3</v>
          </cell>
          <cell r="AE784" t="str">
            <v>Con precio</v>
          </cell>
        </row>
        <row r="785">
          <cell r="B785" t="str">
            <v>AGXKAE1000</v>
          </cell>
          <cell r="X785" t="str">
            <v>Formulación</v>
          </cell>
          <cell r="AC785">
            <v>1.7250000000000001E-2</v>
          </cell>
          <cell r="AD785">
            <v>1.4134999999999998E-2</v>
          </cell>
          <cell r="AE785" t="str">
            <v>Con precio</v>
          </cell>
        </row>
        <row r="786">
          <cell r="B786" t="str">
            <v>AGXKAE1000</v>
          </cell>
          <cell r="X786" t="str">
            <v>Formulación</v>
          </cell>
          <cell r="AC786">
            <v>8.8000000000000014E-4</v>
          </cell>
          <cell r="AD786">
            <v>8.8000000000000014E-4</v>
          </cell>
          <cell r="AE786" t="str">
            <v>Con precio</v>
          </cell>
        </row>
        <row r="787">
          <cell r="B787" t="str">
            <v>AGXKAE1000</v>
          </cell>
          <cell r="X787" t="str">
            <v>Empaquetado</v>
          </cell>
          <cell r="AC787">
            <v>6.9846153846153836E-2</v>
          </cell>
          <cell r="AD787">
            <v>6.9846153846153836E-2</v>
          </cell>
          <cell r="AE787" t="str">
            <v>Con precio</v>
          </cell>
        </row>
        <row r="788">
          <cell r="B788" t="str">
            <v>AGXKAE1000</v>
          </cell>
          <cell r="X788" t="str">
            <v>Empaquetado</v>
          </cell>
          <cell r="AC788">
            <v>1.014399355877617E-4</v>
          </cell>
          <cell r="AD788">
            <v>1.014399355877617E-4</v>
          </cell>
          <cell r="AE788" t="str">
            <v>Con precio</v>
          </cell>
        </row>
        <row r="789">
          <cell r="B789" t="str">
            <v>AGXKAEP0005</v>
          </cell>
          <cell r="X789" t="str">
            <v>Formulación</v>
          </cell>
          <cell r="AC789">
            <v>4.8799999999999998E-3</v>
          </cell>
          <cell r="AD789">
            <v>4.8799999999999998E-3</v>
          </cell>
          <cell r="AE789" t="str">
            <v>Con precio</v>
          </cell>
        </row>
        <row r="790">
          <cell r="B790" t="str">
            <v>AGXKAEP0005</v>
          </cell>
          <cell r="X790" t="str">
            <v>Formulación</v>
          </cell>
          <cell r="AC790">
            <v>8.6069999999999994E-2</v>
          </cell>
          <cell r="AD790">
            <v>7.9124E-2</v>
          </cell>
          <cell r="AE790" t="str">
            <v>Con precio</v>
          </cell>
        </row>
        <row r="791">
          <cell r="B791" t="str">
            <v>AGXKAEP0005</v>
          </cell>
          <cell r="X791" t="str">
            <v>Formulación</v>
          </cell>
          <cell r="AC791">
            <v>0.16499999999999998</v>
          </cell>
          <cell r="AD791">
            <v>0.16499999999999998</v>
          </cell>
          <cell r="AE791" t="str">
            <v>Con precio</v>
          </cell>
        </row>
        <row r="792">
          <cell r="B792" t="str">
            <v>AGXKAEP0005</v>
          </cell>
          <cell r="X792" t="str">
            <v>Formulación</v>
          </cell>
          <cell r="AC792">
            <v>0.53900000000000003</v>
          </cell>
          <cell r="AD792">
            <v>0.49980000000000002</v>
          </cell>
          <cell r="AE792" t="str">
            <v>Con precio</v>
          </cell>
        </row>
        <row r="793">
          <cell r="B793" t="str">
            <v>AGXKAEP0005</v>
          </cell>
          <cell r="X793" t="str">
            <v>Formulación</v>
          </cell>
          <cell r="AC793">
            <v>3.4399999999999999E-3</v>
          </cell>
          <cell r="AD793">
            <v>2.5720000000000001E-3</v>
          </cell>
          <cell r="AE793" t="str">
            <v>Con precio</v>
          </cell>
        </row>
        <row r="794">
          <cell r="B794" t="str">
            <v>AGXKAEP0005</v>
          </cell>
          <cell r="X794" t="str">
            <v>Formulación</v>
          </cell>
          <cell r="AC794">
            <v>1.7250000000000001E-2</v>
          </cell>
          <cell r="AD794">
            <v>1.4134999999999998E-2</v>
          </cell>
          <cell r="AE794" t="str">
            <v>Con precio</v>
          </cell>
        </row>
        <row r="795">
          <cell r="B795" t="str">
            <v>AGXKAEP0005</v>
          </cell>
          <cell r="X795" t="str">
            <v>Formulación</v>
          </cell>
          <cell r="AC795">
            <v>8.8000000000000014E-4</v>
          </cell>
          <cell r="AD795">
            <v>8.8000000000000014E-4</v>
          </cell>
          <cell r="AE795" t="str">
            <v>Con precio</v>
          </cell>
        </row>
        <row r="796">
          <cell r="B796" t="str">
            <v>AGXKAEP0005</v>
          </cell>
          <cell r="X796" t="str">
            <v>Empaquetado</v>
          </cell>
          <cell r="AC796">
            <v>1.2991333333333337E-2</v>
          </cell>
          <cell r="AD796">
            <v>1.2991333333333337E-2</v>
          </cell>
          <cell r="AE796" t="str">
            <v>Con precio</v>
          </cell>
        </row>
        <row r="797">
          <cell r="B797" t="str">
            <v>AGXKAEP0005</v>
          </cell>
          <cell r="X797" t="str">
            <v>Empaquetado</v>
          </cell>
          <cell r="AC797">
            <v>2.5783333333333339E-2</v>
          </cell>
          <cell r="AD797">
            <v>2.5783333333333339E-2</v>
          </cell>
          <cell r="AE797" t="str">
            <v>Con precio</v>
          </cell>
        </row>
        <row r="798">
          <cell r="B798" t="str">
            <v>AGXKAEP0005</v>
          </cell>
          <cell r="X798" t="str">
            <v>Empaquetado</v>
          </cell>
          <cell r="AC798">
            <v>2.5359983896940424E-2</v>
          </cell>
          <cell r="AD798">
            <v>2.5359983896940424E-2</v>
          </cell>
          <cell r="AE798" t="str">
            <v>Con precio</v>
          </cell>
        </row>
        <row r="799">
          <cell r="B799" t="str">
            <v>AGXKAEP0005</v>
          </cell>
          <cell r="X799" t="str">
            <v>Empaquetado</v>
          </cell>
          <cell r="AC799">
            <v>3.4200000000000001E-2</v>
          </cell>
          <cell r="AD799">
            <v>3.4200000000000001E-2</v>
          </cell>
          <cell r="AE799" t="str">
            <v>Con precio</v>
          </cell>
        </row>
        <row r="800">
          <cell r="B800" t="str">
            <v>AGXKAEP0005</v>
          </cell>
          <cell r="X800" t="str">
            <v>Empaquetado</v>
          </cell>
          <cell r="AC800">
            <v>0.17399999999999999</v>
          </cell>
          <cell r="AD800">
            <v>0.17399999999999999</v>
          </cell>
          <cell r="AE800" t="str">
            <v>Con precio</v>
          </cell>
        </row>
        <row r="801">
          <cell r="B801" t="str">
            <v>AGXKAEP0005</v>
          </cell>
          <cell r="X801" t="str">
            <v>Empaquetado</v>
          </cell>
          <cell r="AC801">
            <v>3.6950017630465445E-2</v>
          </cell>
          <cell r="AD801">
            <v>3.6950017630465445E-2</v>
          </cell>
          <cell r="AE801" t="str">
            <v>Con precio</v>
          </cell>
        </row>
        <row r="802">
          <cell r="B802" t="str">
            <v>AGXKAEP0020</v>
          </cell>
          <cell r="X802" t="str">
            <v>Formulación</v>
          </cell>
          <cell r="AC802">
            <v>4.8799999999999998E-3</v>
          </cell>
          <cell r="AD802">
            <v>4.8799999999999998E-3</v>
          </cell>
          <cell r="AE802" t="str">
            <v>Con precio</v>
          </cell>
        </row>
        <row r="803">
          <cell r="B803" t="str">
            <v>AGXKAEP0020</v>
          </cell>
          <cell r="X803" t="str">
            <v>Formulación</v>
          </cell>
          <cell r="AC803">
            <v>8.6069999999999994E-2</v>
          </cell>
          <cell r="AD803">
            <v>7.9124E-2</v>
          </cell>
          <cell r="AE803" t="str">
            <v>Con precio</v>
          </cell>
        </row>
        <row r="804">
          <cell r="B804" t="str">
            <v>AGXKAEP0020</v>
          </cell>
          <cell r="X804" t="str">
            <v>Formulación</v>
          </cell>
          <cell r="AC804">
            <v>0.16499999999999998</v>
          </cell>
          <cell r="AD804">
            <v>0.16499999999999998</v>
          </cell>
          <cell r="AE804" t="str">
            <v>Con precio</v>
          </cell>
        </row>
        <row r="805">
          <cell r="B805" t="str">
            <v>AGXKAEP0020</v>
          </cell>
          <cell r="X805" t="str">
            <v>Formulación</v>
          </cell>
          <cell r="AC805">
            <v>0.53900000000000003</v>
          </cell>
          <cell r="AD805">
            <v>0.49980000000000002</v>
          </cell>
          <cell r="AE805" t="str">
            <v>Con precio</v>
          </cell>
        </row>
        <row r="806">
          <cell r="B806" t="str">
            <v>AGXKAEP0020</v>
          </cell>
          <cell r="X806" t="str">
            <v>Formulación</v>
          </cell>
          <cell r="AC806">
            <v>3.4399999999999999E-3</v>
          </cell>
          <cell r="AD806">
            <v>2.5720000000000001E-3</v>
          </cell>
          <cell r="AE806" t="str">
            <v>Con precio</v>
          </cell>
        </row>
        <row r="807">
          <cell r="B807" t="str">
            <v>AGXKAEP0020</v>
          </cell>
          <cell r="X807" t="str">
            <v>Formulación</v>
          </cell>
          <cell r="AC807">
            <v>1.7250000000000001E-2</v>
          </cell>
          <cell r="AD807">
            <v>1.4134999999999998E-2</v>
          </cell>
          <cell r="AE807" t="str">
            <v>Con precio</v>
          </cell>
        </row>
        <row r="808">
          <cell r="B808" t="str">
            <v>AGXKAEP0020</v>
          </cell>
          <cell r="X808" t="str">
            <v>Formulación</v>
          </cell>
          <cell r="AC808">
            <v>8.8000000000000014E-4</v>
          </cell>
          <cell r="AD808">
            <v>8.8000000000000014E-4</v>
          </cell>
          <cell r="AE808" t="str">
            <v>Con precio</v>
          </cell>
        </row>
        <row r="809">
          <cell r="B809" t="str">
            <v>AGXKAEP0020</v>
          </cell>
          <cell r="X809" t="str">
            <v>Empaquetado</v>
          </cell>
          <cell r="AC809">
            <v>7.3209374999999993E-3</v>
          </cell>
          <cell r="AD809">
            <v>7.3209374999999993E-3</v>
          </cell>
          <cell r="AE809" t="str">
            <v>Con precio</v>
          </cell>
        </row>
        <row r="810">
          <cell r="B810" t="str">
            <v>AGXKAEP0020</v>
          </cell>
          <cell r="X810" t="str">
            <v>Empaquetado</v>
          </cell>
          <cell r="AC810">
            <v>2.4171875000000002E-2</v>
          </cell>
          <cell r="AD810">
            <v>2.4171875000000002E-2</v>
          </cell>
          <cell r="AE810" t="str">
            <v>Con precio</v>
          </cell>
        </row>
        <row r="811">
          <cell r="B811" t="str">
            <v>AGXKAEP0020</v>
          </cell>
          <cell r="X811" t="str">
            <v>Empaquetado</v>
          </cell>
          <cell r="AC811">
            <v>5.0719967793880849E-3</v>
          </cell>
          <cell r="AD811">
            <v>5.0719967793880849E-3</v>
          </cell>
          <cell r="AE811" t="str">
            <v>Con precio</v>
          </cell>
        </row>
        <row r="812">
          <cell r="B812" t="str">
            <v>AGXKAEP0020</v>
          </cell>
          <cell r="X812" t="str">
            <v>Empaquetado</v>
          </cell>
          <cell r="AC812">
            <v>1.2352941176470591E-2</v>
          </cell>
          <cell r="AD812">
            <v>1.2352941176470591E-2</v>
          </cell>
          <cell r="AE812" t="str">
            <v>Con precio</v>
          </cell>
        </row>
        <row r="813">
          <cell r="B813" t="str">
            <v>AGXKAEP0020</v>
          </cell>
          <cell r="X813" t="str">
            <v>Empaquetado</v>
          </cell>
          <cell r="AC813">
            <v>0.18266505681818179</v>
          </cell>
          <cell r="AD813">
            <v>0.18266505681818179</v>
          </cell>
          <cell r="AE813" t="str">
            <v>Con precio</v>
          </cell>
        </row>
        <row r="814">
          <cell r="B814" t="str">
            <v>AGXKC0020</v>
          </cell>
          <cell r="X814" t="str">
            <v>Formulación</v>
          </cell>
          <cell r="AC814">
            <v>0.7370000000000001</v>
          </cell>
          <cell r="AD814">
            <v>0.68340000000000001</v>
          </cell>
          <cell r="AE814" t="str">
            <v>Con precio</v>
          </cell>
        </row>
        <row r="815">
          <cell r="B815" t="str">
            <v>AGXKC0020</v>
          </cell>
          <cell r="X815" t="str">
            <v>Formulación</v>
          </cell>
          <cell r="AC815">
            <v>5.67E-2</v>
          </cell>
          <cell r="AD815">
            <v>5.1165000000000002E-2</v>
          </cell>
          <cell r="AE815" t="str">
            <v>Con precio</v>
          </cell>
        </row>
        <row r="816">
          <cell r="B816" t="str">
            <v>AGXKC0020</v>
          </cell>
          <cell r="X816" t="str">
            <v>Formulación</v>
          </cell>
          <cell r="AC816">
            <v>0.13616</v>
          </cell>
          <cell r="AD816">
            <v>0.13172</v>
          </cell>
          <cell r="AE816" t="str">
            <v>Con precio</v>
          </cell>
        </row>
        <row r="817">
          <cell r="B817" t="str">
            <v>AGXKC0020</v>
          </cell>
          <cell r="X817" t="str">
            <v>Formulación</v>
          </cell>
          <cell r="AC817">
            <v>5.1599999999999997E-3</v>
          </cell>
          <cell r="AD817">
            <v>3.8580000000000003E-3</v>
          </cell>
          <cell r="AE817" t="str">
            <v>Con precio</v>
          </cell>
        </row>
        <row r="818">
          <cell r="B818" t="str">
            <v>AGXKC0020</v>
          </cell>
          <cell r="X818" t="str">
            <v>Formulación</v>
          </cell>
          <cell r="AC818">
            <v>4.3920000000000001E-3</v>
          </cell>
          <cell r="AD818">
            <v>4.3920000000000001E-3</v>
          </cell>
          <cell r="AE818" t="str">
            <v>Con precio</v>
          </cell>
        </row>
        <row r="819">
          <cell r="B819" t="str">
            <v>AGXKC0020</v>
          </cell>
          <cell r="X819" t="str">
            <v>Formulación</v>
          </cell>
          <cell r="AC819">
            <v>1.3800000000000002E-2</v>
          </cell>
          <cell r="AD819">
            <v>1.1307999999999999E-2</v>
          </cell>
          <cell r="AE819" t="str">
            <v>Con precio</v>
          </cell>
        </row>
        <row r="820">
          <cell r="B820" t="str">
            <v>AGXKC0020</v>
          </cell>
          <cell r="X820" t="str">
            <v>Empaquetado</v>
          </cell>
          <cell r="AC820">
            <v>7.3209374999999993E-3</v>
          </cell>
          <cell r="AD820">
            <v>7.3209374999999993E-3</v>
          </cell>
          <cell r="AE820" t="str">
            <v>Con precio</v>
          </cell>
        </row>
        <row r="821">
          <cell r="B821" t="str">
            <v>AGXKC0020</v>
          </cell>
          <cell r="X821" t="str">
            <v>Empaquetado</v>
          </cell>
          <cell r="AC821">
            <v>2.4171875000000002E-2</v>
          </cell>
          <cell r="AD821">
            <v>2.4171875000000002E-2</v>
          </cell>
          <cell r="AE821" t="str">
            <v>Con precio</v>
          </cell>
        </row>
        <row r="822">
          <cell r="B822" t="str">
            <v>AGXKC0020</v>
          </cell>
          <cell r="X822" t="str">
            <v>Empaquetado</v>
          </cell>
          <cell r="AC822">
            <v>5.0719967793880849E-3</v>
          </cell>
          <cell r="AD822">
            <v>5.0719967793880849E-3</v>
          </cell>
          <cell r="AE822" t="str">
            <v>Con precio</v>
          </cell>
        </row>
        <row r="823">
          <cell r="B823" t="str">
            <v>AGXKC0020</v>
          </cell>
          <cell r="X823" t="str">
            <v>Empaquetado</v>
          </cell>
          <cell r="AC823">
            <v>1.3125000000000001E-2</v>
          </cell>
          <cell r="AD823">
            <v>1.3125000000000001E-2</v>
          </cell>
          <cell r="AE823" t="str">
            <v>Con precio</v>
          </cell>
        </row>
        <row r="824">
          <cell r="B824" t="str">
            <v>AGXKC0020</v>
          </cell>
          <cell r="X824" t="str">
            <v>Empaquetado</v>
          </cell>
          <cell r="AC824">
            <v>0.18266505681818179</v>
          </cell>
          <cell r="AD824">
            <v>0.18266505681818179</v>
          </cell>
          <cell r="AE824" t="str">
            <v>Con precio</v>
          </cell>
        </row>
        <row r="825">
          <cell r="B825" t="str">
            <v>AGXKC0200</v>
          </cell>
          <cell r="X825" t="str">
            <v>Formulación</v>
          </cell>
          <cell r="AC825">
            <v>0.7370000000000001</v>
          </cell>
          <cell r="AD825">
            <v>0.68340000000000001</v>
          </cell>
          <cell r="AE825" t="str">
            <v>Con precio</v>
          </cell>
        </row>
        <row r="826">
          <cell r="B826" t="str">
            <v>AGXKC0200</v>
          </cell>
          <cell r="X826" t="str">
            <v>Formulación</v>
          </cell>
          <cell r="AC826">
            <v>5.67E-2</v>
          </cell>
          <cell r="AD826">
            <v>5.1165000000000002E-2</v>
          </cell>
          <cell r="AE826" t="str">
            <v>Con precio</v>
          </cell>
        </row>
        <row r="827">
          <cell r="B827" t="str">
            <v>AGXKC0200</v>
          </cell>
          <cell r="X827" t="str">
            <v>Formulación</v>
          </cell>
          <cell r="AC827">
            <v>0.13616</v>
          </cell>
          <cell r="AD827">
            <v>0.13172</v>
          </cell>
          <cell r="AE827" t="str">
            <v>Con precio</v>
          </cell>
        </row>
        <row r="828">
          <cell r="B828" t="str">
            <v>AGXKC0200</v>
          </cell>
          <cell r="X828" t="str">
            <v>Formulación</v>
          </cell>
          <cell r="AC828">
            <v>5.1599999999999997E-3</v>
          </cell>
          <cell r="AD828">
            <v>3.8580000000000003E-3</v>
          </cell>
          <cell r="AE828" t="str">
            <v>Con precio</v>
          </cell>
        </row>
        <row r="829">
          <cell r="B829" t="str">
            <v>AGXKC0200</v>
          </cell>
          <cell r="X829" t="str">
            <v>Formulación</v>
          </cell>
          <cell r="AC829">
            <v>4.3920000000000001E-3</v>
          </cell>
          <cell r="AD829">
            <v>4.3920000000000001E-3</v>
          </cell>
          <cell r="AE829" t="str">
            <v>Con precio</v>
          </cell>
        </row>
        <row r="830">
          <cell r="B830" t="str">
            <v>AGXKC0200</v>
          </cell>
          <cell r="X830" t="str">
            <v>Formulación</v>
          </cell>
          <cell r="AC830">
            <v>1.3800000000000002E-2</v>
          </cell>
          <cell r="AD830">
            <v>1.1307999999999999E-2</v>
          </cell>
          <cell r="AE830" t="str">
            <v>Con precio</v>
          </cell>
        </row>
        <row r="831">
          <cell r="B831" t="str">
            <v>AGXKC0200</v>
          </cell>
          <cell r="X831" t="str">
            <v>Empaquetado</v>
          </cell>
          <cell r="AC831">
            <v>5.0719967793880845E-4</v>
          </cell>
          <cell r="AD831">
            <v>5.0719967793880845E-4</v>
          </cell>
          <cell r="AE831" t="str">
            <v>Con precio</v>
          </cell>
        </row>
        <row r="832">
          <cell r="B832" t="str">
            <v>AGXKC0200</v>
          </cell>
          <cell r="X832" t="str">
            <v>Empaquetado</v>
          </cell>
          <cell r="AC832">
            <v>2.1875000000000002E-3</v>
          </cell>
          <cell r="AD832">
            <v>2.1875000000000002E-3</v>
          </cell>
          <cell r="AE832" t="str">
            <v>Con precio</v>
          </cell>
        </row>
        <row r="833">
          <cell r="B833" t="str">
            <v>AGXKC0200</v>
          </cell>
          <cell r="X833" t="str">
            <v>Empaquetado</v>
          </cell>
          <cell r="AC833">
            <v>0.16730511363636363</v>
          </cell>
          <cell r="AD833">
            <v>0.16730511363636363</v>
          </cell>
          <cell r="AE833" t="str">
            <v>Con precio</v>
          </cell>
        </row>
        <row r="834">
          <cell r="B834" t="str">
            <v>AGXKC0200</v>
          </cell>
          <cell r="X834" t="str">
            <v>Empaquetado</v>
          </cell>
          <cell r="AC834">
            <v>1.9337500000000001E-2</v>
          </cell>
          <cell r="AD834">
            <v>1.9337500000000001E-2</v>
          </cell>
          <cell r="AE834" t="str">
            <v>Con precio</v>
          </cell>
        </row>
        <row r="835">
          <cell r="B835" t="str">
            <v>AGXKC0200</v>
          </cell>
          <cell r="X835" t="str">
            <v>Empaquetado</v>
          </cell>
          <cell r="AC835">
            <v>3.4999999999999996E-3</v>
          </cell>
          <cell r="AD835">
            <v>3.4999999999999996E-3</v>
          </cell>
          <cell r="AE835" t="str">
            <v>Con precio</v>
          </cell>
        </row>
        <row r="836">
          <cell r="B836" t="str">
            <v>AGXKC0200</v>
          </cell>
          <cell r="X836" t="str">
            <v>Empaquetado</v>
          </cell>
          <cell r="AC836">
            <v>2.2500000000000003E-3</v>
          </cell>
          <cell r="AD836">
            <v>2.2500000000000003E-3</v>
          </cell>
          <cell r="AE836" t="str">
            <v>Con precio</v>
          </cell>
        </row>
        <row r="837">
          <cell r="B837" t="str">
            <v>AGXKC1000</v>
          </cell>
          <cell r="X837" t="str">
            <v>Formulación</v>
          </cell>
          <cell r="AC837">
            <v>0.7370000000000001</v>
          </cell>
          <cell r="AD837">
            <v>0.68340000000000001</v>
          </cell>
          <cell r="AE837" t="str">
            <v>Con precio</v>
          </cell>
        </row>
        <row r="838">
          <cell r="B838" t="str">
            <v>AGXKC1000</v>
          </cell>
          <cell r="X838" t="str">
            <v>Formulación</v>
          </cell>
          <cell r="AC838">
            <v>5.67E-2</v>
          </cell>
          <cell r="AD838">
            <v>5.1165000000000002E-2</v>
          </cell>
          <cell r="AE838" t="str">
            <v>Con precio</v>
          </cell>
        </row>
        <row r="839">
          <cell r="B839" t="str">
            <v>AGXKC1000</v>
          </cell>
          <cell r="X839" t="str">
            <v>Formulación</v>
          </cell>
          <cell r="AC839">
            <v>0.13616</v>
          </cell>
          <cell r="AD839">
            <v>0.13172</v>
          </cell>
          <cell r="AE839" t="str">
            <v>Con precio</v>
          </cell>
        </row>
        <row r="840">
          <cell r="B840" t="str">
            <v>AGXKC1000</v>
          </cell>
          <cell r="X840" t="str">
            <v>Formulación</v>
          </cell>
          <cell r="AC840">
            <v>5.1599999999999997E-3</v>
          </cell>
          <cell r="AD840">
            <v>3.8580000000000003E-3</v>
          </cell>
          <cell r="AE840" t="str">
            <v>Con precio</v>
          </cell>
        </row>
        <row r="841">
          <cell r="B841" t="str">
            <v>AGXKC1000</v>
          </cell>
          <cell r="X841" t="str">
            <v>Formulación</v>
          </cell>
          <cell r="AC841">
            <v>4.3920000000000001E-3</v>
          </cell>
          <cell r="AD841">
            <v>4.3920000000000001E-3</v>
          </cell>
          <cell r="AE841" t="str">
            <v>Con precio</v>
          </cell>
        </row>
        <row r="842">
          <cell r="B842" t="str">
            <v>AGXKC1000</v>
          </cell>
          <cell r="X842" t="str">
            <v>Formulación</v>
          </cell>
          <cell r="AC842">
            <v>1.3800000000000002E-2</v>
          </cell>
          <cell r="AD842">
            <v>1.1307999999999999E-2</v>
          </cell>
          <cell r="AE842" t="str">
            <v>Con precio</v>
          </cell>
        </row>
        <row r="843">
          <cell r="B843" t="str">
            <v>AGXKC1000</v>
          </cell>
          <cell r="X843" t="str">
            <v>Empaquetado</v>
          </cell>
          <cell r="AC843">
            <v>0.11700000000000001</v>
          </cell>
          <cell r="AD843">
            <v>0.11700000000000001</v>
          </cell>
          <cell r="AE843" t="str">
            <v>Con precio</v>
          </cell>
        </row>
        <row r="844">
          <cell r="B844" t="str">
            <v>AGXKC1000</v>
          </cell>
          <cell r="X844" t="str">
            <v>Empaquetado</v>
          </cell>
          <cell r="AC844">
            <v>1.014399355877617E-4</v>
          </cell>
          <cell r="AD844">
            <v>1.014399355877617E-4</v>
          </cell>
          <cell r="AE844" t="str">
            <v>Con precio</v>
          </cell>
        </row>
        <row r="845">
          <cell r="B845" t="str">
            <v>AGZ-M0001</v>
          </cell>
          <cell r="X845" t="str">
            <v>Formulación</v>
          </cell>
          <cell r="AC845">
            <v>0.15</v>
          </cell>
          <cell r="AD845">
            <v>0.15</v>
          </cell>
          <cell r="AE845" t="str">
            <v>Con precio</v>
          </cell>
        </row>
        <row r="846">
          <cell r="B846" t="str">
            <v>AGZ-M0001</v>
          </cell>
          <cell r="X846" t="str">
            <v>Formulación</v>
          </cell>
          <cell r="AC846">
            <v>0.42504000000000003</v>
          </cell>
          <cell r="AD846">
            <v>0.42504000000000003</v>
          </cell>
          <cell r="AE846" t="str">
            <v>Con precio</v>
          </cell>
        </row>
        <row r="847">
          <cell r="B847" t="str">
            <v>AGZ-M0001</v>
          </cell>
          <cell r="X847" t="str">
            <v>Formulación</v>
          </cell>
          <cell r="AC847">
            <v>1.9521000000000002</v>
          </cell>
          <cell r="AD847">
            <v>1.3241228571428572</v>
          </cell>
          <cell r="AE847" t="str">
            <v>Con precio</v>
          </cell>
        </row>
        <row r="848">
          <cell r="B848" t="str">
            <v>AGZ-M0001</v>
          </cell>
          <cell r="X848" t="str">
            <v>Formulación</v>
          </cell>
          <cell r="AC848">
            <v>2.7000000000000003E-2</v>
          </cell>
          <cell r="AD848">
            <v>2.128571428571429E-2</v>
          </cell>
          <cell r="AE848" t="str">
            <v>Con precio</v>
          </cell>
        </row>
        <row r="849">
          <cell r="B849" t="str">
            <v>AGZ-M0001</v>
          </cell>
          <cell r="X849" t="str">
            <v>Empaquetado</v>
          </cell>
          <cell r="AC849">
            <v>1.8939393939393939E-5</v>
          </cell>
          <cell r="AD849">
            <v>1.8939393939393939E-5</v>
          </cell>
          <cell r="AE849" t="str">
            <v>Con precio</v>
          </cell>
        </row>
        <row r="850">
          <cell r="B850" t="str">
            <v>AGZ-M0001</v>
          </cell>
          <cell r="X850" t="str">
            <v>Empaquetado</v>
          </cell>
          <cell r="AC850">
            <v>1.4649621212121213E-2</v>
          </cell>
          <cell r="AD850">
            <v>1.4649621212121213E-2</v>
          </cell>
          <cell r="AE850" t="str">
            <v>Con precio</v>
          </cell>
        </row>
        <row r="851">
          <cell r="B851" t="str">
            <v>AGZ-M0001</v>
          </cell>
          <cell r="X851" t="str">
            <v>Empaquetado</v>
          </cell>
          <cell r="AC851">
            <v>5.3938139059304703E-2</v>
          </cell>
          <cell r="AD851">
            <v>5.3938139059304703E-2</v>
          </cell>
          <cell r="AE851" t="str">
            <v>Con precio</v>
          </cell>
        </row>
        <row r="852">
          <cell r="B852" t="str">
            <v>AGZ-M0001</v>
          </cell>
          <cell r="X852" t="str">
            <v>Empaquetado</v>
          </cell>
          <cell r="AC852">
            <v>5.5431216032608699E-3</v>
          </cell>
          <cell r="AD852">
            <v>5.5431216032608699E-3</v>
          </cell>
          <cell r="AE852" t="str">
            <v>Con precio</v>
          </cell>
        </row>
        <row r="853">
          <cell r="B853" t="str">
            <v>AGZ-M0001</v>
          </cell>
          <cell r="X853" t="str">
            <v>Empaquetado</v>
          </cell>
          <cell r="AC853">
            <v>3.9889583333333332E-2</v>
          </cell>
          <cell r="AD853">
            <v>3.9889583333333332E-2</v>
          </cell>
          <cell r="AE853" t="str">
            <v>Con precio</v>
          </cell>
        </row>
        <row r="854">
          <cell r="B854" t="str">
            <v>AGZ-M0001</v>
          </cell>
          <cell r="X854" t="str">
            <v>Empaquetado</v>
          </cell>
          <cell r="AC854">
            <v>6.3339962121212137E-2</v>
          </cell>
          <cell r="AD854">
            <v>6.3339962121212137E-2</v>
          </cell>
          <cell r="AE854" t="str">
            <v>Con precio</v>
          </cell>
        </row>
        <row r="855">
          <cell r="B855" t="str">
            <v>AGZ-M0005</v>
          </cell>
          <cell r="X855" t="str">
            <v>Formulación</v>
          </cell>
          <cell r="AC855">
            <v>0.15</v>
          </cell>
          <cell r="AD855">
            <v>0.15</v>
          </cell>
          <cell r="AE855" t="str">
            <v>Con precio</v>
          </cell>
        </row>
        <row r="856">
          <cell r="B856" t="str">
            <v>AGZ-M0005</v>
          </cell>
          <cell r="X856" t="str">
            <v>Formulación</v>
          </cell>
          <cell r="AC856">
            <v>0.42504000000000003</v>
          </cell>
          <cell r="AD856">
            <v>0.42504000000000003</v>
          </cell>
          <cell r="AE856" t="str">
            <v>Con precio</v>
          </cell>
        </row>
        <row r="857">
          <cell r="B857" t="str">
            <v>AGZ-M0005</v>
          </cell>
          <cell r="X857" t="str">
            <v>Formulación</v>
          </cell>
          <cell r="AC857">
            <v>1.9521000000000002</v>
          </cell>
          <cell r="AD857">
            <v>1.3241228571428572</v>
          </cell>
          <cell r="AE857" t="str">
            <v>Con precio</v>
          </cell>
        </row>
        <row r="858">
          <cell r="B858" t="str">
            <v>AGZ-M0005</v>
          </cell>
          <cell r="X858" t="str">
            <v>Formulación</v>
          </cell>
          <cell r="AC858">
            <v>2.7000000000000003E-2</v>
          </cell>
          <cell r="AD858">
            <v>2.128571428571429E-2</v>
          </cell>
          <cell r="AE858" t="str">
            <v>Con precio</v>
          </cell>
        </row>
        <row r="859">
          <cell r="B859" t="str">
            <v>AGZ-M0005</v>
          </cell>
          <cell r="X859" t="str">
            <v>Empaquetado</v>
          </cell>
          <cell r="AC859">
            <v>1.0393066666666666E-2</v>
          </cell>
          <cell r="AD859">
            <v>1.0393066666666666E-2</v>
          </cell>
          <cell r="AE859" t="str">
            <v>Con precio</v>
          </cell>
        </row>
        <row r="860">
          <cell r="B860" t="str">
            <v>AGZ-M0005</v>
          </cell>
          <cell r="X860" t="str">
            <v>Empaquetado</v>
          </cell>
          <cell r="AC860">
            <v>2.0626666666666665E-2</v>
          </cell>
          <cell r="AD860">
            <v>2.0626666666666665E-2</v>
          </cell>
          <cell r="AE860" t="str">
            <v>Con precio</v>
          </cell>
        </row>
        <row r="861">
          <cell r="B861" t="str">
            <v>AGZ-M0005</v>
          </cell>
          <cell r="X861" t="str">
            <v>Empaquetado</v>
          </cell>
          <cell r="AC861">
            <v>2.1285586956521739E-2</v>
          </cell>
          <cell r="AD861">
            <v>2.1285586956521739E-2</v>
          </cell>
          <cell r="AE861" t="str">
            <v>Con precio</v>
          </cell>
        </row>
        <row r="862">
          <cell r="B862" t="str">
            <v>AGZ-M0005</v>
          </cell>
          <cell r="X862" t="str">
            <v>Empaquetado</v>
          </cell>
          <cell r="AC862">
            <v>2.9560014104372354E-2</v>
          </cell>
          <cell r="AD862">
            <v>2.9560014104372354E-2</v>
          </cell>
          <cell r="AE862" t="str">
            <v>Con precio</v>
          </cell>
        </row>
        <row r="863">
          <cell r="B863" t="str">
            <v>AGZ-M0005</v>
          </cell>
          <cell r="X863" t="str">
            <v>Empaquetado</v>
          </cell>
          <cell r="AC863">
            <v>2.1682000000000003E-2</v>
          </cell>
          <cell r="AD863">
            <v>2.1682000000000003E-2</v>
          </cell>
          <cell r="AE863" t="str">
            <v>Con precio</v>
          </cell>
        </row>
        <row r="864">
          <cell r="B864" t="str">
            <v>AGZN0001CR</v>
          </cell>
          <cell r="X864" t="str">
            <v>Formulación</v>
          </cell>
          <cell r="AC864">
            <v>2.0196000000000001</v>
          </cell>
          <cell r="AD864">
            <v>1.3699085714285715</v>
          </cell>
          <cell r="AE864" t="str">
            <v>Con precio</v>
          </cell>
        </row>
        <row r="865">
          <cell r="B865" t="str">
            <v>AGZN0001CR</v>
          </cell>
          <cell r="X865" t="str">
            <v>Formulación</v>
          </cell>
          <cell r="AC865">
            <v>0.74704000000000004</v>
          </cell>
          <cell r="AD865">
            <v>0.74704000000000004</v>
          </cell>
          <cell r="AE865" t="str">
            <v>Con precio</v>
          </cell>
        </row>
        <row r="866">
          <cell r="B866" t="str">
            <v>AGZN0001CR</v>
          </cell>
          <cell r="X866" t="str">
            <v>Formulación</v>
          </cell>
          <cell r="AC866">
            <v>2.7000000000000003E-2</v>
          </cell>
          <cell r="AD866">
            <v>2.128571428571429E-2</v>
          </cell>
          <cell r="AE866" t="str">
            <v>Con precio</v>
          </cell>
        </row>
        <row r="867">
          <cell r="B867" t="str">
            <v>AGZN0001CR</v>
          </cell>
          <cell r="X867" t="str">
            <v>Empaquetado</v>
          </cell>
          <cell r="AC867">
            <v>1.8939393939393939E-5</v>
          </cell>
          <cell r="AD867">
            <v>1.8939393939393939E-5</v>
          </cell>
          <cell r="AE867" t="str">
            <v>Con precio</v>
          </cell>
        </row>
        <row r="868">
          <cell r="B868" t="str">
            <v>AGZN0001CR</v>
          </cell>
          <cell r="X868" t="str">
            <v>Empaquetado</v>
          </cell>
          <cell r="AC868">
            <v>1.4649621212121213E-2</v>
          </cell>
          <cell r="AD868">
            <v>1.4649621212121213E-2</v>
          </cell>
          <cell r="AE868" t="str">
            <v>Con precio</v>
          </cell>
        </row>
        <row r="869">
          <cell r="B869" t="str">
            <v>AGZN0001CR</v>
          </cell>
          <cell r="X869" t="str">
            <v>Empaquetado</v>
          </cell>
          <cell r="AC869">
            <v>5.3938139059304703E-2</v>
          </cell>
          <cell r="AD869">
            <v>5.3938139059304703E-2</v>
          </cell>
          <cell r="AE869" t="str">
            <v>Con precio</v>
          </cell>
        </row>
        <row r="870">
          <cell r="B870" t="str">
            <v>AGZN0001CR</v>
          </cell>
          <cell r="X870" t="str">
            <v>Empaquetado</v>
          </cell>
          <cell r="AC870">
            <v>5.5431216032608699E-3</v>
          </cell>
          <cell r="AD870">
            <v>5.5431216032608699E-3</v>
          </cell>
          <cell r="AE870" t="str">
            <v>Con precio</v>
          </cell>
        </row>
        <row r="871">
          <cell r="B871" t="str">
            <v>AGZN0001CR</v>
          </cell>
          <cell r="X871" t="str">
            <v>Empaquetado</v>
          </cell>
          <cell r="AC871">
            <v>3.9889583333333332E-2</v>
          </cell>
          <cell r="AD871">
            <v>3.9889583333333332E-2</v>
          </cell>
          <cell r="AE871" t="str">
            <v>Con precio</v>
          </cell>
        </row>
        <row r="872">
          <cell r="B872" t="str">
            <v>AGZN0001CR</v>
          </cell>
          <cell r="X872" t="str">
            <v>Empaquetado</v>
          </cell>
          <cell r="AC872">
            <v>6.3339962121212137E-2</v>
          </cell>
          <cell r="AD872">
            <v>6.3339962121212137E-2</v>
          </cell>
          <cell r="AE872" t="str">
            <v>Con precio</v>
          </cell>
        </row>
        <row r="873">
          <cell r="B873" t="str">
            <v>AGZN0005CR</v>
          </cell>
          <cell r="X873" t="str">
            <v>Formulación</v>
          </cell>
          <cell r="AC873">
            <v>2.0196000000000001</v>
          </cell>
          <cell r="AD873">
            <v>1.3699085714285715</v>
          </cell>
          <cell r="AE873" t="str">
            <v>Con precio</v>
          </cell>
        </row>
        <row r="874">
          <cell r="B874" t="str">
            <v>AGZN0005CR</v>
          </cell>
          <cell r="X874" t="str">
            <v>Formulación</v>
          </cell>
          <cell r="AC874">
            <v>0.74704000000000004</v>
          </cell>
          <cell r="AD874">
            <v>0.74704000000000004</v>
          </cell>
          <cell r="AE874" t="str">
            <v>Con precio</v>
          </cell>
        </row>
        <row r="875">
          <cell r="B875" t="str">
            <v>AGZN0005CR</v>
          </cell>
          <cell r="X875" t="str">
            <v>Formulación</v>
          </cell>
          <cell r="AC875">
            <v>2.7000000000000003E-2</v>
          </cell>
          <cell r="AD875">
            <v>2.128571428571429E-2</v>
          </cell>
          <cell r="AE875" t="str">
            <v>Con precio</v>
          </cell>
        </row>
        <row r="876">
          <cell r="B876" t="str">
            <v>AGZN0005CR</v>
          </cell>
          <cell r="X876" t="str">
            <v>Empaquetado</v>
          </cell>
          <cell r="AC876">
            <v>1.0393066666666666E-2</v>
          </cell>
          <cell r="AD876">
            <v>1.0393066666666666E-2</v>
          </cell>
          <cell r="AE876" t="str">
            <v>Con precio</v>
          </cell>
        </row>
        <row r="877">
          <cell r="B877" t="str">
            <v>AGZN0005CR</v>
          </cell>
          <cell r="X877" t="str">
            <v>Empaquetado</v>
          </cell>
          <cell r="AC877">
            <v>2.0626666666666665E-2</v>
          </cell>
          <cell r="AD877">
            <v>2.0626666666666665E-2</v>
          </cell>
          <cell r="AE877" t="str">
            <v>Con precio</v>
          </cell>
        </row>
        <row r="878">
          <cell r="B878" t="str">
            <v>AGZN0005CR</v>
          </cell>
          <cell r="X878" t="str">
            <v>Empaquetado</v>
          </cell>
          <cell r="AC878">
            <v>2.1285586956521739E-2</v>
          </cell>
          <cell r="AD878">
            <v>2.1285586956521739E-2</v>
          </cell>
          <cell r="AE878" t="str">
            <v>Con precio</v>
          </cell>
        </row>
        <row r="879">
          <cell r="B879" t="str">
            <v>AGZN0005CR</v>
          </cell>
          <cell r="X879" t="str">
            <v>Empaquetado</v>
          </cell>
          <cell r="AC879">
            <v>2.9560014104372354E-2</v>
          </cell>
          <cell r="AD879">
            <v>2.9560014104372354E-2</v>
          </cell>
          <cell r="AE879" t="str">
            <v>Con precio</v>
          </cell>
        </row>
        <row r="880">
          <cell r="B880" t="str">
            <v>AGZN0005CR</v>
          </cell>
          <cell r="X880" t="str">
            <v>Empaquetado</v>
          </cell>
          <cell r="AC880">
            <v>2.1682000000000003E-2</v>
          </cell>
          <cell r="AD880">
            <v>2.1682000000000003E-2</v>
          </cell>
          <cell r="AE880" t="str">
            <v>Con precio</v>
          </cell>
        </row>
        <row r="881">
          <cell r="B881" t="str">
            <v>AGZNP0001EC</v>
          </cell>
          <cell r="X881" t="str">
            <v>Formulación</v>
          </cell>
          <cell r="AC881">
            <v>1.4850000000000003</v>
          </cell>
          <cell r="AD881">
            <v>1.0072857142857143</v>
          </cell>
          <cell r="AE881" t="str">
            <v>Con precio</v>
          </cell>
        </row>
        <row r="882">
          <cell r="B882" t="str">
            <v>AGZNP0001EC</v>
          </cell>
          <cell r="X882" t="str">
            <v>Formulación</v>
          </cell>
          <cell r="AC882">
            <v>1.3846000000000001</v>
          </cell>
          <cell r="AD882">
            <v>1.3846000000000001</v>
          </cell>
          <cell r="AE882" t="str">
            <v>Con precio</v>
          </cell>
        </row>
        <row r="883">
          <cell r="B883" t="str">
            <v>AGZNP0001EC</v>
          </cell>
          <cell r="X883" t="str">
            <v>Formulación</v>
          </cell>
          <cell r="AC883">
            <v>2.7000000000000003E-2</v>
          </cell>
          <cell r="AD883">
            <v>2.128571428571429E-2</v>
          </cell>
          <cell r="AE883" t="str">
            <v>Con precio</v>
          </cell>
        </row>
        <row r="884">
          <cell r="B884" t="str">
            <v>AGZNP0001EC</v>
          </cell>
          <cell r="X884" t="str">
            <v>Empaquetado</v>
          </cell>
          <cell r="AC884">
            <v>1.8939393939393939E-5</v>
          </cell>
          <cell r="AD884">
            <v>1.8939393939393939E-5</v>
          </cell>
          <cell r="AE884" t="str">
            <v>Con precio</v>
          </cell>
        </row>
        <row r="885">
          <cell r="B885" t="str">
            <v>AGZNP0001EC</v>
          </cell>
          <cell r="X885" t="str">
            <v>Empaquetado</v>
          </cell>
          <cell r="AC885">
            <v>1.4649621212121213E-2</v>
          </cell>
          <cell r="AD885">
            <v>1.4649621212121213E-2</v>
          </cell>
          <cell r="AE885" t="str">
            <v>Con precio</v>
          </cell>
        </row>
        <row r="886">
          <cell r="B886" t="str">
            <v>AGZNP0001EC</v>
          </cell>
          <cell r="X886" t="str">
            <v>Empaquetado</v>
          </cell>
          <cell r="AC886">
            <v>5.3938139059304703E-2</v>
          </cell>
          <cell r="AD886">
            <v>5.3938139059304703E-2</v>
          </cell>
          <cell r="AE886" t="str">
            <v>Con precio</v>
          </cell>
        </row>
        <row r="887">
          <cell r="B887" t="str">
            <v>AGZNP0001EC</v>
          </cell>
          <cell r="X887" t="str">
            <v>Empaquetado</v>
          </cell>
          <cell r="AC887">
            <v>5.5431216032608699E-3</v>
          </cell>
          <cell r="AD887">
            <v>5.5431216032608699E-3</v>
          </cell>
          <cell r="AE887" t="str">
            <v>Con precio</v>
          </cell>
        </row>
        <row r="888">
          <cell r="B888" t="str">
            <v>AGZNP0001EC</v>
          </cell>
          <cell r="X888" t="str">
            <v>Empaquetado</v>
          </cell>
          <cell r="AC888">
            <v>3.9889583333333332E-2</v>
          </cell>
          <cell r="AD888">
            <v>3.9889583333333332E-2</v>
          </cell>
          <cell r="AE888" t="str">
            <v>Con precio</v>
          </cell>
        </row>
        <row r="889">
          <cell r="B889" t="str">
            <v>AGZNP0001EC</v>
          </cell>
          <cell r="X889" t="str">
            <v>Empaquetado</v>
          </cell>
          <cell r="AC889">
            <v>6.3339962121212137E-2</v>
          </cell>
          <cell r="AD889">
            <v>6.3339962121212137E-2</v>
          </cell>
          <cell r="AE889" t="str">
            <v>Con precio</v>
          </cell>
        </row>
        <row r="890">
          <cell r="B890" t="str">
            <v>AGZNP0001EG</v>
          </cell>
          <cell r="X890" t="str">
            <v>Formulación</v>
          </cell>
          <cell r="AC890">
            <v>1.4850000000000003</v>
          </cell>
          <cell r="AD890">
            <v>1.0072857142857143</v>
          </cell>
          <cell r="AE890" t="str">
            <v>Con precio</v>
          </cell>
        </row>
        <row r="891">
          <cell r="B891" t="str">
            <v>AGZNP0001EG</v>
          </cell>
          <cell r="X891" t="str">
            <v>Formulación</v>
          </cell>
          <cell r="AC891">
            <v>1.3846000000000001</v>
          </cell>
          <cell r="AD891">
            <v>1.3846000000000001</v>
          </cell>
          <cell r="AE891" t="str">
            <v>Con precio</v>
          </cell>
        </row>
        <row r="892">
          <cell r="B892" t="str">
            <v>AGZNP0001EG</v>
          </cell>
          <cell r="X892" t="str">
            <v>Formulación</v>
          </cell>
          <cell r="AC892">
            <v>2.7000000000000003E-2</v>
          </cell>
          <cell r="AD892">
            <v>2.128571428571429E-2</v>
          </cell>
          <cell r="AE892" t="str">
            <v>Con precio</v>
          </cell>
        </row>
        <row r="893">
          <cell r="B893" t="str">
            <v>AGZNP0001EG</v>
          </cell>
          <cell r="X893" t="str">
            <v>Empaquetado</v>
          </cell>
          <cell r="AC893">
            <v>1.8939393939393939E-5</v>
          </cell>
          <cell r="AD893">
            <v>1.8939393939393939E-5</v>
          </cell>
          <cell r="AE893" t="str">
            <v>Con precio</v>
          </cell>
        </row>
        <row r="894">
          <cell r="B894" t="str">
            <v>AGZNP0001EG</v>
          </cell>
          <cell r="X894" t="str">
            <v>Empaquetado</v>
          </cell>
          <cell r="AC894">
            <v>1.4649621212121213E-2</v>
          </cell>
          <cell r="AD894">
            <v>1.4649621212121213E-2</v>
          </cell>
          <cell r="AE894" t="str">
            <v>Con precio</v>
          </cell>
        </row>
        <row r="895">
          <cell r="B895" t="str">
            <v>AGZNP0001EG</v>
          </cell>
          <cell r="X895" t="str">
            <v>Empaquetado</v>
          </cell>
          <cell r="AC895">
            <v>5.3938139059304703E-2</v>
          </cell>
          <cell r="AD895">
            <v>5.3938139059304703E-2</v>
          </cell>
          <cell r="AE895" t="str">
            <v>Con precio</v>
          </cell>
        </row>
        <row r="896">
          <cell r="B896" t="str">
            <v>AGZNP0001EG</v>
          </cell>
          <cell r="X896" t="str">
            <v>Empaquetado</v>
          </cell>
          <cell r="AC896">
            <v>5.5431216032608699E-3</v>
          </cell>
          <cell r="AD896">
            <v>5.5431216032608699E-3</v>
          </cell>
          <cell r="AE896" t="str">
            <v>Con precio</v>
          </cell>
        </row>
        <row r="897">
          <cell r="B897" t="str">
            <v>AGZNP0001EG</v>
          </cell>
          <cell r="X897" t="str">
            <v>Empaquetado</v>
          </cell>
          <cell r="AC897">
            <v>3.9889583333333332E-2</v>
          </cell>
          <cell r="AD897">
            <v>3.9889583333333332E-2</v>
          </cell>
          <cell r="AE897" t="str">
            <v>Con precio</v>
          </cell>
        </row>
        <row r="898">
          <cell r="B898" t="str">
            <v>AGZNP0001EG</v>
          </cell>
          <cell r="X898" t="str">
            <v>Empaquetado</v>
          </cell>
          <cell r="AC898">
            <v>6.3339962121212137E-2</v>
          </cell>
          <cell r="AD898">
            <v>6.3339962121212137E-2</v>
          </cell>
          <cell r="AE898" t="str">
            <v>Con precio</v>
          </cell>
        </row>
        <row r="899">
          <cell r="B899" t="str">
            <v>AGZNP0005</v>
          </cell>
          <cell r="X899" t="str">
            <v>Formulación</v>
          </cell>
          <cell r="AC899">
            <v>1.4850000000000003</v>
          </cell>
          <cell r="AD899">
            <v>1.0072857142857143</v>
          </cell>
          <cell r="AE899" t="str">
            <v>Con precio</v>
          </cell>
        </row>
        <row r="900">
          <cell r="B900" t="str">
            <v>AGZNP0005</v>
          </cell>
          <cell r="X900" t="str">
            <v>Formulación</v>
          </cell>
          <cell r="AC900">
            <v>1.3846000000000001</v>
          </cell>
          <cell r="AD900">
            <v>1.3846000000000001</v>
          </cell>
          <cell r="AE900" t="str">
            <v>Con precio</v>
          </cell>
        </row>
        <row r="901">
          <cell r="B901" t="str">
            <v>AGZNP0005</v>
          </cell>
          <cell r="X901" t="str">
            <v>Formulación</v>
          </cell>
          <cell r="AC901">
            <v>2.7000000000000003E-2</v>
          </cell>
          <cell r="AD901">
            <v>2.128571428571429E-2</v>
          </cell>
          <cell r="AE901" t="str">
            <v>Con precio</v>
          </cell>
        </row>
        <row r="902">
          <cell r="B902" t="str">
            <v>AGZNP0005</v>
          </cell>
          <cell r="X902" t="str">
            <v>Empaquetado</v>
          </cell>
          <cell r="AC902">
            <v>1.0393066666666666E-2</v>
          </cell>
          <cell r="AD902">
            <v>1.0393066666666666E-2</v>
          </cell>
          <cell r="AE902" t="str">
            <v>Con precio</v>
          </cell>
        </row>
        <row r="903">
          <cell r="B903" t="str">
            <v>AGZNP0005</v>
          </cell>
          <cell r="X903" t="str">
            <v>Empaquetado</v>
          </cell>
          <cell r="AC903">
            <v>2.0626666666666665E-2</v>
          </cell>
          <cell r="AD903">
            <v>2.0626666666666665E-2</v>
          </cell>
          <cell r="AE903" t="str">
            <v>Con precio</v>
          </cell>
        </row>
        <row r="904">
          <cell r="B904" t="str">
            <v>AGZNP0005</v>
          </cell>
          <cell r="X904" t="str">
            <v>Empaquetado</v>
          </cell>
          <cell r="AC904">
            <v>2.1285586956521739E-2</v>
          </cell>
          <cell r="AD904">
            <v>2.1285586956521739E-2</v>
          </cell>
          <cell r="AE904" t="str">
            <v>Con precio</v>
          </cell>
        </row>
        <row r="905">
          <cell r="B905" t="str">
            <v>AGZNP0005</v>
          </cell>
          <cell r="X905" t="str">
            <v>Empaquetado</v>
          </cell>
          <cell r="AC905">
            <v>2.9560014104372354E-2</v>
          </cell>
          <cell r="AD905">
            <v>2.9560014104372354E-2</v>
          </cell>
          <cell r="AE905" t="str">
            <v>Con precio</v>
          </cell>
        </row>
        <row r="906">
          <cell r="B906" t="str">
            <v>AGZNP0005</v>
          </cell>
          <cell r="X906" t="str">
            <v>Empaquetado</v>
          </cell>
          <cell r="AC906">
            <v>2.1682000000000003E-2</v>
          </cell>
          <cell r="AD906">
            <v>2.1682000000000003E-2</v>
          </cell>
          <cell r="AE906" t="str">
            <v>Con precio</v>
          </cell>
        </row>
        <row r="907">
          <cell r="B907" t="str">
            <v>AMGF0001AZ</v>
          </cell>
          <cell r="X907" t="str">
            <v>Formulación</v>
          </cell>
          <cell r="AC907">
            <v>4.8799999999999998E-3</v>
          </cell>
          <cell r="AD907">
            <v>4.8799999999999998E-3</v>
          </cell>
          <cell r="AE907" t="str">
            <v>Con precio</v>
          </cell>
        </row>
        <row r="908">
          <cell r="B908" t="str">
            <v>AMGF0001AZ</v>
          </cell>
          <cell r="X908" t="str">
            <v>Formulación</v>
          </cell>
          <cell r="AC908">
            <v>6.3054000000000013E-2</v>
          </cell>
          <cell r="AD908">
            <v>6.3054000000000013E-2</v>
          </cell>
          <cell r="AE908" t="str">
            <v>Con precio</v>
          </cell>
        </row>
        <row r="909">
          <cell r="B909" t="str">
            <v>AMGF0001AZ</v>
          </cell>
          <cell r="X909" t="str">
            <v>Formulación</v>
          </cell>
          <cell r="AC909">
            <v>0.38750000000000001</v>
          </cell>
          <cell r="AD909">
            <v>0.38750000000000001</v>
          </cell>
          <cell r="AE909" t="str">
            <v>Con precio</v>
          </cell>
        </row>
        <row r="910">
          <cell r="B910" t="str">
            <v>AMGF0001AZ</v>
          </cell>
          <cell r="X910" t="str">
            <v>Formulación</v>
          </cell>
          <cell r="AC910">
            <v>0.21385000000000001</v>
          </cell>
          <cell r="AD910">
            <v>0.17435599999999998</v>
          </cell>
          <cell r="AE910" t="str">
            <v>Con precio</v>
          </cell>
        </row>
        <row r="911">
          <cell r="B911" t="str">
            <v>AMGF0001AZ</v>
          </cell>
          <cell r="X911" t="str">
            <v>Formulación</v>
          </cell>
          <cell r="AC911">
            <v>0.93280000000000007</v>
          </cell>
          <cell r="AD911">
            <v>0.93280000000000007</v>
          </cell>
          <cell r="AE911" t="str">
            <v>Con precio</v>
          </cell>
        </row>
        <row r="912">
          <cell r="B912" t="str">
            <v>AMGF0001AZ</v>
          </cell>
          <cell r="X912" t="str">
            <v>Formulación</v>
          </cell>
          <cell r="AC912">
            <v>2.2359999999999998E-2</v>
          </cell>
          <cell r="AD912">
            <v>1.6718E-2</v>
          </cell>
          <cell r="AE912" t="str">
            <v>Con precio</v>
          </cell>
        </row>
        <row r="913">
          <cell r="B913" t="str">
            <v>AMGF0001AZ</v>
          </cell>
          <cell r="X913" t="str">
            <v>Formulación</v>
          </cell>
          <cell r="AC913">
            <v>0.26679999999999998</v>
          </cell>
          <cell r="AD913">
            <v>0.23316249999999999</v>
          </cell>
          <cell r="AE913" t="str">
            <v>Con precio</v>
          </cell>
        </row>
        <row r="914">
          <cell r="B914" t="str">
            <v>AMGF0001AZ</v>
          </cell>
          <cell r="X914" t="str">
            <v>Formulación</v>
          </cell>
          <cell r="AC914">
            <v>0.13800000000000001</v>
          </cell>
          <cell r="AD914">
            <v>0.13350000000000001</v>
          </cell>
          <cell r="AE914" t="str">
            <v>Con precio</v>
          </cell>
        </row>
        <row r="915">
          <cell r="B915" t="str">
            <v>AMGF0001AZ</v>
          </cell>
          <cell r="X915" t="str">
            <v>Formulación</v>
          </cell>
          <cell r="AC915">
            <v>0.17968999999999999</v>
          </cell>
          <cell r="AD915">
            <v>0.14149100000000001</v>
          </cell>
          <cell r="AE915" t="str">
            <v>Con precio</v>
          </cell>
        </row>
        <row r="916">
          <cell r="B916" t="str">
            <v>AMGF0001AZ</v>
          </cell>
          <cell r="X916" t="str">
            <v>Empaquetado</v>
          </cell>
          <cell r="AC916">
            <v>3.0303030303030299E-5</v>
          </cell>
          <cell r="AD916">
            <v>3.0303030303030299E-5</v>
          </cell>
          <cell r="AE916" t="str">
            <v>Con precio</v>
          </cell>
        </row>
        <row r="917">
          <cell r="B917" t="str">
            <v>AMGF0001AZ</v>
          </cell>
          <cell r="X917" t="str">
            <v>Empaquetado</v>
          </cell>
          <cell r="AC917">
            <v>2.3439393939393937E-2</v>
          </cell>
          <cell r="AD917">
            <v>2.3439393939393937E-2</v>
          </cell>
          <cell r="AE917" t="str">
            <v>Con precio</v>
          </cell>
        </row>
        <row r="918">
          <cell r="B918" t="str">
            <v>AMGF0001AZ</v>
          </cell>
          <cell r="X918" t="str">
            <v>Empaquetado</v>
          </cell>
          <cell r="AC918">
            <v>7.1917518745739595E-2</v>
          </cell>
          <cell r="AD918">
            <v>7.1917518745739595E-2</v>
          </cell>
          <cell r="AE918" t="str">
            <v>Con precio</v>
          </cell>
        </row>
        <row r="919">
          <cell r="B919" t="str">
            <v>AMGF0001AZ</v>
          </cell>
          <cell r="X919" t="str">
            <v>Empaquetado</v>
          </cell>
          <cell r="AC919">
            <v>0.44322992424242419</v>
          </cell>
          <cell r="AD919">
            <v>0.44322992424242419</v>
          </cell>
          <cell r="AE919" t="str">
            <v>Con precio</v>
          </cell>
        </row>
        <row r="920">
          <cell r="B920" t="str">
            <v>AMGF0001AZ</v>
          </cell>
          <cell r="X920" t="str">
            <v>Empaquetado</v>
          </cell>
          <cell r="AC920">
            <v>0.45124999999999998</v>
          </cell>
          <cell r="AD920">
            <v>0.32061666666666666</v>
          </cell>
          <cell r="AE920" t="str">
            <v>Con precio</v>
          </cell>
        </row>
        <row r="921">
          <cell r="B921" t="str">
            <v>AMGF0001AZ</v>
          </cell>
          <cell r="X921" t="str">
            <v>Empaquetado</v>
          </cell>
          <cell r="AC921">
            <v>9.6080774456521717E-2</v>
          </cell>
          <cell r="AD921">
            <v>9.6080774456521717E-2</v>
          </cell>
          <cell r="AE921" t="str">
            <v>Con precio</v>
          </cell>
        </row>
        <row r="922">
          <cell r="B922" t="str">
            <v>AMIMG0005</v>
          </cell>
          <cell r="X922" t="str">
            <v>Formulación</v>
          </cell>
          <cell r="AC922">
            <v>4.8799999999999998E-3</v>
          </cell>
          <cell r="AD922">
            <v>4.8799999999999998E-3</v>
          </cell>
          <cell r="AE922" t="str">
            <v>Con precio</v>
          </cell>
        </row>
        <row r="923">
          <cell r="B923" t="str">
            <v>AMIMG0005</v>
          </cell>
          <cell r="X923" t="str">
            <v>Formulación</v>
          </cell>
          <cell r="AC923">
            <v>0.13983999999999999</v>
          </cell>
          <cell r="AD923">
            <v>0.13528000000000001</v>
          </cell>
          <cell r="AE923" t="str">
            <v>Con precio</v>
          </cell>
        </row>
        <row r="924">
          <cell r="B924" t="str">
            <v>AMIMG0005</v>
          </cell>
          <cell r="X924" t="str">
            <v>Formulación</v>
          </cell>
          <cell r="AC924">
            <v>2.6459999999999997E-2</v>
          </cell>
          <cell r="AD924">
            <v>2.6459999999999997E-2</v>
          </cell>
          <cell r="AE924" t="str">
            <v>Con precio</v>
          </cell>
        </row>
        <row r="925">
          <cell r="B925" t="str">
            <v>AMIMG0005</v>
          </cell>
          <cell r="X925" t="str">
            <v>Formulación</v>
          </cell>
          <cell r="AC925">
            <v>0.272727</v>
          </cell>
          <cell r="AD925">
            <v>0.272727</v>
          </cell>
          <cell r="AE925" t="str">
            <v>Con precio</v>
          </cell>
        </row>
        <row r="926">
          <cell r="B926" t="str">
            <v>AMIMG0005</v>
          </cell>
          <cell r="X926" t="str">
            <v>Formulación</v>
          </cell>
          <cell r="AC926">
            <v>0.12860099999999999</v>
          </cell>
          <cell r="AD926">
            <v>0.12860099999999999</v>
          </cell>
          <cell r="AE926" t="str">
            <v>Con precio</v>
          </cell>
        </row>
        <row r="927">
          <cell r="B927" t="str">
            <v>AMIMG0005</v>
          </cell>
          <cell r="X927" t="str">
            <v>Empaquetado</v>
          </cell>
          <cell r="AC927">
            <v>1.2991333333333337E-2</v>
          </cell>
          <cell r="AD927">
            <v>1.2991333333333337E-2</v>
          </cell>
          <cell r="AE927" t="str">
            <v>Con precio</v>
          </cell>
        </row>
        <row r="928">
          <cell r="B928" t="str">
            <v>AMIMG0005</v>
          </cell>
          <cell r="X928" t="str">
            <v>Empaquetado</v>
          </cell>
          <cell r="AC928">
            <v>2.5783333333333339E-2</v>
          </cell>
          <cell r="AD928">
            <v>2.5783333333333339E-2</v>
          </cell>
          <cell r="AE928" t="str">
            <v>Con precio</v>
          </cell>
        </row>
        <row r="929">
          <cell r="B929" t="str">
            <v>AMIMG0005</v>
          </cell>
          <cell r="X929" t="str">
            <v>Empaquetado</v>
          </cell>
          <cell r="AC929">
            <v>2.5359983896940424E-2</v>
          </cell>
          <cell r="AD929">
            <v>2.5359983896940424E-2</v>
          </cell>
          <cell r="AE929" t="str">
            <v>Con precio</v>
          </cell>
        </row>
        <row r="930">
          <cell r="B930" t="str">
            <v>AMIMG0005</v>
          </cell>
          <cell r="X930" t="str">
            <v>Empaquetado</v>
          </cell>
          <cell r="AC930">
            <v>0.17399999999999999</v>
          </cell>
          <cell r="AD930">
            <v>0.17399999999999999</v>
          </cell>
          <cell r="AE930" t="str">
            <v>Con precio</v>
          </cell>
        </row>
        <row r="931">
          <cell r="B931" t="str">
            <v>AMIMG0005</v>
          </cell>
          <cell r="X931" t="str">
            <v>Empaquetado</v>
          </cell>
          <cell r="AC931">
            <v>5.7799999999999997E-2</v>
          </cell>
          <cell r="AD931">
            <v>5.7799999999999997E-2</v>
          </cell>
          <cell r="AE931" t="str">
            <v>Con precio</v>
          </cell>
        </row>
        <row r="932">
          <cell r="B932" t="str">
            <v>AMIMG0005</v>
          </cell>
          <cell r="X932" t="str">
            <v>Empaquetado</v>
          </cell>
          <cell r="AC932">
            <v>3.6950017630465445E-2</v>
          </cell>
          <cell r="AD932">
            <v>3.6950017630465445E-2</v>
          </cell>
          <cell r="AE932" t="str">
            <v>Con precio</v>
          </cell>
        </row>
        <row r="933">
          <cell r="B933" t="str">
            <v>AMIMG0020</v>
          </cell>
          <cell r="X933" t="str">
            <v>Formulación</v>
          </cell>
          <cell r="AC933">
            <v>4.8799999999999998E-3</v>
          </cell>
          <cell r="AD933">
            <v>4.8799999999999998E-3</v>
          </cell>
          <cell r="AE933" t="str">
            <v>Con precio</v>
          </cell>
        </row>
        <row r="934">
          <cell r="B934" t="str">
            <v>AMIMG0020</v>
          </cell>
          <cell r="X934" t="str">
            <v>Formulación</v>
          </cell>
          <cell r="AC934">
            <v>0.13983999999999999</v>
          </cell>
          <cell r="AD934">
            <v>0.13528000000000001</v>
          </cell>
          <cell r="AE934" t="str">
            <v>Con precio</v>
          </cell>
        </row>
        <row r="935">
          <cell r="B935" t="str">
            <v>AMIMG0020</v>
          </cell>
          <cell r="X935" t="str">
            <v>Formulación</v>
          </cell>
          <cell r="AC935">
            <v>2.6459999999999997E-2</v>
          </cell>
          <cell r="AD935">
            <v>2.6459999999999997E-2</v>
          </cell>
          <cell r="AE935" t="str">
            <v>Con precio</v>
          </cell>
        </row>
        <row r="936">
          <cell r="B936" t="str">
            <v>AMIMG0020</v>
          </cell>
          <cell r="X936" t="str">
            <v>Formulación</v>
          </cell>
          <cell r="AC936">
            <v>0.272727</v>
          </cell>
          <cell r="AD936">
            <v>0.272727</v>
          </cell>
          <cell r="AE936" t="str">
            <v>Con precio</v>
          </cell>
        </row>
        <row r="937">
          <cell r="B937" t="str">
            <v>AMIMG0020</v>
          </cell>
          <cell r="X937" t="str">
            <v>Formulación</v>
          </cell>
          <cell r="AC937">
            <v>0.12860099999999999</v>
          </cell>
          <cell r="AD937">
            <v>0.12860099999999999</v>
          </cell>
          <cell r="AE937" t="str">
            <v>Con precio</v>
          </cell>
        </row>
        <row r="938">
          <cell r="B938" t="str">
            <v>AMIMG0020</v>
          </cell>
          <cell r="X938" t="str">
            <v>Empaquetado</v>
          </cell>
          <cell r="AC938">
            <v>7.3209374999999993E-3</v>
          </cell>
          <cell r="AD938">
            <v>7.3209374999999993E-3</v>
          </cell>
          <cell r="AE938" t="str">
            <v>Con precio</v>
          </cell>
        </row>
        <row r="939">
          <cell r="B939" t="str">
            <v>AMIMG0020</v>
          </cell>
          <cell r="X939" t="str">
            <v>Empaquetado</v>
          </cell>
          <cell r="AC939">
            <v>2.4171875000000002E-2</v>
          </cell>
          <cell r="AD939">
            <v>2.4171875000000002E-2</v>
          </cell>
          <cell r="AE939" t="str">
            <v>Con precio</v>
          </cell>
        </row>
        <row r="940">
          <cell r="B940" t="str">
            <v>AMIMG0020</v>
          </cell>
          <cell r="X940" t="str">
            <v>Empaquetado</v>
          </cell>
          <cell r="AC940">
            <v>5.0719967793880849E-3</v>
          </cell>
          <cell r="AD940">
            <v>5.0719967793880849E-3</v>
          </cell>
          <cell r="AE940" t="str">
            <v>Con precio</v>
          </cell>
        </row>
        <row r="941">
          <cell r="B941" t="str">
            <v>AMIMG0020</v>
          </cell>
          <cell r="X941" t="str">
            <v>Empaquetado</v>
          </cell>
          <cell r="AC941">
            <v>0.18266505681818179</v>
          </cell>
          <cell r="AD941">
            <v>0.18266505681818179</v>
          </cell>
          <cell r="AE941" t="str">
            <v>Con precio</v>
          </cell>
        </row>
        <row r="942">
          <cell r="B942" t="str">
            <v>AMIMG0020</v>
          </cell>
          <cell r="X942" t="str">
            <v>Empaquetado</v>
          </cell>
          <cell r="AC942">
            <v>2.4035031847133761E-2</v>
          </cell>
          <cell r="AD942">
            <v>2.4035031847133761E-2</v>
          </cell>
          <cell r="AE942" t="str">
            <v>Con precio</v>
          </cell>
        </row>
        <row r="943">
          <cell r="B943" t="str">
            <v>AN0005</v>
          </cell>
          <cell r="X943" t="str">
            <v>Formulación</v>
          </cell>
          <cell r="AC943">
            <v>1.3987647637795276E-2</v>
          </cell>
          <cell r="AD943">
            <v>1.3987647637795276E-2</v>
          </cell>
          <cell r="AE943" t="str">
            <v>Con precio</v>
          </cell>
        </row>
        <row r="944">
          <cell r="B944" t="str">
            <v>AN0005</v>
          </cell>
          <cell r="X944" t="str">
            <v>Formulación</v>
          </cell>
          <cell r="AC944">
            <v>0</v>
          </cell>
          <cell r="AD944">
            <v>0</v>
          </cell>
          <cell r="AE944" t="str">
            <v>Con precio</v>
          </cell>
        </row>
        <row r="945">
          <cell r="B945" t="str">
            <v>AN0005</v>
          </cell>
          <cell r="X945" t="str">
            <v>Formulación</v>
          </cell>
          <cell r="AC945">
            <v>0.14666932824803153</v>
          </cell>
          <cell r="AD945">
            <v>0.14666932824803153</v>
          </cell>
          <cell r="AE945" t="str">
            <v>Con precio</v>
          </cell>
        </row>
        <row r="946">
          <cell r="B946" t="str">
            <v>AN0005</v>
          </cell>
          <cell r="X946" t="str">
            <v>Formulación</v>
          </cell>
          <cell r="AC946">
            <v>1.8891363188976378E-2</v>
          </cell>
          <cell r="AD946">
            <v>1.8891363188976378E-2</v>
          </cell>
          <cell r="AE946" t="str">
            <v>Con precio</v>
          </cell>
        </row>
        <row r="947">
          <cell r="B947" t="str">
            <v>AN0005</v>
          </cell>
          <cell r="X947" t="str">
            <v>Formulación</v>
          </cell>
          <cell r="AC947">
            <v>2.3446727362204721E-3</v>
          </cell>
          <cell r="AD947">
            <v>2.3446727362204721E-3</v>
          </cell>
          <cell r="AE947" t="str">
            <v>Con precio</v>
          </cell>
        </row>
        <row r="948">
          <cell r="B948" t="str">
            <v>AN0005</v>
          </cell>
          <cell r="X948" t="str">
            <v>Formulación</v>
          </cell>
          <cell r="AC948">
            <v>6.6437007874015755E-2</v>
          </cell>
          <cell r="AD948">
            <v>6.6437007874015755E-2</v>
          </cell>
          <cell r="AE948" t="str">
            <v>Con precio</v>
          </cell>
        </row>
        <row r="949">
          <cell r="B949" t="str">
            <v>AN0005</v>
          </cell>
          <cell r="X949" t="str">
            <v>Empaquetado</v>
          </cell>
          <cell r="AC949">
            <v>7.376999999999999E-3</v>
          </cell>
          <cell r="AD949">
            <v>7.376999999999999E-3</v>
          </cell>
          <cell r="AE949" t="str">
            <v>Con precio</v>
          </cell>
        </row>
        <row r="950">
          <cell r="B950" t="str">
            <v>AN0005</v>
          </cell>
          <cell r="X950" t="str">
            <v>Empaquetado</v>
          </cell>
          <cell r="AC950">
            <v>1.4063636363636365E-2</v>
          </cell>
          <cell r="AD950">
            <v>1.4063636363636365E-2</v>
          </cell>
          <cell r="AE950" t="str">
            <v>Con precio</v>
          </cell>
        </row>
        <row r="951">
          <cell r="B951" t="str">
            <v>AN0005</v>
          </cell>
          <cell r="X951" t="str">
            <v>Empaquetado</v>
          </cell>
          <cell r="AC951">
            <v>1.7737989130434784E-2</v>
          </cell>
          <cell r="AD951">
            <v>1.7737989130434784E-2</v>
          </cell>
          <cell r="AE951" t="str">
            <v>Con precio</v>
          </cell>
        </row>
        <row r="952">
          <cell r="B952" t="str">
            <v>AN0005</v>
          </cell>
          <cell r="X952" t="str">
            <v>Empaquetado</v>
          </cell>
          <cell r="AC952">
            <v>0.12</v>
          </cell>
          <cell r="AD952">
            <v>0.12</v>
          </cell>
          <cell r="AE952" t="str">
            <v>Con precio</v>
          </cell>
        </row>
        <row r="953">
          <cell r="B953" t="str">
            <v>AN0005</v>
          </cell>
          <cell r="X953" t="str">
            <v>Empaquetado</v>
          </cell>
          <cell r="AC953">
            <v>4.7762512077294692E-2</v>
          </cell>
          <cell r="AD953">
            <v>4.7762512077294692E-2</v>
          </cell>
          <cell r="AE953" t="str">
            <v>Con precio</v>
          </cell>
        </row>
        <row r="954">
          <cell r="B954" t="str">
            <v>AN0005CO</v>
          </cell>
          <cell r="X954" t="str">
            <v>Formulación</v>
          </cell>
          <cell r="AC954">
            <v>1.3987647637795276E-2</v>
          </cell>
          <cell r="AD954">
            <v>1.3987647637795276E-2</v>
          </cell>
          <cell r="AE954" t="str">
            <v>Con precio</v>
          </cell>
        </row>
        <row r="955">
          <cell r="B955" t="str">
            <v>AN0005CO</v>
          </cell>
          <cell r="X955" t="str">
            <v>Formulación</v>
          </cell>
          <cell r="AC955">
            <v>0</v>
          </cell>
          <cell r="AD955">
            <v>0</v>
          </cell>
          <cell r="AE955" t="str">
            <v>Con precio</v>
          </cell>
        </row>
        <row r="956">
          <cell r="B956" t="str">
            <v>AN0005CO</v>
          </cell>
          <cell r="X956" t="str">
            <v>Formulación</v>
          </cell>
          <cell r="AC956">
            <v>0.14666932824803153</v>
          </cell>
          <cell r="AD956">
            <v>0.14666932824803153</v>
          </cell>
          <cell r="AE956" t="str">
            <v>Con precio</v>
          </cell>
        </row>
        <row r="957">
          <cell r="B957" t="str">
            <v>AN0005CO</v>
          </cell>
          <cell r="X957" t="str">
            <v>Formulación</v>
          </cell>
          <cell r="AC957">
            <v>1.8891363188976378E-2</v>
          </cell>
          <cell r="AD957">
            <v>1.8891363188976378E-2</v>
          </cell>
          <cell r="AE957" t="str">
            <v>Con precio</v>
          </cell>
        </row>
        <row r="958">
          <cell r="B958" t="str">
            <v>AN0005CO</v>
          </cell>
          <cell r="X958" t="str">
            <v>Formulación</v>
          </cell>
          <cell r="AC958">
            <v>2.3446727362204721E-3</v>
          </cell>
          <cell r="AD958">
            <v>2.3446727362204721E-3</v>
          </cell>
          <cell r="AE958" t="str">
            <v>Con precio</v>
          </cell>
        </row>
        <row r="959">
          <cell r="B959" t="str">
            <v>AN0005CO</v>
          </cell>
          <cell r="X959" t="str">
            <v>Formulación</v>
          </cell>
          <cell r="AC959">
            <v>6.6437007874015755E-2</v>
          </cell>
          <cell r="AD959">
            <v>6.6437007874015755E-2</v>
          </cell>
          <cell r="AE959" t="str">
            <v>Con precio</v>
          </cell>
        </row>
        <row r="960">
          <cell r="B960" t="str">
            <v>AN0005CO</v>
          </cell>
          <cell r="X960" t="str">
            <v>Empaquetado</v>
          </cell>
          <cell r="AC960">
            <v>7.376999999999999E-3</v>
          </cell>
          <cell r="AD960">
            <v>7.376999999999999E-3</v>
          </cell>
          <cell r="AE960" t="str">
            <v>Con precio</v>
          </cell>
        </row>
        <row r="961">
          <cell r="B961" t="str">
            <v>AN0005CO</v>
          </cell>
          <cell r="X961" t="str">
            <v>Empaquetado</v>
          </cell>
          <cell r="AC961">
            <v>1.4063636363636365E-2</v>
          </cell>
          <cell r="AD961">
            <v>1.4063636363636365E-2</v>
          </cell>
          <cell r="AE961" t="str">
            <v>Con precio</v>
          </cell>
        </row>
        <row r="962">
          <cell r="B962" t="str">
            <v>AN0005CO</v>
          </cell>
          <cell r="X962" t="str">
            <v>Empaquetado</v>
          </cell>
          <cell r="AC962">
            <v>1.7737989130434784E-2</v>
          </cell>
          <cell r="AD962">
            <v>1.7737989130434784E-2</v>
          </cell>
          <cell r="AE962" t="str">
            <v>Con precio</v>
          </cell>
        </row>
        <row r="963">
          <cell r="B963" t="str">
            <v>AN0005CO</v>
          </cell>
          <cell r="X963" t="str">
            <v>Empaquetado</v>
          </cell>
          <cell r="AC963">
            <v>0.12</v>
          </cell>
          <cell r="AD963">
            <v>0.12</v>
          </cell>
          <cell r="AE963" t="str">
            <v>Con precio</v>
          </cell>
        </row>
        <row r="964">
          <cell r="B964" t="str">
            <v>AN0005CO</v>
          </cell>
          <cell r="X964" t="str">
            <v>Empaquetado</v>
          </cell>
          <cell r="AC964">
            <v>4.7762512077294692E-2</v>
          </cell>
          <cell r="AD964">
            <v>4.7762512077294692E-2</v>
          </cell>
          <cell r="AE964" t="str">
            <v>Con precio</v>
          </cell>
        </row>
        <row r="965">
          <cell r="B965" t="str">
            <v>AN0005CR</v>
          </cell>
          <cell r="X965" t="str">
            <v>Formulación</v>
          </cell>
          <cell r="AC965">
            <v>1.3987647637795276E-2</v>
          </cell>
          <cell r="AD965">
            <v>1.3987647637795276E-2</v>
          </cell>
          <cell r="AE965" t="str">
            <v>Con precio</v>
          </cell>
        </row>
        <row r="966">
          <cell r="B966" t="str">
            <v>AN0005CR</v>
          </cell>
          <cell r="X966" t="str">
            <v>Formulación</v>
          </cell>
          <cell r="AC966">
            <v>0</v>
          </cell>
          <cell r="AD966">
            <v>0</v>
          </cell>
          <cell r="AE966" t="str">
            <v>Con precio</v>
          </cell>
        </row>
        <row r="967">
          <cell r="B967" t="str">
            <v>AN0005CR</v>
          </cell>
          <cell r="X967" t="str">
            <v>Formulación</v>
          </cell>
          <cell r="AC967">
            <v>0.14666932824803153</v>
          </cell>
          <cell r="AD967">
            <v>0.14666932824803153</v>
          </cell>
          <cell r="AE967" t="str">
            <v>Con precio</v>
          </cell>
        </row>
        <row r="968">
          <cell r="B968" t="str">
            <v>AN0005CR</v>
          </cell>
          <cell r="X968" t="str">
            <v>Formulación</v>
          </cell>
          <cell r="AC968">
            <v>1.8891363188976378E-2</v>
          </cell>
          <cell r="AD968">
            <v>1.8891363188976378E-2</v>
          </cell>
          <cell r="AE968" t="str">
            <v>Con precio</v>
          </cell>
        </row>
        <row r="969">
          <cell r="B969" t="str">
            <v>AN0005CR</v>
          </cell>
          <cell r="X969" t="str">
            <v>Formulación</v>
          </cell>
          <cell r="AC969">
            <v>2.3446727362204721E-3</v>
          </cell>
          <cell r="AD969">
            <v>2.3446727362204721E-3</v>
          </cell>
          <cell r="AE969" t="str">
            <v>Con precio</v>
          </cell>
        </row>
        <row r="970">
          <cell r="B970" t="str">
            <v>AN0005CR</v>
          </cell>
          <cell r="X970" t="str">
            <v>Formulación</v>
          </cell>
          <cell r="AC970">
            <v>6.6437007874015755E-2</v>
          </cell>
          <cell r="AD970">
            <v>6.6437007874015755E-2</v>
          </cell>
          <cell r="AE970" t="str">
            <v>Con precio</v>
          </cell>
        </row>
        <row r="971">
          <cell r="B971" t="str">
            <v>AN0005CR</v>
          </cell>
          <cell r="X971" t="str">
            <v>Empaquetado</v>
          </cell>
          <cell r="AC971">
            <v>7.376999999999999E-3</v>
          </cell>
          <cell r="AD971">
            <v>7.376999999999999E-3</v>
          </cell>
          <cell r="AE971" t="str">
            <v>Con precio</v>
          </cell>
        </row>
        <row r="972">
          <cell r="B972" t="str">
            <v>AN0005CR</v>
          </cell>
          <cell r="X972" t="str">
            <v>Empaquetado</v>
          </cell>
          <cell r="AC972">
            <v>1.4063636363636365E-2</v>
          </cell>
          <cell r="AD972">
            <v>1.4063636363636365E-2</v>
          </cell>
          <cell r="AE972" t="str">
            <v>Con precio</v>
          </cell>
        </row>
        <row r="973">
          <cell r="B973" t="str">
            <v>AN0005CR</v>
          </cell>
          <cell r="X973" t="str">
            <v>Empaquetado</v>
          </cell>
          <cell r="AC973">
            <v>1.7737989130434784E-2</v>
          </cell>
          <cell r="AD973">
            <v>1.7737989130434784E-2</v>
          </cell>
          <cell r="AE973" t="str">
            <v>Con precio</v>
          </cell>
        </row>
        <row r="974">
          <cell r="B974" t="str">
            <v>AN0005CR</v>
          </cell>
          <cell r="X974" t="str">
            <v>Empaquetado</v>
          </cell>
          <cell r="AC974">
            <v>0.12</v>
          </cell>
          <cell r="AD974">
            <v>0.12</v>
          </cell>
          <cell r="AE974" t="str">
            <v>Con precio</v>
          </cell>
        </row>
        <row r="975">
          <cell r="B975" t="str">
            <v>AN0005CR</v>
          </cell>
          <cell r="X975" t="str">
            <v>Empaquetado</v>
          </cell>
          <cell r="AC975">
            <v>4.7762512077294692E-2</v>
          </cell>
          <cell r="AD975">
            <v>4.7762512077294692E-2</v>
          </cell>
          <cell r="AE975" t="str">
            <v>Con precio</v>
          </cell>
        </row>
        <row r="976">
          <cell r="B976" t="str">
            <v>AN0005DO</v>
          </cell>
          <cell r="X976" t="str">
            <v>Formulación</v>
          </cell>
          <cell r="AC976">
            <v>1.3987647637795276E-2</v>
          </cell>
          <cell r="AD976">
            <v>1.3987647637795276E-2</v>
          </cell>
          <cell r="AE976" t="str">
            <v>Con precio</v>
          </cell>
        </row>
        <row r="977">
          <cell r="B977" t="str">
            <v>AN0005DO</v>
          </cell>
          <cell r="X977" t="str">
            <v>Formulación</v>
          </cell>
          <cell r="AC977">
            <v>0</v>
          </cell>
          <cell r="AD977">
            <v>0</v>
          </cell>
          <cell r="AE977" t="str">
            <v>Con precio</v>
          </cell>
        </row>
        <row r="978">
          <cell r="B978" t="str">
            <v>AN0005DO</v>
          </cell>
          <cell r="X978" t="str">
            <v>Formulación</v>
          </cell>
          <cell r="AC978">
            <v>0.14666932824803153</v>
          </cell>
          <cell r="AD978">
            <v>0.14666932824803153</v>
          </cell>
          <cell r="AE978" t="str">
            <v>Con precio</v>
          </cell>
        </row>
        <row r="979">
          <cell r="B979" t="str">
            <v>AN0005DO</v>
          </cell>
          <cell r="X979" t="str">
            <v>Formulación</v>
          </cell>
          <cell r="AC979">
            <v>1.8891363188976378E-2</v>
          </cell>
          <cell r="AD979">
            <v>1.8891363188976378E-2</v>
          </cell>
          <cell r="AE979" t="str">
            <v>Con precio</v>
          </cell>
        </row>
        <row r="980">
          <cell r="B980" t="str">
            <v>AN0005DO</v>
          </cell>
          <cell r="X980" t="str">
            <v>Formulación</v>
          </cell>
          <cell r="AC980">
            <v>2.3446727362204721E-3</v>
          </cell>
          <cell r="AD980">
            <v>2.3446727362204721E-3</v>
          </cell>
          <cell r="AE980" t="str">
            <v>Con precio</v>
          </cell>
        </row>
        <row r="981">
          <cell r="B981" t="str">
            <v>AN0005DO</v>
          </cell>
          <cell r="X981" t="str">
            <v>Formulación</v>
          </cell>
          <cell r="AC981">
            <v>6.6437007874015755E-2</v>
          </cell>
          <cell r="AD981">
            <v>6.6437007874015755E-2</v>
          </cell>
          <cell r="AE981" t="str">
            <v>Con precio</v>
          </cell>
        </row>
        <row r="982">
          <cell r="B982" t="str">
            <v>AN0005DO</v>
          </cell>
          <cell r="X982" t="str">
            <v>Empaquetado</v>
          </cell>
          <cell r="AC982">
            <v>7.376999999999999E-3</v>
          </cell>
          <cell r="AD982">
            <v>7.376999999999999E-3</v>
          </cell>
          <cell r="AE982" t="str">
            <v>Con precio</v>
          </cell>
        </row>
        <row r="983">
          <cell r="B983" t="str">
            <v>AN0005DO</v>
          </cell>
          <cell r="X983" t="str">
            <v>Empaquetado</v>
          </cell>
          <cell r="AC983">
            <v>1.4063636363636365E-2</v>
          </cell>
          <cell r="AD983">
            <v>1.4063636363636365E-2</v>
          </cell>
          <cell r="AE983" t="str">
            <v>Con precio</v>
          </cell>
        </row>
        <row r="984">
          <cell r="B984" t="str">
            <v>AN0005DO</v>
          </cell>
          <cell r="X984" t="str">
            <v>Empaquetado</v>
          </cell>
          <cell r="AC984">
            <v>1.7737989130434784E-2</v>
          </cell>
          <cell r="AD984">
            <v>1.7737989130434784E-2</v>
          </cell>
          <cell r="AE984" t="str">
            <v>Con precio</v>
          </cell>
        </row>
        <row r="985">
          <cell r="B985" t="str">
            <v>AN0005DO</v>
          </cell>
          <cell r="X985" t="str">
            <v>Empaquetado</v>
          </cell>
          <cell r="AC985">
            <v>0.12</v>
          </cell>
          <cell r="AD985">
            <v>0.12</v>
          </cell>
          <cell r="AE985" t="str">
            <v>Con precio</v>
          </cell>
        </row>
        <row r="986">
          <cell r="B986" t="str">
            <v>AN0005DO</v>
          </cell>
          <cell r="X986" t="str">
            <v>Empaquetado</v>
          </cell>
          <cell r="AC986">
            <v>4.7762512077294692E-2</v>
          </cell>
          <cell r="AD986">
            <v>4.7762512077294692E-2</v>
          </cell>
          <cell r="AE986" t="str">
            <v>Con precio</v>
          </cell>
        </row>
        <row r="987">
          <cell r="B987" t="str">
            <v>AN0005EC</v>
          </cell>
          <cell r="X987" t="str">
            <v>Formulación</v>
          </cell>
          <cell r="AC987">
            <v>1.3987647637795276E-2</v>
          </cell>
          <cell r="AD987">
            <v>1.3987647637795276E-2</v>
          </cell>
          <cell r="AE987" t="str">
            <v>Con precio</v>
          </cell>
        </row>
        <row r="988">
          <cell r="B988" t="str">
            <v>AN0005EC</v>
          </cell>
          <cell r="X988" t="str">
            <v>Formulación</v>
          </cell>
          <cell r="AC988">
            <v>0</v>
          </cell>
          <cell r="AD988">
            <v>0</v>
          </cell>
          <cell r="AE988" t="str">
            <v>Con precio</v>
          </cell>
        </row>
        <row r="989">
          <cell r="B989" t="str">
            <v>AN0005EC</v>
          </cell>
          <cell r="X989" t="str">
            <v>Formulación</v>
          </cell>
          <cell r="AC989">
            <v>0.14666932824803153</v>
          </cell>
          <cell r="AD989">
            <v>0.14666932824803153</v>
          </cell>
          <cell r="AE989" t="str">
            <v>Con precio</v>
          </cell>
        </row>
        <row r="990">
          <cell r="B990" t="str">
            <v>AN0005EC</v>
          </cell>
          <cell r="X990" t="str">
            <v>Formulación</v>
          </cell>
          <cell r="AC990">
            <v>1.8891363188976378E-2</v>
          </cell>
          <cell r="AD990">
            <v>1.8891363188976378E-2</v>
          </cell>
          <cell r="AE990" t="str">
            <v>Con precio</v>
          </cell>
        </row>
        <row r="991">
          <cell r="B991" t="str">
            <v>AN0005EC</v>
          </cell>
          <cell r="X991" t="str">
            <v>Formulación</v>
          </cell>
          <cell r="AC991">
            <v>2.3446727362204721E-3</v>
          </cell>
          <cell r="AD991">
            <v>2.3446727362204721E-3</v>
          </cell>
          <cell r="AE991" t="str">
            <v>Con precio</v>
          </cell>
        </row>
        <row r="992">
          <cell r="B992" t="str">
            <v>AN0005EC</v>
          </cell>
          <cell r="X992" t="str">
            <v>Formulación</v>
          </cell>
          <cell r="AC992">
            <v>6.6437007874015755E-2</v>
          </cell>
          <cell r="AD992">
            <v>6.6437007874015755E-2</v>
          </cell>
          <cell r="AE992" t="str">
            <v>Con precio</v>
          </cell>
        </row>
        <row r="993">
          <cell r="B993" t="str">
            <v>AN0005EC</v>
          </cell>
          <cell r="X993" t="str">
            <v>Empaquetado</v>
          </cell>
          <cell r="AC993">
            <v>7.376999999999999E-3</v>
          </cell>
          <cell r="AD993">
            <v>7.376999999999999E-3</v>
          </cell>
          <cell r="AE993" t="str">
            <v>Con precio</v>
          </cell>
        </row>
        <row r="994">
          <cell r="B994" t="str">
            <v>AN0005EC</v>
          </cell>
          <cell r="X994" t="str">
            <v>Empaquetado</v>
          </cell>
          <cell r="AC994">
            <v>1.4063636363636365E-2</v>
          </cell>
          <cell r="AD994">
            <v>1.4063636363636365E-2</v>
          </cell>
          <cell r="AE994" t="str">
            <v>Con precio</v>
          </cell>
        </row>
        <row r="995">
          <cell r="B995" t="str">
            <v>AN0005EC</v>
          </cell>
          <cell r="X995" t="str">
            <v>Empaquetado</v>
          </cell>
          <cell r="AC995">
            <v>1.7737989130434784E-2</v>
          </cell>
          <cell r="AD995">
            <v>1.7737989130434784E-2</v>
          </cell>
          <cell r="AE995" t="str">
            <v>Con precio</v>
          </cell>
        </row>
        <row r="996">
          <cell r="B996" t="str">
            <v>AN0005EC</v>
          </cell>
          <cell r="X996" t="str">
            <v>Empaquetado</v>
          </cell>
          <cell r="AC996">
            <v>0.12</v>
          </cell>
          <cell r="AD996">
            <v>0.12</v>
          </cell>
          <cell r="AE996" t="str">
            <v>Con precio</v>
          </cell>
        </row>
        <row r="997">
          <cell r="B997" t="str">
            <v>AN0005EC</v>
          </cell>
          <cell r="X997" t="str">
            <v>Empaquetado</v>
          </cell>
          <cell r="AC997">
            <v>4.7762512077294692E-2</v>
          </cell>
          <cell r="AD997">
            <v>4.7762512077294692E-2</v>
          </cell>
          <cell r="AE997" t="str">
            <v>Con precio</v>
          </cell>
        </row>
        <row r="998">
          <cell r="B998" t="str">
            <v>AN0005IT</v>
          </cell>
          <cell r="X998" t="str">
            <v>Formulación</v>
          </cell>
          <cell r="AC998">
            <v>1.3987647637795276E-2</v>
          </cell>
          <cell r="AD998">
            <v>1.3987647637795276E-2</v>
          </cell>
          <cell r="AE998" t="str">
            <v>Con precio</v>
          </cell>
        </row>
        <row r="999">
          <cell r="B999" t="str">
            <v>AN0005IT</v>
          </cell>
          <cell r="X999" t="str">
            <v>Formulación</v>
          </cell>
          <cell r="AC999">
            <v>0</v>
          </cell>
          <cell r="AD999">
            <v>0</v>
          </cell>
          <cell r="AE999" t="str">
            <v>Con precio</v>
          </cell>
        </row>
        <row r="1000">
          <cell r="B1000" t="str">
            <v>AN0005IT</v>
          </cell>
          <cell r="X1000" t="str">
            <v>Formulación</v>
          </cell>
          <cell r="AC1000">
            <v>0.14666932824803153</v>
          </cell>
          <cell r="AD1000">
            <v>0.14666932824803153</v>
          </cell>
          <cell r="AE1000" t="str">
            <v>Con precio</v>
          </cell>
        </row>
        <row r="1001">
          <cell r="B1001" t="str">
            <v>AN0005IT</v>
          </cell>
          <cell r="X1001" t="str">
            <v>Formulación</v>
          </cell>
          <cell r="AC1001">
            <v>1.8891363188976378E-2</v>
          </cell>
          <cell r="AD1001">
            <v>1.8891363188976378E-2</v>
          </cell>
          <cell r="AE1001" t="str">
            <v>Con precio</v>
          </cell>
        </row>
        <row r="1002">
          <cell r="B1002" t="str">
            <v>AN0005IT</v>
          </cell>
          <cell r="X1002" t="str">
            <v>Formulación</v>
          </cell>
          <cell r="AC1002">
            <v>2.3446727362204721E-3</v>
          </cell>
          <cell r="AD1002">
            <v>2.3446727362204721E-3</v>
          </cell>
          <cell r="AE1002" t="str">
            <v>Con precio</v>
          </cell>
        </row>
        <row r="1003">
          <cell r="B1003" t="str">
            <v>AN0005IT</v>
          </cell>
          <cell r="X1003" t="str">
            <v>Formulación</v>
          </cell>
          <cell r="AC1003">
            <v>6.6437007874015755E-2</v>
          </cell>
          <cell r="AD1003">
            <v>6.6437007874015755E-2</v>
          </cell>
          <cell r="AE1003" t="str">
            <v>Con precio</v>
          </cell>
        </row>
        <row r="1004">
          <cell r="B1004" t="str">
            <v>AN0005IT</v>
          </cell>
          <cell r="X1004" t="str">
            <v>Empaquetado</v>
          </cell>
          <cell r="AC1004">
            <v>7.376999999999999E-3</v>
          </cell>
          <cell r="AD1004">
            <v>7.376999999999999E-3</v>
          </cell>
          <cell r="AE1004" t="str">
            <v>Con precio</v>
          </cell>
        </row>
        <row r="1005">
          <cell r="B1005" t="str">
            <v>AN0005IT</v>
          </cell>
          <cell r="X1005" t="str">
            <v>Empaquetado</v>
          </cell>
          <cell r="AC1005">
            <v>1.4063636363636365E-2</v>
          </cell>
          <cell r="AD1005">
            <v>1.4063636363636365E-2</v>
          </cell>
          <cell r="AE1005" t="str">
            <v>Con precio</v>
          </cell>
        </row>
        <row r="1006">
          <cell r="B1006" t="str">
            <v>AN0005IT</v>
          </cell>
          <cell r="X1006" t="str">
            <v>Empaquetado</v>
          </cell>
          <cell r="AC1006">
            <v>1.7737989130434784E-2</v>
          </cell>
          <cell r="AD1006">
            <v>1.7737989130434784E-2</v>
          </cell>
          <cell r="AE1006" t="str">
            <v>Con precio</v>
          </cell>
        </row>
        <row r="1007">
          <cell r="B1007" t="str">
            <v>AN0005IT</v>
          </cell>
          <cell r="X1007" t="str">
            <v>Empaquetado</v>
          </cell>
          <cell r="AC1007">
            <v>0.12</v>
          </cell>
          <cell r="AD1007">
            <v>0.12</v>
          </cell>
          <cell r="AE1007" t="str">
            <v>Con precio</v>
          </cell>
        </row>
        <row r="1008">
          <cell r="B1008" t="str">
            <v>AN0005IT</v>
          </cell>
          <cell r="X1008" t="str">
            <v>Empaquetado</v>
          </cell>
          <cell r="AC1008">
            <v>4.7762512077294692E-2</v>
          </cell>
          <cell r="AD1008">
            <v>4.7762512077294692E-2</v>
          </cell>
          <cell r="AE1008" t="str">
            <v>Con precio</v>
          </cell>
        </row>
        <row r="1009">
          <cell r="B1009" t="str">
            <v>AN0005MA</v>
          </cell>
          <cell r="X1009" t="str">
            <v>Formulación</v>
          </cell>
          <cell r="AC1009">
            <v>1.3987647637795276E-2</v>
          </cell>
          <cell r="AD1009">
            <v>1.3987647637795276E-2</v>
          </cell>
          <cell r="AE1009" t="str">
            <v>Con precio</v>
          </cell>
        </row>
        <row r="1010">
          <cell r="B1010" t="str">
            <v>AN0005MA</v>
          </cell>
          <cell r="X1010" t="str">
            <v>Formulación</v>
          </cell>
          <cell r="AC1010">
            <v>0</v>
          </cell>
          <cell r="AD1010">
            <v>0</v>
          </cell>
          <cell r="AE1010" t="str">
            <v>Con precio</v>
          </cell>
        </row>
        <row r="1011">
          <cell r="B1011" t="str">
            <v>AN0005MA</v>
          </cell>
          <cell r="X1011" t="str">
            <v>Formulación</v>
          </cell>
          <cell r="AC1011">
            <v>0.14666932824803153</v>
          </cell>
          <cell r="AD1011">
            <v>0.14666932824803153</v>
          </cell>
          <cell r="AE1011" t="str">
            <v>Con precio</v>
          </cell>
        </row>
        <row r="1012">
          <cell r="B1012" t="str">
            <v>AN0005MA</v>
          </cell>
          <cell r="X1012" t="str">
            <v>Formulación</v>
          </cell>
          <cell r="AC1012">
            <v>1.8891363188976378E-2</v>
          </cell>
          <cell r="AD1012">
            <v>1.8891363188976378E-2</v>
          </cell>
          <cell r="AE1012" t="str">
            <v>Con precio</v>
          </cell>
        </row>
        <row r="1013">
          <cell r="B1013" t="str">
            <v>AN0005MA</v>
          </cell>
          <cell r="X1013" t="str">
            <v>Formulación</v>
          </cell>
          <cell r="AC1013">
            <v>2.3446727362204721E-3</v>
          </cell>
          <cell r="AD1013">
            <v>2.3446727362204721E-3</v>
          </cell>
          <cell r="AE1013" t="str">
            <v>Con precio</v>
          </cell>
        </row>
        <row r="1014">
          <cell r="B1014" t="str">
            <v>AN0005MA</v>
          </cell>
          <cell r="X1014" t="str">
            <v>Formulación</v>
          </cell>
          <cell r="AC1014">
            <v>6.6437007874015755E-2</v>
          </cell>
          <cell r="AD1014">
            <v>6.6437007874015755E-2</v>
          </cell>
          <cell r="AE1014" t="str">
            <v>Con precio</v>
          </cell>
        </row>
        <row r="1015">
          <cell r="B1015" t="str">
            <v>AN0005MA</v>
          </cell>
          <cell r="X1015" t="str">
            <v>Empaquetado</v>
          </cell>
          <cell r="AC1015">
            <v>7.376999999999999E-3</v>
          </cell>
          <cell r="AD1015">
            <v>7.376999999999999E-3</v>
          </cell>
          <cell r="AE1015" t="str">
            <v>Con precio</v>
          </cell>
        </row>
        <row r="1016">
          <cell r="B1016" t="str">
            <v>AN0005MA</v>
          </cell>
          <cell r="X1016" t="str">
            <v>Empaquetado</v>
          </cell>
          <cell r="AC1016">
            <v>1.4063636363636365E-2</v>
          </cell>
          <cell r="AD1016">
            <v>1.4063636363636365E-2</v>
          </cell>
          <cell r="AE1016" t="str">
            <v>Con precio</v>
          </cell>
        </row>
        <row r="1017">
          <cell r="B1017" t="str">
            <v>AN0005MA</v>
          </cell>
          <cell r="X1017" t="str">
            <v>Empaquetado</v>
          </cell>
          <cell r="AC1017">
            <v>1.7737989130434784E-2</v>
          </cell>
          <cell r="AD1017">
            <v>1.7737989130434784E-2</v>
          </cell>
          <cell r="AE1017" t="str">
            <v>Con precio</v>
          </cell>
        </row>
        <row r="1018">
          <cell r="B1018" t="str">
            <v>AN0005MA</v>
          </cell>
          <cell r="X1018" t="str">
            <v>Empaquetado</v>
          </cell>
          <cell r="AC1018">
            <v>0.12</v>
          </cell>
          <cell r="AD1018">
            <v>0.12</v>
          </cell>
          <cell r="AE1018" t="str">
            <v>Con precio</v>
          </cell>
        </row>
        <row r="1019">
          <cell r="B1019" t="str">
            <v>AN0005MA</v>
          </cell>
          <cell r="X1019" t="str">
            <v>Empaquetado</v>
          </cell>
          <cell r="AC1019">
            <v>4.7762512077294692E-2</v>
          </cell>
          <cell r="AD1019">
            <v>4.7762512077294692E-2</v>
          </cell>
          <cell r="AE1019" t="str">
            <v>Con precio</v>
          </cell>
        </row>
        <row r="1020">
          <cell r="B1020" t="str">
            <v>AN0005PA</v>
          </cell>
          <cell r="X1020" t="str">
            <v>Formulación</v>
          </cell>
          <cell r="AC1020">
            <v>1.3987647637795276E-2</v>
          </cell>
          <cell r="AD1020">
            <v>1.3987647637795276E-2</v>
          </cell>
          <cell r="AE1020" t="str">
            <v>Con precio</v>
          </cell>
        </row>
        <row r="1021">
          <cell r="B1021" t="str">
            <v>AN0005PA</v>
          </cell>
          <cell r="X1021" t="str">
            <v>Formulación</v>
          </cell>
          <cell r="AC1021">
            <v>0</v>
          </cell>
          <cell r="AD1021">
            <v>0</v>
          </cell>
          <cell r="AE1021" t="str">
            <v>Con precio</v>
          </cell>
        </row>
        <row r="1022">
          <cell r="B1022" t="str">
            <v>AN0005PA</v>
          </cell>
          <cell r="X1022" t="str">
            <v>Formulación</v>
          </cell>
          <cell r="AC1022">
            <v>0.14666932824803153</v>
          </cell>
          <cell r="AD1022">
            <v>0.14666932824803153</v>
          </cell>
          <cell r="AE1022" t="str">
            <v>Con precio</v>
          </cell>
        </row>
        <row r="1023">
          <cell r="B1023" t="str">
            <v>AN0005PA</v>
          </cell>
          <cell r="X1023" t="str">
            <v>Formulación</v>
          </cell>
          <cell r="AC1023">
            <v>1.8891363188976378E-2</v>
          </cell>
          <cell r="AD1023">
            <v>1.8891363188976378E-2</v>
          </cell>
          <cell r="AE1023" t="str">
            <v>Con precio</v>
          </cell>
        </row>
        <row r="1024">
          <cell r="B1024" t="str">
            <v>AN0005PA</v>
          </cell>
          <cell r="X1024" t="str">
            <v>Formulación</v>
          </cell>
          <cell r="AC1024">
            <v>2.3446727362204721E-3</v>
          </cell>
          <cell r="AD1024">
            <v>2.3446727362204721E-3</v>
          </cell>
          <cell r="AE1024" t="str">
            <v>Con precio</v>
          </cell>
        </row>
        <row r="1025">
          <cell r="B1025" t="str">
            <v>AN0005PA</v>
          </cell>
          <cell r="X1025" t="str">
            <v>Formulación</v>
          </cell>
          <cell r="AC1025">
            <v>6.6437007874015755E-2</v>
          </cell>
          <cell r="AD1025">
            <v>6.6437007874015755E-2</v>
          </cell>
          <cell r="AE1025" t="str">
            <v>Con precio</v>
          </cell>
        </row>
        <row r="1026">
          <cell r="B1026" t="str">
            <v>AN0005PA</v>
          </cell>
          <cell r="X1026" t="str">
            <v>Empaquetado</v>
          </cell>
          <cell r="AC1026">
            <v>7.376999999999999E-3</v>
          </cell>
          <cell r="AD1026">
            <v>7.376999999999999E-3</v>
          </cell>
          <cell r="AE1026" t="str">
            <v>Con precio</v>
          </cell>
        </row>
        <row r="1027">
          <cell r="B1027" t="str">
            <v>AN0005PA</v>
          </cell>
          <cell r="X1027" t="str">
            <v>Empaquetado</v>
          </cell>
          <cell r="AC1027">
            <v>1.4063636363636365E-2</v>
          </cell>
          <cell r="AD1027">
            <v>1.4063636363636365E-2</v>
          </cell>
          <cell r="AE1027" t="str">
            <v>Con precio</v>
          </cell>
        </row>
        <row r="1028">
          <cell r="B1028" t="str">
            <v>AN0005PA</v>
          </cell>
          <cell r="X1028" t="str">
            <v>Empaquetado</v>
          </cell>
          <cell r="AC1028">
            <v>1.7737989130434784E-2</v>
          </cell>
          <cell r="AD1028">
            <v>1.7737989130434784E-2</v>
          </cell>
          <cell r="AE1028" t="str">
            <v>Con precio</v>
          </cell>
        </row>
        <row r="1029">
          <cell r="B1029" t="str">
            <v>AN0005PA</v>
          </cell>
          <cell r="X1029" t="str">
            <v>Empaquetado</v>
          </cell>
          <cell r="AC1029">
            <v>0.12</v>
          </cell>
          <cell r="AD1029">
            <v>0.12</v>
          </cell>
          <cell r="AE1029" t="str">
            <v>Con precio</v>
          </cell>
        </row>
        <row r="1030">
          <cell r="B1030" t="str">
            <v>AN0005PA</v>
          </cell>
          <cell r="X1030" t="str">
            <v>Empaquetado</v>
          </cell>
          <cell r="AC1030">
            <v>4.7762512077294692E-2</v>
          </cell>
          <cell r="AD1030">
            <v>4.7762512077294692E-2</v>
          </cell>
          <cell r="AE1030" t="str">
            <v>Con precio</v>
          </cell>
        </row>
        <row r="1031">
          <cell r="B1031" t="str">
            <v>AN0005RS</v>
          </cell>
          <cell r="X1031" t="str">
            <v>Formulación</v>
          </cell>
          <cell r="AC1031">
            <v>1.3987647637795276E-2</v>
          </cell>
          <cell r="AD1031">
            <v>1.3987647637795276E-2</v>
          </cell>
          <cell r="AE1031" t="str">
            <v>Con precio</v>
          </cell>
        </row>
        <row r="1032">
          <cell r="B1032" t="str">
            <v>AN0005RS</v>
          </cell>
          <cell r="X1032" t="str">
            <v>Formulación</v>
          </cell>
          <cell r="AC1032">
            <v>0</v>
          </cell>
          <cell r="AD1032">
            <v>0</v>
          </cell>
          <cell r="AE1032" t="str">
            <v>Con precio</v>
          </cell>
        </row>
        <row r="1033">
          <cell r="B1033" t="str">
            <v>AN0005RS</v>
          </cell>
          <cell r="X1033" t="str">
            <v>Formulación</v>
          </cell>
          <cell r="AC1033">
            <v>0.14666932824803153</v>
          </cell>
          <cell r="AD1033">
            <v>0.14666932824803153</v>
          </cell>
          <cell r="AE1033" t="str">
            <v>Con precio</v>
          </cell>
        </row>
        <row r="1034">
          <cell r="B1034" t="str">
            <v>AN0005RS</v>
          </cell>
          <cell r="X1034" t="str">
            <v>Formulación</v>
          </cell>
          <cell r="AC1034">
            <v>1.8891363188976378E-2</v>
          </cell>
          <cell r="AD1034">
            <v>1.8891363188976378E-2</v>
          </cell>
          <cell r="AE1034" t="str">
            <v>Con precio</v>
          </cell>
        </row>
        <row r="1035">
          <cell r="B1035" t="str">
            <v>AN0005RS</v>
          </cell>
          <cell r="X1035" t="str">
            <v>Formulación</v>
          </cell>
          <cell r="AC1035">
            <v>2.3446727362204721E-3</v>
          </cell>
          <cell r="AD1035">
            <v>2.3446727362204721E-3</v>
          </cell>
          <cell r="AE1035" t="str">
            <v>Con precio</v>
          </cell>
        </row>
        <row r="1036">
          <cell r="B1036" t="str">
            <v>AN0005RS</v>
          </cell>
          <cell r="X1036" t="str">
            <v>Formulación</v>
          </cell>
          <cell r="AC1036">
            <v>6.6437007874015755E-2</v>
          </cell>
          <cell r="AD1036">
            <v>6.6437007874015755E-2</v>
          </cell>
          <cell r="AE1036" t="str">
            <v>Con precio</v>
          </cell>
        </row>
        <row r="1037">
          <cell r="B1037" t="str">
            <v>AN0005RS</v>
          </cell>
          <cell r="X1037" t="str">
            <v>Empaquetado</v>
          </cell>
          <cell r="AC1037">
            <v>7.376999999999999E-3</v>
          </cell>
          <cell r="AD1037">
            <v>7.376999999999999E-3</v>
          </cell>
          <cell r="AE1037" t="str">
            <v>Con precio</v>
          </cell>
        </row>
        <row r="1038">
          <cell r="B1038" t="str">
            <v>AN0005RS</v>
          </cell>
          <cell r="X1038" t="str">
            <v>Empaquetado</v>
          </cell>
          <cell r="AC1038">
            <v>1.4063636363636365E-2</v>
          </cell>
          <cell r="AD1038">
            <v>1.4063636363636365E-2</v>
          </cell>
          <cell r="AE1038" t="str">
            <v>Con precio</v>
          </cell>
        </row>
        <row r="1039">
          <cell r="B1039" t="str">
            <v>AN0005RS</v>
          </cell>
          <cell r="X1039" t="str">
            <v>Empaquetado</v>
          </cell>
          <cell r="AC1039">
            <v>1.7737989130434784E-2</v>
          </cell>
          <cell r="AD1039">
            <v>1.7737989130434784E-2</v>
          </cell>
          <cell r="AE1039" t="str">
            <v>Con precio</v>
          </cell>
        </row>
        <row r="1040">
          <cell r="B1040" t="str">
            <v>AN0005RS</v>
          </cell>
          <cell r="X1040" t="str">
            <v>Empaquetado</v>
          </cell>
          <cell r="AC1040">
            <v>0.12</v>
          </cell>
          <cell r="AD1040">
            <v>0.12</v>
          </cell>
          <cell r="AE1040" t="str">
            <v>Con precio</v>
          </cell>
        </row>
        <row r="1041">
          <cell r="B1041" t="str">
            <v>AN0005RS</v>
          </cell>
          <cell r="X1041" t="str">
            <v>Empaquetado</v>
          </cell>
          <cell r="AC1041">
            <v>4.7762512077294692E-2</v>
          </cell>
          <cell r="AD1041">
            <v>4.7762512077294692E-2</v>
          </cell>
          <cell r="AE1041" t="str">
            <v>Con precio</v>
          </cell>
        </row>
        <row r="1042">
          <cell r="B1042" t="str">
            <v>AN0005TR</v>
          </cell>
          <cell r="X1042" t="str">
            <v>Formulación</v>
          </cell>
          <cell r="AC1042">
            <v>1.3987647637795276E-2</v>
          </cell>
          <cell r="AD1042">
            <v>1.3987647637795276E-2</v>
          </cell>
          <cell r="AE1042" t="str">
            <v>Con precio</v>
          </cell>
        </row>
        <row r="1043">
          <cell r="B1043" t="str">
            <v>AN0005TR</v>
          </cell>
          <cell r="X1043" t="str">
            <v>Formulación</v>
          </cell>
          <cell r="AC1043">
            <v>0</v>
          </cell>
          <cell r="AD1043">
            <v>0</v>
          </cell>
          <cell r="AE1043" t="str">
            <v>Con precio</v>
          </cell>
        </row>
        <row r="1044">
          <cell r="B1044" t="str">
            <v>AN0005TR</v>
          </cell>
          <cell r="X1044" t="str">
            <v>Formulación</v>
          </cell>
          <cell r="AC1044">
            <v>0.14666932824803153</v>
          </cell>
          <cell r="AD1044">
            <v>0.14666932824803153</v>
          </cell>
          <cell r="AE1044" t="str">
            <v>Con precio</v>
          </cell>
        </row>
        <row r="1045">
          <cell r="B1045" t="str">
            <v>AN0005TR</v>
          </cell>
          <cell r="X1045" t="str">
            <v>Formulación</v>
          </cell>
          <cell r="AC1045">
            <v>1.8891363188976378E-2</v>
          </cell>
          <cell r="AD1045">
            <v>1.8891363188976378E-2</v>
          </cell>
          <cell r="AE1045" t="str">
            <v>Con precio</v>
          </cell>
        </row>
        <row r="1046">
          <cell r="B1046" t="str">
            <v>AN0005TR</v>
          </cell>
          <cell r="X1046" t="str">
            <v>Formulación</v>
          </cell>
          <cell r="AC1046">
            <v>2.3446727362204721E-3</v>
          </cell>
          <cell r="AD1046">
            <v>2.3446727362204721E-3</v>
          </cell>
          <cell r="AE1046" t="str">
            <v>Con precio</v>
          </cell>
        </row>
        <row r="1047">
          <cell r="B1047" t="str">
            <v>AN0005TR</v>
          </cell>
          <cell r="X1047" t="str">
            <v>Formulación</v>
          </cell>
          <cell r="AC1047">
            <v>6.6437007874015755E-2</v>
          </cell>
          <cell r="AD1047">
            <v>6.6437007874015755E-2</v>
          </cell>
          <cell r="AE1047" t="str">
            <v>Con precio</v>
          </cell>
        </row>
        <row r="1048">
          <cell r="B1048" t="str">
            <v>AN0005TR</v>
          </cell>
          <cell r="X1048" t="str">
            <v>Empaquetado</v>
          </cell>
          <cell r="AC1048">
            <v>7.376999999999999E-3</v>
          </cell>
          <cell r="AD1048">
            <v>7.376999999999999E-3</v>
          </cell>
          <cell r="AE1048" t="str">
            <v>Con precio</v>
          </cell>
        </row>
        <row r="1049">
          <cell r="B1049" t="str">
            <v>AN0005TR</v>
          </cell>
          <cell r="X1049" t="str">
            <v>Empaquetado</v>
          </cell>
          <cell r="AC1049">
            <v>1.4063636363636365E-2</v>
          </cell>
          <cell r="AD1049">
            <v>1.4063636363636365E-2</v>
          </cell>
          <cell r="AE1049" t="str">
            <v>Con precio</v>
          </cell>
        </row>
        <row r="1050">
          <cell r="B1050" t="str">
            <v>AN0005TR</v>
          </cell>
          <cell r="X1050" t="str">
            <v>Empaquetado</v>
          </cell>
          <cell r="AC1050">
            <v>1.7737989130434784E-2</v>
          </cell>
          <cell r="AD1050">
            <v>1.7737989130434784E-2</v>
          </cell>
          <cell r="AE1050" t="str">
            <v>Con precio</v>
          </cell>
        </row>
        <row r="1051">
          <cell r="B1051" t="str">
            <v>AN0005TR</v>
          </cell>
          <cell r="X1051" t="str">
            <v>Empaquetado</v>
          </cell>
          <cell r="AC1051">
            <v>0.12</v>
          </cell>
          <cell r="AD1051">
            <v>0.12</v>
          </cell>
          <cell r="AE1051" t="str">
            <v>Con precio</v>
          </cell>
        </row>
        <row r="1052">
          <cell r="B1052" t="str">
            <v>AN0005TR</v>
          </cell>
          <cell r="X1052" t="str">
            <v>Empaquetado</v>
          </cell>
          <cell r="AC1052">
            <v>4.7762512077294692E-2</v>
          </cell>
          <cell r="AD1052">
            <v>4.7762512077294692E-2</v>
          </cell>
          <cell r="AE1052" t="str">
            <v>Con precio</v>
          </cell>
        </row>
        <row r="1053">
          <cell r="B1053" t="str">
            <v>AN0020</v>
          </cell>
          <cell r="X1053" t="str">
            <v>Formulación</v>
          </cell>
          <cell r="AC1053">
            <v>1.3987647637795276E-2</v>
          </cell>
          <cell r="AD1053">
            <v>1.3987647637795276E-2</v>
          </cell>
          <cell r="AE1053" t="str">
            <v>Con precio</v>
          </cell>
        </row>
        <row r="1054">
          <cell r="B1054" t="str">
            <v>AN0020</v>
          </cell>
          <cell r="X1054" t="str">
            <v>Formulación</v>
          </cell>
          <cell r="AC1054">
            <v>0</v>
          </cell>
          <cell r="AD1054">
            <v>0</v>
          </cell>
          <cell r="AE1054" t="str">
            <v>Con precio</v>
          </cell>
        </row>
        <row r="1055">
          <cell r="B1055" t="str">
            <v>AN0020</v>
          </cell>
          <cell r="X1055" t="str">
            <v>Formulación</v>
          </cell>
          <cell r="AC1055">
            <v>0.14666932824803153</v>
          </cell>
          <cell r="AD1055">
            <v>0.14666932824803153</v>
          </cell>
          <cell r="AE1055" t="str">
            <v>Con precio</v>
          </cell>
        </row>
        <row r="1056">
          <cell r="B1056" t="str">
            <v>AN0020</v>
          </cell>
          <cell r="X1056" t="str">
            <v>Formulación</v>
          </cell>
          <cell r="AC1056">
            <v>1.8891363188976378E-2</v>
          </cell>
          <cell r="AD1056">
            <v>1.8891363188976378E-2</v>
          </cell>
          <cell r="AE1056" t="str">
            <v>Con precio</v>
          </cell>
        </row>
        <row r="1057">
          <cell r="B1057" t="str">
            <v>AN0020</v>
          </cell>
          <cell r="X1057" t="str">
            <v>Formulación</v>
          </cell>
          <cell r="AC1057">
            <v>2.3446727362204721E-3</v>
          </cell>
          <cell r="AD1057">
            <v>2.3446727362204721E-3</v>
          </cell>
          <cell r="AE1057" t="str">
            <v>Con precio</v>
          </cell>
        </row>
        <row r="1058">
          <cell r="B1058" t="str">
            <v>AN0020</v>
          </cell>
          <cell r="X1058" t="str">
            <v>Formulación</v>
          </cell>
          <cell r="AC1058">
            <v>6.6437007874015755E-2</v>
          </cell>
          <cell r="AD1058">
            <v>6.6437007874015755E-2</v>
          </cell>
          <cell r="AE1058" t="str">
            <v>Con precio</v>
          </cell>
        </row>
        <row r="1059">
          <cell r="B1059" t="str">
            <v>AN0020</v>
          </cell>
          <cell r="X1059" t="str">
            <v>Empaquetado</v>
          </cell>
          <cell r="AC1059">
            <v>4.8087272727272727E-3</v>
          </cell>
          <cell r="AD1059">
            <v>4.8087272727272727E-3</v>
          </cell>
          <cell r="AE1059" t="str">
            <v>Con precio</v>
          </cell>
        </row>
        <row r="1060">
          <cell r="B1060" t="str">
            <v>AN0020</v>
          </cell>
          <cell r="X1060" t="str">
            <v>Empaquetado</v>
          </cell>
          <cell r="AC1060">
            <v>1.4063636363636365E-2</v>
          </cell>
          <cell r="AD1060">
            <v>1.4063636363636365E-2</v>
          </cell>
          <cell r="AE1060" t="str">
            <v>Con precio</v>
          </cell>
        </row>
        <row r="1061">
          <cell r="B1061" t="str">
            <v>AN0020</v>
          </cell>
          <cell r="X1061" t="str">
            <v>Empaquetado</v>
          </cell>
          <cell r="AC1061">
            <v>4.7762512077294692E-2</v>
          </cell>
          <cell r="AD1061">
            <v>4.7762512077294692E-2</v>
          </cell>
          <cell r="AE1061" t="str">
            <v>Con precio</v>
          </cell>
        </row>
        <row r="1062">
          <cell r="B1062" t="str">
            <v>AN0020</v>
          </cell>
          <cell r="X1062" t="str">
            <v>Empaquetado</v>
          </cell>
          <cell r="AC1062">
            <v>4.3500000000000004E-2</v>
          </cell>
          <cell r="AD1062">
            <v>4.3500000000000004E-2</v>
          </cell>
          <cell r="AE1062" t="str">
            <v>Con precio</v>
          </cell>
        </row>
        <row r="1063">
          <cell r="B1063" t="str">
            <v>AN0020</v>
          </cell>
          <cell r="X1063" t="str">
            <v>Empaquetado</v>
          </cell>
          <cell r="AC1063">
            <v>4.4999999999999997E-3</v>
          </cell>
          <cell r="AD1063">
            <v>4.4999999999999997E-3</v>
          </cell>
          <cell r="AE1063" t="str">
            <v>Con precio</v>
          </cell>
        </row>
        <row r="1064">
          <cell r="B1064" t="str">
            <v>AN0020AZ</v>
          </cell>
          <cell r="X1064" t="str">
            <v>Formulación</v>
          </cell>
          <cell r="AC1064">
            <v>1.3987647637795276E-2</v>
          </cell>
          <cell r="AD1064">
            <v>1.3987647637795276E-2</v>
          </cell>
          <cell r="AE1064" t="str">
            <v>Con precio</v>
          </cell>
        </row>
        <row r="1065">
          <cell r="B1065" t="str">
            <v>AN0020AZ</v>
          </cell>
          <cell r="X1065" t="str">
            <v>Formulación</v>
          </cell>
          <cell r="AC1065">
            <v>0</v>
          </cell>
          <cell r="AD1065">
            <v>0</v>
          </cell>
          <cell r="AE1065" t="str">
            <v>Con precio</v>
          </cell>
        </row>
        <row r="1066">
          <cell r="B1066" t="str">
            <v>AN0020AZ</v>
          </cell>
          <cell r="X1066" t="str">
            <v>Formulación</v>
          </cell>
          <cell r="AC1066">
            <v>0.14666932824803153</v>
          </cell>
          <cell r="AD1066">
            <v>0.14666932824803153</v>
          </cell>
          <cell r="AE1066" t="str">
            <v>Con precio</v>
          </cell>
        </row>
        <row r="1067">
          <cell r="B1067" t="str">
            <v>AN0020AZ</v>
          </cell>
          <cell r="X1067" t="str">
            <v>Formulación</v>
          </cell>
          <cell r="AC1067">
            <v>1.8891363188976378E-2</v>
          </cell>
          <cell r="AD1067">
            <v>1.8891363188976378E-2</v>
          </cell>
          <cell r="AE1067" t="str">
            <v>Con precio</v>
          </cell>
        </row>
        <row r="1068">
          <cell r="B1068" t="str">
            <v>AN0020AZ</v>
          </cell>
          <cell r="X1068" t="str">
            <v>Formulación</v>
          </cell>
          <cell r="AC1068">
            <v>2.3446727362204721E-3</v>
          </cell>
          <cell r="AD1068">
            <v>2.3446727362204721E-3</v>
          </cell>
          <cell r="AE1068" t="str">
            <v>Con precio</v>
          </cell>
        </row>
        <row r="1069">
          <cell r="B1069" t="str">
            <v>AN0020AZ</v>
          </cell>
          <cell r="X1069" t="str">
            <v>Formulación</v>
          </cell>
          <cell r="AC1069">
            <v>6.6437007874015755E-2</v>
          </cell>
          <cell r="AD1069">
            <v>6.6437007874015755E-2</v>
          </cell>
          <cell r="AE1069" t="str">
            <v>Con precio</v>
          </cell>
        </row>
        <row r="1070">
          <cell r="B1070" t="str">
            <v>AN0020AZ</v>
          </cell>
          <cell r="X1070" t="str">
            <v>Empaquetado</v>
          </cell>
          <cell r="AC1070">
            <v>4.8087272727272727E-3</v>
          </cell>
          <cell r="AD1070">
            <v>4.8087272727272727E-3</v>
          </cell>
          <cell r="AE1070" t="str">
            <v>Con precio</v>
          </cell>
        </row>
        <row r="1071">
          <cell r="B1071" t="str">
            <v>AN0020AZ</v>
          </cell>
          <cell r="X1071" t="str">
            <v>Empaquetado</v>
          </cell>
          <cell r="AC1071">
            <v>1.4063636363636365E-2</v>
          </cell>
          <cell r="AD1071">
            <v>1.4063636363636365E-2</v>
          </cell>
          <cell r="AE1071" t="str">
            <v>Con precio</v>
          </cell>
        </row>
        <row r="1072">
          <cell r="B1072" t="str">
            <v>AN0020AZ</v>
          </cell>
          <cell r="X1072" t="str">
            <v>Empaquetado</v>
          </cell>
          <cell r="AC1072">
            <v>4.7762512077294692E-2</v>
          </cell>
          <cell r="AD1072">
            <v>4.7762512077294692E-2</v>
          </cell>
          <cell r="AE1072" t="str">
            <v>Con precio</v>
          </cell>
        </row>
        <row r="1073">
          <cell r="B1073" t="str">
            <v>AN0020AZ</v>
          </cell>
          <cell r="X1073" t="str">
            <v>Empaquetado</v>
          </cell>
          <cell r="AC1073">
            <v>4.3500000000000004E-2</v>
          </cell>
          <cell r="AD1073">
            <v>4.3500000000000004E-2</v>
          </cell>
          <cell r="AE1073" t="str">
            <v>Con precio</v>
          </cell>
        </row>
        <row r="1074">
          <cell r="B1074" t="str">
            <v>AN0020AZ</v>
          </cell>
          <cell r="X1074" t="str">
            <v>Empaquetado</v>
          </cell>
          <cell r="AC1074">
            <v>4.4999999999999997E-3</v>
          </cell>
          <cell r="AD1074">
            <v>4.4999999999999997E-3</v>
          </cell>
          <cell r="AE1074" t="str">
            <v>Con precio</v>
          </cell>
        </row>
        <row r="1075">
          <cell r="B1075" t="str">
            <v>AN0020CL</v>
          </cell>
          <cell r="X1075" t="str">
            <v>Formulación</v>
          </cell>
          <cell r="AC1075">
            <v>1.3987647637795276E-2</v>
          </cell>
          <cell r="AD1075">
            <v>1.3987647637795276E-2</v>
          </cell>
          <cell r="AE1075" t="str">
            <v>Con precio</v>
          </cell>
        </row>
        <row r="1076">
          <cell r="B1076" t="str">
            <v>AN0020CL</v>
          </cell>
          <cell r="X1076" t="str">
            <v>Formulación</v>
          </cell>
          <cell r="AC1076">
            <v>0</v>
          </cell>
          <cell r="AD1076">
            <v>0</v>
          </cell>
          <cell r="AE1076" t="str">
            <v>Con precio</v>
          </cell>
        </row>
        <row r="1077">
          <cell r="B1077" t="str">
            <v>AN0020CL</v>
          </cell>
          <cell r="X1077" t="str">
            <v>Formulación</v>
          </cell>
          <cell r="AC1077">
            <v>0.14666932824803153</v>
          </cell>
          <cell r="AD1077">
            <v>0.14666932824803153</v>
          </cell>
          <cell r="AE1077" t="str">
            <v>Con precio</v>
          </cell>
        </row>
        <row r="1078">
          <cell r="B1078" t="str">
            <v>AN0020CL</v>
          </cell>
          <cell r="X1078" t="str">
            <v>Formulación</v>
          </cell>
          <cell r="AC1078">
            <v>1.8891363188976378E-2</v>
          </cell>
          <cell r="AD1078">
            <v>1.8891363188976378E-2</v>
          </cell>
          <cell r="AE1078" t="str">
            <v>Con precio</v>
          </cell>
        </row>
        <row r="1079">
          <cell r="B1079" t="str">
            <v>AN0020CL</v>
          </cell>
          <cell r="X1079" t="str">
            <v>Formulación</v>
          </cell>
          <cell r="AC1079">
            <v>2.3446727362204721E-3</v>
          </cell>
          <cell r="AD1079">
            <v>2.3446727362204721E-3</v>
          </cell>
          <cell r="AE1079" t="str">
            <v>Con precio</v>
          </cell>
        </row>
        <row r="1080">
          <cell r="B1080" t="str">
            <v>AN0020CL</v>
          </cell>
          <cell r="X1080" t="str">
            <v>Formulación</v>
          </cell>
          <cell r="AC1080">
            <v>6.6437007874015755E-2</v>
          </cell>
          <cell r="AD1080">
            <v>6.6437007874015755E-2</v>
          </cell>
          <cell r="AE1080" t="str">
            <v>Con precio</v>
          </cell>
        </row>
        <row r="1081">
          <cell r="B1081" t="str">
            <v>AN0020CL</v>
          </cell>
          <cell r="X1081" t="str">
            <v>Empaquetado</v>
          </cell>
          <cell r="AC1081">
            <v>4.8087272727272727E-3</v>
          </cell>
          <cell r="AD1081">
            <v>4.8087272727272727E-3</v>
          </cell>
          <cell r="AE1081" t="str">
            <v>Con precio</v>
          </cell>
        </row>
        <row r="1082">
          <cell r="B1082" t="str">
            <v>AN0020CL</v>
          </cell>
          <cell r="X1082" t="str">
            <v>Empaquetado</v>
          </cell>
          <cell r="AC1082">
            <v>1.4063636363636365E-2</v>
          </cell>
          <cell r="AD1082">
            <v>1.4063636363636365E-2</v>
          </cell>
          <cell r="AE1082" t="str">
            <v>Con precio</v>
          </cell>
        </row>
        <row r="1083">
          <cell r="B1083" t="str">
            <v>AN0020CL</v>
          </cell>
          <cell r="X1083" t="str">
            <v>Empaquetado</v>
          </cell>
          <cell r="AC1083">
            <v>4.7762512077294692E-2</v>
          </cell>
          <cell r="AD1083">
            <v>4.7762512077294692E-2</v>
          </cell>
          <cell r="AE1083" t="str">
            <v>Con precio</v>
          </cell>
        </row>
        <row r="1084">
          <cell r="B1084" t="str">
            <v>AN0020CL</v>
          </cell>
          <cell r="X1084" t="str">
            <v>Empaquetado</v>
          </cell>
          <cell r="AC1084">
            <v>4.3500000000000004E-2</v>
          </cell>
          <cell r="AD1084">
            <v>4.3500000000000004E-2</v>
          </cell>
          <cell r="AE1084" t="str">
            <v>Con precio</v>
          </cell>
        </row>
        <row r="1085">
          <cell r="B1085" t="str">
            <v>AN0020CL</v>
          </cell>
          <cell r="X1085" t="str">
            <v>Empaquetado</v>
          </cell>
          <cell r="AC1085">
            <v>4.4999999999999997E-3</v>
          </cell>
          <cell r="AD1085">
            <v>4.4999999999999997E-3</v>
          </cell>
          <cell r="AE1085" t="str">
            <v>Con precio</v>
          </cell>
        </row>
        <row r="1086">
          <cell r="B1086" t="str">
            <v>AN0020CO</v>
          </cell>
          <cell r="X1086" t="str">
            <v>Formulación</v>
          </cell>
          <cell r="AC1086">
            <v>1.3987647637795276E-2</v>
          </cell>
          <cell r="AD1086">
            <v>1.3987647637795276E-2</v>
          </cell>
          <cell r="AE1086" t="str">
            <v>Con precio</v>
          </cell>
        </row>
        <row r="1087">
          <cell r="B1087" t="str">
            <v>AN0020CO</v>
          </cell>
          <cell r="X1087" t="str">
            <v>Formulación</v>
          </cell>
          <cell r="AC1087">
            <v>0</v>
          </cell>
          <cell r="AD1087">
            <v>0</v>
          </cell>
          <cell r="AE1087" t="str">
            <v>Con precio</v>
          </cell>
        </row>
        <row r="1088">
          <cell r="B1088" t="str">
            <v>AN0020CO</v>
          </cell>
          <cell r="X1088" t="str">
            <v>Formulación</v>
          </cell>
          <cell r="AC1088">
            <v>0.14666932824803153</v>
          </cell>
          <cell r="AD1088">
            <v>0.14666932824803153</v>
          </cell>
          <cell r="AE1088" t="str">
            <v>Con precio</v>
          </cell>
        </row>
        <row r="1089">
          <cell r="B1089" t="str">
            <v>AN0020CO</v>
          </cell>
          <cell r="X1089" t="str">
            <v>Formulación</v>
          </cell>
          <cell r="AC1089">
            <v>1.8891363188976378E-2</v>
          </cell>
          <cell r="AD1089">
            <v>1.8891363188976378E-2</v>
          </cell>
          <cell r="AE1089" t="str">
            <v>Con precio</v>
          </cell>
        </row>
        <row r="1090">
          <cell r="B1090" t="str">
            <v>AN0020CO</v>
          </cell>
          <cell r="X1090" t="str">
            <v>Formulación</v>
          </cell>
          <cell r="AC1090">
            <v>2.3446727362204721E-3</v>
          </cell>
          <cell r="AD1090">
            <v>2.3446727362204721E-3</v>
          </cell>
          <cell r="AE1090" t="str">
            <v>Con precio</v>
          </cell>
        </row>
        <row r="1091">
          <cell r="B1091" t="str">
            <v>AN0020CO</v>
          </cell>
          <cell r="X1091" t="str">
            <v>Formulación</v>
          </cell>
          <cell r="AC1091">
            <v>6.6437007874015755E-2</v>
          </cell>
          <cell r="AD1091">
            <v>6.6437007874015755E-2</v>
          </cell>
          <cell r="AE1091" t="str">
            <v>Con precio</v>
          </cell>
        </row>
        <row r="1092">
          <cell r="B1092" t="str">
            <v>AN0020CO</v>
          </cell>
          <cell r="X1092" t="str">
            <v>Empaquetado</v>
          </cell>
          <cell r="AC1092">
            <v>4.8087272727272727E-3</v>
          </cell>
          <cell r="AD1092">
            <v>4.8087272727272727E-3</v>
          </cell>
          <cell r="AE1092" t="str">
            <v>Con precio</v>
          </cell>
        </row>
        <row r="1093">
          <cell r="B1093" t="str">
            <v>AN0020CO</v>
          </cell>
          <cell r="X1093" t="str">
            <v>Empaquetado</v>
          </cell>
          <cell r="AC1093">
            <v>1.4063636363636365E-2</v>
          </cell>
          <cell r="AD1093">
            <v>1.4063636363636365E-2</v>
          </cell>
          <cell r="AE1093" t="str">
            <v>Con precio</v>
          </cell>
        </row>
        <row r="1094">
          <cell r="B1094" t="str">
            <v>AN0020CO</v>
          </cell>
          <cell r="X1094" t="str">
            <v>Empaquetado</v>
          </cell>
          <cell r="AC1094">
            <v>4.7762512077294692E-2</v>
          </cell>
          <cell r="AD1094">
            <v>4.7762512077294692E-2</v>
          </cell>
          <cell r="AE1094" t="str">
            <v>Con precio</v>
          </cell>
        </row>
        <row r="1095">
          <cell r="B1095" t="str">
            <v>AN0020CO</v>
          </cell>
          <cell r="X1095" t="str">
            <v>Empaquetado</v>
          </cell>
          <cell r="AC1095">
            <v>4.3500000000000004E-2</v>
          </cell>
          <cell r="AD1095">
            <v>4.3500000000000004E-2</v>
          </cell>
          <cell r="AE1095" t="str">
            <v>Con precio</v>
          </cell>
        </row>
        <row r="1096">
          <cell r="B1096" t="str">
            <v>AN0020CO</v>
          </cell>
          <cell r="X1096" t="str">
            <v>Empaquetado</v>
          </cell>
          <cell r="AC1096">
            <v>4.4999999999999997E-3</v>
          </cell>
          <cell r="AD1096">
            <v>4.4999999999999997E-3</v>
          </cell>
          <cell r="AE1096" t="str">
            <v>Con precio</v>
          </cell>
        </row>
        <row r="1097">
          <cell r="B1097" t="str">
            <v>AN0020CR</v>
          </cell>
          <cell r="X1097" t="str">
            <v>Formulación</v>
          </cell>
          <cell r="AC1097">
            <v>1.3987647637795276E-2</v>
          </cell>
          <cell r="AD1097">
            <v>1.3987647637795276E-2</v>
          </cell>
          <cell r="AE1097" t="str">
            <v>Con precio</v>
          </cell>
        </row>
        <row r="1098">
          <cell r="B1098" t="str">
            <v>AN0020CR</v>
          </cell>
          <cell r="X1098" t="str">
            <v>Formulación</v>
          </cell>
          <cell r="AC1098">
            <v>0</v>
          </cell>
          <cell r="AD1098">
            <v>0</v>
          </cell>
          <cell r="AE1098" t="str">
            <v>Con precio</v>
          </cell>
        </row>
        <row r="1099">
          <cell r="B1099" t="str">
            <v>AN0020CR</v>
          </cell>
          <cell r="X1099" t="str">
            <v>Formulación</v>
          </cell>
          <cell r="AC1099">
            <v>0.14666932824803153</v>
          </cell>
          <cell r="AD1099">
            <v>0.14666932824803153</v>
          </cell>
          <cell r="AE1099" t="str">
            <v>Con precio</v>
          </cell>
        </row>
        <row r="1100">
          <cell r="B1100" t="str">
            <v>AN0020CR</v>
          </cell>
          <cell r="X1100" t="str">
            <v>Formulación</v>
          </cell>
          <cell r="AC1100">
            <v>1.8891363188976378E-2</v>
          </cell>
          <cell r="AD1100">
            <v>1.8891363188976378E-2</v>
          </cell>
          <cell r="AE1100" t="str">
            <v>Con precio</v>
          </cell>
        </row>
        <row r="1101">
          <cell r="B1101" t="str">
            <v>AN0020CR</v>
          </cell>
          <cell r="X1101" t="str">
            <v>Formulación</v>
          </cell>
          <cell r="AC1101">
            <v>2.3446727362204721E-3</v>
          </cell>
          <cell r="AD1101">
            <v>2.3446727362204721E-3</v>
          </cell>
          <cell r="AE1101" t="str">
            <v>Con precio</v>
          </cell>
        </row>
        <row r="1102">
          <cell r="B1102" t="str">
            <v>AN0020CR</v>
          </cell>
          <cell r="X1102" t="str">
            <v>Formulación</v>
          </cell>
          <cell r="AC1102">
            <v>6.6437007874015755E-2</v>
          </cell>
          <cell r="AD1102">
            <v>6.6437007874015755E-2</v>
          </cell>
          <cell r="AE1102" t="str">
            <v>Con precio</v>
          </cell>
        </row>
        <row r="1103">
          <cell r="B1103" t="str">
            <v>AN0020CR</v>
          </cell>
          <cell r="X1103" t="str">
            <v>Empaquetado</v>
          </cell>
          <cell r="AC1103">
            <v>4.8087272727272727E-3</v>
          </cell>
          <cell r="AD1103">
            <v>4.8087272727272727E-3</v>
          </cell>
          <cell r="AE1103" t="str">
            <v>Con precio</v>
          </cell>
        </row>
        <row r="1104">
          <cell r="B1104" t="str">
            <v>AN0020CR</v>
          </cell>
          <cell r="X1104" t="str">
            <v>Empaquetado</v>
          </cell>
          <cell r="AC1104">
            <v>1.4063636363636365E-2</v>
          </cell>
          <cell r="AD1104">
            <v>1.4063636363636365E-2</v>
          </cell>
          <cell r="AE1104" t="str">
            <v>Con precio</v>
          </cell>
        </row>
        <row r="1105">
          <cell r="B1105" t="str">
            <v>AN0020CR</v>
          </cell>
          <cell r="X1105" t="str">
            <v>Empaquetado</v>
          </cell>
          <cell r="AC1105">
            <v>4.7762512077294692E-2</v>
          </cell>
          <cell r="AD1105">
            <v>4.7762512077294692E-2</v>
          </cell>
          <cell r="AE1105" t="str">
            <v>Con precio</v>
          </cell>
        </row>
        <row r="1106">
          <cell r="B1106" t="str">
            <v>AN0020CR</v>
          </cell>
          <cell r="X1106" t="str">
            <v>Empaquetado</v>
          </cell>
          <cell r="AC1106">
            <v>4.3500000000000004E-2</v>
          </cell>
          <cell r="AD1106">
            <v>4.3500000000000004E-2</v>
          </cell>
          <cell r="AE1106" t="str">
            <v>Con precio</v>
          </cell>
        </row>
        <row r="1107">
          <cell r="B1107" t="str">
            <v>AN0020CR</v>
          </cell>
          <cell r="X1107" t="str">
            <v>Empaquetado</v>
          </cell>
          <cell r="AC1107">
            <v>4.4999999999999997E-3</v>
          </cell>
          <cell r="AD1107">
            <v>4.4999999999999997E-3</v>
          </cell>
          <cell r="AE1107" t="str">
            <v>Con precio</v>
          </cell>
        </row>
        <row r="1108">
          <cell r="B1108" t="str">
            <v>AN0020EC</v>
          </cell>
          <cell r="X1108" t="str">
            <v>Formulación</v>
          </cell>
          <cell r="AC1108">
            <v>1.3987647637795276E-2</v>
          </cell>
          <cell r="AD1108">
            <v>1.3987647637795276E-2</v>
          </cell>
          <cell r="AE1108" t="str">
            <v>Con precio</v>
          </cell>
        </row>
        <row r="1109">
          <cell r="B1109" t="str">
            <v>AN0020EC</v>
          </cell>
          <cell r="X1109" t="str">
            <v>Formulación</v>
          </cell>
          <cell r="AC1109">
            <v>0</v>
          </cell>
          <cell r="AD1109">
            <v>0</v>
          </cell>
          <cell r="AE1109" t="str">
            <v>Con precio</v>
          </cell>
        </row>
        <row r="1110">
          <cell r="B1110" t="str">
            <v>AN0020EC</v>
          </cell>
          <cell r="X1110" t="str">
            <v>Formulación</v>
          </cell>
          <cell r="AC1110">
            <v>0.14666932824803153</v>
          </cell>
          <cell r="AD1110">
            <v>0.14666932824803153</v>
          </cell>
          <cell r="AE1110" t="str">
            <v>Con precio</v>
          </cell>
        </row>
        <row r="1111">
          <cell r="B1111" t="str">
            <v>AN0020EC</v>
          </cell>
          <cell r="X1111" t="str">
            <v>Formulación</v>
          </cell>
          <cell r="AC1111">
            <v>1.8891363188976378E-2</v>
          </cell>
          <cell r="AD1111">
            <v>1.8891363188976378E-2</v>
          </cell>
          <cell r="AE1111" t="str">
            <v>Con precio</v>
          </cell>
        </row>
        <row r="1112">
          <cell r="B1112" t="str">
            <v>AN0020EC</v>
          </cell>
          <cell r="X1112" t="str">
            <v>Formulación</v>
          </cell>
          <cell r="AC1112">
            <v>2.3446727362204721E-3</v>
          </cell>
          <cell r="AD1112">
            <v>2.3446727362204721E-3</v>
          </cell>
          <cell r="AE1112" t="str">
            <v>Con precio</v>
          </cell>
        </row>
        <row r="1113">
          <cell r="B1113" t="str">
            <v>AN0020EC</v>
          </cell>
          <cell r="X1113" t="str">
            <v>Formulación</v>
          </cell>
          <cell r="AC1113">
            <v>6.6437007874015755E-2</v>
          </cell>
          <cell r="AD1113">
            <v>6.6437007874015755E-2</v>
          </cell>
          <cell r="AE1113" t="str">
            <v>Con precio</v>
          </cell>
        </row>
        <row r="1114">
          <cell r="B1114" t="str">
            <v>AN0020EC</v>
          </cell>
          <cell r="X1114" t="str">
            <v>Empaquetado</v>
          </cell>
          <cell r="AC1114">
            <v>4.8087272727272727E-3</v>
          </cell>
          <cell r="AD1114">
            <v>4.8087272727272727E-3</v>
          </cell>
          <cell r="AE1114" t="str">
            <v>Con precio</v>
          </cell>
        </row>
        <row r="1115">
          <cell r="B1115" t="str">
            <v>AN0020EC</v>
          </cell>
          <cell r="X1115" t="str">
            <v>Empaquetado</v>
          </cell>
          <cell r="AC1115">
            <v>1.4063636363636365E-2</v>
          </cell>
          <cell r="AD1115">
            <v>1.4063636363636365E-2</v>
          </cell>
          <cell r="AE1115" t="str">
            <v>Con precio</v>
          </cell>
        </row>
        <row r="1116">
          <cell r="B1116" t="str">
            <v>AN0020EC</v>
          </cell>
          <cell r="X1116" t="str">
            <v>Empaquetado</v>
          </cell>
          <cell r="AC1116">
            <v>4.7762512077294692E-2</v>
          </cell>
          <cell r="AD1116">
            <v>4.7762512077294692E-2</v>
          </cell>
          <cell r="AE1116" t="str">
            <v>Con precio</v>
          </cell>
        </row>
        <row r="1117">
          <cell r="B1117" t="str">
            <v>AN0020EC</v>
          </cell>
          <cell r="X1117" t="str">
            <v>Empaquetado</v>
          </cell>
          <cell r="AC1117">
            <v>4.3500000000000004E-2</v>
          </cell>
          <cell r="AD1117">
            <v>4.3500000000000004E-2</v>
          </cell>
          <cell r="AE1117" t="str">
            <v>Con precio</v>
          </cell>
        </row>
        <row r="1118">
          <cell r="B1118" t="str">
            <v>AN0020EC</v>
          </cell>
          <cell r="X1118" t="str">
            <v>Empaquetado</v>
          </cell>
          <cell r="AC1118">
            <v>4.4999999999999997E-3</v>
          </cell>
          <cell r="AD1118">
            <v>4.4999999999999997E-3</v>
          </cell>
          <cell r="AE1118" t="str">
            <v>Con precio</v>
          </cell>
        </row>
        <row r="1119">
          <cell r="B1119" t="str">
            <v>AN0020GE</v>
          </cell>
          <cell r="X1119" t="str">
            <v>Formulación</v>
          </cell>
          <cell r="AC1119">
            <v>1.3987647637795276E-2</v>
          </cell>
          <cell r="AD1119">
            <v>1.3987647637795276E-2</v>
          </cell>
          <cell r="AE1119" t="str">
            <v>Con precio</v>
          </cell>
        </row>
        <row r="1120">
          <cell r="B1120" t="str">
            <v>AN0020GE</v>
          </cell>
          <cell r="X1120" t="str">
            <v>Formulación</v>
          </cell>
          <cell r="AC1120">
            <v>0</v>
          </cell>
          <cell r="AD1120">
            <v>0</v>
          </cell>
          <cell r="AE1120" t="str">
            <v>Con precio</v>
          </cell>
        </row>
        <row r="1121">
          <cell r="B1121" t="str">
            <v>AN0020GE</v>
          </cell>
          <cell r="X1121" t="str">
            <v>Formulación</v>
          </cell>
          <cell r="AC1121">
            <v>0.14666932824803153</v>
          </cell>
          <cell r="AD1121">
            <v>0.14666932824803153</v>
          </cell>
          <cell r="AE1121" t="str">
            <v>Con precio</v>
          </cell>
        </row>
        <row r="1122">
          <cell r="B1122" t="str">
            <v>AN0020GE</v>
          </cell>
          <cell r="X1122" t="str">
            <v>Formulación</v>
          </cell>
          <cell r="AC1122">
            <v>1.8891363188976378E-2</v>
          </cell>
          <cell r="AD1122">
            <v>1.8891363188976378E-2</v>
          </cell>
          <cell r="AE1122" t="str">
            <v>Con precio</v>
          </cell>
        </row>
        <row r="1123">
          <cell r="B1123" t="str">
            <v>AN0020GE</v>
          </cell>
          <cell r="X1123" t="str">
            <v>Formulación</v>
          </cell>
          <cell r="AC1123">
            <v>2.3446727362204721E-3</v>
          </cell>
          <cell r="AD1123">
            <v>2.3446727362204721E-3</v>
          </cell>
          <cell r="AE1123" t="str">
            <v>Con precio</v>
          </cell>
        </row>
        <row r="1124">
          <cell r="B1124" t="str">
            <v>AN0020GE</v>
          </cell>
          <cell r="X1124" t="str">
            <v>Formulación</v>
          </cell>
          <cell r="AC1124">
            <v>6.6437007874015755E-2</v>
          </cell>
          <cell r="AD1124">
            <v>6.6437007874015755E-2</v>
          </cell>
          <cell r="AE1124" t="str">
            <v>Con precio</v>
          </cell>
        </row>
        <row r="1125">
          <cell r="B1125" t="str">
            <v>AN0020GE</v>
          </cell>
          <cell r="X1125" t="str">
            <v>Empaquetado</v>
          </cell>
          <cell r="AC1125">
            <v>4.8087272727272727E-3</v>
          </cell>
          <cell r="AD1125">
            <v>4.8087272727272727E-3</v>
          </cell>
          <cell r="AE1125" t="str">
            <v>Con precio</v>
          </cell>
        </row>
        <row r="1126">
          <cell r="B1126" t="str">
            <v>AN0020GE</v>
          </cell>
          <cell r="X1126" t="str">
            <v>Empaquetado</v>
          </cell>
          <cell r="AC1126">
            <v>1.4063636363636365E-2</v>
          </cell>
          <cell r="AD1126">
            <v>1.4063636363636365E-2</v>
          </cell>
          <cell r="AE1126" t="str">
            <v>Con precio</v>
          </cell>
        </row>
        <row r="1127">
          <cell r="B1127" t="str">
            <v>AN0020GE</v>
          </cell>
          <cell r="X1127" t="str">
            <v>Empaquetado</v>
          </cell>
          <cell r="AC1127">
            <v>4.7762512077294692E-2</v>
          </cell>
          <cell r="AD1127">
            <v>4.7762512077294692E-2</v>
          </cell>
          <cell r="AE1127" t="str">
            <v>Con precio</v>
          </cell>
        </row>
        <row r="1128">
          <cell r="B1128" t="str">
            <v>AN0020GE</v>
          </cell>
          <cell r="X1128" t="str">
            <v>Empaquetado</v>
          </cell>
          <cell r="AC1128">
            <v>4.3500000000000004E-2</v>
          </cell>
          <cell r="AD1128">
            <v>4.3500000000000004E-2</v>
          </cell>
          <cell r="AE1128" t="str">
            <v>Con precio</v>
          </cell>
        </row>
        <row r="1129">
          <cell r="B1129" t="str">
            <v>AN0020GE</v>
          </cell>
          <cell r="X1129" t="str">
            <v>Empaquetado</v>
          </cell>
          <cell r="AC1129">
            <v>4.4999999999999997E-3</v>
          </cell>
          <cell r="AD1129">
            <v>4.4999999999999997E-3</v>
          </cell>
          <cell r="AE1129" t="str">
            <v>Con precio</v>
          </cell>
        </row>
        <row r="1130">
          <cell r="B1130" t="str">
            <v>AN0020LB</v>
          </cell>
          <cell r="X1130" t="str">
            <v>Formulación</v>
          </cell>
          <cell r="AC1130">
            <v>1.3987647637795276E-2</v>
          </cell>
          <cell r="AD1130">
            <v>1.3987647637795276E-2</v>
          </cell>
          <cell r="AE1130" t="str">
            <v>Con precio</v>
          </cell>
        </row>
        <row r="1131">
          <cell r="B1131" t="str">
            <v>AN0020LB</v>
          </cell>
          <cell r="X1131" t="str">
            <v>Formulación</v>
          </cell>
          <cell r="AC1131">
            <v>0</v>
          </cell>
          <cell r="AD1131">
            <v>0</v>
          </cell>
          <cell r="AE1131" t="str">
            <v>Con precio</v>
          </cell>
        </row>
        <row r="1132">
          <cell r="B1132" t="str">
            <v>AN0020LB</v>
          </cell>
          <cell r="X1132" t="str">
            <v>Formulación</v>
          </cell>
          <cell r="AC1132">
            <v>0.14666932824803153</v>
          </cell>
          <cell r="AD1132">
            <v>0.14666932824803153</v>
          </cell>
          <cell r="AE1132" t="str">
            <v>Con precio</v>
          </cell>
        </row>
        <row r="1133">
          <cell r="B1133" t="str">
            <v>AN0020LB</v>
          </cell>
          <cell r="X1133" t="str">
            <v>Formulación</v>
          </cell>
          <cell r="AC1133">
            <v>1.8891363188976378E-2</v>
          </cell>
          <cell r="AD1133">
            <v>1.8891363188976378E-2</v>
          </cell>
          <cell r="AE1133" t="str">
            <v>Con precio</v>
          </cell>
        </row>
        <row r="1134">
          <cell r="B1134" t="str">
            <v>AN0020LB</v>
          </cell>
          <cell r="X1134" t="str">
            <v>Formulación</v>
          </cell>
          <cell r="AC1134">
            <v>2.3446727362204721E-3</v>
          </cell>
          <cell r="AD1134">
            <v>2.3446727362204721E-3</v>
          </cell>
          <cell r="AE1134" t="str">
            <v>Con precio</v>
          </cell>
        </row>
        <row r="1135">
          <cell r="B1135" t="str">
            <v>AN0020LB</v>
          </cell>
          <cell r="X1135" t="str">
            <v>Formulación</v>
          </cell>
          <cell r="AC1135">
            <v>6.6437007874015755E-2</v>
          </cell>
          <cell r="AD1135">
            <v>6.6437007874015755E-2</v>
          </cell>
          <cell r="AE1135" t="str">
            <v>Con precio</v>
          </cell>
        </row>
        <row r="1136">
          <cell r="B1136" t="str">
            <v>AN0020LB</v>
          </cell>
          <cell r="X1136" t="str">
            <v>Empaquetado</v>
          </cell>
          <cell r="AC1136">
            <v>4.8087272727272727E-3</v>
          </cell>
          <cell r="AD1136">
            <v>4.8087272727272727E-3</v>
          </cell>
          <cell r="AE1136" t="str">
            <v>Con precio</v>
          </cell>
        </row>
        <row r="1137">
          <cell r="B1137" t="str">
            <v>AN0020LB</v>
          </cell>
          <cell r="X1137" t="str">
            <v>Empaquetado</v>
          </cell>
          <cell r="AC1137">
            <v>1.4063636363636365E-2</v>
          </cell>
          <cell r="AD1137">
            <v>1.4063636363636365E-2</v>
          </cell>
          <cell r="AE1137" t="str">
            <v>Con precio</v>
          </cell>
        </row>
        <row r="1138">
          <cell r="B1138" t="str">
            <v>AN0020LB</v>
          </cell>
          <cell r="X1138" t="str">
            <v>Empaquetado</v>
          </cell>
          <cell r="AC1138">
            <v>4.7762512077294692E-2</v>
          </cell>
          <cell r="AD1138">
            <v>4.7762512077294692E-2</v>
          </cell>
          <cell r="AE1138" t="str">
            <v>Con precio</v>
          </cell>
        </row>
        <row r="1139">
          <cell r="B1139" t="str">
            <v>AN0020LB</v>
          </cell>
          <cell r="X1139" t="str">
            <v>Empaquetado</v>
          </cell>
          <cell r="AC1139">
            <v>4.3500000000000004E-2</v>
          </cell>
          <cell r="AD1139">
            <v>4.3500000000000004E-2</v>
          </cell>
          <cell r="AE1139" t="str">
            <v>Con precio</v>
          </cell>
        </row>
        <row r="1140">
          <cell r="B1140" t="str">
            <v>AN0020LB</v>
          </cell>
          <cell r="X1140" t="str">
            <v>Empaquetado</v>
          </cell>
          <cell r="AC1140">
            <v>4.4999999999999997E-3</v>
          </cell>
          <cell r="AD1140">
            <v>4.4999999999999997E-3</v>
          </cell>
          <cell r="AE1140" t="str">
            <v>Con precio</v>
          </cell>
        </row>
        <row r="1141">
          <cell r="B1141" t="str">
            <v>AN0020MA</v>
          </cell>
          <cell r="X1141" t="str">
            <v>Formulación</v>
          </cell>
          <cell r="AC1141">
            <v>1.3987647637795276E-2</v>
          </cell>
          <cell r="AD1141">
            <v>1.3987647637795276E-2</v>
          </cell>
          <cell r="AE1141" t="str">
            <v>Con precio</v>
          </cell>
        </row>
        <row r="1142">
          <cell r="B1142" t="str">
            <v>AN0020MA</v>
          </cell>
          <cell r="X1142" t="str">
            <v>Formulación</v>
          </cell>
          <cell r="AC1142">
            <v>0</v>
          </cell>
          <cell r="AD1142">
            <v>0</v>
          </cell>
          <cell r="AE1142" t="str">
            <v>Con precio</v>
          </cell>
        </row>
        <row r="1143">
          <cell r="B1143" t="str">
            <v>AN0020MA</v>
          </cell>
          <cell r="X1143" t="str">
            <v>Formulación</v>
          </cell>
          <cell r="AC1143">
            <v>0.14666932824803153</v>
          </cell>
          <cell r="AD1143">
            <v>0.14666932824803153</v>
          </cell>
          <cell r="AE1143" t="str">
            <v>Con precio</v>
          </cell>
        </row>
        <row r="1144">
          <cell r="B1144" t="str">
            <v>AN0020MA</v>
          </cell>
          <cell r="X1144" t="str">
            <v>Formulación</v>
          </cell>
          <cell r="AC1144">
            <v>1.8891363188976378E-2</v>
          </cell>
          <cell r="AD1144">
            <v>1.8891363188976378E-2</v>
          </cell>
          <cell r="AE1144" t="str">
            <v>Con precio</v>
          </cell>
        </row>
        <row r="1145">
          <cell r="B1145" t="str">
            <v>AN0020MA</v>
          </cell>
          <cell r="X1145" t="str">
            <v>Formulación</v>
          </cell>
          <cell r="AC1145">
            <v>2.3446727362204721E-3</v>
          </cell>
          <cell r="AD1145">
            <v>2.3446727362204721E-3</v>
          </cell>
          <cell r="AE1145" t="str">
            <v>Con precio</v>
          </cell>
        </row>
        <row r="1146">
          <cell r="B1146" t="str">
            <v>AN0020MA</v>
          </cell>
          <cell r="X1146" t="str">
            <v>Formulación</v>
          </cell>
          <cell r="AC1146">
            <v>6.6437007874015755E-2</v>
          </cell>
          <cell r="AD1146">
            <v>6.6437007874015755E-2</v>
          </cell>
          <cell r="AE1146" t="str">
            <v>Con precio</v>
          </cell>
        </row>
        <row r="1147">
          <cell r="B1147" t="str">
            <v>AN0020MA</v>
          </cell>
          <cell r="X1147" t="str">
            <v>Empaquetado</v>
          </cell>
          <cell r="AC1147">
            <v>4.8087272727272727E-3</v>
          </cell>
          <cell r="AD1147">
            <v>4.8087272727272727E-3</v>
          </cell>
          <cell r="AE1147" t="str">
            <v>Con precio</v>
          </cell>
        </row>
        <row r="1148">
          <cell r="B1148" t="str">
            <v>AN0020MA</v>
          </cell>
          <cell r="X1148" t="str">
            <v>Empaquetado</v>
          </cell>
          <cell r="AC1148">
            <v>1.4063636363636365E-2</v>
          </cell>
          <cell r="AD1148">
            <v>1.4063636363636365E-2</v>
          </cell>
          <cell r="AE1148" t="str">
            <v>Con precio</v>
          </cell>
        </row>
        <row r="1149">
          <cell r="B1149" t="str">
            <v>AN0020MA</v>
          </cell>
          <cell r="X1149" t="str">
            <v>Empaquetado</v>
          </cell>
          <cell r="AC1149">
            <v>4.7762512077294692E-2</v>
          </cell>
          <cell r="AD1149">
            <v>4.7762512077294692E-2</v>
          </cell>
          <cell r="AE1149" t="str">
            <v>Con precio</v>
          </cell>
        </row>
        <row r="1150">
          <cell r="B1150" t="str">
            <v>AN0020MA</v>
          </cell>
          <cell r="X1150" t="str">
            <v>Empaquetado</v>
          </cell>
          <cell r="AC1150">
            <v>4.3500000000000004E-2</v>
          </cell>
          <cell r="AD1150">
            <v>4.3500000000000004E-2</v>
          </cell>
          <cell r="AE1150" t="str">
            <v>Con precio</v>
          </cell>
        </row>
        <row r="1151">
          <cell r="B1151" t="str">
            <v>AN0020MA</v>
          </cell>
          <cell r="X1151" t="str">
            <v>Empaquetado</v>
          </cell>
          <cell r="AC1151">
            <v>4.4999999999999997E-3</v>
          </cell>
          <cell r="AD1151">
            <v>4.4999999999999997E-3</v>
          </cell>
          <cell r="AE1151" t="str">
            <v>Con precio</v>
          </cell>
        </row>
        <row r="1152">
          <cell r="B1152" t="str">
            <v>AN0020PE</v>
          </cell>
          <cell r="X1152" t="str">
            <v>Formulación</v>
          </cell>
          <cell r="AC1152">
            <v>1.3987647637795276E-2</v>
          </cell>
          <cell r="AD1152">
            <v>1.3987647637795276E-2</v>
          </cell>
          <cell r="AE1152" t="str">
            <v>Con precio</v>
          </cell>
        </row>
        <row r="1153">
          <cell r="B1153" t="str">
            <v>AN0020PE</v>
          </cell>
          <cell r="X1153" t="str">
            <v>Formulación</v>
          </cell>
          <cell r="AC1153">
            <v>0</v>
          </cell>
          <cell r="AD1153">
            <v>0</v>
          </cell>
          <cell r="AE1153" t="str">
            <v>Con precio</v>
          </cell>
        </row>
        <row r="1154">
          <cell r="B1154" t="str">
            <v>AN0020PE</v>
          </cell>
          <cell r="X1154" t="str">
            <v>Formulación</v>
          </cell>
          <cell r="AC1154">
            <v>0.14666932824803153</v>
          </cell>
          <cell r="AD1154">
            <v>0.14666932824803153</v>
          </cell>
          <cell r="AE1154" t="str">
            <v>Con precio</v>
          </cell>
        </row>
        <row r="1155">
          <cell r="B1155" t="str">
            <v>AN0020PE</v>
          </cell>
          <cell r="X1155" t="str">
            <v>Formulación</v>
          </cell>
          <cell r="AC1155">
            <v>1.8891363188976378E-2</v>
          </cell>
          <cell r="AD1155">
            <v>1.8891363188976378E-2</v>
          </cell>
          <cell r="AE1155" t="str">
            <v>Con precio</v>
          </cell>
        </row>
        <row r="1156">
          <cell r="B1156" t="str">
            <v>AN0020PE</v>
          </cell>
          <cell r="X1156" t="str">
            <v>Formulación</v>
          </cell>
          <cell r="AC1156">
            <v>2.3446727362204721E-3</v>
          </cell>
          <cell r="AD1156">
            <v>2.3446727362204721E-3</v>
          </cell>
          <cell r="AE1156" t="str">
            <v>Con precio</v>
          </cell>
        </row>
        <row r="1157">
          <cell r="B1157" t="str">
            <v>AN0020PE</v>
          </cell>
          <cell r="X1157" t="str">
            <v>Formulación</v>
          </cell>
          <cell r="AC1157">
            <v>6.6437007874015755E-2</v>
          </cell>
          <cell r="AD1157">
            <v>6.6437007874015755E-2</v>
          </cell>
          <cell r="AE1157" t="str">
            <v>Con precio</v>
          </cell>
        </row>
        <row r="1158">
          <cell r="B1158" t="str">
            <v>AN0020PE</v>
          </cell>
          <cell r="X1158" t="str">
            <v>Empaquetado</v>
          </cell>
          <cell r="AC1158">
            <v>4.8087272727272727E-3</v>
          </cell>
          <cell r="AD1158">
            <v>4.8087272727272727E-3</v>
          </cell>
          <cell r="AE1158" t="str">
            <v>Con precio</v>
          </cell>
        </row>
        <row r="1159">
          <cell r="B1159" t="str">
            <v>AN0020PE</v>
          </cell>
          <cell r="X1159" t="str">
            <v>Empaquetado</v>
          </cell>
          <cell r="AC1159">
            <v>1.4063636363636365E-2</v>
          </cell>
          <cell r="AD1159">
            <v>1.4063636363636365E-2</v>
          </cell>
          <cell r="AE1159" t="str">
            <v>Con precio</v>
          </cell>
        </row>
        <row r="1160">
          <cell r="B1160" t="str">
            <v>AN0020PE</v>
          </cell>
          <cell r="X1160" t="str">
            <v>Empaquetado</v>
          </cell>
          <cell r="AC1160">
            <v>4.7762512077294692E-2</v>
          </cell>
          <cell r="AD1160">
            <v>4.7762512077294692E-2</v>
          </cell>
          <cell r="AE1160" t="str">
            <v>Con precio</v>
          </cell>
        </row>
        <row r="1161">
          <cell r="B1161" t="str">
            <v>AN0020PE</v>
          </cell>
          <cell r="X1161" t="str">
            <v>Empaquetado</v>
          </cell>
          <cell r="AC1161">
            <v>4.3500000000000004E-2</v>
          </cell>
          <cell r="AD1161">
            <v>4.3500000000000004E-2</v>
          </cell>
          <cell r="AE1161" t="str">
            <v>Con precio</v>
          </cell>
        </row>
        <row r="1162">
          <cell r="B1162" t="str">
            <v>AN0020PE</v>
          </cell>
          <cell r="X1162" t="str">
            <v>Empaquetado</v>
          </cell>
          <cell r="AC1162">
            <v>4.4999999999999997E-3</v>
          </cell>
          <cell r="AD1162">
            <v>4.4999999999999997E-3</v>
          </cell>
          <cell r="AE1162" t="str">
            <v>Con precio</v>
          </cell>
        </row>
        <row r="1163">
          <cell r="B1163" t="str">
            <v>AN0020RO</v>
          </cell>
          <cell r="X1163" t="str">
            <v>Formulación</v>
          </cell>
          <cell r="AC1163">
            <v>1.3987647637795276E-2</v>
          </cell>
          <cell r="AD1163">
            <v>1.3987647637795276E-2</v>
          </cell>
          <cell r="AE1163" t="str">
            <v>Con precio</v>
          </cell>
        </row>
        <row r="1164">
          <cell r="B1164" t="str">
            <v>AN0020RO</v>
          </cell>
          <cell r="X1164" t="str">
            <v>Formulación</v>
          </cell>
          <cell r="AC1164">
            <v>0</v>
          </cell>
          <cell r="AD1164">
            <v>0</v>
          </cell>
          <cell r="AE1164" t="str">
            <v>Con precio</v>
          </cell>
        </row>
        <row r="1165">
          <cell r="B1165" t="str">
            <v>AN0020RO</v>
          </cell>
          <cell r="X1165" t="str">
            <v>Formulación</v>
          </cell>
          <cell r="AC1165">
            <v>0.14666932824803153</v>
          </cell>
          <cell r="AD1165">
            <v>0.14666932824803153</v>
          </cell>
          <cell r="AE1165" t="str">
            <v>Con precio</v>
          </cell>
        </row>
        <row r="1166">
          <cell r="B1166" t="str">
            <v>AN0020RO</v>
          </cell>
          <cell r="X1166" t="str">
            <v>Formulación</v>
          </cell>
          <cell r="AC1166">
            <v>1.8891363188976378E-2</v>
          </cell>
          <cell r="AD1166">
            <v>1.8891363188976378E-2</v>
          </cell>
          <cell r="AE1166" t="str">
            <v>Con precio</v>
          </cell>
        </row>
        <row r="1167">
          <cell r="B1167" t="str">
            <v>AN0020RO</v>
          </cell>
          <cell r="X1167" t="str">
            <v>Formulación</v>
          </cell>
          <cell r="AC1167">
            <v>2.3446727362204721E-3</v>
          </cell>
          <cell r="AD1167">
            <v>2.3446727362204721E-3</v>
          </cell>
          <cell r="AE1167" t="str">
            <v>Con precio</v>
          </cell>
        </row>
        <row r="1168">
          <cell r="B1168" t="str">
            <v>AN0020RO</v>
          </cell>
          <cell r="X1168" t="str">
            <v>Formulación</v>
          </cell>
          <cell r="AC1168">
            <v>6.6437007874015755E-2</v>
          </cell>
          <cell r="AD1168">
            <v>6.6437007874015755E-2</v>
          </cell>
          <cell r="AE1168" t="str">
            <v>Con precio</v>
          </cell>
        </row>
        <row r="1169">
          <cell r="B1169" t="str">
            <v>AN0020RO</v>
          </cell>
          <cell r="X1169" t="str">
            <v>Empaquetado</v>
          </cell>
          <cell r="AC1169">
            <v>4.8087272727272727E-3</v>
          </cell>
          <cell r="AD1169">
            <v>4.8087272727272727E-3</v>
          </cell>
          <cell r="AE1169" t="str">
            <v>Con precio</v>
          </cell>
        </row>
        <row r="1170">
          <cell r="B1170" t="str">
            <v>AN0020RO</v>
          </cell>
          <cell r="X1170" t="str">
            <v>Empaquetado</v>
          </cell>
          <cell r="AC1170">
            <v>1.4063636363636365E-2</v>
          </cell>
          <cell r="AD1170">
            <v>1.4063636363636365E-2</v>
          </cell>
          <cell r="AE1170" t="str">
            <v>Con precio</v>
          </cell>
        </row>
        <row r="1171">
          <cell r="B1171" t="str">
            <v>AN0020RO</v>
          </cell>
          <cell r="X1171" t="str">
            <v>Empaquetado</v>
          </cell>
          <cell r="AC1171">
            <v>4.7762512077294692E-2</v>
          </cell>
          <cell r="AD1171">
            <v>4.7762512077294692E-2</v>
          </cell>
          <cell r="AE1171" t="str">
            <v>Con precio</v>
          </cell>
        </row>
        <row r="1172">
          <cell r="B1172" t="str">
            <v>AN0020RO</v>
          </cell>
          <cell r="X1172" t="str">
            <v>Empaquetado</v>
          </cell>
          <cell r="AC1172">
            <v>4.3500000000000004E-2</v>
          </cell>
          <cell r="AD1172">
            <v>4.3500000000000004E-2</v>
          </cell>
          <cell r="AE1172" t="str">
            <v>Con precio</v>
          </cell>
        </row>
        <row r="1173">
          <cell r="B1173" t="str">
            <v>AN0020RO</v>
          </cell>
          <cell r="X1173" t="str">
            <v>Empaquetado</v>
          </cell>
          <cell r="AC1173">
            <v>4.4999999999999997E-3</v>
          </cell>
          <cell r="AD1173">
            <v>4.4999999999999997E-3</v>
          </cell>
          <cell r="AE1173" t="str">
            <v>Con precio</v>
          </cell>
        </row>
        <row r="1174">
          <cell r="B1174" t="str">
            <v>AN1000EG</v>
          </cell>
          <cell r="X1174" t="str">
            <v>Formulación</v>
          </cell>
          <cell r="AC1174">
            <v>1.3987647637795276E-2</v>
          </cell>
          <cell r="AD1174">
            <v>1.3987647637795276E-2</v>
          </cell>
          <cell r="AE1174" t="str">
            <v>Con precio</v>
          </cell>
        </row>
        <row r="1175">
          <cell r="B1175" t="str">
            <v>AN1000EG</v>
          </cell>
          <cell r="X1175" t="str">
            <v>Formulación</v>
          </cell>
          <cell r="AC1175">
            <v>0</v>
          </cell>
          <cell r="AD1175">
            <v>0</v>
          </cell>
          <cell r="AE1175" t="str">
            <v>Con precio</v>
          </cell>
        </row>
        <row r="1176">
          <cell r="B1176" t="str">
            <v>AN1000EG</v>
          </cell>
          <cell r="X1176" t="str">
            <v>Formulación</v>
          </cell>
          <cell r="AC1176">
            <v>0.14666932824803153</v>
          </cell>
          <cell r="AD1176">
            <v>0.14666932824803153</v>
          </cell>
          <cell r="AE1176" t="str">
            <v>Con precio</v>
          </cell>
        </row>
        <row r="1177">
          <cell r="B1177" t="str">
            <v>AN1000EG</v>
          </cell>
          <cell r="X1177" t="str">
            <v>Formulación</v>
          </cell>
          <cell r="AC1177">
            <v>1.8891363188976378E-2</v>
          </cell>
          <cell r="AD1177">
            <v>1.8891363188976378E-2</v>
          </cell>
          <cell r="AE1177" t="str">
            <v>Con precio</v>
          </cell>
        </row>
        <row r="1178">
          <cell r="B1178" t="str">
            <v>AN1000EG</v>
          </cell>
          <cell r="X1178" t="str">
            <v>Formulación</v>
          </cell>
          <cell r="AC1178">
            <v>2.3446727362204721E-3</v>
          </cell>
          <cell r="AD1178">
            <v>2.3446727362204721E-3</v>
          </cell>
          <cell r="AE1178" t="str">
            <v>Con precio</v>
          </cell>
        </row>
        <row r="1179">
          <cell r="B1179" t="str">
            <v>AN1000EG</v>
          </cell>
          <cell r="X1179" t="str">
            <v>Formulación</v>
          </cell>
          <cell r="AC1179">
            <v>6.6437007874015755E-2</v>
          </cell>
          <cell r="AD1179">
            <v>6.6437007874015755E-2</v>
          </cell>
          <cell r="AE1179" t="str">
            <v>Con precio</v>
          </cell>
        </row>
        <row r="1180">
          <cell r="B1180" t="str">
            <v>AN1000EG</v>
          </cell>
          <cell r="X1180" t="str">
            <v>Empaquetado</v>
          </cell>
          <cell r="AC1180">
            <v>7.8030719682893612E-5</v>
          </cell>
          <cell r="AD1180">
            <v>7.8030719682893612E-5</v>
          </cell>
          <cell r="AE1180" t="str">
            <v>Con precio</v>
          </cell>
        </row>
        <row r="1181">
          <cell r="B1181" t="str">
            <v>AN1000EG</v>
          </cell>
          <cell r="X1181" t="str">
            <v>Empaquetado</v>
          </cell>
          <cell r="AC1181">
            <v>5.6153846153846151E-2</v>
          </cell>
          <cell r="AD1181">
            <v>5.6153846153846151E-2</v>
          </cell>
          <cell r="AE1181" t="str">
            <v>Con precio</v>
          </cell>
        </row>
        <row r="1182">
          <cell r="B1182" t="str">
            <v>ANAE0005</v>
          </cell>
          <cell r="X1182" t="str">
            <v>Formulación</v>
          </cell>
          <cell r="AC1182">
            <v>1.3987647637795276E-2</v>
          </cell>
          <cell r="AD1182">
            <v>1.3987647637795276E-2</v>
          </cell>
          <cell r="AE1182" t="str">
            <v>Con precio</v>
          </cell>
        </row>
        <row r="1183">
          <cell r="B1183" t="str">
            <v>ANAE0005</v>
          </cell>
          <cell r="X1183" t="str">
            <v>Formulación</v>
          </cell>
          <cell r="AC1183">
            <v>0</v>
          </cell>
          <cell r="AD1183">
            <v>0</v>
          </cell>
          <cell r="AE1183" t="str">
            <v>Con precio</v>
          </cell>
        </row>
        <row r="1184">
          <cell r="B1184" t="str">
            <v>ANAE0005</v>
          </cell>
          <cell r="X1184" t="str">
            <v>Formulación</v>
          </cell>
          <cell r="AC1184">
            <v>0.14666932824803153</v>
          </cell>
          <cell r="AD1184">
            <v>0.14666932824803153</v>
          </cell>
          <cell r="AE1184" t="str">
            <v>Con precio</v>
          </cell>
        </row>
        <row r="1185">
          <cell r="B1185" t="str">
            <v>ANAE0005</v>
          </cell>
          <cell r="X1185" t="str">
            <v>Formulación</v>
          </cell>
          <cell r="AC1185">
            <v>1.8891363188976378E-2</v>
          </cell>
          <cell r="AD1185">
            <v>1.8891363188976378E-2</v>
          </cell>
          <cell r="AE1185" t="str">
            <v>Con precio</v>
          </cell>
        </row>
        <row r="1186">
          <cell r="B1186" t="str">
            <v>ANAE0005</v>
          </cell>
          <cell r="X1186" t="str">
            <v>Formulación</v>
          </cell>
          <cell r="AC1186">
            <v>2.3446727362204721E-3</v>
          </cell>
          <cell r="AD1186">
            <v>2.3446727362204721E-3</v>
          </cell>
          <cell r="AE1186" t="str">
            <v>Con precio</v>
          </cell>
        </row>
        <row r="1187">
          <cell r="B1187" t="str">
            <v>ANAE0005</v>
          </cell>
          <cell r="X1187" t="str">
            <v>Formulación</v>
          </cell>
          <cell r="AC1187">
            <v>6.6437007874015755E-2</v>
          </cell>
          <cell r="AD1187">
            <v>6.6437007874015755E-2</v>
          </cell>
          <cell r="AE1187" t="str">
            <v>Con precio</v>
          </cell>
        </row>
        <row r="1188">
          <cell r="B1188" t="str">
            <v>ANAE0005</v>
          </cell>
          <cell r="X1188" t="str">
            <v>Empaquetado</v>
          </cell>
          <cell r="AC1188">
            <v>7.376999999999999E-3</v>
          </cell>
          <cell r="AD1188">
            <v>7.376999999999999E-3</v>
          </cell>
          <cell r="AE1188" t="str">
            <v>Con precio</v>
          </cell>
        </row>
        <row r="1189">
          <cell r="B1189" t="str">
            <v>ANAE0005</v>
          </cell>
          <cell r="X1189" t="str">
            <v>Empaquetado</v>
          </cell>
          <cell r="AC1189">
            <v>1.4063636363636365E-2</v>
          </cell>
          <cell r="AD1189">
            <v>1.4063636363636365E-2</v>
          </cell>
          <cell r="AE1189" t="str">
            <v>Con precio</v>
          </cell>
        </row>
        <row r="1190">
          <cell r="B1190" t="str">
            <v>ANAE0005</v>
          </cell>
          <cell r="X1190" t="str">
            <v>Empaquetado</v>
          </cell>
          <cell r="AC1190">
            <v>1.7737989130434784E-2</v>
          </cell>
          <cell r="AD1190">
            <v>1.7737989130434784E-2</v>
          </cell>
          <cell r="AE1190" t="str">
            <v>Con precio</v>
          </cell>
        </row>
        <row r="1191">
          <cell r="B1191" t="str">
            <v>ANAE0005</v>
          </cell>
          <cell r="X1191" t="str">
            <v>Empaquetado</v>
          </cell>
          <cell r="AC1191">
            <v>0.12</v>
          </cell>
          <cell r="AD1191">
            <v>0.12</v>
          </cell>
          <cell r="AE1191" t="str">
            <v>Con precio</v>
          </cell>
        </row>
        <row r="1192">
          <cell r="B1192" t="str">
            <v>ANAE0005</v>
          </cell>
          <cell r="X1192" t="str">
            <v>Empaquetado</v>
          </cell>
          <cell r="AC1192">
            <v>4.4344972826086959E-3</v>
          </cell>
          <cell r="AD1192">
            <v>4.4344972826086959E-3</v>
          </cell>
          <cell r="AE1192" t="str">
            <v>Con precio</v>
          </cell>
        </row>
        <row r="1193">
          <cell r="B1193" t="str">
            <v>ANAE0005</v>
          </cell>
          <cell r="X1193" t="str">
            <v>Empaquetado</v>
          </cell>
          <cell r="AC1193">
            <v>4.7762512077294692E-2</v>
          </cell>
          <cell r="AD1193">
            <v>4.7762512077294692E-2</v>
          </cell>
          <cell r="AE1193" t="str">
            <v>Con precio</v>
          </cell>
        </row>
        <row r="1194">
          <cell r="B1194" t="str">
            <v>ANAE0020</v>
          </cell>
          <cell r="X1194" t="str">
            <v>Formulación</v>
          </cell>
          <cell r="AC1194">
            <v>1.3987647637795276E-2</v>
          </cell>
          <cell r="AD1194">
            <v>1.3987647637795276E-2</v>
          </cell>
          <cell r="AE1194" t="str">
            <v>Con precio</v>
          </cell>
        </row>
        <row r="1195">
          <cell r="B1195" t="str">
            <v>ANAE0020</v>
          </cell>
          <cell r="X1195" t="str">
            <v>Formulación</v>
          </cell>
          <cell r="AC1195">
            <v>0</v>
          </cell>
          <cell r="AD1195">
            <v>0</v>
          </cell>
          <cell r="AE1195" t="str">
            <v>Con precio</v>
          </cell>
        </row>
        <row r="1196">
          <cell r="B1196" t="str">
            <v>ANAE0020</v>
          </cell>
          <cell r="X1196" t="str">
            <v>Formulación</v>
          </cell>
          <cell r="AC1196">
            <v>0.14666932824803153</v>
          </cell>
          <cell r="AD1196">
            <v>0.14666932824803153</v>
          </cell>
          <cell r="AE1196" t="str">
            <v>Con precio</v>
          </cell>
        </row>
        <row r="1197">
          <cell r="B1197" t="str">
            <v>ANAE0020</v>
          </cell>
          <cell r="X1197" t="str">
            <v>Formulación</v>
          </cell>
          <cell r="AC1197">
            <v>1.8891363188976378E-2</v>
          </cell>
          <cell r="AD1197">
            <v>1.8891363188976378E-2</v>
          </cell>
          <cell r="AE1197" t="str">
            <v>Con precio</v>
          </cell>
        </row>
        <row r="1198">
          <cell r="B1198" t="str">
            <v>ANAE0020</v>
          </cell>
          <cell r="X1198" t="str">
            <v>Formulación</v>
          </cell>
          <cell r="AC1198">
            <v>2.3446727362204721E-3</v>
          </cell>
          <cell r="AD1198">
            <v>2.3446727362204721E-3</v>
          </cell>
          <cell r="AE1198" t="str">
            <v>Con precio</v>
          </cell>
        </row>
        <row r="1199">
          <cell r="B1199" t="str">
            <v>ANAE0020</v>
          </cell>
          <cell r="X1199" t="str">
            <v>Formulación</v>
          </cell>
          <cell r="AC1199">
            <v>6.6437007874015755E-2</v>
          </cell>
          <cell r="AD1199">
            <v>6.6437007874015755E-2</v>
          </cell>
          <cell r="AE1199" t="str">
            <v>Con precio</v>
          </cell>
        </row>
        <row r="1200">
          <cell r="B1200" t="str">
            <v>ANAE0020</v>
          </cell>
          <cell r="X1200" t="str">
            <v>Empaquetado</v>
          </cell>
          <cell r="AC1200">
            <v>4.8087272727272727E-3</v>
          </cell>
          <cell r="AD1200">
            <v>4.8087272727272727E-3</v>
          </cell>
          <cell r="AE1200" t="str">
            <v>Con precio</v>
          </cell>
        </row>
        <row r="1201">
          <cell r="B1201" t="str">
            <v>ANAE0020</v>
          </cell>
          <cell r="X1201" t="str">
            <v>Empaquetado</v>
          </cell>
          <cell r="AC1201">
            <v>1.4063636363636365E-2</v>
          </cell>
          <cell r="AD1201">
            <v>1.4063636363636365E-2</v>
          </cell>
          <cell r="AE1201" t="str">
            <v>Con precio</v>
          </cell>
        </row>
        <row r="1202">
          <cell r="B1202" t="str">
            <v>ANAE0020</v>
          </cell>
          <cell r="X1202" t="str">
            <v>Empaquetado</v>
          </cell>
          <cell r="AC1202">
            <v>4.4344972826086959E-3</v>
          </cell>
          <cell r="AD1202">
            <v>4.4344972826086959E-3</v>
          </cell>
          <cell r="AE1202" t="str">
            <v>Con precio</v>
          </cell>
        </row>
        <row r="1203">
          <cell r="B1203" t="str">
            <v>ANAE0020</v>
          </cell>
          <cell r="X1203" t="str">
            <v>Empaquetado</v>
          </cell>
          <cell r="AC1203">
            <v>4.3500000000000004E-2</v>
          </cell>
          <cell r="AD1203">
            <v>4.3500000000000004E-2</v>
          </cell>
          <cell r="AE1203" t="str">
            <v>Con precio</v>
          </cell>
        </row>
        <row r="1204">
          <cell r="B1204" t="str">
            <v>ANAE0020</v>
          </cell>
          <cell r="X1204" t="str">
            <v>Empaquetado</v>
          </cell>
          <cell r="AC1204">
            <v>4.7762512077294692E-2</v>
          </cell>
          <cell r="AD1204">
            <v>4.7762512077294692E-2</v>
          </cell>
          <cell r="AE1204" t="str">
            <v>Con precio</v>
          </cell>
        </row>
        <row r="1205">
          <cell r="B1205" t="str">
            <v>ANAE0020</v>
          </cell>
          <cell r="X1205" t="str">
            <v>Empaquetado</v>
          </cell>
          <cell r="AC1205">
            <v>4.4999999999999997E-3</v>
          </cell>
          <cell r="AD1205">
            <v>4.4999999999999997E-3</v>
          </cell>
          <cell r="AE1205" t="str">
            <v>Con precio</v>
          </cell>
        </row>
        <row r="1206">
          <cell r="B1206" t="str">
            <v>AO0005RO</v>
          </cell>
          <cell r="X1206" t="str">
            <v>Formulación</v>
          </cell>
          <cell r="AC1206">
            <v>1.3985871428571432E-2</v>
          </cell>
          <cell r="AD1206">
            <v>1.3985871428571432E-2</v>
          </cell>
          <cell r="AE1206" t="str">
            <v>Con precio</v>
          </cell>
        </row>
        <row r="1207">
          <cell r="B1207" t="str">
            <v>AO0005RO</v>
          </cell>
          <cell r="X1207" t="str">
            <v>Formulación</v>
          </cell>
          <cell r="AC1207">
            <v>0</v>
          </cell>
          <cell r="AD1207">
            <v>0</v>
          </cell>
          <cell r="AE1207" t="str">
            <v>Con precio</v>
          </cell>
        </row>
        <row r="1208">
          <cell r="B1208" t="str">
            <v>AO0005RO</v>
          </cell>
          <cell r="X1208" t="str">
            <v>Formulación</v>
          </cell>
          <cell r="AC1208">
            <v>0.14665070357142865</v>
          </cell>
          <cell r="AD1208">
            <v>0.14665070357142865</v>
          </cell>
          <cell r="AE1208" t="str">
            <v>Con precio</v>
          </cell>
        </row>
        <row r="1209">
          <cell r="B1209" t="str">
            <v>AO0005RO</v>
          </cell>
          <cell r="X1209" t="str">
            <v>Formulación</v>
          </cell>
          <cell r="AC1209">
            <v>1.888896428571429E-2</v>
          </cell>
          <cell r="AD1209">
            <v>1.888896428571429E-2</v>
          </cell>
          <cell r="AE1209" t="str">
            <v>Con precio</v>
          </cell>
        </row>
        <row r="1210">
          <cell r="B1210" t="str">
            <v>AO0005RO</v>
          </cell>
          <cell r="X1210" t="str">
            <v>Formulación</v>
          </cell>
          <cell r="AC1210">
            <v>2.3443750000000001E-3</v>
          </cell>
          <cell r="AD1210">
            <v>2.3443750000000001E-3</v>
          </cell>
          <cell r="AE1210" t="str">
            <v>Con precio</v>
          </cell>
        </row>
        <row r="1211">
          <cell r="B1211" t="str">
            <v>AO0005RO</v>
          </cell>
          <cell r="X1211" t="str">
            <v>Formulación</v>
          </cell>
          <cell r="AC1211">
            <v>6.1087500000000003E-2</v>
          </cell>
          <cell r="AD1211">
            <v>6.1087500000000003E-2</v>
          </cell>
          <cell r="AE1211" t="str">
            <v>Con precio</v>
          </cell>
        </row>
        <row r="1212">
          <cell r="B1212" t="str">
            <v>AO0005RO</v>
          </cell>
          <cell r="X1212" t="str">
            <v>Formulación</v>
          </cell>
          <cell r="AC1212">
            <v>8.0000000000000002E-3</v>
          </cell>
          <cell r="AD1212">
            <v>8.0000000000000002E-3</v>
          </cell>
          <cell r="AE1212" t="str">
            <v>Con precio</v>
          </cell>
        </row>
        <row r="1213">
          <cell r="B1213" t="str">
            <v>AO0005RO</v>
          </cell>
          <cell r="X1213" t="str">
            <v>Empaquetado</v>
          </cell>
          <cell r="AC1213">
            <v>1.5470000000000001E-2</v>
          </cell>
          <cell r="AD1213">
            <v>1.5470000000000001E-2</v>
          </cell>
          <cell r="AE1213" t="str">
            <v>Con precio</v>
          </cell>
        </row>
        <row r="1214">
          <cell r="B1214" t="str">
            <v>AO0005RO</v>
          </cell>
          <cell r="X1214" t="str">
            <v>Empaquetado</v>
          </cell>
          <cell r="AC1214">
            <v>8.114699999999999E-3</v>
          </cell>
          <cell r="AD1214">
            <v>8.114699999999999E-3</v>
          </cell>
          <cell r="AE1214" t="str">
            <v>Con precio</v>
          </cell>
        </row>
        <row r="1215">
          <cell r="B1215" t="str">
            <v>AO0005RO</v>
          </cell>
          <cell r="X1215" t="str">
            <v>Empaquetado</v>
          </cell>
          <cell r="AC1215">
            <v>7.9779166666666661E-3</v>
          </cell>
          <cell r="AD1215">
            <v>7.9779166666666661E-3</v>
          </cell>
          <cell r="AE1215" t="str">
            <v>Con precio</v>
          </cell>
        </row>
        <row r="1216">
          <cell r="B1216" t="str">
            <v>AO0005RO</v>
          </cell>
          <cell r="X1216" t="str">
            <v>Empaquetado</v>
          </cell>
          <cell r="AC1216">
            <v>0.12</v>
          </cell>
          <cell r="AD1216">
            <v>0.12</v>
          </cell>
          <cell r="AE1216" t="str">
            <v>Con precio</v>
          </cell>
        </row>
        <row r="1217">
          <cell r="B1217" t="str">
            <v>AO0005RO</v>
          </cell>
          <cell r="X1217" t="str">
            <v>Empaquetado</v>
          </cell>
          <cell r="AC1217">
            <v>4.5059009900990099E-2</v>
          </cell>
          <cell r="AD1217">
            <v>4.5059009900990099E-2</v>
          </cell>
          <cell r="AE1217" t="str">
            <v>Con precio</v>
          </cell>
        </row>
        <row r="1218">
          <cell r="B1218" t="str">
            <v>AO0020MX</v>
          </cell>
          <cell r="X1218" t="str">
            <v>Formulación</v>
          </cell>
          <cell r="AC1218">
            <v>1.3985871428571432E-2</v>
          </cell>
          <cell r="AD1218">
            <v>1.3985871428571432E-2</v>
          </cell>
          <cell r="AE1218" t="str">
            <v>Con precio</v>
          </cell>
        </row>
        <row r="1219">
          <cell r="B1219" t="str">
            <v>AO0020MX</v>
          </cell>
          <cell r="X1219" t="str">
            <v>Formulación</v>
          </cell>
          <cell r="AC1219">
            <v>0</v>
          </cell>
          <cell r="AD1219">
            <v>0</v>
          </cell>
          <cell r="AE1219" t="str">
            <v>Con precio</v>
          </cell>
        </row>
        <row r="1220">
          <cell r="B1220" t="str">
            <v>AO0020MX</v>
          </cell>
          <cell r="X1220" t="str">
            <v>Formulación</v>
          </cell>
          <cell r="AC1220">
            <v>0.14665070357142865</v>
          </cell>
          <cell r="AD1220">
            <v>0.14665070357142865</v>
          </cell>
          <cell r="AE1220" t="str">
            <v>Con precio</v>
          </cell>
        </row>
        <row r="1221">
          <cell r="B1221" t="str">
            <v>AO0020MX</v>
          </cell>
          <cell r="X1221" t="str">
            <v>Formulación</v>
          </cell>
          <cell r="AC1221">
            <v>1.888896428571429E-2</v>
          </cell>
          <cell r="AD1221">
            <v>1.888896428571429E-2</v>
          </cell>
          <cell r="AE1221" t="str">
            <v>Con precio</v>
          </cell>
        </row>
        <row r="1222">
          <cell r="B1222" t="str">
            <v>AO0020MX</v>
          </cell>
          <cell r="X1222" t="str">
            <v>Formulación</v>
          </cell>
          <cell r="AC1222">
            <v>2.3443750000000001E-3</v>
          </cell>
          <cell r="AD1222">
            <v>2.3443750000000001E-3</v>
          </cell>
          <cell r="AE1222" t="str">
            <v>Con precio</v>
          </cell>
        </row>
        <row r="1223">
          <cell r="B1223" t="str">
            <v>AO0020MX</v>
          </cell>
          <cell r="X1223" t="str">
            <v>Formulación</v>
          </cell>
          <cell r="AC1223">
            <v>6.1087500000000003E-2</v>
          </cell>
          <cell r="AD1223">
            <v>6.1087500000000003E-2</v>
          </cell>
          <cell r="AE1223" t="str">
            <v>Con precio</v>
          </cell>
        </row>
        <row r="1224">
          <cell r="B1224" t="str">
            <v>AO0020MX</v>
          </cell>
          <cell r="X1224" t="str">
            <v>Formulación</v>
          </cell>
          <cell r="AC1224">
            <v>8.0000000000000002E-3</v>
          </cell>
          <cell r="AD1224">
            <v>8.0000000000000002E-3</v>
          </cell>
          <cell r="AE1224" t="str">
            <v>Con precio</v>
          </cell>
        </row>
        <row r="1225">
          <cell r="B1225" t="str">
            <v>AO0020MX</v>
          </cell>
          <cell r="X1225" t="str">
            <v>Empaquetado</v>
          </cell>
          <cell r="AC1225">
            <v>4.8087272727272727E-3</v>
          </cell>
          <cell r="AD1225">
            <v>4.8087272727272727E-3</v>
          </cell>
          <cell r="AE1225" t="str">
            <v>Con precio</v>
          </cell>
        </row>
        <row r="1226">
          <cell r="B1226" t="str">
            <v>AO0020MX</v>
          </cell>
          <cell r="X1226" t="str">
            <v>Empaquetado</v>
          </cell>
          <cell r="AC1226">
            <v>1.4063636363636365E-2</v>
          </cell>
          <cell r="AD1226">
            <v>1.4063636363636365E-2</v>
          </cell>
          <cell r="AE1226" t="str">
            <v>Con precio</v>
          </cell>
        </row>
        <row r="1227">
          <cell r="B1227" t="str">
            <v>AO0020MX</v>
          </cell>
          <cell r="X1227" t="str">
            <v>Empaquetado</v>
          </cell>
          <cell r="AC1227">
            <v>8.9999999999999993E-3</v>
          </cell>
          <cell r="AD1227">
            <v>8.9999999999999993E-3</v>
          </cell>
          <cell r="AE1227" t="str">
            <v>Con precio</v>
          </cell>
        </row>
        <row r="1228">
          <cell r="B1228" t="str">
            <v>AO0020MX</v>
          </cell>
          <cell r="X1228" t="str">
            <v>Empaquetado</v>
          </cell>
          <cell r="AC1228">
            <v>4.3500000000000004E-2</v>
          </cell>
          <cell r="AD1228">
            <v>4.3500000000000004E-2</v>
          </cell>
          <cell r="AE1228" t="str">
            <v>Con precio</v>
          </cell>
        </row>
        <row r="1229">
          <cell r="B1229" t="str">
            <v>AO0020MX</v>
          </cell>
          <cell r="X1229" t="str">
            <v>Empaquetado</v>
          </cell>
          <cell r="AC1229">
            <v>4.5059009900990099E-2</v>
          </cell>
          <cell r="AD1229">
            <v>4.5059009900990099E-2</v>
          </cell>
          <cell r="AE1229" t="str">
            <v>Con precio</v>
          </cell>
        </row>
        <row r="1230">
          <cell r="B1230" t="str">
            <v>AO1000MX</v>
          </cell>
          <cell r="X1230" t="str">
            <v>Formulación</v>
          </cell>
          <cell r="AC1230">
            <v>1.3985871428571432E-2</v>
          </cell>
          <cell r="AD1230">
            <v>1.3985871428571432E-2</v>
          </cell>
          <cell r="AE1230" t="str">
            <v>Con precio</v>
          </cell>
        </row>
        <row r="1231">
          <cell r="B1231" t="str">
            <v>AO1000MX</v>
          </cell>
          <cell r="X1231" t="str">
            <v>Formulación</v>
          </cell>
          <cell r="AC1231">
            <v>0</v>
          </cell>
          <cell r="AD1231">
            <v>0</v>
          </cell>
          <cell r="AE1231" t="str">
            <v>Con precio</v>
          </cell>
        </row>
        <row r="1232">
          <cell r="B1232" t="str">
            <v>AO1000MX</v>
          </cell>
          <cell r="X1232" t="str">
            <v>Formulación</v>
          </cell>
          <cell r="AC1232">
            <v>0.14665070357142865</v>
          </cell>
          <cell r="AD1232">
            <v>0.14665070357142865</v>
          </cell>
          <cell r="AE1232" t="str">
            <v>Con precio</v>
          </cell>
        </row>
        <row r="1233">
          <cell r="B1233" t="str">
            <v>AO1000MX</v>
          </cell>
          <cell r="X1233" t="str">
            <v>Formulación</v>
          </cell>
          <cell r="AC1233">
            <v>1.888896428571429E-2</v>
          </cell>
          <cell r="AD1233">
            <v>1.888896428571429E-2</v>
          </cell>
          <cell r="AE1233" t="str">
            <v>Con precio</v>
          </cell>
        </row>
        <row r="1234">
          <cell r="B1234" t="str">
            <v>AO1000MX</v>
          </cell>
          <cell r="X1234" t="str">
            <v>Formulación</v>
          </cell>
          <cell r="AC1234">
            <v>2.3443750000000001E-3</v>
          </cell>
          <cell r="AD1234">
            <v>2.3443750000000001E-3</v>
          </cell>
          <cell r="AE1234" t="str">
            <v>Con precio</v>
          </cell>
        </row>
        <row r="1235">
          <cell r="B1235" t="str">
            <v>AO1000MX</v>
          </cell>
          <cell r="X1235" t="str">
            <v>Formulación</v>
          </cell>
          <cell r="AC1235">
            <v>6.1087500000000003E-2</v>
          </cell>
          <cell r="AD1235">
            <v>6.1087500000000003E-2</v>
          </cell>
          <cell r="AE1235" t="str">
            <v>Con precio</v>
          </cell>
        </row>
        <row r="1236">
          <cell r="B1236" t="str">
            <v>AO1000MX</v>
          </cell>
          <cell r="X1236" t="str">
            <v>Formulación</v>
          </cell>
          <cell r="AC1236">
            <v>8.0000000000000002E-3</v>
          </cell>
          <cell r="AD1236">
            <v>8.0000000000000002E-3</v>
          </cell>
          <cell r="AE1236" t="str">
            <v>Con precio</v>
          </cell>
        </row>
        <row r="1237">
          <cell r="B1237" t="str">
            <v>AO1000MX</v>
          </cell>
          <cell r="X1237" t="str">
            <v>Empaquetado</v>
          </cell>
          <cell r="AC1237">
            <v>7.8030719682893612E-5</v>
          </cell>
          <cell r="AD1237">
            <v>7.8030719682893612E-5</v>
          </cell>
          <cell r="AE1237" t="str">
            <v>Con precio</v>
          </cell>
        </row>
        <row r="1238">
          <cell r="B1238" t="str">
            <v>AO1000MX</v>
          </cell>
          <cell r="X1238" t="str">
            <v>Empaquetado</v>
          </cell>
          <cell r="AC1238">
            <v>2.0769230769230769E-2</v>
          </cell>
          <cell r="AD1238">
            <v>2.0769230769230769E-2</v>
          </cell>
          <cell r="AE1238" t="str">
            <v>Con precio</v>
          </cell>
        </row>
        <row r="1239">
          <cell r="B1239" t="str">
            <v>AO1000MX</v>
          </cell>
          <cell r="X1239" t="str">
            <v>Empaquetado</v>
          </cell>
          <cell r="AC1239">
            <v>3.4615384615384617E-2</v>
          </cell>
          <cell r="AD1239">
            <v>3.4615384615384617E-2</v>
          </cell>
          <cell r="AE1239" t="str">
            <v>Con precio</v>
          </cell>
        </row>
        <row r="1240">
          <cell r="B1240" t="str">
            <v>AO1000MX</v>
          </cell>
          <cell r="X1240" t="str">
            <v>Empaquetado</v>
          </cell>
          <cell r="AC1240">
            <v>1.2215384615384616E-2</v>
          </cell>
          <cell r="AD1240">
            <v>1.2215384615384616E-2</v>
          </cell>
          <cell r="AE1240" t="str">
            <v>Con precio</v>
          </cell>
        </row>
        <row r="1241">
          <cell r="B1241" t="str">
            <v>AQUOM0001</v>
          </cell>
          <cell r="X1241" t="str">
            <v>Formulación</v>
          </cell>
          <cell r="AC1241">
            <v>6.6960000000000006</v>
          </cell>
          <cell r="AD1241">
            <v>6.6960000000000006</v>
          </cell>
          <cell r="AE1241" t="str">
            <v>Con precio</v>
          </cell>
        </row>
        <row r="1242">
          <cell r="B1242" t="str">
            <v>AQUOM0001</v>
          </cell>
          <cell r="X1242" t="str">
            <v>Empaquetado</v>
          </cell>
          <cell r="AC1242">
            <v>0.11874999999999999</v>
          </cell>
          <cell r="AD1242">
            <v>0.11874999999999999</v>
          </cell>
          <cell r="AE1242" t="str">
            <v>Con precio</v>
          </cell>
        </row>
        <row r="1243">
          <cell r="B1243" t="str">
            <v>AQUOM0001</v>
          </cell>
          <cell r="X1243" t="str">
            <v>Empaquetado</v>
          </cell>
          <cell r="AC1243">
            <v>3.7799999999999997E-5</v>
          </cell>
          <cell r="AD1243">
            <v>3.7799999999999997E-5</v>
          </cell>
          <cell r="AE1243" t="str">
            <v>Con precio</v>
          </cell>
        </row>
        <row r="1244">
          <cell r="B1244" t="str">
            <v>AQUOM0001</v>
          </cell>
          <cell r="X1244" t="str">
            <v>Empaquetado</v>
          </cell>
          <cell r="AC1244">
            <v>9.6139901086956539E-2</v>
          </cell>
          <cell r="AD1244">
            <v>9.6139901086956539E-2</v>
          </cell>
          <cell r="AE1244" t="str">
            <v>Con precio</v>
          </cell>
        </row>
        <row r="1245">
          <cell r="B1245" t="str">
            <v>AQUOM0001</v>
          </cell>
          <cell r="X1245" t="str">
            <v>Empaquetado</v>
          </cell>
          <cell r="AC1245">
            <v>7.2492858895705531E-2</v>
          </cell>
          <cell r="AD1245">
            <v>7.2492858895705531E-2</v>
          </cell>
          <cell r="AE1245" t="str">
            <v>Con precio</v>
          </cell>
        </row>
        <row r="1246">
          <cell r="B1246" t="str">
            <v>AQUOM0001</v>
          </cell>
          <cell r="X1246" t="str">
            <v>Empaquetado</v>
          </cell>
          <cell r="AC1246">
            <v>2.9238300000000002E-2</v>
          </cell>
          <cell r="AD1246">
            <v>2.9238300000000002E-2</v>
          </cell>
          <cell r="AE1246" t="str">
            <v>Con precio</v>
          </cell>
        </row>
        <row r="1247">
          <cell r="B1247" t="str">
            <v>AQUOM0001</v>
          </cell>
          <cell r="X1247" t="str">
            <v>Empaquetado</v>
          </cell>
          <cell r="AC1247">
            <v>0.44322992424242419</v>
          </cell>
          <cell r="AD1247">
            <v>0.44322992424242419</v>
          </cell>
          <cell r="AE1247" t="str">
            <v>Con precio</v>
          </cell>
        </row>
        <row r="1248">
          <cell r="B1248" t="str">
            <v>AQUOM0005</v>
          </cell>
          <cell r="X1248" t="str">
            <v>Formulación</v>
          </cell>
          <cell r="AC1248">
            <v>6.6960000000000006</v>
          </cell>
          <cell r="AD1248">
            <v>6.6960000000000006</v>
          </cell>
          <cell r="AE1248" t="str">
            <v>Con precio</v>
          </cell>
        </row>
        <row r="1249">
          <cell r="B1249" t="str">
            <v>AQUOM0005</v>
          </cell>
          <cell r="X1249" t="str">
            <v>Empaquetado</v>
          </cell>
          <cell r="AC1249">
            <v>1.2991333333333337E-2</v>
          </cell>
          <cell r="AD1249">
            <v>1.2991333333333337E-2</v>
          </cell>
          <cell r="AE1249" t="str">
            <v>Con precio</v>
          </cell>
        </row>
        <row r="1250">
          <cell r="B1250" t="str">
            <v>AQUOM0005</v>
          </cell>
          <cell r="X1250" t="str">
            <v>Empaquetado</v>
          </cell>
          <cell r="AC1250">
            <v>2.5783333333333339E-2</v>
          </cell>
          <cell r="AD1250">
            <v>2.5783333333333339E-2</v>
          </cell>
          <cell r="AE1250" t="str">
            <v>Con precio</v>
          </cell>
        </row>
        <row r="1251">
          <cell r="B1251" t="str">
            <v>AQUOM0005</v>
          </cell>
          <cell r="X1251" t="str">
            <v>Empaquetado</v>
          </cell>
          <cell r="AC1251">
            <v>2.217248641304348E-2</v>
          </cell>
          <cell r="AD1251">
            <v>2.217248641304348E-2</v>
          </cell>
          <cell r="AE1251" t="str">
            <v>Con precio</v>
          </cell>
        </row>
        <row r="1252">
          <cell r="B1252" t="str">
            <v>AQUOM0005</v>
          </cell>
          <cell r="X1252" t="str">
            <v>Empaquetado</v>
          </cell>
          <cell r="AC1252">
            <v>0.17399999999999999</v>
          </cell>
          <cell r="AD1252">
            <v>0.17399999999999999</v>
          </cell>
          <cell r="AE1252" t="str">
            <v>Con precio</v>
          </cell>
        </row>
        <row r="1253">
          <cell r="B1253" t="str">
            <v>AQUOM0005</v>
          </cell>
          <cell r="X1253" t="str">
            <v>Empaquetado</v>
          </cell>
          <cell r="AC1253">
            <v>5.7799999999999997E-2</v>
          </cell>
          <cell r="AD1253">
            <v>5.7799999999999997E-2</v>
          </cell>
          <cell r="AE1253" t="str">
            <v>Con precio</v>
          </cell>
        </row>
        <row r="1254">
          <cell r="B1254" t="str">
            <v>AQUOM0005</v>
          </cell>
          <cell r="X1254" t="str">
            <v>Empaquetado</v>
          </cell>
          <cell r="AC1254">
            <v>3.6950017630465445E-2</v>
          </cell>
          <cell r="AD1254">
            <v>3.6950017630465445E-2</v>
          </cell>
          <cell r="AE1254" t="str">
            <v>Con precio</v>
          </cell>
        </row>
        <row r="1255">
          <cell r="B1255" t="str">
            <v>AQUOM000AZ</v>
          </cell>
          <cell r="X1255" t="str">
            <v>Formulación</v>
          </cell>
          <cell r="AC1255">
            <v>6.6960000000000006</v>
          </cell>
          <cell r="AD1255">
            <v>6.6960000000000006</v>
          </cell>
          <cell r="AE1255" t="str">
            <v>Con precio</v>
          </cell>
        </row>
        <row r="1256">
          <cell r="B1256" t="str">
            <v>AQUOM0020</v>
          </cell>
          <cell r="X1256" t="str">
            <v>Formulación</v>
          </cell>
          <cell r="AC1256">
            <v>6.6960000000000006</v>
          </cell>
          <cell r="AD1256">
            <v>6.6960000000000006</v>
          </cell>
          <cell r="AE1256" t="str">
            <v>Con precio</v>
          </cell>
        </row>
        <row r="1257">
          <cell r="B1257" t="str">
            <v>AQUOM0020</v>
          </cell>
          <cell r="X1257" t="str">
            <v>Empaquetado</v>
          </cell>
          <cell r="AC1257">
            <v>4.6853999999999993E-3</v>
          </cell>
          <cell r="AD1257">
            <v>4.6853999999999993E-3</v>
          </cell>
          <cell r="AE1257" t="str">
            <v>Con precio</v>
          </cell>
        </row>
        <row r="1258">
          <cell r="B1258" t="str">
            <v>AQUOM0020</v>
          </cell>
          <cell r="X1258" t="str">
            <v>Empaquetado</v>
          </cell>
          <cell r="AC1258">
            <v>2.41332E-2</v>
          </cell>
          <cell r="AD1258">
            <v>2.41332E-2</v>
          </cell>
          <cell r="AE1258" t="str">
            <v>Con precio</v>
          </cell>
        </row>
        <row r="1259">
          <cell r="B1259" t="str">
            <v>AQUOM0020</v>
          </cell>
          <cell r="X1259" t="str">
            <v>Empaquetado</v>
          </cell>
          <cell r="AC1259">
            <v>4.4344972826086959E-3</v>
          </cell>
          <cell r="AD1259">
            <v>4.4344972826086959E-3</v>
          </cell>
          <cell r="AE1259" t="str">
            <v>Con precio</v>
          </cell>
        </row>
        <row r="1260">
          <cell r="B1260" t="str">
            <v>AQUOM0020</v>
          </cell>
          <cell r="X1260" t="str">
            <v>Empaquetado</v>
          </cell>
          <cell r="AC1260">
            <v>0.18266505681818179</v>
          </cell>
          <cell r="AD1260">
            <v>0.18266505681818179</v>
          </cell>
          <cell r="AE1260" t="str">
            <v>Con precio</v>
          </cell>
        </row>
        <row r="1261">
          <cell r="B1261" t="str">
            <v>AQUOM0020</v>
          </cell>
          <cell r="X1261" t="str">
            <v>Empaquetado</v>
          </cell>
          <cell r="AC1261">
            <v>2.4035031847133761E-2</v>
          </cell>
          <cell r="AD1261">
            <v>2.4035031847133761E-2</v>
          </cell>
          <cell r="AE1261" t="str">
            <v>Con precio</v>
          </cell>
        </row>
        <row r="1262">
          <cell r="B1262" t="str">
            <v>AQUOMAR0005SA</v>
          </cell>
          <cell r="X1262" t="str">
            <v>Formulación</v>
          </cell>
          <cell r="AC1262">
            <v>7.7499999999999999E-3</v>
          </cell>
          <cell r="AD1262">
            <v>7.7499999999999999E-3</v>
          </cell>
          <cell r="AE1262" t="str">
            <v>Con precio</v>
          </cell>
        </row>
        <row r="1263">
          <cell r="B1263" t="str">
            <v>AQUOMAR0005SA</v>
          </cell>
          <cell r="X1263" t="str">
            <v>Formulación</v>
          </cell>
          <cell r="AC1263">
            <v>0.64740199999999992</v>
          </cell>
          <cell r="AD1263">
            <v>0.58728610000000003</v>
          </cell>
          <cell r="AE1263" t="str">
            <v>Con precio</v>
          </cell>
        </row>
        <row r="1264">
          <cell r="B1264" t="str">
            <v>AQUOMAR0005SA</v>
          </cell>
          <cell r="X1264" t="str">
            <v>Formulación</v>
          </cell>
          <cell r="AC1264">
            <v>0.35224</v>
          </cell>
          <cell r="AD1264">
            <v>0.35224</v>
          </cell>
          <cell r="AE1264" t="str">
            <v>Con precio</v>
          </cell>
        </row>
        <row r="1265">
          <cell r="B1265" t="str">
            <v>AQUOMAR0005SA</v>
          </cell>
          <cell r="X1265" t="str">
            <v>Formulación</v>
          </cell>
          <cell r="AC1265">
            <v>6.8440000000000001E-2</v>
          </cell>
          <cell r="AD1265">
            <v>6.8440000000000001E-2</v>
          </cell>
          <cell r="AE1265" t="str">
            <v>Con precio</v>
          </cell>
        </row>
        <row r="1266">
          <cell r="B1266" t="str">
            <v>AQUOMAR0005SA</v>
          </cell>
          <cell r="X1266" t="str">
            <v>Formulación</v>
          </cell>
          <cell r="AC1266">
            <v>0.65016000000000007</v>
          </cell>
          <cell r="AD1266">
            <v>0.65016000000000007</v>
          </cell>
          <cell r="AE1266" t="str">
            <v>Con precio</v>
          </cell>
        </row>
        <row r="1267">
          <cell r="B1267" t="str">
            <v>AQUOMAR0005SA</v>
          </cell>
          <cell r="X1267" t="str">
            <v>Formulación</v>
          </cell>
          <cell r="AC1267">
            <v>6.9599999999999995E-2</v>
          </cell>
          <cell r="AD1267">
            <v>6.082499999999999E-2</v>
          </cell>
          <cell r="AE1267" t="str">
            <v>Con precio</v>
          </cell>
        </row>
        <row r="1268">
          <cell r="B1268" t="str">
            <v>AQUOMAR0005SA</v>
          </cell>
          <cell r="X1268" t="str">
            <v>Formulación</v>
          </cell>
          <cell r="AC1268">
            <v>0.24751999999999999</v>
          </cell>
          <cell r="AD1268">
            <v>0.15289800000000001</v>
          </cell>
          <cell r="AE1268" t="str">
            <v>Con precio</v>
          </cell>
        </row>
        <row r="1269">
          <cell r="B1269" t="str">
            <v>AQUOMAR0005SA</v>
          </cell>
          <cell r="X1269" t="str">
            <v>Empaquetado</v>
          </cell>
          <cell r="AC1269">
            <v>1.2991333333333337E-2</v>
          </cell>
          <cell r="AD1269">
            <v>1.2991333333333337E-2</v>
          </cell>
          <cell r="AE1269" t="str">
            <v>Con precio</v>
          </cell>
        </row>
        <row r="1270">
          <cell r="B1270" t="str">
            <v>AQUOMAR0005SA</v>
          </cell>
          <cell r="X1270" t="str">
            <v>Empaquetado</v>
          </cell>
          <cell r="AC1270">
            <v>2.5783333333333339E-2</v>
          </cell>
          <cell r="AD1270">
            <v>2.5783333333333339E-2</v>
          </cell>
          <cell r="AE1270" t="str">
            <v>Con precio</v>
          </cell>
        </row>
        <row r="1271">
          <cell r="B1271" t="str">
            <v>AQUOMAR0005SA</v>
          </cell>
          <cell r="X1271" t="str">
            <v>Empaquetado</v>
          </cell>
          <cell r="AC1271">
            <v>5.7799999999999997E-2</v>
          </cell>
          <cell r="AD1271">
            <v>5.7799999999999997E-2</v>
          </cell>
          <cell r="AE1271" t="str">
            <v>Con precio</v>
          </cell>
        </row>
        <row r="1272">
          <cell r="B1272" t="str">
            <v>AQUOMAR0005SA</v>
          </cell>
          <cell r="X1272" t="str">
            <v>Empaquetado</v>
          </cell>
          <cell r="AC1272">
            <v>2.217248641304348E-2</v>
          </cell>
          <cell r="AD1272">
            <v>2.217248641304348E-2</v>
          </cell>
          <cell r="AE1272" t="str">
            <v>Con precio</v>
          </cell>
        </row>
        <row r="1273">
          <cell r="B1273" t="str">
            <v>AQUOMAR0005SA</v>
          </cell>
          <cell r="X1273" t="str">
            <v>Empaquetado</v>
          </cell>
          <cell r="AC1273">
            <v>0.17399999999999999</v>
          </cell>
          <cell r="AD1273">
            <v>0.17399999999999999</v>
          </cell>
          <cell r="AE1273" t="str">
            <v>Con precio</v>
          </cell>
        </row>
        <row r="1274">
          <cell r="B1274" t="str">
            <v>AQUOMAR0005SA</v>
          </cell>
          <cell r="X1274" t="str">
            <v>Empaquetado</v>
          </cell>
          <cell r="AC1274">
            <v>3.6950017630465445E-2</v>
          </cell>
          <cell r="AD1274">
            <v>3.6950017630465445E-2</v>
          </cell>
          <cell r="AE1274" t="str">
            <v>Con precio</v>
          </cell>
        </row>
        <row r="1275">
          <cell r="B1275" t="str">
            <v>AQUOMB0001EC</v>
          </cell>
          <cell r="X1275" t="str">
            <v>Formulación</v>
          </cell>
          <cell r="AC1275">
            <v>7.7499999999999999E-3</v>
          </cell>
          <cell r="AD1275">
            <v>7.7499999999999999E-3</v>
          </cell>
          <cell r="AE1275" t="str">
            <v>Con precio</v>
          </cell>
        </row>
        <row r="1276">
          <cell r="B1276" t="str">
            <v>AQUOMB0001EC</v>
          </cell>
          <cell r="X1276" t="str">
            <v>Formulación</v>
          </cell>
          <cell r="AC1276">
            <v>0.40531399999999995</v>
          </cell>
          <cell r="AD1276">
            <v>0.3676777</v>
          </cell>
          <cell r="AE1276" t="str">
            <v>Con precio</v>
          </cell>
        </row>
        <row r="1277">
          <cell r="B1277" t="str">
            <v>AQUOMB0001EC</v>
          </cell>
          <cell r="X1277" t="str">
            <v>Formulación</v>
          </cell>
          <cell r="AC1277">
            <v>0.9546</v>
          </cell>
          <cell r="AD1277">
            <v>0.9546</v>
          </cell>
          <cell r="AE1277" t="str">
            <v>Con precio</v>
          </cell>
        </row>
        <row r="1278">
          <cell r="B1278" t="str">
            <v>AQUOMB0001EC</v>
          </cell>
          <cell r="X1278" t="str">
            <v>Formulación</v>
          </cell>
          <cell r="AC1278">
            <v>4.3659999999999997E-2</v>
          </cell>
          <cell r="AD1278">
            <v>4.3659999999999997E-2</v>
          </cell>
          <cell r="AE1278" t="str">
            <v>Con precio</v>
          </cell>
        </row>
        <row r="1279">
          <cell r="B1279" t="str">
            <v>AQUOMB0001EC</v>
          </cell>
          <cell r="X1279" t="str">
            <v>Formulación</v>
          </cell>
          <cell r="AC1279">
            <v>6.9599999999999995E-2</v>
          </cell>
          <cell r="AD1279">
            <v>6.082499999999999E-2</v>
          </cell>
          <cell r="AE1279" t="str">
            <v>Con precio</v>
          </cell>
        </row>
        <row r="1280">
          <cell r="B1280" t="str">
            <v>AQUOMB0001EC</v>
          </cell>
          <cell r="X1280" t="str">
            <v>Formulación</v>
          </cell>
          <cell r="AC1280">
            <v>0.51800000000000002</v>
          </cell>
          <cell r="AD1280">
            <v>0.51800000000000002</v>
          </cell>
          <cell r="AE1280" t="str">
            <v>Con precio</v>
          </cell>
        </row>
        <row r="1281">
          <cell r="B1281" t="str">
            <v>AQUOMB0001EC</v>
          </cell>
          <cell r="X1281" t="str">
            <v>Formulación</v>
          </cell>
          <cell r="AC1281">
            <v>0.36399999999999999</v>
          </cell>
          <cell r="AD1281">
            <v>0.22484999999999999</v>
          </cell>
          <cell r="AE1281" t="str">
            <v>Con precio</v>
          </cell>
        </row>
        <row r="1282">
          <cell r="B1282" t="str">
            <v>AQUOMB0001EC</v>
          </cell>
          <cell r="X1282" t="str">
            <v>Empaquetado</v>
          </cell>
          <cell r="AC1282">
            <v>3.0303030303030299E-5</v>
          </cell>
          <cell r="AD1282">
            <v>3.0303030303030299E-5</v>
          </cell>
          <cell r="AE1282" t="str">
            <v>Con precio</v>
          </cell>
        </row>
        <row r="1283">
          <cell r="B1283" t="str">
            <v>AQUOMB0001EC</v>
          </cell>
          <cell r="X1283" t="str">
            <v>Empaquetado</v>
          </cell>
          <cell r="AC1283">
            <v>2.3439393939393937E-2</v>
          </cell>
          <cell r="AD1283">
            <v>2.3439393939393937E-2</v>
          </cell>
          <cell r="AE1283" t="str">
            <v>Con precio</v>
          </cell>
        </row>
        <row r="1284">
          <cell r="B1284" t="str">
            <v>AQUOMB0001EC</v>
          </cell>
          <cell r="X1284" t="str">
            <v>Empaquetado</v>
          </cell>
          <cell r="AC1284">
            <v>7.1917518745739595E-2</v>
          </cell>
          <cell r="AD1284">
            <v>7.1917518745739595E-2</v>
          </cell>
          <cell r="AE1284" t="str">
            <v>Con precio</v>
          </cell>
        </row>
        <row r="1285">
          <cell r="B1285" t="str">
            <v>AQUOMB0001EC</v>
          </cell>
          <cell r="X1285" t="str">
            <v>Empaquetado</v>
          </cell>
          <cell r="AC1285">
            <v>0.11874999999999999</v>
          </cell>
          <cell r="AD1285">
            <v>0.11874999999999999</v>
          </cell>
          <cell r="AE1285" t="str">
            <v>Con precio</v>
          </cell>
        </row>
        <row r="1286">
          <cell r="B1286" t="str">
            <v>AQUOMB0001EC</v>
          </cell>
          <cell r="X1286" t="str">
            <v>Empaquetado</v>
          </cell>
          <cell r="AC1286">
            <v>9.6080774456521717E-2</v>
          </cell>
          <cell r="AD1286">
            <v>9.6080774456521717E-2</v>
          </cell>
          <cell r="AE1286" t="str">
            <v>Con precio</v>
          </cell>
        </row>
        <row r="1287">
          <cell r="B1287" t="str">
            <v>AQUOMB0001EC</v>
          </cell>
          <cell r="X1287" t="str">
            <v>Empaquetado</v>
          </cell>
          <cell r="AC1287">
            <v>0.59068001033057849</v>
          </cell>
          <cell r="AD1287">
            <v>0.59068001033057849</v>
          </cell>
          <cell r="AE1287" t="str">
            <v>Con precio</v>
          </cell>
        </row>
        <row r="1288">
          <cell r="B1288" t="str">
            <v>AVAN0001</v>
          </cell>
          <cell r="X1288" t="str">
            <v>Formulación</v>
          </cell>
          <cell r="AC1288">
            <v>1.8339999999999999E-2</v>
          </cell>
          <cell r="AD1288">
            <v>1.6637000000000002E-2</v>
          </cell>
          <cell r="AE1288" t="str">
            <v>Con precio</v>
          </cell>
        </row>
        <row r="1289">
          <cell r="B1289" t="str">
            <v>AVAN0001</v>
          </cell>
          <cell r="X1289" t="str">
            <v>Formulación</v>
          </cell>
          <cell r="AC1289">
            <v>5.9295E-2</v>
          </cell>
          <cell r="AD1289">
            <v>5.9295E-2</v>
          </cell>
          <cell r="AE1289" t="str">
            <v>Con precio</v>
          </cell>
        </row>
        <row r="1290">
          <cell r="B1290" t="str">
            <v>AVAN0001</v>
          </cell>
          <cell r="X1290" t="str">
            <v>Formulación</v>
          </cell>
          <cell r="AC1290">
            <v>0.09</v>
          </cell>
          <cell r="AD1290">
            <v>8.1250000000000003E-2</v>
          </cell>
          <cell r="AE1290" t="str">
            <v>Con precio</v>
          </cell>
        </row>
        <row r="1291">
          <cell r="B1291" t="str">
            <v>AVAN0001</v>
          </cell>
          <cell r="X1291" t="str">
            <v>Formulación</v>
          </cell>
          <cell r="AC1291">
            <v>5.6400000000000006E-2</v>
          </cell>
          <cell r="AD1291">
            <v>4.5983999999999997E-2</v>
          </cell>
          <cell r="AE1291" t="str">
            <v>Con precio</v>
          </cell>
        </row>
        <row r="1292">
          <cell r="B1292" t="str">
            <v>AVAN0001</v>
          </cell>
          <cell r="X1292" t="str">
            <v>Formulación</v>
          </cell>
          <cell r="AC1292">
            <v>7.3200000000000001E-3</v>
          </cell>
          <cell r="AD1292">
            <v>7.3200000000000001E-3</v>
          </cell>
          <cell r="AE1292" t="str">
            <v>Con precio</v>
          </cell>
        </row>
        <row r="1293">
          <cell r="B1293" t="str">
            <v>AVAN0001</v>
          </cell>
          <cell r="X1293" t="str">
            <v>Formulación</v>
          </cell>
          <cell r="AC1293">
            <v>0.10973999999999999</v>
          </cell>
          <cell r="AD1293">
            <v>0.10973999999999999</v>
          </cell>
          <cell r="AE1293" t="str">
            <v>Con precio</v>
          </cell>
        </row>
        <row r="1294">
          <cell r="B1294" t="str">
            <v>AVAN0001</v>
          </cell>
          <cell r="X1294" t="str">
            <v>Formulación</v>
          </cell>
          <cell r="AC1294">
            <v>0.70400000000000007</v>
          </cell>
          <cell r="AD1294">
            <v>0.70400000000000007</v>
          </cell>
          <cell r="AE1294" t="str">
            <v>Con precio</v>
          </cell>
        </row>
        <row r="1295">
          <cell r="B1295" t="str">
            <v>AVAN0001</v>
          </cell>
          <cell r="X1295" t="str">
            <v>Formulación</v>
          </cell>
          <cell r="AC1295">
            <v>4.1279999999999997E-2</v>
          </cell>
          <cell r="AD1295">
            <v>3.0864000000000003E-2</v>
          </cell>
          <cell r="AE1295" t="str">
            <v>Con precio</v>
          </cell>
        </row>
        <row r="1296">
          <cell r="B1296" t="str">
            <v>AVAN0001</v>
          </cell>
          <cell r="X1296" t="str">
            <v>Formulación</v>
          </cell>
          <cell r="AC1296">
            <v>7.6950000000000005E-2</v>
          </cell>
          <cell r="AD1296">
            <v>7.0740000000000011E-2</v>
          </cell>
          <cell r="AE1296" t="str">
            <v>Con precio</v>
          </cell>
        </row>
        <row r="1297">
          <cell r="B1297" t="str">
            <v>AVAN0001</v>
          </cell>
          <cell r="X1297" t="str">
            <v>Formulación</v>
          </cell>
          <cell r="AC1297">
            <v>9.672E-2</v>
          </cell>
          <cell r="AD1297">
            <v>8.8902666666666672E-2</v>
          </cell>
          <cell r="AE1297" t="str">
            <v>Con precio</v>
          </cell>
        </row>
        <row r="1298">
          <cell r="B1298" t="str">
            <v>AVAN0001</v>
          </cell>
          <cell r="X1298" t="str">
            <v>Formulación</v>
          </cell>
          <cell r="AC1298">
            <v>0.26230999999999999</v>
          </cell>
          <cell r="AD1298">
            <v>0.18219142857142862</v>
          </cell>
          <cell r="AE1298" t="str">
            <v>Con precio</v>
          </cell>
        </row>
        <row r="1299">
          <cell r="B1299" t="str">
            <v>AVAN0001</v>
          </cell>
          <cell r="X1299" t="str">
            <v>Formulación</v>
          </cell>
          <cell r="AC1299">
            <v>0.55650000000000011</v>
          </cell>
          <cell r="AD1299">
            <v>0.50217500000000004</v>
          </cell>
          <cell r="AE1299" t="str">
            <v>Con precio</v>
          </cell>
        </row>
        <row r="1300">
          <cell r="B1300" t="str">
            <v>AVAN0001</v>
          </cell>
          <cell r="X1300" t="str">
            <v>Empaquetado</v>
          </cell>
          <cell r="AC1300">
            <v>3.0303030303030299E-5</v>
          </cell>
          <cell r="AD1300">
            <v>3.0303030303030299E-5</v>
          </cell>
          <cell r="AE1300" t="str">
            <v>Con precio</v>
          </cell>
        </row>
        <row r="1301">
          <cell r="B1301" t="str">
            <v>AVAN0001</v>
          </cell>
          <cell r="X1301" t="str">
            <v>Empaquetado</v>
          </cell>
          <cell r="AC1301">
            <v>2.3439393939393937E-2</v>
          </cell>
          <cell r="AD1301">
            <v>2.3439393939393937E-2</v>
          </cell>
          <cell r="AE1301" t="str">
            <v>Con precio</v>
          </cell>
        </row>
        <row r="1302">
          <cell r="B1302" t="str">
            <v>AVAN0001</v>
          </cell>
          <cell r="X1302" t="str">
            <v>Empaquetado</v>
          </cell>
          <cell r="AC1302">
            <v>7.1917518745739595E-2</v>
          </cell>
          <cell r="AD1302">
            <v>7.1917518745739595E-2</v>
          </cell>
          <cell r="AE1302" t="str">
            <v>Con precio</v>
          </cell>
        </row>
        <row r="1303">
          <cell r="B1303" t="str">
            <v>AVAN0001</v>
          </cell>
          <cell r="X1303" t="str">
            <v>Empaquetado</v>
          </cell>
          <cell r="AC1303">
            <v>0.44322992424242419</v>
          </cell>
          <cell r="AD1303">
            <v>0.44322992424242419</v>
          </cell>
          <cell r="AE1303" t="str">
            <v>Con precio</v>
          </cell>
        </row>
        <row r="1304">
          <cell r="B1304" t="str">
            <v>AVAN0001</v>
          </cell>
          <cell r="X1304" t="str">
            <v>Empaquetado</v>
          </cell>
          <cell r="AC1304">
            <v>0.45124999999999998</v>
          </cell>
          <cell r="AD1304">
            <v>0.32061666666666666</v>
          </cell>
          <cell r="AE1304" t="str">
            <v>Con precio</v>
          </cell>
        </row>
        <row r="1305">
          <cell r="B1305" t="str">
            <v>AVAN0001</v>
          </cell>
          <cell r="X1305" t="str">
            <v>Empaquetado</v>
          </cell>
          <cell r="AC1305">
            <v>9.6080774456521717E-2</v>
          </cell>
          <cell r="AD1305">
            <v>9.6080774456521717E-2</v>
          </cell>
          <cell r="AE1305" t="str">
            <v>Con precio</v>
          </cell>
        </row>
        <row r="1306">
          <cell r="B1306" t="str">
            <v>AVAN0001EG</v>
          </cell>
          <cell r="X1306" t="str">
            <v>Formulación</v>
          </cell>
          <cell r="AC1306">
            <v>1.8339999999999999E-2</v>
          </cell>
          <cell r="AD1306">
            <v>1.6637000000000002E-2</v>
          </cell>
          <cell r="AE1306" t="str">
            <v>Con precio</v>
          </cell>
        </row>
        <row r="1307">
          <cell r="B1307" t="str">
            <v>AVAN0001EG</v>
          </cell>
          <cell r="X1307" t="str">
            <v>Formulación</v>
          </cell>
          <cell r="AC1307">
            <v>5.9295E-2</v>
          </cell>
          <cell r="AD1307">
            <v>5.9295E-2</v>
          </cell>
          <cell r="AE1307" t="str">
            <v>Con precio</v>
          </cell>
        </row>
        <row r="1308">
          <cell r="B1308" t="str">
            <v>AVAN0001EG</v>
          </cell>
          <cell r="X1308" t="str">
            <v>Formulación</v>
          </cell>
          <cell r="AC1308">
            <v>0.09</v>
          </cell>
          <cell r="AD1308">
            <v>8.1250000000000003E-2</v>
          </cell>
          <cell r="AE1308" t="str">
            <v>Con precio</v>
          </cell>
        </row>
        <row r="1309">
          <cell r="B1309" t="str">
            <v>AVAN0001EG</v>
          </cell>
          <cell r="X1309" t="str">
            <v>Formulación</v>
          </cell>
          <cell r="AC1309">
            <v>5.6400000000000006E-2</v>
          </cell>
          <cell r="AD1309">
            <v>4.5983999999999997E-2</v>
          </cell>
          <cell r="AE1309" t="str">
            <v>Con precio</v>
          </cell>
        </row>
        <row r="1310">
          <cell r="B1310" t="str">
            <v>AVAN0001EG</v>
          </cell>
          <cell r="X1310" t="str">
            <v>Formulación</v>
          </cell>
          <cell r="AC1310">
            <v>7.3200000000000001E-3</v>
          </cell>
          <cell r="AD1310">
            <v>7.3200000000000001E-3</v>
          </cell>
          <cell r="AE1310" t="str">
            <v>Con precio</v>
          </cell>
        </row>
        <row r="1311">
          <cell r="B1311" t="str">
            <v>AVAN0001EG</v>
          </cell>
          <cell r="X1311" t="str">
            <v>Formulación</v>
          </cell>
          <cell r="AC1311">
            <v>0.10973999999999999</v>
          </cell>
          <cell r="AD1311">
            <v>0.10973999999999999</v>
          </cell>
          <cell r="AE1311" t="str">
            <v>Con precio</v>
          </cell>
        </row>
        <row r="1312">
          <cell r="B1312" t="str">
            <v>AVAN0001EG</v>
          </cell>
          <cell r="X1312" t="str">
            <v>Formulación</v>
          </cell>
          <cell r="AC1312">
            <v>0.70400000000000007</v>
          </cell>
          <cell r="AD1312">
            <v>0.70400000000000007</v>
          </cell>
          <cell r="AE1312" t="str">
            <v>Con precio</v>
          </cell>
        </row>
        <row r="1313">
          <cell r="B1313" t="str">
            <v>AVAN0001EG</v>
          </cell>
          <cell r="X1313" t="str">
            <v>Formulación</v>
          </cell>
          <cell r="AC1313">
            <v>4.1279999999999997E-2</v>
          </cell>
          <cell r="AD1313">
            <v>3.0864000000000003E-2</v>
          </cell>
          <cell r="AE1313" t="str">
            <v>Con precio</v>
          </cell>
        </row>
        <row r="1314">
          <cell r="B1314" t="str">
            <v>AVAN0001EG</v>
          </cell>
          <cell r="X1314" t="str">
            <v>Formulación</v>
          </cell>
          <cell r="AC1314">
            <v>7.6950000000000005E-2</v>
          </cell>
          <cell r="AD1314">
            <v>7.0740000000000011E-2</v>
          </cell>
          <cell r="AE1314" t="str">
            <v>Con precio</v>
          </cell>
        </row>
        <row r="1315">
          <cell r="B1315" t="str">
            <v>AVAN0001EG</v>
          </cell>
          <cell r="X1315" t="str">
            <v>Formulación</v>
          </cell>
          <cell r="AC1315">
            <v>9.672E-2</v>
          </cell>
          <cell r="AD1315">
            <v>8.8902666666666672E-2</v>
          </cell>
          <cell r="AE1315" t="str">
            <v>Con precio</v>
          </cell>
        </row>
        <row r="1316">
          <cell r="B1316" t="str">
            <v>AVAN0001EG</v>
          </cell>
          <cell r="X1316" t="str">
            <v>Formulación</v>
          </cell>
          <cell r="AC1316">
            <v>0.26230999999999999</v>
          </cell>
          <cell r="AD1316">
            <v>0.18219142857142862</v>
          </cell>
          <cell r="AE1316" t="str">
            <v>Con precio</v>
          </cell>
        </row>
        <row r="1317">
          <cell r="B1317" t="str">
            <v>AVAN0001EG</v>
          </cell>
          <cell r="X1317" t="str">
            <v>Formulación</v>
          </cell>
          <cell r="AC1317">
            <v>0.55650000000000011</v>
          </cell>
          <cell r="AD1317">
            <v>0.50217500000000004</v>
          </cell>
          <cell r="AE1317" t="str">
            <v>Con precio</v>
          </cell>
        </row>
        <row r="1318">
          <cell r="B1318" t="str">
            <v>AVAN0001EG</v>
          </cell>
          <cell r="X1318" t="str">
            <v>Empaquetado</v>
          </cell>
          <cell r="AC1318">
            <v>3.0303030303030299E-5</v>
          </cell>
          <cell r="AD1318">
            <v>3.0303030303030299E-5</v>
          </cell>
          <cell r="AE1318" t="str">
            <v>Con precio</v>
          </cell>
        </row>
        <row r="1319">
          <cell r="B1319" t="str">
            <v>AVAN0001EG</v>
          </cell>
          <cell r="X1319" t="str">
            <v>Empaquetado</v>
          </cell>
          <cell r="AC1319">
            <v>2.3439393939393937E-2</v>
          </cell>
          <cell r="AD1319">
            <v>2.3439393939393937E-2</v>
          </cell>
          <cell r="AE1319" t="str">
            <v>Con precio</v>
          </cell>
        </row>
        <row r="1320">
          <cell r="B1320" t="str">
            <v>AVAN0001EG</v>
          </cell>
          <cell r="X1320" t="str">
            <v>Empaquetado</v>
          </cell>
          <cell r="AC1320">
            <v>7.1917518745739595E-2</v>
          </cell>
          <cell r="AD1320">
            <v>7.1917518745739595E-2</v>
          </cell>
          <cell r="AE1320" t="str">
            <v>Con precio</v>
          </cell>
        </row>
        <row r="1321">
          <cell r="B1321" t="str">
            <v>AVAN0001EG</v>
          </cell>
          <cell r="X1321" t="str">
            <v>Empaquetado</v>
          </cell>
          <cell r="AC1321">
            <v>0.44322992424242419</v>
          </cell>
          <cell r="AD1321">
            <v>0.44322992424242419</v>
          </cell>
          <cell r="AE1321" t="str">
            <v>Con precio</v>
          </cell>
        </row>
        <row r="1322">
          <cell r="B1322" t="str">
            <v>AVAN0001EG</v>
          </cell>
          <cell r="X1322" t="str">
            <v>Empaquetado</v>
          </cell>
          <cell r="AC1322">
            <v>0.45124999999999998</v>
          </cell>
          <cell r="AD1322">
            <v>0.32061666666666666</v>
          </cell>
          <cell r="AE1322" t="str">
            <v>Con precio</v>
          </cell>
        </row>
        <row r="1323">
          <cell r="B1323" t="str">
            <v>AVAN0001EG</v>
          </cell>
          <cell r="X1323" t="str">
            <v>Empaquetado</v>
          </cell>
          <cell r="AC1323">
            <v>9.6080774456521717E-2</v>
          </cell>
          <cell r="AD1323">
            <v>9.6080774456521717E-2</v>
          </cell>
          <cell r="AE1323" t="str">
            <v>Con precio</v>
          </cell>
        </row>
        <row r="1324">
          <cell r="B1324" t="str">
            <v>AVAN0001RO</v>
          </cell>
          <cell r="X1324" t="str">
            <v>Formulación</v>
          </cell>
          <cell r="AC1324">
            <v>1.8339999999999999E-2</v>
          </cell>
          <cell r="AD1324">
            <v>1.6637000000000002E-2</v>
          </cell>
          <cell r="AE1324" t="str">
            <v>Con precio</v>
          </cell>
        </row>
        <row r="1325">
          <cell r="B1325" t="str">
            <v>AVAN0001RO</v>
          </cell>
          <cell r="X1325" t="str">
            <v>Formulación</v>
          </cell>
          <cell r="AC1325">
            <v>5.9295E-2</v>
          </cell>
          <cell r="AD1325">
            <v>5.9295E-2</v>
          </cell>
          <cell r="AE1325" t="str">
            <v>Con precio</v>
          </cell>
        </row>
        <row r="1326">
          <cell r="B1326" t="str">
            <v>AVAN0001RO</v>
          </cell>
          <cell r="X1326" t="str">
            <v>Formulación</v>
          </cell>
          <cell r="AC1326">
            <v>0.09</v>
          </cell>
          <cell r="AD1326">
            <v>8.1250000000000003E-2</v>
          </cell>
          <cell r="AE1326" t="str">
            <v>Con precio</v>
          </cell>
        </row>
        <row r="1327">
          <cell r="B1327" t="str">
            <v>AVAN0001RO</v>
          </cell>
          <cell r="X1327" t="str">
            <v>Formulación</v>
          </cell>
          <cell r="AC1327">
            <v>5.6400000000000006E-2</v>
          </cell>
          <cell r="AD1327">
            <v>4.5983999999999997E-2</v>
          </cell>
          <cell r="AE1327" t="str">
            <v>Con precio</v>
          </cell>
        </row>
        <row r="1328">
          <cell r="B1328" t="str">
            <v>AVAN0001RO</v>
          </cell>
          <cell r="X1328" t="str">
            <v>Formulación</v>
          </cell>
          <cell r="AC1328">
            <v>7.3200000000000001E-3</v>
          </cell>
          <cell r="AD1328">
            <v>7.3200000000000001E-3</v>
          </cell>
          <cell r="AE1328" t="str">
            <v>Con precio</v>
          </cell>
        </row>
        <row r="1329">
          <cell r="B1329" t="str">
            <v>AVAN0001RO</v>
          </cell>
          <cell r="X1329" t="str">
            <v>Formulación</v>
          </cell>
          <cell r="AC1329">
            <v>0.10973999999999999</v>
          </cell>
          <cell r="AD1329">
            <v>0.10973999999999999</v>
          </cell>
          <cell r="AE1329" t="str">
            <v>Con precio</v>
          </cell>
        </row>
        <row r="1330">
          <cell r="B1330" t="str">
            <v>AVAN0001RO</v>
          </cell>
          <cell r="X1330" t="str">
            <v>Formulación</v>
          </cell>
          <cell r="AC1330">
            <v>0.70400000000000007</v>
          </cell>
          <cell r="AD1330">
            <v>0.70400000000000007</v>
          </cell>
          <cell r="AE1330" t="str">
            <v>Con precio</v>
          </cell>
        </row>
        <row r="1331">
          <cell r="B1331" t="str">
            <v>AVAN0001RO</v>
          </cell>
          <cell r="X1331" t="str">
            <v>Formulación</v>
          </cell>
          <cell r="AC1331">
            <v>4.1279999999999997E-2</v>
          </cell>
          <cell r="AD1331">
            <v>3.0864000000000003E-2</v>
          </cell>
          <cell r="AE1331" t="str">
            <v>Con precio</v>
          </cell>
        </row>
        <row r="1332">
          <cell r="B1332" t="str">
            <v>AVAN0001RO</v>
          </cell>
          <cell r="X1332" t="str">
            <v>Formulación</v>
          </cell>
          <cell r="AC1332">
            <v>7.6950000000000005E-2</v>
          </cell>
          <cell r="AD1332">
            <v>7.0740000000000011E-2</v>
          </cell>
          <cell r="AE1332" t="str">
            <v>Con precio</v>
          </cell>
        </row>
        <row r="1333">
          <cell r="B1333" t="str">
            <v>AVAN0001RO</v>
          </cell>
          <cell r="X1333" t="str">
            <v>Formulación</v>
          </cell>
          <cell r="AC1333">
            <v>9.672E-2</v>
          </cell>
          <cell r="AD1333">
            <v>8.8902666666666672E-2</v>
          </cell>
          <cell r="AE1333" t="str">
            <v>Con precio</v>
          </cell>
        </row>
        <row r="1334">
          <cell r="B1334" t="str">
            <v>AVAN0001RO</v>
          </cell>
          <cell r="X1334" t="str">
            <v>Formulación</v>
          </cell>
          <cell r="AC1334">
            <v>0.26230999999999999</v>
          </cell>
          <cell r="AD1334">
            <v>0.18219142857142862</v>
          </cell>
          <cell r="AE1334" t="str">
            <v>Con precio</v>
          </cell>
        </row>
        <row r="1335">
          <cell r="B1335" t="str">
            <v>AVAN0001RO</v>
          </cell>
          <cell r="X1335" t="str">
            <v>Formulación</v>
          </cell>
          <cell r="AC1335">
            <v>0.55650000000000011</v>
          </cell>
          <cell r="AD1335">
            <v>0.50217500000000004</v>
          </cell>
          <cell r="AE1335" t="str">
            <v>Con precio</v>
          </cell>
        </row>
        <row r="1336">
          <cell r="B1336" t="str">
            <v>AVAN0001RO</v>
          </cell>
          <cell r="X1336" t="str">
            <v>Empaquetado</v>
          </cell>
          <cell r="AC1336">
            <v>3.0303030303030299E-5</v>
          </cell>
          <cell r="AD1336">
            <v>3.0303030303030299E-5</v>
          </cell>
          <cell r="AE1336" t="str">
            <v>Con precio</v>
          </cell>
        </row>
        <row r="1337">
          <cell r="B1337" t="str">
            <v>AVAN0001RO</v>
          </cell>
          <cell r="X1337" t="str">
            <v>Empaquetado</v>
          </cell>
          <cell r="AC1337">
            <v>2.3439393939393937E-2</v>
          </cell>
          <cell r="AD1337">
            <v>2.3439393939393937E-2</v>
          </cell>
          <cell r="AE1337" t="str">
            <v>Con precio</v>
          </cell>
        </row>
        <row r="1338">
          <cell r="B1338" t="str">
            <v>AVAN0001RO</v>
          </cell>
          <cell r="X1338" t="str">
            <v>Empaquetado</v>
          </cell>
          <cell r="AC1338">
            <v>7.1917518745739595E-2</v>
          </cell>
          <cell r="AD1338">
            <v>7.1917518745739595E-2</v>
          </cell>
          <cell r="AE1338" t="str">
            <v>Con precio</v>
          </cell>
        </row>
        <row r="1339">
          <cell r="B1339" t="str">
            <v>AVAN0001RO</v>
          </cell>
          <cell r="X1339" t="str">
            <v>Empaquetado</v>
          </cell>
          <cell r="AC1339">
            <v>0.44322992424242419</v>
          </cell>
          <cell r="AD1339">
            <v>0.44322992424242419</v>
          </cell>
          <cell r="AE1339" t="str">
            <v>Con precio</v>
          </cell>
        </row>
        <row r="1340">
          <cell r="B1340" t="str">
            <v>AVAN0001RO</v>
          </cell>
          <cell r="X1340" t="str">
            <v>Empaquetado</v>
          </cell>
          <cell r="AC1340">
            <v>0.45124999999999998</v>
          </cell>
          <cell r="AD1340">
            <v>0.32061666666666666</v>
          </cell>
          <cell r="AE1340" t="str">
            <v>Con precio</v>
          </cell>
        </row>
        <row r="1341">
          <cell r="B1341" t="str">
            <v>AVAN0001RO</v>
          </cell>
          <cell r="X1341" t="str">
            <v>Empaquetado</v>
          </cell>
          <cell r="AC1341">
            <v>9.6080774456521717E-2</v>
          </cell>
          <cell r="AD1341">
            <v>9.6080774456521717E-2</v>
          </cell>
          <cell r="AE1341" t="str">
            <v>Con precio</v>
          </cell>
        </row>
        <row r="1342">
          <cell r="B1342" t="str">
            <v>AVAN0001RS</v>
          </cell>
          <cell r="X1342" t="str">
            <v>Formulación</v>
          </cell>
          <cell r="AC1342">
            <v>1.8339999999999999E-2</v>
          </cell>
          <cell r="AD1342">
            <v>1.6637000000000002E-2</v>
          </cell>
          <cell r="AE1342" t="str">
            <v>Con precio</v>
          </cell>
        </row>
        <row r="1343">
          <cell r="B1343" t="str">
            <v>AVAN0001RS</v>
          </cell>
          <cell r="X1343" t="str">
            <v>Formulación</v>
          </cell>
          <cell r="AC1343">
            <v>5.9295E-2</v>
          </cell>
          <cell r="AD1343">
            <v>5.9295E-2</v>
          </cell>
          <cell r="AE1343" t="str">
            <v>Con precio</v>
          </cell>
        </row>
        <row r="1344">
          <cell r="B1344" t="str">
            <v>AVAN0001RS</v>
          </cell>
          <cell r="X1344" t="str">
            <v>Formulación</v>
          </cell>
          <cell r="AC1344">
            <v>0.09</v>
          </cell>
          <cell r="AD1344">
            <v>8.1250000000000003E-2</v>
          </cell>
          <cell r="AE1344" t="str">
            <v>Con precio</v>
          </cell>
        </row>
        <row r="1345">
          <cell r="B1345" t="str">
            <v>AVAN0001RS</v>
          </cell>
          <cell r="X1345" t="str">
            <v>Formulación</v>
          </cell>
          <cell r="AC1345">
            <v>5.6400000000000006E-2</v>
          </cell>
          <cell r="AD1345">
            <v>4.5983999999999997E-2</v>
          </cell>
          <cell r="AE1345" t="str">
            <v>Con precio</v>
          </cell>
        </row>
        <row r="1346">
          <cell r="B1346" t="str">
            <v>AVAN0001RS</v>
          </cell>
          <cell r="X1346" t="str">
            <v>Formulación</v>
          </cell>
          <cell r="AC1346">
            <v>7.3200000000000001E-3</v>
          </cell>
          <cell r="AD1346">
            <v>7.3200000000000001E-3</v>
          </cell>
          <cell r="AE1346" t="str">
            <v>Con precio</v>
          </cell>
        </row>
        <row r="1347">
          <cell r="B1347" t="str">
            <v>AVAN0001RS</v>
          </cell>
          <cell r="X1347" t="str">
            <v>Formulación</v>
          </cell>
          <cell r="AC1347">
            <v>0.10973999999999999</v>
          </cell>
          <cell r="AD1347">
            <v>0.10973999999999999</v>
          </cell>
          <cell r="AE1347" t="str">
            <v>Con precio</v>
          </cell>
        </row>
        <row r="1348">
          <cell r="B1348" t="str">
            <v>AVAN0001RS</v>
          </cell>
          <cell r="X1348" t="str">
            <v>Formulación</v>
          </cell>
          <cell r="AC1348">
            <v>0.70400000000000007</v>
          </cell>
          <cell r="AD1348">
            <v>0.70400000000000007</v>
          </cell>
          <cell r="AE1348" t="str">
            <v>Con precio</v>
          </cell>
        </row>
        <row r="1349">
          <cell r="B1349" t="str">
            <v>AVAN0001RS</v>
          </cell>
          <cell r="X1349" t="str">
            <v>Formulación</v>
          </cell>
          <cell r="AC1349">
            <v>4.1279999999999997E-2</v>
          </cell>
          <cell r="AD1349">
            <v>3.0864000000000003E-2</v>
          </cell>
          <cell r="AE1349" t="str">
            <v>Con precio</v>
          </cell>
        </row>
        <row r="1350">
          <cell r="B1350" t="str">
            <v>AVAN0001RS</v>
          </cell>
          <cell r="X1350" t="str">
            <v>Formulación</v>
          </cell>
          <cell r="AC1350">
            <v>7.6950000000000005E-2</v>
          </cell>
          <cell r="AD1350">
            <v>7.0740000000000011E-2</v>
          </cell>
          <cell r="AE1350" t="str">
            <v>Con precio</v>
          </cell>
        </row>
        <row r="1351">
          <cell r="B1351" t="str">
            <v>AVAN0001RS</v>
          </cell>
          <cell r="X1351" t="str">
            <v>Formulación</v>
          </cell>
          <cell r="AC1351">
            <v>9.672E-2</v>
          </cell>
          <cell r="AD1351">
            <v>8.8902666666666672E-2</v>
          </cell>
          <cell r="AE1351" t="str">
            <v>Con precio</v>
          </cell>
        </row>
        <row r="1352">
          <cell r="B1352" t="str">
            <v>AVAN0001RS</v>
          </cell>
          <cell r="X1352" t="str">
            <v>Formulación</v>
          </cell>
          <cell r="AC1352">
            <v>0.26230999999999999</v>
          </cell>
          <cell r="AD1352">
            <v>0.18219142857142862</v>
          </cell>
          <cell r="AE1352" t="str">
            <v>Con precio</v>
          </cell>
        </row>
        <row r="1353">
          <cell r="B1353" t="str">
            <v>AVAN0001RS</v>
          </cell>
          <cell r="X1353" t="str">
            <v>Formulación</v>
          </cell>
          <cell r="AC1353">
            <v>0.55650000000000011</v>
          </cell>
          <cell r="AD1353">
            <v>0.50217500000000004</v>
          </cell>
          <cell r="AE1353" t="str">
            <v>Con precio</v>
          </cell>
        </row>
        <row r="1354">
          <cell r="B1354" t="str">
            <v>AVAN0001RS</v>
          </cell>
          <cell r="X1354" t="str">
            <v>Empaquetado</v>
          </cell>
          <cell r="AC1354">
            <v>3.0303030303030299E-5</v>
          </cell>
          <cell r="AD1354">
            <v>3.0303030303030299E-5</v>
          </cell>
          <cell r="AE1354" t="str">
            <v>Con precio</v>
          </cell>
        </row>
        <row r="1355">
          <cell r="B1355" t="str">
            <v>AVAN0001RS</v>
          </cell>
          <cell r="X1355" t="str">
            <v>Empaquetado</v>
          </cell>
          <cell r="AC1355">
            <v>2.3439393939393937E-2</v>
          </cell>
          <cell r="AD1355">
            <v>2.3439393939393937E-2</v>
          </cell>
          <cell r="AE1355" t="str">
            <v>Con precio</v>
          </cell>
        </row>
        <row r="1356">
          <cell r="B1356" t="str">
            <v>AVAN0001RS</v>
          </cell>
          <cell r="X1356" t="str">
            <v>Empaquetado</v>
          </cell>
          <cell r="AC1356">
            <v>7.1917518745739595E-2</v>
          </cell>
          <cell r="AD1356">
            <v>7.1917518745739595E-2</v>
          </cell>
          <cell r="AE1356" t="str">
            <v>Con precio</v>
          </cell>
        </row>
        <row r="1357">
          <cell r="B1357" t="str">
            <v>AVAN0001RS</v>
          </cell>
          <cell r="X1357" t="str">
            <v>Empaquetado</v>
          </cell>
          <cell r="AC1357">
            <v>0.44322992424242419</v>
          </cell>
          <cell r="AD1357">
            <v>0.44322992424242419</v>
          </cell>
          <cell r="AE1357" t="str">
            <v>Con precio</v>
          </cell>
        </row>
        <row r="1358">
          <cell r="B1358" t="str">
            <v>AVAN0001RS</v>
          </cell>
          <cell r="X1358" t="str">
            <v>Empaquetado</v>
          </cell>
          <cell r="AC1358">
            <v>0.45124999999999998</v>
          </cell>
          <cell r="AD1358">
            <v>0.32061666666666666</v>
          </cell>
          <cell r="AE1358" t="str">
            <v>Con precio</v>
          </cell>
        </row>
        <row r="1359">
          <cell r="B1359" t="str">
            <v>AVAN0001RS</v>
          </cell>
          <cell r="X1359" t="str">
            <v>Empaquetado</v>
          </cell>
          <cell r="AC1359">
            <v>9.6080774456521717E-2</v>
          </cell>
          <cell r="AD1359">
            <v>9.6080774456521717E-2</v>
          </cell>
          <cell r="AE1359" t="str">
            <v>Con precio</v>
          </cell>
        </row>
        <row r="1360">
          <cell r="B1360" t="str">
            <v>AVAN0005</v>
          </cell>
          <cell r="X1360" t="str">
            <v>Formulación</v>
          </cell>
          <cell r="AC1360">
            <v>1.8339999999999999E-2</v>
          </cell>
          <cell r="AD1360">
            <v>1.6637000000000002E-2</v>
          </cell>
          <cell r="AE1360" t="str">
            <v>Con precio</v>
          </cell>
        </row>
        <row r="1361">
          <cell r="B1361" t="str">
            <v>AVAN0005</v>
          </cell>
          <cell r="X1361" t="str">
            <v>Formulación</v>
          </cell>
          <cell r="AC1361">
            <v>5.9295E-2</v>
          </cell>
          <cell r="AD1361">
            <v>5.9295E-2</v>
          </cell>
          <cell r="AE1361" t="str">
            <v>Con precio</v>
          </cell>
        </row>
        <row r="1362">
          <cell r="B1362" t="str">
            <v>AVAN0005</v>
          </cell>
          <cell r="X1362" t="str">
            <v>Formulación</v>
          </cell>
          <cell r="AC1362">
            <v>0.09</v>
          </cell>
          <cell r="AD1362">
            <v>8.1250000000000003E-2</v>
          </cell>
          <cell r="AE1362" t="str">
            <v>Con precio</v>
          </cell>
        </row>
        <row r="1363">
          <cell r="B1363" t="str">
            <v>AVAN0005</v>
          </cell>
          <cell r="X1363" t="str">
            <v>Formulación</v>
          </cell>
          <cell r="AC1363">
            <v>5.6400000000000006E-2</v>
          </cell>
          <cell r="AD1363">
            <v>4.5983999999999997E-2</v>
          </cell>
          <cell r="AE1363" t="str">
            <v>Con precio</v>
          </cell>
        </row>
        <row r="1364">
          <cell r="B1364" t="str">
            <v>AVAN0005</v>
          </cell>
          <cell r="X1364" t="str">
            <v>Formulación</v>
          </cell>
          <cell r="AC1364">
            <v>7.3200000000000001E-3</v>
          </cell>
          <cell r="AD1364">
            <v>7.3200000000000001E-3</v>
          </cell>
          <cell r="AE1364" t="str">
            <v>Con precio</v>
          </cell>
        </row>
        <row r="1365">
          <cell r="B1365" t="str">
            <v>AVAN0005</v>
          </cell>
          <cell r="X1365" t="str">
            <v>Formulación</v>
          </cell>
          <cell r="AC1365">
            <v>0.10973999999999999</v>
          </cell>
          <cell r="AD1365">
            <v>0.10973999999999999</v>
          </cell>
          <cell r="AE1365" t="str">
            <v>Con precio</v>
          </cell>
        </row>
        <row r="1366">
          <cell r="B1366" t="str">
            <v>AVAN0005</v>
          </cell>
          <cell r="X1366" t="str">
            <v>Formulación</v>
          </cell>
          <cell r="AC1366">
            <v>0.70400000000000007</v>
          </cell>
          <cell r="AD1366">
            <v>0.70400000000000007</v>
          </cell>
          <cell r="AE1366" t="str">
            <v>Con precio</v>
          </cell>
        </row>
        <row r="1367">
          <cell r="B1367" t="str">
            <v>AVAN0005</v>
          </cell>
          <cell r="X1367" t="str">
            <v>Formulación</v>
          </cell>
          <cell r="AC1367">
            <v>4.1279999999999997E-2</v>
          </cell>
          <cell r="AD1367">
            <v>3.0864000000000003E-2</v>
          </cell>
          <cell r="AE1367" t="str">
            <v>Con precio</v>
          </cell>
        </row>
        <row r="1368">
          <cell r="B1368" t="str">
            <v>AVAN0005</v>
          </cell>
          <cell r="X1368" t="str">
            <v>Formulación</v>
          </cell>
          <cell r="AC1368">
            <v>7.6950000000000005E-2</v>
          </cell>
          <cell r="AD1368">
            <v>7.0740000000000011E-2</v>
          </cell>
          <cell r="AE1368" t="str">
            <v>Con precio</v>
          </cell>
        </row>
        <row r="1369">
          <cell r="B1369" t="str">
            <v>AVAN0005</v>
          </cell>
          <cell r="X1369" t="str">
            <v>Formulación</v>
          </cell>
          <cell r="AC1369">
            <v>9.672E-2</v>
          </cell>
          <cell r="AD1369">
            <v>8.8902666666666672E-2</v>
          </cell>
          <cell r="AE1369" t="str">
            <v>Con precio</v>
          </cell>
        </row>
        <row r="1370">
          <cell r="B1370" t="str">
            <v>AVAN0005</v>
          </cell>
          <cell r="X1370" t="str">
            <v>Formulación</v>
          </cell>
          <cell r="AC1370">
            <v>0.26230999999999999</v>
          </cell>
          <cell r="AD1370">
            <v>0.18219142857142862</v>
          </cell>
          <cell r="AE1370" t="str">
            <v>Con precio</v>
          </cell>
        </row>
        <row r="1371">
          <cell r="B1371" t="str">
            <v>AVAN0005</v>
          </cell>
          <cell r="X1371" t="str">
            <v>Formulación</v>
          </cell>
          <cell r="AC1371">
            <v>0.55650000000000011</v>
          </cell>
          <cell r="AD1371">
            <v>0.50217500000000004</v>
          </cell>
          <cell r="AE1371" t="str">
            <v>Con precio</v>
          </cell>
        </row>
        <row r="1372">
          <cell r="B1372" t="str">
            <v>AVAN0005</v>
          </cell>
          <cell r="X1372" t="str">
            <v>Empaquetado</v>
          </cell>
          <cell r="AC1372">
            <v>1.2991333333333337E-2</v>
          </cell>
          <cell r="AD1372">
            <v>1.2991333333333337E-2</v>
          </cell>
          <cell r="AE1372" t="str">
            <v>Con precio</v>
          </cell>
        </row>
        <row r="1373">
          <cell r="B1373" t="str">
            <v>AVAN0005</v>
          </cell>
          <cell r="X1373" t="str">
            <v>Empaquetado</v>
          </cell>
          <cell r="AC1373">
            <v>2.5783333333333339E-2</v>
          </cell>
          <cell r="AD1373">
            <v>2.5783333333333339E-2</v>
          </cell>
          <cell r="AE1373" t="str">
            <v>Con precio</v>
          </cell>
        </row>
        <row r="1374">
          <cell r="B1374" t="str">
            <v>AVAN0005</v>
          </cell>
          <cell r="X1374" t="str">
            <v>Empaquetado</v>
          </cell>
          <cell r="AC1374">
            <v>2.5359983896940424E-2</v>
          </cell>
          <cell r="AD1374">
            <v>2.5359983896940424E-2</v>
          </cell>
          <cell r="AE1374" t="str">
            <v>Con precio</v>
          </cell>
        </row>
        <row r="1375">
          <cell r="B1375" t="str">
            <v>AVAN0005</v>
          </cell>
          <cell r="X1375" t="str">
            <v>Empaquetado</v>
          </cell>
          <cell r="AC1375">
            <v>0.17399999999999999</v>
          </cell>
          <cell r="AD1375">
            <v>0.17399999999999999</v>
          </cell>
          <cell r="AE1375" t="str">
            <v>Con precio</v>
          </cell>
        </row>
        <row r="1376">
          <cell r="B1376" t="str">
            <v>AVAN0005</v>
          </cell>
          <cell r="X1376" t="str">
            <v>Empaquetado</v>
          </cell>
          <cell r="AC1376">
            <v>4.0000000000000008E-2</v>
          </cell>
          <cell r="AD1376">
            <v>4.0000000000000008E-2</v>
          </cell>
          <cell r="AE1376" t="str">
            <v>Con precio</v>
          </cell>
        </row>
        <row r="1377">
          <cell r="B1377" t="str">
            <v>AVAN0005</v>
          </cell>
          <cell r="X1377" t="str">
            <v>Empaquetado</v>
          </cell>
          <cell r="AC1377">
            <v>3.6950017630465445E-2</v>
          </cell>
          <cell r="AD1377">
            <v>3.6950017630465445E-2</v>
          </cell>
          <cell r="AE1377" t="str">
            <v>Con precio</v>
          </cell>
        </row>
        <row r="1378">
          <cell r="B1378" t="str">
            <v>AVAN0005AZ</v>
          </cell>
          <cell r="X1378" t="str">
            <v>Formulación</v>
          </cell>
          <cell r="AC1378">
            <v>1.8339999999999999E-2</v>
          </cell>
          <cell r="AD1378">
            <v>1.6637000000000002E-2</v>
          </cell>
          <cell r="AE1378" t="str">
            <v>Con precio</v>
          </cell>
        </row>
        <row r="1379">
          <cell r="B1379" t="str">
            <v>AVAN0005AZ</v>
          </cell>
          <cell r="X1379" t="str">
            <v>Formulación</v>
          </cell>
          <cell r="AC1379">
            <v>5.9295E-2</v>
          </cell>
          <cell r="AD1379">
            <v>5.9295E-2</v>
          </cell>
          <cell r="AE1379" t="str">
            <v>Con precio</v>
          </cell>
        </row>
        <row r="1380">
          <cell r="B1380" t="str">
            <v>AVAN0005AZ</v>
          </cell>
          <cell r="X1380" t="str">
            <v>Formulación</v>
          </cell>
          <cell r="AC1380">
            <v>0.09</v>
          </cell>
          <cell r="AD1380">
            <v>8.1250000000000003E-2</v>
          </cell>
          <cell r="AE1380" t="str">
            <v>Con precio</v>
          </cell>
        </row>
        <row r="1381">
          <cell r="B1381" t="str">
            <v>AVAN0005AZ</v>
          </cell>
          <cell r="X1381" t="str">
            <v>Formulación</v>
          </cell>
          <cell r="AC1381">
            <v>5.6400000000000006E-2</v>
          </cell>
          <cell r="AD1381">
            <v>4.5983999999999997E-2</v>
          </cell>
          <cell r="AE1381" t="str">
            <v>Con precio</v>
          </cell>
        </row>
        <row r="1382">
          <cell r="B1382" t="str">
            <v>AVAN0005AZ</v>
          </cell>
          <cell r="X1382" t="str">
            <v>Formulación</v>
          </cell>
          <cell r="AC1382">
            <v>7.3200000000000001E-3</v>
          </cell>
          <cell r="AD1382">
            <v>7.3200000000000001E-3</v>
          </cell>
          <cell r="AE1382" t="str">
            <v>Con precio</v>
          </cell>
        </row>
        <row r="1383">
          <cell r="B1383" t="str">
            <v>AVAN0005AZ</v>
          </cell>
          <cell r="X1383" t="str">
            <v>Formulación</v>
          </cell>
          <cell r="AC1383">
            <v>0.10973999999999999</v>
          </cell>
          <cell r="AD1383">
            <v>0.10973999999999999</v>
          </cell>
          <cell r="AE1383" t="str">
            <v>Con precio</v>
          </cell>
        </row>
        <row r="1384">
          <cell r="B1384" t="str">
            <v>AVAN0005AZ</v>
          </cell>
          <cell r="X1384" t="str">
            <v>Formulación</v>
          </cell>
          <cell r="AC1384">
            <v>0.70400000000000007</v>
          </cell>
          <cell r="AD1384">
            <v>0.70400000000000007</v>
          </cell>
          <cell r="AE1384" t="str">
            <v>Con precio</v>
          </cell>
        </row>
        <row r="1385">
          <cell r="B1385" t="str">
            <v>AVAN0005AZ</v>
          </cell>
          <cell r="X1385" t="str">
            <v>Formulación</v>
          </cell>
          <cell r="AC1385">
            <v>4.1279999999999997E-2</v>
          </cell>
          <cell r="AD1385">
            <v>3.0864000000000003E-2</v>
          </cell>
          <cell r="AE1385" t="str">
            <v>Con precio</v>
          </cell>
        </row>
        <row r="1386">
          <cell r="B1386" t="str">
            <v>AVAN0005AZ</v>
          </cell>
          <cell r="X1386" t="str">
            <v>Formulación</v>
          </cell>
          <cell r="AC1386">
            <v>7.6950000000000005E-2</v>
          </cell>
          <cell r="AD1386">
            <v>7.0740000000000011E-2</v>
          </cell>
          <cell r="AE1386" t="str">
            <v>Con precio</v>
          </cell>
        </row>
        <row r="1387">
          <cell r="B1387" t="str">
            <v>AVAN0005AZ</v>
          </cell>
          <cell r="X1387" t="str">
            <v>Formulación</v>
          </cell>
          <cell r="AC1387">
            <v>9.672E-2</v>
          </cell>
          <cell r="AD1387">
            <v>8.8902666666666672E-2</v>
          </cell>
          <cell r="AE1387" t="str">
            <v>Con precio</v>
          </cell>
        </row>
        <row r="1388">
          <cell r="B1388" t="str">
            <v>AVAN0005AZ</v>
          </cell>
          <cell r="X1388" t="str">
            <v>Formulación</v>
          </cell>
          <cell r="AC1388">
            <v>0.26230999999999999</v>
          </cell>
          <cell r="AD1388">
            <v>0.18219142857142862</v>
          </cell>
          <cell r="AE1388" t="str">
            <v>Con precio</v>
          </cell>
        </row>
        <row r="1389">
          <cell r="B1389" t="str">
            <v>AVAN0005AZ</v>
          </cell>
          <cell r="X1389" t="str">
            <v>Formulación</v>
          </cell>
          <cell r="AC1389">
            <v>0.55650000000000011</v>
          </cell>
          <cell r="AD1389">
            <v>0.50217500000000004</v>
          </cell>
          <cell r="AE1389" t="str">
            <v>Con precio</v>
          </cell>
        </row>
        <row r="1390">
          <cell r="B1390" t="str">
            <v>AVAN0005AZ</v>
          </cell>
          <cell r="X1390" t="str">
            <v>Empaquetado</v>
          </cell>
          <cell r="AC1390">
            <v>1.2991333333333337E-2</v>
          </cell>
          <cell r="AD1390">
            <v>1.2991333333333337E-2</v>
          </cell>
          <cell r="AE1390" t="str">
            <v>Con precio</v>
          </cell>
        </row>
        <row r="1391">
          <cell r="B1391" t="str">
            <v>AVAN0005AZ</v>
          </cell>
          <cell r="X1391" t="str">
            <v>Empaquetado</v>
          </cell>
          <cell r="AC1391">
            <v>2.5783333333333339E-2</v>
          </cell>
          <cell r="AD1391">
            <v>2.5783333333333339E-2</v>
          </cell>
          <cell r="AE1391" t="str">
            <v>Con precio</v>
          </cell>
        </row>
        <row r="1392">
          <cell r="B1392" t="str">
            <v>AVAN0005AZ</v>
          </cell>
          <cell r="X1392" t="str">
            <v>Empaquetado</v>
          </cell>
          <cell r="AC1392">
            <v>2.5359983896940424E-2</v>
          </cell>
          <cell r="AD1392">
            <v>2.5359983896940424E-2</v>
          </cell>
          <cell r="AE1392" t="str">
            <v>Con precio</v>
          </cell>
        </row>
        <row r="1393">
          <cell r="B1393" t="str">
            <v>AVAN0005AZ</v>
          </cell>
          <cell r="X1393" t="str">
            <v>Empaquetado</v>
          </cell>
          <cell r="AC1393">
            <v>0.17399999999999999</v>
          </cell>
          <cell r="AD1393">
            <v>0.17399999999999999</v>
          </cell>
          <cell r="AE1393" t="str">
            <v>Con precio</v>
          </cell>
        </row>
        <row r="1394">
          <cell r="B1394" t="str">
            <v>AVAN0005AZ</v>
          </cell>
          <cell r="X1394" t="str">
            <v>Empaquetado</v>
          </cell>
          <cell r="AC1394">
            <v>4.0000000000000008E-2</v>
          </cell>
          <cell r="AD1394">
            <v>4.0000000000000008E-2</v>
          </cell>
          <cell r="AE1394" t="str">
            <v>Con precio</v>
          </cell>
        </row>
        <row r="1395">
          <cell r="B1395" t="str">
            <v>AVAN0005AZ</v>
          </cell>
          <cell r="X1395" t="str">
            <v>Empaquetado</v>
          </cell>
          <cell r="AC1395">
            <v>3.6950017630465445E-2</v>
          </cell>
          <cell r="AD1395">
            <v>3.6950017630465445E-2</v>
          </cell>
          <cell r="AE1395" t="str">
            <v>Con precio</v>
          </cell>
        </row>
        <row r="1396">
          <cell r="B1396" t="str">
            <v>AVAN0005MA</v>
          </cell>
          <cell r="X1396" t="str">
            <v>Formulación</v>
          </cell>
          <cell r="AC1396">
            <v>1.8339999999999999E-2</v>
          </cell>
          <cell r="AD1396">
            <v>1.6637000000000002E-2</v>
          </cell>
          <cell r="AE1396" t="str">
            <v>Con precio</v>
          </cell>
        </row>
        <row r="1397">
          <cell r="B1397" t="str">
            <v>AVAN0005MA</v>
          </cell>
          <cell r="X1397" t="str">
            <v>Formulación</v>
          </cell>
          <cell r="AC1397">
            <v>5.9295E-2</v>
          </cell>
          <cell r="AD1397">
            <v>5.9295E-2</v>
          </cell>
          <cell r="AE1397" t="str">
            <v>Con precio</v>
          </cell>
        </row>
        <row r="1398">
          <cell r="B1398" t="str">
            <v>AVAN0005MA</v>
          </cell>
          <cell r="X1398" t="str">
            <v>Formulación</v>
          </cell>
          <cell r="AC1398">
            <v>0.09</v>
          </cell>
          <cell r="AD1398">
            <v>8.1250000000000003E-2</v>
          </cell>
          <cell r="AE1398" t="str">
            <v>Con precio</v>
          </cell>
        </row>
        <row r="1399">
          <cell r="B1399" t="str">
            <v>AVAN0005MA</v>
          </cell>
          <cell r="X1399" t="str">
            <v>Formulación</v>
          </cell>
          <cell r="AC1399">
            <v>5.6400000000000006E-2</v>
          </cell>
          <cell r="AD1399">
            <v>4.5983999999999997E-2</v>
          </cell>
          <cell r="AE1399" t="str">
            <v>Con precio</v>
          </cell>
        </row>
        <row r="1400">
          <cell r="B1400" t="str">
            <v>AVAN0005MA</v>
          </cell>
          <cell r="X1400" t="str">
            <v>Formulación</v>
          </cell>
          <cell r="AC1400">
            <v>7.3200000000000001E-3</v>
          </cell>
          <cell r="AD1400">
            <v>7.3200000000000001E-3</v>
          </cell>
          <cell r="AE1400" t="str">
            <v>Con precio</v>
          </cell>
        </row>
        <row r="1401">
          <cell r="B1401" t="str">
            <v>AVAN0005MA</v>
          </cell>
          <cell r="X1401" t="str">
            <v>Formulación</v>
          </cell>
          <cell r="AC1401">
            <v>0.10973999999999999</v>
          </cell>
          <cell r="AD1401">
            <v>0.10973999999999999</v>
          </cell>
          <cell r="AE1401" t="str">
            <v>Con precio</v>
          </cell>
        </row>
        <row r="1402">
          <cell r="B1402" t="str">
            <v>AVAN0005MA</v>
          </cell>
          <cell r="X1402" t="str">
            <v>Formulación</v>
          </cell>
          <cell r="AC1402">
            <v>0.70400000000000007</v>
          </cell>
          <cell r="AD1402">
            <v>0.70400000000000007</v>
          </cell>
          <cell r="AE1402" t="str">
            <v>Con precio</v>
          </cell>
        </row>
        <row r="1403">
          <cell r="B1403" t="str">
            <v>AVAN0005MA</v>
          </cell>
          <cell r="X1403" t="str">
            <v>Formulación</v>
          </cell>
          <cell r="AC1403">
            <v>4.1279999999999997E-2</v>
          </cell>
          <cell r="AD1403">
            <v>3.0864000000000003E-2</v>
          </cell>
          <cell r="AE1403" t="str">
            <v>Con precio</v>
          </cell>
        </row>
        <row r="1404">
          <cell r="B1404" t="str">
            <v>AVAN0005MA</v>
          </cell>
          <cell r="X1404" t="str">
            <v>Formulación</v>
          </cell>
          <cell r="AC1404">
            <v>7.6950000000000005E-2</v>
          </cell>
          <cell r="AD1404">
            <v>7.0740000000000011E-2</v>
          </cell>
          <cell r="AE1404" t="str">
            <v>Con precio</v>
          </cell>
        </row>
        <row r="1405">
          <cell r="B1405" t="str">
            <v>AVAN0005MA</v>
          </cell>
          <cell r="X1405" t="str">
            <v>Formulación</v>
          </cell>
          <cell r="AC1405">
            <v>9.672E-2</v>
          </cell>
          <cell r="AD1405">
            <v>8.8902666666666672E-2</v>
          </cell>
          <cell r="AE1405" t="str">
            <v>Con precio</v>
          </cell>
        </row>
        <row r="1406">
          <cell r="B1406" t="str">
            <v>AVAN0005MA</v>
          </cell>
          <cell r="X1406" t="str">
            <v>Formulación</v>
          </cell>
          <cell r="AC1406">
            <v>0.26230999999999999</v>
          </cell>
          <cell r="AD1406">
            <v>0.18219142857142862</v>
          </cell>
          <cell r="AE1406" t="str">
            <v>Con precio</v>
          </cell>
        </row>
        <row r="1407">
          <cell r="B1407" t="str">
            <v>AVAN0005MA</v>
          </cell>
          <cell r="X1407" t="str">
            <v>Formulación</v>
          </cell>
          <cell r="AC1407">
            <v>0.55650000000000011</v>
          </cell>
          <cell r="AD1407">
            <v>0.50217500000000004</v>
          </cell>
          <cell r="AE1407" t="str">
            <v>Con precio</v>
          </cell>
        </row>
        <row r="1408">
          <cell r="B1408" t="str">
            <v>AVAN0005MA</v>
          </cell>
          <cell r="X1408" t="str">
            <v>Empaquetado</v>
          </cell>
          <cell r="AC1408">
            <v>1.2991333333333337E-2</v>
          </cell>
          <cell r="AD1408">
            <v>1.2991333333333337E-2</v>
          </cell>
          <cell r="AE1408" t="str">
            <v>Con precio</v>
          </cell>
        </row>
        <row r="1409">
          <cell r="B1409" t="str">
            <v>AVAN0005MA</v>
          </cell>
          <cell r="X1409" t="str">
            <v>Empaquetado</v>
          </cell>
          <cell r="AC1409">
            <v>2.5783333333333339E-2</v>
          </cell>
          <cell r="AD1409">
            <v>2.5783333333333339E-2</v>
          </cell>
          <cell r="AE1409" t="str">
            <v>Con precio</v>
          </cell>
        </row>
        <row r="1410">
          <cell r="B1410" t="str">
            <v>AVAN0005MA</v>
          </cell>
          <cell r="X1410" t="str">
            <v>Empaquetado</v>
          </cell>
          <cell r="AC1410">
            <v>2.5359983896940424E-2</v>
          </cell>
          <cell r="AD1410">
            <v>2.5359983896940424E-2</v>
          </cell>
          <cell r="AE1410" t="str">
            <v>Con precio</v>
          </cell>
        </row>
        <row r="1411">
          <cell r="B1411" t="str">
            <v>AVAN0005MA</v>
          </cell>
          <cell r="X1411" t="str">
            <v>Empaquetado</v>
          </cell>
          <cell r="AC1411">
            <v>0.17399999999999999</v>
          </cell>
          <cell r="AD1411">
            <v>0.17399999999999999</v>
          </cell>
          <cell r="AE1411" t="str">
            <v>Con precio</v>
          </cell>
        </row>
        <row r="1412">
          <cell r="B1412" t="str">
            <v>AVAN0005MA</v>
          </cell>
          <cell r="X1412" t="str">
            <v>Empaquetado</v>
          </cell>
          <cell r="AC1412">
            <v>4.0000000000000008E-2</v>
          </cell>
          <cell r="AD1412">
            <v>4.0000000000000008E-2</v>
          </cell>
          <cell r="AE1412" t="str">
            <v>Con precio</v>
          </cell>
        </row>
        <row r="1413">
          <cell r="B1413" t="str">
            <v>AVAN0005MA</v>
          </cell>
          <cell r="X1413" t="str">
            <v>Empaquetado</v>
          </cell>
          <cell r="AC1413">
            <v>3.6950017630465445E-2</v>
          </cell>
          <cell r="AD1413">
            <v>3.6950017630465445E-2</v>
          </cell>
          <cell r="AE1413" t="str">
            <v>Con precio</v>
          </cell>
        </row>
        <row r="1414">
          <cell r="B1414" t="str">
            <v>AVAN0020</v>
          </cell>
          <cell r="X1414" t="str">
            <v>Formulación</v>
          </cell>
          <cell r="AC1414">
            <v>1.8339999999999999E-2</v>
          </cell>
          <cell r="AD1414">
            <v>1.6637000000000002E-2</v>
          </cell>
          <cell r="AE1414" t="str">
            <v>Con precio</v>
          </cell>
        </row>
        <row r="1415">
          <cell r="B1415" t="str">
            <v>AVAN0020</v>
          </cell>
          <cell r="X1415" t="str">
            <v>Formulación</v>
          </cell>
          <cell r="AC1415">
            <v>5.9295E-2</v>
          </cell>
          <cell r="AD1415">
            <v>5.9295E-2</v>
          </cell>
          <cell r="AE1415" t="str">
            <v>Con precio</v>
          </cell>
        </row>
        <row r="1416">
          <cell r="B1416" t="str">
            <v>AVAN0020</v>
          </cell>
          <cell r="X1416" t="str">
            <v>Formulación</v>
          </cell>
          <cell r="AC1416">
            <v>0.09</v>
          </cell>
          <cell r="AD1416">
            <v>8.1250000000000003E-2</v>
          </cell>
          <cell r="AE1416" t="str">
            <v>Con precio</v>
          </cell>
        </row>
        <row r="1417">
          <cell r="B1417" t="str">
            <v>AVAN0020</v>
          </cell>
          <cell r="X1417" t="str">
            <v>Formulación</v>
          </cell>
          <cell r="AC1417">
            <v>5.6400000000000006E-2</v>
          </cell>
          <cell r="AD1417">
            <v>4.5983999999999997E-2</v>
          </cell>
          <cell r="AE1417" t="str">
            <v>Con precio</v>
          </cell>
        </row>
        <row r="1418">
          <cell r="B1418" t="str">
            <v>AVAN0020</v>
          </cell>
          <cell r="X1418" t="str">
            <v>Formulación</v>
          </cell>
          <cell r="AC1418">
            <v>7.3200000000000001E-3</v>
          </cell>
          <cell r="AD1418">
            <v>7.3200000000000001E-3</v>
          </cell>
          <cell r="AE1418" t="str">
            <v>Con precio</v>
          </cell>
        </row>
        <row r="1419">
          <cell r="B1419" t="str">
            <v>AVAN0020</v>
          </cell>
          <cell r="X1419" t="str">
            <v>Formulación</v>
          </cell>
          <cell r="AC1419">
            <v>0.10973999999999999</v>
          </cell>
          <cell r="AD1419">
            <v>0.10973999999999999</v>
          </cell>
          <cell r="AE1419" t="str">
            <v>Con precio</v>
          </cell>
        </row>
        <row r="1420">
          <cell r="B1420" t="str">
            <v>AVAN0020</v>
          </cell>
          <cell r="X1420" t="str">
            <v>Formulación</v>
          </cell>
          <cell r="AC1420">
            <v>0.70400000000000007</v>
          </cell>
          <cell r="AD1420">
            <v>0.70400000000000007</v>
          </cell>
          <cell r="AE1420" t="str">
            <v>Con precio</v>
          </cell>
        </row>
        <row r="1421">
          <cell r="B1421" t="str">
            <v>AVAN0020</v>
          </cell>
          <cell r="X1421" t="str">
            <v>Formulación</v>
          </cell>
          <cell r="AC1421">
            <v>4.1279999999999997E-2</v>
          </cell>
          <cell r="AD1421">
            <v>3.0864000000000003E-2</v>
          </cell>
          <cell r="AE1421" t="str">
            <v>Con precio</v>
          </cell>
        </row>
        <row r="1422">
          <cell r="B1422" t="str">
            <v>AVAN0020</v>
          </cell>
          <cell r="X1422" t="str">
            <v>Formulación</v>
          </cell>
          <cell r="AC1422">
            <v>7.6950000000000005E-2</v>
          </cell>
          <cell r="AD1422">
            <v>7.0740000000000011E-2</v>
          </cell>
          <cell r="AE1422" t="str">
            <v>Con precio</v>
          </cell>
        </row>
        <row r="1423">
          <cell r="B1423" t="str">
            <v>AVAN0020</v>
          </cell>
          <cell r="X1423" t="str">
            <v>Formulación</v>
          </cell>
          <cell r="AC1423">
            <v>9.672E-2</v>
          </cell>
          <cell r="AD1423">
            <v>8.8902666666666672E-2</v>
          </cell>
          <cell r="AE1423" t="str">
            <v>Con precio</v>
          </cell>
        </row>
        <row r="1424">
          <cell r="B1424" t="str">
            <v>AVAN0020</v>
          </cell>
          <cell r="X1424" t="str">
            <v>Formulación</v>
          </cell>
          <cell r="AC1424">
            <v>0.26230999999999999</v>
          </cell>
          <cell r="AD1424">
            <v>0.18219142857142862</v>
          </cell>
          <cell r="AE1424" t="str">
            <v>Con precio</v>
          </cell>
        </row>
        <row r="1425">
          <cell r="B1425" t="str">
            <v>AVAN0020</v>
          </cell>
          <cell r="X1425" t="str">
            <v>Formulación</v>
          </cell>
          <cell r="AC1425">
            <v>0.55650000000000011</v>
          </cell>
          <cell r="AD1425">
            <v>0.50217500000000004</v>
          </cell>
          <cell r="AE1425" t="str">
            <v>Con precio</v>
          </cell>
        </row>
        <row r="1426">
          <cell r="B1426" t="str">
            <v>AVAN0020</v>
          </cell>
          <cell r="X1426" t="str">
            <v>Empaquetado</v>
          </cell>
          <cell r="AC1426">
            <v>7.3209374999999993E-3</v>
          </cell>
          <cell r="AD1426">
            <v>7.3209374999999993E-3</v>
          </cell>
          <cell r="AE1426" t="str">
            <v>Con precio</v>
          </cell>
        </row>
        <row r="1427">
          <cell r="B1427" t="str">
            <v>AVAN0020</v>
          </cell>
          <cell r="X1427" t="str">
            <v>Empaquetado</v>
          </cell>
          <cell r="AC1427">
            <v>2.4171875000000002E-2</v>
          </cell>
          <cell r="AD1427">
            <v>2.4171875000000002E-2</v>
          </cell>
          <cell r="AE1427" t="str">
            <v>Con precio</v>
          </cell>
        </row>
        <row r="1428">
          <cell r="B1428" t="str">
            <v>AVAN0020</v>
          </cell>
          <cell r="X1428" t="str">
            <v>Empaquetado</v>
          </cell>
          <cell r="AC1428">
            <v>5.0719967793880849E-3</v>
          </cell>
          <cell r="AD1428">
            <v>5.0719967793880849E-3</v>
          </cell>
          <cell r="AE1428" t="str">
            <v>Con precio</v>
          </cell>
        </row>
        <row r="1429">
          <cell r="B1429" t="str">
            <v>AVAN0020</v>
          </cell>
          <cell r="X1429" t="str">
            <v>Empaquetado</v>
          </cell>
          <cell r="AC1429">
            <v>0.18266505681818179</v>
          </cell>
          <cell r="AD1429">
            <v>0.18266505681818179</v>
          </cell>
          <cell r="AE1429" t="str">
            <v>Con precio</v>
          </cell>
        </row>
        <row r="1430">
          <cell r="B1430" t="str">
            <v>AVAN0020</v>
          </cell>
          <cell r="X1430" t="str">
            <v>Empaquetado</v>
          </cell>
          <cell r="AC1430">
            <v>1.3125000000000001E-2</v>
          </cell>
          <cell r="AD1430">
            <v>1.3125000000000001E-2</v>
          </cell>
          <cell r="AE1430" t="str">
            <v>Con precio</v>
          </cell>
        </row>
        <row r="1431">
          <cell r="B1431" t="str">
            <v>AVAN0020MA</v>
          </cell>
          <cell r="X1431" t="str">
            <v>Formulación</v>
          </cell>
          <cell r="AC1431">
            <v>1.8339999999999999E-2</v>
          </cell>
          <cell r="AD1431">
            <v>1.6637000000000002E-2</v>
          </cell>
          <cell r="AE1431" t="str">
            <v>Con precio</v>
          </cell>
        </row>
        <row r="1432">
          <cell r="B1432" t="str">
            <v>AVAN0020MA</v>
          </cell>
          <cell r="X1432" t="str">
            <v>Formulación</v>
          </cell>
          <cell r="AC1432">
            <v>5.9295E-2</v>
          </cell>
          <cell r="AD1432">
            <v>5.9295E-2</v>
          </cell>
          <cell r="AE1432" t="str">
            <v>Con precio</v>
          </cell>
        </row>
        <row r="1433">
          <cell r="B1433" t="str">
            <v>AVAN0020MA</v>
          </cell>
          <cell r="X1433" t="str">
            <v>Formulación</v>
          </cell>
          <cell r="AC1433">
            <v>0.09</v>
          </cell>
          <cell r="AD1433">
            <v>8.1250000000000003E-2</v>
          </cell>
          <cell r="AE1433" t="str">
            <v>Con precio</v>
          </cell>
        </row>
        <row r="1434">
          <cell r="B1434" t="str">
            <v>AVAN0020MA</v>
          </cell>
          <cell r="X1434" t="str">
            <v>Formulación</v>
          </cell>
          <cell r="AC1434">
            <v>5.6400000000000006E-2</v>
          </cell>
          <cell r="AD1434">
            <v>4.5983999999999997E-2</v>
          </cell>
          <cell r="AE1434" t="str">
            <v>Con precio</v>
          </cell>
        </row>
        <row r="1435">
          <cell r="B1435" t="str">
            <v>AVAN0020MA</v>
          </cell>
          <cell r="X1435" t="str">
            <v>Formulación</v>
          </cell>
          <cell r="AC1435">
            <v>7.3200000000000001E-3</v>
          </cell>
          <cell r="AD1435">
            <v>7.3200000000000001E-3</v>
          </cell>
          <cell r="AE1435" t="str">
            <v>Con precio</v>
          </cell>
        </row>
        <row r="1436">
          <cell r="B1436" t="str">
            <v>AVAN0020MA</v>
          </cell>
          <cell r="X1436" t="str">
            <v>Formulación</v>
          </cell>
          <cell r="AC1436">
            <v>0.10973999999999999</v>
          </cell>
          <cell r="AD1436">
            <v>0.10973999999999999</v>
          </cell>
          <cell r="AE1436" t="str">
            <v>Con precio</v>
          </cell>
        </row>
        <row r="1437">
          <cell r="B1437" t="str">
            <v>AVAN0020MA</v>
          </cell>
          <cell r="X1437" t="str">
            <v>Formulación</v>
          </cell>
          <cell r="AC1437">
            <v>0.70400000000000007</v>
          </cell>
          <cell r="AD1437">
            <v>0.70400000000000007</v>
          </cell>
          <cell r="AE1437" t="str">
            <v>Con precio</v>
          </cell>
        </row>
        <row r="1438">
          <cell r="B1438" t="str">
            <v>AVAN0020MA</v>
          </cell>
          <cell r="X1438" t="str">
            <v>Formulación</v>
          </cell>
          <cell r="AC1438">
            <v>4.1279999999999997E-2</v>
          </cell>
          <cell r="AD1438">
            <v>3.0864000000000003E-2</v>
          </cell>
          <cell r="AE1438" t="str">
            <v>Con precio</v>
          </cell>
        </row>
        <row r="1439">
          <cell r="B1439" t="str">
            <v>AVAN0020MA</v>
          </cell>
          <cell r="X1439" t="str">
            <v>Formulación</v>
          </cell>
          <cell r="AC1439">
            <v>7.6950000000000005E-2</v>
          </cell>
          <cell r="AD1439">
            <v>7.0740000000000011E-2</v>
          </cell>
          <cell r="AE1439" t="str">
            <v>Con precio</v>
          </cell>
        </row>
        <row r="1440">
          <cell r="B1440" t="str">
            <v>AVAN0020MA</v>
          </cell>
          <cell r="X1440" t="str">
            <v>Formulación</v>
          </cell>
          <cell r="AC1440">
            <v>9.672E-2</v>
          </cell>
          <cell r="AD1440">
            <v>8.8902666666666672E-2</v>
          </cell>
          <cell r="AE1440" t="str">
            <v>Con precio</v>
          </cell>
        </row>
        <row r="1441">
          <cell r="B1441" t="str">
            <v>AVAN0020MA</v>
          </cell>
          <cell r="X1441" t="str">
            <v>Formulación</v>
          </cell>
          <cell r="AC1441">
            <v>0.26230999999999999</v>
          </cell>
          <cell r="AD1441">
            <v>0.18219142857142862</v>
          </cell>
          <cell r="AE1441" t="str">
            <v>Con precio</v>
          </cell>
        </row>
        <row r="1442">
          <cell r="B1442" t="str">
            <v>AVAN0020MA</v>
          </cell>
          <cell r="X1442" t="str">
            <v>Formulación</v>
          </cell>
          <cell r="AC1442">
            <v>0.55650000000000011</v>
          </cell>
          <cell r="AD1442">
            <v>0.50217500000000004</v>
          </cell>
          <cell r="AE1442" t="str">
            <v>Con precio</v>
          </cell>
        </row>
        <row r="1443">
          <cell r="B1443" t="str">
            <v>AVAN0020MA</v>
          </cell>
          <cell r="X1443" t="str">
            <v>Empaquetado</v>
          </cell>
          <cell r="AC1443">
            <v>7.3209374999999993E-3</v>
          </cell>
          <cell r="AD1443">
            <v>7.3209374999999993E-3</v>
          </cell>
          <cell r="AE1443" t="str">
            <v>Con precio</v>
          </cell>
        </row>
        <row r="1444">
          <cell r="B1444" t="str">
            <v>AVAN0020MA</v>
          </cell>
          <cell r="X1444" t="str">
            <v>Empaquetado</v>
          </cell>
          <cell r="AC1444">
            <v>2.4171875000000002E-2</v>
          </cell>
          <cell r="AD1444">
            <v>2.4171875000000002E-2</v>
          </cell>
          <cell r="AE1444" t="str">
            <v>Con precio</v>
          </cell>
        </row>
        <row r="1445">
          <cell r="B1445" t="str">
            <v>AVAN0020MA</v>
          </cell>
          <cell r="X1445" t="str">
            <v>Empaquetado</v>
          </cell>
          <cell r="AC1445">
            <v>5.0719967793880849E-3</v>
          </cell>
          <cell r="AD1445">
            <v>5.0719967793880849E-3</v>
          </cell>
          <cell r="AE1445" t="str">
            <v>Con precio</v>
          </cell>
        </row>
        <row r="1446">
          <cell r="B1446" t="str">
            <v>AVAN0020MA</v>
          </cell>
          <cell r="X1446" t="str">
            <v>Empaquetado</v>
          </cell>
          <cell r="AC1446">
            <v>0.18266505681818179</v>
          </cell>
          <cell r="AD1446">
            <v>0.18266505681818179</v>
          </cell>
          <cell r="AE1446" t="str">
            <v>Con precio</v>
          </cell>
        </row>
        <row r="1447">
          <cell r="B1447" t="str">
            <v>AVAN0020MA</v>
          </cell>
          <cell r="X1447" t="str">
            <v>Empaquetado</v>
          </cell>
          <cell r="AC1447">
            <v>1.3125000000000001E-2</v>
          </cell>
          <cell r="AD1447">
            <v>1.3125000000000001E-2</v>
          </cell>
          <cell r="AE1447" t="str">
            <v>Con precio</v>
          </cell>
        </row>
        <row r="1448">
          <cell r="B1448" t="str">
            <v>AVAN0200</v>
          </cell>
          <cell r="X1448" t="str">
            <v>Formulación</v>
          </cell>
          <cell r="AC1448">
            <v>1.8339999999999999E-2</v>
          </cell>
          <cell r="AD1448">
            <v>1.6637000000000002E-2</v>
          </cell>
          <cell r="AE1448" t="str">
            <v>Con precio</v>
          </cell>
        </row>
        <row r="1449">
          <cell r="B1449" t="str">
            <v>AVAN0200</v>
          </cell>
          <cell r="X1449" t="str">
            <v>Formulación</v>
          </cell>
          <cell r="AC1449">
            <v>5.9295E-2</v>
          </cell>
          <cell r="AD1449">
            <v>5.9295E-2</v>
          </cell>
          <cell r="AE1449" t="str">
            <v>Con precio</v>
          </cell>
        </row>
        <row r="1450">
          <cell r="B1450" t="str">
            <v>AVAN0200</v>
          </cell>
          <cell r="X1450" t="str">
            <v>Formulación</v>
          </cell>
          <cell r="AC1450">
            <v>0.09</v>
          </cell>
          <cell r="AD1450">
            <v>8.1250000000000003E-2</v>
          </cell>
          <cell r="AE1450" t="str">
            <v>Con precio</v>
          </cell>
        </row>
        <row r="1451">
          <cell r="B1451" t="str">
            <v>AVAN0200</v>
          </cell>
          <cell r="X1451" t="str">
            <v>Formulación</v>
          </cell>
          <cell r="AC1451">
            <v>5.6400000000000006E-2</v>
          </cell>
          <cell r="AD1451">
            <v>4.5983999999999997E-2</v>
          </cell>
          <cell r="AE1451" t="str">
            <v>Con precio</v>
          </cell>
        </row>
        <row r="1452">
          <cell r="B1452" t="str">
            <v>AVAN0200</v>
          </cell>
          <cell r="X1452" t="str">
            <v>Formulación</v>
          </cell>
          <cell r="AC1452">
            <v>7.3200000000000001E-3</v>
          </cell>
          <cell r="AD1452">
            <v>7.3200000000000001E-3</v>
          </cell>
          <cell r="AE1452" t="str">
            <v>Con precio</v>
          </cell>
        </row>
        <row r="1453">
          <cell r="B1453" t="str">
            <v>AVAN0200</v>
          </cell>
          <cell r="X1453" t="str">
            <v>Formulación</v>
          </cell>
          <cell r="AC1453">
            <v>0.10973999999999999</v>
          </cell>
          <cell r="AD1453">
            <v>0.10973999999999999</v>
          </cell>
          <cell r="AE1453" t="str">
            <v>Con precio</v>
          </cell>
        </row>
        <row r="1454">
          <cell r="B1454" t="str">
            <v>AVAN0200</v>
          </cell>
          <cell r="X1454" t="str">
            <v>Formulación</v>
          </cell>
          <cell r="AC1454">
            <v>0.70400000000000007</v>
          </cell>
          <cell r="AD1454">
            <v>0.70400000000000007</v>
          </cell>
          <cell r="AE1454" t="str">
            <v>Con precio</v>
          </cell>
        </row>
        <row r="1455">
          <cell r="B1455" t="str">
            <v>AVAN0200</v>
          </cell>
          <cell r="X1455" t="str">
            <v>Formulación</v>
          </cell>
          <cell r="AC1455">
            <v>4.1279999999999997E-2</v>
          </cell>
          <cell r="AD1455">
            <v>3.0864000000000003E-2</v>
          </cell>
          <cell r="AE1455" t="str">
            <v>Con precio</v>
          </cell>
        </row>
        <row r="1456">
          <cell r="B1456" t="str">
            <v>AVAN0200</v>
          </cell>
          <cell r="X1456" t="str">
            <v>Formulación</v>
          </cell>
          <cell r="AC1456">
            <v>7.6950000000000005E-2</v>
          </cell>
          <cell r="AD1456">
            <v>7.0740000000000011E-2</v>
          </cell>
          <cell r="AE1456" t="str">
            <v>Con precio</v>
          </cell>
        </row>
        <row r="1457">
          <cell r="B1457" t="str">
            <v>AVAN0200</v>
          </cell>
          <cell r="X1457" t="str">
            <v>Formulación</v>
          </cell>
          <cell r="AC1457">
            <v>9.672E-2</v>
          </cell>
          <cell r="AD1457">
            <v>8.8902666666666672E-2</v>
          </cell>
          <cell r="AE1457" t="str">
            <v>Con precio</v>
          </cell>
        </row>
        <row r="1458">
          <cell r="B1458" t="str">
            <v>AVAN0200</v>
          </cell>
          <cell r="X1458" t="str">
            <v>Formulación</v>
          </cell>
          <cell r="AC1458">
            <v>0.26230999999999999</v>
          </cell>
          <cell r="AD1458">
            <v>0.18219142857142862</v>
          </cell>
          <cell r="AE1458" t="str">
            <v>Con precio</v>
          </cell>
        </row>
        <row r="1459">
          <cell r="B1459" t="str">
            <v>AVAN0200</v>
          </cell>
          <cell r="X1459" t="str">
            <v>Formulación</v>
          </cell>
          <cell r="AC1459">
            <v>0.55650000000000011</v>
          </cell>
          <cell r="AD1459">
            <v>0.50217500000000004</v>
          </cell>
          <cell r="AE1459" t="str">
            <v>Con precio</v>
          </cell>
        </row>
        <row r="1460">
          <cell r="B1460" t="str">
            <v>AVAN0200</v>
          </cell>
          <cell r="X1460" t="str">
            <v>Empaquetado</v>
          </cell>
          <cell r="AC1460">
            <v>5.0719967793880845E-4</v>
          </cell>
          <cell r="AD1460">
            <v>5.0719967793880845E-4</v>
          </cell>
          <cell r="AE1460" t="str">
            <v>Con precio</v>
          </cell>
        </row>
        <row r="1461">
          <cell r="B1461" t="str">
            <v>AVAN0200</v>
          </cell>
          <cell r="X1461" t="str">
            <v>Empaquetado</v>
          </cell>
          <cell r="AC1461">
            <v>2.1875000000000002E-3</v>
          </cell>
          <cell r="AD1461">
            <v>2.1875000000000002E-3</v>
          </cell>
          <cell r="AE1461" t="str">
            <v>Con precio</v>
          </cell>
        </row>
        <row r="1462">
          <cell r="B1462" t="str">
            <v>AVAN0200</v>
          </cell>
          <cell r="X1462" t="str">
            <v>Empaquetado</v>
          </cell>
          <cell r="AC1462">
            <v>0.16730511363636363</v>
          </cell>
          <cell r="AD1462">
            <v>0.16730511363636363</v>
          </cell>
          <cell r="AE1462" t="str">
            <v>Con precio</v>
          </cell>
        </row>
        <row r="1463">
          <cell r="B1463" t="str">
            <v>AVAN0200</v>
          </cell>
          <cell r="X1463" t="str">
            <v>Empaquetado</v>
          </cell>
          <cell r="AC1463">
            <v>1.9337500000000001E-2</v>
          </cell>
          <cell r="AD1463">
            <v>1.9337500000000001E-2</v>
          </cell>
          <cell r="AE1463" t="str">
            <v>Con precio</v>
          </cell>
        </row>
        <row r="1464">
          <cell r="B1464" t="str">
            <v>AVAN0200</v>
          </cell>
          <cell r="X1464" t="str">
            <v>Empaquetado</v>
          </cell>
          <cell r="AC1464">
            <v>3.4999999999999996E-3</v>
          </cell>
          <cell r="AD1464">
            <v>3.4999999999999996E-3</v>
          </cell>
          <cell r="AE1464" t="str">
            <v>Con precio</v>
          </cell>
        </row>
        <row r="1465">
          <cell r="B1465" t="str">
            <v>AVAN0200</v>
          </cell>
          <cell r="X1465" t="str">
            <v>Empaquetado</v>
          </cell>
          <cell r="AC1465">
            <v>2.2500000000000003E-3</v>
          </cell>
          <cell r="AD1465">
            <v>2.2500000000000003E-3</v>
          </cell>
          <cell r="AE1465" t="str">
            <v>Con precio</v>
          </cell>
        </row>
        <row r="1466">
          <cell r="B1466" t="str">
            <v>AVAN0200RO</v>
          </cell>
          <cell r="X1466" t="str">
            <v>Formulación</v>
          </cell>
          <cell r="AC1466">
            <v>1.8339999999999999E-2</v>
          </cell>
          <cell r="AD1466">
            <v>1.6637000000000002E-2</v>
          </cell>
          <cell r="AE1466" t="str">
            <v>Con precio</v>
          </cell>
        </row>
        <row r="1467">
          <cell r="B1467" t="str">
            <v>AVAN0200RO</v>
          </cell>
          <cell r="X1467" t="str">
            <v>Formulación</v>
          </cell>
          <cell r="AC1467">
            <v>5.9295E-2</v>
          </cell>
          <cell r="AD1467">
            <v>5.9295E-2</v>
          </cell>
          <cell r="AE1467" t="str">
            <v>Con precio</v>
          </cell>
        </row>
        <row r="1468">
          <cell r="B1468" t="str">
            <v>AVAN0200RO</v>
          </cell>
          <cell r="X1468" t="str">
            <v>Formulación</v>
          </cell>
          <cell r="AC1468">
            <v>0.09</v>
          </cell>
          <cell r="AD1468">
            <v>8.1250000000000003E-2</v>
          </cell>
          <cell r="AE1468" t="str">
            <v>Con precio</v>
          </cell>
        </row>
        <row r="1469">
          <cell r="B1469" t="str">
            <v>AVAN0200RO</v>
          </cell>
          <cell r="X1469" t="str">
            <v>Formulación</v>
          </cell>
          <cell r="AC1469">
            <v>5.6400000000000006E-2</v>
          </cell>
          <cell r="AD1469">
            <v>4.5983999999999997E-2</v>
          </cell>
          <cell r="AE1469" t="str">
            <v>Con precio</v>
          </cell>
        </row>
        <row r="1470">
          <cell r="B1470" t="str">
            <v>AVAN0200RO</v>
          </cell>
          <cell r="X1470" t="str">
            <v>Formulación</v>
          </cell>
          <cell r="AC1470">
            <v>7.3200000000000001E-3</v>
          </cell>
          <cell r="AD1470">
            <v>7.3200000000000001E-3</v>
          </cell>
          <cell r="AE1470" t="str">
            <v>Con precio</v>
          </cell>
        </row>
        <row r="1471">
          <cell r="B1471" t="str">
            <v>AVAN0200RO</v>
          </cell>
          <cell r="X1471" t="str">
            <v>Formulación</v>
          </cell>
          <cell r="AC1471">
            <v>0.10973999999999999</v>
          </cell>
          <cell r="AD1471">
            <v>0.10973999999999999</v>
          </cell>
          <cell r="AE1471" t="str">
            <v>Con precio</v>
          </cell>
        </row>
        <row r="1472">
          <cell r="B1472" t="str">
            <v>AVAN0200RO</v>
          </cell>
          <cell r="X1472" t="str">
            <v>Formulación</v>
          </cell>
          <cell r="AC1472">
            <v>0.70400000000000007</v>
          </cell>
          <cell r="AD1472">
            <v>0.70400000000000007</v>
          </cell>
          <cell r="AE1472" t="str">
            <v>Con precio</v>
          </cell>
        </row>
        <row r="1473">
          <cell r="B1473" t="str">
            <v>AVAN0200RO</v>
          </cell>
          <cell r="X1473" t="str">
            <v>Formulación</v>
          </cell>
          <cell r="AC1473">
            <v>4.1279999999999997E-2</v>
          </cell>
          <cell r="AD1473">
            <v>3.0864000000000003E-2</v>
          </cell>
          <cell r="AE1473" t="str">
            <v>Con precio</v>
          </cell>
        </row>
        <row r="1474">
          <cell r="B1474" t="str">
            <v>AVAN0200RO</v>
          </cell>
          <cell r="X1474" t="str">
            <v>Formulación</v>
          </cell>
          <cell r="AC1474">
            <v>7.6950000000000005E-2</v>
          </cell>
          <cell r="AD1474">
            <v>7.0740000000000011E-2</v>
          </cell>
          <cell r="AE1474" t="str">
            <v>Con precio</v>
          </cell>
        </row>
        <row r="1475">
          <cell r="B1475" t="str">
            <v>AVAN0200RO</v>
          </cell>
          <cell r="X1475" t="str">
            <v>Formulación</v>
          </cell>
          <cell r="AC1475">
            <v>9.672E-2</v>
          </cell>
          <cell r="AD1475">
            <v>8.8902666666666672E-2</v>
          </cell>
          <cell r="AE1475" t="str">
            <v>Con precio</v>
          </cell>
        </row>
        <row r="1476">
          <cell r="B1476" t="str">
            <v>AVAN0200RO</v>
          </cell>
          <cell r="X1476" t="str">
            <v>Formulación</v>
          </cell>
          <cell r="AC1476">
            <v>0.26230999999999999</v>
          </cell>
          <cell r="AD1476">
            <v>0.18219142857142862</v>
          </cell>
          <cell r="AE1476" t="str">
            <v>Con precio</v>
          </cell>
        </row>
        <row r="1477">
          <cell r="B1477" t="str">
            <v>AVAN0200RO</v>
          </cell>
          <cell r="X1477" t="str">
            <v>Formulación</v>
          </cell>
          <cell r="AC1477">
            <v>0.55650000000000011</v>
          </cell>
          <cell r="AD1477">
            <v>0.50217500000000004</v>
          </cell>
          <cell r="AE1477" t="str">
            <v>Con precio</v>
          </cell>
        </row>
        <row r="1478">
          <cell r="B1478" t="str">
            <v>AVAN0200RO</v>
          </cell>
          <cell r="X1478" t="str">
            <v>Empaquetado</v>
          </cell>
          <cell r="AC1478">
            <v>5.0719967793880845E-4</v>
          </cell>
          <cell r="AD1478">
            <v>5.0719967793880845E-4</v>
          </cell>
          <cell r="AE1478" t="str">
            <v>Con precio</v>
          </cell>
        </row>
        <row r="1479">
          <cell r="B1479" t="str">
            <v>AVAN0200RO</v>
          </cell>
          <cell r="X1479" t="str">
            <v>Empaquetado</v>
          </cell>
          <cell r="AC1479">
            <v>2.1875000000000002E-3</v>
          </cell>
          <cell r="AD1479">
            <v>2.1875000000000002E-3</v>
          </cell>
          <cell r="AE1479" t="str">
            <v>Con precio</v>
          </cell>
        </row>
        <row r="1480">
          <cell r="B1480" t="str">
            <v>AVAN0200RO</v>
          </cell>
          <cell r="X1480" t="str">
            <v>Empaquetado</v>
          </cell>
          <cell r="AC1480">
            <v>0.16730511363636363</v>
          </cell>
          <cell r="AD1480">
            <v>0.16730511363636363</v>
          </cell>
          <cell r="AE1480" t="str">
            <v>Con precio</v>
          </cell>
        </row>
        <row r="1481">
          <cell r="B1481" t="str">
            <v>AVAN0200RO</v>
          </cell>
          <cell r="X1481" t="str">
            <v>Empaquetado</v>
          </cell>
          <cell r="AC1481">
            <v>1.9337500000000001E-2</v>
          </cell>
          <cell r="AD1481">
            <v>1.9337500000000001E-2</v>
          </cell>
          <cell r="AE1481" t="str">
            <v>Con precio</v>
          </cell>
        </row>
        <row r="1482">
          <cell r="B1482" t="str">
            <v>AVAN0200RO</v>
          </cell>
          <cell r="X1482" t="str">
            <v>Empaquetado</v>
          </cell>
          <cell r="AC1482">
            <v>3.4999999999999996E-3</v>
          </cell>
          <cell r="AD1482">
            <v>3.4999999999999996E-3</v>
          </cell>
          <cell r="AE1482" t="str">
            <v>Con precio</v>
          </cell>
        </row>
        <row r="1483">
          <cell r="B1483" t="str">
            <v>AVAN0200RO</v>
          </cell>
          <cell r="X1483" t="str">
            <v>Empaquetado</v>
          </cell>
          <cell r="AC1483">
            <v>2.2500000000000003E-3</v>
          </cell>
          <cell r="AD1483">
            <v>2.2500000000000003E-3</v>
          </cell>
          <cell r="AE1483" t="str">
            <v>Con precio</v>
          </cell>
        </row>
        <row r="1484">
          <cell r="B1484" t="str">
            <v>AVAN1000</v>
          </cell>
          <cell r="X1484" t="str">
            <v>Formulación</v>
          </cell>
          <cell r="AC1484">
            <v>1.8339999999999999E-2</v>
          </cell>
          <cell r="AD1484">
            <v>1.6637000000000002E-2</v>
          </cell>
          <cell r="AE1484" t="str">
            <v>Con precio</v>
          </cell>
        </row>
        <row r="1485">
          <cell r="B1485" t="str">
            <v>AVAN1000</v>
          </cell>
          <cell r="X1485" t="str">
            <v>Formulación</v>
          </cell>
          <cell r="AC1485">
            <v>5.9295E-2</v>
          </cell>
          <cell r="AD1485">
            <v>5.9295E-2</v>
          </cell>
          <cell r="AE1485" t="str">
            <v>Con precio</v>
          </cell>
        </row>
        <row r="1486">
          <cell r="B1486" t="str">
            <v>AVAN1000</v>
          </cell>
          <cell r="X1486" t="str">
            <v>Formulación</v>
          </cell>
          <cell r="AC1486">
            <v>0.09</v>
          </cell>
          <cell r="AD1486">
            <v>8.1250000000000003E-2</v>
          </cell>
          <cell r="AE1486" t="str">
            <v>Con precio</v>
          </cell>
        </row>
        <row r="1487">
          <cell r="B1487" t="str">
            <v>AVAN1000</v>
          </cell>
          <cell r="X1487" t="str">
            <v>Formulación</v>
          </cell>
          <cell r="AC1487">
            <v>5.6400000000000006E-2</v>
          </cell>
          <cell r="AD1487">
            <v>4.5983999999999997E-2</v>
          </cell>
          <cell r="AE1487" t="str">
            <v>Con precio</v>
          </cell>
        </row>
        <row r="1488">
          <cell r="B1488" t="str">
            <v>AVAN1000</v>
          </cell>
          <cell r="X1488" t="str">
            <v>Formulación</v>
          </cell>
          <cell r="AC1488">
            <v>7.3200000000000001E-3</v>
          </cell>
          <cell r="AD1488">
            <v>7.3200000000000001E-3</v>
          </cell>
          <cell r="AE1488" t="str">
            <v>Con precio</v>
          </cell>
        </row>
        <row r="1489">
          <cell r="B1489" t="str">
            <v>AVAN1000</v>
          </cell>
          <cell r="X1489" t="str">
            <v>Formulación</v>
          </cell>
          <cell r="AC1489">
            <v>0.10973999999999999</v>
          </cell>
          <cell r="AD1489">
            <v>0.10973999999999999</v>
          </cell>
          <cell r="AE1489" t="str">
            <v>Con precio</v>
          </cell>
        </row>
        <row r="1490">
          <cell r="B1490" t="str">
            <v>AVAN1000</v>
          </cell>
          <cell r="X1490" t="str">
            <v>Formulación</v>
          </cell>
          <cell r="AC1490">
            <v>0.70400000000000007</v>
          </cell>
          <cell r="AD1490">
            <v>0.70400000000000007</v>
          </cell>
          <cell r="AE1490" t="str">
            <v>Con precio</v>
          </cell>
        </row>
        <row r="1491">
          <cell r="B1491" t="str">
            <v>AVAN1000</v>
          </cell>
          <cell r="X1491" t="str">
            <v>Formulación</v>
          </cell>
          <cell r="AC1491">
            <v>4.1279999999999997E-2</v>
          </cell>
          <cell r="AD1491">
            <v>3.0864000000000003E-2</v>
          </cell>
          <cell r="AE1491" t="str">
            <v>Con precio</v>
          </cell>
        </row>
        <row r="1492">
          <cell r="B1492" t="str">
            <v>AVAN1000</v>
          </cell>
          <cell r="X1492" t="str">
            <v>Formulación</v>
          </cell>
          <cell r="AC1492">
            <v>7.6950000000000005E-2</v>
          </cell>
          <cell r="AD1492">
            <v>7.0740000000000011E-2</v>
          </cell>
          <cell r="AE1492" t="str">
            <v>Con precio</v>
          </cell>
        </row>
        <row r="1493">
          <cell r="B1493" t="str">
            <v>AVAN1000</v>
          </cell>
          <cell r="X1493" t="str">
            <v>Formulación</v>
          </cell>
          <cell r="AC1493">
            <v>9.672E-2</v>
          </cell>
          <cell r="AD1493">
            <v>8.8902666666666672E-2</v>
          </cell>
          <cell r="AE1493" t="str">
            <v>Con precio</v>
          </cell>
        </row>
        <row r="1494">
          <cell r="B1494" t="str">
            <v>AVAN1000</v>
          </cell>
          <cell r="X1494" t="str">
            <v>Formulación</v>
          </cell>
          <cell r="AC1494">
            <v>0.26230999999999999</v>
          </cell>
          <cell r="AD1494">
            <v>0.18219142857142862</v>
          </cell>
          <cell r="AE1494" t="str">
            <v>Con precio</v>
          </cell>
        </row>
        <row r="1495">
          <cell r="B1495" t="str">
            <v>AVAN1000</v>
          </cell>
          <cell r="X1495" t="str">
            <v>Formulación</v>
          </cell>
          <cell r="AC1495">
            <v>0.55650000000000011</v>
          </cell>
          <cell r="AD1495">
            <v>0.50217500000000004</v>
          </cell>
          <cell r="AE1495" t="str">
            <v>Con precio</v>
          </cell>
        </row>
        <row r="1496">
          <cell r="B1496" t="str">
            <v>AVAN1000</v>
          </cell>
          <cell r="X1496" t="str">
            <v>Empaquetado</v>
          </cell>
          <cell r="AC1496">
            <v>6.9846153846153836E-2</v>
          </cell>
          <cell r="AD1496">
            <v>6.9846153846153836E-2</v>
          </cell>
          <cell r="AE1496" t="str">
            <v>Con precio</v>
          </cell>
        </row>
        <row r="1497">
          <cell r="B1497" t="str">
            <v>AVAN1000</v>
          </cell>
          <cell r="X1497" t="str">
            <v>Empaquetado</v>
          </cell>
          <cell r="AC1497">
            <v>1.014399355877617E-4</v>
          </cell>
          <cell r="AD1497">
            <v>1.014399355877617E-4</v>
          </cell>
          <cell r="AE1497" t="str">
            <v>Con precio</v>
          </cell>
        </row>
        <row r="1498">
          <cell r="B1498" t="str">
            <v>B0001</v>
          </cell>
          <cell r="X1498" t="str">
            <v>Formulación</v>
          </cell>
          <cell r="AC1498">
            <v>2.7820000000000001E-2</v>
          </cell>
          <cell r="AD1498">
            <v>2.3400000000000001E-2</v>
          </cell>
          <cell r="AE1498" t="str">
            <v>Con precio</v>
          </cell>
        </row>
        <row r="1499">
          <cell r="B1499" t="str">
            <v>B0001</v>
          </cell>
          <cell r="X1499" t="str">
            <v>Formulación</v>
          </cell>
          <cell r="AC1499">
            <v>2.6307000000000001E-2</v>
          </cell>
          <cell r="AD1499">
            <v>2.6307000000000001E-2</v>
          </cell>
          <cell r="AE1499" t="str">
            <v>Con precio</v>
          </cell>
        </row>
        <row r="1500">
          <cell r="B1500" t="str">
            <v>B0001</v>
          </cell>
          <cell r="X1500" t="str">
            <v>Formulación</v>
          </cell>
          <cell r="AC1500">
            <v>3.8475000000000002E-2</v>
          </cell>
          <cell r="AD1500">
            <v>3.8475000000000002E-2</v>
          </cell>
          <cell r="AE1500" t="str">
            <v>Con precio</v>
          </cell>
        </row>
        <row r="1501">
          <cell r="B1501" t="str">
            <v>B0001</v>
          </cell>
          <cell r="X1501" t="str">
            <v>Formulación</v>
          </cell>
          <cell r="AC1501">
            <v>0.116688</v>
          </cell>
          <cell r="AD1501">
            <v>0.10336000000000001</v>
          </cell>
          <cell r="AE1501" t="str">
            <v>Con precio</v>
          </cell>
        </row>
        <row r="1502">
          <cell r="B1502" t="str">
            <v>B0001</v>
          </cell>
          <cell r="X1502" t="str">
            <v>Formulación</v>
          </cell>
          <cell r="AC1502">
            <v>5.6723000000000003E-2</v>
          </cell>
          <cell r="AD1502">
            <v>5.6723000000000003E-2</v>
          </cell>
          <cell r="AE1502" t="str">
            <v>Con precio</v>
          </cell>
        </row>
        <row r="1503">
          <cell r="B1503" t="str">
            <v>B0001</v>
          </cell>
          <cell r="X1503" t="str">
            <v>Formulación</v>
          </cell>
          <cell r="AC1503">
            <v>2.0879999999999996E-2</v>
          </cell>
          <cell r="AD1503">
            <v>1.8247499999999996E-2</v>
          </cell>
          <cell r="AE1503" t="str">
            <v>Con precio</v>
          </cell>
        </row>
        <row r="1504">
          <cell r="B1504" t="str">
            <v>B0001</v>
          </cell>
          <cell r="X1504" t="str">
            <v>Formulación</v>
          </cell>
          <cell r="AC1504">
            <v>0.26633999999999997</v>
          </cell>
          <cell r="AD1504">
            <v>0.21873333333333334</v>
          </cell>
          <cell r="AE1504" t="str">
            <v>Con precio</v>
          </cell>
        </row>
        <row r="1505">
          <cell r="B1505" t="str">
            <v>B0001</v>
          </cell>
          <cell r="X1505" t="str">
            <v>Formulación</v>
          </cell>
          <cell r="AC1505">
            <v>5.3360000000000005E-2</v>
          </cell>
          <cell r="AD1505">
            <v>5.1620000000000006E-2</v>
          </cell>
          <cell r="AE1505" t="str">
            <v>Con precio</v>
          </cell>
        </row>
        <row r="1506">
          <cell r="B1506" t="str">
            <v>B0001</v>
          </cell>
          <cell r="X1506" t="str">
            <v>Formulación</v>
          </cell>
          <cell r="AC1506">
            <v>9.7599999999999996E-3</v>
          </cell>
          <cell r="AD1506">
            <v>9.7599999999999996E-3</v>
          </cell>
          <cell r="AE1506" t="str">
            <v>Con precio</v>
          </cell>
        </row>
        <row r="1507">
          <cell r="B1507" t="str">
            <v>B0001</v>
          </cell>
          <cell r="X1507" t="str">
            <v>Formulación</v>
          </cell>
          <cell r="AC1507">
            <v>7.7500000000000008E-4</v>
          </cell>
          <cell r="AD1507">
            <v>7.7500000000000008E-4</v>
          </cell>
          <cell r="AE1507" t="str">
            <v>Con precio</v>
          </cell>
        </row>
        <row r="1508">
          <cell r="B1508" t="str">
            <v>B0001</v>
          </cell>
          <cell r="X1508" t="str">
            <v>Formulación</v>
          </cell>
          <cell r="AC1508">
            <v>0.11399999999999999</v>
          </cell>
          <cell r="AD1508">
            <v>9.3333333333333324E-2</v>
          </cell>
          <cell r="AE1508" t="str">
            <v>Con precio</v>
          </cell>
        </row>
        <row r="1509">
          <cell r="B1509" t="str">
            <v>B0001</v>
          </cell>
          <cell r="X1509" t="str">
            <v>Empaquetado</v>
          </cell>
          <cell r="AC1509">
            <v>3.0303030303030299E-5</v>
          </cell>
          <cell r="AD1509">
            <v>3.0303030303030299E-5</v>
          </cell>
          <cell r="AE1509" t="str">
            <v>Con precio</v>
          </cell>
        </row>
        <row r="1510">
          <cell r="B1510" t="str">
            <v>B0001</v>
          </cell>
          <cell r="X1510" t="str">
            <v>Empaquetado</v>
          </cell>
          <cell r="AC1510">
            <v>2.3439393939393937E-2</v>
          </cell>
          <cell r="AD1510">
            <v>2.3439393939393937E-2</v>
          </cell>
          <cell r="AE1510" t="str">
            <v>Con precio</v>
          </cell>
        </row>
        <row r="1511">
          <cell r="B1511" t="str">
            <v>B0001</v>
          </cell>
          <cell r="X1511" t="str">
            <v>Empaquetado</v>
          </cell>
          <cell r="AC1511">
            <v>7.1917518745739595E-2</v>
          </cell>
          <cell r="AD1511">
            <v>7.1917518745739595E-2</v>
          </cell>
          <cell r="AE1511" t="str">
            <v>Con precio</v>
          </cell>
        </row>
        <row r="1512">
          <cell r="B1512" t="str">
            <v>B0001</v>
          </cell>
          <cell r="X1512" t="str">
            <v>Empaquetado</v>
          </cell>
          <cell r="AC1512">
            <v>0.44322992424242419</v>
          </cell>
          <cell r="AD1512">
            <v>0.44322992424242419</v>
          </cell>
          <cell r="AE1512" t="str">
            <v>Con precio</v>
          </cell>
        </row>
        <row r="1513">
          <cell r="B1513" t="str">
            <v>B0001</v>
          </cell>
          <cell r="X1513" t="str">
            <v>Empaquetado</v>
          </cell>
          <cell r="AC1513">
            <v>0.11874999999999999</v>
          </cell>
          <cell r="AD1513">
            <v>0.11874999999999999</v>
          </cell>
          <cell r="AE1513" t="str">
            <v>Con precio</v>
          </cell>
        </row>
        <row r="1514">
          <cell r="B1514" t="str">
            <v>B0001</v>
          </cell>
          <cell r="X1514" t="str">
            <v>Empaquetado</v>
          </cell>
          <cell r="AC1514">
            <v>9.6080774456521717E-2</v>
          </cell>
          <cell r="AD1514">
            <v>9.6080774456521717E-2</v>
          </cell>
          <cell r="AE1514" t="str">
            <v>Con precio</v>
          </cell>
        </row>
        <row r="1515">
          <cell r="B1515" t="str">
            <v>B0001DO</v>
          </cell>
          <cell r="X1515" t="str">
            <v>Formulación</v>
          </cell>
          <cell r="AC1515">
            <v>2.7820000000000001E-2</v>
          </cell>
          <cell r="AD1515">
            <v>2.3400000000000001E-2</v>
          </cell>
          <cell r="AE1515" t="str">
            <v>Con precio</v>
          </cell>
        </row>
        <row r="1516">
          <cell r="B1516" t="str">
            <v>B0001DO</v>
          </cell>
          <cell r="X1516" t="str">
            <v>Formulación</v>
          </cell>
          <cell r="AC1516">
            <v>2.6307000000000001E-2</v>
          </cell>
          <cell r="AD1516">
            <v>2.6307000000000001E-2</v>
          </cell>
          <cell r="AE1516" t="str">
            <v>Con precio</v>
          </cell>
        </row>
        <row r="1517">
          <cell r="B1517" t="str">
            <v>B0001DO</v>
          </cell>
          <cell r="X1517" t="str">
            <v>Formulación</v>
          </cell>
          <cell r="AC1517">
            <v>3.8475000000000002E-2</v>
          </cell>
          <cell r="AD1517">
            <v>3.8475000000000002E-2</v>
          </cell>
          <cell r="AE1517" t="str">
            <v>Con precio</v>
          </cell>
        </row>
        <row r="1518">
          <cell r="B1518" t="str">
            <v>B0001DO</v>
          </cell>
          <cell r="X1518" t="str">
            <v>Formulación</v>
          </cell>
          <cell r="AC1518">
            <v>0.116688</v>
          </cell>
          <cell r="AD1518">
            <v>0.10336000000000001</v>
          </cell>
          <cell r="AE1518" t="str">
            <v>Con precio</v>
          </cell>
        </row>
        <row r="1519">
          <cell r="B1519" t="str">
            <v>B0001DO</v>
          </cell>
          <cell r="X1519" t="str">
            <v>Formulación</v>
          </cell>
          <cell r="AC1519">
            <v>5.6723000000000003E-2</v>
          </cell>
          <cell r="AD1519">
            <v>5.6723000000000003E-2</v>
          </cell>
          <cell r="AE1519" t="str">
            <v>Con precio</v>
          </cell>
        </row>
        <row r="1520">
          <cell r="B1520" t="str">
            <v>B0001DO</v>
          </cell>
          <cell r="X1520" t="str">
            <v>Formulación</v>
          </cell>
          <cell r="AC1520">
            <v>2.0879999999999996E-2</v>
          </cell>
          <cell r="AD1520">
            <v>1.8247499999999996E-2</v>
          </cell>
          <cell r="AE1520" t="str">
            <v>Con precio</v>
          </cell>
        </row>
        <row r="1521">
          <cell r="B1521" t="str">
            <v>B0001DO</v>
          </cell>
          <cell r="X1521" t="str">
            <v>Formulación</v>
          </cell>
          <cell r="AC1521">
            <v>0.26633999999999997</v>
          </cell>
          <cell r="AD1521">
            <v>0.21873333333333334</v>
          </cell>
          <cell r="AE1521" t="str">
            <v>Con precio</v>
          </cell>
        </row>
        <row r="1522">
          <cell r="B1522" t="str">
            <v>B0001DO</v>
          </cell>
          <cell r="X1522" t="str">
            <v>Formulación</v>
          </cell>
          <cell r="AC1522">
            <v>5.3360000000000005E-2</v>
          </cell>
          <cell r="AD1522">
            <v>5.1620000000000006E-2</v>
          </cell>
          <cell r="AE1522" t="str">
            <v>Con precio</v>
          </cell>
        </row>
        <row r="1523">
          <cell r="B1523" t="str">
            <v>B0001DO</v>
          </cell>
          <cell r="X1523" t="str">
            <v>Formulación</v>
          </cell>
          <cell r="AC1523">
            <v>9.7599999999999996E-3</v>
          </cell>
          <cell r="AD1523">
            <v>9.7599999999999996E-3</v>
          </cell>
          <cell r="AE1523" t="str">
            <v>Con precio</v>
          </cell>
        </row>
        <row r="1524">
          <cell r="B1524" t="str">
            <v>B0001DO</v>
          </cell>
          <cell r="X1524" t="str">
            <v>Formulación</v>
          </cell>
          <cell r="AC1524">
            <v>7.7500000000000008E-4</v>
          </cell>
          <cell r="AD1524">
            <v>7.7500000000000008E-4</v>
          </cell>
          <cell r="AE1524" t="str">
            <v>Con precio</v>
          </cell>
        </row>
        <row r="1525">
          <cell r="B1525" t="str">
            <v>B0001DO</v>
          </cell>
          <cell r="X1525" t="str">
            <v>Formulación</v>
          </cell>
          <cell r="AC1525">
            <v>0.11399999999999999</v>
          </cell>
          <cell r="AD1525">
            <v>9.3333333333333324E-2</v>
          </cell>
          <cell r="AE1525" t="str">
            <v>Con precio</v>
          </cell>
        </row>
        <row r="1526">
          <cell r="B1526" t="str">
            <v>B0001DO</v>
          </cell>
          <cell r="X1526" t="str">
            <v>Empaquetado</v>
          </cell>
          <cell r="AC1526">
            <v>3.0303030303030299E-5</v>
          </cell>
          <cell r="AD1526">
            <v>3.0303030303030299E-5</v>
          </cell>
          <cell r="AE1526" t="str">
            <v>Con precio</v>
          </cell>
        </row>
        <row r="1527">
          <cell r="B1527" t="str">
            <v>B0001DO</v>
          </cell>
          <cell r="X1527" t="str">
            <v>Empaquetado</v>
          </cell>
          <cell r="AC1527">
            <v>2.3439393939393937E-2</v>
          </cell>
          <cell r="AD1527">
            <v>2.3439393939393937E-2</v>
          </cell>
          <cell r="AE1527" t="str">
            <v>Con precio</v>
          </cell>
        </row>
        <row r="1528">
          <cell r="B1528" t="str">
            <v>B0001DO</v>
          </cell>
          <cell r="X1528" t="str">
            <v>Empaquetado</v>
          </cell>
          <cell r="AC1528">
            <v>7.1917518745739595E-2</v>
          </cell>
          <cell r="AD1528">
            <v>7.1917518745739595E-2</v>
          </cell>
          <cell r="AE1528" t="str">
            <v>Con precio</v>
          </cell>
        </row>
        <row r="1529">
          <cell r="B1529" t="str">
            <v>B0001DO</v>
          </cell>
          <cell r="X1529" t="str">
            <v>Empaquetado</v>
          </cell>
          <cell r="AC1529">
            <v>0.44322992424242419</v>
          </cell>
          <cell r="AD1529">
            <v>0.44322992424242419</v>
          </cell>
          <cell r="AE1529" t="str">
            <v>Con precio</v>
          </cell>
        </row>
        <row r="1530">
          <cell r="B1530" t="str">
            <v>B0001DO</v>
          </cell>
          <cell r="X1530" t="str">
            <v>Empaquetado</v>
          </cell>
          <cell r="AC1530">
            <v>0.11874999999999999</v>
          </cell>
          <cell r="AD1530">
            <v>0.11874999999999999</v>
          </cell>
          <cell r="AE1530" t="str">
            <v>Con precio</v>
          </cell>
        </row>
        <row r="1531">
          <cell r="B1531" t="str">
            <v>B0001DO</v>
          </cell>
          <cell r="X1531" t="str">
            <v>Empaquetado</v>
          </cell>
          <cell r="AC1531">
            <v>9.6080774456521717E-2</v>
          </cell>
          <cell r="AD1531">
            <v>9.6080774456521717E-2</v>
          </cell>
          <cell r="AE1531" t="str">
            <v>Con precio</v>
          </cell>
        </row>
        <row r="1532">
          <cell r="B1532" t="str">
            <v>B0001RO</v>
          </cell>
          <cell r="X1532" t="str">
            <v>Formulación</v>
          </cell>
          <cell r="AC1532">
            <v>2.7820000000000001E-2</v>
          </cell>
          <cell r="AD1532">
            <v>2.3400000000000001E-2</v>
          </cell>
          <cell r="AE1532" t="str">
            <v>Con precio</v>
          </cell>
        </row>
        <row r="1533">
          <cell r="B1533" t="str">
            <v>B0001RO</v>
          </cell>
          <cell r="X1533" t="str">
            <v>Formulación</v>
          </cell>
          <cell r="AC1533">
            <v>2.6307000000000001E-2</v>
          </cell>
          <cell r="AD1533">
            <v>2.6307000000000001E-2</v>
          </cell>
          <cell r="AE1533" t="str">
            <v>Con precio</v>
          </cell>
        </row>
        <row r="1534">
          <cell r="B1534" t="str">
            <v>B0001RO</v>
          </cell>
          <cell r="X1534" t="str">
            <v>Formulación</v>
          </cell>
          <cell r="AC1534">
            <v>3.8475000000000002E-2</v>
          </cell>
          <cell r="AD1534">
            <v>3.8475000000000002E-2</v>
          </cell>
          <cell r="AE1534" t="str">
            <v>Con precio</v>
          </cell>
        </row>
        <row r="1535">
          <cell r="B1535" t="str">
            <v>B0001RO</v>
          </cell>
          <cell r="X1535" t="str">
            <v>Formulación</v>
          </cell>
          <cell r="AC1535">
            <v>0.116688</v>
          </cell>
          <cell r="AD1535">
            <v>0.10336000000000001</v>
          </cell>
          <cell r="AE1535" t="str">
            <v>Con precio</v>
          </cell>
        </row>
        <row r="1536">
          <cell r="B1536" t="str">
            <v>B0001RO</v>
          </cell>
          <cell r="X1536" t="str">
            <v>Formulación</v>
          </cell>
          <cell r="AC1536">
            <v>5.6723000000000003E-2</v>
          </cell>
          <cell r="AD1536">
            <v>5.6723000000000003E-2</v>
          </cell>
          <cell r="AE1536" t="str">
            <v>Con precio</v>
          </cell>
        </row>
        <row r="1537">
          <cell r="B1537" t="str">
            <v>B0001RO</v>
          </cell>
          <cell r="X1537" t="str">
            <v>Formulación</v>
          </cell>
          <cell r="AC1537">
            <v>2.0879999999999996E-2</v>
          </cell>
          <cell r="AD1537">
            <v>1.8247499999999996E-2</v>
          </cell>
          <cell r="AE1537" t="str">
            <v>Con precio</v>
          </cell>
        </row>
        <row r="1538">
          <cell r="B1538" t="str">
            <v>B0001RO</v>
          </cell>
          <cell r="X1538" t="str">
            <v>Formulación</v>
          </cell>
          <cell r="AC1538">
            <v>0.26633999999999997</v>
          </cell>
          <cell r="AD1538">
            <v>0.21873333333333334</v>
          </cell>
          <cell r="AE1538" t="str">
            <v>Con precio</v>
          </cell>
        </row>
        <row r="1539">
          <cell r="B1539" t="str">
            <v>B0001RO</v>
          </cell>
          <cell r="X1539" t="str">
            <v>Formulación</v>
          </cell>
          <cell r="AC1539">
            <v>5.3360000000000005E-2</v>
          </cell>
          <cell r="AD1539">
            <v>5.1620000000000006E-2</v>
          </cell>
          <cell r="AE1539" t="str">
            <v>Con precio</v>
          </cell>
        </row>
        <row r="1540">
          <cell r="B1540" t="str">
            <v>B0001RO</v>
          </cell>
          <cell r="X1540" t="str">
            <v>Formulación</v>
          </cell>
          <cell r="AC1540">
            <v>9.7599999999999996E-3</v>
          </cell>
          <cell r="AD1540">
            <v>9.7599999999999996E-3</v>
          </cell>
          <cell r="AE1540" t="str">
            <v>Con precio</v>
          </cell>
        </row>
        <row r="1541">
          <cell r="B1541" t="str">
            <v>B0001RO</v>
          </cell>
          <cell r="X1541" t="str">
            <v>Formulación</v>
          </cell>
          <cell r="AC1541">
            <v>7.7500000000000008E-4</v>
          </cell>
          <cell r="AD1541">
            <v>7.7500000000000008E-4</v>
          </cell>
          <cell r="AE1541" t="str">
            <v>Con precio</v>
          </cell>
        </row>
        <row r="1542">
          <cell r="B1542" t="str">
            <v>B0001RO</v>
          </cell>
          <cell r="X1542" t="str">
            <v>Formulación</v>
          </cell>
          <cell r="AC1542">
            <v>0.11399999999999999</v>
          </cell>
          <cell r="AD1542">
            <v>9.3333333333333324E-2</v>
          </cell>
          <cell r="AE1542" t="str">
            <v>Con precio</v>
          </cell>
        </row>
        <row r="1543">
          <cell r="B1543" t="str">
            <v>B0001RO</v>
          </cell>
          <cell r="X1543" t="str">
            <v>Empaquetado</v>
          </cell>
          <cell r="AC1543">
            <v>3.0303030303030299E-5</v>
          </cell>
          <cell r="AD1543">
            <v>3.0303030303030299E-5</v>
          </cell>
          <cell r="AE1543" t="str">
            <v>Con precio</v>
          </cell>
        </row>
        <row r="1544">
          <cell r="B1544" t="str">
            <v>B0001RO</v>
          </cell>
          <cell r="X1544" t="str">
            <v>Empaquetado</v>
          </cell>
          <cell r="AC1544">
            <v>2.3439393939393937E-2</v>
          </cell>
          <cell r="AD1544">
            <v>2.3439393939393937E-2</v>
          </cell>
          <cell r="AE1544" t="str">
            <v>Con precio</v>
          </cell>
        </row>
        <row r="1545">
          <cell r="B1545" t="str">
            <v>B0001RO</v>
          </cell>
          <cell r="X1545" t="str">
            <v>Empaquetado</v>
          </cell>
          <cell r="AC1545">
            <v>7.1917518745739595E-2</v>
          </cell>
          <cell r="AD1545">
            <v>7.1917518745739595E-2</v>
          </cell>
          <cell r="AE1545" t="str">
            <v>Con precio</v>
          </cell>
        </row>
        <row r="1546">
          <cell r="B1546" t="str">
            <v>B0001RO</v>
          </cell>
          <cell r="X1546" t="str">
            <v>Empaquetado</v>
          </cell>
          <cell r="AC1546">
            <v>0.44322992424242419</v>
          </cell>
          <cell r="AD1546">
            <v>0.44322992424242419</v>
          </cell>
          <cell r="AE1546" t="str">
            <v>Con precio</v>
          </cell>
        </row>
        <row r="1547">
          <cell r="B1547" t="str">
            <v>B0001RO</v>
          </cell>
          <cell r="X1547" t="str">
            <v>Empaquetado</v>
          </cell>
          <cell r="AC1547">
            <v>0.11874999999999999</v>
          </cell>
          <cell r="AD1547">
            <v>0.11874999999999999</v>
          </cell>
          <cell r="AE1547" t="str">
            <v>Con precio</v>
          </cell>
        </row>
        <row r="1548">
          <cell r="B1548" t="str">
            <v>B0001RO</v>
          </cell>
          <cell r="X1548" t="str">
            <v>Empaquetado</v>
          </cell>
          <cell r="AC1548">
            <v>9.6080774456521717E-2</v>
          </cell>
          <cell r="AD1548">
            <v>9.6080774456521717E-2</v>
          </cell>
          <cell r="AE1548" t="str">
            <v>Con precio</v>
          </cell>
        </row>
        <row r="1549">
          <cell r="B1549" t="str">
            <v>B0005</v>
          </cell>
          <cell r="X1549" t="str">
            <v>Formulación</v>
          </cell>
          <cell r="AC1549">
            <v>2.7820000000000001E-2</v>
          </cell>
          <cell r="AD1549">
            <v>2.3400000000000001E-2</v>
          </cell>
          <cell r="AE1549" t="str">
            <v>Con precio</v>
          </cell>
        </row>
        <row r="1550">
          <cell r="B1550" t="str">
            <v>B0005</v>
          </cell>
          <cell r="X1550" t="str">
            <v>Formulación</v>
          </cell>
          <cell r="AC1550">
            <v>2.6307000000000001E-2</v>
          </cell>
          <cell r="AD1550">
            <v>2.6307000000000001E-2</v>
          </cell>
          <cell r="AE1550" t="str">
            <v>Con precio</v>
          </cell>
        </row>
        <row r="1551">
          <cell r="B1551" t="str">
            <v>B0005</v>
          </cell>
          <cell r="X1551" t="str">
            <v>Formulación</v>
          </cell>
          <cell r="AC1551">
            <v>3.8475000000000002E-2</v>
          </cell>
          <cell r="AD1551">
            <v>3.8475000000000002E-2</v>
          </cell>
          <cell r="AE1551" t="str">
            <v>Con precio</v>
          </cell>
        </row>
        <row r="1552">
          <cell r="B1552" t="str">
            <v>B0005</v>
          </cell>
          <cell r="X1552" t="str">
            <v>Formulación</v>
          </cell>
          <cell r="AC1552">
            <v>0.116688</v>
          </cell>
          <cell r="AD1552">
            <v>0.10336000000000001</v>
          </cell>
          <cell r="AE1552" t="str">
            <v>Con precio</v>
          </cell>
        </row>
        <row r="1553">
          <cell r="B1553" t="str">
            <v>B0005</v>
          </cell>
          <cell r="X1553" t="str">
            <v>Formulación</v>
          </cell>
          <cell r="AC1553">
            <v>5.6723000000000003E-2</v>
          </cell>
          <cell r="AD1553">
            <v>5.6723000000000003E-2</v>
          </cell>
          <cell r="AE1553" t="str">
            <v>Con precio</v>
          </cell>
        </row>
        <row r="1554">
          <cell r="B1554" t="str">
            <v>B0005</v>
          </cell>
          <cell r="X1554" t="str">
            <v>Formulación</v>
          </cell>
          <cell r="AC1554">
            <v>2.0879999999999996E-2</v>
          </cell>
          <cell r="AD1554">
            <v>1.8247499999999996E-2</v>
          </cell>
          <cell r="AE1554" t="str">
            <v>Con precio</v>
          </cell>
        </row>
        <row r="1555">
          <cell r="B1555" t="str">
            <v>B0005</v>
          </cell>
          <cell r="X1555" t="str">
            <v>Formulación</v>
          </cell>
          <cell r="AC1555">
            <v>0.26633999999999997</v>
          </cell>
          <cell r="AD1555">
            <v>0.21873333333333334</v>
          </cell>
          <cell r="AE1555" t="str">
            <v>Con precio</v>
          </cell>
        </row>
        <row r="1556">
          <cell r="B1556" t="str">
            <v>B0005</v>
          </cell>
          <cell r="X1556" t="str">
            <v>Formulación</v>
          </cell>
          <cell r="AC1556">
            <v>5.3360000000000005E-2</v>
          </cell>
          <cell r="AD1556">
            <v>5.1620000000000006E-2</v>
          </cell>
          <cell r="AE1556" t="str">
            <v>Con precio</v>
          </cell>
        </row>
        <row r="1557">
          <cell r="B1557" t="str">
            <v>B0005</v>
          </cell>
          <cell r="X1557" t="str">
            <v>Formulación</v>
          </cell>
          <cell r="AC1557">
            <v>9.7599999999999996E-3</v>
          </cell>
          <cell r="AD1557">
            <v>9.7599999999999996E-3</v>
          </cell>
          <cell r="AE1557" t="str">
            <v>Con precio</v>
          </cell>
        </row>
        <row r="1558">
          <cell r="B1558" t="str">
            <v>B0005</v>
          </cell>
          <cell r="X1558" t="str">
            <v>Formulación</v>
          </cell>
          <cell r="AC1558">
            <v>7.7500000000000008E-4</v>
          </cell>
          <cell r="AD1558">
            <v>7.7500000000000008E-4</v>
          </cell>
          <cell r="AE1558" t="str">
            <v>Con precio</v>
          </cell>
        </row>
        <row r="1559">
          <cell r="B1559" t="str">
            <v>B0005</v>
          </cell>
          <cell r="X1559" t="str">
            <v>Formulación</v>
          </cell>
          <cell r="AC1559">
            <v>0.11399999999999999</v>
          </cell>
          <cell r="AD1559">
            <v>9.3333333333333324E-2</v>
          </cell>
          <cell r="AE1559" t="str">
            <v>Con precio</v>
          </cell>
        </row>
        <row r="1560">
          <cell r="B1560" t="str">
            <v>B0005</v>
          </cell>
          <cell r="X1560" t="str">
            <v>Empaquetado</v>
          </cell>
          <cell r="AC1560">
            <v>1.2991333333333337E-2</v>
          </cell>
          <cell r="AD1560">
            <v>1.2991333333333337E-2</v>
          </cell>
          <cell r="AE1560" t="str">
            <v>Con precio</v>
          </cell>
        </row>
        <row r="1561">
          <cell r="B1561" t="str">
            <v>B0005</v>
          </cell>
          <cell r="X1561" t="str">
            <v>Empaquetado</v>
          </cell>
          <cell r="AC1561">
            <v>2.5783333333333339E-2</v>
          </cell>
          <cell r="AD1561">
            <v>2.5783333333333339E-2</v>
          </cell>
          <cell r="AE1561" t="str">
            <v>Con precio</v>
          </cell>
        </row>
        <row r="1562">
          <cell r="B1562" t="str">
            <v>B0005</v>
          </cell>
          <cell r="X1562" t="str">
            <v>Empaquetado</v>
          </cell>
          <cell r="AC1562">
            <v>2.5359983896940424E-2</v>
          </cell>
          <cell r="AD1562">
            <v>2.5359983896940424E-2</v>
          </cell>
          <cell r="AE1562" t="str">
            <v>Con precio</v>
          </cell>
        </row>
        <row r="1563">
          <cell r="B1563" t="str">
            <v>B0005</v>
          </cell>
          <cell r="X1563" t="str">
            <v>Empaquetado</v>
          </cell>
          <cell r="AC1563">
            <v>3.4200000000000001E-2</v>
          </cell>
          <cell r="AD1563">
            <v>3.4200000000000001E-2</v>
          </cell>
          <cell r="AE1563" t="str">
            <v>Con precio</v>
          </cell>
        </row>
        <row r="1564">
          <cell r="B1564" t="str">
            <v>B0005</v>
          </cell>
          <cell r="X1564" t="str">
            <v>Empaquetado</v>
          </cell>
          <cell r="AC1564">
            <v>0.17399999999999999</v>
          </cell>
          <cell r="AD1564">
            <v>0.17399999999999999</v>
          </cell>
          <cell r="AE1564" t="str">
            <v>Con precio</v>
          </cell>
        </row>
        <row r="1565">
          <cell r="B1565" t="str">
            <v>B0005</v>
          </cell>
          <cell r="X1565" t="str">
            <v>Empaquetado</v>
          </cell>
          <cell r="AC1565">
            <v>3.6950017630465445E-2</v>
          </cell>
          <cell r="AD1565">
            <v>3.6950017630465445E-2</v>
          </cell>
          <cell r="AE1565" t="str">
            <v>Con precio</v>
          </cell>
        </row>
        <row r="1566">
          <cell r="B1566" t="str">
            <v>B0020</v>
          </cell>
          <cell r="X1566" t="str">
            <v>Formulación</v>
          </cell>
          <cell r="AC1566">
            <v>2.7820000000000001E-2</v>
          </cell>
          <cell r="AD1566">
            <v>2.3400000000000001E-2</v>
          </cell>
          <cell r="AE1566" t="str">
            <v>Con precio</v>
          </cell>
        </row>
        <row r="1567">
          <cell r="B1567" t="str">
            <v>B0020</v>
          </cell>
          <cell r="X1567" t="str">
            <v>Formulación</v>
          </cell>
          <cell r="AC1567">
            <v>2.6307000000000001E-2</v>
          </cell>
          <cell r="AD1567">
            <v>2.6307000000000001E-2</v>
          </cell>
          <cell r="AE1567" t="str">
            <v>Con precio</v>
          </cell>
        </row>
        <row r="1568">
          <cell r="B1568" t="str">
            <v>B0020</v>
          </cell>
          <cell r="X1568" t="str">
            <v>Formulación</v>
          </cell>
          <cell r="AC1568">
            <v>3.8475000000000002E-2</v>
          </cell>
          <cell r="AD1568">
            <v>3.8475000000000002E-2</v>
          </cell>
          <cell r="AE1568" t="str">
            <v>Con precio</v>
          </cell>
        </row>
        <row r="1569">
          <cell r="B1569" t="str">
            <v>B0020</v>
          </cell>
          <cell r="X1569" t="str">
            <v>Formulación</v>
          </cell>
          <cell r="AC1569">
            <v>0.116688</v>
          </cell>
          <cell r="AD1569">
            <v>0.10336000000000001</v>
          </cell>
          <cell r="AE1569" t="str">
            <v>Con precio</v>
          </cell>
        </row>
        <row r="1570">
          <cell r="B1570" t="str">
            <v>B0020</v>
          </cell>
          <cell r="X1570" t="str">
            <v>Formulación</v>
          </cell>
          <cell r="AC1570">
            <v>5.6723000000000003E-2</v>
          </cell>
          <cell r="AD1570">
            <v>5.6723000000000003E-2</v>
          </cell>
          <cell r="AE1570" t="str">
            <v>Con precio</v>
          </cell>
        </row>
        <row r="1571">
          <cell r="B1571" t="str">
            <v>B0020</v>
          </cell>
          <cell r="X1571" t="str">
            <v>Formulación</v>
          </cell>
          <cell r="AC1571">
            <v>2.0879999999999996E-2</v>
          </cell>
          <cell r="AD1571">
            <v>1.8247499999999996E-2</v>
          </cell>
          <cell r="AE1571" t="str">
            <v>Con precio</v>
          </cell>
        </row>
        <row r="1572">
          <cell r="B1572" t="str">
            <v>B0020</v>
          </cell>
          <cell r="X1572" t="str">
            <v>Formulación</v>
          </cell>
          <cell r="AC1572">
            <v>0.26633999999999997</v>
          </cell>
          <cell r="AD1572">
            <v>0.21873333333333334</v>
          </cell>
          <cell r="AE1572" t="str">
            <v>Con precio</v>
          </cell>
        </row>
        <row r="1573">
          <cell r="B1573" t="str">
            <v>B0020</v>
          </cell>
          <cell r="X1573" t="str">
            <v>Formulación</v>
          </cell>
          <cell r="AC1573">
            <v>5.3360000000000005E-2</v>
          </cell>
          <cell r="AD1573">
            <v>5.1620000000000006E-2</v>
          </cell>
          <cell r="AE1573" t="str">
            <v>Con precio</v>
          </cell>
        </row>
        <row r="1574">
          <cell r="B1574" t="str">
            <v>B0020</v>
          </cell>
          <cell r="X1574" t="str">
            <v>Formulación</v>
          </cell>
          <cell r="AC1574">
            <v>9.7599999999999996E-3</v>
          </cell>
          <cell r="AD1574">
            <v>9.7599999999999996E-3</v>
          </cell>
          <cell r="AE1574" t="str">
            <v>Con precio</v>
          </cell>
        </row>
        <row r="1575">
          <cell r="B1575" t="str">
            <v>B0020</v>
          </cell>
          <cell r="X1575" t="str">
            <v>Formulación</v>
          </cell>
          <cell r="AC1575">
            <v>7.7500000000000008E-4</v>
          </cell>
          <cell r="AD1575">
            <v>7.7500000000000008E-4</v>
          </cell>
          <cell r="AE1575" t="str">
            <v>Con precio</v>
          </cell>
        </row>
        <row r="1576">
          <cell r="B1576" t="str">
            <v>B0020</v>
          </cell>
          <cell r="X1576" t="str">
            <v>Formulación</v>
          </cell>
          <cell r="AC1576">
            <v>0.11399999999999999</v>
          </cell>
          <cell r="AD1576">
            <v>9.3333333333333324E-2</v>
          </cell>
          <cell r="AE1576" t="str">
            <v>Con precio</v>
          </cell>
        </row>
        <row r="1577">
          <cell r="B1577" t="str">
            <v>B0020</v>
          </cell>
          <cell r="X1577" t="str">
            <v>Empaquetado</v>
          </cell>
          <cell r="AC1577">
            <v>7.3209374999999993E-3</v>
          </cell>
          <cell r="AD1577">
            <v>7.3209374999999993E-3</v>
          </cell>
          <cell r="AE1577" t="str">
            <v>Con precio</v>
          </cell>
        </row>
        <row r="1578">
          <cell r="B1578" t="str">
            <v>B0020</v>
          </cell>
          <cell r="X1578" t="str">
            <v>Empaquetado</v>
          </cell>
          <cell r="AC1578">
            <v>2.4171875000000002E-2</v>
          </cell>
          <cell r="AD1578">
            <v>2.4171875000000002E-2</v>
          </cell>
          <cell r="AE1578" t="str">
            <v>Con precio</v>
          </cell>
        </row>
        <row r="1579">
          <cell r="B1579" t="str">
            <v>B0020</v>
          </cell>
          <cell r="X1579" t="str">
            <v>Empaquetado</v>
          </cell>
          <cell r="AC1579">
            <v>5.0719967793880849E-3</v>
          </cell>
          <cell r="AD1579">
            <v>5.0719967793880849E-3</v>
          </cell>
          <cell r="AE1579" t="str">
            <v>Con precio</v>
          </cell>
        </row>
        <row r="1580">
          <cell r="B1580" t="str">
            <v>B0020</v>
          </cell>
          <cell r="X1580" t="str">
            <v>Empaquetado</v>
          </cell>
          <cell r="AC1580">
            <v>0.18266505681818179</v>
          </cell>
          <cell r="AD1580">
            <v>0.18266505681818179</v>
          </cell>
          <cell r="AE1580" t="str">
            <v>Con precio</v>
          </cell>
        </row>
        <row r="1581">
          <cell r="B1581" t="str">
            <v>B0020</v>
          </cell>
          <cell r="X1581" t="str">
            <v>Empaquetado</v>
          </cell>
          <cell r="AC1581">
            <v>2.4035031847133761E-2</v>
          </cell>
          <cell r="AD1581">
            <v>2.4035031847133761E-2</v>
          </cell>
          <cell r="AE1581" t="str">
            <v>Con precio</v>
          </cell>
        </row>
        <row r="1582">
          <cell r="B1582" t="str">
            <v>B0020RO</v>
          </cell>
          <cell r="X1582" t="str">
            <v>Formulación</v>
          </cell>
          <cell r="AC1582">
            <v>2.7820000000000001E-2</v>
          </cell>
          <cell r="AD1582">
            <v>2.3400000000000001E-2</v>
          </cell>
          <cell r="AE1582" t="str">
            <v>Con precio</v>
          </cell>
        </row>
        <row r="1583">
          <cell r="B1583" t="str">
            <v>B0020RO</v>
          </cell>
          <cell r="X1583" t="str">
            <v>Formulación</v>
          </cell>
          <cell r="AC1583">
            <v>2.6307000000000001E-2</v>
          </cell>
          <cell r="AD1583">
            <v>2.6307000000000001E-2</v>
          </cell>
          <cell r="AE1583" t="str">
            <v>Con precio</v>
          </cell>
        </row>
        <row r="1584">
          <cell r="B1584" t="str">
            <v>B0020RO</v>
          </cell>
          <cell r="X1584" t="str">
            <v>Formulación</v>
          </cell>
          <cell r="AC1584">
            <v>3.8475000000000002E-2</v>
          </cell>
          <cell r="AD1584">
            <v>3.8475000000000002E-2</v>
          </cell>
          <cell r="AE1584" t="str">
            <v>Con precio</v>
          </cell>
        </row>
        <row r="1585">
          <cell r="B1585" t="str">
            <v>B0020RO</v>
          </cell>
          <cell r="X1585" t="str">
            <v>Formulación</v>
          </cell>
          <cell r="AC1585">
            <v>0.116688</v>
          </cell>
          <cell r="AD1585">
            <v>0.10336000000000001</v>
          </cell>
          <cell r="AE1585" t="str">
            <v>Con precio</v>
          </cell>
        </row>
        <row r="1586">
          <cell r="B1586" t="str">
            <v>B0020RO</v>
          </cell>
          <cell r="X1586" t="str">
            <v>Formulación</v>
          </cell>
          <cell r="AC1586">
            <v>5.6723000000000003E-2</v>
          </cell>
          <cell r="AD1586">
            <v>5.6723000000000003E-2</v>
          </cell>
          <cell r="AE1586" t="str">
            <v>Con precio</v>
          </cell>
        </row>
        <row r="1587">
          <cell r="B1587" t="str">
            <v>B0020RO</v>
          </cell>
          <cell r="X1587" t="str">
            <v>Formulación</v>
          </cell>
          <cell r="AC1587">
            <v>2.0879999999999996E-2</v>
          </cell>
          <cell r="AD1587">
            <v>1.8247499999999996E-2</v>
          </cell>
          <cell r="AE1587" t="str">
            <v>Con precio</v>
          </cell>
        </row>
        <row r="1588">
          <cell r="B1588" t="str">
            <v>B0020RO</v>
          </cell>
          <cell r="X1588" t="str">
            <v>Formulación</v>
          </cell>
          <cell r="AC1588">
            <v>0.26633999999999997</v>
          </cell>
          <cell r="AD1588">
            <v>0.21873333333333334</v>
          </cell>
          <cell r="AE1588" t="str">
            <v>Con precio</v>
          </cell>
        </row>
        <row r="1589">
          <cell r="B1589" t="str">
            <v>B0020RO</v>
          </cell>
          <cell r="X1589" t="str">
            <v>Formulación</v>
          </cell>
          <cell r="AC1589">
            <v>5.3360000000000005E-2</v>
          </cell>
          <cell r="AD1589">
            <v>5.1620000000000006E-2</v>
          </cell>
          <cell r="AE1589" t="str">
            <v>Con precio</v>
          </cell>
        </row>
        <row r="1590">
          <cell r="B1590" t="str">
            <v>B0020RO</v>
          </cell>
          <cell r="X1590" t="str">
            <v>Formulación</v>
          </cell>
          <cell r="AC1590">
            <v>9.7599999999999996E-3</v>
          </cell>
          <cell r="AD1590">
            <v>9.7599999999999996E-3</v>
          </cell>
          <cell r="AE1590" t="str">
            <v>Con precio</v>
          </cell>
        </row>
        <row r="1591">
          <cell r="B1591" t="str">
            <v>B0020RO</v>
          </cell>
          <cell r="X1591" t="str">
            <v>Formulación</v>
          </cell>
          <cell r="AC1591">
            <v>7.7500000000000008E-4</v>
          </cell>
          <cell r="AD1591">
            <v>7.7500000000000008E-4</v>
          </cell>
          <cell r="AE1591" t="str">
            <v>Con precio</v>
          </cell>
        </row>
        <row r="1592">
          <cell r="B1592" t="str">
            <v>B0020RO</v>
          </cell>
          <cell r="X1592" t="str">
            <v>Formulación</v>
          </cell>
          <cell r="AC1592">
            <v>0.11399999999999999</v>
          </cell>
          <cell r="AD1592">
            <v>9.3333333333333324E-2</v>
          </cell>
          <cell r="AE1592" t="str">
            <v>Con precio</v>
          </cell>
        </row>
        <row r="1593">
          <cell r="B1593" t="str">
            <v>B0020RO</v>
          </cell>
          <cell r="X1593" t="str">
            <v>Empaquetado</v>
          </cell>
          <cell r="AC1593">
            <v>7.3209374999999993E-3</v>
          </cell>
          <cell r="AD1593">
            <v>7.3209374999999993E-3</v>
          </cell>
          <cell r="AE1593" t="str">
            <v>Con precio</v>
          </cell>
        </row>
        <row r="1594">
          <cell r="B1594" t="str">
            <v>B0020RO</v>
          </cell>
          <cell r="X1594" t="str">
            <v>Empaquetado</v>
          </cell>
          <cell r="AC1594">
            <v>2.4171875000000002E-2</v>
          </cell>
          <cell r="AD1594">
            <v>2.4171875000000002E-2</v>
          </cell>
          <cell r="AE1594" t="str">
            <v>Con precio</v>
          </cell>
        </row>
        <row r="1595">
          <cell r="B1595" t="str">
            <v>B0020RO</v>
          </cell>
          <cell r="X1595" t="str">
            <v>Empaquetado</v>
          </cell>
          <cell r="AC1595">
            <v>5.0719967793880849E-3</v>
          </cell>
          <cell r="AD1595">
            <v>5.0719967793880849E-3</v>
          </cell>
          <cell r="AE1595" t="str">
            <v>Con precio</v>
          </cell>
        </row>
        <row r="1596">
          <cell r="B1596" t="str">
            <v>B0020RO</v>
          </cell>
          <cell r="X1596" t="str">
            <v>Empaquetado</v>
          </cell>
          <cell r="AC1596">
            <v>0.18266505681818179</v>
          </cell>
          <cell r="AD1596">
            <v>0.18266505681818179</v>
          </cell>
          <cell r="AE1596" t="str">
            <v>Con precio</v>
          </cell>
        </row>
        <row r="1597">
          <cell r="B1597" t="str">
            <v>B0020RO</v>
          </cell>
          <cell r="X1597" t="str">
            <v>Empaquetado</v>
          </cell>
          <cell r="AC1597">
            <v>2.4035031847133761E-2</v>
          </cell>
          <cell r="AD1597">
            <v>2.4035031847133761E-2</v>
          </cell>
          <cell r="AE1597" t="str">
            <v>Con precio</v>
          </cell>
        </row>
        <row r="1598">
          <cell r="B1598" t="str">
            <v>B0200</v>
          </cell>
          <cell r="X1598" t="str">
            <v>Formulación</v>
          </cell>
          <cell r="AC1598">
            <v>2.7820000000000001E-2</v>
          </cell>
          <cell r="AD1598">
            <v>2.3400000000000001E-2</v>
          </cell>
          <cell r="AE1598" t="str">
            <v>Con precio</v>
          </cell>
        </row>
        <row r="1599">
          <cell r="B1599" t="str">
            <v>B0200</v>
          </cell>
          <cell r="X1599" t="str">
            <v>Formulación</v>
          </cell>
          <cell r="AC1599">
            <v>2.6307000000000001E-2</v>
          </cell>
          <cell r="AD1599">
            <v>2.6307000000000001E-2</v>
          </cell>
          <cell r="AE1599" t="str">
            <v>Con precio</v>
          </cell>
        </row>
        <row r="1600">
          <cell r="B1600" t="str">
            <v>B0200</v>
          </cell>
          <cell r="X1600" t="str">
            <v>Formulación</v>
          </cell>
          <cell r="AC1600">
            <v>3.8475000000000002E-2</v>
          </cell>
          <cell r="AD1600">
            <v>3.8475000000000002E-2</v>
          </cell>
          <cell r="AE1600" t="str">
            <v>Con precio</v>
          </cell>
        </row>
        <row r="1601">
          <cell r="B1601" t="str">
            <v>B0200</v>
          </cell>
          <cell r="X1601" t="str">
            <v>Formulación</v>
          </cell>
          <cell r="AC1601">
            <v>0.116688</v>
          </cell>
          <cell r="AD1601">
            <v>0.10336000000000001</v>
          </cell>
          <cell r="AE1601" t="str">
            <v>Con precio</v>
          </cell>
        </row>
        <row r="1602">
          <cell r="B1602" t="str">
            <v>B0200</v>
          </cell>
          <cell r="X1602" t="str">
            <v>Formulación</v>
          </cell>
          <cell r="AC1602">
            <v>5.6723000000000003E-2</v>
          </cell>
          <cell r="AD1602">
            <v>5.6723000000000003E-2</v>
          </cell>
          <cell r="AE1602" t="str">
            <v>Con precio</v>
          </cell>
        </row>
        <row r="1603">
          <cell r="B1603" t="str">
            <v>B0200</v>
          </cell>
          <cell r="X1603" t="str">
            <v>Formulación</v>
          </cell>
          <cell r="AC1603">
            <v>2.0879999999999996E-2</v>
          </cell>
          <cell r="AD1603">
            <v>1.8247499999999996E-2</v>
          </cell>
          <cell r="AE1603" t="str">
            <v>Con precio</v>
          </cell>
        </row>
        <row r="1604">
          <cell r="B1604" t="str">
            <v>B0200</v>
          </cell>
          <cell r="X1604" t="str">
            <v>Formulación</v>
          </cell>
          <cell r="AC1604">
            <v>0.26633999999999997</v>
          </cell>
          <cell r="AD1604">
            <v>0.21873333333333334</v>
          </cell>
          <cell r="AE1604" t="str">
            <v>Con precio</v>
          </cell>
        </row>
        <row r="1605">
          <cell r="B1605" t="str">
            <v>B0200</v>
          </cell>
          <cell r="X1605" t="str">
            <v>Formulación</v>
          </cell>
          <cell r="AC1605">
            <v>5.3360000000000005E-2</v>
          </cell>
          <cell r="AD1605">
            <v>5.1620000000000006E-2</v>
          </cell>
          <cell r="AE1605" t="str">
            <v>Con precio</v>
          </cell>
        </row>
        <row r="1606">
          <cell r="B1606" t="str">
            <v>B0200</v>
          </cell>
          <cell r="X1606" t="str">
            <v>Formulación</v>
          </cell>
          <cell r="AC1606">
            <v>9.7599999999999996E-3</v>
          </cell>
          <cell r="AD1606">
            <v>9.7599999999999996E-3</v>
          </cell>
          <cell r="AE1606" t="str">
            <v>Con precio</v>
          </cell>
        </row>
        <row r="1607">
          <cell r="B1607" t="str">
            <v>B0200</v>
          </cell>
          <cell r="X1607" t="str">
            <v>Formulación</v>
          </cell>
          <cell r="AC1607">
            <v>7.7500000000000008E-4</v>
          </cell>
          <cell r="AD1607">
            <v>7.7500000000000008E-4</v>
          </cell>
          <cell r="AE1607" t="str">
            <v>Con precio</v>
          </cell>
        </row>
        <row r="1608">
          <cell r="B1608" t="str">
            <v>B0200</v>
          </cell>
          <cell r="X1608" t="str">
            <v>Formulación</v>
          </cell>
          <cell r="AC1608">
            <v>0.11399999999999999</v>
          </cell>
          <cell r="AD1608">
            <v>9.3333333333333324E-2</v>
          </cell>
          <cell r="AE1608" t="str">
            <v>Con precio</v>
          </cell>
        </row>
        <row r="1609">
          <cell r="B1609" t="str">
            <v>B0200</v>
          </cell>
          <cell r="X1609" t="str">
            <v>Empaquetado</v>
          </cell>
          <cell r="AC1609">
            <v>5.0719967793880845E-4</v>
          </cell>
          <cell r="AD1609">
            <v>5.0719967793880845E-4</v>
          </cell>
          <cell r="AE1609" t="str">
            <v>Con precio</v>
          </cell>
        </row>
        <row r="1610">
          <cell r="B1610" t="str">
            <v>B0200</v>
          </cell>
          <cell r="X1610" t="str">
            <v>Empaquetado</v>
          </cell>
          <cell r="AC1610">
            <v>2.1875000000000002E-3</v>
          </cell>
          <cell r="AD1610">
            <v>2.1875000000000002E-3</v>
          </cell>
          <cell r="AE1610" t="str">
            <v>Con precio</v>
          </cell>
        </row>
        <row r="1611">
          <cell r="B1611" t="str">
            <v>B0200</v>
          </cell>
          <cell r="X1611" t="str">
            <v>Empaquetado</v>
          </cell>
          <cell r="AC1611">
            <v>0.16730511363636363</v>
          </cell>
          <cell r="AD1611">
            <v>0.16730511363636363</v>
          </cell>
          <cell r="AE1611" t="str">
            <v>Con precio</v>
          </cell>
        </row>
        <row r="1612">
          <cell r="B1612" t="str">
            <v>B0200</v>
          </cell>
          <cell r="X1612" t="str">
            <v>Empaquetado</v>
          </cell>
          <cell r="AC1612">
            <v>1.9337500000000001E-2</v>
          </cell>
          <cell r="AD1612">
            <v>1.9337500000000001E-2</v>
          </cell>
          <cell r="AE1612" t="str">
            <v>Con precio</v>
          </cell>
        </row>
        <row r="1613">
          <cell r="B1613" t="str">
            <v>B0200</v>
          </cell>
          <cell r="X1613" t="str">
            <v>Empaquetado</v>
          </cell>
          <cell r="AC1613">
            <v>3.4999999999999996E-3</v>
          </cell>
          <cell r="AD1613">
            <v>3.4999999999999996E-3</v>
          </cell>
          <cell r="AE1613" t="str">
            <v>Con precio</v>
          </cell>
        </row>
        <row r="1614">
          <cell r="B1614" t="str">
            <v>B0200</v>
          </cell>
          <cell r="X1614" t="str">
            <v>Empaquetado</v>
          </cell>
          <cell r="AC1614">
            <v>2.2500000000000003E-3</v>
          </cell>
          <cell r="AD1614">
            <v>2.2500000000000003E-3</v>
          </cell>
          <cell r="AE1614" t="str">
            <v>Con precio</v>
          </cell>
        </row>
        <row r="1615">
          <cell r="B1615" t="str">
            <v>B0200RO</v>
          </cell>
          <cell r="X1615" t="str">
            <v>Formulación</v>
          </cell>
          <cell r="AC1615">
            <v>2.7820000000000001E-2</v>
          </cell>
          <cell r="AD1615">
            <v>2.3400000000000001E-2</v>
          </cell>
          <cell r="AE1615" t="str">
            <v>Con precio</v>
          </cell>
        </row>
        <row r="1616">
          <cell r="B1616" t="str">
            <v>B0200RO</v>
          </cell>
          <cell r="X1616" t="str">
            <v>Formulación</v>
          </cell>
          <cell r="AC1616">
            <v>2.6307000000000001E-2</v>
          </cell>
          <cell r="AD1616">
            <v>2.6307000000000001E-2</v>
          </cell>
          <cell r="AE1616" t="str">
            <v>Con precio</v>
          </cell>
        </row>
        <row r="1617">
          <cell r="B1617" t="str">
            <v>B0200RO</v>
          </cell>
          <cell r="X1617" t="str">
            <v>Formulación</v>
          </cell>
          <cell r="AC1617">
            <v>3.8475000000000002E-2</v>
          </cell>
          <cell r="AD1617">
            <v>3.8475000000000002E-2</v>
          </cell>
          <cell r="AE1617" t="str">
            <v>Con precio</v>
          </cell>
        </row>
        <row r="1618">
          <cell r="B1618" t="str">
            <v>B0200RO</v>
          </cell>
          <cell r="X1618" t="str">
            <v>Formulación</v>
          </cell>
          <cell r="AC1618">
            <v>0.116688</v>
          </cell>
          <cell r="AD1618">
            <v>0.10336000000000001</v>
          </cell>
          <cell r="AE1618" t="str">
            <v>Con precio</v>
          </cell>
        </row>
        <row r="1619">
          <cell r="B1619" t="str">
            <v>B0200RO</v>
          </cell>
          <cell r="X1619" t="str">
            <v>Formulación</v>
          </cell>
          <cell r="AC1619">
            <v>5.6723000000000003E-2</v>
          </cell>
          <cell r="AD1619">
            <v>5.6723000000000003E-2</v>
          </cell>
          <cell r="AE1619" t="str">
            <v>Con precio</v>
          </cell>
        </row>
        <row r="1620">
          <cell r="B1620" t="str">
            <v>B0200RO</v>
          </cell>
          <cell r="X1620" t="str">
            <v>Formulación</v>
          </cell>
          <cell r="AC1620">
            <v>2.0879999999999996E-2</v>
          </cell>
          <cell r="AD1620">
            <v>1.8247499999999996E-2</v>
          </cell>
          <cell r="AE1620" t="str">
            <v>Con precio</v>
          </cell>
        </row>
        <row r="1621">
          <cell r="B1621" t="str">
            <v>B0200RO</v>
          </cell>
          <cell r="X1621" t="str">
            <v>Formulación</v>
          </cell>
          <cell r="AC1621">
            <v>0.26633999999999997</v>
          </cell>
          <cell r="AD1621">
            <v>0.21873333333333334</v>
          </cell>
          <cell r="AE1621" t="str">
            <v>Con precio</v>
          </cell>
        </row>
        <row r="1622">
          <cell r="B1622" t="str">
            <v>B0200RO</v>
          </cell>
          <cell r="X1622" t="str">
            <v>Formulación</v>
          </cell>
          <cell r="AC1622">
            <v>5.3360000000000005E-2</v>
          </cell>
          <cell r="AD1622">
            <v>5.1620000000000006E-2</v>
          </cell>
          <cell r="AE1622" t="str">
            <v>Con precio</v>
          </cell>
        </row>
        <row r="1623">
          <cell r="B1623" t="str">
            <v>B0200RO</v>
          </cell>
          <cell r="X1623" t="str">
            <v>Formulación</v>
          </cell>
          <cell r="AC1623">
            <v>9.7599999999999996E-3</v>
          </cell>
          <cell r="AD1623">
            <v>9.7599999999999996E-3</v>
          </cell>
          <cell r="AE1623" t="str">
            <v>Con precio</v>
          </cell>
        </row>
        <row r="1624">
          <cell r="B1624" t="str">
            <v>B0200RO</v>
          </cell>
          <cell r="X1624" t="str">
            <v>Formulación</v>
          </cell>
          <cell r="AC1624">
            <v>7.7500000000000008E-4</v>
          </cell>
          <cell r="AD1624">
            <v>7.7500000000000008E-4</v>
          </cell>
          <cell r="AE1624" t="str">
            <v>Con precio</v>
          </cell>
        </row>
        <row r="1625">
          <cell r="B1625" t="str">
            <v>B0200RO</v>
          </cell>
          <cell r="X1625" t="str">
            <v>Formulación</v>
          </cell>
          <cell r="AC1625">
            <v>0.11399999999999999</v>
          </cell>
          <cell r="AD1625">
            <v>9.3333333333333324E-2</v>
          </cell>
          <cell r="AE1625" t="str">
            <v>Con precio</v>
          </cell>
        </row>
        <row r="1626">
          <cell r="B1626" t="str">
            <v>B0200RO</v>
          </cell>
          <cell r="X1626" t="str">
            <v>Empaquetado</v>
          </cell>
          <cell r="AC1626">
            <v>5.0719967793880845E-4</v>
          </cell>
          <cell r="AD1626">
            <v>5.0719967793880845E-4</v>
          </cell>
          <cell r="AE1626" t="str">
            <v>Con precio</v>
          </cell>
        </row>
        <row r="1627">
          <cell r="B1627" t="str">
            <v>B0200RO</v>
          </cell>
          <cell r="X1627" t="str">
            <v>Empaquetado</v>
          </cell>
          <cell r="AC1627">
            <v>2.1875000000000002E-3</v>
          </cell>
          <cell r="AD1627">
            <v>2.1875000000000002E-3</v>
          </cell>
          <cell r="AE1627" t="str">
            <v>Con precio</v>
          </cell>
        </row>
        <row r="1628">
          <cell r="B1628" t="str">
            <v>B0200RO</v>
          </cell>
          <cell r="X1628" t="str">
            <v>Empaquetado</v>
          </cell>
          <cell r="AC1628">
            <v>0.16730511363636363</v>
          </cell>
          <cell r="AD1628">
            <v>0.16730511363636363</v>
          </cell>
          <cell r="AE1628" t="str">
            <v>Con precio</v>
          </cell>
        </row>
        <row r="1629">
          <cell r="B1629" t="str">
            <v>B0200RO</v>
          </cell>
          <cell r="X1629" t="str">
            <v>Empaquetado</v>
          </cell>
          <cell r="AC1629">
            <v>1.9337500000000001E-2</v>
          </cell>
          <cell r="AD1629">
            <v>1.9337500000000001E-2</v>
          </cell>
          <cell r="AE1629" t="str">
            <v>Con precio</v>
          </cell>
        </row>
        <row r="1630">
          <cell r="B1630" t="str">
            <v>B0200RO</v>
          </cell>
          <cell r="X1630" t="str">
            <v>Empaquetado</v>
          </cell>
          <cell r="AC1630">
            <v>3.4999999999999996E-3</v>
          </cell>
          <cell r="AD1630">
            <v>3.4999999999999996E-3</v>
          </cell>
          <cell r="AE1630" t="str">
            <v>Con precio</v>
          </cell>
        </row>
        <row r="1631">
          <cell r="B1631" t="str">
            <v>B0200RO</v>
          </cell>
          <cell r="X1631" t="str">
            <v>Empaquetado</v>
          </cell>
          <cell r="AC1631">
            <v>2.2500000000000003E-3</v>
          </cell>
          <cell r="AD1631">
            <v>2.2500000000000003E-3</v>
          </cell>
          <cell r="AE1631" t="str">
            <v>Con precio</v>
          </cell>
        </row>
        <row r="1632">
          <cell r="B1632" t="str">
            <v>B1000</v>
          </cell>
          <cell r="X1632" t="str">
            <v>Formulación</v>
          </cell>
          <cell r="AC1632">
            <v>2.7820000000000001E-2</v>
          </cell>
          <cell r="AD1632">
            <v>2.3400000000000001E-2</v>
          </cell>
          <cell r="AE1632" t="str">
            <v>Con precio</v>
          </cell>
        </row>
        <row r="1633">
          <cell r="B1633" t="str">
            <v>B1000</v>
          </cell>
          <cell r="X1633" t="str">
            <v>Formulación</v>
          </cell>
          <cell r="AC1633">
            <v>2.6307000000000001E-2</v>
          </cell>
          <cell r="AD1633">
            <v>2.6307000000000001E-2</v>
          </cell>
          <cell r="AE1633" t="str">
            <v>Con precio</v>
          </cell>
        </row>
        <row r="1634">
          <cell r="B1634" t="str">
            <v>B1000</v>
          </cell>
          <cell r="X1634" t="str">
            <v>Formulación</v>
          </cell>
          <cell r="AC1634">
            <v>3.8475000000000002E-2</v>
          </cell>
          <cell r="AD1634">
            <v>3.8475000000000002E-2</v>
          </cell>
          <cell r="AE1634" t="str">
            <v>Con precio</v>
          </cell>
        </row>
        <row r="1635">
          <cell r="B1635" t="str">
            <v>B1000</v>
          </cell>
          <cell r="X1635" t="str">
            <v>Formulación</v>
          </cell>
          <cell r="AC1635">
            <v>0.116688</v>
          </cell>
          <cell r="AD1635">
            <v>0.10336000000000001</v>
          </cell>
          <cell r="AE1635" t="str">
            <v>Con precio</v>
          </cell>
        </row>
        <row r="1636">
          <cell r="B1636" t="str">
            <v>B1000</v>
          </cell>
          <cell r="X1636" t="str">
            <v>Formulación</v>
          </cell>
          <cell r="AC1636">
            <v>5.6723000000000003E-2</v>
          </cell>
          <cell r="AD1636">
            <v>5.6723000000000003E-2</v>
          </cell>
          <cell r="AE1636" t="str">
            <v>Con precio</v>
          </cell>
        </row>
        <row r="1637">
          <cell r="B1637" t="str">
            <v>B1000</v>
          </cell>
          <cell r="X1637" t="str">
            <v>Formulación</v>
          </cell>
          <cell r="AC1637">
            <v>2.0879999999999996E-2</v>
          </cell>
          <cell r="AD1637">
            <v>1.8247499999999996E-2</v>
          </cell>
          <cell r="AE1637" t="str">
            <v>Con precio</v>
          </cell>
        </row>
        <row r="1638">
          <cell r="B1638" t="str">
            <v>B1000</v>
          </cell>
          <cell r="X1638" t="str">
            <v>Formulación</v>
          </cell>
          <cell r="AC1638">
            <v>0.26633999999999997</v>
          </cell>
          <cell r="AD1638">
            <v>0.21873333333333334</v>
          </cell>
          <cell r="AE1638" t="str">
            <v>Con precio</v>
          </cell>
        </row>
        <row r="1639">
          <cell r="B1639" t="str">
            <v>B1000</v>
          </cell>
          <cell r="X1639" t="str">
            <v>Formulación</v>
          </cell>
          <cell r="AC1639">
            <v>5.3360000000000005E-2</v>
          </cell>
          <cell r="AD1639">
            <v>5.1620000000000006E-2</v>
          </cell>
          <cell r="AE1639" t="str">
            <v>Con precio</v>
          </cell>
        </row>
        <row r="1640">
          <cell r="B1640" t="str">
            <v>B1000</v>
          </cell>
          <cell r="X1640" t="str">
            <v>Formulación</v>
          </cell>
          <cell r="AC1640">
            <v>9.7599999999999996E-3</v>
          </cell>
          <cell r="AD1640">
            <v>9.7599999999999996E-3</v>
          </cell>
          <cell r="AE1640" t="str">
            <v>Con precio</v>
          </cell>
        </row>
        <row r="1641">
          <cell r="B1641" t="str">
            <v>B1000</v>
          </cell>
          <cell r="X1641" t="str">
            <v>Formulación</v>
          </cell>
          <cell r="AC1641">
            <v>7.7500000000000008E-4</v>
          </cell>
          <cell r="AD1641">
            <v>7.7500000000000008E-4</v>
          </cell>
          <cell r="AE1641" t="str">
            <v>Con precio</v>
          </cell>
        </row>
        <row r="1642">
          <cell r="B1642" t="str">
            <v>B1000</v>
          </cell>
          <cell r="X1642" t="str">
            <v>Formulación</v>
          </cell>
          <cell r="AC1642">
            <v>0.11399999999999999</v>
          </cell>
          <cell r="AD1642">
            <v>9.3333333333333324E-2</v>
          </cell>
          <cell r="AE1642" t="str">
            <v>Con precio</v>
          </cell>
        </row>
        <row r="1643">
          <cell r="B1643" t="str">
            <v>B1000</v>
          </cell>
          <cell r="X1643" t="str">
            <v>Empaquetado</v>
          </cell>
          <cell r="AC1643">
            <v>0.11700000000000001</v>
          </cell>
          <cell r="AD1643">
            <v>0.11700000000000001</v>
          </cell>
          <cell r="AE1643" t="str">
            <v>Con precio</v>
          </cell>
        </row>
        <row r="1644">
          <cell r="B1644" t="str">
            <v>B1000</v>
          </cell>
          <cell r="X1644" t="str">
            <v>Empaquetado</v>
          </cell>
          <cell r="AC1644">
            <v>1.014399355877617E-4</v>
          </cell>
          <cell r="AD1644">
            <v>1.014399355877617E-4</v>
          </cell>
          <cell r="AE1644" t="str">
            <v>Con precio</v>
          </cell>
        </row>
        <row r="1645">
          <cell r="B1645" t="str">
            <v>B1000CR</v>
          </cell>
          <cell r="X1645" t="str">
            <v>Formulación</v>
          </cell>
          <cell r="AC1645">
            <v>2.7820000000000001E-2</v>
          </cell>
          <cell r="AD1645">
            <v>2.3400000000000001E-2</v>
          </cell>
          <cell r="AE1645" t="str">
            <v>Con precio</v>
          </cell>
        </row>
        <row r="1646">
          <cell r="B1646" t="str">
            <v>B1000CR</v>
          </cell>
          <cell r="X1646" t="str">
            <v>Formulación</v>
          </cell>
          <cell r="AC1646">
            <v>2.6307000000000001E-2</v>
          </cell>
          <cell r="AD1646">
            <v>2.6307000000000001E-2</v>
          </cell>
          <cell r="AE1646" t="str">
            <v>Con precio</v>
          </cell>
        </row>
        <row r="1647">
          <cell r="B1647" t="str">
            <v>B1000CR</v>
          </cell>
          <cell r="X1647" t="str">
            <v>Formulación</v>
          </cell>
          <cell r="AC1647">
            <v>3.8475000000000002E-2</v>
          </cell>
          <cell r="AD1647">
            <v>3.8475000000000002E-2</v>
          </cell>
          <cell r="AE1647" t="str">
            <v>Con precio</v>
          </cell>
        </row>
        <row r="1648">
          <cell r="B1648" t="str">
            <v>B1000CR</v>
          </cell>
          <cell r="X1648" t="str">
            <v>Formulación</v>
          </cell>
          <cell r="AC1648">
            <v>0.116688</v>
          </cell>
          <cell r="AD1648">
            <v>0.10336000000000001</v>
          </cell>
          <cell r="AE1648" t="str">
            <v>Con precio</v>
          </cell>
        </row>
        <row r="1649">
          <cell r="B1649" t="str">
            <v>B1000CR</v>
          </cell>
          <cell r="X1649" t="str">
            <v>Formulación</v>
          </cell>
          <cell r="AC1649">
            <v>5.6723000000000003E-2</v>
          </cell>
          <cell r="AD1649">
            <v>5.6723000000000003E-2</v>
          </cell>
          <cell r="AE1649" t="str">
            <v>Con precio</v>
          </cell>
        </row>
        <row r="1650">
          <cell r="B1650" t="str">
            <v>B1000CR</v>
          </cell>
          <cell r="X1650" t="str">
            <v>Formulación</v>
          </cell>
          <cell r="AC1650">
            <v>2.0879999999999996E-2</v>
          </cell>
          <cell r="AD1650">
            <v>1.8247499999999996E-2</v>
          </cell>
          <cell r="AE1650" t="str">
            <v>Con precio</v>
          </cell>
        </row>
        <row r="1651">
          <cell r="B1651" t="str">
            <v>B1000CR</v>
          </cell>
          <cell r="X1651" t="str">
            <v>Formulación</v>
          </cell>
          <cell r="AC1651">
            <v>0.26633999999999997</v>
          </cell>
          <cell r="AD1651">
            <v>0.21873333333333334</v>
          </cell>
          <cell r="AE1651" t="str">
            <v>Con precio</v>
          </cell>
        </row>
        <row r="1652">
          <cell r="B1652" t="str">
            <v>B1000CR</v>
          </cell>
          <cell r="X1652" t="str">
            <v>Formulación</v>
          </cell>
          <cell r="AC1652">
            <v>5.3360000000000005E-2</v>
          </cell>
          <cell r="AD1652">
            <v>5.1620000000000006E-2</v>
          </cell>
          <cell r="AE1652" t="str">
            <v>Con precio</v>
          </cell>
        </row>
        <row r="1653">
          <cell r="B1653" t="str">
            <v>B1000CR</v>
          </cell>
          <cell r="X1653" t="str">
            <v>Formulación</v>
          </cell>
          <cell r="AC1653">
            <v>9.7599999999999996E-3</v>
          </cell>
          <cell r="AD1653">
            <v>9.7599999999999996E-3</v>
          </cell>
          <cell r="AE1653" t="str">
            <v>Con precio</v>
          </cell>
        </row>
        <row r="1654">
          <cell r="B1654" t="str">
            <v>B1000CR</v>
          </cell>
          <cell r="X1654" t="str">
            <v>Formulación</v>
          </cell>
          <cell r="AC1654">
            <v>7.7500000000000008E-4</v>
          </cell>
          <cell r="AD1654">
            <v>7.7500000000000008E-4</v>
          </cell>
          <cell r="AE1654" t="str">
            <v>Con precio</v>
          </cell>
        </row>
        <row r="1655">
          <cell r="B1655" t="str">
            <v>B1000CR</v>
          </cell>
          <cell r="X1655" t="str">
            <v>Formulación</v>
          </cell>
          <cell r="AC1655">
            <v>0.11399999999999999</v>
          </cell>
          <cell r="AD1655">
            <v>9.3333333333333324E-2</v>
          </cell>
          <cell r="AE1655" t="str">
            <v>Con precio</v>
          </cell>
        </row>
        <row r="1656">
          <cell r="B1656" t="str">
            <v>B1000CR</v>
          </cell>
          <cell r="X1656" t="str">
            <v>Empaquetado</v>
          </cell>
          <cell r="AC1656">
            <v>0.11700000000000001</v>
          </cell>
          <cell r="AD1656">
            <v>0.11700000000000001</v>
          </cell>
          <cell r="AE1656" t="str">
            <v>Con precio</v>
          </cell>
        </row>
        <row r="1657">
          <cell r="B1657" t="str">
            <v>B1000CR</v>
          </cell>
          <cell r="X1657" t="str">
            <v>Empaquetado</v>
          </cell>
          <cell r="AC1657">
            <v>1.014399355877617E-4</v>
          </cell>
          <cell r="AD1657">
            <v>1.014399355877617E-4</v>
          </cell>
          <cell r="AE1657" t="str">
            <v>Con precio</v>
          </cell>
        </row>
        <row r="1658">
          <cell r="B1658" t="str">
            <v>B1000RO</v>
          </cell>
          <cell r="X1658" t="str">
            <v>Formulación</v>
          </cell>
          <cell r="AC1658">
            <v>2.7820000000000001E-2</v>
          </cell>
          <cell r="AD1658">
            <v>2.3400000000000001E-2</v>
          </cell>
          <cell r="AE1658" t="str">
            <v>Con precio</v>
          </cell>
        </row>
        <row r="1659">
          <cell r="B1659" t="str">
            <v>B1000RO</v>
          </cell>
          <cell r="X1659" t="str">
            <v>Formulación</v>
          </cell>
          <cell r="AC1659">
            <v>2.6307000000000001E-2</v>
          </cell>
          <cell r="AD1659">
            <v>2.6307000000000001E-2</v>
          </cell>
          <cell r="AE1659" t="str">
            <v>Con precio</v>
          </cell>
        </row>
        <row r="1660">
          <cell r="B1660" t="str">
            <v>B1000RO</v>
          </cell>
          <cell r="X1660" t="str">
            <v>Formulación</v>
          </cell>
          <cell r="AC1660">
            <v>3.8475000000000002E-2</v>
          </cell>
          <cell r="AD1660">
            <v>3.8475000000000002E-2</v>
          </cell>
          <cell r="AE1660" t="str">
            <v>Con precio</v>
          </cell>
        </row>
        <row r="1661">
          <cell r="B1661" t="str">
            <v>B1000RO</v>
          </cell>
          <cell r="X1661" t="str">
            <v>Formulación</v>
          </cell>
          <cell r="AC1661">
            <v>0.116688</v>
          </cell>
          <cell r="AD1661">
            <v>0.10336000000000001</v>
          </cell>
          <cell r="AE1661" t="str">
            <v>Con precio</v>
          </cell>
        </row>
        <row r="1662">
          <cell r="B1662" t="str">
            <v>B1000RO</v>
          </cell>
          <cell r="X1662" t="str">
            <v>Formulación</v>
          </cell>
          <cell r="AC1662">
            <v>5.6723000000000003E-2</v>
          </cell>
          <cell r="AD1662">
            <v>5.6723000000000003E-2</v>
          </cell>
          <cell r="AE1662" t="str">
            <v>Con precio</v>
          </cell>
        </row>
        <row r="1663">
          <cell r="B1663" t="str">
            <v>B1000RO</v>
          </cell>
          <cell r="X1663" t="str">
            <v>Formulación</v>
          </cell>
          <cell r="AC1663">
            <v>2.0879999999999996E-2</v>
          </cell>
          <cell r="AD1663">
            <v>1.8247499999999996E-2</v>
          </cell>
          <cell r="AE1663" t="str">
            <v>Con precio</v>
          </cell>
        </row>
        <row r="1664">
          <cell r="B1664" t="str">
            <v>B1000RO</v>
          </cell>
          <cell r="X1664" t="str">
            <v>Formulación</v>
          </cell>
          <cell r="AC1664">
            <v>0.26633999999999997</v>
          </cell>
          <cell r="AD1664">
            <v>0.21873333333333334</v>
          </cell>
          <cell r="AE1664" t="str">
            <v>Con precio</v>
          </cell>
        </row>
        <row r="1665">
          <cell r="B1665" t="str">
            <v>B1000RO</v>
          </cell>
          <cell r="X1665" t="str">
            <v>Formulación</v>
          </cell>
          <cell r="AC1665">
            <v>5.3360000000000005E-2</v>
          </cell>
          <cell r="AD1665">
            <v>5.1620000000000006E-2</v>
          </cell>
          <cell r="AE1665" t="str">
            <v>Con precio</v>
          </cell>
        </row>
        <row r="1666">
          <cell r="B1666" t="str">
            <v>B1000RO</v>
          </cell>
          <cell r="X1666" t="str">
            <v>Formulación</v>
          </cell>
          <cell r="AC1666">
            <v>9.7599999999999996E-3</v>
          </cell>
          <cell r="AD1666">
            <v>9.7599999999999996E-3</v>
          </cell>
          <cell r="AE1666" t="str">
            <v>Con precio</v>
          </cell>
        </row>
        <row r="1667">
          <cell r="B1667" t="str">
            <v>B1000RO</v>
          </cell>
          <cell r="X1667" t="str">
            <v>Formulación</v>
          </cell>
          <cell r="AC1667">
            <v>7.7500000000000008E-4</v>
          </cell>
          <cell r="AD1667">
            <v>7.7500000000000008E-4</v>
          </cell>
          <cell r="AE1667" t="str">
            <v>Con precio</v>
          </cell>
        </row>
        <row r="1668">
          <cell r="B1668" t="str">
            <v>B1000RO</v>
          </cell>
          <cell r="X1668" t="str">
            <v>Formulación</v>
          </cell>
          <cell r="AC1668">
            <v>0.11399999999999999</v>
          </cell>
          <cell r="AD1668">
            <v>9.3333333333333324E-2</v>
          </cell>
          <cell r="AE1668" t="str">
            <v>Con precio</v>
          </cell>
        </row>
        <row r="1669">
          <cell r="B1669" t="str">
            <v>B1000RO</v>
          </cell>
          <cell r="X1669" t="str">
            <v>Empaquetado</v>
          </cell>
          <cell r="AC1669">
            <v>0.11700000000000001</v>
          </cell>
          <cell r="AD1669">
            <v>0.11700000000000001</v>
          </cell>
          <cell r="AE1669" t="str">
            <v>Con precio</v>
          </cell>
        </row>
        <row r="1670">
          <cell r="B1670" t="str">
            <v>B1000RO</v>
          </cell>
          <cell r="X1670" t="str">
            <v>Empaquetado</v>
          </cell>
          <cell r="AC1670">
            <v>1.014399355877617E-4</v>
          </cell>
          <cell r="AD1670">
            <v>1.014399355877617E-4</v>
          </cell>
          <cell r="AE1670" t="str">
            <v>Con precio</v>
          </cell>
        </row>
        <row r="1671">
          <cell r="B1671" t="str">
            <v>BAYCAL0020CL</v>
          </cell>
          <cell r="X1671" t="str">
            <v>Formulación</v>
          </cell>
          <cell r="AC1671">
            <v>4.8799999999999998E-3</v>
          </cell>
          <cell r="AD1671">
            <v>4.8799999999999998E-3</v>
          </cell>
          <cell r="AE1671" t="str">
            <v>Con precio</v>
          </cell>
        </row>
        <row r="1672">
          <cell r="B1672" t="str">
            <v>BAYCAL0020CL</v>
          </cell>
          <cell r="X1672" t="str">
            <v>Formulación</v>
          </cell>
          <cell r="AC1672">
            <v>0.50400000000000011</v>
          </cell>
          <cell r="AD1672">
            <v>0.50400000000000011</v>
          </cell>
          <cell r="AE1672" t="str">
            <v>Con precio</v>
          </cell>
        </row>
        <row r="1673">
          <cell r="B1673" t="str">
            <v>BAYCAL0020CL</v>
          </cell>
          <cell r="X1673" t="str">
            <v>Formulación</v>
          </cell>
          <cell r="AC1673">
            <v>2.9499999999999998E-2</v>
          </cell>
          <cell r="AD1673">
            <v>2.9499999999999998E-2</v>
          </cell>
          <cell r="AE1673" t="str">
            <v>Con precio</v>
          </cell>
        </row>
        <row r="1674">
          <cell r="B1674" t="str">
            <v>BAYCAL0020CL</v>
          </cell>
          <cell r="X1674" t="str">
            <v>Formulación</v>
          </cell>
          <cell r="AC1674">
            <v>2.76E-2</v>
          </cell>
          <cell r="AD1674">
            <v>2.6699999999999998E-2</v>
          </cell>
          <cell r="AE1674" t="str">
            <v>Con precio</v>
          </cell>
        </row>
        <row r="1675">
          <cell r="B1675" t="str">
            <v>BAYCAL0020CL</v>
          </cell>
          <cell r="X1675" t="str">
            <v>Formulación</v>
          </cell>
          <cell r="AC1675">
            <v>2.5250000000000001E-4</v>
          </cell>
          <cell r="AD1675">
            <v>2.5250000000000001E-4</v>
          </cell>
          <cell r="AE1675" t="str">
            <v>Con precio</v>
          </cell>
        </row>
        <row r="1676">
          <cell r="B1676" t="str">
            <v>BAYCAL0020CL</v>
          </cell>
          <cell r="X1676" t="str">
            <v>Formulación</v>
          </cell>
          <cell r="AC1676">
            <v>3.1199999999999999E-2</v>
          </cell>
          <cell r="AD1676">
            <v>1.9272857142857144E-2</v>
          </cell>
          <cell r="AE1676" t="str">
            <v>Con precio</v>
          </cell>
        </row>
        <row r="1677">
          <cell r="B1677" t="str">
            <v>BAYCAL0020CL</v>
          </cell>
          <cell r="X1677" t="str">
            <v>Empaquetado</v>
          </cell>
          <cell r="AC1677">
            <v>4.8806250000000013E-3</v>
          </cell>
          <cell r="AD1677">
            <v>4.8806250000000013E-3</v>
          </cell>
          <cell r="AE1677" t="str">
            <v>Con precio</v>
          </cell>
        </row>
        <row r="1678">
          <cell r="B1678" t="str">
            <v>BAYCAL0020CL</v>
          </cell>
          <cell r="X1678" t="str">
            <v>Empaquetado</v>
          </cell>
          <cell r="AC1678">
            <v>1.6114583333333342E-2</v>
          </cell>
          <cell r="AD1678">
            <v>1.6114583333333342E-2</v>
          </cell>
          <cell r="AE1678" t="str">
            <v>Con precio</v>
          </cell>
        </row>
        <row r="1679">
          <cell r="B1679" t="str">
            <v>BAYCAL0020CL</v>
          </cell>
          <cell r="X1679" t="str">
            <v>Empaquetado</v>
          </cell>
          <cell r="AC1679">
            <v>4.4575252525252528E-3</v>
          </cell>
          <cell r="AD1679">
            <v>4.4575252525252528E-3</v>
          </cell>
          <cell r="AE1679" t="str">
            <v>Con precio</v>
          </cell>
        </row>
        <row r="1680">
          <cell r="B1680" t="str">
            <v>BAYCAL0020CL</v>
          </cell>
          <cell r="X1680" t="str">
            <v>Empaquetado</v>
          </cell>
          <cell r="AC1680">
            <v>1.3125000000000001E-2</v>
          </cell>
          <cell r="AD1680">
            <v>1.3125000000000001E-2</v>
          </cell>
          <cell r="AE1680" t="str">
            <v>Con precio</v>
          </cell>
        </row>
        <row r="1681">
          <cell r="B1681" t="str">
            <v>BAYCAL0020CL</v>
          </cell>
          <cell r="X1681" t="str">
            <v>Empaquetado</v>
          </cell>
          <cell r="AC1681">
            <v>0.18266505681818179</v>
          </cell>
          <cell r="AD1681">
            <v>0.18266505681818179</v>
          </cell>
          <cell r="AE1681" t="str">
            <v>Con precio</v>
          </cell>
        </row>
        <row r="1682">
          <cell r="B1682" t="str">
            <v>BC0005LB</v>
          </cell>
          <cell r="X1682" t="str">
            <v>Formulación</v>
          </cell>
          <cell r="AC1682">
            <v>3.8640000000000001E-2</v>
          </cell>
          <cell r="AD1682">
            <v>3.7380000000000004E-2</v>
          </cell>
          <cell r="AE1682" t="str">
            <v>Con precio</v>
          </cell>
        </row>
        <row r="1683">
          <cell r="B1683" t="str">
            <v>BC0005LB</v>
          </cell>
          <cell r="X1683" t="str">
            <v>Formulación</v>
          </cell>
          <cell r="AC1683">
            <v>1.020195</v>
          </cell>
          <cell r="AD1683">
            <v>0.76447799999999988</v>
          </cell>
          <cell r="AE1683" t="str">
            <v>Con precio</v>
          </cell>
        </row>
        <row r="1684">
          <cell r="B1684" t="str">
            <v>BC0005LB</v>
          </cell>
          <cell r="X1684" t="str">
            <v>Formulación</v>
          </cell>
          <cell r="AC1684">
            <v>1.9259999999999999E-2</v>
          </cell>
          <cell r="AD1684">
            <v>1.6199999999999999E-2</v>
          </cell>
          <cell r="AE1684" t="str">
            <v>Con precio</v>
          </cell>
        </row>
        <row r="1685">
          <cell r="B1685" t="str">
            <v>BC0005LB</v>
          </cell>
          <cell r="X1685" t="str">
            <v>Formulación</v>
          </cell>
          <cell r="AC1685">
            <v>0.14759999999999998</v>
          </cell>
          <cell r="AD1685">
            <v>0.10815</v>
          </cell>
          <cell r="AE1685" t="str">
            <v>Con precio</v>
          </cell>
        </row>
        <row r="1686">
          <cell r="B1686" t="str">
            <v>BC0005LB</v>
          </cell>
          <cell r="X1686" t="str">
            <v>Formulación</v>
          </cell>
          <cell r="AC1686">
            <v>1.7500000000000002E-2</v>
          </cell>
          <cell r="AD1686">
            <v>1.6366666666666668E-2</v>
          </cell>
          <cell r="AE1686" t="str">
            <v>Con precio</v>
          </cell>
        </row>
        <row r="1687">
          <cell r="B1687" t="str">
            <v>BC0005LB</v>
          </cell>
          <cell r="X1687" t="str">
            <v>Empaquetado</v>
          </cell>
          <cell r="AC1687">
            <v>1.0393066666666666E-2</v>
          </cell>
          <cell r="AD1687">
            <v>1.0393066666666666E-2</v>
          </cell>
          <cell r="AE1687" t="str">
            <v>Con precio</v>
          </cell>
        </row>
        <row r="1688">
          <cell r="B1688" t="str">
            <v>BC0005LB</v>
          </cell>
          <cell r="X1688" t="str">
            <v>Empaquetado</v>
          </cell>
          <cell r="AC1688">
            <v>2.0626666666666665E-2</v>
          </cell>
          <cell r="AD1688">
            <v>2.0626666666666665E-2</v>
          </cell>
          <cell r="AE1688" t="str">
            <v>Con precio</v>
          </cell>
        </row>
        <row r="1689">
          <cell r="B1689" t="str">
            <v>BC0005LB</v>
          </cell>
          <cell r="X1689" t="str">
            <v>Empaquetado</v>
          </cell>
          <cell r="AC1689">
            <v>2.1285586956521739E-2</v>
          </cell>
          <cell r="AD1689">
            <v>2.1285586956521739E-2</v>
          </cell>
          <cell r="AE1689" t="str">
            <v>Con precio</v>
          </cell>
        </row>
        <row r="1690">
          <cell r="B1690" t="str">
            <v>BC0005LB</v>
          </cell>
          <cell r="X1690" t="str">
            <v>Empaquetado</v>
          </cell>
          <cell r="AC1690">
            <v>2.9560014104372354E-2</v>
          </cell>
          <cell r="AD1690">
            <v>2.9560014104372354E-2</v>
          </cell>
          <cell r="AE1690" t="str">
            <v>Con precio</v>
          </cell>
        </row>
        <row r="1691">
          <cell r="B1691" t="str">
            <v>BC0005LB</v>
          </cell>
          <cell r="X1691" t="str">
            <v>Empaquetado</v>
          </cell>
          <cell r="AC1691">
            <v>2.1682000000000003E-2</v>
          </cell>
          <cell r="AD1691">
            <v>2.1682000000000003E-2</v>
          </cell>
          <cell r="AE1691" t="str">
            <v>Con precio</v>
          </cell>
        </row>
        <row r="1692">
          <cell r="B1692" t="str">
            <v>BC0020</v>
          </cell>
          <cell r="X1692" t="str">
            <v>Formulación</v>
          </cell>
          <cell r="AC1692">
            <v>3.8640000000000001E-2</v>
          </cell>
          <cell r="AD1692">
            <v>3.7380000000000004E-2</v>
          </cell>
          <cell r="AE1692" t="str">
            <v>Con precio</v>
          </cell>
        </row>
        <row r="1693">
          <cell r="B1693" t="str">
            <v>BC0020</v>
          </cell>
          <cell r="X1693" t="str">
            <v>Formulación</v>
          </cell>
          <cell r="AC1693">
            <v>1.020195</v>
          </cell>
          <cell r="AD1693">
            <v>0.76447799999999988</v>
          </cell>
          <cell r="AE1693" t="str">
            <v>Con precio</v>
          </cell>
        </row>
        <row r="1694">
          <cell r="B1694" t="str">
            <v>BC0020</v>
          </cell>
          <cell r="X1694" t="str">
            <v>Formulación</v>
          </cell>
          <cell r="AC1694">
            <v>1.9259999999999999E-2</v>
          </cell>
          <cell r="AD1694">
            <v>1.6199999999999999E-2</v>
          </cell>
          <cell r="AE1694" t="str">
            <v>Con precio</v>
          </cell>
        </row>
        <row r="1695">
          <cell r="B1695" t="str">
            <v>BC0020</v>
          </cell>
          <cell r="X1695" t="str">
            <v>Formulación</v>
          </cell>
          <cell r="AC1695">
            <v>0.14759999999999998</v>
          </cell>
          <cell r="AD1695">
            <v>0.10815</v>
          </cell>
          <cell r="AE1695" t="str">
            <v>Con precio</v>
          </cell>
        </row>
        <row r="1696">
          <cell r="B1696" t="str">
            <v>BC0020</v>
          </cell>
          <cell r="X1696" t="str">
            <v>Formulación</v>
          </cell>
          <cell r="AC1696">
            <v>1.7500000000000002E-2</v>
          </cell>
          <cell r="AD1696">
            <v>1.6366666666666668E-2</v>
          </cell>
          <cell r="AE1696" t="str">
            <v>Con precio</v>
          </cell>
        </row>
        <row r="1697">
          <cell r="B1697" t="str">
            <v>BC0020</v>
          </cell>
          <cell r="X1697" t="str">
            <v>Empaquetado</v>
          </cell>
          <cell r="AC1697">
            <v>5.5115999999999993E-3</v>
          </cell>
          <cell r="AD1697">
            <v>5.5115999999999993E-3</v>
          </cell>
          <cell r="AE1697" t="str">
            <v>Con precio</v>
          </cell>
        </row>
        <row r="1698">
          <cell r="B1698" t="str">
            <v>BC0020</v>
          </cell>
          <cell r="X1698" t="str">
            <v>Empaquetado</v>
          </cell>
          <cell r="AC1698">
            <v>8.8689945652173918E-3</v>
          </cell>
          <cell r="AD1698">
            <v>8.8689945652173918E-3</v>
          </cell>
          <cell r="AE1698" t="str">
            <v>Con precio</v>
          </cell>
        </row>
        <row r="1699">
          <cell r="B1699" t="str">
            <v>BC0020</v>
          </cell>
          <cell r="X1699" t="str">
            <v>Empaquetado</v>
          </cell>
          <cell r="AC1699">
            <v>1.6625000000000001E-2</v>
          </cell>
          <cell r="AD1699">
            <v>1.6625000000000001E-2</v>
          </cell>
          <cell r="AE1699" t="str">
            <v>Con precio</v>
          </cell>
        </row>
        <row r="1700">
          <cell r="B1700" t="str">
            <v>BC0020</v>
          </cell>
          <cell r="X1700" t="str">
            <v>Empaquetado</v>
          </cell>
          <cell r="AC1700">
            <v>1.9337500000000001E-2</v>
          </cell>
          <cell r="AD1700">
            <v>1.9337500000000001E-2</v>
          </cell>
          <cell r="AE1700" t="str">
            <v>Con precio</v>
          </cell>
        </row>
        <row r="1701">
          <cell r="B1701" t="str">
            <v>BC0020</v>
          </cell>
          <cell r="X1701" t="str">
            <v>Empaquetado</v>
          </cell>
          <cell r="AC1701">
            <v>3.6950017630465445E-2</v>
          </cell>
          <cell r="AD1701">
            <v>3.6950017630465445E-2</v>
          </cell>
          <cell r="AE1701" t="str">
            <v>Con precio</v>
          </cell>
        </row>
        <row r="1702">
          <cell r="B1702" t="str">
            <v>BEY0001DO</v>
          </cell>
          <cell r="X1702" t="str">
            <v>Formulación</v>
          </cell>
          <cell r="AC1702">
            <v>4.8799999999999998E-3</v>
          </cell>
          <cell r="AD1702">
            <v>4.8799999999999998E-3</v>
          </cell>
          <cell r="AE1702" t="str">
            <v>Con precio</v>
          </cell>
        </row>
        <row r="1703">
          <cell r="B1703" t="str">
            <v>BEY0001DO</v>
          </cell>
          <cell r="X1703" t="str">
            <v>Formulación</v>
          </cell>
          <cell r="AC1703">
            <v>0.93215000000000003</v>
          </cell>
          <cell r="AD1703">
            <v>0.93215000000000003</v>
          </cell>
          <cell r="AE1703" t="str">
            <v>Con precio</v>
          </cell>
        </row>
        <row r="1704">
          <cell r="B1704" t="str">
            <v>BEY0001DO</v>
          </cell>
          <cell r="X1704" t="str">
            <v>Formulación</v>
          </cell>
          <cell r="AC1704">
            <v>8.0624999999999988E-2</v>
          </cell>
          <cell r="AD1704">
            <v>8.0624999999999988E-2</v>
          </cell>
          <cell r="AE1704" t="str">
            <v>Con precio</v>
          </cell>
        </row>
        <row r="1705">
          <cell r="B1705" t="str">
            <v>BEY0001DO</v>
          </cell>
          <cell r="X1705" t="str">
            <v>Formulación</v>
          </cell>
          <cell r="AC1705">
            <v>2.6750000000000003E-2</v>
          </cell>
          <cell r="AD1705">
            <v>2.2500000000000003E-2</v>
          </cell>
          <cell r="AE1705" t="str">
            <v>Con precio</v>
          </cell>
        </row>
        <row r="1706">
          <cell r="B1706" t="str">
            <v>BEY0001DO</v>
          </cell>
          <cell r="X1706" t="str">
            <v>Formulación</v>
          </cell>
          <cell r="AC1706">
            <v>2.1645000000000001E-2</v>
          </cell>
          <cell r="AD1706">
            <v>2.1645000000000001E-2</v>
          </cell>
          <cell r="AE1706" t="str">
            <v>Con precio</v>
          </cell>
        </row>
        <row r="1707">
          <cell r="B1707" t="str">
            <v>BEY0001DO</v>
          </cell>
          <cell r="X1707" t="str">
            <v>Formulación</v>
          </cell>
          <cell r="AC1707">
            <v>5.952000000000001E-2</v>
          </cell>
          <cell r="AD1707">
            <v>5.4709333333333339E-2</v>
          </cell>
          <cell r="AE1707" t="str">
            <v>Con precio</v>
          </cell>
        </row>
        <row r="1708">
          <cell r="B1708" t="str">
            <v>BEY0001DO</v>
          </cell>
          <cell r="X1708" t="str">
            <v>Formulación</v>
          </cell>
          <cell r="AC1708">
            <v>2.2000000000000001E-4</v>
          </cell>
          <cell r="AD1708">
            <v>2.2000000000000001E-4</v>
          </cell>
          <cell r="AE1708" t="str">
            <v>Con precio</v>
          </cell>
        </row>
        <row r="1709">
          <cell r="B1709" t="str">
            <v>BEY0001DO</v>
          </cell>
          <cell r="X1709" t="str">
            <v>Formulación</v>
          </cell>
          <cell r="AC1709">
            <v>6.900000000000001E-5</v>
          </cell>
          <cell r="AD1709">
            <v>6.900000000000001E-5</v>
          </cell>
          <cell r="AE1709" t="str">
            <v>Con precio</v>
          </cell>
        </row>
        <row r="1710">
          <cell r="B1710" t="str">
            <v>BEY0001DO</v>
          </cell>
          <cell r="X1710" t="str">
            <v>Formulación</v>
          </cell>
          <cell r="AC1710">
            <v>1.0350000000000002E-2</v>
          </cell>
          <cell r="AD1710">
            <v>8.480999999999999E-3</v>
          </cell>
          <cell r="AE1710" t="str">
            <v>Con precio</v>
          </cell>
        </row>
        <row r="1711">
          <cell r="B1711" t="str">
            <v>BEY0001DO</v>
          </cell>
          <cell r="X1711" t="str">
            <v>Formulación</v>
          </cell>
          <cell r="AC1711">
            <v>1.6799999999999999E-2</v>
          </cell>
          <cell r="AD1711">
            <v>1.6799999999999999E-2</v>
          </cell>
          <cell r="AE1711" t="str">
            <v>Con precio</v>
          </cell>
        </row>
        <row r="1712">
          <cell r="B1712" t="str">
            <v>BEY0001DO</v>
          </cell>
          <cell r="X1712" t="str">
            <v>Formulación</v>
          </cell>
          <cell r="AC1712">
            <v>0.11583</v>
          </cell>
          <cell r="AD1712">
            <v>0.10260000000000001</v>
          </cell>
          <cell r="AE1712" t="str">
            <v>Con precio</v>
          </cell>
        </row>
        <row r="1713">
          <cell r="B1713" t="str">
            <v>BEY0001DO</v>
          </cell>
          <cell r="X1713" t="str">
            <v>Empaquetado</v>
          </cell>
          <cell r="AC1713">
            <v>3.0303030303030299E-5</v>
          </cell>
          <cell r="AD1713">
            <v>3.0303030303030299E-5</v>
          </cell>
          <cell r="AE1713" t="str">
            <v>Con precio</v>
          </cell>
        </row>
        <row r="1714">
          <cell r="B1714" t="str">
            <v>BEY0001DO</v>
          </cell>
          <cell r="X1714" t="str">
            <v>Empaquetado</v>
          </cell>
          <cell r="AC1714">
            <v>2.3439393939393937E-2</v>
          </cell>
          <cell r="AD1714">
            <v>2.3439393939393937E-2</v>
          </cell>
          <cell r="AE1714" t="str">
            <v>Con precio</v>
          </cell>
        </row>
        <row r="1715">
          <cell r="B1715" t="str">
            <v>BEY0001DO</v>
          </cell>
          <cell r="X1715" t="str">
            <v>Empaquetado</v>
          </cell>
          <cell r="AC1715">
            <v>7.1917518745739595E-2</v>
          </cell>
          <cell r="AD1715">
            <v>7.1917518745739595E-2</v>
          </cell>
          <cell r="AE1715" t="str">
            <v>Con precio</v>
          </cell>
        </row>
        <row r="1716">
          <cell r="B1716" t="str">
            <v>BEY0001DO</v>
          </cell>
          <cell r="X1716" t="str">
            <v>Empaquetado</v>
          </cell>
          <cell r="AC1716">
            <v>0.44322992424242419</v>
          </cell>
          <cell r="AD1716">
            <v>0.44322992424242419</v>
          </cell>
          <cell r="AE1716" t="str">
            <v>Con precio</v>
          </cell>
        </row>
        <row r="1717">
          <cell r="B1717" t="str">
            <v>BEY0001DO</v>
          </cell>
          <cell r="X1717" t="str">
            <v>Empaquetado</v>
          </cell>
          <cell r="AC1717">
            <v>0.11874999999999999</v>
          </cell>
          <cell r="AD1717">
            <v>0.11874999999999999</v>
          </cell>
          <cell r="AE1717" t="str">
            <v>Con precio</v>
          </cell>
        </row>
        <row r="1718">
          <cell r="B1718" t="str">
            <v>BEY0001DO</v>
          </cell>
          <cell r="X1718" t="str">
            <v>Empaquetado</v>
          </cell>
          <cell r="AC1718">
            <v>9.6080774456521717E-2</v>
          </cell>
          <cell r="AD1718">
            <v>9.6080774456521717E-2</v>
          </cell>
          <cell r="AE1718" t="str">
            <v>Con precio</v>
          </cell>
        </row>
        <row r="1719">
          <cell r="B1719" t="str">
            <v>BEY0005</v>
          </cell>
          <cell r="X1719" t="str">
            <v>Formulación</v>
          </cell>
          <cell r="AC1719">
            <v>4.8799999999999998E-3</v>
          </cell>
          <cell r="AD1719">
            <v>4.8799999999999998E-3</v>
          </cell>
          <cell r="AE1719" t="str">
            <v>Con precio</v>
          </cell>
        </row>
        <row r="1720">
          <cell r="B1720" t="str">
            <v>BEY0005</v>
          </cell>
          <cell r="X1720" t="str">
            <v>Formulación</v>
          </cell>
          <cell r="AC1720">
            <v>0.93215000000000003</v>
          </cell>
          <cell r="AD1720">
            <v>0.93215000000000003</v>
          </cell>
          <cell r="AE1720" t="str">
            <v>Con precio</v>
          </cell>
        </row>
        <row r="1721">
          <cell r="B1721" t="str">
            <v>BEY0005</v>
          </cell>
          <cell r="X1721" t="str">
            <v>Formulación</v>
          </cell>
          <cell r="AC1721">
            <v>8.0624999999999988E-2</v>
          </cell>
          <cell r="AD1721">
            <v>8.0624999999999988E-2</v>
          </cell>
          <cell r="AE1721" t="str">
            <v>Con precio</v>
          </cell>
        </row>
        <row r="1722">
          <cell r="B1722" t="str">
            <v>BEY0005</v>
          </cell>
          <cell r="X1722" t="str">
            <v>Formulación</v>
          </cell>
          <cell r="AC1722">
            <v>2.6750000000000003E-2</v>
          </cell>
          <cell r="AD1722">
            <v>2.2500000000000003E-2</v>
          </cell>
          <cell r="AE1722" t="str">
            <v>Con precio</v>
          </cell>
        </row>
        <row r="1723">
          <cell r="B1723" t="str">
            <v>BEY0005</v>
          </cell>
          <cell r="X1723" t="str">
            <v>Formulación</v>
          </cell>
          <cell r="AC1723">
            <v>2.1645000000000001E-2</v>
          </cell>
          <cell r="AD1723">
            <v>2.1645000000000001E-2</v>
          </cell>
          <cell r="AE1723" t="str">
            <v>Con precio</v>
          </cell>
        </row>
        <row r="1724">
          <cell r="B1724" t="str">
            <v>BEY0005</v>
          </cell>
          <cell r="X1724" t="str">
            <v>Formulación</v>
          </cell>
          <cell r="AC1724">
            <v>5.952000000000001E-2</v>
          </cell>
          <cell r="AD1724">
            <v>5.4709333333333339E-2</v>
          </cell>
          <cell r="AE1724" t="str">
            <v>Con precio</v>
          </cell>
        </row>
        <row r="1725">
          <cell r="B1725" t="str">
            <v>BEY0005</v>
          </cell>
          <cell r="X1725" t="str">
            <v>Formulación</v>
          </cell>
          <cell r="AC1725">
            <v>2.2000000000000001E-4</v>
          </cell>
          <cell r="AD1725">
            <v>2.2000000000000001E-4</v>
          </cell>
          <cell r="AE1725" t="str">
            <v>Con precio</v>
          </cell>
        </row>
        <row r="1726">
          <cell r="B1726" t="str">
            <v>BEY0005</v>
          </cell>
          <cell r="X1726" t="str">
            <v>Formulación</v>
          </cell>
          <cell r="AC1726">
            <v>6.900000000000001E-5</v>
          </cell>
          <cell r="AD1726">
            <v>6.900000000000001E-5</v>
          </cell>
          <cell r="AE1726" t="str">
            <v>Con precio</v>
          </cell>
        </row>
        <row r="1727">
          <cell r="B1727" t="str">
            <v>BEY0005</v>
          </cell>
          <cell r="X1727" t="str">
            <v>Formulación</v>
          </cell>
          <cell r="AC1727">
            <v>1.0350000000000002E-2</v>
          </cell>
          <cell r="AD1727">
            <v>8.480999999999999E-3</v>
          </cell>
          <cell r="AE1727" t="str">
            <v>Con precio</v>
          </cell>
        </row>
        <row r="1728">
          <cell r="B1728" t="str">
            <v>BEY0005</v>
          </cell>
          <cell r="X1728" t="str">
            <v>Formulación</v>
          </cell>
          <cell r="AC1728">
            <v>1.6799999999999999E-2</v>
          </cell>
          <cell r="AD1728">
            <v>1.6799999999999999E-2</v>
          </cell>
          <cell r="AE1728" t="str">
            <v>Con precio</v>
          </cell>
        </row>
        <row r="1729">
          <cell r="B1729" t="str">
            <v>BEY0005</v>
          </cell>
          <cell r="X1729" t="str">
            <v>Formulación</v>
          </cell>
          <cell r="AC1729">
            <v>0.11583</v>
          </cell>
          <cell r="AD1729">
            <v>0.10260000000000001</v>
          </cell>
          <cell r="AE1729" t="str">
            <v>Con precio</v>
          </cell>
        </row>
        <row r="1730">
          <cell r="B1730" t="str">
            <v>BEY0005</v>
          </cell>
          <cell r="X1730" t="str">
            <v>Empaquetado</v>
          </cell>
          <cell r="AC1730">
            <v>1.2991333333333337E-2</v>
          </cell>
          <cell r="AD1730">
            <v>1.2991333333333337E-2</v>
          </cell>
          <cell r="AE1730" t="str">
            <v>Con precio</v>
          </cell>
        </row>
        <row r="1731">
          <cell r="B1731" t="str">
            <v>BEY0005</v>
          </cell>
          <cell r="X1731" t="str">
            <v>Empaquetado</v>
          </cell>
          <cell r="AC1731">
            <v>2.5783333333333339E-2</v>
          </cell>
          <cell r="AD1731">
            <v>2.5783333333333339E-2</v>
          </cell>
          <cell r="AE1731" t="str">
            <v>Con precio</v>
          </cell>
        </row>
        <row r="1732">
          <cell r="B1732" t="str">
            <v>BEY0005</v>
          </cell>
          <cell r="X1732" t="str">
            <v>Empaquetado</v>
          </cell>
          <cell r="AC1732">
            <v>2.217248641304348E-2</v>
          </cell>
          <cell r="AD1732">
            <v>2.217248641304348E-2</v>
          </cell>
          <cell r="AE1732" t="str">
            <v>Con precio</v>
          </cell>
        </row>
        <row r="1733">
          <cell r="B1733" t="str">
            <v>BEY0005</v>
          </cell>
          <cell r="X1733" t="str">
            <v>Empaquetado</v>
          </cell>
          <cell r="AC1733">
            <v>0.17399999999999999</v>
          </cell>
          <cell r="AD1733">
            <v>0.17399999999999999</v>
          </cell>
          <cell r="AE1733" t="str">
            <v>Con precio</v>
          </cell>
        </row>
        <row r="1734">
          <cell r="B1734" t="str">
            <v>BEY0005</v>
          </cell>
          <cell r="X1734" t="str">
            <v>Empaquetado</v>
          </cell>
          <cell r="AC1734">
            <v>5.7799999999999997E-2</v>
          </cell>
          <cell r="AD1734">
            <v>5.7799999999999997E-2</v>
          </cell>
          <cell r="AE1734" t="str">
            <v>Con precio</v>
          </cell>
        </row>
        <row r="1735">
          <cell r="B1735" t="str">
            <v>BEY0005</v>
          </cell>
          <cell r="X1735" t="str">
            <v>Empaquetado</v>
          </cell>
          <cell r="AC1735">
            <v>3.6950017630465445E-2</v>
          </cell>
          <cell r="AD1735">
            <v>3.6950017630465445E-2</v>
          </cell>
          <cell r="AE1735" t="str">
            <v>Con precio</v>
          </cell>
        </row>
        <row r="1736">
          <cell r="B1736" t="str">
            <v>BEY0020</v>
          </cell>
          <cell r="X1736" t="str">
            <v>Formulación</v>
          </cell>
          <cell r="AC1736">
            <v>4.8799999999999998E-3</v>
          </cell>
          <cell r="AD1736">
            <v>4.8799999999999998E-3</v>
          </cell>
          <cell r="AE1736" t="str">
            <v>Con precio</v>
          </cell>
        </row>
        <row r="1737">
          <cell r="B1737" t="str">
            <v>BEY0020</v>
          </cell>
          <cell r="X1737" t="str">
            <v>Formulación</v>
          </cell>
          <cell r="AC1737">
            <v>0.93215000000000003</v>
          </cell>
          <cell r="AD1737">
            <v>0.93215000000000003</v>
          </cell>
          <cell r="AE1737" t="str">
            <v>Con precio</v>
          </cell>
        </row>
        <row r="1738">
          <cell r="B1738" t="str">
            <v>BEY0020</v>
          </cell>
          <cell r="X1738" t="str">
            <v>Formulación</v>
          </cell>
          <cell r="AC1738">
            <v>8.0624999999999988E-2</v>
          </cell>
          <cell r="AD1738">
            <v>8.0624999999999988E-2</v>
          </cell>
          <cell r="AE1738" t="str">
            <v>Con precio</v>
          </cell>
        </row>
        <row r="1739">
          <cell r="B1739" t="str">
            <v>BEY0020</v>
          </cell>
          <cell r="X1739" t="str">
            <v>Formulación</v>
          </cell>
          <cell r="AC1739">
            <v>2.6750000000000003E-2</v>
          </cell>
          <cell r="AD1739">
            <v>2.2500000000000003E-2</v>
          </cell>
          <cell r="AE1739" t="str">
            <v>Con precio</v>
          </cell>
        </row>
        <row r="1740">
          <cell r="B1740" t="str">
            <v>BEY0020</v>
          </cell>
          <cell r="X1740" t="str">
            <v>Formulación</v>
          </cell>
          <cell r="AC1740">
            <v>2.1645000000000001E-2</v>
          </cell>
          <cell r="AD1740">
            <v>2.1645000000000001E-2</v>
          </cell>
          <cell r="AE1740" t="str">
            <v>Con precio</v>
          </cell>
        </row>
        <row r="1741">
          <cell r="B1741" t="str">
            <v>BEY0020</v>
          </cell>
          <cell r="X1741" t="str">
            <v>Formulación</v>
          </cell>
          <cell r="AC1741">
            <v>5.952000000000001E-2</v>
          </cell>
          <cell r="AD1741">
            <v>5.4709333333333339E-2</v>
          </cell>
          <cell r="AE1741" t="str">
            <v>Con precio</v>
          </cell>
        </row>
        <row r="1742">
          <cell r="B1742" t="str">
            <v>BEY0020</v>
          </cell>
          <cell r="X1742" t="str">
            <v>Formulación</v>
          </cell>
          <cell r="AC1742">
            <v>2.2000000000000001E-4</v>
          </cell>
          <cell r="AD1742">
            <v>2.2000000000000001E-4</v>
          </cell>
          <cell r="AE1742" t="str">
            <v>Con precio</v>
          </cell>
        </row>
        <row r="1743">
          <cell r="B1743" t="str">
            <v>BEY0020</v>
          </cell>
          <cell r="X1743" t="str">
            <v>Formulación</v>
          </cell>
          <cell r="AC1743">
            <v>6.900000000000001E-5</v>
          </cell>
          <cell r="AD1743">
            <v>6.900000000000001E-5</v>
          </cell>
          <cell r="AE1743" t="str">
            <v>Con precio</v>
          </cell>
        </row>
        <row r="1744">
          <cell r="B1744" t="str">
            <v>BEY0020</v>
          </cell>
          <cell r="X1744" t="str">
            <v>Formulación</v>
          </cell>
          <cell r="AC1744">
            <v>1.0350000000000002E-2</v>
          </cell>
          <cell r="AD1744">
            <v>8.480999999999999E-3</v>
          </cell>
          <cell r="AE1744" t="str">
            <v>Con precio</v>
          </cell>
        </row>
        <row r="1745">
          <cell r="B1745" t="str">
            <v>BEY0020</v>
          </cell>
          <cell r="X1745" t="str">
            <v>Formulación</v>
          </cell>
          <cell r="AC1745">
            <v>1.6799999999999999E-2</v>
          </cell>
          <cell r="AD1745">
            <v>1.6799999999999999E-2</v>
          </cell>
          <cell r="AE1745" t="str">
            <v>Con precio</v>
          </cell>
        </row>
        <row r="1746">
          <cell r="B1746" t="str">
            <v>BEY0020</v>
          </cell>
          <cell r="X1746" t="str">
            <v>Formulación</v>
          </cell>
          <cell r="AC1746">
            <v>0.11583</v>
          </cell>
          <cell r="AD1746">
            <v>0.10260000000000001</v>
          </cell>
          <cell r="AE1746" t="str">
            <v>Con precio</v>
          </cell>
        </row>
        <row r="1747">
          <cell r="B1747" t="str">
            <v>BEY0020</v>
          </cell>
          <cell r="X1747" t="str">
            <v>Empaquetado</v>
          </cell>
          <cell r="AC1747">
            <v>7.3209374999999993E-3</v>
          </cell>
          <cell r="AD1747">
            <v>7.3209374999999993E-3</v>
          </cell>
          <cell r="AE1747" t="str">
            <v>Con precio</v>
          </cell>
        </row>
        <row r="1748">
          <cell r="B1748" t="str">
            <v>BEY0020</v>
          </cell>
          <cell r="X1748" t="str">
            <v>Empaquetado</v>
          </cell>
          <cell r="AC1748">
            <v>2.4171875000000002E-2</v>
          </cell>
          <cell r="AD1748">
            <v>2.4171875000000002E-2</v>
          </cell>
          <cell r="AE1748" t="str">
            <v>Con precio</v>
          </cell>
        </row>
        <row r="1749">
          <cell r="B1749" t="str">
            <v>BEY0020</v>
          </cell>
          <cell r="X1749" t="str">
            <v>Empaquetado</v>
          </cell>
          <cell r="AC1749">
            <v>5.0719967793880849E-3</v>
          </cell>
          <cell r="AD1749">
            <v>5.0719967793880849E-3</v>
          </cell>
          <cell r="AE1749" t="str">
            <v>Con precio</v>
          </cell>
        </row>
        <row r="1750">
          <cell r="B1750" t="str">
            <v>BEY0020</v>
          </cell>
          <cell r="X1750" t="str">
            <v>Empaquetado</v>
          </cell>
          <cell r="AC1750">
            <v>0.18266505681818179</v>
          </cell>
          <cell r="AD1750">
            <v>0.18266505681818179</v>
          </cell>
          <cell r="AE1750" t="str">
            <v>Con precio</v>
          </cell>
        </row>
        <row r="1751">
          <cell r="B1751" t="str">
            <v>BEY0020</v>
          </cell>
          <cell r="X1751" t="str">
            <v>Empaquetado</v>
          </cell>
          <cell r="AC1751">
            <v>2.4035031847133761E-2</v>
          </cell>
          <cell r="AD1751">
            <v>2.4035031847133761E-2</v>
          </cell>
          <cell r="AE1751" t="str">
            <v>Con precio</v>
          </cell>
        </row>
        <row r="1752">
          <cell r="B1752" t="str">
            <v>BEY0020AZ</v>
          </cell>
          <cell r="X1752" t="str">
            <v>Formulación</v>
          </cell>
          <cell r="AC1752">
            <v>4.8799999999999998E-3</v>
          </cell>
          <cell r="AD1752">
            <v>4.8799999999999998E-3</v>
          </cell>
          <cell r="AE1752" t="str">
            <v>Con precio</v>
          </cell>
        </row>
        <row r="1753">
          <cell r="B1753" t="str">
            <v>BEY0020AZ</v>
          </cell>
          <cell r="X1753" t="str">
            <v>Formulación</v>
          </cell>
          <cell r="AC1753">
            <v>0.93215000000000003</v>
          </cell>
          <cell r="AD1753">
            <v>0.93215000000000003</v>
          </cell>
          <cell r="AE1753" t="str">
            <v>Con precio</v>
          </cell>
        </row>
        <row r="1754">
          <cell r="B1754" t="str">
            <v>BEY0020AZ</v>
          </cell>
          <cell r="X1754" t="str">
            <v>Formulación</v>
          </cell>
          <cell r="AC1754">
            <v>8.0624999999999988E-2</v>
          </cell>
          <cell r="AD1754">
            <v>8.0624999999999988E-2</v>
          </cell>
          <cell r="AE1754" t="str">
            <v>Con precio</v>
          </cell>
        </row>
        <row r="1755">
          <cell r="B1755" t="str">
            <v>BEY0020AZ</v>
          </cell>
          <cell r="X1755" t="str">
            <v>Formulación</v>
          </cell>
          <cell r="AC1755">
            <v>2.6750000000000003E-2</v>
          </cell>
          <cell r="AD1755">
            <v>2.2500000000000003E-2</v>
          </cell>
          <cell r="AE1755" t="str">
            <v>Con precio</v>
          </cell>
        </row>
        <row r="1756">
          <cell r="B1756" t="str">
            <v>BEY0020AZ</v>
          </cell>
          <cell r="X1756" t="str">
            <v>Formulación</v>
          </cell>
          <cell r="AC1756">
            <v>2.1645000000000001E-2</v>
          </cell>
          <cell r="AD1756">
            <v>2.1645000000000001E-2</v>
          </cell>
          <cell r="AE1756" t="str">
            <v>Con precio</v>
          </cell>
        </row>
        <row r="1757">
          <cell r="B1757" t="str">
            <v>BEY0020AZ</v>
          </cell>
          <cell r="X1757" t="str">
            <v>Formulación</v>
          </cell>
          <cell r="AC1757">
            <v>5.952000000000001E-2</v>
          </cell>
          <cell r="AD1757">
            <v>5.4709333333333339E-2</v>
          </cell>
          <cell r="AE1757" t="str">
            <v>Con precio</v>
          </cell>
        </row>
        <row r="1758">
          <cell r="B1758" t="str">
            <v>BEY0020AZ</v>
          </cell>
          <cell r="X1758" t="str">
            <v>Formulación</v>
          </cell>
          <cell r="AC1758">
            <v>2.2000000000000001E-4</v>
          </cell>
          <cell r="AD1758">
            <v>2.2000000000000001E-4</v>
          </cell>
          <cell r="AE1758" t="str">
            <v>Con precio</v>
          </cell>
        </row>
        <row r="1759">
          <cell r="B1759" t="str">
            <v>BEY0020AZ</v>
          </cell>
          <cell r="X1759" t="str">
            <v>Formulación</v>
          </cell>
          <cell r="AC1759">
            <v>6.900000000000001E-5</v>
          </cell>
          <cell r="AD1759">
            <v>6.900000000000001E-5</v>
          </cell>
          <cell r="AE1759" t="str">
            <v>Con precio</v>
          </cell>
        </row>
        <row r="1760">
          <cell r="B1760" t="str">
            <v>BEY0020AZ</v>
          </cell>
          <cell r="X1760" t="str">
            <v>Formulación</v>
          </cell>
          <cell r="AC1760">
            <v>1.0350000000000002E-2</v>
          </cell>
          <cell r="AD1760">
            <v>8.480999999999999E-3</v>
          </cell>
          <cell r="AE1760" t="str">
            <v>Con precio</v>
          </cell>
        </row>
        <row r="1761">
          <cell r="B1761" t="str">
            <v>BEY0020AZ</v>
          </cell>
          <cell r="X1761" t="str">
            <v>Formulación</v>
          </cell>
          <cell r="AC1761">
            <v>1.6799999999999999E-2</v>
          </cell>
          <cell r="AD1761">
            <v>1.6799999999999999E-2</v>
          </cell>
          <cell r="AE1761" t="str">
            <v>Con precio</v>
          </cell>
        </row>
        <row r="1762">
          <cell r="B1762" t="str">
            <v>BEY0020AZ</v>
          </cell>
          <cell r="X1762" t="str">
            <v>Formulación</v>
          </cell>
          <cell r="AC1762">
            <v>0.11583</v>
          </cell>
          <cell r="AD1762">
            <v>0.10260000000000001</v>
          </cell>
          <cell r="AE1762" t="str">
            <v>Con precio</v>
          </cell>
        </row>
        <row r="1763">
          <cell r="B1763" t="str">
            <v>BEY0020AZ</v>
          </cell>
          <cell r="X1763" t="str">
            <v>Empaquetado</v>
          </cell>
          <cell r="AC1763">
            <v>7.3209374999999993E-3</v>
          </cell>
          <cell r="AD1763">
            <v>7.3209374999999993E-3</v>
          </cell>
          <cell r="AE1763" t="str">
            <v>Con precio</v>
          </cell>
        </row>
        <row r="1764">
          <cell r="B1764" t="str">
            <v>BEY0020AZ</v>
          </cell>
          <cell r="X1764" t="str">
            <v>Empaquetado</v>
          </cell>
          <cell r="AC1764">
            <v>2.4171875000000002E-2</v>
          </cell>
          <cell r="AD1764">
            <v>2.4171875000000002E-2</v>
          </cell>
          <cell r="AE1764" t="str">
            <v>Con precio</v>
          </cell>
        </row>
        <row r="1765">
          <cell r="B1765" t="str">
            <v>BEY0020AZ</v>
          </cell>
          <cell r="X1765" t="str">
            <v>Empaquetado</v>
          </cell>
          <cell r="AC1765">
            <v>5.0719967793880849E-3</v>
          </cell>
          <cell r="AD1765">
            <v>5.0719967793880849E-3</v>
          </cell>
          <cell r="AE1765" t="str">
            <v>Con precio</v>
          </cell>
        </row>
        <row r="1766">
          <cell r="B1766" t="str">
            <v>BEY0020AZ</v>
          </cell>
          <cell r="X1766" t="str">
            <v>Empaquetado</v>
          </cell>
          <cell r="AC1766">
            <v>0.18266505681818179</v>
          </cell>
          <cell r="AD1766">
            <v>0.18266505681818179</v>
          </cell>
          <cell r="AE1766" t="str">
            <v>Con precio</v>
          </cell>
        </row>
        <row r="1767">
          <cell r="B1767" t="str">
            <v>BEY0020AZ</v>
          </cell>
          <cell r="X1767" t="str">
            <v>Empaquetado</v>
          </cell>
          <cell r="AC1767">
            <v>2.4035031847133761E-2</v>
          </cell>
          <cell r="AD1767">
            <v>2.4035031847133761E-2</v>
          </cell>
          <cell r="AE1767" t="str">
            <v>Con precio</v>
          </cell>
        </row>
        <row r="1768">
          <cell r="B1768" t="str">
            <v>BIO0001DO</v>
          </cell>
          <cell r="X1768" t="str">
            <v>Formulación</v>
          </cell>
          <cell r="AC1768">
            <v>0.37869999999999998</v>
          </cell>
          <cell r="AD1768">
            <v>0.30356666666666665</v>
          </cell>
          <cell r="AE1768" t="str">
            <v>Con precio</v>
          </cell>
        </row>
        <row r="1769">
          <cell r="B1769" t="str">
            <v>BIO0001DO</v>
          </cell>
          <cell r="X1769" t="str">
            <v>Formulación</v>
          </cell>
          <cell r="AC1769">
            <v>2.4227272727272729E-2</v>
          </cell>
          <cell r="AD1769">
            <v>2.4227272727272729E-2</v>
          </cell>
          <cell r="AE1769" t="str">
            <v>Con precio</v>
          </cell>
        </row>
        <row r="1770">
          <cell r="B1770" t="str">
            <v>BIO0001DO</v>
          </cell>
          <cell r="X1770" t="str">
            <v>Formulación</v>
          </cell>
          <cell r="AC1770">
            <v>2.1959999999999997E-2</v>
          </cell>
          <cell r="AD1770">
            <v>2.1959999999999997E-2</v>
          </cell>
          <cell r="AE1770" t="str">
            <v>Con precio</v>
          </cell>
        </row>
        <row r="1771">
          <cell r="B1771" t="str">
            <v>BIO0001DO</v>
          </cell>
          <cell r="X1771" t="str">
            <v>Formulación</v>
          </cell>
          <cell r="AC1771">
            <v>5.7375000000000009E-2</v>
          </cell>
          <cell r="AD1771">
            <v>5.7375000000000009E-2</v>
          </cell>
          <cell r="AE1771" t="str">
            <v>Con precio</v>
          </cell>
        </row>
        <row r="1772">
          <cell r="B1772" t="str">
            <v>BIO0001DO</v>
          </cell>
          <cell r="X1772" t="str">
            <v>Formulación</v>
          </cell>
          <cell r="AC1772">
            <v>0.11137500000000002</v>
          </cell>
          <cell r="AD1772">
            <v>9.7232142857142864E-2</v>
          </cell>
          <cell r="AE1772" t="str">
            <v>Con precio</v>
          </cell>
        </row>
        <row r="1773">
          <cell r="B1773" t="str">
            <v>BIO0001DO</v>
          </cell>
          <cell r="X1773" t="str">
            <v>Formulación</v>
          </cell>
          <cell r="AC1773">
            <v>6.8399999999999989E-2</v>
          </cell>
          <cell r="AD1773">
            <v>6.2880000000000005E-2</v>
          </cell>
          <cell r="AE1773" t="str">
            <v>Con precio</v>
          </cell>
        </row>
        <row r="1774">
          <cell r="B1774" t="str">
            <v>BIO0001DO</v>
          </cell>
          <cell r="X1774" t="str">
            <v>Formulación</v>
          </cell>
          <cell r="AC1774">
            <v>1.0319999999999999E-2</v>
          </cell>
          <cell r="AD1774">
            <v>7.7160000000000006E-3</v>
          </cell>
          <cell r="AE1774" t="str">
            <v>Con precio</v>
          </cell>
        </row>
        <row r="1775">
          <cell r="B1775" t="str">
            <v>BIO0001DO</v>
          </cell>
          <cell r="X1775" t="str">
            <v>Formulación</v>
          </cell>
          <cell r="AC1775">
            <v>1.1040000000000001E-2</v>
          </cell>
          <cell r="AD1775">
            <v>1.068E-2</v>
          </cell>
          <cell r="AE1775" t="str">
            <v>Con precio</v>
          </cell>
        </row>
        <row r="1776">
          <cell r="B1776" t="str">
            <v>BIO0001DO</v>
          </cell>
          <cell r="X1776" t="str">
            <v>Empaquetado</v>
          </cell>
          <cell r="AC1776">
            <v>3.0303030303030299E-5</v>
          </cell>
          <cell r="AD1776">
            <v>3.0303030303030299E-5</v>
          </cell>
          <cell r="AE1776" t="str">
            <v>Con precio</v>
          </cell>
        </row>
        <row r="1777">
          <cell r="B1777" t="str">
            <v>BIO0001DO</v>
          </cell>
          <cell r="X1777" t="str">
            <v>Empaquetado</v>
          </cell>
          <cell r="AC1777">
            <v>2.3439393939393937E-2</v>
          </cell>
          <cell r="AD1777">
            <v>2.3439393939393937E-2</v>
          </cell>
          <cell r="AE1777" t="str">
            <v>Con precio</v>
          </cell>
        </row>
        <row r="1778">
          <cell r="B1778" t="str">
            <v>BIO0001DO</v>
          </cell>
          <cell r="X1778" t="str">
            <v>Empaquetado</v>
          </cell>
          <cell r="AC1778">
            <v>7.1917518745739595E-2</v>
          </cell>
          <cell r="AD1778">
            <v>7.1917518745739595E-2</v>
          </cell>
          <cell r="AE1778" t="str">
            <v>Con precio</v>
          </cell>
        </row>
        <row r="1779">
          <cell r="B1779" t="str">
            <v>BIO0001DO</v>
          </cell>
          <cell r="X1779" t="str">
            <v>Empaquetado</v>
          </cell>
          <cell r="AC1779">
            <v>0.44322992424242419</v>
          </cell>
          <cell r="AD1779">
            <v>0.44322992424242419</v>
          </cell>
          <cell r="AE1779" t="str">
            <v>Con precio</v>
          </cell>
        </row>
        <row r="1780">
          <cell r="B1780" t="str">
            <v>BIO0001DO</v>
          </cell>
          <cell r="X1780" t="str">
            <v>Empaquetado</v>
          </cell>
          <cell r="AC1780">
            <v>0.11874999999999999</v>
          </cell>
          <cell r="AD1780">
            <v>0.11874999999999999</v>
          </cell>
          <cell r="AE1780" t="str">
            <v>Con precio</v>
          </cell>
        </row>
        <row r="1781">
          <cell r="B1781" t="str">
            <v>BIO0001DO</v>
          </cell>
          <cell r="X1781" t="str">
            <v>Empaquetado</v>
          </cell>
          <cell r="AC1781">
            <v>9.6080774456521717E-2</v>
          </cell>
          <cell r="AD1781">
            <v>9.6080774456521717E-2</v>
          </cell>
          <cell r="AE1781" t="str">
            <v>Con precio</v>
          </cell>
        </row>
        <row r="1782">
          <cell r="B1782" t="str">
            <v>BIO0001PA</v>
          </cell>
          <cell r="X1782" t="str">
            <v>Formulación</v>
          </cell>
          <cell r="AC1782">
            <v>0.37869999999999998</v>
          </cell>
          <cell r="AD1782">
            <v>0.30356666666666665</v>
          </cell>
          <cell r="AE1782" t="str">
            <v>Con precio</v>
          </cell>
        </row>
        <row r="1783">
          <cell r="B1783" t="str">
            <v>BIO0001PA</v>
          </cell>
          <cell r="X1783" t="str">
            <v>Formulación</v>
          </cell>
          <cell r="AC1783">
            <v>2.4227272727272729E-2</v>
          </cell>
          <cell r="AD1783">
            <v>2.4227272727272729E-2</v>
          </cell>
          <cell r="AE1783" t="str">
            <v>Con precio</v>
          </cell>
        </row>
        <row r="1784">
          <cell r="B1784" t="str">
            <v>BIO0001PA</v>
          </cell>
          <cell r="X1784" t="str">
            <v>Formulación</v>
          </cell>
          <cell r="AC1784">
            <v>2.1959999999999997E-2</v>
          </cell>
          <cell r="AD1784">
            <v>2.1959999999999997E-2</v>
          </cell>
          <cell r="AE1784" t="str">
            <v>Con precio</v>
          </cell>
        </row>
        <row r="1785">
          <cell r="B1785" t="str">
            <v>BIO0001PA</v>
          </cell>
          <cell r="X1785" t="str">
            <v>Formulación</v>
          </cell>
          <cell r="AC1785">
            <v>5.7375000000000009E-2</v>
          </cell>
          <cell r="AD1785">
            <v>5.7375000000000009E-2</v>
          </cell>
          <cell r="AE1785" t="str">
            <v>Con precio</v>
          </cell>
        </row>
        <row r="1786">
          <cell r="B1786" t="str">
            <v>BIO0001PA</v>
          </cell>
          <cell r="X1786" t="str">
            <v>Formulación</v>
          </cell>
          <cell r="AC1786">
            <v>0.11137500000000002</v>
          </cell>
          <cell r="AD1786">
            <v>9.7232142857142864E-2</v>
          </cell>
          <cell r="AE1786" t="str">
            <v>Con precio</v>
          </cell>
        </row>
        <row r="1787">
          <cell r="B1787" t="str">
            <v>BIO0001PA</v>
          </cell>
          <cell r="X1787" t="str">
            <v>Formulación</v>
          </cell>
          <cell r="AC1787">
            <v>6.8399999999999989E-2</v>
          </cell>
          <cell r="AD1787">
            <v>6.2880000000000005E-2</v>
          </cell>
          <cell r="AE1787" t="str">
            <v>Con precio</v>
          </cell>
        </row>
        <row r="1788">
          <cell r="B1788" t="str">
            <v>BIO0001PA</v>
          </cell>
          <cell r="X1788" t="str">
            <v>Formulación</v>
          </cell>
          <cell r="AC1788">
            <v>1.0319999999999999E-2</v>
          </cell>
          <cell r="AD1788">
            <v>7.7160000000000006E-3</v>
          </cell>
          <cell r="AE1788" t="str">
            <v>Con precio</v>
          </cell>
        </row>
        <row r="1789">
          <cell r="B1789" t="str">
            <v>BIO0001PA</v>
          </cell>
          <cell r="X1789" t="str">
            <v>Formulación</v>
          </cell>
          <cell r="AC1789">
            <v>1.1040000000000001E-2</v>
          </cell>
          <cell r="AD1789">
            <v>1.068E-2</v>
          </cell>
          <cell r="AE1789" t="str">
            <v>Con precio</v>
          </cell>
        </row>
        <row r="1790">
          <cell r="B1790" t="str">
            <v>BIO0001PA</v>
          </cell>
          <cell r="X1790" t="str">
            <v>Empaquetado</v>
          </cell>
          <cell r="AC1790">
            <v>3.0303030303030299E-5</v>
          </cell>
          <cell r="AD1790">
            <v>3.0303030303030299E-5</v>
          </cell>
          <cell r="AE1790" t="str">
            <v>Con precio</v>
          </cell>
        </row>
        <row r="1791">
          <cell r="B1791" t="str">
            <v>BIO0001PA</v>
          </cell>
          <cell r="X1791" t="str">
            <v>Empaquetado</v>
          </cell>
          <cell r="AC1791">
            <v>2.3439393939393937E-2</v>
          </cell>
          <cell r="AD1791">
            <v>2.3439393939393937E-2</v>
          </cell>
          <cell r="AE1791" t="str">
            <v>Con precio</v>
          </cell>
        </row>
        <row r="1792">
          <cell r="B1792" t="str">
            <v>BIO0001PA</v>
          </cell>
          <cell r="X1792" t="str">
            <v>Empaquetado</v>
          </cell>
          <cell r="AC1792">
            <v>7.1917518745739595E-2</v>
          </cell>
          <cell r="AD1792">
            <v>7.1917518745739595E-2</v>
          </cell>
          <cell r="AE1792" t="str">
            <v>Con precio</v>
          </cell>
        </row>
        <row r="1793">
          <cell r="B1793" t="str">
            <v>BIO0001PA</v>
          </cell>
          <cell r="X1793" t="str">
            <v>Empaquetado</v>
          </cell>
          <cell r="AC1793">
            <v>0.44322992424242419</v>
          </cell>
          <cell r="AD1793">
            <v>0.44322992424242419</v>
          </cell>
          <cell r="AE1793" t="str">
            <v>Con precio</v>
          </cell>
        </row>
        <row r="1794">
          <cell r="B1794" t="str">
            <v>BIO0001PA</v>
          </cell>
          <cell r="X1794" t="str">
            <v>Empaquetado</v>
          </cell>
          <cell r="AC1794">
            <v>0.11874999999999999</v>
          </cell>
          <cell r="AD1794">
            <v>0.11874999999999999</v>
          </cell>
          <cell r="AE1794" t="str">
            <v>Con precio</v>
          </cell>
        </row>
        <row r="1795">
          <cell r="B1795" t="str">
            <v>BIO0001PA</v>
          </cell>
          <cell r="X1795" t="str">
            <v>Empaquetado</v>
          </cell>
          <cell r="AC1795">
            <v>9.6080774456521717E-2</v>
          </cell>
          <cell r="AD1795">
            <v>9.6080774456521717E-2</v>
          </cell>
          <cell r="AE1795" t="str">
            <v>Con precio</v>
          </cell>
        </row>
        <row r="1796">
          <cell r="B1796" t="str">
            <v>BIO0001RO</v>
          </cell>
          <cell r="X1796" t="str">
            <v>Formulación</v>
          </cell>
          <cell r="AC1796">
            <v>0.37869999999999998</v>
          </cell>
          <cell r="AD1796">
            <v>0.30356666666666665</v>
          </cell>
          <cell r="AE1796" t="str">
            <v>Con precio</v>
          </cell>
        </row>
        <row r="1797">
          <cell r="B1797" t="str">
            <v>BIO0001RO</v>
          </cell>
          <cell r="X1797" t="str">
            <v>Formulación</v>
          </cell>
          <cell r="AC1797">
            <v>2.4227272727272729E-2</v>
          </cell>
          <cell r="AD1797">
            <v>2.4227272727272729E-2</v>
          </cell>
          <cell r="AE1797" t="str">
            <v>Con precio</v>
          </cell>
        </row>
        <row r="1798">
          <cell r="B1798" t="str">
            <v>BIO0001RO</v>
          </cell>
          <cell r="X1798" t="str">
            <v>Formulación</v>
          </cell>
          <cell r="AC1798">
            <v>2.1959999999999997E-2</v>
          </cell>
          <cell r="AD1798">
            <v>2.1959999999999997E-2</v>
          </cell>
          <cell r="AE1798" t="str">
            <v>Con precio</v>
          </cell>
        </row>
        <row r="1799">
          <cell r="B1799" t="str">
            <v>BIO0001RO</v>
          </cell>
          <cell r="X1799" t="str">
            <v>Formulación</v>
          </cell>
          <cell r="AC1799">
            <v>5.7375000000000009E-2</v>
          </cell>
          <cell r="AD1799">
            <v>5.7375000000000009E-2</v>
          </cell>
          <cell r="AE1799" t="str">
            <v>Con precio</v>
          </cell>
        </row>
        <row r="1800">
          <cell r="B1800" t="str">
            <v>BIO0001RO</v>
          </cell>
          <cell r="X1800" t="str">
            <v>Formulación</v>
          </cell>
          <cell r="AC1800">
            <v>0.11137500000000002</v>
          </cell>
          <cell r="AD1800">
            <v>9.7232142857142864E-2</v>
          </cell>
          <cell r="AE1800" t="str">
            <v>Con precio</v>
          </cell>
        </row>
        <row r="1801">
          <cell r="B1801" t="str">
            <v>BIO0001RO</v>
          </cell>
          <cell r="X1801" t="str">
            <v>Formulación</v>
          </cell>
          <cell r="AC1801">
            <v>6.8399999999999989E-2</v>
          </cell>
          <cell r="AD1801">
            <v>6.2880000000000005E-2</v>
          </cell>
          <cell r="AE1801" t="str">
            <v>Con precio</v>
          </cell>
        </row>
        <row r="1802">
          <cell r="B1802" t="str">
            <v>BIO0001RO</v>
          </cell>
          <cell r="X1802" t="str">
            <v>Formulación</v>
          </cell>
          <cell r="AC1802">
            <v>1.0319999999999999E-2</v>
          </cell>
          <cell r="AD1802">
            <v>7.7160000000000006E-3</v>
          </cell>
          <cell r="AE1802" t="str">
            <v>Con precio</v>
          </cell>
        </row>
        <row r="1803">
          <cell r="B1803" t="str">
            <v>BIO0001RO</v>
          </cell>
          <cell r="X1803" t="str">
            <v>Formulación</v>
          </cell>
          <cell r="AC1803">
            <v>1.1040000000000001E-2</v>
          </cell>
          <cell r="AD1803">
            <v>1.068E-2</v>
          </cell>
          <cell r="AE1803" t="str">
            <v>Con precio</v>
          </cell>
        </row>
        <row r="1804">
          <cell r="B1804" t="str">
            <v>BIO0001RO</v>
          </cell>
          <cell r="X1804" t="str">
            <v>Empaquetado</v>
          </cell>
          <cell r="AC1804">
            <v>3.0303030303030299E-5</v>
          </cell>
          <cell r="AD1804">
            <v>3.0303030303030299E-5</v>
          </cell>
          <cell r="AE1804" t="str">
            <v>Con precio</v>
          </cell>
        </row>
        <row r="1805">
          <cell r="B1805" t="str">
            <v>BIO0001RO</v>
          </cell>
          <cell r="X1805" t="str">
            <v>Empaquetado</v>
          </cell>
          <cell r="AC1805">
            <v>2.3439393939393937E-2</v>
          </cell>
          <cell r="AD1805">
            <v>2.3439393939393937E-2</v>
          </cell>
          <cell r="AE1805" t="str">
            <v>Con precio</v>
          </cell>
        </row>
        <row r="1806">
          <cell r="B1806" t="str">
            <v>BIO0001RO</v>
          </cell>
          <cell r="X1806" t="str">
            <v>Empaquetado</v>
          </cell>
          <cell r="AC1806">
            <v>7.1917518745739595E-2</v>
          </cell>
          <cell r="AD1806">
            <v>7.1917518745739595E-2</v>
          </cell>
          <cell r="AE1806" t="str">
            <v>Con precio</v>
          </cell>
        </row>
        <row r="1807">
          <cell r="B1807" t="str">
            <v>BIO0001RO</v>
          </cell>
          <cell r="X1807" t="str">
            <v>Empaquetado</v>
          </cell>
          <cell r="AC1807">
            <v>0.44322992424242419</v>
          </cell>
          <cell r="AD1807">
            <v>0.44322992424242419</v>
          </cell>
          <cell r="AE1807" t="str">
            <v>Con precio</v>
          </cell>
        </row>
        <row r="1808">
          <cell r="B1808" t="str">
            <v>BIO0001RO</v>
          </cell>
          <cell r="X1808" t="str">
            <v>Empaquetado</v>
          </cell>
          <cell r="AC1808">
            <v>0.11874999999999999</v>
          </cell>
          <cell r="AD1808">
            <v>0.11874999999999999</v>
          </cell>
          <cell r="AE1808" t="str">
            <v>Con precio</v>
          </cell>
        </row>
        <row r="1809">
          <cell r="B1809" t="str">
            <v>BIO0001RO</v>
          </cell>
          <cell r="X1809" t="str">
            <v>Empaquetado</v>
          </cell>
          <cell r="AC1809">
            <v>9.6080774456521717E-2</v>
          </cell>
          <cell r="AD1809">
            <v>9.6080774456521717E-2</v>
          </cell>
          <cell r="AE1809" t="str">
            <v>Con precio</v>
          </cell>
        </row>
        <row r="1810">
          <cell r="B1810" t="str">
            <v>BIO0005</v>
          </cell>
          <cell r="X1810" t="str">
            <v>Formulación</v>
          </cell>
          <cell r="AC1810">
            <v>0.37869999999999998</v>
          </cell>
          <cell r="AD1810">
            <v>0.30356666666666665</v>
          </cell>
          <cell r="AE1810" t="str">
            <v>Con precio</v>
          </cell>
        </row>
        <row r="1811">
          <cell r="B1811" t="str">
            <v>BIO0005</v>
          </cell>
          <cell r="X1811" t="str">
            <v>Formulación</v>
          </cell>
          <cell r="AC1811">
            <v>2.4227272727272729E-2</v>
          </cell>
          <cell r="AD1811">
            <v>2.4227272727272729E-2</v>
          </cell>
          <cell r="AE1811" t="str">
            <v>Con precio</v>
          </cell>
        </row>
        <row r="1812">
          <cell r="B1812" t="str">
            <v>BIO0005</v>
          </cell>
          <cell r="X1812" t="str">
            <v>Formulación</v>
          </cell>
          <cell r="AC1812">
            <v>2.1959999999999997E-2</v>
          </cell>
          <cell r="AD1812">
            <v>2.1959999999999997E-2</v>
          </cell>
          <cell r="AE1812" t="str">
            <v>Con precio</v>
          </cell>
        </row>
        <row r="1813">
          <cell r="B1813" t="str">
            <v>BIO0005</v>
          </cell>
          <cell r="X1813" t="str">
            <v>Formulación</v>
          </cell>
          <cell r="AC1813">
            <v>5.7375000000000009E-2</v>
          </cell>
          <cell r="AD1813">
            <v>5.7375000000000009E-2</v>
          </cell>
          <cell r="AE1813" t="str">
            <v>Con precio</v>
          </cell>
        </row>
        <row r="1814">
          <cell r="B1814" t="str">
            <v>BIO0005</v>
          </cell>
          <cell r="X1814" t="str">
            <v>Formulación</v>
          </cell>
          <cell r="AC1814">
            <v>0.11137500000000002</v>
          </cell>
          <cell r="AD1814">
            <v>9.7232142857142864E-2</v>
          </cell>
          <cell r="AE1814" t="str">
            <v>Con precio</v>
          </cell>
        </row>
        <row r="1815">
          <cell r="B1815" t="str">
            <v>BIO0005</v>
          </cell>
          <cell r="X1815" t="str">
            <v>Formulación</v>
          </cell>
          <cell r="AC1815">
            <v>6.8399999999999989E-2</v>
          </cell>
          <cell r="AD1815">
            <v>6.2880000000000005E-2</v>
          </cell>
          <cell r="AE1815" t="str">
            <v>Con precio</v>
          </cell>
        </row>
        <row r="1816">
          <cell r="B1816" t="str">
            <v>BIO0005</v>
          </cell>
          <cell r="X1816" t="str">
            <v>Formulación</v>
          </cell>
          <cell r="AC1816">
            <v>1.0319999999999999E-2</v>
          </cell>
          <cell r="AD1816">
            <v>7.7160000000000006E-3</v>
          </cell>
          <cell r="AE1816" t="str">
            <v>Con precio</v>
          </cell>
        </row>
        <row r="1817">
          <cell r="B1817" t="str">
            <v>BIO0005</v>
          </cell>
          <cell r="X1817" t="str">
            <v>Formulación</v>
          </cell>
          <cell r="AC1817">
            <v>1.1040000000000001E-2</v>
          </cell>
          <cell r="AD1817">
            <v>1.068E-2</v>
          </cell>
          <cell r="AE1817" t="str">
            <v>Con precio</v>
          </cell>
        </row>
        <row r="1818">
          <cell r="B1818" t="str">
            <v>BIO0005</v>
          </cell>
          <cell r="X1818" t="str">
            <v>Empaquetado</v>
          </cell>
          <cell r="AC1818">
            <v>1.2991333333333337E-2</v>
          </cell>
          <cell r="AD1818">
            <v>1.2991333333333337E-2</v>
          </cell>
          <cell r="AE1818" t="str">
            <v>Con precio</v>
          </cell>
        </row>
        <row r="1819">
          <cell r="B1819" t="str">
            <v>BIO0005</v>
          </cell>
          <cell r="X1819" t="str">
            <v>Empaquetado</v>
          </cell>
          <cell r="AC1819">
            <v>2.5783333333333339E-2</v>
          </cell>
          <cell r="AD1819">
            <v>2.5783333333333339E-2</v>
          </cell>
          <cell r="AE1819" t="str">
            <v>Con precio</v>
          </cell>
        </row>
        <row r="1820">
          <cell r="B1820" t="str">
            <v>BIO0005</v>
          </cell>
          <cell r="X1820" t="str">
            <v>Empaquetado</v>
          </cell>
          <cell r="AC1820">
            <v>2.5359983896940424E-2</v>
          </cell>
          <cell r="AD1820">
            <v>2.5359983896940424E-2</v>
          </cell>
          <cell r="AE1820" t="str">
            <v>Con precio</v>
          </cell>
        </row>
        <row r="1821">
          <cell r="B1821" t="str">
            <v>BIO0005</v>
          </cell>
          <cell r="X1821" t="str">
            <v>Empaquetado</v>
          </cell>
          <cell r="AC1821">
            <v>3.4200000000000001E-2</v>
          </cell>
          <cell r="AD1821">
            <v>3.4200000000000001E-2</v>
          </cell>
          <cell r="AE1821" t="str">
            <v>Con precio</v>
          </cell>
        </row>
        <row r="1822">
          <cell r="B1822" t="str">
            <v>BIO0005</v>
          </cell>
          <cell r="X1822" t="str">
            <v>Empaquetado</v>
          </cell>
          <cell r="AC1822">
            <v>0.17399999999999999</v>
          </cell>
          <cell r="AD1822">
            <v>0.17399999999999999</v>
          </cell>
          <cell r="AE1822" t="str">
            <v>Con precio</v>
          </cell>
        </row>
        <row r="1823">
          <cell r="B1823" t="str">
            <v>BIO0005</v>
          </cell>
          <cell r="X1823" t="str">
            <v>Empaquetado</v>
          </cell>
          <cell r="AC1823">
            <v>3.6950017630465445E-2</v>
          </cell>
          <cell r="AD1823">
            <v>3.6950017630465445E-2</v>
          </cell>
          <cell r="AE1823" t="str">
            <v>Con precio</v>
          </cell>
        </row>
        <row r="1824">
          <cell r="B1824" t="str">
            <v>BIO0005DO</v>
          </cell>
          <cell r="X1824" t="str">
            <v>Formulación</v>
          </cell>
          <cell r="AC1824">
            <v>0.37869999999999998</v>
          </cell>
          <cell r="AD1824">
            <v>0.30356666666666665</v>
          </cell>
          <cell r="AE1824" t="str">
            <v>Con precio</v>
          </cell>
        </row>
        <row r="1825">
          <cell r="B1825" t="str">
            <v>BIO0005DO</v>
          </cell>
          <cell r="X1825" t="str">
            <v>Formulación</v>
          </cell>
          <cell r="AC1825">
            <v>2.4227272727272729E-2</v>
          </cell>
          <cell r="AD1825">
            <v>2.4227272727272729E-2</v>
          </cell>
          <cell r="AE1825" t="str">
            <v>Con precio</v>
          </cell>
        </row>
        <row r="1826">
          <cell r="B1826" t="str">
            <v>BIO0005DO</v>
          </cell>
          <cell r="X1826" t="str">
            <v>Formulación</v>
          </cell>
          <cell r="AC1826">
            <v>2.1959999999999997E-2</v>
          </cell>
          <cell r="AD1826">
            <v>2.1959999999999997E-2</v>
          </cell>
          <cell r="AE1826" t="str">
            <v>Con precio</v>
          </cell>
        </row>
        <row r="1827">
          <cell r="B1827" t="str">
            <v>BIO0005DO</v>
          </cell>
          <cell r="X1827" t="str">
            <v>Formulación</v>
          </cell>
          <cell r="AC1827">
            <v>5.7375000000000009E-2</v>
          </cell>
          <cell r="AD1827">
            <v>5.7375000000000009E-2</v>
          </cell>
          <cell r="AE1827" t="str">
            <v>Con precio</v>
          </cell>
        </row>
        <row r="1828">
          <cell r="B1828" t="str">
            <v>BIO0005DO</v>
          </cell>
          <cell r="X1828" t="str">
            <v>Formulación</v>
          </cell>
          <cell r="AC1828">
            <v>0.11137500000000002</v>
          </cell>
          <cell r="AD1828">
            <v>9.7232142857142864E-2</v>
          </cell>
          <cell r="AE1828" t="str">
            <v>Con precio</v>
          </cell>
        </row>
        <row r="1829">
          <cell r="B1829" t="str">
            <v>BIO0005DO</v>
          </cell>
          <cell r="X1829" t="str">
            <v>Formulación</v>
          </cell>
          <cell r="AC1829">
            <v>6.8399999999999989E-2</v>
          </cell>
          <cell r="AD1829">
            <v>6.2880000000000005E-2</v>
          </cell>
          <cell r="AE1829" t="str">
            <v>Con precio</v>
          </cell>
        </row>
        <row r="1830">
          <cell r="B1830" t="str">
            <v>BIO0005DO</v>
          </cell>
          <cell r="X1830" t="str">
            <v>Formulación</v>
          </cell>
          <cell r="AC1830">
            <v>1.0319999999999999E-2</v>
          </cell>
          <cell r="AD1830">
            <v>7.7160000000000006E-3</v>
          </cell>
          <cell r="AE1830" t="str">
            <v>Con precio</v>
          </cell>
        </row>
        <row r="1831">
          <cell r="B1831" t="str">
            <v>BIO0005DO</v>
          </cell>
          <cell r="X1831" t="str">
            <v>Formulación</v>
          </cell>
          <cell r="AC1831">
            <v>1.1040000000000001E-2</v>
          </cell>
          <cell r="AD1831">
            <v>1.068E-2</v>
          </cell>
          <cell r="AE1831" t="str">
            <v>Con precio</v>
          </cell>
        </row>
        <row r="1832">
          <cell r="B1832" t="str">
            <v>BIO0005DO</v>
          </cell>
          <cell r="X1832" t="str">
            <v>Empaquetado</v>
          </cell>
          <cell r="AC1832">
            <v>1.2991333333333337E-2</v>
          </cell>
          <cell r="AD1832">
            <v>1.2991333333333337E-2</v>
          </cell>
          <cell r="AE1832" t="str">
            <v>Con precio</v>
          </cell>
        </row>
        <row r="1833">
          <cell r="B1833" t="str">
            <v>BIO0005DO</v>
          </cell>
          <cell r="X1833" t="str">
            <v>Empaquetado</v>
          </cell>
          <cell r="AC1833">
            <v>2.5783333333333339E-2</v>
          </cell>
          <cell r="AD1833">
            <v>2.5783333333333339E-2</v>
          </cell>
          <cell r="AE1833" t="str">
            <v>Con precio</v>
          </cell>
        </row>
        <row r="1834">
          <cell r="B1834" t="str">
            <v>BIO0005DO</v>
          </cell>
          <cell r="X1834" t="str">
            <v>Empaquetado</v>
          </cell>
          <cell r="AC1834">
            <v>2.5359983896940424E-2</v>
          </cell>
          <cell r="AD1834">
            <v>2.5359983896940424E-2</v>
          </cell>
          <cell r="AE1834" t="str">
            <v>Con precio</v>
          </cell>
        </row>
        <row r="1835">
          <cell r="B1835" t="str">
            <v>BIO0005DO</v>
          </cell>
          <cell r="X1835" t="str">
            <v>Empaquetado</v>
          </cell>
          <cell r="AC1835">
            <v>3.4200000000000001E-2</v>
          </cell>
          <cell r="AD1835">
            <v>3.4200000000000001E-2</v>
          </cell>
          <cell r="AE1835" t="str">
            <v>Con precio</v>
          </cell>
        </row>
        <row r="1836">
          <cell r="B1836" t="str">
            <v>BIO0005DO</v>
          </cell>
          <cell r="X1836" t="str">
            <v>Empaquetado</v>
          </cell>
          <cell r="AC1836">
            <v>0.17399999999999999</v>
          </cell>
          <cell r="AD1836">
            <v>0.17399999999999999</v>
          </cell>
          <cell r="AE1836" t="str">
            <v>Con precio</v>
          </cell>
        </row>
        <row r="1837">
          <cell r="B1837" t="str">
            <v>BIO0005DO</v>
          </cell>
          <cell r="X1837" t="str">
            <v>Empaquetado</v>
          </cell>
          <cell r="AC1837">
            <v>3.6950017630465445E-2</v>
          </cell>
          <cell r="AD1837">
            <v>3.6950017630465445E-2</v>
          </cell>
          <cell r="AE1837" t="str">
            <v>Con precio</v>
          </cell>
        </row>
        <row r="1838">
          <cell r="B1838" t="str">
            <v>BIO0005PA</v>
          </cell>
          <cell r="X1838" t="str">
            <v>Formulación</v>
          </cell>
          <cell r="AC1838">
            <v>0.37869999999999998</v>
          </cell>
          <cell r="AD1838">
            <v>0.30356666666666665</v>
          </cell>
          <cell r="AE1838" t="str">
            <v>Con precio</v>
          </cell>
        </row>
        <row r="1839">
          <cell r="B1839" t="str">
            <v>BIO0005PA</v>
          </cell>
          <cell r="X1839" t="str">
            <v>Formulación</v>
          </cell>
          <cell r="AC1839">
            <v>2.4227272727272729E-2</v>
          </cell>
          <cell r="AD1839">
            <v>2.4227272727272729E-2</v>
          </cell>
          <cell r="AE1839" t="str">
            <v>Con precio</v>
          </cell>
        </row>
        <row r="1840">
          <cell r="B1840" t="str">
            <v>BIO0005PA</v>
          </cell>
          <cell r="X1840" t="str">
            <v>Formulación</v>
          </cell>
          <cell r="AC1840">
            <v>2.1959999999999997E-2</v>
          </cell>
          <cell r="AD1840">
            <v>2.1959999999999997E-2</v>
          </cell>
          <cell r="AE1840" t="str">
            <v>Con precio</v>
          </cell>
        </row>
        <row r="1841">
          <cell r="B1841" t="str">
            <v>BIO0005PA</v>
          </cell>
          <cell r="X1841" t="str">
            <v>Formulación</v>
          </cell>
          <cell r="AC1841">
            <v>5.7375000000000009E-2</v>
          </cell>
          <cell r="AD1841">
            <v>5.7375000000000009E-2</v>
          </cell>
          <cell r="AE1841" t="str">
            <v>Con precio</v>
          </cell>
        </row>
        <row r="1842">
          <cell r="B1842" t="str">
            <v>BIO0005PA</v>
          </cell>
          <cell r="X1842" t="str">
            <v>Formulación</v>
          </cell>
          <cell r="AC1842">
            <v>0.11137500000000002</v>
          </cell>
          <cell r="AD1842">
            <v>9.7232142857142864E-2</v>
          </cell>
          <cell r="AE1842" t="str">
            <v>Con precio</v>
          </cell>
        </row>
        <row r="1843">
          <cell r="B1843" t="str">
            <v>BIO0005PA</v>
          </cell>
          <cell r="X1843" t="str">
            <v>Formulación</v>
          </cell>
          <cell r="AC1843">
            <v>6.8399999999999989E-2</v>
          </cell>
          <cell r="AD1843">
            <v>6.2880000000000005E-2</v>
          </cell>
          <cell r="AE1843" t="str">
            <v>Con precio</v>
          </cell>
        </row>
        <row r="1844">
          <cell r="B1844" t="str">
            <v>BIO0005PA</v>
          </cell>
          <cell r="X1844" t="str">
            <v>Formulación</v>
          </cell>
          <cell r="AC1844">
            <v>1.0319999999999999E-2</v>
          </cell>
          <cell r="AD1844">
            <v>7.7160000000000006E-3</v>
          </cell>
          <cell r="AE1844" t="str">
            <v>Con precio</v>
          </cell>
        </row>
        <row r="1845">
          <cell r="B1845" t="str">
            <v>BIO0005PA</v>
          </cell>
          <cell r="X1845" t="str">
            <v>Formulación</v>
          </cell>
          <cell r="AC1845">
            <v>1.1040000000000001E-2</v>
          </cell>
          <cell r="AD1845">
            <v>1.068E-2</v>
          </cell>
          <cell r="AE1845" t="str">
            <v>Con precio</v>
          </cell>
        </row>
        <row r="1846">
          <cell r="B1846" t="str">
            <v>BIO0005PA</v>
          </cell>
          <cell r="X1846" t="str">
            <v>Empaquetado</v>
          </cell>
          <cell r="AC1846">
            <v>1.2991333333333337E-2</v>
          </cell>
          <cell r="AD1846">
            <v>1.2991333333333337E-2</v>
          </cell>
          <cell r="AE1846" t="str">
            <v>Con precio</v>
          </cell>
        </row>
        <row r="1847">
          <cell r="B1847" t="str">
            <v>BIO0005PA</v>
          </cell>
          <cell r="X1847" t="str">
            <v>Empaquetado</v>
          </cell>
          <cell r="AC1847">
            <v>2.5783333333333339E-2</v>
          </cell>
          <cell r="AD1847">
            <v>2.5783333333333339E-2</v>
          </cell>
          <cell r="AE1847" t="str">
            <v>Con precio</v>
          </cell>
        </row>
        <row r="1848">
          <cell r="B1848" t="str">
            <v>BIO0005PA</v>
          </cell>
          <cell r="X1848" t="str">
            <v>Empaquetado</v>
          </cell>
          <cell r="AC1848">
            <v>2.5359983896940424E-2</v>
          </cell>
          <cell r="AD1848">
            <v>2.5359983896940424E-2</v>
          </cell>
          <cell r="AE1848" t="str">
            <v>Con precio</v>
          </cell>
        </row>
        <row r="1849">
          <cell r="B1849" t="str">
            <v>BIO0005PA</v>
          </cell>
          <cell r="X1849" t="str">
            <v>Empaquetado</v>
          </cell>
          <cell r="AC1849">
            <v>3.4200000000000001E-2</v>
          </cell>
          <cell r="AD1849">
            <v>3.4200000000000001E-2</v>
          </cell>
          <cell r="AE1849" t="str">
            <v>Con precio</v>
          </cell>
        </row>
        <row r="1850">
          <cell r="B1850" t="str">
            <v>BIO0005PA</v>
          </cell>
          <cell r="X1850" t="str">
            <v>Empaquetado</v>
          </cell>
          <cell r="AC1850">
            <v>0.17399999999999999</v>
          </cell>
          <cell r="AD1850">
            <v>0.17399999999999999</v>
          </cell>
          <cell r="AE1850" t="str">
            <v>Con precio</v>
          </cell>
        </row>
        <row r="1851">
          <cell r="B1851" t="str">
            <v>BIO0005PA</v>
          </cell>
          <cell r="X1851" t="str">
            <v>Empaquetado</v>
          </cell>
          <cell r="AC1851">
            <v>3.6950017630465445E-2</v>
          </cell>
          <cell r="AD1851">
            <v>3.6950017630465445E-2</v>
          </cell>
          <cell r="AE1851" t="str">
            <v>Con precio</v>
          </cell>
        </row>
        <row r="1852">
          <cell r="B1852" t="str">
            <v>BIO0005RO</v>
          </cell>
          <cell r="X1852" t="str">
            <v>Formulación</v>
          </cell>
          <cell r="AC1852">
            <v>0.37869999999999998</v>
          </cell>
          <cell r="AD1852">
            <v>0.30356666666666665</v>
          </cell>
          <cell r="AE1852" t="str">
            <v>Con precio</v>
          </cell>
        </row>
        <row r="1853">
          <cell r="B1853" t="str">
            <v>BIO0005RO</v>
          </cell>
          <cell r="X1853" t="str">
            <v>Formulación</v>
          </cell>
          <cell r="AC1853">
            <v>2.4227272727272729E-2</v>
          </cell>
          <cell r="AD1853">
            <v>2.4227272727272729E-2</v>
          </cell>
          <cell r="AE1853" t="str">
            <v>Con precio</v>
          </cell>
        </row>
        <row r="1854">
          <cell r="B1854" t="str">
            <v>BIO0005RO</v>
          </cell>
          <cell r="X1854" t="str">
            <v>Formulación</v>
          </cell>
          <cell r="AC1854">
            <v>2.1959999999999997E-2</v>
          </cell>
          <cell r="AD1854">
            <v>2.1959999999999997E-2</v>
          </cell>
          <cell r="AE1854" t="str">
            <v>Con precio</v>
          </cell>
        </row>
        <row r="1855">
          <cell r="B1855" t="str">
            <v>BIO0005RO</v>
          </cell>
          <cell r="X1855" t="str">
            <v>Formulación</v>
          </cell>
          <cell r="AC1855">
            <v>5.7375000000000009E-2</v>
          </cell>
          <cell r="AD1855">
            <v>5.7375000000000009E-2</v>
          </cell>
          <cell r="AE1855" t="str">
            <v>Con precio</v>
          </cell>
        </row>
        <row r="1856">
          <cell r="B1856" t="str">
            <v>BIO0005RO</v>
          </cell>
          <cell r="X1856" t="str">
            <v>Formulación</v>
          </cell>
          <cell r="AC1856">
            <v>0.11137500000000002</v>
          </cell>
          <cell r="AD1856">
            <v>9.7232142857142864E-2</v>
          </cell>
          <cell r="AE1856" t="str">
            <v>Con precio</v>
          </cell>
        </row>
        <row r="1857">
          <cell r="B1857" t="str">
            <v>BIO0005RO</v>
          </cell>
          <cell r="X1857" t="str">
            <v>Formulación</v>
          </cell>
          <cell r="AC1857">
            <v>6.8399999999999989E-2</v>
          </cell>
          <cell r="AD1857">
            <v>6.2880000000000005E-2</v>
          </cell>
          <cell r="AE1857" t="str">
            <v>Con precio</v>
          </cell>
        </row>
        <row r="1858">
          <cell r="B1858" t="str">
            <v>BIO0005RO</v>
          </cell>
          <cell r="X1858" t="str">
            <v>Formulación</v>
          </cell>
          <cell r="AC1858">
            <v>1.0319999999999999E-2</v>
          </cell>
          <cell r="AD1858">
            <v>7.7160000000000006E-3</v>
          </cell>
          <cell r="AE1858" t="str">
            <v>Con precio</v>
          </cell>
        </row>
        <row r="1859">
          <cell r="B1859" t="str">
            <v>BIO0005RO</v>
          </cell>
          <cell r="X1859" t="str">
            <v>Formulación</v>
          </cell>
          <cell r="AC1859">
            <v>1.1040000000000001E-2</v>
          </cell>
          <cell r="AD1859">
            <v>1.068E-2</v>
          </cell>
          <cell r="AE1859" t="str">
            <v>Con precio</v>
          </cell>
        </row>
        <row r="1860">
          <cell r="B1860" t="str">
            <v>BIO0005RO</v>
          </cell>
          <cell r="X1860" t="str">
            <v>Empaquetado</v>
          </cell>
          <cell r="AC1860">
            <v>1.2991333333333337E-2</v>
          </cell>
          <cell r="AD1860">
            <v>1.2991333333333337E-2</v>
          </cell>
          <cell r="AE1860" t="str">
            <v>Con precio</v>
          </cell>
        </row>
        <row r="1861">
          <cell r="B1861" t="str">
            <v>BIO0005RO</v>
          </cell>
          <cell r="X1861" t="str">
            <v>Empaquetado</v>
          </cell>
          <cell r="AC1861">
            <v>2.5783333333333339E-2</v>
          </cell>
          <cell r="AD1861">
            <v>2.5783333333333339E-2</v>
          </cell>
          <cell r="AE1861" t="str">
            <v>Con precio</v>
          </cell>
        </row>
        <row r="1862">
          <cell r="B1862" t="str">
            <v>BIO0005RO</v>
          </cell>
          <cell r="X1862" t="str">
            <v>Empaquetado</v>
          </cell>
          <cell r="AC1862">
            <v>2.5359983896940424E-2</v>
          </cell>
          <cell r="AD1862">
            <v>2.5359983896940424E-2</v>
          </cell>
          <cell r="AE1862" t="str">
            <v>Con precio</v>
          </cell>
        </row>
        <row r="1863">
          <cell r="B1863" t="str">
            <v>BIO0005RO</v>
          </cell>
          <cell r="X1863" t="str">
            <v>Empaquetado</v>
          </cell>
          <cell r="AC1863">
            <v>3.4200000000000001E-2</v>
          </cell>
          <cell r="AD1863">
            <v>3.4200000000000001E-2</v>
          </cell>
          <cell r="AE1863" t="str">
            <v>Con precio</v>
          </cell>
        </row>
        <row r="1864">
          <cell r="B1864" t="str">
            <v>BIO0005RO</v>
          </cell>
          <cell r="X1864" t="str">
            <v>Empaquetado</v>
          </cell>
          <cell r="AC1864">
            <v>0.17399999999999999</v>
          </cell>
          <cell r="AD1864">
            <v>0.17399999999999999</v>
          </cell>
          <cell r="AE1864" t="str">
            <v>Con precio</v>
          </cell>
        </row>
        <row r="1865">
          <cell r="B1865" t="str">
            <v>BIO0005RO</v>
          </cell>
          <cell r="X1865" t="str">
            <v>Empaquetado</v>
          </cell>
          <cell r="AC1865">
            <v>3.6950017630465445E-2</v>
          </cell>
          <cell r="AD1865">
            <v>3.6950017630465445E-2</v>
          </cell>
          <cell r="AE1865" t="str">
            <v>Con precio</v>
          </cell>
        </row>
        <row r="1866">
          <cell r="B1866" t="str">
            <v>BIO0005SA</v>
          </cell>
          <cell r="X1866" t="str">
            <v>Formulación</v>
          </cell>
          <cell r="AC1866">
            <v>0.37869999999999998</v>
          </cell>
          <cell r="AD1866">
            <v>0.30356666666666665</v>
          </cell>
          <cell r="AE1866" t="str">
            <v>Con precio</v>
          </cell>
        </row>
        <row r="1867">
          <cell r="B1867" t="str">
            <v>BIO0005SA</v>
          </cell>
          <cell r="X1867" t="str">
            <v>Formulación</v>
          </cell>
          <cell r="AC1867">
            <v>2.4227272727272729E-2</v>
          </cell>
          <cell r="AD1867">
            <v>2.4227272727272729E-2</v>
          </cell>
          <cell r="AE1867" t="str">
            <v>Con precio</v>
          </cell>
        </row>
        <row r="1868">
          <cell r="B1868" t="str">
            <v>BIO0005SA</v>
          </cell>
          <cell r="X1868" t="str">
            <v>Formulación</v>
          </cell>
          <cell r="AC1868">
            <v>2.1959999999999997E-2</v>
          </cell>
          <cell r="AD1868">
            <v>2.1959999999999997E-2</v>
          </cell>
          <cell r="AE1868" t="str">
            <v>Con precio</v>
          </cell>
        </row>
        <row r="1869">
          <cell r="B1869" t="str">
            <v>BIO0005SA</v>
          </cell>
          <cell r="X1869" t="str">
            <v>Formulación</v>
          </cell>
          <cell r="AC1869">
            <v>5.7375000000000009E-2</v>
          </cell>
          <cell r="AD1869">
            <v>5.7375000000000009E-2</v>
          </cell>
          <cell r="AE1869" t="str">
            <v>Con precio</v>
          </cell>
        </row>
        <row r="1870">
          <cell r="B1870" t="str">
            <v>BIO0005SA</v>
          </cell>
          <cell r="X1870" t="str">
            <v>Formulación</v>
          </cell>
          <cell r="AC1870">
            <v>0.11137500000000002</v>
          </cell>
          <cell r="AD1870">
            <v>9.7232142857142864E-2</v>
          </cell>
          <cell r="AE1870" t="str">
            <v>Con precio</v>
          </cell>
        </row>
        <row r="1871">
          <cell r="B1871" t="str">
            <v>BIO0005SA</v>
          </cell>
          <cell r="X1871" t="str">
            <v>Formulación</v>
          </cell>
          <cell r="AC1871">
            <v>6.8399999999999989E-2</v>
          </cell>
          <cell r="AD1871">
            <v>6.2880000000000005E-2</v>
          </cell>
          <cell r="AE1871" t="str">
            <v>Con precio</v>
          </cell>
        </row>
        <row r="1872">
          <cell r="B1872" t="str">
            <v>BIO0005SA</v>
          </cell>
          <cell r="X1872" t="str">
            <v>Formulación</v>
          </cell>
          <cell r="AC1872">
            <v>1.0319999999999999E-2</v>
          </cell>
          <cell r="AD1872">
            <v>7.7160000000000006E-3</v>
          </cell>
          <cell r="AE1872" t="str">
            <v>Con precio</v>
          </cell>
        </row>
        <row r="1873">
          <cell r="B1873" t="str">
            <v>BIO0005SA</v>
          </cell>
          <cell r="X1873" t="str">
            <v>Formulación</v>
          </cell>
          <cell r="AC1873">
            <v>1.1040000000000001E-2</v>
          </cell>
          <cell r="AD1873">
            <v>1.068E-2</v>
          </cell>
          <cell r="AE1873" t="str">
            <v>Con precio</v>
          </cell>
        </row>
        <row r="1874">
          <cell r="B1874" t="str">
            <v>BIO0005SA</v>
          </cell>
          <cell r="X1874" t="str">
            <v>Empaquetado</v>
          </cell>
          <cell r="AC1874">
            <v>1.2991333333333337E-2</v>
          </cell>
          <cell r="AD1874">
            <v>1.2991333333333337E-2</v>
          </cell>
          <cell r="AE1874" t="str">
            <v>Con precio</v>
          </cell>
        </row>
        <row r="1875">
          <cell r="B1875" t="str">
            <v>BIO0005SA</v>
          </cell>
          <cell r="X1875" t="str">
            <v>Empaquetado</v>
          </cell>
          <cell r="AC1875">
            <v>2.5783333333333339E-2</v>
          </cell>
          <cell r="AD1875">
            <v>2.5783333333333339E-2</v>
          </cell>
          <cell r="AE1875" t="str">
            <v>Con precio</v>
          </cell>
        </row>
        <row r="1876">
          <cell r="B1876" t="str">
            <v>BIO0005SA</v>
          </cell>
          <cell r="X1876" t="str">
            <v>Empaquetado</v>
          </cell>
          <cell r="AC1876">
            <v>2.5359983896940424E-2</v>
          </cell>
          <cell r="AD1876">
            <v>2.5359983896940424E-2</v>
          </cell>
          <cell r="AE1876" t="str">
            <v>Con precio</v>
          </cell>
        </row>
        <row r="1877">
          <cell r="B1877" t="str">
            <v>BIO0005SA</v>
          </cell>
          <cell r="X1877" t="str">
            <v>Empaquetado</v>
          </cell>
          <cell r="AC1877">
            <v>3.4200000000000001E-2</v>
          </cell>
          <cell r="AD1877">
            <v>3.4200000000000001E-2</v>
          </cell>
          <cell r="AE1877" t="str">
            <v>Con precio</v>
          </cell>
        </row>
        <row r="1878">
          <cell r="B1878" t="str">
            <v>BIO0005SA</v>
          </cell>
          <cell r="X1878" t="str">
            <v>Empaquetado</v>
          </cell>
          <cell r="AC1878">
            <v>0.17399999999999999</v>
          </cell>
          <cell r="AD1878">
            <v>0.17399999999999999</v>
          </cell>
          <cell r="AE1878" t="str">
            <v>Con precio</v>
          </cell>
        </row>
        <row r="1879">
          <cell r="B1879" t="str">
            <v>BIO0005SA</v>
          </cell>
          <cell r="X1879" t="str">
            <v>Empaquetado</v>
          </cell>
          <cell r="AC1879">
            <v>3.6950017630465445E-2</v>
          </cell>
          <cell r="AD1879">
            <v>3.6950017630465445E-2</v>
          </cell>
          <cell r="AE1879" t="str">
            <v>Con precio</v>
          </cell>
        </row>
        <row r="1880">
          <cell r="B1880" t="str">
            <v>BIO0020</v>
          </cell>
          <cell r="X1880" t="str">
            <v>Formulación</v>
          </cell>
          <cell r="AC1880">
            <v>0.37869999999999998</v>
          </cell>
          <cell r="AD1880">
            <v>0.30356666666666665</v>
          </cell>
          <cell r="AE1880" t="str">
            <v>Con precio</v>
          </cell>
        </row>
        <row r="1881">
          <cell r="B1881" t="str">
            <v>BIO0020</v>
          </cell>
          <cell r="X1881" t="str">
            <v>Formulación</v>
          </cell>
          <cell r="AC1881">
            <v>2.4227272727272729E-2</v>
          </cell>
          <cell r="AD1881">
            <v>2.4227272727272729E-2</v>
          </cell>
          <cell r="AE1881" t="str">
            <v>Con precio</v>
          </cell>
        </row>
        <row r="1882">
          <cell r="B1882" t="str">
            <v>BIO0020</v>
          </cell>
          <cell r="X1882" t="str">
            <v>Formulación</v>
          </cell>
          <cell r="AC1882">
            <v>2.1959999999999997E-2</v>
          </cell>
          <cell r="AD1882">
            <v>2.1959999999999997E-2</v>
          </cell>
          <cell r="AE1882" t="str">
            <v>Con precio</v>
          </cell>
        </row>
        <row r="1883">
          <cell r="B1883" t="str">
            <v>BIO0020</v>
          </cell>
          <cell r="X1883" t="str">
            <v>Formulación</v>
          </cell>
          <cell r="AC1883">
            <v>5.7375000000000009E-2</v>
          </cell>
          <cell r="AD1883">
            <v>5.7375000000000009E-2</v>
          </cell>
          <cell r="AE1883" t="str">
            <v>Con precio</v>
          </cell>
        </row>
        <row r="1884">
          <cell r="B1884" t="str">
            <v>BIO0020</v>
          </cell>
          <cell r="X1884" t="str">
            <v>Formulación</v>
          </cell>
          <cell r="AC1884">
            <v>0.11137500000000002</v>
          </cell>
          <cell r="AD1884">
            <v>9.7232142857142864E-2</v>
          </cell>
          <cell r="AE1884" t="str">
            <v>Con precio</v>
          </cell>
        </row>
        <row r="1885">
          <cell r="B1885" t="str">
            <v>BIO0020</v>
          </cell>
          <cell r="X1885" t="str">
            <v>Formulación</v>
          </cell>
          <cell r="AC1885">
            <v>6.8399999999999989E-2</v>
          </cell>
          <cell r="AD1885">
            <v>6.2880000000000005E-2</v>
          </cell>
          <cell r="AE1885" t="str">
            <v>Con precio</v>
          </cell>
        </row>
        <row r="1886">
          <cell r="B1886" t="str">
            <v>BIO0020</v>
          </cell>
          <cell r="X1886" t="str">
            <v>Formulación</v>
          </cell>
          <cell r="AC1886">
            <v>1.0319999999999999E-2</v>
          </cell>
          <cell r="AD1886">
            <v>7.7160000000000006E-3</v>
          </cell>
          <cell r="AE1886" t="str">
            <v>Con precio</v>
          </cell>
        </row>
        <row r="1887">
          <cell r="B1887" t="str">
            <v>BIO0020</v>
          </cell>
          <cell r="X1887" t="str">
            <v>Formulación</v>
          </cell>
          <cell r="AC1887">
            <v>1.1040000000000001E-2</v>
          </cell>
          <cell r="AD1887">
            <v>1.068E-2</v>
          </cell>
          <cell r="AE1887" t="str">
            <v>Con precio</v>
          </cell>
        </row>
        <row r="1888">
          <cell r="B1888" t="str">
            <v>BIO0020</v>
          </cell>
          <cell r="X1888" t="str">
            <v>Empaquetado</v>
          </cell>
          <cell r="AC1888">
            <v>7.3209374999999993E-3</v>
          </cell>
          <cell r="AD1888">
            <v>7.3209374999999993E-3</v>
          </cell>
          <cell r="AE1888" t="str">
            <v>Con precio</v>
          </cell>
        </row>
        <row r="1889">
          <cell r="B1889" t="str">
            <v>BIO0020</v>
          </cell>
          <cell r="X1889" t="str">
            <v>Empaquetado</v>
          </cell>
          <cell r="AC1889">
            <v>2.4171875000000002E-2</v>
          </cell>
          <cell r="AD1889">
            <v>2.4171875000000002E-2</v>
          </cell>
          <cell r="AE1889" t="str">
            <v>Con precio</v>
          </cell>
        </row>
        <row r="1890">
          <cell r="B1890" t="str">
            <v>BIO0020</v>
          </cell>
          <cell r="X1890" t="str">
            <v>Empaquetado</v>
          </cell>
          <cell r="AC1890">
            <v>0.16750000000000001</v>
          </cell>
          <cell r="AD1890">
            <v>0.16750000000000001</v>
          </cell>
          <cell r="AE1890" t="str">
            <v>Con precio</v>
          </cell>
        </row>
        <row r="1891">
          <cell r="B1891" t="str">
            <v>BIO0020</v>
          </cell>
          <cell r="X1891" t="str">
            <v>Empaquetado</v>
          </cell>
          <cell r="AC1891">
            <v>5.0719967793880849E-3</v>
          </cell>
          <cell r="AD1891">
            <v>5.0719967793880849E-3</v>
          </cell>
          <cell r="AE1891" t="str">
            <v>Con precio</v>
          </cell>
        </row>
        <row r="1892">
          <cell r="B1892" t="str">
            <v>BIO0020</v>
          </cell>
          <cell r="X1892" t="str">
            <v>Empaquetado</v>
          </cell>
          <cell r="AC1892">
            <v>1.3125000000000001E-2</v>
          </cell>
          <cell r="AD1892">
            <v>1.3125000000000001E-2</v>
          </cell>
          <cell r="AE1892" t="str">
            <v>Con precio</v>
          </cell>
        </row>
        <row r="1893">
          <cell r="B1893" t="str">
            <v>BIO0020AZ</v>
          </cell>
          <cell r="X1893" t="str">
            <v>Formulación</v>
          </cell>
          <cell r="AC1893">
            <v>0.37869999999999998</v>
          </cell>
          <cell r="AD1893">
            <v>0.30356666666666665</v>
          </cell>
          <cell r="AE1893" t="str">
            <v>Con precio</v>
          </cell>
        </row>
        <row r="1894">
          <cell r="B1894" t="str">
            <v>BIO0020AZ</v>
          </cell>
          <cell r="X1894" t="str">
            <v>Formulación</v>
          </cell>
          <cell r="AC1894">
            <v>2.4227272727272729E-2</v>
          </cell>
          <cell r="AD1894">
            <v>2.4227272727272729E-2</v>
          </cell>
          <cell r="AE1894" t="str">
            <v>Con precio</v>
          </cell>
        </row>
        <row r="1895">
          <cell r="B1895" t="str">
            <v>BIO0020AZ</v>
          </cell>
          <cell r="X1895" t="str">
            <v>Formulación</v>
          </cell>
          <cell r="AC1895">
            <v>2.1959999999999997E-2</v>
          </cell>
          <cell r="AD1895">
            <v>2.1959999999999997E-2</v>
          </cell>
          <cell r="AE1895" t="str">
            <v>Con precio</v>
          </cell>
        </row>
        <row r="1896">
          <cell r="B1896" t="str">
            <v>BIO0020AZ</v>
          </cell>
          <cell r="X1896" t="str">
            <v>Formulación</v>
          </cell>
          <cell r="AC1896">
            <v>5.7375000000000009E-2</v>
          </cell>
          <cell r="AD1896">
            <v>5.7375000000000009E-2</v>
          </cell>
          <cell r="AE1896" t="str">
            <v>Con precio</v>
          </cell>
        </row>
        <row r="1897">
          <cell r="B1897" t="str">
            <v>BIO0020AZ</v>
          </cell>
          <cell r="X1897" t="str">
            <v>Formulación</v>
          </cell>
          <cell r="AC1897">
            <v>0.11137500000000002</v>
          </cell>
          <cell r="AD1897">
            <v>9.7232142857142864E-2</v>
          </cell>
          <cell r="AE1897" t="str">
            <v>Con precio</v>
          </cell>
        </row>
        <row r="1898">
          <cell r="B1898" t="str">
            <v>BIO0020AZ</v>
          </cell>
          <cell r="X1898" t="str">
            <v>Formulación</v>
          </cell>
          <cell r="AC1898">
            <v>6.8399999999999989E-2</v>
          </cell>
          <cell r="AD1898">
            <v>6.2880000000000005E-2</v>
          </cell>
          <cell r="AE1898" t="str">
            <v>Con precio</v>
          </cell>
        </row>
        <row r="1899">
          <cell r="B1899" t="str">
            <v>BIO0020AZ</v>
          </cell>
          <cell r="X1899" t="str">
            <v>Formulación</v>
          </cell>
          <cell r="AC1899">
            <v>1.0319999999999999E-2</v>
          </cell>
          <cell r="AD1899">
            <v>7.7160000000000006E-3</v>
          </cell>
          <cell r="AE1899" t="str">
            <v>Con precio</v>
          </cell>
        </row>
        <row r="1900">
          <cell r="B1900" t="str">
            <v>BIO0020AZ</v>
          </cell>
          <cell r="X1900" t="str">
            <v>Formulación</v>
          </cell>
          <cell r="AC1900">
            <v>1.1040000000000001E-2</v>
          </cell>
          <cell r="AD1900">
            <v>1.068E-2</v>
          </cell>
          <cell r="AE1900" t="str">
            <v>Con precio</v>
          </cell>
        </row>
        <row r="1901">
          <cell r="B1901" t="str">
            <v>BIO0020AZ</v>
          </cell>
          <cell r="X1901" t="str">
            <v>Empaquetado</v>
          </cell>
          <cell r="AC1901">
            <v>7.3209374999999993E-3</v>
          </cell>
          <cell r="AD1901">
            <v>7.3209374999999993E-3</v>
          </cell>
          <cell r="AE1901" t="str">
            <v>Con precio</v>
          </cell>
        </row>
        <row r="1902">
          <cell r="B1902" t="str">
            <v>BIO0020AZ</v>
          </cell>
          <cell r="X1902" t="str">
            <v>Empaquetado</v>
          </cell>
          <cell r="AC1902">
            <v>2.4171875000000002E-2</v>
          </cell>
          <cell r="AD1902">
            <v>2.4171875000000002E-2</v>
          </cell>
          <cell r="AE1902" t="str">
            <v>Con precio</v>
          </cell>
        </row>
        <row r="1903">
          <cell r="B1903" t="str">
            <v>BIO0020AZ</v>
          </cell>
          <cell r="X1903" t="str">
            <v>Empaquetado</v>
          </cell>
          <cell r="AC1903">
            <v>0.16750000000000001</v>
          </cell>
          <cell r="AD1903">
            <v>0.16750000000000001</v>
          </cell>
          <cell r="AE1903" t="str">
            <v>Con precio</v>
          </cell>
        </row>
        <row r="1904">
          <cell r="B1904" t="str">
            <v>BIO0020AZ</v>
          </cell>
          <cell r="X1904" t="str">
            <v>Empaquetado</v>
          </cell>
          <cell r="AC1904">
            <v>5.0719967793880849E-3</v>
          </cell>
          <cell r="AD1904">
            <v>5.0719967793880849E-3</v>
          </cell>
          <cell r="AE1904" t="str">
            <v>Con precio</v>
          </cell>
        </row>
        <row r="1905">
          <cell r="B1905" t="str">
            <v>BIO0020AZ</v>
          </cell>
          <cell r="X1905" t="str">
            <v>Empaquetado</v>
          </cell>
          <cell r="AC1905">
            <v>1.3125000000000001E-2</v>
          </cell>
          <cell r="AD1905">
            <v>1.3125000000000001E-2</v>
          </cell>
          <cell r="AE1905" t="str">
            <v>Con precio</v>
          </cell>
        </row>
        <row r="1906">
          <cell r="B1906" t="str">
            <v>BIO0020DO</v>
          </cell>
          <cell r="X1906" t="str">
            <v>Formulación</v>
          </cell>
          <cell r="AC1906">
            <v>0.37869999999999998</v>
          </cell>
          <cell r="AD1906">
            <v>0.30356666666666665</v>
          </cell>
          <cell r="AE1906" t="str">
            <v>Con precio</v>
          </cell>
        </row>
        <row r="1907">
          <cell r="B1907" t="str">
            <v>BIO0020DO</v>
          </cell>
          <cell r="X1907" t="str">
            <v>Formulación</v>
          </cell>
          <cell r="AC1907">
            <v>2.4227272727272729E-2</v>
          </cell>
          <cell r="AD1907">
            <v>2.4227272727272729E-2</v>
          </cell>
          <cell r="AE1907" t="str">
            <v>Con precio</v>
          </cell>
        </row>
        <row r="1908">
          <cell r="B1908" t="str">
            <v>BIO0020DO</v>
          </cell>
          <cell r="X1908" t="str">
            <v>Formulación</v>
          </cell>
          <cell r="AC1908">
            <v>2.1959999999999997E-2</v>
          </cell>
          <cell r="AD1908">
            <v>2.1959999999999997E-2</v>
          </cell>
          <cell r="AE1908" t="str">
            <v>Con precio</v>
          </cell>
        </row>
        <row r="1909">
          <cell r="B1909" t="str">
            <v>BIO0020DO</v>
          </cell>
          <cell r="X1909" t="str">
            <v>Formulación</v>
          </cell>
          <cell r="AC1909">
            <v>5.7375000000000009E-2</v>
          </cell>
          <cell r="AD1909">
            <v>5.7375000000000009E-2</v>
          </cell>
          <cell r="AE1909" t="str">
            <v>Con precio</v>
          </cell>
        </row>
        <row r="1910">
          <cell r="B1910" t="str">
            <v>BIO0020DO</v>
          </cell>
          <cell r="X1910" t="str">
            <v>Formulación</v>
          </cell>
          <cell r="AC1910">
            <v>0.11137500000000002</v>
          </cell>
          <cell r="AD1910">
            <v>9.7232142857142864E-2</v>
          </cell>
          <cell r="AE1910" t="str">
            <v>Con precio</v>
          </cell>
        </row>
        <row r="1911">
          <cell r="B1911" t="str">
            <v>BIO0020DO</v>
          </cell>
          <cell r="X1911" t="str">
            <v>Formulación</v>
          </cell>
          <cell r="AC1911">
            <v>6.8399999999999989E-2</v>
          </cell>
          <cell r="AD1911">
            <v>6.2880000000000005E-2</v>
          </cell>
          <cell r="AE1911" t="str">
            <v>Con precio</v>
          </cell>
        </row>
        <row r="1912">
          <cell r="B1912" t="str">
            <v>BIO0020DO</v>
          </cell>
          <cell r="X1912" t="str">
            <v>Formulación</v>
          </cell>
          <cell r="AC1912">
            <v>1.0319999999999999E-2</v>
          </cell>
          <cell r="AD1912">
            <v>7.7160000000000006E-3</v>
          </cell>
          <cell r="AE1912" t="str">
            <v>Con precio</v>
          </cell>
        </row>
        <row r="1913">
          <cell r="B1913" t="str">
            <v>BIO0020DO</v>
          </cell>
          <cell r="X1913" t="str">
            <v>Formulación</v>
          </cell>
          <cell r="AC1913">
            <v>1.1040000000000001E-2</v>
          </cell>
          <cell r="AD1913">
            <v>1.068E-2</v>
          </cell>
          <cell r="AE1913" t="str">
            <v>Con precio</v>
          </cell>
        </row>
        <row r="1914">
          <cell r="B1914" t="str">
            <v>BIO0020DO</v>
          </cell>
          <cell r="X1914" t="str">
            <v>Empaquetado</v>
          </cell>
          <cell r="AC1914">
            <v>7.3209374999999993E-3</v>
          </cell>
          <cell r="AD1914">
            <v>7.3209374999999993E-3</v>
          </cell>
          <cell r="AE1914" t="str">
            <v>Con precio</v>
          </cell>
        </row>
        <row r="1915">
          <cell r="B1915" t="str">
            <v>BIO0020DO</v>
          </cell>
          <cell r="X1915" t="str">
            <v>Empaquetado</v>
          </cell>
          <cell r="AC1915">
            <v>2.4171875000000002E-2</v>
          </cell>
          <cell r="AD1915">
            <v>2.4171875000000002E-2</v>
          </cell>
          <cell r="AE1915" t="str">
            <v>Con precio</v>
          </cell>
        </row>
        <row r="1916">
          <cell r="B1916" t="str">
            <v>BIO0020DO</v>
          </cell>
          <cell r="X1916" t="str">
            <v>Empaquetado</v>
          </cell>
          <cell r="AC1916">
            <v>0.16750000000000001</v>
          </cell>
          <cell r="AD1916">
            <v>0.16750000000000001</v>
          </cell>
          <cell r="AE1916" t="str">
            <v>Con precio</v>
          </cell>
        </row>
        <row r="1917">
          <cell r="B1917" t="str">
            <v>BIO0020DO</v>
          </cell>
          <cell r="X1917" t="str">
            <v>Empaquetado</v>
          </cell>
          <cell r="AC1917">
            <v>5.0719967793880849E-3</v>
          </cell>
          <cell r="AD1917">
            <v>5.0719967793880849E-3</v>
          </cell>
          <cell r="AE1917" t="str">
            <v>Con precio</v>
          </cell>
        </row>
        <row r="1918">
          <cell r="B1918" t="str">
            <v>BIO0020DO</v>
          </cell>
          <cell r="X1918" t="str">
            <v>Empaquetado</v>
          </cell>
          <cell r="AC1918">
            <v>1.3125000000000001E-2</v>
          </cell>
          <cell r="AD1918">
            <v>1.3125000000000001E-2</v>
          </cell>
          <cell r="AE1918" t="str">
            <v>Con precio</v>
          </cell>
        </row>
        <row r="1919">
          <cell r="B1919" t="str">
            <v>BIO0020GE</v>
          </cell>
          <cell r="X1919" t="str">
            <v>Formulación</v>
          </cell>
          <cell r="AC1919">
            <v>0.37869999999999998</v>
          </cell>
          <cell r="AD1919">
            <v>0.30356666666666665</v>
          </cell>
          <cell r="AE1919" t="str">
            <v>Con precio</v>
          </cell>
        </row>
        <row r="1920">
          <cell r="B1920" t="str">
            <v>BIO0020GE</v>
          </cell>
          <cell r="X1920" t="str">
            <v>Formulación</v>
          </cell>
          <cell r="AC1920">
            <v>2.4227272727272729E-2</v>
          </cell>
          <cell r="AD1920">
            <v>2.4227272727272729E-2</v>
          </cell>
          <cell r="AE1920" t="str">
            <v>Con precio</v>
          </cell>
        </row>
        <row r="1921">
          <cell r="B1921" t="str">
            <v>BIO0020GE</v>
          </cell>
          <cell r="X1921" t="str">
            <v>Formulación</v>
          </cell>
          <cell r="AC1921">
            <v>2.1959999999999997E-2</v>
          </cell>
          <cell r="AD1921">
            <v>2.1959999999999997E-2</v>
          </cell>
          <cell r="AE1921" t="str">
            <v>Con precio</v>
          </cell>
        </row>
        <row r="1922">
          <cell r="B1922" t="str">
            <v>BIO0020GE</v>
          </cell>
          <cell r="X1922" t="str">
            <v>Formulación</v>
          </cell>
          <cell r="AC1922">
            <v>5.7375000000000009E-2</v>
          </cell>
          <cell r="AD1922">
            <v>5.7375000000000009E-2</v>
          </cell>
          <cell r="AE1922" t="str">
            <v>Con precio</v>
          </cell>
        </row>
        <row r="1923">
          <cell r="B1923" t="str">
            <v>BIO0020GE</v>
          </cell>
          <cell r="X1923" t="str">
            <v>Formulación</v>
          </cell>
          <cell r="AC1923">
            <v>0.11137500000000002</v>
          </cell>
          <cell r="AD1923">
            <v>9.7232142857142864E-2</v>
          </cell>
          <cell r="AE1923" t="str">
            <v>Con precio</v>
          </cell>
        </row>
        <row r="1924">
          <cell r="B1924" t="str">
            <v>BIO0020GE</v>
          </cell>
          <cell r="X1924" t="str">
            <v>Formulación</v>
          </cell>
          <cell r="AC1924">
            <v>6.8399999999999989E-2</v>
          </cell>
          <cell r="AD1924">
            <v>6.2880000000000005E-2</v>
          </cell>
          <cell r="AE1924" t="str">
            <v>Con precio</v>
          </cell>
        </row>
        <row r="1925">
          <cell r="B1925" t="str">
            <v>BIO0020GE</v>
          </cell>
          <cell r="X1925" t="str">
            <v>Formulación</v>
          </cell>
          <cell r="AC1925">
            <v>1.0319999999999999E-2</v>
          </cell>
          <cell r="AD1925">
            <v>7.7160000000000006E-3</v>
          </cell>
          <cell r="AE1925" t="str">
            <v>Con precio</v>
          </cell>
        </row>
        <row r="1926">
          <cell r="B1926" t="str">
            <v>BIO0020GE</v>
          </cell>
          <cell r="X1926" t="str">
            <v>Formulación</v>
          </cell>
          <cell r="AC1926">
            <v>1.1040000000000001E-2</v>
          </cell>
          <cell r="AD1926">
            <v>1.068E-2</v>
          </cell>
          <cell r="AE1926" t="str">
            <v>Con precio</v>
          </cell>
        </row>
        <row r="1927">
          <cell r="B1927" t="str">
            <v>BIO0020GE</v>
          </cell>
          <cell r="X1927" t="str">
            <v>Empaquetado</v>
          </cell>
          <cell r="AC1927">
            <v>7.3209374999999993E-3</v>
          </cell>
          <cell r="AD1927">
            <v>7.3209374999999993E-3</v>
          </cell>
          <cell r="AE1927" t="str">
            <v>Con precio</v>
          </cell>
        </row>
        <row r="1928">
          <cell r="B1928" t="str">
            <v>BIO0020GE</v>
          </cell>
          <cell r="X1928" t="str">
            <v>Empaquetado</v>
          </cell>
          <cell r="AC1928">
            <v>2.4171875000000002E-2</v>
          </cell>
          <cell r="AD1928">
            <v>2.4171875000000002E-2</v>
          </cell>
          <cell r="AE1928" t="str">
            <v>Con precio</v>
          </cell>
        </row>
        <row r="1929">
          <cell r="B1929" t="str">
            <v>BIO0020GE</v>
          </cell>
          <cell r="X1929" t="str">
            <v>Empaquetado</v>
          </cell>
          <cell r="AC1929">
            <v>0.16750000000000001</v>
          </cell>
          <cell r="AD1929">
            <v>0.16750000000000001</v>
          </cell>
          <cell r="AE1929" t="str">
            <v>Con precio</v>
          </cell>
        </row>
        <row r="1930">
          <cell r="B1930" t="str">
            <v>BIO0020GE</v>
          </cell>
          <cell r="X1930" t="str">
            <v>Empaquetado</v>
          </cell>
          <cell r="AC1930">
            <v>5.0719967793880849E-3</v>
          </cell>
          <cell r="AD1930">
            <v>5.0719967793880849E-3</v>
          </cell>
          <cell r="AE1930" t="str">
            <v>Con precio</v>
          </cell>
        </row>
        <row r="1931">
          <cell r="B1931" t="str">
            <v>BIO0020GE</v>
          </cell>
          <cell r="X1931" t="str">
            <v>Empaquetado</v>
          </cell>
          <cell r="AC1931">
            <v>1.3125000000000001E-2</v>
          </cell>
          <cell r="AD1931">
            <v>1.3125000000000001E-2</v>
          </cell>
          <cell r="AE1931" t="str">
            <v>Con precio</v>
          </cell>
        </row>
        <row r="1932">
          <cell r="B1932" t="str">
            <v>BIO0020MA</v>
          </cell>
          <cell r="X1932" t="str">
            <v>Formulación</v>
          </cell>
          <cell r="AC1932">
            <v>0.37869999999999998</v>
          </cell>
          <cell r="AD1932">
            <v>0.30356666666666665</v>
          </cell>
          <cell r="AE1932" t="str">
            <v>Con precio</v>
          </cell>
        </row>
        <row r="1933">
          <cell r="B1933" t="str">
            <v>BIO0020MA</v>
          </cell>
          <cell r="X1933" t="str">
            <v>Formulación</v>
          </cell>
          <cell r="AC1933">
            <v>2.4227272727272729E-2</v>
          </cell>
          <cell r="AD1933">
            <v>2.4227272727272729E-2</v>
          </cell>
          <cell r="AE1933" t="str">
            <v>Con precio</v>
          </cell>
        </row>
        <row r="1934">
          <cell r="B1934" t="str">
            <v>BIO0020MA</v>
          </cell>
          <cell r="X1934" t="str">
            <v>Formulación</v>
          </cell>
          <cell r="AC1934">
            <v>2.1959999999999997E-2</v>
          </cell>
          <cell r="AD1934">
            <v>2.1959999999999997E-2</v>
          </cell>
          <cell r="AE1934" t="str">
            <v>Con precio</v>
          </cell>
        </row>
        <row r="1935">
          <cell r="B1935" t="str">
            <v>BIO0020MA</v>
          </cell>
          <cell r="X1935" t="str">
            <v>Formulación</v>
          </cell>
          <cell r="AC1935">
            <v>5.7375000000000009E-2</v>
          </cell>
          <cell r="AD1935">
            <v>5.7375000000000009E-2</v>
          </cell>
          <cell r="AE1935" t="str">
            <v>Con precio</v>
          </cell>
        </row>
        <row r="1936">
          <cell r="B1936" t="str">
            <v>BIO0020MA</v>
          </cell>
          <cell r="X1936" t="str">
            <v>Formulación</v>
          </cell>
          <cell r="AC1936">
            <v>0.11137500000000002</v>
          </cell>
          <cell r="AD1936">
            <v>9.7232142857142864E-2</v>
          </cell>
          <cell r="AE1936" t="str">
            <v>Con precio</v>
          </cell>
        </row>
        <row r="1937">
          <cell r="B1937" t="str">
            <v>BIO0020MA</v>
          </cell>
          <cell r="X1937" t="str">
            <v>Formulación</v>
          </cell>
          <cell r="AC1937">
            <v>6.8399999999999989E-2</v>
          </cell>
          <cell r="AD1937">
            <v>6.2880000000000005E-2</v>
          </cell>
          <cell r="AE1937" t="str">
            <v>Con precio</v>
          </cell>
        </row>
        <row r="1938">
          <cell r="B1938" t="str">
            <v>BIO0020MA</v>
          </cell>
          <cell r="X1938" t="str">
            <v>Formulación</v>
          </cell>
          <cell r="AC1938">
            <v>1.0319999999999999E-2</v>
          </cell>
          <cell r="AD1938">
            <v>7.7160000000000006E-3</v>
          </cell>
          <cell r="AE1938" t="str">
            <v>Con precio</v>
          </cell>
        </row>
        <row r="1939">
          <cell r="B1939" t="str">
            <v>BIO0020MA</v>
          </cell>
          <cell r="X1939" t="str">
            <v>Formulación</v>
          </cell>
          <cell r="AC1939">
            <v>1.1040000000000001E-2</v>
          </cell>
          <cell r="AD1939">
            <v>1.068E-2</v>
          </cell>
          <cell r="AE1939" t="str">
            <v>Con precio</v>
          </cell>
        </row>
        <row r="1940">
          <cell r="B1940" t="str">
            <v>BIO0020MA</v>
          </cell>
          <cell r="X1940" t="str">
            <v>Empaquetado</v>
          </cell>
          <cell r="AC1940">
            <v>7.3209374999999993E-3</v>
          </cell>
          <cell r="AD1940">
            <v>7.3209374999999993E-3</v>
          </cell>
          <cell r="AE1940" t="str">
            <v>Con precio</v>
          </cell>
        </row>
        <row r="1941">
          <cell r="B1941" t="str">
            <v>BIO0020MA</v>
          </cell>
          <cell r="X1941" t="str">
            <v>Empaquetado</v>
          </cell>
          <cell r="AC1941">
            <v>2.4171875000000002E-2</v>
          </cell>
          <cell r="AD1941">
            <v>2.4171875000000002E-2</v>
          </cell>
          <cell r="AE1941" t="str">
            <v>Con precio</v>
          </cell>
        </row>
        <row r="1942">
          <cell r="B1942" t="str">
            <v>BIO0020MA</v>
          </cell>
          <cell r="X1942" t="str">
            <v>Empaquetado</v>
          </cell>
          <cell r="AC1942">
            <v>0.16750000000000001</v>
          </cell>
          <cell r="AD1942">
            <v>0.16750000000000001</v>
          </cell>
          <cell r="AE1942" t="str">
            <v>Con precio</v>
          </cell>
        </row>
        <row r="1943">
          <cell r="B1943" t="str">
            <v>BIO0020MA</v>
          </cell>
          <cell r="X1943" t="str">
            <v>Empaquetado</v>
          </cell>
          <cell r="AC1943">
            <v>5.0719967793880849E-3</v>
          </cell>
          <cell r="AD1943">
            <v>5.0719967793880849E-3</v>
          </cell>
          <cell r="AE1943" t="str">
            <v>Con precio</v>
          </cell>
        </row>
        <row r="1944">
          <cell r="B1944" t="str">
            <v>BIO0020MA</v>
          </cell>
          <cell r="X1944" t="str">
            <v>Empaquetado</v>
          </cell>
          <cell r="AC1944">
            <v>1.3125000000000001E-2</v>
          </cell>
          <cell r="AD1944">
            <v>1.3125000000000001E-2</v>
          </cell>
          <cell r="AE1944" t="str">
            <v>Con precio</v>
          </cell>
        </row>
        <row r="1945">
          <cell r="B1945" t="str">
            <v>BIO0020PA</v>
          </cell>
          <cell r="X1945" t="str">
            <v>Formulación</v>
          </cell>
          <cell r="AC1945">
            <v>0.37869999999999998</v>
          </cell>
          <cell r="AD1945">
            <v>0.30356666666666665</v>
          </cell>
          <cell r="AE1945" t="str">
            <v>Con precio</v>
          </cell>
        </row>
        <row r="1946">
          <cell r="B1946" t="str">
            <v>BIO0020PA</v>
          </cell>
          <cell r="X1946" t="str">
            <v>Formulación</v>
          </cell>
          <cell r="AC1946">
            <v>2.4227272727272729E-2</v>
          </cell>
          <cell r="AD1946">
            <v>2.4227272727272729E-2</v>
          </cell>
          <cell r="AE1946" t="str">
            <v>Con precio</v>
          </cell>
        </row>
        <row r="1947">
          <cell r="B1947" t="str">
            <v>BIO0020PA</v>
          </cell>
          <cell r="X1947" t="str">
            <v>Formulación</v>
          </cell>
          <cell r="AC1947">
            <v>2.1959999999999997E-2</v>
          </cell>
          <cell r="AD1947">
            <v>2.1959999999999997E-2</v>
          </cell>
          <cell r="AE1947" t="str">
            <v>Con precio</v>
          </cell>
        </row>
        <row r="1948">
          <cell r="B1948" t="str">
            <v>BIO0020PA</v>
          </cell>
          <cell r="X1948" t="str">
            <v>Formulación</v>
          </cell>
          <cell r="AC1948">
            <v>5.7375000000000009E-2</v>
          </cell>
          <cell r="AD1948">
            <v>5.7375000000000009E-2</v>
          </cell>
          <cell r="AE1948" t="str">
            <v>Con precio</v>
          </cell>
        </row>
        <row r="1949">
          <cell r="B1949" t="str">
            <v>BIO0020PA</v>
          </cell>
          <cell r="X1949" t="str">
            <v>Formulación</v>
          </cell>
          <cell r="AC1949">
            <v>0.11137500000000002</v>
          </cell>
          <cell r="AD1949">
            <v>9.7232142857142864E-2</v>
          </cell>
          <cell r="AE1949" t="str">
            <v>Con precio</v>
          </cell>
        </row>
        <row r="1950">
          <cell r="B1950" t="str">
            <v>BIO0020PA</v>
          </cell>
          <cell r="X1950" t="str">
            <v>Formulación</v>
          </cell>
          <cell r="AC1950">
            <v>6.8399999999999989E-2</v>
          </cell>
          <cell r="AD1950">
            <v>6.2880000000000005E-2</v>
          </cell>
          <cell r="AE1950" t="str">
            <v>Con precio</v>
          </cell>
        </row>
        <row r="1951">
          <cell r="B1951" t="str">
            <v>BIO0020PA</v>
          </cell>
          <cell r="X1951" t="str">
            <v>Formulación</v>
          </cell>
          <cell r="AC1951">
            <v>1.0319999999999999E-2</v>
          </cell>
          <cell r="AD1951">
            <v>7.7160000000000006E-3</v>
          </cell>
          <cell r="AE1951" t="str">
            <v>Con precio</v>
          </cell>
        </row>
        <row r="1952">
          <cell r="B1952" t="str">
            <v>BIO0020PA</v>
          </cell>
          <cell r="X1952" t="str">
            <v>Formulación</v>
          </cell>
          <cell r="AC1952">
            <v>1.1040000000000001E-2</v>
          </cell>
          <cell r="AD1952">
            <v>1.068E-2</v>
          </cell>
          <cell r="AE1952" t="str">
            <v>Con precio</v>
          </cell>
        </row>
        <row r="1953">
          <cell r="B1953" t="str">
            <v>BIO0020PA</v>
          </cell>
          <cell r="X1953" t="str">
            <v>Empaquetado</v>
          </cell>
          <cell r="AC1953">
            <v>7.3209374999999993E-3</v>
          </cell>
          <cell r="AD1953">
            <v>7.3209374999999993E-3</v>
          </cell>
          <cell r="AE1953" t="str">
            <v>Con precio</v>
          </cell>
        </row>
        <row r="1954">
          <cell r="B1954" t="str">
            <v>BIO0020PA</v>
          </cell>
          <cell r="X1954" t="str">
            <v>Empaquetado</v>
          </cell>
          <cell r="AC1954">
            <v>2.4171875000000002E-2</v>
          </cell>
          <cell r="AD1954">
            <v>2.4171875000000002E-2</v>
          </cell>
          <cell r="AE1954" t="str">
            <v>Con precio</v>
          </cell>
        </row>
        <row r="1955">
          <cell r="B1955" t="str">
            <v>BIO0020PA</v>
          </cell>
          <cell r="X1955" t="str">
            <v>Empaquetado</v>
          </cell>
          <cell r="AC1955">
            <v>0.16750000000000001</v>
          </cell>
          <cell r="AD1955">
            <v>0.16750000000000001</v>
          </cell>
          <cell r="AE1955" t="str">
            <v>Con precio</v>
          </cell>
        </row>
        <row r="1956">
          <cell r="B1956" t="str">
            <v>BIO0020PA</v>
          </cell>
          <cell r="X1956" t="str">
            <v>Empaquetado</v>
          </cell>
          <cell r="AC1956">
            <v>5.0719967793880849E-3</v>
          </cell>
          <cell r="AD1956">
            <v>5.0719967793880849E-3</v>
          </cell>
          <cell r="AE1956" t="str">
            <v>Con precio</v>
          </cell>
        </row>
        <row r="1957">
          <cell r="B1957" t="str">
            <v>BIO0020PA</v>
          </cell>
          <cell r="X1957" t="str">
            <v>Empaquetado</v>
          </cell>
          <cell r="AC1957">
            <v>1.3125000000000001E-2</v>
          </cell>
          <cell r="AD1957">
            <v>1.3125000000000001E-2</v>
          </cell>
          <cell r="AE1957" t="str">
            <v>Con precio</v>
          </cell>
        </row>
        <row r="1958">
          <cell r="B1958" t="str">
            <v>BIO0020RO</v>
          </cell>
          <cell r="X1958" t="str">
            <v>Formulación</v>
          </cell>
          <cell r="AC1958">
            <v>0.37869999999999998</v>
          </cell>
          <cell r="AD1958">
            <v>0.30356666666666665</v>
          </cell>
          <cell r="AE1958" t="str">
            <v>Con precio</v>
          </cell>
        </row>
        <row r="1959">
          <cell r="B1959" t="str">
            <v>BIO0020RO</v>
          </cell>
          <cell r="X1959" t="str">
            <v>Formulación</v>
          </cell>
          <cell r="AC1959">
            <v>2.4227272727272729E-2</v>
          </cell>
          <cell r="AD1959">
            <v>2.4227272727272729E-2</v>
          </cell>
          <cell r="AE1959" t="str">
            <v>Con precio</v>
          </cell>
        </row>
        <row r="1960">
          <cell r="B1960" t="str">
            <v>BIO0020RO</v>
          </cell>
          <cell r="X1960" t="str">
            <v>Formulación</v>
          </cell>
          <cell r="AC1960">
            <v>2.1959999999999997E-2</v>
          </cell>
          <cell r="AD1960">
            <v>2.1959999999999997E-2</v>
          </cell>
          <cell r="AE1960" t="str">
            <v>Con precio</v>
          </cell>
        </row>
        <row r="1961">
          <cell r="B1961" t="str">
            <v>BIO0020RO</v>
          </cell>
          <cell r="X1961" t="str">
            <v>Formulación</v>
          </cell>
          <cell r="AC1961">
            <v>5.7375000000000009E-2</v>
          </cell>
          <cell r="AD1961">
            <v>5.7375000000000009E-2</v>
          </cell>
          <cell r="AE1961" t="str">
            <v>Con precio</v>
          </cell>
        </row>
        <row r="1962">
          <cell r="B1962" t="str">
            <v>BIO0020RO</v>
          </cell>
          <cell r="X1962" t="str">
            <v>Formulación</v>
          </cell>
          <cell r="AC1962">
            <v>0.11137500000000002</v>
          </cell>
          <cell r="AD1962">
            <v>9.7232142857142864E-2</v>
          </cell>
          <cell r="AE1962" t="str">
            <v>Con precio</v>
          </cell>
        </row>
        <row r="1963">
          <cell r="B1963" t="str">
            <v>BIO0020RO</v>
          </cell>
          <cell r="X1963" t="str">
            <v>Formulación</v>
          </cell>
          <cell r="AC1963">
            <v>6.8399999999999989E-2</v>
          </cell>
          <cell r="AD1963">
            <v>6.2880000000000005E-2</v>
          </cell>
          <cell r="AE1963" t="str">
            <v>Con precio</v>
          </cell>
        </row>
        <row r="1964">
          <cell r="B1964" t="str">
            <v>BIO0020RO</v>
          </cell>
          <cell r="X1964" t="str">
            <v>Formulación</v>
          </cell>
          <cell r="AC1964">
            <v>1.0319999999999999E-2</v>
          </cell>
          <cell r="AD1964">
            <v>7.7160000000000006E-3</v>
          </cell>
          <cell r="AE1964" t="str">
            <v>Con precio</v>
          </cell>
        </row>
        <row r="1965">
          <cell r="B1965" t="str">
            <v>BIO0020RO</v>
          </cell>
          <cell r="X1965" t="str">
            <v>Formulación</v>
          </cell>
          <cell r="AC1965">
            <v>1.1040000000000001E-2</v>
          </cell>
          <cell r="AD1965">
            <v>1.068E-2</v>
          </cell>
          <cell r="AE1965" t="str">
            <v>Con precio</v>
          </cell>
        </row>
        <row r="1966">
          <cell r="B1966" t="str">
            <v>BIO0020RO</v>
          </cell>
          <cell r="X1966" t="str">
            <v>Empaquetado</v>
          </cell>
          <cell r="AC1966">
            <v>7.3209374999999993E-3</v>
          </cell>
          <cell r="AD1966">
            <v>7.3209374999999993E-3</v>
          </cell>
          <cell r="AE1966" t="str">
            <v>Con precio</v>
          </cell>
        </row>
        <row r="1967">
          <cell r="B1967" t="str">
            <v>BIO0020RO</v>
          </cell>
          <cell r="X1967" t="str">
            <v>Empaquetado</v>
          </cell>
          <cell r="AC1967">
            <v>2.4171875000000002E-2</v>
          </cell>
          <cell r="AD1967">
            <v>2.4171875000000002E-2</v>
          </cell>
          <cell r="AE1967" t="str">
            <v>Con precio</v>
          </cell>
        </row>
        <row r="1968">
          <cell r="B1968" t="str">
            <v>BIO0020RO</v>
          </cell>
          <cell r="X1968" t="str">
            <v>Empaquetado</v>
          </cell>
          <cell r="AC1968">
            <v>0.16750000000000001</v>
          </cell>
          <cell r="AD1968">
            <v>0.16750000000000001</v>
          </cell>
          <cell r="AE1968" t="str">
            <v>Con precio</v>
          </cell>
        </row>
        <row r="1969">
          <cell r="B1969" t="str">
            <v>BIO0020RO</v>
          </cell>
          <cell r="X1969" t="str">
            <v>Empaquetado</v>
          </cell>
          <cell r="AC1969">
            <v>5.0719967793880849E-3</v>
          </cell>
          <cell r="AD1969">
            <v>5.0719967793880849E-3</v>
          </cell>
          <cell r="AE1969" t="str">
            <v>Con precio</v>
          </cell>
        </row>
        <row r="1970">
          <cell r="B1970" t="str">
            <v>BIO0020RO</v>
          </cell>
          <cell r="X1970" t="str">
            <v>Empaquetado</v>
          </cell>
          <cell r="AC1970">
            <v>1.3125000000000001E-2</v>
          </cell>
          <cell r="AD1970">
            <v>1.3125000000000001E-2</v>
          </cell>
          <cell r="AE1970" t="str">
            <v>Con precio</v>
          </cell>
        </row>
        <row r="1971">
          <cell r="B1971" t="str">
            <v>BIO0020TR</v>
          </cell>
          <cell r="X1971" t="str">
            <v>Formulación</v>
          </cell>
          <cell r="AC1971">
            <v>0.37869999999999998</v>
          </cell>
          <cell r="AD1971">
            <v>0.30356666666666665</v>
          </cell>
          <cell r="AE1971" t="str">
            <v>Con precio</v>
          </cell>
        </row>
        <row r="1972">
          <cell r="B1972" t="str">
            <v>BIO0020TR</v>
          </cell>
          <cell r="X1972" t="str">
            <v>Formulación</v>
          </cell>
          <cell r="AC1972">
            <v>2.4227272727272729E-2</v>
          </cell>
          <cell r="AD1972">
            <v>2.4227272727272729E-2</v>
          </cell>
          <cell r="AE1972" t="str">
            <v>Con precio</v>
          </cell>
        </row>
        <row r="1973">
          <cell r="B1973" t="str">
            <v>BIO0020TR</v>
          </cell>
          <cell r="X1973" t="str">
            <v>Formulación</v>
          </cell>
          <cell r="AC1973">
            <v>2.1959999999999997E-2</v>
          </cell>
          <cell r="AD1973">
            <v>2.1959999999999997E-2</v>
          </cell>
          <cell r="AE1973" t="str">
            <v>Con precio</v>
          </cell>
        </row>
        <row r="1974">
          <cell r="B1974" t="str">
            <v>BIO0020TR</v>
          </cell>
          <cell r="X1974" t="str">
            <v>Formulación</v>
          </cell>
          <cell r="AC1974">
            <v>5.7375000000000009E-2</v>
          </cell>
          <cell r="AD1974">
            <v>5.7375000000000009E-2</v>
          </cell>
          <cell r="AE1974" t="str">
            <v>Con precio</v>
          </cell>
        </row>
        <row r="1975">
          <cell r="B1975" t="str">
            <v>BIO0020TR</v>
          </cell>
          <cell r="X1975" t="str">
            <v>Formulación</v>
          </cell>
          <cell r="AC1975">
            <v>0.11137500000000002</v>
          </cell>
          <cell r="AD1975">
            <v>9.7232142857142864E-2</v>
          </cell>
          <cell r="AE1975" t="str">
            <v>Con precio</v>
          </cell>
        </row>
        <row r="1976">
          <cell r="B1976" t="str">
            <v>BIO0020TR</v>
          </cell>
          <cell r="X1976" t="str">
            <v>Formulación</v>
          </cell>
          <cell r="AC1976">
            <v>6.8399999999999989E-2</v>
          </cell>
          <cell r="AD1976">
            <v>6.2880000000000005E-2</v>
          </cell>
          <cell r="AE1976" t="str">
            <v>Con precio</v>
          </cell>
        </row>
        <row r="1977">
          <cell r="B1977" t="str">
            <v>BIO0020TR</v>
          </cell>
          <cell r="X1977" t="str">
            <v>Formulación</v>
          </cell>
          <cell r="AC1977">
            <v>1.0319999999999999E-2</v>
          </cell>
          <cell r="AD1977">
            <v>7.7160000000000006E-3</v>
          </cell>
          <cell r="AE1977" t="str">
            <v>Con precio</v>
          </cell>
        </row>
        <row r="1978">
          <cell r="B1978" t="str">
            <v>BIO0020TR</v>
          </cell>
          <cell r="X1978" t="str">
            <v>Formulación</v>
          </cell>
          <cell r="AC1978">
            <v>1.1040000000000001E-2</v>
          </cell>
          <cell r="AD1978">
            <v>1.068E-2</v>
          </cell>
          <cell r="AE1978" t="str">
            <v>Con precio</v>
          </cell>
        </row>
        <row r="1979">
          <cell r="B1979" t="str">
            <v>BIO0020TR</v>
          </cell>
          <cell r="X1979" t="str">
            <v>Empaquetado</v>
          </cell>
          <cell r="AC1979">
            <v>7.3209374999999993E-3</v>
          </cell>
          <cell r="AD1979">
            <v>7.3209374999999993E-3</v>
          </cell>
          <cell r="AE1979" t="str">
            <v>Con precio</v>
          </cell>
        </row>
        <row r="1980">
          <cell r="B1980" t="str">
            <v>BIO0020TR</v>
          </cell>
          <cell r="X1980" t="str">
            <v>Empaquetado</v>
          </cell>
          <cell r="AC1980">
            <v>2.4171875000000002E-2</v>
          </cell>
          <cell r="AD1980">
            <v>2.4171875000000002E-2</v>
          </cell>
          <cell r="AE1980" t="str">
            <v>Con precio</v>
          </cell>
        </row>
        <row r="1981">
          <cell r="B1981" t="str">
            <v>BIO0020TR</v>
          </cell>
          <cell r="X1981" t="str">
            <v>Empaquetado</v>
          </cell>
          <cell r="AC1981">
            <v>0.16750000000000001</v>
          </cell>
          <cell r="AD1981">
            <v>0.16750000000000001</v>
          </cell>
          <cell r="AE1981" t="str">
            <v>Con precio</v>
          </cell>
        </row>
        <row r="1982">
          <cell r="B1982" t="str">
            <v>BIO0020TR</v>
          </cell>
          <cell r="X1982" t="str">
            <v>Empaquetado</v>
          </cell>
          <cell r="AC1982">
            <v>5.0719967793880849E-3</v>
          </cell>
          <cell r="AD1982">
            <v>5.0719967793880849E-3</v>
          </cell>
          <cell r="AE1982" t="str">
            <v>Con precio</v>
          </cell>
        </row>
        <row r="1983">
          <cell r="B1983" t="str">
            <v>BIO0020TR</v>
          </cell>
          <cell r="X1983" t="str">
            <v>Empaquetado</v>
          </cell>
          <cell r="AC1983">
            <v>1.3125000000000001E-2</v>
          </cell>
          <cell r="AD1983">
            <v>1.3125000000000001E-2</v>
          </cell>
          <cell r="AE1983" t="str">
            <v>Con precio</v>
          </cell>
        </row>
        <row r="1984">
          <cell r="B1984" t="str">
            <v>BIO0200</v>
          </cell>
          <cell r="X1984" t="str">
            <v>Formulación</v>
          </cell>
          <cell r="AC1984">
            <v>0.37869999999999998</v>
          </cell>
          <cell r="AD1984">
            <v>0.30356666666666665</v>
          </cell>
          <cell r="AE1984" t="str">
            <v>Con precio</v>
          </cell>
        </row>
        <row r="1985">
          <cell r="B1985" t="str">
            <v>BIO0200</v>
          </cell>
          <cell r="X1985" t="str">
            <v>Formulación</v>
          </cell>
          <cell r="AC1985">
            <v>2.4227272727272729E-2</v>
          </cell>
          <cell r="AD1985">
            <v>2.4227272727272729E-2</v>
          </cell>
          <cell r="AE1985" t="str">
            <v>Con precio</v>
          </cell>
        </row>
        <row r="1986">
          <cell r="B1986" t="str">
            <v>BIO0200</v>
          </cell>
          <cell r="X1986" t="str">
            <v>Formulación</v>
          </cell>
          <cell r="AC1986">
            <v>2.1959999999999997E-2</v>
          </cell>
          <cell r="AD1986">
            <v>2.1959999999999997E-2</v>
          </cell>
          <cell r="AE1986" t="str">
            <v>Con precio</v>
          </cell>
        </row>
        <row r="1987">
          <cell r="B1987" t="str">
            <v>BIO0200</v>
          </cell>
          <cell r="X1987" t="str">
            <v>Formulación</v>
          </cell>
          <cell r="AC1987">
            <v>5.7375000000000009E-2</v>
          </cell>
          <cell r="AD1987">
            <v>5.7375000000000009E-2</v>
          </cell>
          <cell r="AE1987" t="str">
            <v>Con precio</v>
          </cell>
        </row>
        <row r="1988">
          <cell r="B1988" t="str">
            <v>BIO0200</v>
          </cell>
          <cell r="X1988" t="str">
            <v>Formulación</v>
          </cell>
          <cell r="AC1988">
            <v>0.11137500000000002</v>
          </cell>
          <cell r="AD1988">
            <v>9.7232142857142864E-2</v>
          </cell>
          <cell r="AE1988" t="str">
            <v>Con precio</v>
          </cell>
        </row>
        <row r="1989">
          <cell r="B1989" t="str">
            <v>BIO0200</v>
          </cell>
          <cell r="X1989" t="str">
            <v>Formulación</v>
          </cell>
          <cell r="AC1989">
            <v>6.8399999999999989E-2</v>
          </cell>
          <cell r="AD1989">
            <v>6.2880000000000005E-2</v>
          </cell>
          <cell r="AE1989" t="str">
            <v>Con precio</v>
          </cell>
        </row>
        <row r="1990">
          <cell r="B1990" t="str">
            <v>BIO0200</v>
          </cell>
          <cell r="X1990" t="str">
            <v>Formulación</v>
          </cell>
          <cell r="AC1990">
            <v>1.0319999999999999E-2</v>
          </cell>
          <cell r="AD1990">
            <v>7.7160000000000006E-3</v>
          </cell>
          <cell r="AE1990" t="str">
            <v>Con precio</v>
          </cell>
        </row>
        <row r="1991">
          <cell r="B1991" t="str">
            <v>BIO0200</v>
          </cell>
          <cell r="X1991" t="str">
            <v>Formulación</v>
          </cell>
          <cell r="AC1991">
            <v>1.1040000000000001E-2</v>
          </cell>
          <cell r="AD1991">
            <v>1.068E-2</v>
          </cell>
          <cell r="AE1991" t="str">
            <v>Con precio</v>
          </cell>
        </row>
        <row r="1992">
          <cell r="B1992" t="str">
            <v>BIO0200</v>
          </cell>
          <cell r="X1992" t="str">
            <v>Empaquetado</v>
          </cell>
          <cell r="AC1992">
            <v>5.0719967793880845E-4</v>
          </cell>
          <cell r="AD1992">
            <v>5.0719967793880845E-4</v>
          </cell>
          <cell r="AE1992" t="str">
            <v>Con precio</v>
          </cell>
        </row>
        <row r="1993">
          <cell r="B1993" t="str">
            <v>BIO0200</v>
          </cell>
          <cell r="X1993" t="str">
            <v>Empaquetado</v>
          </cell>
          <cell r="AC1993">
            <v>2.1875000000000002E-3</v>
          </cell>
          <cell r="AD1993">
            <v>2.1875000000000002E-3</v>
          </cell>
          <cell r="AE1993" t="str">
            <v>Con precio</v>
          </cell>
        </row>
        <row r="1994">
          <cell r="B1994" t="str">
            <v>BIO0200</v>
          </cell>
          <cell r="X1994" t="str">
            <v>Empaquetado</v>
          </cell>
          <cell r="AC1994">
            <v>0.16730511363636363</v>
          </cell>
          <cell r="AD1994">
            <v>0.16730511363636363</v>
          </cell>
          <cell r="AE1994" t="str">
            <v>Con precio</v>
          </cell>
        </row>
        <row r="1995">
          <cell r="B1995" t="str">
            <v>BIO0200</v>
          </cell>
          <cell r="X1995" t="str">
            <v>Empaquetado</v>
          </cell>
          <cell r="AC1995">
            <v>1.9337500000000001E-2</v>
          </cell>
          <cell r="AD1995">
            <v>1.9337500000000001E-2</v>
          </cell>
          <cell r="AE1995" t="str">
            <v>Con precio</v>
          </cell>
        </row>
        <row r="1996">
          <cell r="B1996" t="str">
            <v>BIO0200</v>
          </cell>
          <cell r="X1996" t="str">
            <v>Empaquetado</v>
          </cell>
          <cell r="AC1996">
            <v>3.4999999999999996E-3</v>
          </cell>
          <cell r="AD1996">
            <v>3.4999999999999996E-3</v>
          </cell>
          <cell r="AE1996" t="str">
            <v>Con precio</v>
          </cell>
        </row>
        <row r="1997">
          <cell r="B1997" t="str">
            <v>BIO0200</v>
          </cell>
          <cell r="X1997" t="str">
            <v>Empaquetado</v>
          </cell>
          <cell r="AC1997">
            <v>4.5000000000000004E-4</v>
          </cell>
          <cell r="AD1997">
            <v>4.5000000000000004E-4</v>
          </cell>
          <cell r="AE1997" t="str">
            <v>Con precio</v>
          </cell>
        </row>
        <row r="1998">
          <cell r="B1998" t="str">
            <v>BIO0200MA</v>
          </cell>
          <cell r="X1998" t="str">
            <v>Formulación</v>
          </cell>
          <cell r="AC1998">
            <v>0.37869999999999998</v>
          </cell>
          <cell r="AD1998">
            <v>0.30356666666666665</v>
          </cell>
          <cell r="AE1998" t="str">
            <v>Con precio</v>
          </cell>
        </row>
        <row r="1999">
          <cell r="B1999" t="str">
            <v>BIO0200MA</v>
          </cell>
          <cell r="X1999" t="str">
            <v>Formulación</v>
          </cell>
          <cell r="AC1999">
            <v>2.4227272727272729E-2</v>
          </cell>
          <cell r="AD1999">
            <v>2.4227272727272729E-2</v>
          </cell>
          <cell r="AE1999" t="str">
            <v>Con precio</v>
          </cell>
        </row>
        <row r="2000">
          <cell r="B2000" t="str">
            <v>BIO0200MA</v>
          </cell>
          <cell r="X2000" t="str">
            <v>Formulación</v>
          </cell>
          <cell r="AC2000">
            <v>2.1959999999999997E-2</v>
          </cell>
          <cell r="AD2000">
            <v>2.1959999999999997E-2</v>
          </cell>
          <cell r="AE2000" t="str">
            <v>Con precio</v>
          </cell>
        </row>
        <row r="2001">
          <cell r="B2001" t="str">
            <v>BIO0200MA</v>
          </cell>
          <cell r="X2001" t="str">
            <v>Formulación</v>
          </cell>
          <cell r="AC2001">
            <v>5.7375000000000009E-2</v>
          </cell>
          <cell r="AD2001">
            <v>5.7375000000000009E-2</v>
          </cell>
          <cell r="AE2001" t="str">
            <v>Con precio</v>
          </cell>
        </row>
        <row r="2002">
          <cell r="B2002" t="str">
            <v>BIO0200MA</v>
          </cell>
          <cell r="X2002" t="str">
            <v>Formulación</v>
          </cell>
          <cell r="AC2002">
            <v>0.11137500000000002</v>
          </cell>
          <cell r="AD2002">
            <v>9.7232142857142864E-2</v>
          </cell>
          <cell r="AE2002" t="str">
            <v>Con precio</v>
          </cell>
        </row>
        <row r="2003">
          <cell r="B2003" t="str">
            <v>BIO0200MA</v>
          </cell>
          <cell r="X2003" t="str">
            <v>Formulación</v>
          </cell>
          <cell r="AC2003">
            <v>6.8399999999999989E-2</v>
          </cell>
          <cell r="AD2003">
            <v>6.2880000000000005E-2</v>
          </cell>
          <cell r="AE2003" t="str">
            <v>Con precio</v>
          </cell>
        </row>
        <row r="2004">
          <cell r="B2004" t="str">
            <v>BIO0200MA</v>
          </cell>
          <cell r="X2004" t="str">
            <v>Formulación</v>
          </cell>
          <cell r="AC2004">
            <v>1.0319999999999999E-2</v>
          </cell>
          <cell r="AD2004">
            <v>7.7160000000000006E-3</v>
          </cell>
          <cell r="AE2004" t="str">
            <v>Con precio</v>
          </cell>
        </row>
        <row r="2005">
          <cell r="B2005" t="str">
            <v>BIO0200MA</v>
          </cell>
          <cell r="X2005" t="str">
            <v>Formulación</v>
          </cell>
          <cell r="AC2005">
            <v>1.1040000000000001E-2</v>
          </cell>
          <cell r="AD2005">
            <v>1.068E-2</v>
          </cell>
          <cell r="AE2005" t="str">
            <v>Con precio</v>
          </cell>
        </row>
        <row r="2006">
          <cell r="B2006" t="str">
            <v>BIO0200MA</v>
          </cell>
          <cell r="X2006" t="str">
            <v>Empaquetado</v>
          </cell>
          <cell r="AC2006">
            <v>5.0719967793880845E-4</v>
          </cell>
          <cell r="AD2006">
            <v>5.0719967793880845E-4</v>
          </cell>
          <cell r="AE2006" t="str">
            <v>Con precio</v>
          </cell>
        </row>
        <row r="2007">
          <cell r="B2007" t="str">
            <v>BIO0200MA</v>
          </cell>
          <cell r="X2007" t="str">
            <v>Empaquetado</v>
          </cell>
          <cell r="AC2007">
            <v>2.1875000000000002E-3</v>
          </cell>
          <cell r="AD2007">
            <v>2.1875000000000002E-3</v>
          </cell>
          <cell r="AE2007" t="str">
            <v>Con precio</v>
          </cell>
        </row>
        <row r="2008">
          <cell r="B2008" t="str">
            <v>BIO0200MA</v>
          </cell>
          <cell r="X2008" t="str">
            <v>Empaquetado</v>
          </cell>
          <cell r="AC2008">
            <v>0.16730511363636363</v>
          </cell>
          <cell r="AD2008">
            <v>0.16730511363636363</v>
          </cell>
          <cell r="AE2008" t="str">
            <v>Con precio</v>
          </cell>
        </row>
        <row r="2009">
          <cell r="B2009" t="str">
            <v>BIO0200MA</v>
          </cell>
          <cell r="X2009" t="str">
            <v>Empaquetado</v>
          </cell>
          <cell r="AC2009">
            <v>1.9337500000000001E-2</v>
          </cell>
          <cell r="AD2009">
            <v>1.9337500000000001E-2</v>
          </cell>
          <cell r="AE2009" t="str">
            <v>Con precio</v>
          </cell>
        </row>
        <row r="2010">
          <cell r="B2010" t="str">
            <v>BIO0200MA</v>
          </cell>
          <cell r="X2010" t="str">
            <v>Empaquetado</v>
          </cell>
          <cell r="AC2010">
            <v>3.4999999999999996E-3</v>
          </cell>
          <cell r="AD2010">
            <v>3.4999999999999996E-3</v>
          </cell>
          <cell r="AE2010" t="str">
            <v>Con precio</v>
          </cell>
        </row>
        <row r="2011">
          <cell r="B2011" t="str">
            <v>BIO0200MA</v>
          </cell>
          <cell r="X2011" t="str">
            <v>Empaquetado</v>
          </cell>
          <cell r="AC2011">
            <v>4.5000000000000004E-4</v>
          </cell>
          <cell r="AD2011">
            <v>4.5000000000000004E-4</v>
          </cell>
          <cell r="AE2011" t="str">
            <v>Con precio</v>
          </cell>
        </row>
        <row r="2012">
          <cell r="B2012" t="str">
            <v>BIO1000</v>
          </cell>
          <cell r="X2012" t="str">
            <v>Formulación</v>
          </cell>
          <cell r="AC2012">
            <v>0.37869999999999998</v>
          </cell>
          <cell r="AD2012">
            <v>0.30356666666666665</v>
          </cell>
          <cell r="AE2012" t="str">
            <v>Con precio</v>
          </cell>
        </row>
        <row r="2013">
          <cell r="B2013" t="str">
            <v>BIO1000</v>
          </cell>
          <cell r="X2013" t="str">
            <v>Formulación</v>
          </cell>
          <cell r="AC2013">
            <v>2.4227272727272729E-2</v>
          </cell>
          <cell r="AD2013">
            <v>2.4227272727272729E-2</v>
          </cell>
          <cell r="AE2013" t="str">
            <v>Con precio</v>
          </cell>
        </row>
        <row r="2014">
          <cell r="B2014" t="str">
            <v>BIO1000</v>
          </cell>
          <cell r="X2014" t="str">
            <v>Formulación</v>
          </cell>
          <cell r="AC2014">
            <v>2.1959999999999997E-2</v>
          </cell>
          <cell r="AD2014">
            <v>2.1959999999999997E-2</v>
          </cell>
          <cell r="AE2014" t="str">
            <v>Con precio</v>
          </cell>
        </row>
        <row r="2015">
          <cell r="B2015" t="str">
            <v>BIO1000</v>
          </cell>
          <cell r="X2015" t="str">
            <v>Formulación</v>
          </cell>
          <cell r="AC2015">
            <v>5.7375000000000009E-2</v>
          </cell>
          <cell r="AD2015">
            <v>5.7375000000000009E-2</v>
          </cell>
          <cell r="AE2015" t="str">
            <v>Con precio</v>
          </cell>
        </row>
        <row r="2016">
          <cell r="B2016" t="str">
            <v>BIO1000</v>
          </cell>
          <cell r="X2016" t="str">
            <v>Formulación</v>
          </cell>
          <cell r="AC2016">
            <v>0.11137500000000002</v>
          </cell>
          <cell r="AD2016">
            <v>9.7232142857142864E-2</v>
          </cell>
          <cell r="AE2016" t="str">
            <v>Con precio</v>
          </cell>
        </row>
        <row r="2017">
          <cell r="B2017" t="str">
            <v>BIO1000</v>
          </cell>
          <cell r="X2017" t="str">
            <v>Formulación</v>
          </cell>
          <cell r="AC2017">
            <v>6.8399999999999989E-2</v>
          </cell>
          <cell r="AD2017">
            <v>6.2880000000000005E-2</v>
          </cell>
          <cell r="AE2017" t="str">
            <v>Con precio</v>
          </cell>
        </row>
        <row r="2018">
          <cell r="B2018" t="str">
            <v>BIO1000</v>
          </cell>
          <cell r="X2018" t="str">
            <v>Formulación</v>
          </cell>
          <cell r="AC2018">
            <v>1.0319999999999999E-2</v>
          </cell>
          <cell r="AD2018">
            <v>7.7160000000000006E-3</v>
          </cell>
          <cell r="AE2018" t="str">
            <v>Con precio</v>
          </cell>
        </row>
        <row r="2019">
          <cell r="B2019" t="str">
            <v>BIO1000</v>
          </cell>
          <cell r="X2019" t="str">
            <v>Formulación</v>
          </cell>
          <cell r="AC2019">
            <v>1.1040000000000001E-2</v>
          </cell>
          <cell r="AD2019">
            <v>1.068E-2</v>
          </cell>
          <cell r="AE2019" t="str">
            <v>Con precio</v>
          </cell>
        </row>
        <row r="2020">
          <cell r="B2020" t="str">
            <v>BIO1000</v>
          </cell>
          <cell r="X2020" t="str">
            <v>Empaquetado</v>
          </cell>
          <cell r="AC2020">
            <v>0.11700000000000001</v>
          </cell>
          <cell r="AD2020">
            <v>0.11700000000000001</v>
          </cell>
          <cell r="AE2020" t="str">
            <v>Con precio</v>
          </cell>
        </row>
        <row r="2021">
          <cell r="B2021" t="str">
            <v>BIO1000</v>
          </cell>
          <cell r="X2021" t="str">
            <v>Empaquetado</v>
          </cell>
          <cell r="AC2021">
            <v>1.014399355877617E-4</v>
          </cell>
          <cell r="AD2021">
            <v>1.014399355877617E-4</v>
          </cell>
          <cell r="AE2021" t="str">
            <v>Con precio</v>
          </cell>
        </row>
        <row r="2022">
          <cell r="B2022" t="str">
            <v>BIO1000TR</v>
          </cell>
          <cell r="X2022" t="str">
            <v>Formulación</v>
          </cell>
          <cell r="AC2022">
            <v>0.37869999999999998</v>
          </cell>
          <cell r="AD2022">
            <v>0.30356666666666665</v>
          </cell>
          <cell r="AE2022" t="str">
            <v>Con precio</v>
          </cell>
        </row>
        <row r="2023">
          <cell r="B2023" t="str">
            <v>BIO1000TR</v>
          </cell>
          <cell r="X2023" t="str">
            <v>Formulación</v>
          </cell>
          <cell r="AC2023">
            <v>2.4227272727272729E-2</v>
          </cell>
          <cell r="AD2023">
            <v>2.4227272727272729E-2</v>
          </cell>
          <cell r="AE2023" t="str">
            <v>Con precio</v>
          </cell>
        </row>
        <row r="2024">
          <cell r="B2024" t="str">
            <v>BIO1000TR</v>
          </cell>
          <cell r="X2024" t="str">
            <v>Formulación</v>
          </cell>
          <cell r="AC2024">
            <v>2.1959999999999997E-2</v>
          </cell>
          <cell r="AD2024">
            <v>2.1959999999999997E-2</v>
          </cell>
          <cell r="AE2024" t="str">
            <v>Con precio</v>
          </cell>
        </row>
        <row r="2025">
          <cell r="B2025" t="str">
            <v>BIO1000TR</v>
          </cell>
          <cell r="X2025" t="str">
            <v>Formulación</v>
          </cell>
          <cell r="AC2025">
            <v>5.7375000000000009E-2</v>
          </cell>
          <cell r="AD2025">
            <v>5.7375000000000009E-2</v>
          </cell>
          <cell r="AE2025" t="str">
            <v>Con precio</v>
          </cell>
        </row>
        <row r="2026">
          <cell r="B2026" t="str">
            <v>BIO1000TR</v>
          </cell>
          <cell r="X2026" t="str">
            <v>Formulación</v>
          </cell>
          <cell r="AC2026">
            <v>0.11137500000000002</v>
          </cell>
          <cell r="AD2026">
            <v>9.7232142857142864E-2</v>
          </cell>
          <cell r="AE2026" t="str">
            <v>Con precio</v>
          </cell>
        </row>
        <row r="2027">
          <cell r="B2027" t="str">
            <v>BIO1000TR</v>
          </cell>
          <cell r="X2027" t="str">
            <v>Formulación</v>
          </cell>
          <cell r="AC2027">
            <v>6.8399999999999989E-2</v>
          </cell>
          <cell r="AD2027">
            <v>6.2880000000000005E-2</v>
          </cell>
          <cell r="AE2027" t="str">
            <v>Con precio</v>
          </cell>
        </row>
        <row r="2028">
          <cell r="B2028" t="str">
            <v>BIO1000TR</v>
          </cell>
          <cell r="X2028" t="str">
            <v>Formulación</v>
          </cell>
          <cell r="AC2028">
            <v>1.0319999999999999E-2</v>
          </cell>
          <cell r="AD2028">
            <v>7.7160000000000006E-3</v>
          </cell>
          <cell r="AE2028" t="str">
            <v>Con precio</v>
          </cell>
        </row>
        <row r="2029">
          <cell r="B2029" t="str">
            <v>BIO1000TR</v>
          </cell>
          <cell r="X2029" t="str">
            <v>Formulación</v>
          </cell>
          <cell r="AC2029">
            <v>1.1040000000000001E-2</v>
          </cell>
          <cell r="AD2029">
            <v>1.068E-2</v>
          </cell>
          <cell r="AE2029" t="str">
            <v>Con precio</v>
          </cell>
        </row>
        <row r="2030">
          <cell r="B2030" t="str">
            <v>BIO1000TR</v>
          </cell>
          <cell r="X2030" t="str">
            <v>Empaquetado</v>
          </cell>
          <cell r="AC2030">
            <v>0.11700000000000001</v>
          </cell>
          <cell r="AD2030">
            <v>0.11700000000000001</v>
          </cell>
          <cell r="AE2030" t="str">
            <v>Con precio</v>
          </cell>
        </row>
        <row r="2031">
          <cell r="B2031" t="str">
            <v>BIO1000TR</v>
          </cell>
          <cell r="X2031" t="str">
            <v>Empaquetado</v>
          </cell>
          <cell r="AC2031">
            <v>1.014399355877617E-4</v>
          </cell>
          <cell r="AD2031">
            <v>1.014399355877617E-4</v>
          </cell>
          <cell r="AE2031" t="str">
            <v>Con precio</v>
          </cell>
        </row>
        <row r="2032">
          <cell r="B2032" t="str">
            <v>BM0005MA</v>
          </cell>
          <cell r="X2032" t="str">
            <v>Formulación</v>
          </cell>
          <cell r="AC2032">
            <v>2.7820000000000001E-2</v>
          </cell>
          <cell r="AD2032">
            <v>2.3400000000000001E-2</v>
          </cell>
          <cell r="AE2032" t="str">
            <v>Con precio</v>
          </cell>
        </row>
        <row r="2033">
          <cell r="B2033" t="str">
            <v>BM0005MA</v>
          </cell>
          <cell r="X2033" t="str">
            <v>Formulación</v>
          </cell>
          <cell r="AC2033">
            <v>6.1346999999999992E-2</v>
          </cell>
          <cell r="AD2033">
            <v>5.4339999999999999E-2</v>
          </cell>
          <cell r="AE2033" t="str">
            <v>Con precio</v>
          </cell>
        </row>
        <row r="2034">
          <cell r="B2034" t="str">
            <v>BM0005MA</v>
          </cell>
          <cell r="X2034" t="str">
            <v>Formulación</v>
          </cell>
          <cell r="AC2034">
            <v>2.664E-2</v>
          </cell>
          <cell r="AD2034">
            <v>2.664E-2</v>
          </cell>
          <cell r="AE2034" t="str">
            <v>Con precio</v>
          </cell>
        </row>
        <row r="2035">
          <cell r="B2035" t="str">
            <v>BM0005MA</v>
          </cell>
          <cell r="X2035" t="str">
            <v>Formulación</v>
          </cell>
          <cell r="AC2035">
            <v>0.18280000000000002</v>
          </cell>
          <cell r="AD2035">
            <v>0.17708750000000001</v>
          </cell>
          <cell r="AE2035" t="str">
            <v>Con precio</v>
          </cell>
        </row>
        <row r="2036">
          <cell r="B2036" t="str">
            <v>BM0005MA</v>
          </cell>
          <cell r="X2036" t="str">
            <v>Formulación</v>
          </cell>
          <cell r="AC2036">
            <v>2.0879999999999996E-2</v>
          </cell>
          <cell r="AD2036">
            <v>1.8247499999999996E-2</v>
          </cell>
          <cell r="AE2036" t="str">
            <v>Con precio</v>
          </cell>
        </row>
        <row r="2037">
          <cell r="B2037" t="str">
            <v>BM0005MA</v>
          </cell>
          <cell r="X2037" t="str">
            <v>Formulación</v>
          </cell>
          <cell r="AC2037">
            <v>0.34016999999999997</v>
          </cell>
          <cell r="AD2037">
            <v>0.27936666666666665</v>
          </cell>
          <cell r="AE2037" t="str">
            <v>Con precio</v>
          </cell>
        </row>
        <row r="2038">
          <cell r="B2038" t="str">
            <v>BM0005MA</v>
          </cell>
          <cell r="X2038" t="str">
            <v>Formulación</v>
          </cell>
          <cell r="AC2038">
            <v>9.7599999999999996E-3</v>
          </cell>
          <cell r="AD2038">
            <v>9.7599999999999996E-3</v>
          </cell>
          <cell r="AE2038" t="str">
            <v>Con precio</v>
          </cell>
        </row>
        <row r="2039">
          <cell r="B2039" t="str">
            <v>BM0005MA</v>
          </cell>
          <cell r="X2039" t="str">
            <v>Empaquetado</v>
          </cell>
          <cell r="AC2039">
            <v>1.2991333333333337E-2</v>
          </cell>
          <cell r="AD2039">
            <v>1.2991333333333337E-2</v>
          </cell>
          <cell r="AE2039" t="str">
            <v>Con precio</v>
          </cell>
        </row>
        <row r="2040">
          <cell r="B2040" t="str">
            <v>BM0005MA</v>
          </cell>
          <cell r="X2040" t="str">
            <v>Empaquetado</v>
          </cell>
          <cell r="AC2040">
            <v>2.5783333333333339E-2</v>
          </cell>
          <cell r="AD2040">
            <v>2.5783333333333339E-2</v>
          </cell>
          <cell r="AE2040" t="str">
            <v>Con precio</v>
          </cell>
        </row>
        <row r="2041">
          <cell r="B2041" t="str">
            <v>BM0005MA</v>
          </cell>
          <cell r="X2041" t="str">
            <v>Empaquetado</v>
          </cell>
          <cell r="AC2041">
            <v>2.5359983896940424E-2</v>
          </cell>
          <cell r="AD2041">
            <v>2.5359983896940424E-2</v>
          </cell>
          <cell r="AE2041" t="str">
            <v>Con precio</v>
          </cell>
        </row>
        <row r="2042">
          <cell r="B2042" t="str">
            <v>BM0005MA</v>
          </cell>
          <cell r="X2042" t="str">
            <v>Empaquetado</v>
          </cell>
          <cell r="AC2042">
            <v>3.4200000000000001E-2</v>
          </cell>
          <cell r="AD2042">
            <v>3.4200000000000001E-2</v>
          </cell>
          <cell r="AE2042" t="str">
            <v>Con precio</v>
          </cell>
        </row>
        <row r="2043">
          <cell r="B2043" t="str">
            <v>BM0005MA</v>
          </cell>
          <cell r="X2043" t="str">
            <v>Empaquetado</v>
          </cell>
          <cell r="AC2043">
            <v>0.17399999999999999</v>
          </cell>
          <cell r="AD2043">
            <v>0.17399999999999999</v>
          </cell>
          <cell r="AE2043" t="str">
            <v>Con precio</v>
          </cell>
        </row>
        <row r="2044">
          <cell r="B2044" t="str">
            <v>BM0005MA</v>
          </cell>
          <cell r="X2044" t="str">
            <v>Empaquetado</v>
          </cell>
          <cell r="AC2044">
            <v>3.6950017630465445E-2</v>
          </cell>
          <cell r="AD2044">
            <v>3.6950017630465445E-2</v>
          </cell>
          <cell r="AE2044" t="str">
            <v>Con precio</v>
          </cell>
        </row>
        <row r="2045">
          <cell r="B2045" t="str">
            <v>BPLUS0001CO</v>
          </cell>
          <cell r="X2045" t="str">
            <v>Formulación</v>
          </cell>
          <cell r="AC2045">
            <v>2.3400000000000001E-2</v>
          </cell>
          <cell r="AD2045">
            <v>2.3400000000000001E-2</v>
          </cell>
          <cell r="AE2045" t="str">
            <v>Con precio</v>
          </cell>
        </row>
        <row r="2046">
          <cell r="B2046" t="str">
            <v>BPLUS0001CO</v>
          </cell>
          <cell r="X2046" t="str">
            <v>Formulación</v>
          </cell>
          <cell r="AC2046">
            <v>4.4850000000000001E-2</v>
          </cell>
          <cell r="AD2046">
            <v>4.073333333333333E-2</v>
          </cell>
          <cell r="AE2046" t="str">
            <v>Con precio</v>
          </cell>
        </row>
        <row r="2047">
          <cell r="B2047" t="str">
            <v>BPLUS0001CO</v>
          </cell>
          <cell r="X2047" t="str">
            <v>Formulación</v>
          </cell>
          <cell r="AC2047">
            <v>5.2499999999999998E-2</v>
          </cell>
          <cell r="AD2047">
            <v>4.9099999999999998E-2</v>
          </cell>
          <cell r="AE2047" t="str">
            <v>Con precio</v>
          </cell>
        </row>
        <row r="2048">
          <cell r="B2048" t="str">
            <v>BPLUS0001CO</v>
          </cell>
          <cell r="X2048" t="str">
            <v>Formulación</v>
          </cell>
          <cell r="AC2048">
            <v>1.917</v>
          </cell>
          <cell r="AD2048">
            <v>1.3003142857142855</v>
          </cell>
          <cell r="AE2048" t="str">
            <v>Con precio</v>
          </cell>
        </row>
        <row r="2049">
          <cell r="B2049" t="str">
            <v>BPLUS0001CO</v>
          </cell>
          <cell r="X2049" t="str">
            <v>Empaquetado</v>
          </cell>
          <cell r="AC2049">
            <v>1.8939393939393939E-5</v>
          </cell>
          <cell r="AD2049">
            <v>1.8939393939393939E-5</v>
          </cell>
          <cell r="AE2049" t="str">
            <v>Con precio</v>
          </cell>
        </row>
        <row r="2050">
          <cell r="B2050" t="str">
            <v>BPLUS0001CO</v>
          </cell>
          <cell r="X2050" t="str">
            <v>Empaquetado</v>
          </cell>
          <cell r="AC2050">
            <v>1.4649621212121213E-2</v>
          </cell>
          <cell r="AD2050">
            <v>1.4649621212121213E-2</v>
          </cell>
          <cell r="AE2050" t="str">
            <v>Con precio</v>
          </cell>
        </row>
        <row r="2051">
          <cell r="B2051" t="str">
            <v>BPLUS0001CO</v>
          </cell>
          <cell r="X2051" t="str">
            <v>Empaquetado</v>
          </cell>
          <cell r="AC2051">
            <v>5.3938139059304703E-2</v>
          </cell>
          <cell r="AD2051">
            <v>5.3938139059304703E-2</v>
          </cell>
          <cell r="AE2051" t="str">
            <v>Con precio</v>
          </cell>
        </row>
        <row r="2052">
          <cell r="B2052" t="str">
            <v>BPLUS0001CO</v>
          </cell>
          <cell r="X2052" t="str">
            <v>Empaquetado</v>
          </cell>
          <cell r="AC2052">
            <v>5.5431216032608699E-3</v>
          </cell>
          <cell r="AD2052">
            <v>5.5431216032608699E-3</v>
          </cell>
          <cell r="AE2052" t="str">
            <v>Con precio</v>
          </cell>
        </row>
        <row r="2053">
          <cell r="B2053" t="str">
            <v>BPLUS0001CO</v>
          </cell>
          <cell r="X2053" t="str">
            <v>Empaquetado</v>
          </cell>
          <cell r="AC2053">
            <v>6.3339962121212137E-2</v>
          </cell>
          <cell r="AD2053">
            <v>6.3339962121212137E-2</v>
          </cell>
          <cell r="AE2053" t="str">
            <v>Con precio</v>
          </cell>
        </row>
        <row r="2054">
          <cell r="B2054" t="str">
            <v>BPLUS0001CO</v>
          </cell>
          <cell r="X2054" t="str">
            <v>Empaquetado</v>
          </cell>
          <cell r="AC2054">
            <v>3.9889583333333332E-2</v>
          </cell>
          <cell r="AD2054">
            <v>3.9889583333333332E-2</v>
          </cell>
          <cell r="AE2054" t="str">
            <v>Con precio</v>
          </cell>
        </row>
        <row r="2055">
          <cell r="B2055" t="str">
            <v>BPLUS0005LB</v>
          </cell>
          <cell r="X2055" t="str">
            <v>Formulación</v>
          </cell>
          <cell r="AC2055">
            <v>2.3400000000000001E-2</v>
          </cell>
          <cell r="AD2055">
            <v>2.3400000000000001E-2</v>
          </cell>
          <cell r="AE2055" t="str">
            <v>Con precio</v>
          </cell>
        </row>
        <row r="2056">
          <cell r="B2056" t="str">
            <v>BPLUS0005LB</v>
          </cell>
          <cell r="X2056" t="str">
            <v>Formulación</v>
          </cell>
          <cell r="AC2056">
            <v>4.4850000000000001E-2</v>
          </cell>
          <cell r="AD2056">
            <v>4.073333333333333E-2</v>
          </cell>
          <cell r="AE2056" t="str">
            <v>Con precio</v>
          </cell>
        </row>
        <row r="2057">
          <cell r="B2057" t="str">
            <v>BPLUS0005LB</v>
          </cell>
          <cell r="X2057" t="str">
            <v>Formulación</v>
          </cell>
          <cell r="AC2057">
            <v>5.2499999999999998E-2</v>
          </cell>
          <cell r="AD2057">
            <v>4.9099999999999998E-2</v>
          </cell>
          <cell r="AE2057" t="str">
            <v>Con precio</v>
          </cell>
        </row>
        <row r="2058">
          <cell r="B2058" t="str">
            <v>BPLUS0005LB</v>
          </cell>
          <cell r="X2058" t="str">
            <v>Formulación</v>
          </cell>
          <cell r="AC2058">
            <v>1.917</v>
          </cell>
          <cell r="AD2058">
            <v>1.3003142857142855</v>
          </cell>
          <cell r="AE2058" t="str">
            <v>Con precio</v>
          </cell>
        </row>
        <row r="2059">
          <cell r="B2059" t="str">
            <v>BPLUS0005LB</v>
          </cell>
          <cell r="X2059" t="str">
            <v>Empaquetado</v>
          </cell>
          <cell r="AC2059">
            <v>7.7948000000000002E-3</v>
          </cell>
          <cell r="AD2059">
            <v>7.7948000000000002E-3</v>
          </cell>
          <cell r="AE2059" t="str">
            <v>Con precio</v>
          </cell>
        </row>
        <row r="2060">
          <cell r="B2060" t="str">
            <v>BPLUS0005LB</v>
          </cell>
          <cell r="X2060" t="str">
            <v>Empaquetado</v>
          </cell>
          <cell r="AC2060">
            <v>7.9779166666666661E-3</v>
          </cell>
          <cell r="AD2060">
            <v>7.9779166666666661E-3</v>
          </cell>
          <cell r="AE2060" t="str">
            <v>Con precio</v>
          </cell>
        </row>
        <row r="2061">
          <cell r="B2061" t="str">
            <v>BPLUS0005LB</v>
          </cell>
          <cell r="X2061" t="str">
            <v>Empaquetado</v>
          </cell>
          <cell r="AC2061">
            <v>3.5475978260869566E-3</v>
          </cell>
          <cell r="AD2061">
            <v>3.5475978260869566E-3</v>
          </cell>
          <cell r="AE2061" t="str">
            <v>Con precio</v>
          </cell>
        </row>
        <row r="2062">
          <cell r="B2062" t="str">
            <v>BPLUS0005LB</v>
          </cell>
          <cell r="X2062" t="str">
            <v>Empaquetado</v>
          </cell>
          <cell r="AC2062">
            <v>2.1682000000000003E-2</v>
          </cell>
          <cell r="AD2062">
            <v>2.1682000000000003E-2</v>
          </cell>
          <cell r="AE2062" t="str">
            <v>Con precio</v>
          </cell>
        </row>
        <row r="2063">
          <cell r="B2063" t="str">
            <v>BPLUS0005LB</v>
          </cell>
          <cell r="X2063" t="str">
            <v>Empaquetado</v>
          </cell>
          <cell r="AC2063">
            <v>2.9560014104372354E-2</v>
          </cell>
          <cell r="AD2063">
            <v>2.9560014104372354E-2</v>
          </cell>
          <cell r="AE2063" t="str">
            <v>Con precio</v>
          </cell>
        </row>
        <row r="2064">
          <cell r="B2064" t="str">
            <v>BPLUS0005LB</v>
          </cell>
          <cell r="X2064" t="str">
            <v>Empaquetado</v>
          </cell>
          <cell r="AC2064">
            <v>3.0940000000000002E-2</v>
          </cell>
          <cell r="AD2064">
            <v>3.0940000000000002E-2</v>
          </cell>
          <cell r="AE2064" t="str">
            <v>Con precio</v>
          </cell>
        </row>
        <row r="2065">
          <cell r="B2065" t="str">
            <v>BPLUS20005</v>
          </cell>
          <cell r="X2065" t="str">
            <v>Formulación</v>
          </cell>
          <cell r="AC2065">
            <v>4.3469999999999995E-2</v>
          </cell>
          <cell r="AD2065">
            <v>3.9479999999999994E-2</v>
          </cell>
          <cell r="AE2065" t="str">
            <v>Con precio</v>
          </cell>
        </row>
        <row r="2066">
          <cell r="B2066" t="str">
            <v>BPLUS20005</v>
          </cell>
          <cell r="X2066" t="str">
            <v>Formulación</v>
          </cell>
          <cell r="AC2066">
            <v>2.316E-2</v>
          </cell>
          <cell r="AD2066">
            <v>2.316E-2</v>
          </cell>
          <cell r="AE2066" t="str">
            <v>Con precio</v>
          </cell>
        </row>
        <row r="2067">
          <cell r="B2067" t="str">
            <v>BPLUS20005</v>
          </cell>
          <cell r="X2067" t="str">
            <v>Formulación</v>
          </cell>
          <cell r="AC2067">
            <v>5.2499999999999998E-2</v>
          </cell>
          <cell r="AD2067">
            <v>4.9099999999999998E-2</v>
          </cell>
          <cell r="AE2067" t="str">
            <v>Con precio</v>
          </cell>
        </row>
        <row r="2068">
          <cell r="B2068" t="str">
            <v>BPLUS20005</v>
          </cell>
          <cell r="X2068" t="str">
            <v>Formulación</v>
          </cell>
          <cell r="AC2068">
            <v>1.8684000000000001</v>
          </cell>
          <cell r="AD2068">
            <v>1.2673485714285713</v>
          </cell>
          <cell r="AE2068" t="str">
            <v>Con precio</v>
          </cell>
        </row>
        <row r="2069">
          <cell r="B2069" t="str">
            <v>BPLUS20005</v>
          </cell>
          <cell r="X2069" t="str">
            <v>Formulación</v>
          </cell>
          <cell r="AC2069">
            <v>3.8059999999999997E-2</v>
          </cell>
          <cell r="AD2069">
            <v>3.2009999999999997E-2</v>
          </cell>
          <cell r="AE2069" t="str">
            <v>Con precio</v>
          </cell>
        </row>
        <row r="2070">
          <cell r="B2070" t="str">
            <v>BPLUS20005</v>
          </cell>
          <cell r="X2070" t="str">
            <v>Empaquetado</v>
          </cell>
          <cell r="AC2070">
            <v>1.0393066666666666E-2</v>
          </cell>
          <cell r="AD2070">
            <v>1.0393066666666666E-2</v>
          </cell>
          <cell r="AE2070" t="str">
            <v>Con precio</v>
          </cell>
        </row>
        <row r="2071">
          <cell r="B2071" t="str">
            <v>BPLUS20005</v>
          </cell>
          <cell r="X2071" t="str">
            <v>Empaquetado</v>
          </cell>
          <cell r="AC2071">
            <v>2.0626666666666665E-2</v>
          </cell>
          <cell r="AD2071">
            <v>2.0626666666666665E-2</v>
          </cell>
          <cell r="AE2071" t="str">
            <v>Con precio</v>
          </cell>
        </row>
        <row r="2072">
          <cell r="B2072" t="str">
            <v>BPLUS20005</v>
          </cell>
          <cell r="X2072" t="str">
            <v>Empaquetado</v>
          </cell>
          <cell r="AC2072">
            <v>2.1285586956521739E-2</v>
          </cell>
          <cell r="AD2072">
            <v>2.1285586956521739E-2</v>
          </cell>
          <cell r="AE2072" t="str">
            <v>Con precio</v>
          </cell>
        </row>
        <row r="2073">
          <cell r="B2073" t="str">
            <v>BPLUS20005</v>
          </cell>
          <cell r="X2073" t="str">
            <v>Empaquetado</v>
          </cell>
          <cell r="AC2073">
            <v>2.9560014104372354E-2</v>
          </cell>
          <cell r="AD2073">
            <v>2.9560014104372354E-2</v>
          </cell>
          <cell r="AE2073" t="str">
            <v>Con precio</v>
          </cell>
        </row>
        <row r="2074">
          <cell r="B2074" t="str">
            <v>BPLUS20005</v>
          </cell>
          <cell r="X2074" t="str">
            <v>Empaquetado</v>
          </cell>
          <cell r="AC2074">
            <v>2.1682000000000003E-2</v>
          </cell>
          <cell r="AD2074">
            <v>2.1682000000000003E-2</v>
          </cell>
          <cell r="AE2074" t="str">
            <v>Con precio</v>
          </cell>
        </row>
        <row r="2075">
          <cell r="B2075" t="str">
            <v>BR-590005</v>
          </cell>
          <cell r="X2075" t="str">
            <v>Formulación</v>
          </cell>
          <cell r="AC2075">
            <v>9.4821527144633242E-3</v>
          </cell>
          <cell r="AD2075">
            <v>9.4821527144633242E-3</v>
          </cell>
          <cell r="AE2075" t="str">
            <v>Con precio</v>
          </cell>
        </row>
        <row r="2076">
          <cell r="B2076" t="str">
            <v>BR-590005</v>
          </cell>
          <cell r="X2076" t="str">
            <v>Formulación</v>
          </cell>
          <cell r="AC2076">
            <v>0</v>
          </cell>
          <cell r="AD2076">
            <v>0</v>
          </cell>
          <cell r="AE2076" t="str">
            <v>Con precio</v>
          </cell>
        </row>
        <row r="2077">
          <cell r="B2077" t="str">
            <v>BR-590005</v>
          </cell>
          <cell r="X2077" t="str">
            <v>Formulación</v>
          </cell>
          <cell r="AC2077">
            <v>9.9426365675507694E-2</v>
          </cell>
          <cell r="AD2077">
            <v>9.9426365675507694E-2</v>
          </cell>
          <cell r="AE2077" t="str">
            <v>Con precio</v>
          </cell>
        </row>
        <row r="2078">
          <cell r="B2078" t="str">
            <v>BR-590005</v>
          </cell>
          <cell r="X2078" t="str">
            <v>Formulación</v>
          </cell>
          <cell r="AC2078">
            <v>1.2806355677579774E-2</v>
          </cell>
          <cell r="AD2078">
            <v>1.2806355677579774E-2</v>
          </cell>
          <cell r="AE2078" t="str">
            <v>Con precio</v>
          </cell>
        </row>
        <row r="2079">
          <cell r="B2079" t="str">
            <v>BR-590005</v>
          </cell>
          <cell r="X2079" t="str">
            <v>Formulación</v>
          </cell>
          <cell r="AC2079">
            <v>1.5894413075010359E-3</v>
          </cell>
          <cell r="AD2079">
            <v>1.5894413075010359E-3</v>
          </cell>
          <cell r="AE2079" t="str">
            <v>Con precio</v>
          </cell>
        </row>
        <row r="2080">
          <cell r="B2080" t="str">
            <v>BR-590005</v>
          </cell>
          <cell r="X2080" t="str">
            <v>Formulación</v>
          </cell>
          <cell r="AC2080">
            <v>4.5037297969332778E-2</v>
          </cell>
          <cell r="AD2080">
            <v>4.5037297969332778E-2</v>
          </cell>
          <cell r="AE2080" t="str">
            <v>Con precio</v>
          </cell>
        </row>
        <row r="2081">
          <cell r="B2081" t="str">
            <v>BR-590005</v>
          </cell>
          <cell r="X2081" t="str">
            <v>Formulación</v>
          </cell>
          <cell r="AC2081">
            <v>0.12968421052631579</v>
          </cell>
          <cell r="AD2081">
            <v>0.12968421052631579</v>
          </cell>
          <cell r="AE2081" t="str">
            <v>Con precio</v>
          </cell>
        </row>
        <row r="2082">
          <cell r="B2082" t="str">
            <v>BR-590005</v>
          </cell>
          <cell r="X2082" t="str">
            <v>Formulación</v>
          </cell>
          <cell r="AC2082">
            <v>6.5557894736842119E-3</v>
          </cell>
          <cell r="AD2082">
            <v>5.5136842105263173E-3</v>
          </cell>
          <cell r="AE2082" t="str">
            <v>Con precio</v>
          </cell>
        </row>
        <row r="2083">
          <cell r="B2083" t="str">
            <v>BR-590005</v>
          </cell>
          <cell r="X2083" t="str">
            <v>Empaquetado</v>
          </cell>
          <cell r="AC2083">
            <v>8.114699999999999E-3</v>
          </cell>
          <cell r="AD2083">
            <v>8.114699999999999E-3</v>
          </cell>
          <cell r="AE2083" t="str">
            <v>Con precio</v>
          </cell>
        </row>
        <row r="2084">
          <cell r="B2084" t="str">
            <v>BR-590005</v>
          </cell>
          <cell r="X2084" t="str">
            <v>Empaquetado</v>
          </cell>
          <cell r="AC2084">
            <v>1.4063636363636365E-2</v>
          </cell>
          <cell r="AD2084">
            <v>1.4063636363636365E-2</v>
          </cell>
          <cell r="AE2084" t="str">
            <v>Con precio</v>
          </cell>
        </row>
        <row r="2085">
          <cell r="B2085" t="str">
            <v>BR-590005</v>
          </cell>
          <cell r="X2085" t="str">
            <v>Empaquetado</v>
          </cell>
          <cell r="AC2085">
            <v>3.1449999999999999E-2</v>
          </cell>
          <cell r="AD2085">
            <v>3.1449999999999999E-2</v>
          </cell>
          <cell r="AE2085" t="str">
            <v>Con precio</v>
          </cell>
        </row>
        <row r="2086">
          <cell r="B2086" t="str">
            <v>BR-590005</v>
          </cell>
          <cell r="X2086" t="str">
            <v>Empaquetado</v>
          </cell>
          <cell r="AC2086">
            <v>1.7737989130434784E-2</v>
          </cell>
          <cell r="AD2086">
            <v>1.7737989130434784E-2</v>
          </cell>
          <cell r="AE2086" t="str">
            <v>Con precio</v>
          </cell>
        </row>
        <row r="2087">
          <cell r="B2087" t="str">
            <v>BR-590005</v>
          </cell>
          <cell r="X2087" t="str">
            <v>Empaquetado</v>
          </cell>
          <cell r="AC2087">
            <v>0.12</v>
          </cell>
          <cell r="AD2087">
            <v>0.12</v>
          </cell>
          <cell r="AE2087" t="str">
            <v>Con precio</v>
          </cell>
        </row>
        <row r="2088">
          <cell r="B2088" t="str">
            <v>BR-590005</v>
          </cell>
          <cell r="X2088" t="str">
            <v>Empaquetado</v>
          </cell>
          <cell r="AC2088">
            <v>4.4344972826086959E-3</v>
          </cell>
          <cell r="AD2088">
            <v>4.4344972826086959E-3</v>
          </cell>
          <cell r="AE2088" t="str">
            <v>Con precio</v>
          </cell>
        </row>
        <row r="2089">
          <cell r="B2089" t="str">
            <v>BR-590005AZ</v>
          </cell>
          <cell r="X2089" t="str">
            <v>Formulación</v>
          </cell>
          <cell r="AC2089">
            <v>9.4821527144633242E-3</v>
          </cell>
          <cell r="AD2089">
            <v>9.4821527144633242E-3</v>
          </cell>
          <cell r="AE2089" t="str">
            <v>Con precio</v>
          </cell>
        </row>
        <row r="2090">
          <cell r="B2090" t="str">
            <v>BR-590005AZ</v>
          </cell>
          <cell r="X2090" t="str">
            <v>Formulación</v>
          </cell>
          <cell r="AC2090">
            <v>0</v>
          </cell>
          <cell r="AD2090">
            <v>0</v>
          </cell>
          <cell r="AE2090" t="str">
            <v>Con precio</v>
          </cell>
        </row>
        <row r="2091">
          <cell r="B2091" t="str">
            <v>BR-590005AZ</v>
          </cell>
          <cell r="X2091" t="str">
            <v>Formulación</v>
          </cell>
          <cell r="AC2091">
            <v>9.9426365675507694E-2</v>
          </cell>
          <cell r="AD2091">
            <v>9.9426365675507694E-2</v>
          </cell>
          <cell r="AE2091" t="str">
            <v>Con precio</v>
          </cell>
        </row>
        <row r="2092">
          <cell r="B2092" t="str">
            <v>BR-590005AZ</v>
          </cell>
          <cell r="X2092" t="str">
            <v>Formulación</v>
          </cell>
          <cell r="AC2092">
            <v>1.2806355677579774E-2</v>
          </cell>
          <cell r="AD2092">
            <v>1.2806355677579774E-2</v>
          </cell>
          <cell r="AE2092" t="str">
            <v>Con precio</v>
          </cell>
        </row>
        <row r="2093">
          <cell r="B2093" t="str">
            <v>BR-590005AZ</v>
          </cell>
          <cell r="X2093" t="str">
            <v>Formulación</v>
          </cell>
          <cell r="AC2093">
            <v>1.5894413075010359E-3</v>
          </cell>
          <cell r="AD2093">
            <v>1.5894413075010359E-3</v>
          </cell>
          <cell r="AE2093" t="str">
            <v>Con precio</v>
          </cell>
        </row>
        <row r="2094">
          <cell r="B2094" t="str">
            <v>BR-590005AZ</v>
          </cell>
          <cell r="X2094" t="str">
            <v>Formulación</v>
          </cell>
          <cell r="AC2094">
            <v>4.5037297969332778E-2</v>
          </cell>
          <cell r="AD2094">
            <v>4.5037297969332778E-2</v>
          </cell>
          <cell r="AE2094" t="str">
            <v>Con precio</v>
          </cell>
        </row>
        <row r="2095">
          <cell r="B2095" t="str">
            <v>BR-590005AZ</v>
          </cell>
          <cell r="X2095" t="str">
            <v>Formulación</v>
          </cell>
          <cell r="AC2095">
            <v>0.12968421052631579</v>
          </cell>
          <cell r="AD2095">
            <v>0.12968421052631579</v>
          </cell>
          <cell r="AE2095" t="str">
            <v>Con precio</v>
          </cell>
        </row>
        <row r="2096">
          <cell r="B2096" t="str">
            <v>BR-590005AZ</v>
          </cell>
          <cell r="X2096" t="str">
            <v>Formulación</v>
          </cell>
          <cell r="AC2096">
            <v>6.5557894736842119E-3</v>
          </cell>
          <cell r="AD2096">
            <v>5.5136842105263173E-3</v>
          </cell>
          <cell r="AE2096" t="str">
            <v>Con precio</v>
          </cell>
        </row>
        <row r="2097">
          <cell r="B2097" t="str">
            <v>BR-590005AZ</v>
          </cell>
          <cell r="X2097" t="str">
            <v>Empaquetado</v>
          </cell>
          <cell r="AC2097">
            <v>8.114699999999999E-3</v>
          </cell>
          <cell r="AD2097">
            <v>8.114699999999999E-3</v>
          </cell>
          <cell r="AE2097" t="str">
            <v>Con precio</v>
          </cell>
        </row>
        <row r="2098">
          <cell r="B2098" t="str">
            <v>BR-590005AZ</v>
          </cell>
          <cell r="X2098" t="str">
            <v>Empaquetado</v>
          </cell>
          <cell r="AC2098">
            <v>1.4063636363636365E-2</v>
          </cell>
          <cell r="AD2098">
            <v>1.4063636363636365E-2</v>
          </cell>
          <cell r="AE2098" t="str">
            <v>Con precio</v>
          </cell>
        </row>
        <row r="2099">
          <cell r="B2099" t="str">
            <v>BR-590005AZ</v>
          </cell>
          <cell r="X2099" t="str">
            <v>Empaquetado</v>
          </cell>
          <cell r="AC2099">
            <v>3.1449999999999999E-2</v>
          </cell>
          <cell r="AD2099">
            <v>3.1449999999999999E-2</v>
          </cell>
          <cell r="AE2099" t="str">
            <v>Con precio</v>
          </cell>
        </row>
        <row r="2100">
          <cell r="B2100" t="str">
            <v>BR-590005AZ</v>
          </cell>
          <cell r="X2100" t="str">
            <v>Empaquetado</v>
          </cell>
          <cell r="AC2100">
            <v>1.7737989130434784E-2</v>
          </cell>
          <cell r="AD2100">
            <v>1.7737989130434784E-2</v>
          </cell>
          <cell r="AE2100" t="str">
            <v>Con precio</v>
          </cell>
        </row>
        <row r="2101">
          <cell r="B2101" t="str">
            <v>BR-590005AZ</v>
          </cell>
          <cell r="X2101" t="str">
            <v>Empaquetado</v>
          </cell>
          <cell r="AC2101">
            <v>0.12</v>
          </cell>
          <cell r="AD2101">
            <v>0.12</v>
          </cell>
          <cell r="AE2101" t="str">
            <v>Con precio</v>
          </cell>
        </row>
        <row r="2102">
          <cell r="B2102" t="str">
            <v>BR-590005AZ</v>
          </cell>
          <cell r="X2102" t="str">
            <v>Empaquetado</v>
          </cell>
          <cell r="AC2102">
            <v>4.4344972826086959E-3</v>
          </cell>
          <cell r="AD2102">
            <v>4.4344972826086959E-3</v>
          </cell>
          <cell r="AE2102" t="str">
            <v>Con precio</v>
          </cell>
        </row>
        <row r="2103">
          <cell r="B2103" t="str">
            <v>BR-590005CO</v>
          </cell>
          <cell r="X2103" t="str">
            <v>Formulación</v>
          </cell>
          <cell r="AC2103">
            <v>9.4821527144633242E-3</v>
          </cell>
          <cell r="AD2103">
            <v>9.4821527144633242E-3</v>
          </cell>
          <cell r="AE2103" t="str">
            <v>Con precio</v>
          </cell>
        </row>
        <row r="2104">
          <cell r="B2104" t="str">
            <v>BR-590005CO</v>
          </cell>
          <cell r="X2104" t="str">
            <v>Formulación</v>
          </cell>
          <cell r="AC2104">
            <v>0</v>
          </cell>
          <cell r="AD2104">
            <v>0</v>
          </cell>
          <cell r="AE2104" t="str">
            <v>Con precio</v>
          </cell>
        </row>
        <row r="2105">
          <cell r="B2105" t="str">
            <v>BR-590005CO</v>
          </cell>
          <cell r="X2105" t="str">
            <v>Formulación</v>
          </cell>
          <cell r="AC2105">
            <v>9.9426365675507694E-2</v>
          </cell>
          <cell r="AD2105">
            <v>9.9426365675507694E-2</v>
          </cell>
          <cell r="AE2105" t="str">
            <v>Con precio</v>
          </cell>
        </row>
        <row r="2106">
          <cell r="B2106" t="str">
            <v>BR-590005CO</v>
          </cell>
          <cell r="X2106" t="str">
            <v>Formulación</v>
          </cell>
          <cell r="AC2106">
            <v>1.2806355677579774E-2</v>
          </cell>
          <cell r="AD2106">
            <v>1.2806355677579774E-2</v>
          </cell>
          <cell r="AE2106" t="str">
            <v>Con precio</v>
          </cell>
        </row>
        <row r="2107">
          <cell r="B2107" t="str">
            <v>BR-590005CO</v>
          </cell>
          <cell r="X2107" t="str">
            <v>Formulación</v>
          </cell>
          <cell r="AC2107">
            <v>1.5894413075010359E-3</v>
          </cell>
          <cell r="AD2107">
            <v>1.5894413075010359E-3</v>
          </cell>
          <cell r="AE2107" t="str">
            <v>Con precio</v>
          </cell>
        </row>
        <row r="2108">
          <cell r="B2108" t="str">
            <v>BR-590005CO</v>
          </cell>
          <cell r="X2108" t="str">
            <v>Formulación</v>
          </cell>
          <cell r="AC2108">
            <v>4.5037297969332778E-2</v>
          </cell>
          <cell r="AD2108">
            <v>4.5037297969332778E-2</v>
          </cell>
          <cell r="AE2108" t="str">
            <v>Con precio</v>
          </cell>
        </row>
        <row r="2109">
          <cell r="B2109" t="str">
            <v>BR-590005CO</v>
          </cell>
          <cell r="X2109" t="str">
            <v>Formulación</v>
          </cell>
          <cell r="AC2109">
            <v>0.12968421052631579</v>
          </cell>
          <cell r="AD2109">
            <v>0.12968421052631579</v>
          </cell>
          <cell r="AE2109" t="str">
            <v>Con precio</v>
          </cell>
        </row>
        <row r="2110">
          <cell r="B2110" t="str">
            <v>BR-590005CO</v>
          </cell>
          <cell r="X2110" t="str">
            <v>Formulación</v>
          </cell>
          <cell r="AC2110">
            <v>6.5557894736842119E-3</v>
          </cell>
          <cell r="AD2110">
            <v>5.5136842105263173E-3</v>
          </cell>
          <cell r="AE2110" t="str">
            <v>Con precio</v>
          </cell>
        </row>
        <row r="2111">
          <cell r="B2111" t="str">
            <v>BR-590005CO</v>
          </cell>
          <cell r="X2111" t="str">
            <v>Empaquetado</v>
          </cell>
          <cell r="AC2111">
            <v>8.114699999999999E-3</v>
          </cell>
          <cell r="AD2111">
            <v>8.114699999999999E-3</v>
          </cell>
          <cell r="AE2111" t="str">
            <v>Con precio</v>
          </cell>
        </row>
        <row r="2112">
          <cell r="B2112" t="str">
            <v>BR-590005CO</v>
          </cell>
          <cell r="X2112" t="str">
            <v>Empaquetado</v>
          </cell>
          <cell r="AC2112">
            <v>1.4063636363636365E-2</v>
          </cell>
          <cell r="AD2112">
            <v>1.4063636363636365E-2</v>
          </cell>
          <cell r="AE2112" t="str">
            <v>Con precio</v>
          </cell>
        </row>
        <row r="2113">
          <cell r="B2113" t="str">
            <v>BR-590005CO</v>
          </cell>
          <cell r="X2113" t="str">
            <v>Empaquetado</v>
          </cell>
          <cell r="AC2113">
            <v>3.1449999999999999E-2</v>
          </cell>
          <cell r="AD2113">
            <v>3.1449999999999999E-2</v>
          </cell>
          <cell r="AE2113" t="str">
            <v>Con precio</v>
          </cell>
        </row>
        <row r="2114">
          <cell r="B2114" t="str">
            <v>BR-590005CO</v>
          </cell>
          <cell r="X2114" t="str">
            <v>Empaquetado</v>
          </cell>
          <cell r="AC2114">
            <v>1.7737989130434784E-2</v>
          </cell>
          <cell r="AD2114">
            <v>1.7737989130434784E-2</v>
          </cell>
          <cell r="AE2114" t="str">
            <v>Con precio</v>
          </cell>
        </row>
        <row r="2115">
          <cell r="B2115" t="str">
            <v>BR-590005CO</v>
          </cell>
          <cell r="X2115" t="str">
            <v>Empaquetado</v>
          </cell>
          <cell r="AC2115">
            <v>0.12</v>
          </cell>
          <cell r="AD2115">
            <v>0.12</v>
          </cell>
          <cell r="AE2115" t="str">
            <v>Con precio</v>
          </cell>
        </row>
        <row r="2116">
          <cell r="B2116" t="str">
            <v>BR-590005CO</v>
          </cell>
          <cell r="X2116" t="str">
            <v>Empaquetado</v>
          </cell>
          <cell r="AC2116">
            <v>4.4344972826086959E-3</v>
          </cell>
          <cell r="AD2116">
            <v>4.4344972826086959E-3</v>
          </cell>
          <cell r="AE2116" t="str">
            <v>Con precio</v>
          </cell>
        </row>
        <row r="2117">
          <cell r="B2117" t="str">
            <v>BR-590005MA</v>
          </cell>
          <cell r="X2117" t="str">
            <v>Formulación</v>
          </cell>
          <cell r="AC2117">
            <v>9.4821527144633242E-3</v>
          </cell>
          <cell r="AD2117">
            <v>9.4821527144633242E-3</v>
          </cell>
          <cell r="AE2117" t="str">
            <v>Con precio</v>
          </cell>
        </row>
        <row r="2118">
          <cell r="B2118" t="str">
            <v>BR-590005MA</v>
          </cell>
          <cell r="X2118" t="str">
            <v>Formulación</v>
          </cell>
          <cell r="AC2118">
            <v>0</v>
          </cell>
          <cell r="AD2118">
            <v>0</v>
          </cell>
          <cell r="AE2118" t="str">
            <v>Con precio</v>
          </cell>
        </row>
        <row r="2119">
          <cell r="B2119" t="str">
            <v>BR-590005MA</v>
          </cell>
          <cell r="X2119" t="str">
            <v>Formulación</v>
          </cell>
          <cell r="AC2119">
            <v>9.9426365675507694E-2</v>
          </cell>
          <cell r="AD2119">
            <v>9.9426365675507694E-2</v>
          </cell>
          <cell r="AE2119" t="str">
            <v>Con precio</v>
          </cell>
        </row>
        <row r="2120">
          <cell r="B2120" t="str">
            <v>BR-590005MA</v>
          </cell>
          <cell r="X2120" t="str">
            <v>Formulación</v>
          </cell>
          <cell r="AC2120">
            <v>1.2806355677579774E-2</v>
          </cell>
          <cell r="AD2120">
            <v>1.2806355677579774E-2</v>
          </cell>
          <cell r="AE2120" t="str">
            <v>Con precio</v>
          </cell>
        </row>
        <row r="2121">
          <cell r="B2121" t="str">
            <v>BR-590005MA</v>
          </cell>
          <cell r="X2121" t="str">
            <v>Formulación</v>
          </cell>
          <cell r="AC2121">
            <v>1.5894413075010359E-3</v>
          </cell>
          <cell r="AD2121">
            <v>1.5894413075010359E-3</v>
          </cell>
          <cell r="AE2121" t="str">
            <v>Con precio</v>
          </cell>
        </row>
        <row r="2122">
          <cell r="B2122" t="str">
            <v>BR-590005MA</v>
          </cell>
          <cell r="X2122" t="str">
            <v>Formulación</v>
          </cell>
          <cell r="AC2122">
            <v>4.5037297969332778E-2</v>
          </cell>
          <cell r="AD2122">
            <v>4.5037297969332778E-2</v>
          </cell>
          <cell r="AE2122" t="str">
            <v>Con precio</v>
          </cell>
        </row>
        <row r="2123">
          <cell r="B2123" t="str">
            <v>BR-590005MA</v>
          </cell>
          <cell r="X2123" t="str">
            <v>Formulación</v>
          </cell>
          <cell r="AC2123">
            <v>0.12968421052631579</v>
          </cell>
          <cell r="AD2123">
            <v>0.12968421052631579</v>
          </cell>
          <cell r="AE2123" t="str">
            <v>Con precio</v>
          </cell>
        </row>
        <row r="2124">
          <cell r="B2124" t="str">
            <v>BR-590005MA</v>
          </cell>
          <cell r="X2124" t="str">
            <v>Formulación</v>
          </cell>
          <cell r="AC2124">
            <v>6.5557894736842119E-3</v>
          </cell>
          <cell r="AD2124">
            <v>5.5136842105263173E-3</v>
          </cell>
          <cell r="AE2124" t="str">
            <v>Con precio</v>
          </cell>
        </row>
        <row r="2125">
          <cell r="B2125" t="str">
            <v>BR-590005MA</v>
          </cell>
          <cell r="X2125" t="str">
            <v>Empaquetado</v>
          </cell>
          <cell r="AC2125">
            <v>8.114699999999999E-3</v>
          </cell>
          <cell r="AD2125">
            <v>8.114699999999999E-3</v>
          </cell>
          <cell r="AE2125" t="str">
            <v>Con precio</v>
          </cell>
        </row>
        <row r="2126">
          <cell r="B2126" t="str">
            <v>BR-590005MA</v>
          </cell>
          <cell r="X2126" t="str">
            <v>Empaquetado</v>
          </cell>
          <cell r="AC2126">
            <v>1.4063636363636365E-2</v>
          </cell>
          <cell r="AD2126">
            <v>1.4063636363636365E-2</v>
          </cell>
          <cell r="AE2126" t="str">
            <v>Con precio</v>
          </cell>
        </row>
        <row r="2127">
          <cell r="B2127" t="str">
            <v>BR-590005MA</v>
          </cell>
          <cell r="X2127" t="str">
            <v>Empaquetado</v>
          </cell>
          <cell r="AC2127">
            <v>3.1449999999999999E-2</v>
          </cell>
          <cell r="AD2127">
            <v>3.1449999999999999E-2</v>
          </cell>
          <cell r="AE2127" t="str">
            <v>Con precio</v>
          </cell>
        </row>
        <row r="2128">
          <cell r="B2128" t="str">
            <v>BR-590005MA</v>
          </cell>
          <cell r="X2128" t="str">
            <v>Empaquetado</v>
          </cell>
          <cell r="AC2128">
            <v>1.7737989130434784E-2</v>
          </cell>
          <cell r="AD2128">
            <v>1.7737989130434784E-2</v>
          </cell>
          <cell r="AE2128" t="str">
            <v>Con precio</v>
          </cell>
        </row>
        <row r="2129">
          <cell r="B2129" t="str">
            <v>BR-590005MA</v>
          </cell>
          <cell r="X2129" t="str">
            <v>Empaquetado</v>
          </cell>
          <cell r="AC2129">
            <v>0.12</v>
          </cell>
          <cell r="AD2129">
            <v>0.12</v>
          </cell>
          <cell r="AE2129" t="str">
            <v>Con precio</v>
          </cell>
        </row>
        <row r="2130">
          <cell r="B2130" t="str">
            <v>BR-590005MA</v>
          </cell>
          <cell r="X2130" t="str">
            <v>Empaquetado</v>
          </cell>
          <cell r="AC2130">
            <v>4.4344972826086959E-3</v>
          </cell>
          <cell r="AD2130">
            <v>4.4344972826086959E-3</v>
          </cell>
          <cell r="AE2130" t="str">
            <v>Con precio</v>
          </cell>
        </row>
        <row r="2131">
          <cell r="B2131" t="str">
            <v>BR-59AE0005</v>
          </cell>
          <cell r="X2131" t="str">
            <v>Formulación</v>
          </cell>
          <cell r="AC2131">
            <v>9.4821527144633242E-3</v>
          </cell>
          <cell r="AD2131">
            <v>9.4821527144633242E-3</v>
          </cell>
          <cell r="AE2131" t="str">
            <v>Con precio</v>
          </cell>
        </row>
        <row r="2132">
          <cell r="B2132" t="str">
            <v>BR-59AE0005</v>
          </cell>
          <cell r="X2132" t="str">
            <v>Formulación</v>
          </cell>
          <cell r="AC2132">
            <v>0</v>
          </cell>
          <cell r="AD2132">
            <v>0</v>
          </cell>
          <cell r="AE2132" t="str">
            <v>Con precio</v>
          </cell>
        </row>
        <row r="2133">
          <cell r="B2133" t="str">
            <v>BR-59AE0005</v>
          </cell>
          <cell r="X2133" t="str">
            <v>Formulación</v>
          </cell>
          <cell r="AC2133">
            <v>9.9426365675507694E-2</v>
          </cell>
          <cell r="AD2133">
            <v>9.9426365675507694E-2</v>
          </cell>
          <cell r="AE2133" t="str">
            <v>Con precio</v>
          </cell>
        </row>
        <row r="2134">
          <cell r="B2134" t="str">
            <v>BR-59AE0005</v>
          </cell>
          <cell r="X2134" t="str">
            <v>Formulación</v>
          </cell>
          <cell r="AC2134">
            <v>1.2806355677579774E-2</v>
          </cell>
          <cell r="AD2134">
            <v>1.2806355677579774E-2</v>
          </cell>
          <cell r="AE2134" t="str">
            <v>Con precio</v>
          </cell>
        </row>
        <row r="2135">
          <cell r="B2135" t="str">
            <v>BR-59AE0005</v>
          </cell>
          <cell r="X2135" t="str">
            <v>Formulación</v>
          </cell>
          <cell r="AC2135">
            <v>1.5894413075010359E-3</v>
          </cell>
          <cell r="AD2135">
            <v>1.5894413075010359E-3</v>
          </cell>
          <cell r="AE2135" t="str">
            <v>Con precio</v>
          </cell>
        </row>
        <row r="2136">
          <cell r="B2136" t="str">
            <v>BR-59AE0005</v>
          </cell>
          <cell r="X2136" t="str">
            <v>Formulación</v>
          </cell>
          <cell r="AC2136">
            <v>4.5037297969332778E-2</v>
          </cell>
          <cell r="AD2136">
            <v>4.5037297969332778E-2</v>
          </cell>
          <cell r="AE2136" t="str">
            <v>Con precio</v>
          </cell>
        </row>
        <row r="2137">
          <cell r="B2137" t="str">
            <v>BR-59AE0005</v>
          </cell>
          <cell r="X2137" t="str">
            <v>Formulación</v>
          </cell>
          <cell r="AC2137">
            <v>0.12968421052631579</v>
          </cell>
          <cell r="AD2137">
            <v>0.12968421052631579</v>
          </cell>
          <cell r="AE2137" t="str">
            <v>Con precio</v>
          </cell>
        </row>
        <row r="2138">
          <cell r="B2138" t="str">
            <v>BR-59AE0005</v>
          </cell>
          <cell r="X2138" t="str">
            <v>Formulación</v>
          </cell>
          <cell r="AC2138">
            <v>6.5557894736842119E-3</v>
          </cell>
          <cell r="AD2138">
            <v>5.5136842105263173E-3</v>
          </cell>
          <cell r="AE2138" t="str">
            <v>Con precio</v>
          </cell>
        </row>
        <row r="2139">
          <cell r="B2139" t="str">
            <v>BR-59AE0005</v>
          </cell>
          <cell r="X2139" t="str">
            <v>Empaquetado</v>
          </cell>
          <cell r="AC2139">
            <v>1.5470000000000001E-2</v>
          </cell>
          <cell r="AD2139">
            <v>1.5470000000000001E-2</v>
          </cell>
          <cell r="AE2139" t="str">
            <v>Con precio</v>
          </cell>
        </row>
        <row r="2140">
          <cell r="B2140" t="str">
            <v>BR-59AE0005</v>
          </cell>
          <cell r="X2140" t="str">
            <v>Empaquetado</v>
          </cell>
          <cell r="AC2140">
            <v>8.114699999999999E-3</v>
          </cell>
          <cell r="AD2140">
            <v>8.114699999999999E-3</v>
          </cell>
          <cell r="AE2140" t="str">
            <v>Con precio</v>
          </cell>
        </row>
        <row r="2141">
          <cell r="B2141" t="str">
            <v>BR-59AE0005</v>
          </cell>
          <cell r="X2141" t="str">
            <v>Empaquetado</v>
          </cell>
          <cell r="AC2141">
            <v>1.7737989130434784E-2</v>
          </cell>
          <cell r="AD2141">
            <v>1.7737989130434784E-2</v>
          </cell>
          <cell r="AE2141" t="str">
            <v>Con precio</v>
          </cell>
        </row>
        <row r="2142">
          <cell r="B2142" t="str">
            <v>BR-59AE0005</v>
          </cell>
          <cell r="X2142" t="str">
            <v>Empaquetado</v>
          </cell>
          <cell r="AC2142">
            <v>0.12</v>
          </cell>
          <cell r="AD2142">
            <v>0.12</v>
          </cell>
          <cell r="AE2142" t="str">
            <v>Con precio</v>
          </cell>
        </row>
        <row r="2143">
          <cell r="B2143" t="str">
            <v>BR-59AE0005</v>
          </cell>
          <cell r="X2143" t="str">
            <v>Empaquetado</v>
          </cell>
          <cell r="AC2143">
            <v>4.4344972826086959E-3</v>
          </cell>
          <cell r="AD2143">
            <v>4.4344972826086959E-3</v>
          </cell>
          <cell r="AE2143" t="str">
            <v>Con precio</v>
          </cell>
        </row>
        <row r="2144">
          <cell r="B2144" t="str">
            <v>BR-59AE0005</v>
          </cell>
          <cell r="X2144" t="str">
            <v>Empaquetado</v>
          </cell>
          <cell r="AC2144">
            <v>3.1449999999999999E-2</v>
          </cell>
          <cell r="AD2144">
            <v>3.1449999999999999E-2</v>
          </cell>
          <cell r="AE2144" t="str">
            <v>Con precio</v>
          </cell>
        </row>
        <row r="2145">
          <cell r="B2145" t="str">
            <v>BROTA0001</v>
          </cell>
          <cell r="X2145" t="str">
            <v>Formulación</v>
          </cell>
          <cell r="AC2145">
            <v>1.52E-2</v>
          </cell>
          <cell r="AD2145">
            <v>1.52E-2</v>
          </cell>
          <cell r="AE2145" t="str">
            <v>Con precio</v>
          </cell>
        </row>
        <row r="2146">
          <cell r="B2146" t="str">
            <v>BROTA0001</v>
          </cell>
          <cell r="X2146" t="str">
            <v>Formulación</v>
          </cell>
          <cell r="AC2146">
            <v>2.0580000000000001E-2</v>
          </cell>
          <cell r="AD2146">
            <v>2.0580000000000001E-2</v>
          </cell>
          <cell r="AE2146" t="str">
            <v>Con precio</v>
          </cell>
        </row>
        <row r="2147">
          <cell r="B2147" t="str">
            <v>BROTA0001</v>
          </cell>
          <cell r="X2147" t="str">
            <v>Formulación</v>
          </cell>
          <cell r="AC2147">
            <v>0.13336400000000001</v>
          </cell>
          <cell r="AD2147">
            <v>0.13336400000000001</v>
          </cell>
          <cell r="AE2147" t="str">
            <v>Con precio</v>
          </cell>
        </row>
        <row r="2148">
          <cell r="B2148" t="str">
            <v>BROTA0001</v>
          </cell>
          <cell r="X2148" t="str">
            <v>Formulación</v>
          </cell>
          <cell r="AC2148">
            <v>4.5650000000000003E-2</v>
          </cell>
          <cell r="AD2148">
            <v>4.5650000000000003E-2</v>
          </cell>
          <cell r="AE2148" t="str">
            <v>Con precio</v>
          </cell>
        </row>
        <row r="2149">
          <cell r="B2149" t="str">
            <v>BROTA0001</v>
          </cell>
          <cell r="X2149" t="str">
            <v>Formulación</v>
          </cell>
          <cell r="AC2149">
            <v>0.38009999999999999</v>
          </cell>
          <cell r="AD2149">
            <v>0.38009999999999999</v>
          </cell>
          <cell r="AE2149" t="str">
            <v>Con precio</v>
          </cell>
        </row>
        <row r="2150">
          <cell r="B2150" t="str">
            <v>BROTA0001</v>
          </cell>
          <cell r="X2150" t="str">
            <v>Formulación</v>
          </cell>
          <cell r="AC2150">
            <v>5.8724999999999999E-2</v>
          </cell>
          <cell r="AD2150">
            <v>5.8724999999999999E-2</v>
          </cell>
          <cell r="AE2150" t="str">
            <v>Con precio</v>
          </cell>
        </row>
        <row r="2151">
          <cell r="B2151" t="str">
            <v>BROTA0001</v>
          </cell>
          <cell r="X2151" t="str">
            <v>Formulación</v>
          </cell>
          <cell r="AC2151">
            <v>4.5045000000000002E-2</v>
          </cell>
          <cell r="AD2151">
            <v>4.5045000000000002E-2</v>
          </cell>
          <cell r="AE2151" t="str">
            <v>Con precio</v>
          </cell>
        </row>
        <row r="2152">
          <cell r="B2152" t="str">
            <v>BROTA0001</v>
          </cell>
          <cell r="X2152" t="str">
            <v>Formulación</v>
          </cell>
          <cell r="AC2152">
            <v>0.36180000000000007</v>
          </cell>
          <cell r="AD2152">
            <v>0.2852285714285715</v>
          </cell>
          <cell r="AE2152" t="str">
            <v>Con precio</v>
          </cell>
        </row>
        <row r="2153">
          <cell r="B2153" t="str">
            <v>BROTA0001</v>
          </cell>
          <cell r="X2153" t="str">
            <v>Formulación</v>
          </cell>
          <cell r="AC2153">
            <v>7.3200000000000001E-3</v>
          </cell>
          <cell r="AD2153">
            <v>7.3200000000000001E-3</v>
          </cell>
          <cell r="AE2153" t="str">
            <v>Con precio</v>
          </cell>
        </row>
        <row r="2154">
          <cell r="B2154" t="str">
            <v>BROTA0001</v>
          </cell>
          <cell r="X2154" t="str">
            <v>Empaquetado</v>
          </cell>
          <cell r="AC2154">
            <v>3.0303030303030299E-5</v>
          </cell>
          <cell r="AD2154">
            <v>3.0303030303030299E-5</v>
          </cell>
          <cell r="AE2154" t="str">
            <v>Con precio</v>
          </cell>
        </row>
        <row r="2155">
          <cell r="B2155" t="str">
            <v>BROTA0001</v>
          </cell>
          <cell r="X2155" t="str">
            <v>Empaquetado</v>
          </cell>
          <cell r="AC2155">
            <v>2.3439393939393937E-2</v>
          </cell>
          <cell r="AD2155">
            <v>2.3439393939393937E-2</v>
          </cell>
          <cell r="AE2155" t="str">
            <v>Con precio</v>
          </cell>
        </row>
        <row r="2156">
          <cell r="B2156" t="str">
            <v>BROTA0001</v>
          </cell>
          <cell r="X2156" t="str">
            <v>Empaquetado</v>
          </cell>
          <cell r="AC2156">
            <v>7.1917518745739595E-2</v>
          </cell>
          <cell r="AD2156">
            <v>7.1917518745739595E-2</v>
          </cell>
          <cell r="AE2156" t="str">
            <v>Con precio</v>
          </cell>
        </row>
        <row r="2157">
          <cell r="B2157" t="str">
            <v>BROTA0001</v>
          </cell>
          <cell r="X2157" t="str">
            <v>Empaquetado</v>
          </cell>
          <cell r="AC2157">
            <v>0.44322992424242419</v>
          </cell>
          <cell r="AD2157">
            <v>0.44322992424242419</v>
          </cell>
          <cell r="AE2157" t="str">
            <v>Con precio</v>
          </cell>
        </row>
        <row r="2158">
          <cell r="B2158" t="str">
            <v>BROTA0001</v>
          </cell>
          <cell r="X2158" t="str">
            <v>Empaquetado</v>
          </cell>
          <cell r="AC2158">
            <v>0.45124999999999998</v>
          </cell>
          <cell r="AD2158">
            <v>0.32061666666666666</v>
          </cell>
          <cell r="AE2158" t="str">
            <v>Con precio</v>
          </cell>
        </row>
        <row r="2159">
          <cell r="B2159" t="str">
            <v>BROTA0001</v>
          </cell>
          <cell r="X2159" t="str">
            <v>Empaquetado</v>
          </cell>
          <cell r="AC2159">
            <v>9.6080774456521717E-2</v>
          </cell>
          <cell r="AD2159">
            <v>9.6080774456521717E-2</v>
          </cell>
          <cell r="AE2159" t="str">
            <v>Con precio</v>
          </cell>
        </row>
        <row r="2160">
          <cell r="B2160" t="str">
            <v>BROTA0005</v>
          </cell>
          <cell r="X2160" t="str">
            <v>Formulación</v>
          </cell>
          <cell r="AC2160">
            <v>1.52E-2</v>
          </cell>
          <cell r="AD2160">
            <v>1.52E-2</v>
          </cell>
          <cell r="AE2160" t="str">
            <v>Con precio</v>
          </cell>
        </row>
        <row r="2161">
          <cell r="B2161" t="str">
            <v>BROTA0005</v>
          </cell>
          <cell r="X2161" t="str">
            <v>Formulación</v>
          </cell>
          <cell r="AC2161">
            <v>2.0580000000000001E-2</v>
          </cell>
          <cell r="AD2161">
            <v>2.0580000000000001E-2</v>
          </cell>
          <cell r="AE2161" t="str">
            <v>Con precio</v>
          </cell>
        </row>
        <row r="2162">
          <cell r="B2162" t="str">
            <v>BROTA0005</v>
          </cell>
          <cell r="X2162" t="str">
            <v>Formulación</v>
          </cell>
          <cell r="AC2162">
            <v>0.13336400000000001</v>
          </cell>
          <cell r="AD2162">
            <v>0.13336400000000001</v>
          </cell>
          <cell r="AE2162" t="str">
            <v>Con precio</v>
          </cell>
        </row>
        <row r="2163">
          <cell r="B2163" t="str">
            <v>BROTA0005</v>
          </cell>
          <cell r="X2163" t="str">
            <v>Formulación</v>
          </cell>
          <cell r="AC2163">
            <v>4.5650000000000003E-2</v>
          </cell>
          <cell r="AD2163">
            <v>4.5650000000000003E-2</v>
          </cell>
          <cell r="AE2163" t="str">
            <v>Con precio</v>
          </cell>
        </row>
        <row r="2164">
          <cell r="B2164" t="str">
            <v>BROTA0005</v>
          </cell>
          <cell r="X2164" t="str">
            <v>Formulación</v>
          </cell>
          <cell r="AC2164">
            <v>0.38009999999999999</v>
          </cell>
          <cell r="AD2164">
            <v>0.38009999999999999</v>
          </cell>
          <cell r="AE2164" t="str">
            <v>Con precio</v>
          </cell>
        </row>
        <row r="2165">
          <cell r="B2165" t="str">
            <v>BROTA0005</v>
          </cell>
          <cell r="X2165" t="str">
            <v>Formulación</v>
          </cell>
          <cell r="AC2165">
            <v>5.8724999999999999E-2</v>
          </cell>
          <cell r="AD2165">
            <v>5.8724999999999999E-2</v>
          </cell>
          <cell r="AE2165" t="str">
            <v>Con precio</v>
          </cell>
        </row>
        <row r="2166">
          <cell r="B2166" t="str">
            <v>BROTA0005</v>
          </cell>
          <cell r="X2166" t="str">
            <v>Formulación</v>
          </cell>
          <cell r="AC2166">
            <v>4.5045000000000002E-2</v>
          </cell>
          <cell r="AD2166">
            <v>4.5045000000000002E-2</v>
          </cell>
          <cell r="AE2166" t="str">
            <v>Con precio</v>
          </cell>
        </row>
        <row r="2167">
          <cell r="B2167" t="str">
            <v>BROTA0005</v>
          </cell>
          <cell r="X2167" t="str">
            <v>Formulación</v>
          </cell>
          <cell r="AC2167">
            <v>0.36180000000000007</v>
          </cell>
          <cell r="AD2167">
            <v>0.2852285714285715</v>
          </cell>
          <cell r="AE2167" t="str">
            <v>Con precio</v>
          </cell>
        </row>
        <row r="2168">
          <cell r="B2168" t="str">
            <v>BROTA0005</v>
          </cell>
          <cell r="X2168" t="str">
            <v>Formulación</v>
          </cell>
          <cell r="AC2168">
            <v>7.3200000000000001E-3</v>
          </cell>
          <cell r="AD2168">
            <v>7.3200000000000001E-3</v>
          </cell>
          <cell r="AE2168" t="str">
            <v>Con precio</v>
          </cell>
        </row>
        <row r="2169">
          <cell r="B2169" t="str">
            <v>BROTA0005</v>
          </cell>
          <cell r="X2169" t="str">
            <v>Empaquetado</v>
          </cell>
          <cell r="AC2169">
            <v>7.7948000000000002E-3</v>
          </cell>
          <cell r="AD2169">
            <v>7.7948000000000002E-3</v>
          </cell>
          <cell r="AE2169" t="str">
            <v>Con precio</v>
          </cell>
        </row>
        <row r="2170">
          <cell r="B2170" t="str">
            <v>BROTA0005</v>
          </cell>
          <cell r="X2170" t="str">
            <v>Empaquetado</v>
          </cell>
          <cell r="AC2170">
            <v>2.5359983896940424E-2</v>
          </cell>
          <cell r="AD2170">
            <v>2.5359983896940424E-2</v>
          </cell>
          <cell r="AE2170" t="str">
            <v>Con precio</v>
          </cell>
        </row>
        <row r="2171">
          <cell r="B2171" t="str">
            <v>BROTA0005</v>
          </cell>
          <cell r="X2171" t="str">
            <v>Empaquetado</v>
          </cell>
          <cell r="AC2171">
            <v>2.5834900000000001E-2</v>
          </cell>
          <cell r="AD2171">
            <v>2.5834900000000001E-2</v>
          </cell>
          <cell r="AE2171" t="str">
            <v>Con precio</v>
          </cell>
        </row>
        <row r="2172">
          <cell r="B2172" t="str">
            <v>BROTA0005</v>
          </cell>
          <cell r="X2172" t="str">
            <v>Empaquetado</v>
          </cell>
          <cell r="AC2172">
            <v>0.17399999999999999</v>
          </cell>
          <cell r="AD2172">
            <v>0.17399999999999999</v>
          </cell>
          <cell r="AE2172" t="str">
            <v>Con precio</v>
          </cell>
        </row>
        <row r="2173">
          <cell r="B2173" t="str">
            <v>BROTA0005</v>
          </cell>
          <cell r="X2173" t="str">
            <v>Empaquetado</v>
          </cell>
          <cell r="AC2173">
            <v>5.7799999999999997E-2</v>
          </cell>
          <cell r="AD2173">
            <v>5.7799999999999997E-2</v>
          </cell>
          <cell r="AE2173" t="str">
            <v>Con precio</v>
          </cell>
        </row>
        <row r="2174">
          <cell r="B2174" t="str">
            <v>BROTA0005</v>
          </cell>
          <cell r="X2174" t="str">
            <v>Empaquetado</v>
          </cell>
          <cell r="AC2174">
            <v>3.6950017630465445E-2</v>
          </cell>
          <cell r="AD2174">
            <v>3.6950017630465445E-2</v>
          </cell>
          <cell r="AE2174" t="str">
            <v>Con precio</v>
          </cell>
        </row>
        <row r="2175">
          <cell r="B2175" t="str">
            <v>BROTA0020</v>
          </cell>
          <cell r="X2175" t="str">
            <v>Formulación</v>
          </cell>
          <cell r="AC2175">
            <v>1.52E-2</v>
          </cell>
          <cell r="AD2175">
            <v>1.52E-2</v>
          </cell>
          <cell r="AE2175" t="str">
            <v>Con precio</v>
          </cell>
        </row>
        <row r="2176">
          <cell r="B2176" t="str">
            <v>BROTA0020</v>
          </cell>
          <cell r="X2176" t="str">
            <v>Formulación</v>
          </cell>
          <cell r="AC2176">
            <v>2.0580000000000001E-2</v>
          </cell>
          <cell r="AD2176">
            <v>2.0580000000000001E-2</v>
          </cell>
          <cell r="AE2176" t="str">
            <v>Con precio</v>
          </cell>
        </row>
        <row r="2177">
          <cell r="B2177" t="str">
            <v>BROTA0020</v>
          </cell>
          <cell r="X2177" t="str">
            <v>Formulación</v>
          </cell>
          <cell r="AC2177">
            <v>0.13336400000000001</v>
          </cell>
          <cell r="AD2177">
            <v>0.13336400000000001</v>
          </cell>
          <cell r="AE2177" t="str">
            <v>Con precio</v>
          </cell>
        </row>
        <row r="2178">
          <cell r="B2178" t="str">
            <v>BROTA0020</v>
          </cell>
          <cell r="X2178" t="str">
            <v>Formulación</v>
          </cell>
          <cell r="AC2178">
            <v>4.5650000000000003E-2</v>
          </cell>
          <cell r="AD2178">
            <v>4.5650000000000003E-2</v>
          </cell>
          <cell r="AE2178" t="str">
            <v>Con precio</v>
          </cell>
        </row>
        <row r="2179">
          <cell r="B2179" t="str">
            <v>BROTA0020</v>
          </cell>
          <cell r="X2179" t="str">
            <v>Formulación</v>
          </cell>
          <cell r="AC2179">
            <v>0.38009999999999999</v>
          </cell>
          <cell r="AD2179">
            <v>0.38009999999999999</v>
          </cell>
          <cell r="AE2179" t="str">
            <v>Con precio</v>
          </cell>
        </row>
        <row r="2180">
          <cell r="B2180" t="str">
            <v>BROTA0020</v>
          </cell>
          <cell r="X2180" t="str">
            <v>Formulación</v>
          </cell>
          <cell r="AC2180">
            <v>5.8724999999999999E-2</v>
          </cell>
          <cell r="AD2180">
            <v>5.8724999999999999E-2</v>
          </cell>
          <cell r="AE2180" t="str">
            <v>Con precio</v>
          </cell>
        </row>
        <row r="2181">
          <cell r="B2181" t="str">
            <v>BROTA0020</v>
          </cell>
          <cell r="X2181" t="str">
            <v>Formulación</v>
          </cell>
          <cell r="AC2181">
            <v>4.5045000000000002E-2</v>
          </cell>
          <cell r="AD2181">
            <v>4.5045000000000002E-2</v>
          </cell>
          <cell r="AE2181" t="str">
            <v>Con precio</v>
          </cell>
        </row>
        <row r="2182">
          <cell r="B2182" t="str">
            <v>BROTA0020</v>
          </cell>
          <cell r="X2182" t="str">
            <v>Formulación</v>
          </cell>
          <cell r="AC2182">
            <v>0.36180000000000007</v>
          </cell>
          <cell r="AD2182">
            <v>0.2852285714285715</v>
          </cell>
          <cell r="AE2182" t="str">
            <v>Con precio</v>
          </cell>
        </row>
        <row r="2183">
          <cell r="B2183" t="str">
            <v>BROTA0020</v>
          </cell>
          <cell r="X2183" t="str">
            <v>Formulación</v>
          </cell>
          <cell r="AC2183">
            <v>7.3200000000000001E-3</v>
          </cell>
          <cell r="AD2183">
            <v>7.3200000000000001E-3</v>
          </cell>
          <cell r="AE2183" t="str">
            <v>Con precio</v>
          </cell>
        </row>
        <row r="2184">
          <cell r="B2184" t="str">
            <v>BROTA0020</v>
          </cell>
          <cell r="X2184" t="str">
            <v>Empaquetado</v>
          </cell>
          <cell r="AC2184">
            <v>7.3209374999999993E-3</v>
          </cell>
          <cell r="AD2184">
            <v>7.3209374999999993E-3</v>
          </cell>
          <cell r="AE2184" t="str">
            <v>Con precio</v>
          </cell>
        </row>
        <row r="2185">
          <cell r="B2185" t="str">
            <v>BROTA0020</v>
          </cell>
          <cell r="X2185" t="str">
            <v>Empaquetado</v>
          </cell>
          <cell r="AC2185">
            <v>2.4171875000000002E-2</v>
          </cell>
          <cell r="AD2185">
            <v>2.4171875000000002E-2</v>
          </cell>
          <cell r="AE2185" t="str">
            <v>Con precio</v>
          </cell>
        </row>
        <row r="2186">
          <cell r="B2186" t="str">
            <v>BROTA0020</v>
          </cell>
          <cell r="X2186" t="str">
            <v>Empaquetado</v>
          </cell>
          <cell r="AC2186">
            <v>5.0719967793880849E-3</v>
          </cell>
          <cell r="AD2186">
            <v>5.0719967793880849E-3</v>
          </cell>
          <cell r="AE2186" t="str">
            <v>Con precio</v>
          </cell>
        </row>
        <row r="2187">
          <cell r="B2187" t="str">
            <v>BROTA0020</v>
          </cell>
          <cell r="X2187" t="str">
            <v>Empaquetado</v>
          </cell>
          <cell r="AC2187">
            <v>4.4999999999999997E-3</v>
          </cell>
          <cell r="AD2187">
            <v>4.4999999999999997E-3</v>
          </cell>
          <cell r="AE2187" t="str">
            <v>Con precio</v>
          </cell>
        </row>
        <row r="2188">
          <cell r="B2188" t="str">
            <v>BROTA0020</v>
          </cell>
          <cell r="X2188" t="str">
            <v>Empaquetado</v>
          </cell>
          <cell r="AC2188">
            <v>0.18266505681818179</v>
          </cell>
          <cell r="AD2188">
            <v>0.18266505681818179</v>
          </cell>
          <cell r="AE2188" t="str">
            <v>Con precio</v>
          </cell>
        </row>
        <row r="2189">
          <cell r="B2189" t="str">
            <v>BROTA0020</v>
          </cell>
          <cell r="X2189" t="str">
            <v>Empaquetado</v>
          </cell>
          <cell r="AC2189">
            <v>2.4035031847133761E-2</v>
          </cell>
          <cell r="AD2189">
            <v>2.4035031847133761E-2</v>
          </cell>
          <cell r="AE2189" t="str">
            <v>Con precio</v>
          </cell>
        </row>
        <row r="2190">
          <cell r="B2190" t="str">
            <v>C-CU0001</v>
          </cell>
          <cell r="X2190" t="str">
            <v>Formulación</v>
          </cell>
          <cell r="AC2190">
            <v>7.0300000000000001E-2</v>
          </cell>
          <cell r="AD2190">
            <v>7.0300000000000001E-2</v>
          </cell>
          <cell r="AE2190" t="str">
            <v>Con precio</v>
          </cell>
        </row>
        <row r="2191">
          <cell r="B2191" t="str">
            <v>C-CU0001</v>
          </cell>
          <cell r="X2191" t="str">
            <v>Formulación</v>
          </cell>
          <cell r="AC2191">
            <v>0</v>
          </cell>
          <cell r="AD2191">
            <v>0</v>
          </cell>
          <cell r="AE2191" t="str">
            <v>Con precio</v>
          </cell>
        </row>
        <row r="2192">
          <cell r="B2192" t="str">
            <v>C-CU0001</v>
          </cell>
          <cell r="X2192" t="str">
            <v>Formulación</v>
          </cell>
          <cell r="AC2192">
            <v>1.0860000000000001</v>
          </cell>
          <cell r="AD2192">
            <v>1.0860000000000001</v>
          </cell>
          <cell r="AE2192" t="str">
            <v>Con precio</v>
          </cell>
        </row>
        <row r="2193">
          <cell r="B2193" t="str">
            <v>C-CU0001</v>
          </cell>
          <cell r="X2193" t="str">
            <v>Formulación</v>
          </cell>
          <cell r="AC2193">
            <v>0.1701</v>
          </cell>
          <cell r="AD2193">
            <v>0.11538</v>
          </cell>
          <cell r="AE2193" t="str">
            <v>Con precio</v>
          </cell>
        </row>
        <row r="2194">
          <cell r="B2194" t="str">
            <v>C-CU0001</v>
          </cell>
          <cell r="X2194" t="str">
            <v>Formulación</v>
          </cell>
          <cell r="AC2194">
            <v>0.25650000000000001</v>
          </cell>
          <cell r="AD2194">
            <v>0.20221428571428576</v>
          </cell>
          <cell r="AE2194" t="str">
            <v>Con precio</v>
          </cell>
        </row>
        <row r="2195">
          <cell r="B2195" t="str">
            <v>C-CU0001</v>
          </cell>
          <cell r="X2195" t="str">
            <v>Empaquetado</v>
          </cell>
          <cell r="AC2195">
            <v>3.0303030303030299E-5</v>
          </cell>
          <cell r="AD2195">
            <v>3.0303030303030299E-5</v>
          </cell>
          <cell r="AE2195" t="str">
            <v>Con precio</v>
          </cell>
        </row>
        <row r="2196">
          <cell r="B2196" t="str">
            <v>C-CU0001</v>
          </cell>
          <cell r="X2196" t="str">
            <v>Empaquetado</v>
          </cell>
          <cell r="AC2196">
            <v>2.3439393939393937E-2</v>
          </cell>
          <cell r="AD2196">
            <v>2.3439393939393937E-2</v>
          </cell>
          <cell r="AE2196" t="str">
            <v>Con precio</v>
          </cell>
        </row>
        <row r="2197">
          <cell r="B2197" t="str">
            <v>C-CU0001</v>
          </cell>
          <cell r="X2197" t="str">
            <v>Empaquetado</v>
          </cell>
          <cell r="AC2197">
            <v>7.1917518745739595E-2</v>
          </cell>
          <cell r="AD2197">
            <v>7.1917518745739595E-2</v>
          </cell>
          <cell r="AE2197" t="str">
            <v>Con precio</v>
          </cell>
        </row>
        <row r="2198">
          <cell r="B2198" t="str">
            <v>C-CU0001</v>
          </cell>
          <cell r="X2198" t="str">
            <v>Empaquetado</v>
          </cell>
          <cell r="AC2198">
            <v>0.11874999999999999</v>
          </cell>
          <cell r="AD2198">
            <v>0.11874999999999999</v>
          </cell>
          <cell r="AE2198" t="str">
            <v>Con precio</v>
          </cell>
        </row>
        <row r="2199">
          <cell r="B2199" t="str">
            <v>C-CU0001</v>
          </cell>
          <cell r="X2199" t="str">
            <v>Empaquetado</v>
          </cell>
          <cell r="AC2199">
            <v>9.6080774456521717E-2</v>
          </cell>
          <cell r="AD2199">
            <v>9.6080774456521717E-2</v>
          </cell>
          <cell r="AE2199" t="str">
            <v>Con precio</v>
          </cell>
        </row>
        <row r="2200">
          <cell r="B2200" t="str">
            <v>C-CU0001</v>
          </cell>
          <cell r="X2200" t="str">
            <v>Empaquetado</v>
          </cell>
          <cell r="AC2200">
            <v>0.59068001033057849</v>
          </cell>
          <cell r="AD2200">
            <v>0.59068001033057849</v>
          </cell>
          <cell r="AE2200" t="str">
            <v>Con precio</v>
          </cell>
        </row>
        <row r="2201">
          <cell r="B2201" t="str">
            <v>C-CU0001CO</v>
          </cell>
          <cell r="X2201" t="str">
            <v>Formulación</v>
          </cell>
          <cell r="AC2201">
            <v>7.0300000000000001E-2</v>
          </cell>
          <cell r="AD2201">
            <v>7.0300000000000001E-2</v>
          </cell>
          <cell r="AE2201" t="str">
            <v>Con precio</v>
          </cell>
        </row>
        <row r="2202">
          <cell r="B2202" t="str">
            <v>C-CU0001CO</v>
          </cell>
          <cell r="X2202" t="str">
            <v>Formulación</v>
          </cell>
          <cell r="AC2202">
            <v>0</v>
          </cell>
          <cell r="AD2202">
            <v>0</v>
          </cell>
          <cell r="AE2202" t="str">
            <v>Con precio</v>
          </cell>
        </row>
        <row r="2203">
          <cell r="B2203" t="str">
            <v>C-CU0001CO</v>
          </cell>
          <cell r="X2203" t="str">
            <v>Formulación</v>
          </cell>
          <cell r="AC2203">
            <v>1.0860000000000001</v>
          </cell>
          <cell r="AD2203">
            <v>1.0860000000000001</v>
          </cell>
          <cell r="AE2203" t="str">
            <v>Con precio</v>
          </cell>
        </row>
        <row r="2204">
          <cell r="B2204" t="str">
            <v>C-CU0001CO</v>
          </cell>
          <cell r="X2204" t="str">
            <v>Formulación</v>
          </cell>
          <cell r="AC2204">
            <v>0.1701</v>
          </cell>
          <cell r="AD2204">
            <v>0.11538</v>
          </cell>
          <cell r="AE2204" t="str">
            <v>Con precio</v>
          </cell>
        </row>
        <row r="2205">
          <cell r="B2205" t="str">
            <v>C-CU0001CO</v>
          </cell>
          <cell r="X2205" t="str">
            <v>Formulación</v>
          </cell>
          <cell r="AC2205">
            <v>0.25650000000000001</v>
          </cell>
          <cell r="AD2205">
            <v>0.20221428571428576</v>
          </cell>
          <cell r="AE2205" t="str">
            <v>Con precio</v>
          </cell>
        </row>
        <row r="2206">
          <cell r="B2206" t="str">
            <v>C-CU0001CO</v>
          </cell>
          <cell r="X2206" t="str">
            <v>Empaquetado</v>
          </cell>
          <cell r="AC2206">
            <v>3.0303030303030299E-5</v>
          </cell>
          <cell r="AD2206">
            <v>3.0303030303030299E-5</v>
          </cell>
          <cell r="AE2206" t="str">
            <v>Con precio</v>
          </cell>
        </row>
        <row r="2207">
          <cell r="B2207" t="str">
            <v>C-CU0001CO</v>
          </cell>
          <cell r="X2207" t="str">
            <v>Empaquetado</v>
          </cell>
          <cell r="AC2207">
            <v>2.3439393939393937E-2</v>
          </cell>
          <cell r="AD2207">
            <v>2.3439393939393937E-2</v>
          </cell>
          <cell r="AE2207" t="str">
            <v>Con precio</v>
          </cell>
        </row>
        <row r="2208">
          <cell r="B2208" t="str">
            <v>C-CU0001CO</v>
          </cell>
          <cell r="X2208" t="str">
            <v>Empaquetado</v>
          </cell>
          <cell r="AC2208">
            <v>7.1917518745739595E-2</v>
          </cell>
          <cell r="AD2208">
            <v>7.1917518745739595E-2</v>
          </cell>
          <cell r="AE2208" t="str">
            <v>Con precio</v>
          </cell>
        </row>
        <row r="2209">
          <cell r="B2209" t="str">
            <v>C-CU0001CO</v>
          </cell>
          <cell r="X2209" t="str">
            <v>Empaquetado</v>
          </cell>
          <cell r="AC2209">
            <v>0.11874999999999999</v>
          </cell>
          <cell r="AD2209">
            <v>0.11874999999999999</v>
          </cell>
          <cell r="AE2209" t="str">
            <v>Con precio</v>
          </cell>
        </row>
        <row r="2210">
          <cell r="B2210" t="str">
            <v>C-CU0001CO</v>
          </cell>
          <cell r="X2210" t="str">
            <v>Empaquetado</v>
          </cell>
          <cell r="AC2210">
            <v>9.6080774456521717E-2</v>
          </cell>
          <cell r="AD2210">
            <v>9.6080774456521717E-2</v>
          </cell>
          <cell r="AE2210" t="str">
            <v>Con precio</v>
          </cell>
        </row>
        <row r="2211">
          <cell r="B2211" t="str">
            <v>C-CU0001CO</v>
          </cell>
          <cell r="X2211" t="str">
            <v>Empaquetado</v>
          </cell>
          <cell r="AC2211">
            <v>0.59068001033057849</v>
          </cell>
          <cell r="AD2211">
            <v>0.59068001033057849</v>
          </cell>
          <cell r="AE2211" t="str">
            <v>Con precio</v>
          </cell>
        </row>
        <row r="2212">
          <cell r="B2212" t="str">
            <v>C-CU0001DO</v>
          </cell>
          <cell r="X2212" t="str">
            <v>Formulación</v>
          </cell>
          <cell r="AC2212">
            <v>7.0300000000000001E-2</v>
          </cell>
          <cell r="AD2212">
            <v>7.0300000000000001E-2</v>
          </cell>
          <cell r="AE2212" t="str">
            <v>Con precio</v>
          </cell>
        </row>
        <row r="2213">
          <cell r="B2213" t="str">
            <v>C-CU0001DO</v>
          </cell>
          <cell r="X2213" t="str">
            <v>Formulación</v>
          </cell>
          <cell r="AC2213">
            <v>0</v>
          </cell>
          <cell r="AD2213">
            <v>0</v>
          </cell>
          <cell r="AE2213" t="str">
            <v>Con precio</v>
          </cell>
        </row>
        <row r="2214">
          <cell r="B2214" t="str">
            <v>C-CU0001DO</v>
          </cell>
          <cell r="X2214" t="str">
            <v>Formulación</v>
          </cell>
          <cell r="AC2214">
            <v>1.0860000000000001</v>
          </cell>
          <cell r="AD2214">
            <v>1.0860000000000001</v>
          </cell>
          <cell r="AE2214" t="str">
            <v>Con precio</v>
          </cell>
        </row>
        <row r="2215">
          <cell r="B2215" t="str">
            <v>C-CU0001DO</v>
          </cell>
          <cell r="X2215" t="str">
            <v>Formulación</v>
          </cell>
          <cell r="AC2215">
            <v>0.1701</v>
          </cell>
          <cell r="AD2215">
            <v>0.11538</v>
          </cell>
          <cell r="AE2215" t="str">
            <v>Con precio</v>
          </cell>
        </row>
        <row r="2216">
          <cell r="B2216" t="str">
            <v>C-CU0001DO</v>
          </cell>
          <cell r="X2216" t="str">
            <v>Formulación</v>
          </cell>
          <cell r="AC2216">
            <v>0.25650000000000001</v>
          </cell>
          <cell r="AD2216">
            <v>0.20221428571428576</v>
          </cell>
          <cell r="AE2216" t="str">
            <v>Con precio</v>
          </cell>
        </row>
        <row r="2217">
          <cell r="B2217" t="str">
            <v>C-CU0001DO</v>
          </cell>
          <cell r="X2217" t="str">
            <v>Empaquetado</v>
          </cell>
          <cell r="AC2217">
            <v>3.0303030303030299E-5</v>
          </cell>
          <cell r="AD2217">
            <v>3.0303030303030299E-5</v>
          </cell>
          <cell r="AE2217" t="str">
            <v>Con precio</v>
          </cell>
        </row>
        <row r="2218">
          <cell r="B2218" t="str">
            <v>C-CU0001DO</v>
          </cell>
          <cell r="X2218" t="str">
            <v>Empaquetado</v>
          </cell>
          <cell r="AC2218">
            <v>2.3439393939393937E-2</v>
          </cell>
          <cell r="AD2218">
            <v>2.3439393939393937E-2</v>
          </cell>
          <cell r="AE2218" t="str">
            <v>Con precio</v>
          </cell>
        </row>
        <row r="2219">
          <cell r="B2219" t="str">
            <v>C-CU0001DO</v>
          </cell>
          <cell r="X2219" t="str">
            <v>Empaquetado</v>
          </cell>
          <cell r="AC2219">
            <v>7.1917518745739595E-2</v>
          </cell>
          <cell r="AD2219">
            <v>7.1917518745739595E-2</v>
          </cell>
          <cell r="AE2219" t="str">
            <v>Con precio</v>
          </cell>
        </row>
        <row r="2220">
          <cell r="B2220" t="str">
            <v>C-CU0001DO</v>
          </cell>
          <cell r="X2220" t="str">
            <v>Empaquetado</v>
          </cell>
          <cell r="AC2220">
            <v>0.11874999999999999</v>
          </cell>
          <cell r="AD2220">
            <v>0.11874999999999999</v>
          </cell>
          <cell r="AE2220" t="str">
            <v>Con precio</v>
          </cell>
        </row>
        <row r="2221">
          <cell r="B2221" t="str">
            <v>C-CU0001DO</v>
          </cell>
          <cell r="X2221" t="str">
            <v>Empaquetado</v>
          </cell>
          <cell r="AC2221">
            <v>9.6080774456521717E-2</v>
          </cell>
          <cell r="AD2221">
            <v>9.6080774456521717E-2</v>
          </cell>
          <cell r="AE2221" t="str">
            <v>Con precio</v>
          </cell>
        </row>
        <row r="2222">
          <cell r="B2222" t="str">
            <v>C-CU0001DO</v>
          </cell>
          <cell r="X2222" t="str">
            <v>Empaquetado</v>
          </cell>
          <cell r="AC2222">
            <v>0.59068001033057849</v>
          </cell>
          <cell r="AD2222">
            <v>0.59068001033057849</v>
          </cell>
          <cell r="AE2222" t="str">
            <v>Con precio</v>
          </cell>
        </row>
        <row r="2223">
          <cell r="B2223" t="str">
            <v>C-CU0001EC</v>
          </cell>
          <cell r="X2223" t="str">
            <v>Formulación</v>
          </cell>
          <cell r="AC2223">
            <v>7.0300000000000001E-2</v>
          </cell>
          <cell r="AD2223">
            <v>7.0300000000000001E-2</v>
          </cell>
          <cell r="AE2223" t="str">
            <v>Con precio</v>
          </cell>
        </row>
        <row r="2224">
          <cell r="B2224" t="str">
            <v>C-CU0001EC</v>
          </cell>
          <cell r="X2224" t="str">
            <v>Formulación</v>
          </cell>
          <cell r="AC2224">
            <v>0</v>
          </cell>
          <cell r="AD2224">
            <v>0</v>
          </cell>
          <cell r="AE2224" t="str">
            <v>Con precio</v>
          </cell>
        </row>
        <row r="2225">
          <cell r="B2225" t="str">
            <v>C-CU0001EC</v>
          </cell>
          <cell r="X2225" t="str">
            <v>Formulación</v>
          </cell>
          <cell r="AC2225">
            <v>1.0860000000000001</v>
          </cell>
          <cell r="AD2225">
            <v>1.0860000000000001</v>
          </cell>
          <cell r="AE2225" t="str">
            <v>Con precio</v>
          </cell>
        </row>
        <row r="2226">
          <cell r="B2226" t="str">
            <v>C-CU0001EC</v>
          </cell>
          <cell r="X2226" t="str">
            <v>Formulación</v>
          </cell>
          <cell r="AC2226">
            <v>0.1701</v>
          </cell>
          <cell r="AD2226">
            <v>0.11538</v>
          </cell>
          <cell r="AE2226" t="str">
            <v>Con precio</v>
          </cell>
        </row>
        <row r="2227">
          <cell r="B2227" t="str">
            <v>C-CU0001EC</v>
          </cell>
          <cell r="X2227" t="str">
            <v>Formulación</v>
          </cell>
          <cell r="AC2227">
            <v>0.25650000000000001</v>
          </cell>
          <cell r="AD2227">
            <v>0.20221428571428576</v>
          </cell>
          <cell r="AE2227" t="str">
            <v>Con precio</v>
          </cell>
        </row>
        <row r="2228">
          <cell r="B2228" t="str">
            <v>C-CU0001EC</v>
          </cell>
          <cell r="X2228" t="str">
            <v>Empaquetado</v>
          </cell>
          <cell r="AC2228">
            <v>3.0303030303030299E-5</v>
          </cell>
          <cell r="AD2228">
            <v>3.0303030303030299E-5</v>
          </cell>
          <cell r="AE2228" t="str">
            <v>Con precio</v>
          </cell>
        </row>
        <row r="2229">
          <cell r="B2229" t="str">
            <v>C-CU0001EC</v>
          </cell>
          <cell r="X2229" t="str">
            <v>Empaquetado</v>
          </cell>
          <cell r="AC2229">
            <v>2.3439393939393937E-2</v>
          </cell>
          <cell r="AD2229">
            <v>2.3439393939393937E-2</v>
          </cell>
          <cell r="AE2229" t="str">
            <v>Con precio</v>
          </cell>
        </row>
        <row r="2230">
          <cell r="B2230" t="str">
            <v>C-CU0001EC</v>
          </cell>
          <cell r="X2230" t="str">
            <v>Empaquetado</v>
          </cell>
          <cell r="AC2230">
            <v>7.1917518745739595E-2</v>
          </cell>
          <cell r="AD2230">
            <v>7.1917518745739595E-2</v>
          </cell>
          <cell r="AE2230" t="str">
            <v>Con precio</v>
          </cell>
        </row>
        <row r="2231">
          <cell r="B2231" t="str">
            <v>C-CU0001EC</v>
          </cell>
          <cell r="X2231" t="str">
            <v>Empaquetado</v>
          </cell>
          <cell r="AC2231">
            <v>0.11874999999999999</v>
          </cell>
          <cell r="AD2231">
            <v>0.11874999999999999</v>
          </cell>
          <cell r="AE2231" t="str">
            <v>Con precio</v>
          </cell>
        </row>
        <row r="2232">
          <cell r="B2232" t="str">
            <v>C-CU0001EC</v>
          </cell>
          <cell r="X2232" t="str">
            <v>Empaquetado</v>
          </cell>
          <cell r="AC2232">
            <v>9.6080774456521717E-2</v>
          </cell>
          <cell r="AD2232">
            <v>9.6080774456521717E-2</v>
          </cell>
          <cell r="AE2232" t="str">
            <v>Con precio</v>
          </cell>
        </row>
        <row r="2233">
          <cell r="B2233" t="str">
            <v>C-CU0001EC</v>
          </cell>
          <cell r="X2233" t="str">
            <v>Empaquetado</v>
          </cell>
          <cell r="AC2233">
            <v>0.59068001033057849</v>
          </cell>
          <cell r="AD2233">
            <v>0.59068001033057849</v>
          </cell>
          <cell r="AE2233" t="str">
            <v>Con precio</v>
          </cell>
        </row>
        <row r="2234">
          <cell r="B2234" t="str">
            <v>C-CU0001GE</v>
          </cell>
          <cell r="X2234" t="str">
            <v>Formulación</v>
          </cell>
          <cell r="AC2234">
            <v>7.0300000000000001E-2</v>
          </cell>
          <cell r="AD2234">
            <v>7.0300000000000001E-2</v>
          </cell>
          <cell r="AE2234" t="str">
            <v>Con precio</v>
          </cell>
        </row>
        <row r="2235">
          <cell r="B2235" t="str">
            <v>C-CU0001GE</v>
          </cell>
          <cell r="X2235" t="str">
            <v>Formulación</v>
          </cell>
          <cell r="AC2235">
            <v>0</v>
          </cell>
          <cell r="AD2235">
            <v>0</v>
          </cell>
          <cell r="AE2235" t="str">
            <v>Con precio</v>
          </cell>
        </row>
        <row r="2236">
          <cell r="B2236" t="str">
            <v>C-CU0001GE</v>
          </cell>
          <cell r="X2236" t="str">
            <v>Formulación</v>
          </cell>
          <cell r="AC2236">
            <v>1.0860000000000001</v>
          </cell>
          <cell r="AD2236">
            <v>1.0860000000000001</v>
          </cell>
          <cell r="AE2236" t="str">
            <v>Con precio</v>
          </cell>
        </row>
        <row r="2237">
          <cell r="B2237" t="str">
            <v>C-CU0001GE</v>
          </cell>
          <cell r="X2237" t="str">
            <v>Formulación</v>
          </cell>
          <cell r="AC2237">
            <v>0.1701</v>
          </cell>
          <cell r="AD2237">
            <v>0.11538</v>
          </cell>
          <cell r="AE2237" t="str">
            <v>Con precio</v>
          </cell>
        </row>
        <row r="2238">
          <cell r="B2238" t="str">
            <v>C-CU0001GE</v>
          </cell>
          <cell r="X2238" t="str">
            <v>Formulación</v>
          </cell>
          <cell r="AC2238">
            <v>0.25650000000000001</v>
          </cell>
          <cell r="AD2238">
            <v>0.20221428571428576</v>
          </cell>
          <cell r="AE2238" t="str">
            <v>Con precio</v>
          </cell>
        </row>
        <row r="2239">
          <cell r="B2239" t="str">
            <v>C-CU0001GE</v>
          </cell>
          <cell r="X2239" t="str">
            <v>Empaquetado</v>
          </cell>
          <cell r="AC2239">
            <v>3.0303030303030299E-5</v>
          </cell>
          <cell r="AD2239">
            <v>3.0303030303030299E-5</v>
          </cell>
          <cell r="AE2239" t="str">
            <v>Con precio</v>
          </cell>
        </row>
        <row r="2240">
          <cell r="B2240" t="str">
            <v>C-CU0001GE</v>
          </cell>
          <cell r="X2240" t="str">
            <v>Empaquetado</v>
          </cell>
          <cell r="AC2240">
            <v>2.3439393939393937E-2</v>
          </cell>
          <cell r="AD2240">
            <v>2.3439393939393937E-2</v>
          </cell>
          <cell r="AE2240" t="str">
            <v>Con precio</v>
          </cell>
        </row>
        <row r="2241">
          <cell r="B2241" t="str">
            <v>C-CU0001GE</v>
          </cell>
          <cell r="X2241" t="str">
            <v>Empaquetado</v>
          </cell>
          <cell r="AC2241">
            <v>7.1917518745739595E-2</v>
          </cell>
          <cell r="AD2241">
            <v>7.1917518745739595E-2</v>
          </cell>
          <cell r="AE2241" t="str">
            <v>Con precio</v>
          </cell>
        </row>
        <row r="2242">
          <cell r="B2242" t="str">
            <v>C-CU0001GE</v>
          </cell>
          <cell r="X2242" t="str">
            <v>Empaquetado</v>
          </cell>
          <cell r="AC2242">
            <v>0.11874999999999999</v>
          </cell>
          <cell r="AD2242">
            <v>0.11874999999999999</v>
          </cell>
          <cell r="AE2242" t="str">
            <v>Con precio</v>
          </cell>
        </row>
        <row r="2243">
          <cell r="B2243" t="str">
            <v>C-CU0001GE</v>
          </cell>
          <cell r="X2243" t="str">
            <v>Empaquetado</v>
          </cell>
          <cell r="AC2243">
            <v>9.6080774456521717E-2</v>
          </cell>
          <cell r="AD2243">
            <v>9.6080774456521717E-2</v>
          </cell>
          <cell r="AE2243" t="str">
            <v>Con precio</v>
          </cell>
        </row>
        <row r="2244">
          <cell r="B2244" t="str">
            <v>C-CU0001GE</v>
          </cell>
          <cell r="X2244" t="str">
            <v>Empaquetado</v>
          </cell>
          <cell r="AC2244">
            <v>0.59068001033057849</v>
          </cell>
          <cell r="AD2244">
            <v>0.59068001033057849</v>
          </cell>
          <cell r="AE2244" t="str">
            <v>Con precio</v>
          </cell>
        </row>
        <row r="2245">
          <cell r="B2245" t="str">
            <v>C-CU0001RO</v>
          </cell>
          <cell r="X2245" t="str">
            <v>Formulación</v>
          </cell>
          <cell r="AC2245">
            <v>7.0300000000000001E-2</v>
          </cell>
          <cell r="AD2245">
            <v>7.0300000000000001E-2</v>
          </cell>
          <cell r="AE2245" t="str">
            <v>Con precio</v>
          </cell>
        </row>
        <row r="2246">
          <cell r="B2246" t="str">
            <v>C-CU0001RO</v>
          </cell>
          <cell r="X2246" t="str">
            <v>Formulación</v>
          </cell>
          <cell r="AC2246">
            <v>0</v>
          </cell>
          <cell r="AD2246">
            <v>0</v>
          </cell>
          <cell r="AE2246" t="str">
            <v>Con precio</v>
          </cell>
        </row>
        <row r="2247">
          <cell r="B2247" t="str">
            <v>C-CU0001RO</v>
          </cell>
          <cell r="X2247" t="str">
            <v>Formulación</v>
          </cell>
          <cell r="AC2247">
            <v>1.0860000000000001</v>
          </cell>
          <cell r="AD2247">
            <v>1.0860000000000001</v>
          </cell>
          <cell r="AE2247" t="str">
            <v>Con precio</v>
          </cell>
        </row>
        <row r="2248">
          <cell r="B2248" t="str">
            <v>C-CU0001RO</v>
          </cell>
          <cell r="X2248" t="str">
            <v>Formulación</v>
          </cell>
          <cell r="AC2248">
            <v>0.1701</v>
          </cell>
          <cell r="AD2248">
            <v>0.11538</v>
          </cell>
          <cell r="AE2248" t="str">
            <v>Con precio</v>
          </cell>
        </row>
        <row r="2249">
          <cell r="B2249" t="str">
            <v>C-CU0001RO</v>
          </cell>
          <cell r="X2249" t="str">
            <v>Formulación</v>
          </cell>
          <cell r="AC2249">
            <v>0.25650000000000001</v>
          </cell>
          <cell r="AD2249">
            <v>0.20221428571428576</v>
          </cell>
          <cell r="AE2249" t="str">
            <v>Con precio</v>
          </cell>
        </row>
        <row r="2250">
          <cell r="B2250" t="str">
            <v>C-CU0001RO</v>
          </cell>
          <cell r="X2250" t="str">
            <v>Empaquetado</v>
          </cell>
          <cell r="AC2250">
            <v>3.0303030303030299E-5</v>
          </cell>
          <cell r="AD2250">
            <v>3.0303030303030299E-5</v>
          </cell>
          <cell r="AE2250" t="str">
            <v>Con precio</v>
          </cell>
        </row>
        <row r="2251">
          <cell r="B2251" t="str">
            <v>C-CU0001RO</v>
          </cell>
          <cell r="X2251" t="str">
            <v>Empaquetado</v>
          </cell>
          <cell r="AC2251">
            <v>2.3439393939393937E-2</v>
          </cell>
          <cell r="AD2251">
            <v>2.3439393939393937E-2</v>
          </cell>
          <cell r="AE2251" t="str">
            <v>Con precio</v>
          </cell>
        </row>
        <row r="2252">
          <cell r="B2252" t="str">
            <v>C-CU0001RO</v>
          </cell>
          <cell r="X2252" t="str">
            <v>Empaquetado</v>
          </cell>
          <cell r="AC2252">
            <v>7.1917518745739595E-2</v>
          </cell>
          <cell r="AD2252">
            <v>7.1917518745739595E-2</v>
          </cell>
          <cell r="AE2252" t="str">
            <v>Con precio</v>
          </cell>
        </row>
        <row r="2253">
          <cell r="B2253" t="str">
            <v>C-CU0001RO</v>
          </cell>
          <cell r="X2253" t="str">
            <v>Empaquetado</v>
          </cell>
          <cell r="AC2253">
            <v>0.11874999999999999</v>
          </cell>
          <cell r="AD2253">
            <v>0.11874999999999999</v>
          </cell>
          <cell r="AE2253" t="str">
            <v>Con precio</v>
          </cell>
        </row>
        <row r="2254">
          <cell r="B2254" t="str">
            <v>C-CU0001RO</v>
          </cell>
          <cell r="X2254" t="str">
            <v>Empaquetado</v>
          </cell>
          <cell r="AC2254">
            <v>9.6080774456521717E-2</v>
          </cell>
          <cell r="AD2254">
            <v>9.6080774456521717E-2</v>
          </cell>
          <cell r="AE2254" t="str">
            <v>Con precio</v>
          </cell>
        </row>
        <row r="2255">
          <cell r="B2255" t="str">
            <v>C-CU0001RO</v>
          </cell>
          <cell r="X2255" t="str">
            <v>Empaquetado</v>
          </cell>
          <cell r="AC2255">
            <v>0.59068001033057849</v>
          </cell>
          <cell r="AD2255">
            <v>0.59068001033057849</v>
          </cell>
          <cell r="AE2255" t="str">
            <v>Con precio</v>
          </cell>
        </row>
        <row r="2256">
          <cell r="B2256" t="str">
            <v>C-CU0001RS</v>
          </cell>
          <cell r="X2256" t="str">
            <v>Formulación</v>
          </cell>
          <cell r="AC2256">
            <v>7.0300000000000001E-2</v>
          </cell>
          <cell r="AD2256">
            <v>7.0300000000000001E-2</v>
          </cell>
          <cell r="AE2256" t="str">
            <v>Con precio</v>
          </cell>
        </row>
        <row r="2257">
          <cell r="B2257" t="str">
            <v>C-CU0001RS</v>
          </cell>
          <cell r="X2257" t="str">
            <v>Formulación</v>
          </cell>
          <cell r="AC2257">
            <v>0</v>
          </cell>
          <cell r="AD2257">
            <v>0</v>
          </cell>
          <cell r="AE2257" t="str">
            <v>Con precio</v>
          </cell>
        </row>
        <row r="2258">
          <cell r="B2258" t="str">
            <v>C-CU0001RS</v>
          </cell>
          <cell r="X2258" t="str">
            <v>Formulación</v>
          </cell>
          <cell r="AC2258">
            <v>1.0860000000000001</v>
          </cell>
          <cell r="AD2258">
            <v>1.0860000000000001</v>
          </cell>
          <cell r="AE2258" t="str">
            <v>Con precio</v>
          </cell>
        </row>
        <row r="2259">
          <cell r="B2259" t="str">
            <v>C-CU0001RS</v>
          </cell>
          <cell r="X2259" t="str">
            <v>Formulación</v>
          </cell>
          <cell r="AC2259">
            <v>0.1701</v>
          </cell>
          <cell r="AD2259">
            <v>0.11538</v>
          </cell>
          <cell r="AE2259" t="str">
            <v>Con precio</v>
          </cell>
        </row>
        <row r="2260">
          <cell r="B2260" t="str">
            <v>C-CU0001RS</v>
          </cell>
          <cell r="X2260" t="str">
            <v>Formulación</v>
          </cell>
          <cell r="AC2260">
            <v>0.25650000000000001</v>
          </cell>
          <cell r="AD2260">
            <v>0.20221428571428576</v>
          </cell>
          <cell r="AE2260" t="str">
            <v>Con precio</v>
          </cell>
        </row>
        <row r="2261">
          <cell r="B2261" t="str">
            <v>C-CU0001RS</v>
          </cell>
          <cell r="X2261" t="str">
            <v>Empaquetado</v>
          </cell>
          <cell r="AC2261">
            <v>3.0303030303030299E-5</v>
          </cell>
          <cell r="AD2261">
            <v>3.0303030303030299E-5</v>
          </cell>
          <cell r="AE2261" t="str">
            <v>Con precio</v>
          </cell>
        </row>
        <row r="2262">
          <cell r="B2262" t="str">
            <v>C-CU0001RS</v>
          </cell>
          <cell r="X2262" t="str">
            <v>Empaquetado</v>
          </cell>
          <cell r="AC2262">
            <v>2.3439393939393937E-2</v>
          </cell>
          <cell r="AD2262">
            <v>2.3439393939393937E-2</v>
          </cell>
          <cell r="AE2262" t="str">
            <v>Con precio</v>
          </cell>
        </row>
        <row r="2263">
          <cell r="B2263" t="str">
            <v>C-CU0001RS</v>
          </cell>
          <cell r="X2263" t="str">
            <v>Empaquetado</v>
          </cell>
          <cell r="AC2263">
            <v>7.1917518745739595E-2</v>
          </cell>
          <cell r="AD2263">
            <v>7.1917518745739595E-2</v>
          </cell>
          <cell r="AE2263" t="str">
            <v>Con precio</v>
          </cell>
        </row>
        <row r="2264">
          <cell r="B2264" t="str">
            <v>C-CU0001RS</v>
          </cell>
          <cell r="X2264" t="str">
            <v>Empaquetado</v>
          </cell>
          <cell r="AC2264">
            <v>0.11874999999999999</v>
          </cell>
          <cell r="AD2264">
            <v>0.11874999999999999</v>
          </cell>
          <cell r="AE2264" t="str">
            <v>Con precio</v>
          </cell>
        </row>
        <row r="2265">
          <cell r="B2265" t="str">
            <v>C-CU0001RS</v>
          </cell>
          <cell r="X2265" t="str">
            <v>Empaquetado</v>
          </cell>
          <cell r="AC2265">
            <v>9.6080774456521717E-2</v>
          </cell>
          <cell r="AD2265">
            <v>9.6080774456521717E-2</v>
          </cell>
          <cell r="AE2265" t="str">
            <v>Con precio</v>
          </cell>
        </row>
        <row r="2266">
          <cell r="B2266" t="str">
            <v>C-CU0001RS</v>
          </cell>
          <cell r="X2266" t="str">
            <v>Empaquetado</v>
          </cell>
          <cell r="AC2266">
            <v>0.59068001033057849</v>
          </cell>
          <cell r="AD2266">
            <v>0.59068001033057849</v>
          </cell>
          <cell r="AE2266" t="str">
            <v>Con precio</v>
          </cell>
        </row>
        <row r="2267">
          <cell r="B2267" t="str">
            <v>C-CU0005</v>
          </cell>
          <cell r="X2267" t="str">
            <v>Formulación</v>
          </cell>
          <cell r="AC2267">
            <v>7.0300000000000001E-2</v>
          </cell>
          <cell r="AD2267">
            <v>7.0300000000000001E-2</v>
          </cell>
          <cell r="AE2267" t="str">
            <v>Con precio</v>
          </cell>
        </row>
        <row r="2268">
          <cell r="B2268" t="str">
            <v>C-CU0005</v>
          </cell>
          <cell r="X2268" t="str">
            <v>Formulación</v>
          </cell>
          <cell r="AC2268">
            <v>0</v>
          </cell>
          <cell r="AD2268">
            <v>0</v>
          </cell>
          <cell r="AE2268" t="str">
            <v>Con precio</v>
          </cell>
        </row>
        <row r="2269">
          <cell r="B2269" t="str">
            <v>C-CU0005</v>
          </cell>
          <cell r="X2269" t="str">
            <v>Formulación</v>
          </cell>
          <cell r="AC2269">
            <v>1.0860000000000001</v>
          </cell>
          <cell r="AD2269">
            <v>1.0860000000000001</v>
          </cell>
          <cell r="AE2269" t="str">
            <v>Con precio</v>
          </cell>
        </row>
        <row r="2270">
          <cell r="B2270" t="str">
            <v>C-CU0005</v>
          </cell>
          <cell r="X2270" t="str">
            <v>Formulación</v>
          </cell>
          <cell r="AC2270">
            <v>0.1701</v>
          </cell>
          <cell r="AD2270">
            <v>0.11538</v>
          </cell>
          <cell r="AE2270" t="str">
            <v>Con precio</v>
          </cell>
        </row>
        <row r="2271">
          <cell r="B2271" t="str">
            <v>C-CU0005</v>
          </cell>
          <cell r="X2271" t="str">
            <v>Formulación</v>
          </cell>
          <cell r="AC2271">
            <v>0.25650000000000001</v>
          </cell>
          <cell r="AD2271">
            <v>0.20221428571428576</v>
          </cell>
          <cell r="AE2271" t="str">
            <v>Con precio</v>
          </cell>
        </row>
        <row r="2272">
          <cell r="B2272" t="str">
            <v>C-CU0005</v>
          </cell>
          <cell r="X2272" t="str">
            <v>Empaquetado</v>
          </cell>
          <cell r="AC2272">
            <v>1.2991333333333337E-2</v>
          </cell>
          <cell r="AD2272">
            <v>1.2991333333333337E-2</v>
          </cell>
          <cell r="AE2272" t="str">
            <v>Con precio</v>
          </cell>
        </row>
        <row r="2273">
          <cell r="B2273" t="str">
            <v>C-CU0005</v>
          </cell>
          <cell r="X2273" t="str">
            <v>Empaquetado</v>
          </cell>
          <cell r="AC2273">
            <v>2.5783333333333339E-2</v>
          </cell>
          <cell r="AD2273">
            <v>2.5783333333333339E-2</v>
          </cell>
          <cell r="AE2273" t="str">
            <v>Con precio</v>
          </cell>
        </row>
        <row r="2274">
          <cell r="B2274" t="str">
            <v>C-CU0005</v>
          </cell>
          <cell r="X2274" t="str">
            <v>Empaquetado</v>
          </cell>
          <cell r="AC2274">
            <v>2.5359983896940424E-2</v>
          </cell>
          <cell r="AD2274">
            <v>2.5359983896940424E-2</v>
          </cell>
          <cell r="AE2274" t="str">
            <v>Con precio</v>
          </cell>
        </row>
        <row r="2275">
          <cell r="B2275" t="str">
            <v>C-CU0005</v>
          </cell>
          <cell r="X2275" t="str">
            <v>Empaquetado</v>
          </cell>
          <cell r="AC2275">
            <v>0.17399999999999999</v>
          </cell>
          <cell r="AD2275">
            <v>0.17399999999999999</v>
          </cell>
          <cell r="AE2275" t="str">
            <v>Con precio</v>
          </cell>
        </row>
        <row r="2276">
          <cell r="B2276" t="str">
            <v>C-CU0005</v>
          </cell>
          <cell r="X2276" t="str">
            <v>Empaquetado</v>
          </cell>
          <cell r="AC2276">
            <v>4.0000000000000008E-2</v>
          </cell>
          <cell r="AD2276">
            <v>4.0000000000000008E-2</v>
          </cell>
          <cell r="AE2276" t="str">
            <v>Con precio</v>
          </cell>
        </row>
        <row r="2277">
          <cell r="B2277" t="str">
            <v>C-CU0005</v>
          </cell>
          <cell r="X2277" t="str">
            <v>Empaquetado</v>
          </cell>
          <cell r="AC2277">
            <v>3.6950017630465445E-2</v>
          </cell>
          <cell r="AD2277">
            <v>3.6950017630465445E-2</v>
          </cell>
          <cell r="AE2277" t="str">
            <v>Con precio</v>
          </cell>
        </row>
        <row r="2278">
          <cell r="B2278" t="str">
            <v>C-CU0005AZ</v>
          </cell>
          <cell r="X2278" t="str">
            <v>Formulación</v>
          </cell>
          <cell r="AC2278">
            <v>7.0300000000000001E-2</v>
          </cell>
          <cell r="AD2278">
            <v>7.0300000000000001E-2</v>
          </cell>
          <cell r="AE2278" t="str">
            <v>Con precio</v>
          </cell>
        </row>
        <row r="2279">
          <cell r="B2279" t="str">
            <v>C-CU0005AZ</v>
          </cell>
          <cell r="X2279" t="str">
            <v>Formulación</v>
          </cell>
          <cell r="AC2279">
            <v>0</v>
          </cell>
          <cell r="AD2279">
            <v>0</v>
          </cell>
          <cell r="AE2279" t="str">
            <v>Con precio</v>
          </cell>
        </row>
        <row r="2280">
          <cell r="B2280" t="str">
            <v>C-CU0005AZ</v>
          </cell>
          <cell r="X2280" t="str">
            <v>Formulación</v>
          </cell>
          <cell r="AC2280">
            <v>1.0860000000000001</v>
          </cell>
          <cell r="AD2280">
            <v>1.0860000000000001</v>
          </cell>
          <cell r="AE2280" t="str">
            <v>Con precio</v>
          </cell>
        </row>
        <row r="2281">
          <cell r="B2281" t="str">
            <v>C-CU0005AZ</v>
          </cell>
          <cell r="X2281" t="str">
            <v>Formulación</v>
          </cell>
          <cell r="AC2281">
            <v>0.1701</v>
          </cell>
          <cell r="AD2281">
            <v>0.11538</v>
          </cell>
          <cell r="AE2281" t="str">
            <v>Con precio</v>
          </cell>
        </row>
        <row r="2282">
          <cell r="B2282" t="str">
            <v>C-CU0005AZ</v>
          </cell>
          <cell r="X2282" t="str">
            <v>Formulación</v>
          </cell>
          <cell r="AC2282">
            <v>0.25650000000000001</v>
          </cell>
          <cell r="AD2282">
            <v>0.20221428571428576</v>
          </cell>
          <cell r="AE2282" t="str">
            <v>Con precio</v>
          </cell>
        </row>
        <row r="2283">
          <cell r="B2283" t="str">
            <v>C-CU0005AZ</v>
          </cell>
          <cell r="X2283" t="str">
            <v>Empaquetado</v>
          </cell>
          <cell r="AC2283">
            <v>1.2991333333333337E-2</v>
          </cell>
          <cell r="AD2283">
            <v>1.2991333333333337E-2</v>
          </cell>
          <cell r="AE2283" t="str">
            <v>Con precio</v>
          </cell>
        </row>
        <row r="2284">
          <cell r="B2284" t="str">
            <v>C-CU0005AZ</v>
          </cell>
          <cell r="X2284" t="str">
            <v>Empaquetado</v>
          </cell>
          <cell r="AC2284">
            <v>2.5783333333333339E-2</v>
          </cell>
          <cell r="AD2284">
            <v>2.5783333333333339E-2</v>
          </cell>
          <cell r="AE2284" t="str">
            <v>Con precio</v>
          </cell>
        </row>
        <row r="2285">
          <cell r="B2285" t="str">
            <v>C-CU0005AZ</v>
          </cell>
          <cell r="X2285" t="str">
            <v>Empaquetado</v>
          </cell>
          <cell r="AC2285">
            <v>2.5359983896940424E-2</v>
          </cell>
          <cell r="AD2285">
            <v>2.5359983896940424E-2</v>
          </cell>
          <cell r="AE2285" t="str">
            <v>Con precio</v>
          </cell>
        </row>
        <row r="2286">
          <cell r="B2286" t="str">
            <v>C-CU0005AZ</v>
          </cell>
          <cell r="X2286" t="str">
            <v>Empaquetado</v>
          </cell>
          <cell r="AC2286">
            <v>0.17399999999999999</v>
          </cell>
          <cell r="AD2286">
            <v>0.17399999999999999</v>
          </cell>
          <cell r="AE2286" t="str">
            <v>Con precio</v>
          </cell>
        </row>
        <row r="2287">
          <cell r="B2287" t="str">
            <v>C-CU0005AZ</v>
          </cell>
          <cell r="X2287" t="str">
            <v>Empaquetado</v>
          </cell>
          <cell r="AC2287">
            <v>4.0000000000000008E-2</v>
          </cell>
          <cell r="AD2287">
            <v>4.0000000000000008E-2</v>
          </cell>
          <cell r="AE2287" t="str">
            <v>Con precio</v>
          </cell>
        </row>
        <row r="2288">
          <cell r="B2288" t="str">
            <v>C-CU0005AZ</v>
          </cell>
          <cell r="X2288" t="str">
            <v>Empaquetado</v>
          </cell>
          <cell r="AC2288">
            <v>3.6950017630465445E-2</v>
          </cell>
          <cell r="AD2288">
            <v>3.6950017630465445E-2</v>
          </cell>
          <cell r="AE2288" t="str">
            <v>Con precio</v>
          </cell>
        </row>
        <row r="2289">
          <cell r="B2289" t="str">
            <v>C-CU0005CO</v>
          </cell>
          <cell r="X2289" t="str">
            <v>Formulación</v>
          </cell>
          <cell r="AC2289">
            <v>7.0300000000000001E-2</v>
          </cell>
          <cell r="AD2289">
            <v>7.0300000000000001E-2</v>
          </cell>
          <cell r="AE2289" t="str">
            <v>Con precio</v>
          </cell>
        </row>
        <row r="2290">
          <cell r="B2290" t="str">
            <v>C-CU0005CO</v>
          </cell>
          <cell r="X2290" t="str">
            <v>Formulación</v>
          </cell>
          <cell r="AC2290">
            <v>0</v>
          </cell>
          <cell r="AD2290">
            <v>0</v>
          </cell>
          <cell r="AE2290" t="str">
            <v>Con precio</v>
          </cell>
        </row>
        <row r="2291">
          <cell r="B2291" t="str">
            <v>C-CU0005CO</v>
          </cell>
          <cell r="X2291" t="str">
            <v>Formulación</v>
          </cell>
          <cell r="AC2291">
            <v>1.0860000000000001</v>
          </cell>
          <cell r="AD2291">
            <v>1.0860000000000001</v>
          </cell>
          <cell r="AE2291" t="str">
            <v>Con precio</v>
          </cell>
        </row>
        <row r="2292">
          <cell r="B2292" t="str">
            <v>C-CU0005CO</v>
          </cell>
          <cell r="X2292" t="str">
            <v>Formulación</v>
          </cell>
          <cell r="AC2292">
            <v>0.1701</v>
          </cell>
          <cell r="AD2292">
            <v>0.11538</v>
          </cell>
          <cell r="AE2292" t="str">
            <v>Con precio</v>
          </cell>
        </row>
        <row r="2293">
          <cell r="B2293" t="str">
            <v>C-CU0005CO</v>
          </cell>
          <cell r="X2293" t="str">
            <v>Formulación</v>
          </cell>
          <cell r="AC2293">
            <v>0.25650000000000001</v>
          </cell>
          <cell r="AD2293">
            <v>0.20221428571428576</v>
          </cell>
          <cell r="AE2293" t="str">
            <v>Con precio</v>
          </cell>
        </row>
        <row r="2294">
          <cell r="B2294" t="str">
            <v>C-CU0005CO</v>
          </cell>
          <cell r="X2294" t="str">
            <v>Empaquetado</v>
          </cell>
          <cell r="AC2294">
            <v>1.2991333333333337E-2</v>
          </cell>
          <cell r="AD2294">
            <v>1.2991333333333337E-2</v>
          </cell>
          <cell r="AE2294" t="str">
            <v>Con precio</v>
          </cell>
        </row>
        <row r="2295">
          <cell r="B2295" t="str">
            <v>C-CU0005CO</v>
          </cell>
          <cell r="X2295" t="str">
            <v>Empaquetado</v>
          </cell>
          <cell r="AC2295">
            <v>2.5783333333333339E-2</v>
          </cell>
          <cell r="AD2295">
            <v>2.5783333333333339E-2</v>
          </cell>
          <cell r="AE2295" t="str">
            <v>Con precio</v>
          </cell>
        </row>
        <row r="2296">
          <cell r="B2296" t="str">
            <v>C-CU0005CO</v>
          </cell>
          <cell r="X2296" t="str">
            <v>Empaquetado</v>
          </cell>
          <cell r="AC2296">
            <v>2.5359983896940424E-2</v>
          </cell>
          <cell r="AD2296">
            <v>2.5359983896940424E-2</v>
          </cell>
          <cell r="AE2296" t="str">
            <v>Con precio</v>
          </cell>
        </row>
        <row r="2297">
          <cell r="B2297" t="str">
            <v>C-CU0005CO</v>
          </cell>
          <cell r="X2297" t="str">
            <v>Empaquetado</v>
          </cell>
          <cell r="AC2297">
            <v>0.17399999999999999</v>
          </cell>
          <cell r="AD2297">
            <v>0.17399999999999999</v>
          </cell>
          <cell r="AE2297" t="str">
            <v>Con precio</v>
          </cell>
        </row>
        <row r="2298">
          <cell r="B2298" t="str">
            <v>C-CU0005CO</v>
          </cell>
          <cell r="X2298" t="str">
            <v>Empaquetado</v>
          </cell>
          <cell r="AC2298">
            <v>4.0000000000000008E-2</v>
          </cell>
          <cell r="AD2298">
            <v>4.0000000000000008E-2</v>
          </cell>
          <cell r="AE2298" t="str">
            <v>Con precio</v>
          </cell>
        </row>
        <row r="2299">
          <cell r="B2299" t="str">
            <v>C-CU0005CO</v>
          </cell>
          <cell r="X2299" t="str">
            <v>Empaquetado</v>
          </cell>
          <cell r="AC2299">
            <v>3.6950017630465445E-2</v>
          </cell>
          <cell r="AD2299">
            <v>3.6950017630465445E-2</v>
          </cell>
          <cell r="AE2299" t="str">
            <v>Con precio</v>
          </cell>
        </row>
        <row r="2300">
          <cell r="B2300" t="str">
            <v>C-CU0005GE</v>
          </cell>
          <cell r="X2300" t="str">
            <v>Formulación</v>
          </cell>
          <cell r="AC2300">
            <v>7.0300000000000001E-2</v>
          </cell>
          <cell r="AD2300">
            <v>7.0300000000000001E-2</v>
          </cell>
          <cell r="AE2300" t="str">
            <v>Con precio</v>
          </cell>
        </row>
        <row r="2301">
          <cell r="B2301" t="str">
            <v>C-CU0005GE</v>
          </cell>
          <cell r="X2301" t="str">
            <v>Formulación</v>
          </cell>
          <cell r="AC2301">
            <v>0</v>
          </cell>
          <cell r="AD2301">
            <v>0</v>
          </cell>
          <cell r="AE2301" t="str">
            <v>Con precio</v>
          </cell>
        </row>
        <row r="2302">
          <cell r="B2302" t="str">
            <v>C-CU0005GE</v>
          </cell>
          <cell r="X2302" t="str">
            <v>Formulación</v>
          </cell>
          <cell r="AC2302">
            <v>1.0860000000000001</v>
          </cell>
          <cell r="AD2302">
            <v>1.0860000000000001</v>
          </cell>
          <cell r="AE2302" t="str">
            <v>Con precio</v>
          </cell>
        </row>
        <row r="2303">
          <cell r="B2303" t="str">
            <v>C-CU0005GE</v>
          </cell>
          <cell r="X2303" t="str">
            <v>Formulación</v>
          </cell>
          <cell r="AC2303">
            <v>0.1701</v>
          </cell>
          <cell r="AD2303">
            <v>0.11538</v>
          </cell>
          <cell r="AE2303" t="str">
            <v>Con precio</v>
          </cell>
        </row>
        <row r="2304">
          <cell r="B2304" t="str">
            <v>C-CU0005GE</v>
          </cell>
          <cell r="X2304" t="str">
            <v>Formulación</v>
          </cell>
          <cell r="AC2304">
            <v>0.25650000000000001</v>
          </cell>
          <cell r="AD2304">
            <v>0.20221428571428576</v>
          </cell>
          <cell r="AE2304" t="str">
            <v>Con precio</v>
          </cell>
        </row>
        <row r="2305">
          <cell r="B2305" t="str">
            <v>C-CU0005GE</v>
          </cell>
          <cell r="X2305" t="str">
            <v>Empaquetado</v>
          </cell>
          <cell r="AC2305">
            <v>1.2991333333333337E-2</v>
          </cell>
          <cell r="AD2305">
            <v>1.2991333333333337E-2</v>
          </cell>
          <cell r="AE2305" t="str">
            <v>Con precio</v>
          </cell>
        </row>
        <row r="2306">
          <cell r="B2306" t="str">
            <v>C-CU0005GE</v>
          </cell>
          <cell r="X2306" t="str">
            <v>Empaquetado</v>
          </cell>
          <cell r="AC2306">
            <v>2.5783333333333339E-2</v>
          </cell>
          <cell r="AD2306">
            <v>2.5783333333333339E-2</v>
          </cell>
          <cell r="AE2306" t="str">
            <v>Con precio</v>
          </cell>
        </row>
        <row r="2307">
          <cell r="B2307" t="str">
            <v>C-CU0005GE</v>
          </cell>
          <cell r="X2307" t="str">
            <v>Empaquetado</v>
          </cell>
          <cell r="AC2307">
            <v>2.5359983896940424E-2</v>
          </cell>
          <cell r="AD2307">
            <v>2.5359983896940424E-2</v>
          </cell>
          <cell r="AE2307" t="str">
            <v>Con precio</v>
          </cell>
        </row>
        <row r="2308">
          <cell r="B2308" t="str">
            <v>C-CU0005GE</v>
          </cell>
          <cell r="X2308" t="str">
            <v>Empaquetado</v>
          </cell>
          <cell r="AC2308">
            <v>0.17399999999999999</v>
          </cell>
          <cell r="AD2308">
            <v>0.17399999999999999</v>
          </cell>
          <cell r="AE2308" t="str">
            <v>Con precio</v>
          </cell>
        </row>
        <row r="2309">
          <cell r="B2309" t="str">
            <v>C-CU0005GE</v>
          </cell>
          <cell r="X2309" t="str">
            <v>Empaquetado</v>
          </cell>
          <cell r="AC2309">
            <v>4.0000000000000008E-2</v>
          </cell>
          <cell r="AD2309">
            <v>4.0000000000000008E-2</v>
          </cell>
          <cell r="AE2309" t="str">
            <v>Con precio</v>
          </cell>
        </row>
        <row r="2310">
          <cell r="B2310" t="str">
            <v>C-CU0005GE</v>
          </cell>
          <cell r="X2310" t="str">
            <v>Empaquetado</v>
          </cell>
          <cell r="AC2310">
            <v>3.6950017630465445E-2</v>
          </cell>
          <cell r="AD2310">
            <v>3.6950017630465445E-2</v>
          </cell>
          <cell r="AE2310" t="str">
            <v>Con precio</v>
          </cell>
        </row>
        <row r="2311">
          <cell r="B2311" t="str">
            <v>C-CU0005MA</v>
          </cell>
          <cell r="X2311" t="str">
            <v>Formulación</v>
          </cell>
          <cell r="AC2311">
            <v>7.0300000000000001E-2</v>
          </cell>
          <cell r="AD2311">
            <v>7.0300000000000001E-2</v>
          </cell>
          <cell r="AE2311" t="str">
            <v>Con precio</v>
          </cell>
        </row>
        <row r="2312">
          <cell r="B2312" t="str">
            <v>C-CU0005MA</v>
          </cell>
          <cell r="X2312" t="str">
            <v>Formulación</v>
          </cell>
          <cell r="AC2312">
            <v>0</v>
          </cell>
          <cell r="AD2312">
            <v>0</v>
          </cell>
          <cell r="AE2312" t="str">
            <v>Con precio</v>
          </cell>
        </row>
        <row r="2313">
          <cell r="B2313" t="str">
            <v>C-CU0005MA</v>
          </cell>
          <cell r="X2313" t="str">
            <v>Formulación</v>
          </cell>
          <cell r="AC2313">
            <v>1.0860000000000001</v>
          </cell>
          <cell r="AD2313">
            <v>1.0860000000000001</v>
          </cell>
          <cell r="AE2313" t="str">
            <v>Con precio</v>
          </cell>
        </row>
        <row r="2314">
          <cell r="B2314" t="str">
            <v>C-CU0005MA</v>
          </cell>
          <cell r="X2314" t="str">
            <v>Formulación</v>
          </cell>
          <cell r="AC2314">
            <v>0.1701</v>
          </cell>
          <cell r="AD2314">
            <v>0.11538</v>
          </cell>
          <cell r="AE2314" t="str">
            <v>Con precio</v>
          </cell>
        </row>
        <row r="2315">
          <cell r="B2315" t="str">
            <v>C-CU0005MA</v>
          </cell>
          <cell r="X2315" t="str">
            <v>Formulación</v>
          </cell>
          <cell r="AC2315">
            <v>0.25650000000000001</v>
          </cell>
          <cell r="AD2315">
            <v>0.20221428571428576</v>
          </cell>
          <cell r="AE2315" t="str">
            <v>Con precio</v>
          </cell>
        </row>
        <row r="2316">
          <cell r="B2316" t="str">
            <v>C-CU0005MA</v>
          </cell>
          <cell r="X2316" t="str">
            <v>Empaquetado</v>
          </cell>
          <cell r="AC2316">
            <v>1.2991333333333337E-2</v>
          </cell>
          <cell r="AD2316">
            <v>1.2991333333333337E-2</v>
          </cell>
          <cell r="AE2316" t="str">
            <v>Con precio</v>
          </cell>
        </row>
        <row r="2317">
          <cell r="B2317" t="str">
            <v>C-CU0005MA</v>
          </cell>
          <cell r="X2317" t="str">
            <v>Empaquetado</v>
          </cell>
          <cell r="AC2317">
            <v>2.5783333333333339E-2</v>
          </cell>
          <cell r="AD2317">
            <v>2.5783333333333339E-2</v>
          </cell>
          <cell r="AE2317" t="str">
            <v>Con precio</v>
          </cell>
        </row>
        <row r="2318">
          <cell r="B2318" t="str">
            <v>C-CU0005MA</v>
          </cell>
          <cell r="X2318" t="str">
            <v>Empaquetado</v>
          </cell>
          <cell r="AC2318">
            <v>2.5359983896940424E-2</v>
          </cell>
          <cell r="AD2318">
            <v>2.5359983896940424E-2</v>
          </cell>
          <cell r="AE2318" t="str">
            <v>Con precio</v>
          </cell>
        </row>
        <row r="2319">
          <cell r="B2319" t="str">
            <v>C-CU0005MA</v>
          </cell>
          <cell r="X2319" t="str">
            <v>Empaquetado</v>
          </cell>
          <cell r="AC2319">
            <v>0.17399999999999999</v>
          </cell>
          <cell r="AD2319">
            <v>0.17399999999999999</v>
          </cell>
          <cell r="AE2319" t="str">
            <v>Con precio</v>
          </cell>
        </row>
        <row r="2320">
          <cell r="B2320" t="str">
            <v>C-CU0005MA</v>
          </cell>
          <cell r="X2320" t="str">
            <v>Empaquetado</v>
          </cell>
          <cell r="AC2320">
            <v>4.0000000000000008E-2</v>
          </cell>
          <cell r="AD2320">
            <v>4.0000000000000008E-2</v>
          </cell>
          <cell r="AE2320" t="str">
            <v>Con precio</v>
          </cell>
        </row>
        <row r="2321">
          <cell r="B2321" t="str">
            <v>C-CU0005MA</v>
          </cell>
          <cell r="X2321" t="str">
            <v>Empaquetado</v>
          </cell>
          <cell r="AC2321">
            <v>3.6950017630465445E-2</v>
          </cell>
          <cell r="AD2321">
            <v>3.6950017630465445E-2</v>
          </cell>
          <cell r="AE2321" t="str">
            <v>Con precio</v>
          </cell>
        </row>
        <row r="2322">
          <cell r="B2322" t="str">
            <v>C-CU0020</v>
          </cell>
          <cell r="X2322" t="str">
            <v>Formulación</v>
          </cell>
          <cell r="AC2322">
            <v>7.0300000000000001E-2</v>
          </cell>
          <cell r="AD2322">
            <v>7.0300000000000001E-2</v>
          </cell>
          <cell r="AE2322" t="str">
            <v>Con precio</v>
          </cell>
        </row>
        <row r="2323">
          <cell r="B2323" t="str">
            <v>C-CU0020</v>
          </cell>
          <cell r="X2323" t="str">
            <v>Formulación</v>
          </cell>
          <cell r="AC2323">
            <v>0</v>
          </cell>
          <cell r="AD2323">
            <v>0</v>
          </cell>
          <cell r="AE2323" t="str">
            <v>Con precio</v>
          </cell>
        </row>
        <row r="2324">
          <cell r="B2324" t="str">
            <v>C-CU0020</v>
          </cell>
          <cell r="X2324" t="str">
            <v>Formulación</v>
          </cell>
          <cell r="AC2324">
            <v>1.0860000000000001</v>
          </cell>
          <cell r="AD2324">
            <v>1.0860000000000001</v>
          </cell>
          <cell r="AE2324" t="str">
            <v>Con precio</v>
          </cell>
        </row>
        <row r="2325">
          <cell r="B2325" t="str">
            <v>C-CU0020</v>
          </cell>
          <cell r="X2325" t="str">
            <v>Formulación</v>
          </cell>
          <cell r="AC2325">
            <v>0.1701</v>
          </cell>
          <cell r="AD2325">
            <v>0.11538</v>
          </cell>
          <cell r="AE2325" t="str">
            <v>Con precio</v>
          </cell>
        </row>
        <row r="2326">
          <cell r="B2326" t="str">
            <v>C-CU0020</v>
          </cell>
          <cell r="X2326" t="str">
            <v>Formulación</v>
          </cell>
          <cell r="AC2326">
            <v>0.25650000000000001</v>
          </cell>
          <cell r="AD2326">
            <v>0.20221428571428576</v>
          </cell>
          <cell r="AE2326" t="str">
            <v>Con precio</v>
          </cell>
        </row>
        <row r="2327">
          <cell r="B2327" t="str">
            <v>C-CU0020</v>
          </cell>
          <cell r="X2327" t="str">
            <v>Empaquetado</v>
          </cell>
          <cell r="AC2327">
            <v>7.3209374999999993E-3</v>
          </cell>
          <cell r="AD2327">
            <v>7.3209374999999993E-3</v>
          </cell>
          <cell r="AE2327" t="str">
            <v>Con precio</v>
          </cell>
        </row>
        <row r="2328">
          <cell r="B2328" t="str">
            <v>C-CU0020</v>
          </cell>
          <cell r="X2328" t="str">
            <v>Empaquetado</v>
          </cell>
          <cell r="AC2328">
            <v>2.4171875000000002E-2</v>
          </cell>
          <cell r="AD2328">
            <v>2.4171875000000002E-2</v>
          </cell>
          <cell r="AE2328" t="str">
            <v>Con precio</v>
          </cell>
        </row>
        <row r="2329">
          <cell r="B2329" t="str">
            <v>C-CU0020</v>
          </cell>
          <cell r="X2329" t="str">
            <v>Empaquetado</v>
          </cell>
          <cell r="AC2329">
            <v>8.9999999999999993E-3</v>
          </cell>
          <cell r="AD2329">
            <v>8.9999999999999993E-3</v>
          </cell>
          <cell r="AE2329" t="str">
            <v>Con precio</v>
          </cell>
        </row>
        <row r="2330">
          <cell r="B2330" t="str">
            <v>C-CU0020</v>
          </cell>
          <cell r="X2330" t="str">
            <v>Empaquetado</v>
          </cell>
          <cell r="AC2330">
            <v>5.0719967793880849E-3</v>
          </cell>
          <cell r="AD2330">
            <v>5.0719967793880849E-3</v>
          </cell>
          <cell r="AE2330" t="str">
            <v>Con precio</v>
          </cell>
        </row>
        <row r="2331">
          <cell r="B2331" t="str">
            <v>C-CU0020</v>
          </cell>
          <cell r="X2331" t="str">
            <v>Empaquetado</v>
          </cell>
          <cell r="AC2331">
            <v>0.18266505681818179</v>
          </cell>
          <cell r="AD2331">
            <v>0.18266505681818179</v>
          </cell>
          <cell r="AE2331" t="str">
            <v>Con precio</v>
          </cell>
        </row>
        <row r="2332">
          <cell r="B2332" t="str">
            <v>C-CU0020</v>
          </cell>
          <cell r="X2332" t="str">
            <v>Empaquetado</v>
          </cell>
          <cell r="AC2332">
            <v>1.3125000000000001E-2</v>
          </cell>
          <cell r="AD2332">
            <v>1.3125000000000001E-2</v>
          </cell>
          <cell r="AE2332" t="str">
            <v>Con precio</v>
          </cell>
        </row>
        <row r="2333">
          <cell r="B2333" t="str">
            <v>C-CU0020CO</v>
          </cell>
          <cell r="X2333" t="str">
            <v>Formulación</v>
          </cell>
          <cell r="AC2333">
            <v>7.0300000000000001E-2</v>
          </cell>
          <cell r="AD2333">
            <v>7.0300000000000001E-2</v>
          </cell>
          <cell r="AE2333" t="str">
            <v>Con precio</v>
          </cell>
        </row>
        <row r="2334">
          <cell r="B2334" t="str">
            <v>C-CU0020CO</v>
          </cell>
          <cell r="X2334" t="str">
            <v>Formulación</v>
          </cell>
          <cell r="AC2334">
            <v>0</v>
          </cell>
          <cell r="AD2334">
            <v>0</v>
          </cell>
          <cell r="AE2334" t="str">
            <v>Con precio</v>
          </cell>
        </row>
        <row r="2335">
          <cell r="B2335" t="str">
            <v>C-CU0020CO</v>
          </cell>
          <cell r="X2335" t="str">
            <v>Formulación</v>
          </cell>
          <cell r="AC2335">
            <v>1.0860000000000001</v>
          </cell>
          <cell r="AD2335">
            <v>1.0860000000000001</v>
          </cell>
          <cell r="AE2335" t="str">
            <v>Con precio</v>
          </cell>
        </row>
        <row r="2336">
          <cell r="B2336" t="str">
            <v>C-CU0020CO</v>
          </cell>
          <cell r="X2336" t="str">
            <v>Formulación</v>
          </cell>
          <cell r="AC2336">
            <v>0.1701</v>
          </cell>
          <cell r="AD2336">
            <v>0.11538</v>
          </cell>
          <cell r="AE2336" t="str">
            <v>Con precio</v>
          </cell>
        </row>
        <row r="2337">
          <cell r="B2337" t="str">
            <v>C-CU0020CO</v>
          </cell>
          <cell r="X2337" t="str">
            <v>Formulación</v>
          </cell>
          <cell r="AC2337">
            <v>0.25650000000000001</v>
          </cell>
          <cell r="AD2337">
            <v>0.20221428571428576</v>
          </cell>
          <cell r="AE2337" t="str">
            <v>Con precio</v>
          </cell>
        </row>
        <row r="2338">
          <cell r="B2338" t="str">
            <v>C-CU0020CO</v>
          </cell>
          <cell r="X2338" t="str">
            <v>Empaquetado</v>
          </cell>
          <cell r="AC2338">
            <v>7.3209374999999993E-3</v>
          </cell>
          <cell r="AD2338">
            <v>7.3209374999999993E-3</v>
          </cell>
          <cell r="AE2338" t="str">
            <v>Con precio</v>
          </cell>
        </row>
        <row r="2339">
          <cell r="B2339" t="str">
            <v>C-CU0020CO</v>
          </cell>
          <cell r="X2339" t="str">
            <v>Empaquetado</v>
          </cell>
          <cell r="AC2339">
            <v>2.4171875000000002E-2</v>
          </cell>
          <cell r="AD2339">
            <v>2.4171875000000002E-2</v>
          </cell>
          <cell r="AE2339" t="str">
            <v>Con precio</v>
          </cell>
        </row>
        <row r="2340">
          <cell r="B2340" t="str">
            <v>C-CU0020CO</v>
          </cell>
          <cell r="X2340" t="str">
            <v>Empaquetado</v>
          </cell>
          <cell r="AC2340">
            <v>8.9999999999999993E-3</v>
          </cell>
          <cell r="AD2340">
            <v>8.9999999999999993E-3</v>
          </cell>
          <cell r="AE2340" t="str">
            <v>Con precio</v>
          </cell>
        </row>
        <row r="2341">
          <cell r="B2341" t="str">
            <v>C-CU0020CO</v>
          </cell>
          <cell r="X2341" t="str">
            <v>Empaquetado</v>
          </cell>
          <cell r="AC2341">
            <v>5.0719967793880849E-3</v>
          </cell>
          <cell r="AD2341">
            <v>5.0719967793880849E-3</v>
          </cell>
          <cell r="AE2341" t="str">
            <v>Con precio</v>
          </cell>
        </row>
        <row r="2342">
          <cell r="B2342" t="str">
            <v>C-CU0020CO</v>
          </cell>
          <cell r="X2342" t="str">
            <v>Empaquetado</v>
          </cell>
          <cell r="AC2342">
            <v>0.18266505681818179</v>
          </cell>
          <cell r="AD2342">
            <v>0.18266505681818179</v>
          </cell>
          <cell r="AE2342" t="str">
            <v>Con precio</v>
          </cell>
        </row>
        <row r="2343">
          <cell r="B2343" t="str">
            <v>C-CU0020CO</v>
          </cell>
          <cell r="X2343" t="str">
            <v>Empaquetado</v>
          </cell>
          <cell r="AC2343">
            <v>1.3125000000000001E-2</v>
          </cell>
          <cell r="AD2343">
            <v>1.3125000000000001E-2</v>
          </cell>
          <cell r="AE2343" t="str">
            <v>Con precio</v>
          </cell>
        </row>
        <row r="2344">
          <cell r="B2344" t="str">
            <v>C-CU0020MX</v>
          </cell>
          <cell r="X2344" t="str">
            <v>Formulación</v>
          </cell>
          <cell r="AC2344">
            <v>7.0300000000000001E-2</v>
          </cell>
          <cell r="AD2344">
            <v>7.0300000000000001E-2</v>
          </cell>
          <cell r="AE2344" t="str">
            <v>Con precio</v>
          </cell>
        </row>
        <row r="2345">
          <cell r="B2345" t="str">
            <v>C-CU0020MX</v>
          </cell>
          <cell r="X2345" t="str">
            <v>Formulación</v>
          </cell>
          <cell r="AC2345">
            <v>0</v>
          </cell>
          <cell r="AD2345">
            <v>0</v>
          </cell>
          <cell r="AE2345" t="str">
            <v>Con precio</v>
          </cell>
        </row>
        <row r="2346">
          <cell r="B2346" t="str">
            <v>C-CU0020MX</v>
          </cell>
          <cell r="X2346" t="str">
            <v>Formulación</v>
          </cell>
          <cell r="AC2346">
            <v>1.0860000000000001</v>
          </cell>
          <cell r="AD2346">
            <v>1.0860000000000001</v>
          </cell>
          <cell r="AE2346" t="str">
            <v>Con precio</v>
          </cell>
        </row>
        <row r="2347">
          <cell r="B2347" t="str">
            <v>C-CU0020MX</v>
          </cell>
          <cell r="X2347" t="str">
            <v>Formulación</v>
          </cell>
          <cell r="AC2347">
            <v>0.1701</v>
          </cell>
          <cell r="AD2347">
            <v>0.11538</v>
          </cell>
          <cell r="AE2347" t="str">
            <v>Con precio</v>
          </cell>
        </row>
        <row r="2348">
          <cell r="B2348" t="str">
            <v>C-CU0020MX</v>
          </cell>
          <cell r="X2348" t="str">
            <v>Formulación</v>
          </cell>
          <cell r="AC2348">
            <v>0.25650000000000001</v>
          </cell>
          <cell r="AD2348">
            <v>0.20221428571428576</v>
          </cell>
          <cell r="AE2348" t="str">
            <v>Con precio</v>
          </cell>
        </row>
        <row r="2349">
          <cell r="B2349" t="str">
            <v>C-CU0020MX</v>
          </cell>
          <cell r="X2349" t="str">
            <v>Empaquetado</v>
          </cell>
          <cell r="AC2349">
            <v>7.3209374999999993E-3</v>
          </cell>
          <cell r="AD2349">
            <v>7.3209374999999993E-3</v>
          </cell>
          <cell r="AE2349" t="str">
            <v>Con precio</v>
          </cell>
        </row>
        <row r="2350">
          <cell r="B2350" t="str">
            <v>C-CU0020MX</v>
          </cell>
          <cell r="X2350" t="str">
            <v>Empaquetado</v>
          </cell>
          <cell r="AC2350">
            <v>2.4171875000000002E-2</v>
          </cell>
          <cell r="AD2350">
            <v>2.4171875000000002E-2</v>
          </cell>
          <cell r="AE2350" t="str">
            <v>Con precio</v>
          </cell>
        </row>
        <row r="2351">
          <cell r="B2351" t="str">
            <v>C-CU0020MX</v>
          </cell>
          <cell r="X2351" t="str">
            <v>Empaquetado</v>
          </cell>
          <cell r="AC2351">
            <v>8.9999999999999993E-3</v>
          </cell>
          <cell r="AD2351">
            <v>8.9999999999999993E-3</v>
          </cell>
          <cell r="AE2351" t="str">
            <v>Con precio</v>
          </cell>
        </row>
        <row r="2352">
          <cell r="B2352" t="str">
            <v>C-CU0020MX</v>
          </cell>
          <cell r="X2352" t="str">
            <v>Empaquetado</v>
          </cell>
          <cell r="AC2352">
            <v>5.0719967793880849E-3</v>
          </cell>
          <cell r="AD2352">
            <v>5.0719967793880849E-3</v>
          </cell>
          <cell r="AE2352" t="str">
            <v>Con precio</v>
          </cell>
        </row>
        <row r="2353">
          <cell r="B2353" t="str">
            <v>C-CU0020MX</v>
          </cell>
          <cell r="X2353" t="str">
            <v>Empaquetado</v>
          </cell>
          <cell r="AC2353">
            <v>0.18266505681818179</v>
          </cell>
          <cell r="AD2353">
            <v>0.18266505681818179</v>
          </cell>
          <cell r="AE2353" t="str">
            <v>Con precio</v>
          </cell>
        </row>
        <row r="2354">
          <cell r="B2354" t="str">
            <v>C-CU0020MX</v>
          </cell>
          <cell r="X2354" t="str">
            <v>Empaquetado</v>
          </cell>
          <cell r="AC2354">
            <v>1.3125000000000001E-2</v>
          </cell>
          <cell r="AD2354">
            <v>1.3125000000000001E-2</v>
          </cell>
          <cell r="AE2354" t="str">
            <v>Con precio</v>
          </cell>
        </row>
        <row r="2355">
          <cell r="B2355" t="str">
            <v>C-CU0020RO</v>
          </cell>
          <cell r="X2355" t="str">
            <v>Formulación</v>
          </cell>
          <cell r="AC2355">
            <v>7.0300000000000001E-2</v>
          </cell>
          <cell r="AD2355">
            <v>7.0300000000000001E-2</v>
          </cell>
          <cell r="AE2355" t="str">
            <v>Con precio</v>
          </cell>
        </row>
        <row r="2356">
          <cell r="B2356" t="str">
            <v>C-CU0020RO</v>
          </cell>
          <cell r="X2356" t="str">
            <v>Formulación</v>
          </cell>
          <cell r="AC2356">
            <v>0</v>
          </cell>
          <cell r="AD2356">
            <v>0</v>
          </cell>
          <cell r="AE2356" t="str">
            <v>Con precio</v>
          </cell>
        </row>
        <row r="2357">
          <cell r="B2357" t="str">
            <v>C-CU0020RO</v>
          </cell>
          <cell r="X2357" t="str">
            <v>Formulación</v>
          </cell>
          <cell r="AC2357">
            <v>1.0860000000000001</v>
          </cell>
          <cell r="AD2357">
            <v>1.0860000000000001</v>
          </cell>
          <cell r="AE2357" t="str">
            <v>Con precio</v>
          </cell>
        </row>
        <row r="2358">
          <cell r="B2358" t="str">
            <v>C-CU0020RO</v>
          </cell>
          <cell r="X2358" t="str">
            <v>Formulación</v>
          </cell>
          <cell r="AC2358">
            <v>0.1701</v>
          </cell>
          <cell r="AD2358">
            <v>0.11538</v>
          </cell>
          <cell r="AE2358" t="str">
            <v>Con precio</v>
          </cell>
        </row>
        <row r="2359">
          <cell r="B2359" t="str">
            <v>C-CU0020RO</v>
          </cell>
          <cell r="X2359" t="str">
            <v>Formulación</v>
          </cell>
          <cell r="AC2359">
            <v>0.25650000000000001</v>
          </cell>
          <cell r="AD2359">
            <v>0.20221428571428576</v>
          </cell>
          <cell r="AE2359" t="str">
            <v>Con precio</v>
          </cell>
        </row>
        <row r="2360">
          <cell r="B2360" t="str">
            <v>C-CU0020RO</v>
          </cell>
          <cell r="X2360" t="str">
            <v>Empaquetado</v>
          </cell>
          <cell r="AC2360">
            <v>7.3209374999999993E-3</v>
          </cell>
          <cell r="AD2360">
            <v>7.3209374999999993E-3</v>
          </cell>
          <cell r="AE2360" t="str">
            <v>Con precio</v>
          </cell>
        </row>
        <row r="2361">
          <cell r="B2361" t="str">
            <v>C-CU0020RO</v>
          </cell>
          <cell r="X2361" t="str">
            <v>Empaquetado</v>
          </cell>
          <cell r="AC2361">
            <v>2.4171875000000002E-2</v>
          </cell>
          <cell r="AD2361">
            <v>2.4171875000000002E-2</v>
          </cell>
          <cell r="AE2361" t="str">
            <v>Con precio</v>
          </cell>
        </row>
        <row r="2362">
          <cell r="B2362" t="str">
            <v>C-CU0020RO</v>
          </cell>
          <cell r="X2362" t="str">
            <v>Empaquetado</v>
          </cell>
          <cell r="AC2362">
            <v>8.9999999999999993E-3</v>
          </cell>
          <cell r="AD2362">
            <v>8.9999999999999993E-3</v>
          </cell>
          <cell r="AE2362" t="str">
            <v>Con precio</v>
          </cell>
        </row>
        <row r="2363">
          <cell r="B2363" t="str">
            <v>C-CU0020RO</v>
          </cell>
          <cell r="X2363" t="str">
            <v>Empaquetado</v>
          </cell>
          <cell r="AC2363">
            <v>5.0719967793880849E-3</v>
          </cell>
          <cell r="AD2363">
            <v>5.0719967793880849E-3</v>
          </cell>
          <cell r="AE2363" t="str">
            <v>Con precio</v>
          </cell>
        </row>
        <row r="2364">
          <cell r="B2364" t="str">
            <v>C-CU0020RO</v>
          </cell>
          <cell r="X2364" t="str">
            <v>Empaquetado</v>
          </cell>
          <cell r="AC2364">
            <v>0.18266505681818179</v>
          </cell>
          <cell r="AD2364">
            <v>0.18266505681818179</v>
          </cell>
          <cell r="AE2364" t="str">
            <v>Con precio</v>
          </cell>
        </row>
        <row r="2365">
          <cell r="B2365" t="str">
            <v>C-CU0020RO</v>
          </cell>
          <cell r="X2365" t="str">
            <v>Empaquetado</v>
          </cell>
          <cell r="AC2365">
            <v>1.3125000000000001E-2</v>
          </cell>
          <cell r="AD2365">
            <v>1.3125000000000001E-2</v>
          </cell>
          <cell r="AE2365" t="str">
            <v>Con precio</v>
          </cell>
        </row>
        <row r="2366">
          <cell r="B2366" t="str">
            <v>C-CU1000</v>
          </cell>
          <cell r="X2366" t="str">
            <v>Formulación</v>
          </cell>
          <cell r="AC2366">
            <v>7.0300000000000001E-2</v>
          </cell>
          <cell r="AD2366">
            <v>7.0300000000000001E-2</v>
          </cell>
          <cell r="AE2366" t="str">
            <v>Con precio</v>
          </cell>
        </row>
        <row r="2367">
          <cell r="B2367" t="str">
            <v>C-CU1000</v>
          </cell>
          <cell r="X2367" t="str">
            <v>Formulación</v>
          </cell>
          <cell r="AC2367">
            <v>0</v>
          </cell>
          <cell r="AD2367">
            <v>0</v>
          </cell>
          <cell r="AE2367" t="str">
            <v>Con precio</v>
          </cell>
        </row>
        <row r="2368">
          <cell r="B2368" t="str">
            <v>C-CU1000</v>
          </cell>
          <cell r="X2368" t="str">
            <v>Formulación</v>
          </cell>
          <cell r="AC2368">
            <v>1.0860000000000001</v>
          </cell>
          <cell r="AD2368">
            <v>1.0860000000000001</v>
          </cell>
          <cell r="AE2368" t="str">
            <v>Con precio</v>
          </cell>
        </row>
        <row r="2369">
          <cell r="B2369" t="str">
            <v>C-CU1000</v>
          </cell>
          <cell r="X2369" t="str">
            <v>Formulación</v>
          </cell>
          <cell r="AC2369">
            <v>0.1701</v>
          </cell>
          <cell r="AD2369">
            <v>0.11538</v>
          </cell>
          <cell r="AE2369" t="str">
            <v>Con precio</v>
          </cell>
        </row>
        <row r="2370">
          <cell r="B2370" t="str">
            <v>C-CU1000</v>
          </cell>
          <cell r="X2370" t="str">
            <v>Formulación</v>
          </cell>
          <cell r="AC2370">
            <v>0.25650000000000001</v>
          </cell>
          <cell r="AD2370">
            <v>0.20221428571428576</v>
          </cell>
          <cell r="AE2370" t="str">
            <v>Con precio</v>
          </cell>
        </row>
        <row r="2371">
          <cell r="B2371" t="str">
            <v>C-CU1000</v>
          </cell>
          <cell r="X2371" t="str">
            <v>Empaquetado</v>
          </cell>
          <cell r="AC2371">
            <v>0.11700000000000001</v>
          </cell>
          <cell r="AD2371">
            <v>0.11700000000000001</v>
          </cell>
          <cell r="AE2371" t="str">
            <v>Con precio</v>
          </cell>
        </row>
        <row r="2372">
          <cell r="B2372" t="str">
            <v>C-CU1000</v>
          </cell>
          <cell r="X2372" t="str">
            <v>Empaquetado</v>
          </cell>
          <cell r="AC2372">
            <v>2.028798711755234E-4</v>
          </cell>
          <cell r="AD2372">
            <v>2.028798711755234E-4</v>
          </cell>
          <cell r="AE2372" t="str">
            <v>Con precio</v>
          </cell>
        </row>
        <row r="2373">
          <cell r="B2373" t="str">
            <v>C-CU1000CR</v>
          </cell>
          <cell r="X2373" t="str">
            <v>Formulación</v>
          </cell>
          <cell r="AC2373">
            <v>7.0300000000000001E-2</v>
          </cell>
          <cell r="AD2373">
            <v>7.0300000000000001E-2</v>
          </cell>
          <cell r="AE2373" t="str">
            <v>Con precio</v>
          </cell>
        </row>
        <row r="2374">
          <cell r="B2374" t="str">
            <v>C-CU1000CR</v>
          </cell>
          <cell r="X2374" t="str">
            <v>Formulación</v>
          </cell>
          <cell r="AC2374">
            <v>0</v>
          </cell>
          <cell r="AD2374">
            <v>0</v>
          </cell>
          <cell r="AE2374" t="str">
            <v>Con precio</v>
          </cell>
        </row>
        <row r="2375">
          <cell r="B2375" t="str">
            <v>C-CU1000CR</v>
          </cell>
          <cell r="X2375" t="str">
            <v>Formulación</v>
          </cell>
          <cell r="AC2375">
            <v>1.0860000000000001</v>
          </cell>
          <cell r="AD2375">
            <v>1.0860000000000001</v>
          </cell>
          <cell r="AE2375" t="str">
            <v>Con precio</v>
          </cell>
        </row>
        <row r="2376">
          <cell r="B2376" t="str">
            <v>C-CU1000CR</v>
          </cell>
          <cell r="X2376" t="str">
            <v>Formulación</v>
          </cell>
          <cell r="AC2376">
            <v>0.1701</v>
          </cell>
          <cell r="AD2376">
            <v>0.11538</v>
          </cell>
          <cell r="AE2376" t="str">
            <v>Con precio</v>
          </cell>
        </row>
        <row r="2377">
          <cell r="B2377" t="str">
            <v>C-CU1000CR</v>
          </cell>
          <cell r="X2377" t="str">
            <v>Formulación</v>
          </cell>
          <cell r="AC2377">
            <v>0.25650000000000001</v>
          </cell>
          <cell r="AD2377">
            <v>0.20221428571428576</v>
          </cell>
          <cell r="AE2377" t="str">
            <v>Con precio</v>
          </cell>
        </row>
        <row r="2378">
          <cell r="B2378" t="str">
            <v>C-CU1000CR</v>
          </cell>
          <cell r="X2378" t="str">
            <v>Empaquetado</v>
          </cell>
          <cell r="AC2378">
            <v>0.11700000000000001</v>
          </cell>
          <cell r="AD2378">
            <v>0.11700000000000001</v>
          </cell>
          <cell r="AE2378" t="str">
            <v>Con precio</v>
          </cell>
        </row>
        <row r="2379">
          <cell r="B2379" t="str">
            <v>C-CU1000CR</v>
          </cell>
          <cell r="X2379" t="str">
            <v>Empaquetado</v>
          </cell>
          <cell r="AC2379">
            <v>2.028798711755234E-4</v>
          </cell>
          <cell r="AD2379">
            <v>2.028798711755234E-4</v>
          </cell>
          <cell r="AE2379" t="str">
            <v>Con precio</v>
          </cell>
        </row>
        <row r="2380">
          <cell r="B2380" t="str">
            <v>C-CU1000TR</v>
          </cell>
          <cell r="X2380" t="str">
            <v>Formulación</v>
          </cell>
          <cell r="AC2380">
            <v>7.0300000000000001E-2</v>
          </cell>
          <cell r="AD2380">
            <v>7.0300000000000001E-2</v>
          </cell>
          <cell r="AE2380" t="str">
            <v>Con precio</v>
          </cell>
        </row>
        <row r="2381">
          <cell r="B2381" t="str">
            <v>C-CU1000TR</v>
          </cell>
          <cell r="X2381" t="str">
            <v>Formulación</v>
          </cell>
          <cell r="AC2381">
            <v>0</v>
          </cell>
          <cell r="AD2381">
            <v>0</v>
          </cell>
          <cell r="AE2381" t="str">
            <v>Con precio</v>
          </cell>
        </row>
        <row r="2382">
          <cell r="B2382" t="str">
            <v>C-CU1000TR</v>
          </cell>
          <cell r="X2382" t="str">
            <v>Formulación</v>
          </cell>
          <cell r="AC2382">
            <v>1.0860000000000001</v>
          </cell>
          <cell r="AD2382">
            <v>1.0860000000000001</v>
          </cell>
          <cell r="AE2382" t="str">
            <v>Con precio</v>
          </cell>
        </row>
        <row r="2383">
          <cell r="B2383" t="str">
            <v>C-CU1000TR</v>
          </cell>
          <cell r="X2383" t="str">
            <v>Formulación</v>
          </cell>
          <cell r="AC2383">
            <v>0.1701</v>
          </cell>
          <cell r="AD2383">
            <v>0.11538</v>
          </cell>
          <cell r="AE2383" t="str">
            <v>Con precio</v>
          </cell>
        </row>
        <row r="2384">
          <cell r="B2384" t="str">
            <v>C-CU1000TR</v>
          </cell>
          <cell r="X2384" t="str">
            <v>Formulación</v>
          </cell>
          <cell r="AC2384">
            <v>0.25650000000000001</v>
          </cell>
          <cell r="AD2384">
            <v>0.20221428571428576</v>
          </cell>
          <cell r="AE2384" t="str">
            <v>Con precio</v>
          </cell>
        </row>
        <row r="2385">
          <cell r="B2385" t="str">
            <v>C-CU1000TR</v>
          </cell>
          <cell r="X2385" t="str">
            <v>Empaquetado</v>
          </cell>
          <cell r="AC2385">
            <v>0.11700000000000001</v>
          </cell>
          <cell r="AD2385">
            <v>0.11700000000000001</v>
          </cell>
          <cell r="AE2385" t="str">
            <v>Con precio</v>
          </cell>
        </row>
        <row r="2386">
          <cell r="B2386" t="str">
            <v>C-CU1000TR</v>
          </cell>
          <cell r="X2386" t="str">
            <v>Empaquetado</v>
          </cell>
          <cell r="AC2386">
            <v>2.028798711755234E-4</v>
          </cell>
          <cell r="AD2386">
            <v>2.028798711755234E-4</v>
          </cell>
          <cell r="AE2386" t="str">
            <v>Con precio</v>
          </cell>
        </row>
        <row r="2387">
          <cell r="B2387" t="str">
            <v>C-CU20001EG</v>
          </cell>
          <cell r="X2387" t="str">
            <v>Formulación</v>
          </cell>
          <cell r="AC2387">
            <v>0.53590000000000004</v>
          </cell>
          <cell r="AD2387">
            <v>0.53279333333333334</v>
          </cell>
          <cell r="AE2387" t="str">
            <v>Con precio</v>
          </cell>
        </row>
        <row r="2388">
          <cell r="B2388" t="str">
            <v>C-CU20001EG</v>
          </cell>
          <cell r="X2388" t="str">
            <v>Formulación</v>
          </cell>
          <cell r="AC2388">
            <v>0</v>
          </cell>
          <cell r="AD2388">
            <v>0</v>
          </cell>
          <cell r="AE2388" t="str">
            <v>Con precio</v>
          </cell>
        </row>
        <row r="2389">
          <cell r="B2389" t="str">
            <v>C-CU20001EG</v>
          </cell>
          <cell r="X2389" t="str">
            <v>Formulación</v>
          </cell>
          <cell r="AC2389">
            <v>1.2669999999999999</v>
          </cell>
          <cell r="AD2389">
            <v>1.2669999999999999</v>
          </cell>
          <cell r="AE2389" t="str">
            <v>Con precio</v>
          </cell>
        </row>
        <row r="2390">
          <cell r="B2390" t="str">
            <v>C-CU20001EG</v>
          </cell>
          <cell r="X2390" t="str">
            <v>Formulación</v>
          </cell>
          <cell r="AC2390">
            <v>9.5119999999999996E-2</v>
          </cell>
          <cell r="AD2390">
            <v>8.3127499999999993E-2</v>
          </cell>
          <cell r="AE2390" t="str">
            <v>Con precio</v>
          </cell>
        </row>
        <row r="2391">
          <cell r="B2391" t="str">
            <v>C-CU20001EG</v>
          </cell>
          <cell r="X2391" t="str">
            <v>Empaquetado</v>
          </cell>
          <cell r="AC2391">
            <v>3.0303030303030299E-5</v>
          </cell>
          <cell r="AD2391">
            <v>3.0303030303030299E-5</v>
          </cell>
          <cell r="AE2391" t="str">
            <v>Con precio</v>
          </cell>
        </row>
        <row r="2392">
          <cell r="B2392" t="str">
            <v>C-CU20001EG</v>
          </cell>
          <cell r="X2392" t="str">
            <v>Empaquetado</v>
          </cell>
          <cell r="AC2392">
            <v>2.3439393939393937E-2</v>
          </cell>
          <cell r="AD2392">
            <v>2.3439393939393937E-2</v>
          </cell>
          <cell r="AE2392" t="str">
            <v>Con precio</v>
          </cell>
        </row>
        <row r="2393">
          <cell r="B2393" t="str">
            <v>C-CU20001EG</v>
          </cell>
          <cell r="X2393" t="str">
            <v>Empaquetado</v>
          </cell>
          <cell r="AC2393">
            <v>7.1917518745739595E-2</v>
          </cell>
          <cell r="AD2393">
            <v>7.1917518745739595E-2</v>
          </cell>
          <cell r="AE2393" t="str">
            <v>Con precio</v>
          </cell>
        </row>
        <row r="2394">
          <cell r="B2394" t="str">
            <v>C-CU20001EG</v>
          </cell>
          <cell r="X2394" t="str">
            <v>Empaquetado</v>
          </cell>
          <cell r="AC2394">
            <v>0.45124999999999998</v>
          </cell>
          <cell r="AD2394">
            <v>0.32061666666666666</v>
          </cell>
          <cell r="AE2394" t="str">
            <v>Con precio</v>
          </cell>
        </row>
        <row r="2395">
          <cell r="B2395" t="str">
            <v>C-CU20001EG</v>
          </cell>
          <cell r="X2395" t="str">
            <v>Empaquetado</v>
          </cell>
          <cell r="AC2395">
            <v>0.44322992424242419</v>
          </cell>
          <cell r="AD2395">
            <v>0.44322992424242419</v>
          </cell>
          <cell r="AE2395" t="str">
            <v>Con precio</v>
          </cell>
        </row>
        <row r="2396">
          <cell r="B2396" t="str">
            <v>C-CU20001EG</v>
          </cell>
          <cell r="X2396" t="str">
            <v>Empaquetado</v>
          </cell>
          <cell r="AC2396">
            <v>9.8583333333333301E-2</v>
          </cell>
          <cell r="AD2396">
            <v>9.8583333333333301E-2</v>
          </cell>
          <cell r="AE2396" t="str">
            <v>Con precio</v>
          </cell>
        </row>
        <row r="2397">
          <cell r="B2397" t="str">
            <v>C-CUAE0005</v>
          </cell>
          <cell r="X2397" t="str">
            <v>Formulación</v>
          </cell>
          <cell r="AC2397">
            <v>7.0300000000000001E-2</v>
          </cell>
          <cell r="AD2397">
            <v>7.0300000000000001E-2</v>
          </cell>
          <cell r="AE2397" t="str">
            <v>Con precio</v>
          </cell>
        </row>
        <row r="2398">
          <cell r="B2398" t="str">
            <v>C-CUAE0005</v>
          </cell>
          <cell r="X2398" t="str">
            <v>Formulación</v>
          </cell>
          <cell r="AC2398">
            <v>0</v>
          </cell>
          <cell r="AD2398">
            <v>0</v>
          </cell>
          <cell r="AE2398" t="str">
            <v>Con precio</v>
          </cell>
        </row>
        <row r="2399">
          <cell r="B2399" t="str">
            <v>C-CUAE0005</v>
          </cell>
          <cell r="X2399" t="str">
            <v>Formulación</v>
          </cell>
          <cell r="AC2399">
            <v>1.0860000000000001</v>
          </cell>
          <cell r="AD2399">
            <v>1.0860000000000001</v>
          </cell>
          <cell r="AE2399" t="str">
            <v>Con precio</v>
          </cell>
        </row>
        <row r="2400">
          <cell r="B2400" t="str">
            <v>C-CUAE0005</v>
          </cell>
          <cell r="X2400" t="str">
            <v>Formulación</v>
          </cell>
          <cell r="AC2400">
            <v>0.1701</v>
          </cell>
          <cell r="AD2400">
            <v>0.11538</v>
          </cell>
          <cell r="AE2400" t="str">
            <v>Con precio</v>
          </cell>
        </row>
        <row r="2401">
          <cell r="B2401" t="str">
            <v>C-CUAE0005</v>
          </cell>
          <cell r="X2401" t="str">
            <v>Formulación</v>
          </cell>
          <cell r="AC2401">
            <v>0.25650000000000001</v>
          </cell>
          <cell r="AD2401">
            <v>0.20221428571428576</v>
          </cell>
          <cell r="AE2401" t="str">
            <v>Con precio</v>
          </cell>
        </row>
        <row r="2402">
          <cell r="B2402" t="str">
            <v>C-CUAE0005</v>
          </cell>
          <cell r="X2402" t="str">
            <v>Empaquetado</v>
          </cell>
          <cell r="AC2402">
            <v>1.2991333333333337E-2</v>
          </cell>
          <cell r="AD2402">
            <v>1.2991333333333337E-2</v>
          </cell>
          <cell r="AE2402" t="str">
            <v>Con precio</v>
          </cell>
        </row>
        <row r="2403">
          <cell r="B2403" t="str">
            <v>C-CUAE0005</v>
          </cell>
          <cell r="X2403" t="str">
            <v>Empaquetado</v>
          </cell>
          <cell r="AC2403">
            <v>2.5783333333333339E-2</v>
          </cell>
          <cell r="AD2403">
            <v>2.5783333333333339E-2</v>
          </cell>
          <cell r="AE2403" t="str">
            <v>Con precio</v>
          </cell>
        </row>
        <row r="2404">
          <cell r="B2404" t="str">
            <v>C-CUAE0005</v>
          </cell>
          <cell r="X2404" t="str">
            <v>Empaquetado</v>
          </cell>
          <cell r="AC2404">
            <v>2.5359983896940424E-2</v>
          </cell>
          <cell r="AD2404">
            <v>2.5359983896940424E-2</v>
          </cell>
          <cell r="AE2404" t="str">
            <v>Con precio</v>
          </cell>
        </row>
        <row r="2405">
          <cell r="B2405" t="str">
            <v>C-CUAE0005</v>
          </cell>
          <cell r="X2405" t="str">
            <v>Empaquetado</v>
          </cell>
          <cell r="AC2405">
            <v>0.17399999999999999</v>
          </cell>
          <cell r="AD2405">
            <v>0.17399999999999999</v>
          </cell>
          <cell r="AE2405" t="str">
            <v>Con precio</v>
          </cell>
        </row>
        <row r="2406">
          <cell r="B2406" t="str">
            <v>C-CUAE0005</v>
          </cell>
          <cell r="X2406" t="str">
            <v>Empaquetado</v>
          </cell>
          <cell r="AC2406">
            <v>4.0000000000000008E-2</v>
          </cell>
          <cell r="AD2406">
            <v>4.0000000000000008E-2</v>
          </cell>
          <cell r="AE2406" t="str">
            <v>Con precio</v>
          </cell>
        </row>
        <row r="2407">
          <cell r="B2407" t="str">
            <v>C-CUAE0005</v>
          </cell>
          <cell r="X2407" t="str">
            <v>Empaquetado</v>
          </cell>
          <cell r="AC2407">
            <v>3.6950017630465445E-2</v>
          </cell>
          <cell r="AD2407">
            <v>3.6950017630465445E-2</v>
          </cell>
          <cell r="AE2407" t="str">
            <v>Con precio</v>
          </cell>
        </row>
        <row r="2408">
          <cell r="B2408" t="str">
            <v>C-CUAE0005MA</v>
          </cell>
          <cell r="X2408" t="str">
            <v>Formulación</v>
          </cell>
          <cell r="AC2408">
            <v>7.0300000000000001E-2</v>
          </cell>
          <cell r="AD2408">
            <v>7.0300000000000001E-2</v>
          </cell>
          <cell r="AE2408" t="str">
            <v>Con precio</v>
          </cell>
        </row>
        <row r="2409">
          <cell r="B2409" t="str">
            <v>C-CUAE0005MA</v>
          </cell>
          <cell r="X2409" t="str">
            <v>Formulación</v>
          </cell>
          <cell r="AC2409">
            <v>0</v>
          </cell>
          <cell r="AD2409">
            <v>0</v>
          </cell>
          <cell r="AE2409" t="str">
            <v>Con precio</v>
          </cell>
        </row>
        <row r="2410">
          <cell r="B2410" t="str">
            <v>C-CUAE0005MA</v>
          </cell>
          <cell r="X2410" t="str">
            <v>Formulación</v>
          </cell>
          <cell r="AC2410">
            <v>1.0860000000000001</v>
          </cell>
          <cell r="AD2410">
            <v>1.0860000000000001</v>
          </cell>
          <cell r="AE2410" t="str">
            <v>Con precio</v>
          </cell>
        </row>
        <row r="2411">
          <cell r="B2411" t="str">
            <v>C-CUAE0005MA</v>
          </cell>
          <cell r="X2411" t="str">
            <v>Formulación</v>
          </cell>
          <cell r="AC2411">
            <v>0.1701</v>
          </cell>
          <cell r="AD2411">
            <v>0.11538</v>
          </cell>
          <cell r="AE2411" t="str">
            <v>Con precio</v>
          </cell>
        </row>
        <row r="2412">
          <cell r="B2412" t="str">
            <v>C-CUAE0005MA</v>
          </cell>
          <cell r="X2412" t="str">
            <v>Formulación</v>
          </cell>
          <cell r="AC2412">
            <v>0.25650000000000001</v>
          </cell>
          <cell r="AD2412">
            <v>0.20221428571428576</v>
          </cell>
          <cell r="AE2412" t="str">
            <v>Con precio</v>
          </cell>
        </row>
        <row r="2413">
          <cell r="B2413" t="str">
            <v>C-CUAE0005MA</v>
          </cell>
          <cell r="X2413" t="str">
            <v>Empaquetado</v>
          </cell>
          <cell r="AC2413">
            <v>1.2991333333333337E-2</v>
          </cell>
          <cell r="AD2413">
            <v>1.2991333333333337E-2</v>
          </cell>
          <cell r="AE2413" t="str">
            <v>Con precio</v>
          </cell>
        </row>
        <row r="2414">
          <cell r="B2414" t="str">
            <v>C-CUAE0005MA</v>
          </cell>
          <cell r="X2414" t="str">
            <v>Empaquetado</v>
          </cell>
          <cell r="AC2414">
            <v>2.5783333333333339E-2</v>
          </cell>
          <cell r="AD2414">
            <v>2.5783333333333339E-2</v>
          </cell>
          <cell r="AE2414" t="str">
            <v>Con precio</v>
          </cell>
        </row>
        <row r="2415">
          <cell r="B2415" t="str">
            <v>C-CUAE0005MA</v>
          </cell>
          <cell r="X2415" t="str">
            <v>Empaquetado</v>
          </cell>
          <cell r="AC2415">
            <v>2.5359983896940424E-2</v>
          </cell>
          <cell r="AD2415">
            <v>2.5359983896940424E-2</v>
          </cell>
          <cell r="AE2415" t="str">
            <v>Con precio</v>
          </cell>
        </row>
        <row r="2416">
          <cell r="B2416" t="str">
            <v>C-CUAE0005MA</v>
          </cell>
          <cell r="X2416" t="str">
            <v>Empaquetado</v>
          </cell>
          <cell r="AC2416">
            <v>0.17399999999999999</v>
          </cell>
          <cell r="AD2416">
            <v>0.17399999999999999</v>
          </cell>
          <cell r="AE2416" t="str">
            <v>Con precio</v>
          </cell>
        </row>
        <row r="2417">
          <cell r="B2417" t="str">
            <v>C-CUAE0005MA</v>
          </cell>
          <cell r="X2417" t="str">
            <v>Empaquetado</v>
          </cell>
          <cell r="AC2417">
            <v>4.0000000000000008E-2</v>
          </cell>
          <cell r="AD2417">
            <v>4.0000000000000008E-2</v>
          </cell>
          <cell r="AE2417" t="str">
            <v>Con precio</v>
          </cell>
        </row>
        <row r="2418">
          <cell r="B2418" t="str">
            <v>C-CUAE0005MA</v>
          </cell>
          <cell r="X2418" t="str">
            <v>Empaquetado</v>
          </cell>
          <cell r="AC2418">
            <v>3.6950017630465445E-2</v>
          </cell>
          <cell r="AD2418">
            <v>3.6950017630465445E-2</v>
          </cell>
          <cell r="AE2418" t="str">
            <v>Con precio</v>
          </cell>
        </row>
        <row r="2419">
          <cell r="B2419" t="str">
            <v>C-CUAE0020</v>
          </cell>
          <cell r="X2419" t="str">
            <v>Formulación</v>
          </cell>
          <cell r="AC2419">
            <v>7.0300000000000001E-2</v>
          </cell>
          <cell r="AD2419">
            <v>7.0300000000000001E-2</v>
          </cell>
          <cell r="AE2419" t="str">
            <v>Con precio</v>
          </cell>
        </row>
        <row r="2420">
          <cell r="B2420" t="str">
            <v>C-CUAE0020</v>
          </cell>
          <cell r="X2420" t="str">
            <v>Formulación</v>
          </cell>
          <cell r="AC2420">
            <v>0</v>
          </cell>
          <cell r="AD2420">
            <v>0</v>
          </cell>
          <cell r="AE2420" t="str">
            <v>Con precio</v>
          </cell>
        </row>
        <row r="2421">
          <cell r="B2421" t="str">
            <v>C-CUAE0020</v>
          </cell>
          <cell r="X2421" t="str">
            <v>Formulación</v>
          </cell>
          <cell r="AC2421">
            <v>1.0860000000000001</v>
          </cell>
          <cell r="AD2421">
            <v>1.0860000000000001</v>
          </cell>
          <cell r="AE2421" t="str">
            <v>Con precio</v>
          </cell>
        </row>
        <row r="2422">
          <cell r="B2422" t="str">
            <v>C-CUAE0020</v>
          </cell>
          <cell r="X2422" t="str">
            <v>Formulación</v>
          </cell>
          <cell r="AC2422">
            <v>0.1701</v>
          </cell>
          <cell r="AD2422">
            <v>0.11538</v>
          </cell>
          <cell r="AE2422" t="str">
            <v>Con precio</v>
          </cell>
        </row>
        <row r="2423">
          <cell r="B2423" t="str">
            <v>C-CUAE0020</v>
          </cell>
          <cell r="X2423" t="str">
            <v>Formulación</v>
          </cell>
          <cell r="AC2423">
            <v>0.25650000000000001</v>
          </cell>
          <cell r="AD2423">
            <v>0.20221428571428576</v>
          </cell>
          <cell r="AE2423" t="str">
            <v>Con precio</v>
          </cell>
        </row>
        <row r="2424">
          <cell r="B2424" t="str">
            <v>C-CUAE0020</v>
          </cell>
          <cell r="X2424" t="str">
            <v>Empaquetado</v>
          </cell>
          <cell r="AC2424">
            <v>7.8090000000000008E-3</v>
          </cell>
          <cell r="AD2424">
            <v>7.8090000000000008E-3</v>
          </cell>
          <cell r="AE2424" t="str">
            <v>Con precio</v>
          </cell>
        </row>
        <row r="2425">
          <cell r="B2425" t="str">
            <v>C-CUAE0020</v>
          </cell>
          <cell r="X2425" t="str">
            <v>Empaquetado</v>
          </cell>
          <cell r="AC2425">
            <v>2.5783333333333339E-2</v>
          </cell>
          <cell r="AD2425">
            <v>2.5783333333333339E-2</v>
          </cell>
          <cell r="AE2425" t="str">
            <v>Con precio</v>
          </cell>
        </row>
        <row r="2426">
          <cell r="B2426" t="str">
            <v>C-CUAE0020</v>
          </cell>
          <cell r="X2426" t="str">
            <v>Empaquetado</v>
          </cell>
          <cell r="AC2426">
            <v>0.26250000000000001</v>
          </cell>
          <cell r="AD2426">
            <v>0.26250000000000001</v>
          </cell>
          <cell r="AE2426" t="str">
            <v>Con precio</v>
          </cell>
        </row>
        <row r="2427">
          <cell r="B2427" t="str">
            <v>C-CUAE0020</v>
          </cell>
          <cell r="X2427" t="str">
            <v>Empaquetado</v>
          </cell>
          <cell r="AC2427">
            <v>5.0719967793880849E-3</v>
          </cell>
          <cell r="AD2427">
            <v>5.0719967793880849E-3</v>
          </cell>
          <cell r="AE2427" t="str">
            <v>Con precio</v>
          </cell>
        </row>
        <row r="2428">
          <cell r="B2428" t="str">
            <v>C-CUAE0020</v>
          </cell>
          <cell r="X2428" t="str">
            <v>Empaquetado</v>
          </cell>
          <cell r="AC2428">
            <v>0.18266505681818179</v>
          </cell>
          <cell r="AD2428">
            <v>0.18266505681818179</v>
          </cell>
          <cell r="AE2428" t="str">
            <v>Con precio</v>
          </cell>
        </row>
        <row r="2429">
          <cell r="B2429" t="str">
            <v>C-GLB0001</v>
          </cell>
          <cell r="X2429" t="str">
            <v>Formulación</v>
          </cell>
          <cell r="AC2429">
            <v>2.9437199999999999</v>
          </cell>
          <cell r="AD2429">
            <v>2.6284266666666665</v>
          </cell>
          <cell r="AE2429" t="str">
            <v>Con precio</v>
          </cell>
        </row>
        <row r="2430">
          <cell r="B2430" t="str">
            <v>C-GLB0001</v>
          </cell>
          <cell r="X2430" t="str">
            <v>Formulación</v>
          </cell>
          <cell r="AC2430">
            <v>8.4640000000000007E-2</v>
          </cell>
          <cell r="AD2430">
            <v>8.1879999999999994E-2</v>
          </cell>
          <cell r="AE2430" t="str">
            <v>Con precio</v>
          </cell>
        </row>
        <row r="2431">
          <cell r="B2431" t="str">
            <v>C-GLB0001</v>
          </cell>
          <cell r="X2431" t="str">
            <v>Formulación</v>
          </cell>
          <cell r="AC2431">
            <v>3.5000000000000003E-2</v>
          </cell>
          <cell r="AD2431">
            <v>3.2733333333333337E-2</v>
          </cell>
          <cell r="AE2431" t="str">
            <v>Con precio</v>
          </cell>
        </row>
        <row r="2432">
          <cell r="B2432" t="str">
            <v>C-GLB0001</v>
          </cell>
          <cell r="X2432" t="str">
            <v>Formulación</v>
          </cell>
          <cell r="AC2432">
            <v>0.27760000000000001</v>
          </cell>
          <cell r="AD2432">
            <v>0.27760000000000001</v>
          </cell>
          <cell r="AE2432" t="str">
            <v>Con precio</v>
          </cell>
        </row>
        <row r="2433">
          <cell r="B2433" t="str">
            <v>C-GLB0001</v>
          </cell>
          <cell r="X2433" t="str">
            <v>Formulación</v>
          </cell>
          <cell r="AC2433">
            <v>4.7E-2</v>
          </cell>
          <cell r="AD2433">
            <v>3.832E-2</v>
          </cell>
          <cell r="AE2433" t="str">
            <v>Con precio</v>
          </cell>
        </row>
        <row r="2434">
          <cell r="B2434" t="str">
            <v>C-GLB0001</v>
          </cell>
          <cell r="X2434" t="str">
            <v>Formulación</v>
          </cell>
          <cell r="AC2434">
            <v>6.4000000000000001E-2</v>
          </cell>
          <cell r="AD2434">
            <v>5.7500000000000002E-2</v>
          </cell>
          <cell r="AE2434" t="str">
            <v>Con precio</v>
          </cell>
        </row>
        <row r="2435">
          <cell r="B2435" t="str">
            <v>C-GLB0001</v>
          </cell>
          <cell r="X2435" t="str">
            <v>Empaquetado</v>
          </cell>
          <cell r="AC2435">
            <v>2.5252525252525259E-5</v>
          </cell>
          <cell r="AD2435">
            <v>2.5252525252525259E-5</v>
          </cell>
          <cell r="AE2435" t="str">
            <v>Con precio</v>
          </cell>
        </row>
        <row r="2436">
          <cell r="B2436" t="str">
            <v>C-GLB0001</v>
          </cell>
          <cell r="X2436" t="str">
            <v>Empaquetado</v>
          </cell>
          <cell r="AC2436">
            <v>1.9532828282828287E-2</v>
          </cell>
          <cell r="AD2436">
            <v>1.9532828282828287E-2</v>
          </cell>
          <cell r="AE2436" t="str">
            <v>Con precio</v>
          </cell>
        </row>
        <row r="2437">
          <cell r="B2437" t="str">
            <v>C-GLB0001</v>
          </cell>
          <cell r="X2437" t="str">
            <v>Empaquetado</v>
          </cell>
          <cell r="AC2437">
            <v>7.3908288043478265E-3</v>
          </cell>
          <cell r="AD2437">
            <v>7.3908288043478265E-3</v>
          </cell>
          <cell r="AE2437" t="str">
            <v>Con precio</v>
          </cell>
        </row>
        <row r="2438">
          <cell r="B2438" t="str">
            <v>C-GLB0001</v>
          </cell>
          <cell r="X2438" t="str">
            <v>Empaquetado</v>
          </cell>
          <cell r="AC2438">
            <v>3.9889583333333332E-2</v>
          </cell>
          <cell r="AD2438">
            <v>3.9889583333333332E-2</v>
          </cell>
          <cell r="AE2438" t="str">
            <v>Con precio</v>
          </cell>
        </row>
        <row r="2439">
          <cell r="B2439" t="str">
            <v>C-GLB0001</v>
          </cell>
          <cell r="X2439" t="str">
            <v>Empaquetado</v>
          </cell>
          <cell r="AC2439">
            <v>6.3640151515151525E-2</v>
          </cell>
          <cell r="AD2439">
            <v>6.3640151515151525E-2</v>
          </cell>
          <cell r="AE2439" t="str">
            <v>Con precio</v>
          </cell>
        </row>
        <row r="2440">
          <cell r="B2440" t="str">
            <v>C-GLB0001EC</v>
          </cell>
          <cell r="X2440" t="str">
            <v>Formulación</v>
          </cell>
          <cell r="AC2440">
            <v>2.9437199999999999</v>
          </cell>
          <cell r="AD2440">
            <v>2.6284266666666665</v>
          </cell>
          <cell r="AE2440" t="str">
            <v>Con precio</v>
          </cell>
        </row>
        <row r="2441">
          <cell r="B2441" t="str">
            <v>C-GLB0001EC</v>
          </cell>
          <cell r="X2441" t="str">
            <v>Formulación</v>
          </cell>
          <cell r="AC2441">
            <v>8.4640000000000007E-2</v>
          </cell>
          <cell r="AD2441">
            <v>8.1879999999999994E-2</v>
          </cell>
          <cell r="AE2441" t="str">
            <v>Con precio</v>
          </cell>
        </row>
        <row r="2442">
          <cell r="B2442" t="str">
            <v>C-GLB0001EC</v>
          </cell>
          <cell r="X2442" t="str">
            <v>Formulación</v>
          </cell>
          <cell r="AC2442">
            <v>3.5000000000000003E-2</v>
          </cell>
          <cell r="AD2442">
            <v>3.2733333333333337E-2</v>
          </cell>
          <cell r="AE2442" t="str">
            <v>Con precio</v>
          </cell>
        </row>
        <row r="2443">
          <cell r="B2443" t="str">
            <v>C-GLB0001EC</v>
          </cell>
          <cell r="X2443" t="str">
            <v>Formulación</v>
          </cell>
          <cell r="AC2443">
            <v>0.27760000000000001</v>
          </cell>
          <cell r="AD2443">
            <v>0.27760000000000001</v>
          </cell>
          <cell r="AE2443" t="str">
            <v>Con precio</v>
          </cell>
        </row>
        <row r="2444">
          <cell r="B2444" t="str">
            <v>C-GLB0001EC</v>
          </cell>
          <cell r="X2444" t="str">
            <v>Formulación</v>
          </cell>
          <cell r="AC2444">
            <v>4.7E-2</v>
          </cell>
          <cell r="AD2444">
            <v>3.832E-2</v>
          </cell>
          <cell r="AE2444" t="str">
            <v>Con precio</v>
          </cell>
        </row>
        <row r="2445">
          <cell r="B2445" t="str">
            <v>C-GLB0001EC</v>
          </cell>
          <cell r="X2445" t="str">
            <v>Formulación</v>
          </cell>
          <cell r="AC2445">
            <v>6.4000000000000001E-2</v>
          </cell>
          <cell r="AD2445">
            <v>5.7500000000000002E-2</v>
          </cell>
          <cell r="AE2445" t="str">
            <v>Con precio</v>
          </cell>
        </row>
        <row r="2446">
          <cell r="B2446" t="str">
            <v>C-GLB0001EC</v>
          </cell>
          <cell r="X2446" t="str">
            <v>Empaquetado</v>
          </cell>
          <cell r="AC2446">
            <v>2.5252525252525259E-5</v>
          </cell>
          <cell r="AD2446">
            <v>2.5252525252525259E-5</v>
          </cell>
          <cell r="AE2446" t="str">
            <v>Con precio</v>
          </cell>
        </row>
        <row r="2447">
          <cell r="B2447" t="str">
            <v>C-GLB0001EC</v>
          </cell>
          <cell r="X2447" t="str">
            <v>Empaquetado</v>
          </cell>
          <cell r="AC2447">
            <v>1.9532828282828287E-2</v>
          </cell>
          <cell r="AD2447">
            <v>1.9532828282828287E-2</v>
          </cell>
          <cell r="AE2447" t="str">
            <v>Con precio</v>
          </cell>
        </row>
        <row r="2448">
          <cell r="B2448" t="str">
            <v>C-GLB0001EC</v>
          </cell>
          <cell r="X2448" t="str">
            <v>Empaquetado</v>
          </cell>
          <cell r="AC2448">
            <v>7.3908288043478265E-3</v>
          </cell>
          <cell r="AD2448">
            <v>7.3908288043478265E-3</v>
          </cell>
          <cell r="AE2448" t="str">
            <v>Con precio</v>
          </cell>
        </row>
        <row r="2449">
          <cell r="B2449" t="str">
            <v>C-GLB0001EC</v>
          </cell>
          <cell r="X2449" t="str">
            <v>Empaquetado</v>
          </cell>
          <cell r="AC2449">
            <v>3.9889583333333332E-2</v>
          </cell>
          <cell r="AD2449">
            <v>3.9889583333333332E-2</v>
          </cell>
          <cell r="AE2449" t="str">
            <v>Con precio</v>
          </cell>
        </row>
        <row r="2450">
          <cell r="B2450" t="str">
            <v>C-GLB0001EC</v>
          </cell>
          <cell r="X2450" t="str">
            <v>Empaquetado</v>
          </cell>
          <cell r="AC2450">
            <v>6.3640151515151525E-2</v>
          </cell>
          <cell r="AD2450">
            <v>6.3640151515151525E-2</v>
          </cell>
          <cell r="AE2450" t="str">
            <v>Con precio</v>
          </cell>
        </row>
        <row r="2451">
          <cell r="B2451" t="str">
            <v>C-GLB0001RO</v>
          </cell>
          <cell r="X2451" t="str">
            <v>Formulación</v>
          </cell>
          <cell r="AC2451">
            <v>2.9437199999999999</v>
          </cell>
          <cell r="AD2451">
            <v>2.6284266666666665</v>
          </cell>
          <cell r="AE2451" t="str">
            <v>Con precio</v>
          </cell>
        </row>
        <row r="2452">
          <cell r="B2452" t="str">
            <v>C-GLB0001RO</v>
          </cell>
          <cell r="X2452" t="str">
            <v>Formulación</v>
          </cell>
          <cell r="AC2452">
            <v>8.4640000000000007E-2</v>
          </cell>
          <cell r="AD2452">
            <v>8.1879999999999994E-2</v>
          </cell>
          <cell r="AE2452" t="str">
            <v>Con precio</v>
          </cell>
        </row>
        <row r="2453">
          <cell r="B2453" t="str">
            <v>C-GLB0001RO</v>
          </cell>
          <cell r="X2453" t="str">
            <v>Formulación</v>
          </cell>
          <cell r="AC2453">
            <v>3.5000000000000003E-2</v>
          </cell>
          <cell r="AD2453">
            <v>3.2733333333333337E-2</v>
          </cell>
          <cell r="AE2453" t="str">
            <v>Con precio</v>
          </cell>
        </row>
        <row r="2454">
          <cell r="B2454" t="str">
            <v>C-GLB0001RO</v>
          </cell>
          <cell r="X2454" t="str">
            <v>Formulación</v>
          </cell>
          <cell r="AC2454">
            <v>0.27760000000000001</v>
          </cell>
          <cell r="AD2454">
            <v>0.27760000000000001</v>
          </cell>
          <cell r="AE2454" t="str">
            <v>Con precio</v>
          </cell>
        </row>
        <row r="2455">
          <cell r="B2455" t="str">
            <v>C-GLB0001RO</v>
          </cell>
          <cell r="X2455" t="str">
            <v>Formulación</v>
          </cell>
          <cell r="AC2455">
            <v>4.7E-2</v>
          </cell>
          <cell r="AD2455">
            <v>3.832E-2</v>
          </cell>
          <cell r="AE2455" t="str">
            <v>Con precio</v>
          </cell>
        </row>
        <row r="2456">
          <cell r="B2456" t="str">
            <v>C-GLB0001RO</v>
          </cell>
          <cell r="X2456" t="str">
            <v>Formulación</v>
          </cell>
          <cell r="AC2456">
            <v>6.4000000000000001E-2</v>
          </cell>
          <cell r="AD2456">
            <v>5.7500000000000002E-2</v>
          </cell>
          <cell r="AE2456" t="str">
            <v>Con precio</v>
          </cell>
        </row>
        <row r="2457">
          <cell r="B2457" t="str">
            <v>C-GLB0001RO</v>
          </cell>
          <cell r="X2457" t="str">
            <v>Empaquetado</v>
          </cell>
          <cell r="AC2457">
            <v>2.5252525252525259E-5</v>
          </cell>
          <cell r="AD2457">
            <v>2.5252525252525259E-5</v>
          </cell>
          <cell r="AE2457" t="str">
            <v>Con precio</v>
          </cell>
        </row>
        <row r="2458">
          <cell r="B2458" t="str">
            <v>C-GLB0001RO</v>
          </cell>
          <cell r="X2458" t="str">
            <v>Empaquetado</v>
          </cell>
          <cell r="AC2458">
            <v>1.9532828282828287E-2</v>
          </cell>
          <cell r="AD2458">
            <v>1.9532828282828287E-2</v>
          </cell>
          <cell r="AE2458" t="str">
            <v>Con precio</v>
          </cell>
        </row>
        <row r="2459">
          <cell r="B2459" t="str">
            <v>C-GLB0001RO</v>
          </cell>
          <cell r="X2459" t="str">
            <v>Empaquetado</v>
          </cell>
          <cell r="AC2459">
            <v>7.3908288043478265E-3</v>
          </cell>
          <cell r="AD2459">
            <v>7.3908288043478265E-3</v>
          </cell>
          <cell r="AE2459" t="str">
            <v>Con precio</v>
          </cell>
        </row>
        <row r="2460">
          <cell r="B2460" t="str">
            <v>C-GLB0001RO</v>
          </cell>
          <cell r="X2460" t="str">
            <v>Empaquetado</v>
          </cell>
          <cell r="AC2460">
            <v>3.9889583333333332E-2</v>
          </cell>
          <cell r="AD2460">
            <v>3.9889583333333332E-2</v>
          </cell>
          <cell r="AE2460" t="str">
            <v>Con precio</v>
          </cell>
        </row>
        <row r="2461">
          <cell r="B2461" t="str">
            <v>C-GLB0001RO</v>
          </cell>
          <cell r="X2461" t="str">
            <v>Empaquetado</v>
          </cell>
          <cell r="AC2461">
            <v>6.3640151515151525E-2</v>
          </cell>
          <cell r="AD2461">
            <v>6.3640151515151525E-2</v>
          </cell>
          <cell r="AE2461" t="str">
            <v>Con precio</v>
          </cell>
        </row>
        <row r="2462">
          <cell r="B2462" t="str">
            <v>C-GLB0005</v>
          </cell>
          <cell r="X2462" t="str">
            <v>Formulación</v>
          </cell>
          <cell r="AC2462">
            <v>2.9437199999999999</v>
          </cell>
          <cell r="AD2462">
            <v>2.6284266666666665</v>
          </cell>
          <cell r="AE2462" t="str">
            <v>Con precio</v>
          </cell>
        </row>
        <row r="2463">
          <cell r="B2463" t="str">
            <v>C-GLB0005</v>
          </cell>
          <cell r="X2463" t="str">
            <v>Formulación</v>
          </cell>
          <cell r="AC2463">
            <v>8.4640000000000007E-2</v>
          </cell>
          <cell r="AD2463">
            <v>8.1879999999999994E-2</v>
          </cell>
          <cell r="AE2463" t="str">
            <v>Con precio</v>
          </cell>
        </row>
        <row r="2464">
          <cell r="B2464" t="str">
            <v>C-GLB0005</v>
          </cell>
          <cell r="X2464" t="str">
            <v>Formulación</v>
          </cell>
          <cell r="AC2464">
            <v>3.5000000000000003E-2</v>
          </cell>
          <cell r="AD2464">
            <v>3.2733333333333337E-2</v>
          </cell>
          <cell r="AE2464" t="str">
            <v>Con precio</v>
          </cell>
        </row>
        <row r="2465">
          <cell r="B2465" t="str">
            <v>C-GLB0005</v>
          </cell>
          <cell r="X2465" t="str">
            <v>Formulación</v>
          </cell>
          <cell r="AC2465">
            <v>0.27760000000000001</v>
          </cell>
          <cell r="AD2465">
            <v>0.27760000000000001</v>
          </cell>
          <cell r="AE2465" t="str">
            <v>Con precio</v>
          </cell>
        </row>
        <row r="2466">
          <cell r="B2466" t="str">
            <v>C-GLB0005</v>
          </cell>
          <cell r="X2466" t="str">
            <v>Formulación</v>
          </cell>
          <cell r="AC2466">
            <v>4.7E-2</v>
          </cell>
          <cell r="AD2466">
            <v>3.832E-2</v>
          </cell>
          <cell r="AE2466" t="str">
            <v>Con precio</v>
          </cell>
        </row>
        <row r="2467">
          <cell r="B2467" t="str">
            <v>C-GLB0005</v>
          </cell>
          <cell r="X2467" t="str">
            <v>Formulación</v>
          </cell>
          <cell r="AC2467">
            <v>6.4000000000000001E-2</v>
          </cell>
          <cell r="AD2467">
            <v>5.7500000000000002E-2</v>
          </cell>
          <cell r="AE2467" t="str">
            <v>Con precio</v>
          </cell>
        </row>
        <row r="2468">
          <cell r="B2468" t="str">
            <v>C-GLB0005</v>
          </cell>
          <cell r="X2468" t="str">
            <v>Empaquetado</v>
          </cell>
          <cell r="AC2468">
            <v>1.0393066666666666E-2</v>
          </cell>
          <cell r="AD2468">
            <v>1.0393066666666666E-2</v>
          </cell>
          <cell r="AE2468" t="str">
            <v>Con precio</v>
          </cell>
        </row>
        <row r="2469">
          <cell r="B2469" t="str">
            <v>C-GLB0005</v>
          </cell>
          <cell r="X2469" t="str">
            <v>Empaquetado</v>
          </cell>
          <cell r="AC2469">
            <v>2.0626666666666665E-2</v>
          </cell>
          <cell r="AD2469">
            <v>2.0626666666666665E-2</v>
          </cell>
          <cell r="AE2469" t="str">
            <v>Con precio</v>
          </cell>
        </row>
        <row r="2470">
          <cell r="B2470" t="str">
            <v>C-GLB0005</v>
          </cell>
          <cell r="X2470" t="str">
            <v>Empaquetado</v>
          </cell>
          <cell r="AC2470">
            <v>2.1285586956521739E-2</v>
          </cell>
          <cell r="AD2470">
            <v>2.1285586956521739E-2</v>
          </cell>
          <cell r="AE2470" t="str">
            <v>Con precio</v>
          </cell>
        </row>
        <row r="2471">
          <cell r="B2471" t="str">
            <v>C-GLB0005</v>
          </cell>
          <cell r="X2471" t="str">
            <v>Empaquetado</v>
          </cell>
          <cell r="AC2471">
            <v>2.9560014104372354E-2</v>
          </cell>
          <cell r="AD2471">
            <v>2.9560014104372354E-2</v>
          </cell>
          <cell r="AE2471" t="str">
            <v>Con precio</v>
          </cell>
        </row>
        <row r="2472">
          <cell r="B2472" t="str">
            <v>C-GLB0005</v>
          </cell>
          <cell r="X2472" t="str">
            <v>Empaquetado</v>
          </cell>
          <cell r="AC2472">
            <v>2.1682000000000003E-2</v>
          </cell>
          <cell r="AD2472">
            <v>2.1682000000000003E-2</v>
          </cell>
          <cell r="AE2472" t="str">
            <v>Con precio</v>
          </cell>
        </row>
        <row r="2473">
          <cell r="B2473" t="str">
            <v>C-GLB0005RO</v>
          </cell>
          <cell r="X2473" t="str">
            <v>Formulación</v>
          </cell>
          <cell r="AC2473">
            <v>2.9437199999999999</v>
          </cell>
          <cell r="AD2473">
            <v>2.6284266666666665</v>
          </cell>
          <cell r="AE2473" t="str">
            <v>Con precio</v>
          </cell>
        </row>
        <row r="2474">
          <cell r="B2474" t="str">
            <v>C-GLB0005RO</v>
          </cell>
          <cell r="X2474" t="str">
            <v>Formulación</v>
          </cell>
          <cell r="AC2474">
            <v>8.4640000000000007E-2</v>
          </cell>
          <cell r="AD2474">
            <v>8.1879999999999994E-2</v>
          </cell>
          <cell r="AE2474" t="str">
            <v>Con precio</v>
          </cell>
        </row>
        <row r="2475">
          <cell r="B2475" t="str">
            <v>C-GLB0005RO</v>
          </cell>
          <cell r="X2475" t="str">
            <v>Formulación</v>
          </cell>
          <cell r="AC2475">
            <v>3.5000000000000003E-2</v>
          </cell>
          <cell r="AD2475">
            <v>3.2733333333333337E-2</v>
          </cell>
          <cell r="AE2475" t="str">
            <v>Con precio</v>
          </cell>
        </row>
        <row r="2476">
          <cell r="B2476" t="str">
            <v>C-GLB0005RO</v>
          </cell>
          <cell r="X2476" t="str">
            <v>Formulación</v>
          </cell>
          <cell r="AC2476">
            <v>0.27760000000000001</v>
          </cell>
          <cell r="AD2476">
            <v>0.27760000000000001</v>
          </cell>
          <cell r="AE2476" t="str">
            <v>Con precio</v>
          </cell>
        </row>
        <row r="2477">
          <cell r="B2477" t="str">
            <v>C-GLB0005RO</v>
          </cell>
          <cell r="X2477" t="str">
            <v>Formulación</v>
          </cell>
          <cell r="AC2477">
            <v>4.7E-2</v>
          </cell>
          <cell r="AD2477">
            <v>3.832E-2</v>
          </cell>
          <cell r="AE2477" t="str">
            <v>Con precio</v>
          </cell>
        </row>
        <row r="2478">
          <cell r="B2478" t="str">
            <v>C-GLB0005RO</v>
          </cell>
          <cell r="X2478" t="str">
            <v>Formulación</v>
          </cell>
          <cell r="AC2478">
            <v>6.4000000000000001E-2</v>
          </cell>
          <cell r="AD2478">
            <v>5.7500000000000002E-2</v>
          </cell>
          <cell r="AE2478" t="str">
            <v>Con precio</v>
          </cell>
        </row>
        <row r="2479">
          <cell r="B2479" t="str">
            <v>C-GLB0005RO</v>
          </cell>
          <cell r="X2479" t="str">
            <v>Empaquetado</v>
          </cell>
          <cell r="AC2479">
            <v>1.0393066666666666E-2</v>
          </cell>
          <cell r="AD2479">
            <v>1.0393066666666666E-2</v>
          </cell>
          <cell r="AE2479" t="str">
            <v>Con precio</v>
          </cell>
        </row>
        <row r="2480">
          <cell r="B2480" t="str">
            <v>C-GLB0005RO</v>
          </cell>
          <cell r="X2480" t="str">
            <v>Empaquetado</v>
          </cell>
          <cell r="AC2480">
            <v>2.0626666666666665E-2</v>
          </cell>
          <cell r="AD2480">
            <v>2.0626666666666665E-2</v>
          </cell>
          <cell r="AE2480" t="str">
            <v>Con precio</v>
          </cell>
        </row>
        <row r="2481">
          <cell r="B2481" t="str">
            <v>C-GLB0005RO</v>
          </cell>
          <cell r="X2481" t="str">
            <v>Empaquetado</v>
          </cell>
          <cell r="AC2481">
            <v>2.1285586956521739E-2</v>
          </cell>
          <cell r="AD2481">
            <v>2.1285586956521739E-2</v>
          </cell>
          <cell r="AE2481" t="str">
            <v>Con precio</v>
          </cell>
        </row>
        <row r="2482">
          <cell r="B2482" t="str">
            <v>C-GLB0005RO</v>
          </cell>
          <cell r="X2482" t="str">
            <v>Empaquetado</v>
          </cell>
          <cell r="AC2482">
            <v>2.9560014104372354E-2</v>
          </cell>
          <cell r="AD2482">
            <v>2.9560014104372354E-2</v>
          </cell>
          <cell r="AE2482" t="str">
            <v>Con precio</v>
          </cell>
        </row>
        <row r="2483">
          <cell r="B2483" t="str">
            <v>C-GLB0005RO</v>
          </cell>
          <cell r="X2483" t="str">
            <v>Empaquetado</v>
          </cell>
          <cell r="AC2483">
            <v>2.1682000000000003E-2</v>
          </cell>
          <cell r="AD2483">
            <v>2.1682000000000003E-2</v>
          </cell>
          <cell r="AE2483" t="str">
            <v>Con precio</v>
          </cell>
        </row>
        <row r="2484">
          <cell r="B2484" t="str">
            <v>C-L0001</v>
          </cell>
          <cell r="X2484" t="str">
            <v>Formulación</v>
          </cell>
          <cell r="AC2484">
            <v>1.8339999999999999</v>
          </cell>
          <cell r="AD2484">
            <v>1.6637000000000002</v>
          </cell>
          <cell r="AE2484" t="str">
            <v>Con precio</v>
          </cell>
        </row>
        <row r="2485">
          <cell r="B2485" t="str">
            <v>C-L0001</v>
          </cell>
          <cell r="X2485" t="str">
            <v>Empaquetado</v>
          </cell>
          <cell r="AC2485">
            <v>3.0303030303030299E-5</v>
          </cell>
          <cell r="AD2485">
            <v>3.0303030303030299E-5</v>
          </cell>
          <cell r="AE2485" t="str">
            <v>Con precio</v>
          </cell>
        </row>
        <row r="2486">
          <cell r="B2486" t="str">
            <v>C-L0001</v>
          </cell>
          <cell r="X2486" t="str">
            <v>Empaquetado</v>
          </cell>
          <cell r="AC2486">
            <v>2.3439393939393937E-2</v>
          </cell>
          <cell r="AD2486">
            <v>2.3439393939393937E-2</v>
          </cell>
          <cell r="AE2486" t="str">
            <v>Con precio</v>
          </cell>
        </row>
        <row r="2487">
          <cell r="B2487" t="str">
            <v>C-L0001</v>
          </cell>
          <cell r="X2487" t="str">
            <v>Empaquetado</v>
          </cell>
          <cell r="AC2487">
            <v>7.1917518745739595E-2</v>
          </cell>
          <cell r="AD2487">
            <v>7.1917518745739595E-2</v>
          </cell>
          <cell r="AE2487" t="str">
            <v>Con precio</v>
          </cell>
        </row>
        <row r="2488">
          <cell r="B2488" t="str">
            <v>C-L0001</v>
          </cell>
          <cell r="X2488" t="str">
            <v>Empaquetado</v>
          </cell>
          <cell r="AC2488">
            <v>0.44322992424242419</v>
          </cell>
          <cell r="AD2488">
            <v>0.44322992424242419</v>
          </cell>
          <cell r="AE2488" t="str">
            <v>Con precio</v>
          </cell>
        </row>
        <row r="2489">
          <cell r="B2489" t="str">
            <v>C-L0001</v>
          </cell>
          <cell r="X2489" t="str">
            <v>Empaquetado</v>
          </cell>
          <cell r="AC2489">
            <v>0.11874999999999999</v>
          </cell>
          <cell r="AD2489">
            <v>0.11874999999999999</v>
          </cell>
          <cell r="AE2489" t="str">
            <v>Con precio</v>
          </cell>
        </row>
        <row r="2490">
          <cell r="B2490" t="str">
            <v>C-L0001</v>
          </cell>
          <cell r="X2490" t="str">
            <v>Empaquetado</v>
          </cell>
          <cell r="AC2490">
            <v>9.6080774456521717E-2</v>
          </cell>
          <cell r="AD2490">
            <v>9.6080774456521717E-2</v>
          </cell>
          <cell r="AE2490" t="str">
            <v>Con precio</v>
          </cell>
        </row>
        <row r="2491">
          <cell r="B2491" t="str">
            <v>C-L0001DO</v>
          </cell>
          <cell r="X2491" t="str">
            <v>Formulación</v>
          </cell>
          <cell r="AC2491">
            <v>1.8339999999999999</v>
          </cell>
          <cell r="AD2491">
            <v>1.6637000000000002</v>
          </cell>
          <cell r="AE2491" t="str">
            <v>Con precio</v>
          </cell>
        </row>
        <row r="2492">
          <cell r="B2492" t="str">
            <v>C-L0001DO</v>
          </cell>
          <cell r="X2492" t="str">
            <v>Empaquetado</v>
          </cell>
          <cell r="AC2492">
            <v>3.0303030303030299E-5</v>
          </cell>
          <cell r="AD2492">
            <v>3.0303030303030299E-5</v>
          </cell>
          <cell r="AE2492" t="str">
            <v>Con precio</v>
          </cell>
        </row>
        <row r="2493">
          <cell r="B2493" t="str">
            <v>C-L0001DO</v>
          </cell>
          <cell r="X2493" t="str">
            <v>Empaquetado</v>
          </cell>
          <cell r="AC2493">
            <v>2.3439393939393937E-2</v>
          </cell>
          <cell r="AD2493">
            <v>2.3439393939393937E-2</v>
          </cell>
          <cell r="AE2493" t="str">
            <v>Con precio</v>
          </cell>
        </row>
        <row r="2494">
          <cell r="B2494" t="str">
            <v>C-L0001DO</v>
          </cell>
          <cell r="X2494" t="str">
            <v>Empaquetado</v>
          </cell>
          <cell r="AC2494">
            <v>7.1917518745739595E-2</v>
          </cell>
          <cell r="AD2494">
            <v>7.1917518745739595E-2</v>
          </cell>
          <cell r="AE2494" t="str">
            <v>Con precio</v>
          </cell>
        </row>
        <row r="2495">
          <cell r="B2495" t="str">
            <v>C-L0001DO</v>
          </cell>
          <cell r="X2495" t="str">
            <v>Empaquetado</v>
          </cell>
          <cell r="AC2495">
            <v>0.44322992424242419</v>
          </cell>
          <cell r="AD2495">
            <v>0.44322992424242419</v>
          </cell>
          <cell r="AE2495" t="str">
            <v>Con precio</v>
          </cell>
        </row>
        <row r="2496">
          <cell r="B2496" t="str">
            <v>C-L0001DO</v>
          </cell>
          <cell r="X2496" t="str">
            <v>Empaquetado</v>
          </cell>
          <cell r="AC2496">
            <v>0.11874999999999999</v>
          </cell>
          <cell r="AD2496">
            <v>0.11874999999999999</v>
          </cell>
          <cell r="AE2496" t="str">
            <v>Con precio</v>
          </cell>
        </row>
        <row r="2497">
          <cell r="B2497" t="str">
            <v>C-L0001DO</v>
          </cell>
          <cell r="X2497" t="str">
            <v>Empaquetado</v>
          </cell>
          <cell r="AC2497">
            <v>9.6080774456521717E-2</v>
          </cell>
          <cell r="AD2497">
            <v>9.6080774456521717E-2</v>
          </cell>
          <cell r="AE2497" t="str">
            <v>Con precio</v>
          </cell>
        </row>
        <row r="2498">
          <cell r="B2498" t="str">
            <v>C-L0001EC</v>
          </cell>
          <cell r="X2498" t="str">
            <v>Formulación</v>
          </cell>
          <cell r="AC2498">
            <v>1.8339999999999999</v>
          </cell>
          <cell r="AD2498">
            <v>1.6637000000000002</v>
          </cell>
          <cell r="AE2498" t="str">
            <v>Con precio</v>
          </cell>
        </row>
        <row r="2499">
          <cell r="B2499" t="str">
            <v>C-L0001EC</v>
          </cell>
          <cell r="X2499" t="str">
            <v>Empaquetado</v>
          </cell>
          <cell r="AC2499">
            <v>3.0303030303030299E-5</v>
          </cell>
          <cell r="AD2499">
            <v>3.0303030303030299E-5</v>
          </cell>
          <cell r="AE2499" t="str">
            <v>Con precio</v>
          </cell>
        </row>
        <row r="2500">
          <cell r="B2500" t="str">
            <v>C-L0001EC</v>
          </cell>
          <cell r="X2500" t="str">
            <v>Empaquetado</v>
          </cell>
          <cell r="AC2500">
            <v>2.3439393939393937E-2</v>
          </cell>
          <cell r="AD2500">
            <v>2.3439393939393937E-2</v>
          </cell>
          <cell r="AE2500" t="str">
            <v>Con precio</v>
          </cell>
        </row>
        <row r="2501">
          <cell r="B2501" t="str">
            <v>C-L0001EC</v>
          </cell>
          <cell r="X2501" t="str">
            <v>Empaquetado</v>
          </cell>
          <cell r="AC2501">
            <v>7.1917518745739595E-2</v>
          </cell>
          <cell r="AD2501">
            <v>7.1917518745739595E-2</v>
          </cell>
          <cell r="AE2501" t="str">
            <v>Con precio</v>
          </cell>
        </row>
        <row r="2502">
          <cell r="B2502" t="str">
            <v>C-L0001EC</v>
          </cell>
          <cell r="X2502" t="str">
            <v>Empaquetado</v>
          </cell>
          <cell r="AC2502">
            <v>0.44322992424242419</v>
          </cell>
          <cell r="AD2502">
            <v>0.44322992424242419</v>
          </cell>
          <cell r="AE2502" t="str">
            <v>Con precio</v>
          </cell>
        </row>
        <row r="2503">
          <cell r="B2503" t="str">
            <v>C-L0001EC</v>
          </cell>
          <cell r="X2503" t="str">
            <v>Empaquetado</v>
          </cell>
          <cell r="AC2503">
            <v>0.11874999999999999</v>
          </cell>
          <cell r="AD2503">
            <v>0.11874999999999999</v>
          </cell>
          <cell r="AE2503" t="str">
            <v>Con precio</v>
          </cell>
        </row>
        <row r="2504">
          <cell r="B2504" t="str">
            <v>C-L0001EC</v>
          </cell>
          <cell r="X2504" t="str">
            <v>Empaquetado</v>
          </cell>
          <cell r="AC2504">
            <v>9.6080774456521717E-2</v>
          </cell>
          <cell r="AD2504">
            <v>9.6080774456521717E-2</v>
          </cell>
          <cell r="AE2504" t="str">
            <v>Con precio</v>
          </cell>
        </row>
        <row r="2505">
          <cell r="B2505" t="str">
            <v>C-L0001RO</v>
          </cell>
          <cell r="X2505" t="str">
            <v>Formulación</v>
          </cell>
          <cell r="AC2505">
            <v>1.8339999999999999</v>
          </cell>
          <cell r="AD2505">
            <v>1.6637000000000002</v>
          </cell>
          <cell r="AE2505" t="str">
            <v>Con precio</v>
          </cell>
        </row>
        <row r="2506">
          <cell r="B2506" t="str">
            <v>C-L0001RO</v>
          </cell>
          <cell r="X2506" t="str">
            <v>Empaquetado</v>
          </cell>
          <cell r="AC2506">
            <v>3.0303030303030299E-5</v>
          </cell>
          <cell r="AD2506">
            <v>3.0303030303030299E-5</v>
          </cell>
          <cell r="AE2506" t="str">
            <v>Con precio</v>
          </cell>
        </row>
        <row r="2507">
          <cell r="B2507" t="str">
            <v>C-L0001RO</v>
          </cell>
          <cell r="X2507" t="str">
            <v>Empaquetado</v>
          </cell>
          <cell r="AC2507">
            <v>2.3439393939393937E-2</v>
          </cell>
          <cell r="AD2507">
            <v>2.3439393939393937E-2</v>
          </cell>
          <cell r="AE2507" t="str">
            <v>Con precio</v>
          </cell>
        </row>
        <row r="2508">
          <cell r="B2508" t="str">
            <v>C-L0001RO</v>
          </cell>
          <cell r="X2508" t="str">
            <v>Empaquetado</v>
          </cell>
          <cell r="AC2508">
            <v>7.1917518745739595E-2</v>
          </cell>
          <cell r="AD2508">
            <v>7.1917518745739595E-2</v>
          </cell>
          <cell r="AE2508" t="str">
            <v>Con precio</v>
          </cell>
        </row>
        <row r="2509">
          <cell r="B2509" t="str">
            <v>C-L0001RO</v>
          </cell>
          <cell r="X2509" t="str">
            <v>Empaquetado</v>
          </cell>
          <cell r="AC2509">
            <v>0.44322992424242419</v>
          </cell>
          <cell r="AD2509">
            <v>0.44322992424242419</v>
          </cell>
          <cell r="AE2509" t="str">
            <v>Con precio</v>
          </cell>
        </row>
        <row r="2510">
          <cell r="B2510" t="str">
            <v>C-L0001RO</v>
          </cell>
          <cell r="X2510" t="str">
            <v>Empaquetado</v>
          </cell>
          <cell r="AC2510">
            <v>0.11874999999999999</v>
          </cell>
          <cell r="AD2510">
            <v>0.11874999999999999</v>
          </cell>
          <cell r="AE2510" t="str">
            <v>Con precio</v>
          </cell>
        </row>
        <row r="2511">
          <cell r="B2511" t="str">
            <v>C-L0001RO</v>
          </cell>
          <cell r="X2511" t="str">
            <v>Empaquetado</v>
          </cell>
          <cell r="AC2511">
            <v>9.6080774456521717E-2</v>
          </cell>
          <cell r="AD2511">
            <v>9.6080774456521717E-2</v>
          </cell>
          <cell r="AE2511" t="str">
            <v>Con precio</v>
          </cell>
        </row>
        <row r="2512">
          <cell r="B2512" t="str">
            <v>C-L0005</v>
          </cell>
          <cell r="X2512" t="str">
            <v>Formulación</v>
          </cell>
          <cell r="AC2512">
            <v>1.8339999999999999</v>
          </cell>
          <cell r="AD2512">
            <v>1.6637000000000002</v>
          </cell>
          <cell r="AE2512" t="str">
            <v>Con precio</v>
          </cell>
        </row>
        <row r="2513">
          <cell r="B2513" t="str">
            <v>C-L0005</v>
          </cell>
          <cell r="X2513" t="str">
            <v>Empaquetado</v>
          </cell>
          <cell r="AC2513">
            <v>1.2991333333333337E-2</v>
          </cell>
          <cell r="AD2513">
            <v>1.2991333333333337E-2</v>
          </cell>
          <cell r="AE2513" t="str">
            <v>Con precio</v>
          </cell>
        </row>
        <row r="2514">
          <cell r="B2514" t="str">
            <v>C-L0005</v>
          </cell>
          <cell r="X2514" t="str">
            <v>Empaquetado</v>
          </cell>
          <cell r="AC2514">
            <v>2.5783333333333339E-2</v>
          </cell>
          <cell r="AD2514">
            <v>2.5783333333333339E-2</v>
          </cell>
          <cell r="AE2514" t="str">
            <v>Con precio</v>
          </cell>
        </row>
        <row r="2515">
          <cell r="B2515" t="str">
            <v>C-L0005</v>
          </cell>
          <cell r="X2515" t="str">
            <v>Empaquetado</v>
          </cell>
          <cell r="AC2515">
            <v>2.5359983896940424E-2</v>
          </cell>
          <cell r="AD2515">
            <v>2.5359983896940424E-2</v>
          </cell>
          <cell r="AE2515" t="str">
            <v>Con precio</v>
          </cell>
        </row>
        <row r="2516">
          <cell r="B2516" t="str">
            <v>C-L0005</v>
          </cell>
          <cell r="X2516" t="str">
            <v>Empaquetado</v>
          </cell>
          <cell r="AC2516">
            <v>3.4200000000000001E-2</v>
          </cell>
          <cell r="AD2516">
            <v>3.4200000000000001E-2</v>
          </cell>
          <cell r="AE2516" t="str">
            <v>Con precio</v>
          </cell>
        </row>
        <row r="2517">
          <cell r="B2517" t="str">
            <v>C-L0005</v>
          </cell>
          <cell r="X2517" t="str">
            <v>Empaquetado</v>
          </cell>
          <cell r="AC2517">
            <v>0.17399999999999999</v>
          </cell>
          <cell r="AD2517">
            <v>0.17399999999999999</v>
          </cell>
          <cell r="AE2517" t="str">
            <v>Con precio</v>
          </cell>
        </row>
        <row r="2518">
          <cell r="B2518" t="str">
            <v>C-L0005</v>
          </cell>
          <cell r="X2518" t="str">
            <v>Empaquetado</v>
          </cell>
          <cell r="AC2518">
            <v>3.6950017630465445E-2</v>
          </cell>
          <cell r="AD2518">
            <v>3.6950017630465445E-2</v>
          </cell>
          <cell r="AE2518" t="str">
            <v>Con precio</v>
          </cell>
        </row>
        <row r="2519">
          <cell r="B2519" t="str">
            <v>C-L0005AZ</v>
          </cell>
          <cell r="X2519" t="str">
            <v>Formulación</v>
          </cell>
          <cell r="AC2519">
            <v>1.8339999999999999</v>
          </cell>
          <cell r="AD2519">
            <v>1.6637000000000002</v>
          </cell>
          <cell r="AE2519" t="str">
            <v>Con precio</v>
          </cell>
        </row>
        <row r="2520">
          <cell r="B2520" t="str">
            <v>C-L0005AZ</v>
          </cell>
          <cell r="X2520" t="str">
            <v>Empaquetado</v>
          </cell>
          <cell r="AC2520">
            <v>1.2991333333333337E-2</v>
          </cell>
          <cell r="AD2520">
            <v>1.2991333333333337E-2</v>
          </cell>
          <cell r="AE2520" t="str">
            <v>Con precio</v>
          </cell>
        </row>
        <row r="2521">
          <cell r="B2521" t="str">
            <v>C-L0005AZ</v>
          </cell>
          <cell r="X2521" t="str">
            <v>Empaquetado</v>
          </cell>
          <cell r="AC2521">
            <v>2.5783333333333339E-2</v>
          </cell>
          <cell r="AD2521">
            <v>2.5783333333333339E-2</v>
          </cell>
          <cell r="AE2521" t="str">
            <v>Con precio</v>
          </cell>
        </row>
        <row r="2522">
          <cell r="B2522" t="str">
            <v>C-L0005AZ</v>
          </cell>
          <cell r="X2522" t="str">
            <v>Empaquetado</v>
          </cell>
          <cell r="AC2522">
            <v>2.5359983896940424E-2</v>
          </cell>
          <cell r="AD2522">
            <v>2.5359983896940424E-2</v>
          </cell>
          <cell r="AE2522" t="str">
            <v>Con precio</v>
          </cell>
        </row>
        <row r="2523">
          <cell r="B2523" t="str">
            <v>C-L0005AZ</v>
          </cell>
          <cell r="X2523" t="str">
            <v>Empaquetado</v>
          </cell>
          <cell r="AC2523">
            <v>3.4200000000000001E-2</v>
          </cell>
          <cell r="AD2523">
            <v>3.4200000000000001E-2</v>
          </cell>
          <cell r="AE2523" t="str">
            <v>Con precio</v>
          </cell>
        </row>
        <row r="2524">
          <cell r="B2524" t="str">
            <v>C-L0005AZ</v>
          </cell>
          <cell r="X2524" t="str">
            <v>Empaquetado</v>
          </cell>
          <cell r="AC2524">
            <v>0.17399999999999999</v>
          </cell>
          <cell r="AD2524">
            <v>0.17399999999999999</v>
          </cell>
          <cell r="AE2524" t="str">
            <v>Con precio</v>
          </cell>
        </row>
        <row r="2525">
          <cell r="B2525" t="str">
            <v>C-L0005AZ</v>
          </cell>
          <cell r="X2525" t="str">
            <v>Empaquetado</v>
          </cell>
          <cell r="AC2525">
            <v>3.6950017630465445E-2</v>
          </cell>
          <cell r="AD2525">
            <v>3.6950017630465445E-2</v>
          </cell>
          <cell r="AE2525" t="str">
            <v>Con precio</v>
          </cell>
        </row>
        <row r="2526">
          <cell r="B2526" t="str">
            <v>C-L0020</v>
          </cell>
          <cell r="X2526" t="str">
            <v>Formulación</v>
          </cell>
          <cell r="AC2526">
            <v>1.8339999999999999</v>
          </cell>
          <cell r="AD2526">
            <v>1.6637000000000002</v>
          </cell>
          <cell r="AE2526" t="str">
            <v>Con precio</v>
          </cell>
        </row>
        <row r="2527">
          <cell r="B2527" t="str">
            <v>C-L0020</v>
          </cell>
          <cell r="X2527" t="str">
            <v>Empaquetado</v>
          </cell>
          <cell r="AC2527">
            <v>7.3209374999999993E-3</v>
          </cell>
          <cell r="AD2527">
            <v>7.3209374999999993E-3</v>
          </cell>
          <cell r="AE2527" t="str">
            <v>Con precio</v>
          </cell>
        </row>
        <row r="2528">
          <cell r="B2528" t="str">
            <v>C-L0020</v>
          </cell>
          <cell r="X2528" t="str">
            <v>Empaquetado</v>
          </cell>
          <cell r="AC2528">
            <v>2.4171875000000002E-2</v>
          </cell>
          <cell r="AD2528">
            <v>2.4171875000000002E-2</v>
          </cell>
          <cell r="AE2528" t="str">
            <v>Con precio</v>
          </cell>
        </row>
        <row r="2529">
          <cell r="B2529" t="str">
            <v>C-L0020</v>
          </cell>
          <cell r="X2529" t="str">
            <v>Empaquetado</v>
          </cell>
          <cell r="AC2529">
            <v>0.18266505681818179</v>
          </cell>
          <cell r="AD2529">
            <v>0.18266505681818179</v>
          </cell>
          <cell r="AE2529" t="str">
            <v>Con precio</v>
          </cell>
        </row>
        <row r="2530">
          <cell r="B2530" t="str">
            <v>C-L0020</v>
          </cell>
          <cell r="X2530" t="str">
            <v>Empaquetado</v>
          </cell>
          <cell r="AC2530">
            <v>5.0719967793880849E-3</v>
          </cell>
          <cell r="AD2530">
            <v>5.0719967793880849E-3</v>
          </cell>
          <cell r="AE2530" t="str">
            <v>Con precio</v>
          </cell>
        </row>
        <row r="2531">
          <cell r="B2531" t="str">
            <v>C-L0020</v>
          </cell>
          <cell r="X2531" t="str">
            <v>Empaquetado</v>
          </cell>
          <cell r="AC2531">
            <v>2.4035031847133761E-2</v>
          </cell>
          <cell r="AD2531">
            <v>2.4035031847133761E-2</v>
          </cell>
          <cell r="AE2531" t="str">
            <v>Con precio</v>
          </cell>
        </row>
        <row r="2532">
          <cell r="B2532" t="str">
            <v>C-L0020AZ</v>
          </cell>
          <cell r="X2532" t="str">
            <v>Formulación</v>
          </cell>
          <cell r="AC2532">
            <v>1.8339999999999999</v>
          </cell>
          <cell r="AD2532">
            <v>1.6637000000000002</v>
          </cell>
          <cell r="AE2532" t="str">
            <v>Con precio</v>
          </cell>
        </row>
        <row r="2533">
          <cell r="B2533" t="str">
            <v>C-L0020AZ</v>
          </cell>
          <cell r="X2533" t="str">
            <v>Empaquetado</v>
          </cell>
          <cell r="AC2533">
            <v>7.3209374999999993E-3</v>
          </cell>
          <cell r="AD2533">
            <v>7.3209374999999993E-3</v>
          </cell>
          <cell r="AE2533" t="str">
            <v>Con precio</v>
          </cell>
        </row>
        <row r="2534">
          <cell r="B2534" t="str">
            <v>C-L0020AZ</v>
          </cell>
          <cell r="X2534" t="str">
            <v>Empaquetado</v>
          </cell>
          <cell r="AC2534">
            <v>2.4171875000000002E-2</v>
          </cell>
          <cell r="AD2534">
            <v>2.4171875000000002E-2</v>
          </cell>
          <cell r="AE2534" t="str">
            <v>Con precio</v>
          </cell>
        </row>
        <row r="2535">
          <cell r="B2535" t="str">
            <v>C-L0020AZ</v>
          </cell>
          <cell r="X2535" t="str">
            <v>Empaquetado</v>
          </cell>
          <cell r="AC2535">
            <v>0.18266505681818179</v>
          </cell>
          <cell r="AD2535">
            <v>0.18266505681818179</v>
          </cell>
          <cell r="AE2535" t="str">
            <v>Con precio</v>
          </cell>
        </row>
        <row r="2536">
          <cell r="B2536" t="str">
            <v>C-L0020AZ</v>
          </cell>
          <cell r="X2536" t="str">
            <v>Empaquetado</v>
          </cell>
          <cell r="AC2536">
            <v>5.0719967793880849E-3</v>
          </cell>
          <cell r="AD2536">
            <v>5.0719967793880849E-3</v>
          </cell>
          <cell r="AE2536" t="str">
            <v>Con precio</v>
          </cell>
        </row>
        <row r="2537">
          <cell r="B2537" t="str">
            <v>C-L0020AZ</v>
          </cell>
          <cell r="X2537" t="str">
            <v>Empaquetado</v>
          </cell>
          <cell r="AC2537">
            <v>2.4035031847133761E-2</v>
          </cell>
          <cell r="AD2537">
            <v>2.4035031847133761E-2</v>
          </cell>
          <cell r="AE2537" t="str">
            <v>Con precio</v>
          </cell>
        </row>
        <row r="2538">
          <cell r="B2538" t="str">
            <v>C-M-P0001</v>
          </cell>
          <cell r="X2538" t="str">
            <v>Formulación</v>
          </cell>
          <cell r="AC2538">
            <v>4.8799999999999998E-3</v>
          </cell>
          <cell r="AD2538">
            <v>4.8799999999999998E-3</v>
          </cell>
          <cell r="AE2538" t="str">
            <v>Con precio</v>
          </cell>
        </row>
        <row r="2539">
          <cell r="B2539" t="str">
            <v>C-M-P0001</v>
          </cell>
          <cell r="X2539" t="str">
            <v>Formulación</v>
          </cell>
          <cell r="AC2539">
            <v>9.8751999999999995</v>
          </cell>
          <cell r="AD2539">
            <v>6.8589714285714294</v>
          </cell>
          <cell r="AE2539" t="str">
            <v>Con precio</v>
          </cell>
        </row>
        <row r="2540">
          <cell r="B2540" t="str">
            <v>C-M-P0001</v>
          </cell>
          <cell r="X2540" t="str">
            <v>Formulación</v>
          </cell>
          <cell r="AC2540">
            <v>0.1104</v>
          </cell>
          <cell r="AD2540">
            <v>0.10679999999999999</v>
          </cell>
          <cell r="AE2540" t="str">
            <v>Con precio</v>
          </cell>
        </row>
        <row r="2541">
          <cell r="B2541" t="str">
            <v>C-M-P0001</v>
          </cell>
          <cell r="X2541" t="str">
            <v>Formulación</v>
          </cell>
          <cell r="AC2541">
            <v>1.0319999999999999E-2</v>
          </cell>
          <cell r="AD2541">
            <v>7.7160000000000006E-3</v>
          </cell>
          <cell r="AE2541" t="str">
            <v>Con precio</v>
          </cell>
        </row>
        <row r="2542">
          <cell r="B2542" t="str">
            <v>C-M-P0001</v>
          </cell>
          <cell r="X2542" t="str">
            <v>Empaquetado</v>
          </cell>
          <cell r="AC2542">
            <v>3.0303030303030299E-5</v>
          </cell>
          <cell r="AD2542">
            <v>3.0303030303030299E-5</v>
          </cell>
          <cell r="AE2542" t="str">
            <v>Con precio</v>
          </cell>
        </row>
        <row r="2543">
          <cell r="B2543" t="str">
            <v>C-M-P0001</v>
          </cell>
          <cell r="X2543" t="str">
            <v>Empaquetado</v>
          </cell>
          <cell r="AC2543">
            <v>2.3439393939393937E-2</v>
          </cell>
          <cell r="AD2543">
            <v>2.3439393939393937E-2</v>
          </cell>
          <cell r="AE2543" t="str">
            <v>Con precio</v>
          </cell>
        </row>
        <row r="2544">
          <cell r="B2544" t="str">
            <v>C-M-P0001</v>
          </cell>
          <cell r="X2544" t="str">
            <v>Empaquetado</v>
          </cell>
          <cell r="AC2544">
            <v>7.1917518745739595E-2</v>
          </cell>
          <cell r="AD2544">
            <v>7.1917518745739595E-2</v>
          </cell>
          <cell r="AE2544" t="str">
            <v>Con precio</v>
          </cell>
        </row>
        <row r="2545">
          <cell r="B2545" t="str">
            <v>C-M-P0001</v>
          </cell>
          <cell r="X2545" t="str">
            <v>Empaquetado</v>
          </cell>
          <cell r="AC2545">
            <v>0.44322992424242419</v>
          </cell>
          <cell r="AD2545">
            <v>0.44322992424242419</v>
          </cell>
          <cell r="AE2545" t="str">
            <v>Con precio</v>
          </cell>
        </row>
        <row r="2546">
          <cell r="B2546" t="str">
            <v>C-M-P0001</v>
          </cell>
          <cell r="X2546" t="str">
            <v>Empaquetado</v>
          </cell>
          <cell r="AC2546">
            <v>0.11874999999999999</v>
          </cell>
          <cell r="AD2546">
            <v>0.11874999999999999</v>
          </cell>
          <cell r="AE2546" t="str">
            <v>Con precio</v>
          </cell>
        </row>
        <row r="2547">
          <cell r="B2547" t="str">
            <v>C-M-P0001</v>
          </cell>
          <cell r="X2547" t="str">
            <v>Empaquetado</v>
          </cell>
          <cell r="AC2547">
            <v>9.6080774456521717E-2</v>
          </cell>
          <cell r="AD2547">
            <v>9.6080774456521717E-2</v>
          </cell>
          <cell r="AE2547" t="str">
            <v>Con precio</v>
          </cell>
        </row>
        <row r="2548">
          <cell r="B2548" t="str">
            <v>C-M-P0001EC</v>
          </cell>
          <cell r="X2548" t="str">
            <v>Formulación</v>
          </cell>
          <cell r="AC2548">
            <v>4.8799999999999998E-3</v>
          </cell>
          <cell r="AD2548">
            <v>4.8799999999999998E-3</v>
          </cell>
          <cell r="AE2548" t="str">
            <v>Con precio</v>
          </cell>
        </row>
        <row r="2549">
          <cell r="B2549" t="str">
            <v>C-M-P0001EC</v>
          </cell>
          <cell r="X2549" t="str">
            <v>Formulación</v>
          </cell>
          <cell r="AC2549">
            <v>9.8751999999999995</v>
          </cell>
          <cell r="AD2549">
            <v>6.8589714285714294</v>
          </cell>
          <cell r="AE2549" t="str">
            <v>Con precio</v>
          </cell>
        </row>
        <row r="2550">
          <cell r="B2550" t="str">
            <v>C-M-P0001EC</v>
          </cell>
          <cell r="X2550" t="str">
            <v>Formulación</v>
          </cell>
          <cell r="AC2550">
            <v>0.1104</v>
          </cell>
          <cell r="AD2550">
            <v>0.10679999999999999</v>
          </cell>
          <cell r="AE2550" t="str">
            <v>Con precio</v>
          </cell>
        </row>
        <row r="2551">
          <cell r="B2551" t="str">
            <v>C-M-P0001EC</v>
          </cell>
          <cell r="X2551" t="str">
            <v>Formulación</v>
          </cell>
          <cell r="AC2551">
            <v>1.0319999999999999E-2</v>
          </cell>
          <cell r="AD2551">
            <v>7.7160000000000006E-3</v>
          </cell>
          <cell r="AE2551" t="str">
            <v>Con precio</v>
          </cell>
        </row>
        <row r="2552">
          <cell r="B2552" t="str">
            <v>C-M-P0001EC</v>
          </cell>
          <cell r="X2552" t="str">
            <v>Empaquetado</v>
          </cell>
          <cell r="AC2552">
            <v>3.0303030303030299E-5</v>
          </cell>
          <cell r="AD2552">
            <v>3.0303030303030299E-5</v>
          </cell>
          <cell r="AE2552" t="str">
            <v>Con precio</v>
          </cell>
        </row>
        <row r="2553">
          <cell r="B2553" t="str">
            <v>C-M-P0001EC</v>
          </cell>
          <cell r="X2553" t="str">
            <v>Empaquetado</v>
          </cell>
          <cell r="AC2553">
            <v>2.3439393939393937E-2</v>
          </cell>
          <cell r="AD2553">
            <v>2.3439393939393937E-2</v>
          </cell>
          <cell r="AE2553" t="str">
            <v>Con precio</v>
          </cell>
        </row>
        <row r="2554">
          <cell r="B2554" t="str">
            <v>C-M-P0001EC</v>
          </cell>
          <cell r="X2554" t="str">
            <v>Empaquetado</v>
          </cell>
          <cell r="AC2554">
            <v>7.1917518745739595E-2</v>
          </cell>
          <cell r="AD2554">
            <v>7.1917518745739595E-2</v>
          </cell>
          <cell r="AE2554" t="str">
            <v>Con precio</v>
          </cell>
        </row>
        <row r="2555">
          <cell r="B2555" t="str">
            <v>C-M-P0001EC</v>
          </cell>
          <cell r="X2555" t="str">
            <v>Empaquetado</v>
          </cell>
          <cell r="AC2555">
            <v>0.44322992424242419</v>
          </cell>
          <cell r="AD2555">
            <v>0.44322992424242419</v>
          </cell>
          <cell r="AE2555" t="str">
            <v>Con precio</v>
          </cell>
        </row>
        <row r="2556">
          <cell r="B2556" t="str">
            <v>C-M-P0001EC</v>
          </cell>
          <cell r="X2556" t="str">
            <v>Empaquetado</v>
          </cell>
          <cell r="AC2556">
            <v>0.11874999999999999</v>
          </cell>
          <cell r="AD2556">
            <v>0.11874999999999999</v>
          </cell>
          <cell r="AE2556" t="str">
            <v>Con precio</v>
          </cell>
        </row>
        <row r="2557">
          <cell r="B2557" t="str">
            <v>C-M-P0001EC</v>
          </cell>
          <cell r="X2557" t="str">
            <v>Empaquetado</v>
          </cell>
          <cell r="AC2557">
            <v>9.6080774456521717E-2</v>
          </cell>
          <cell r="AD2557">
            <v>9.6080774456521717E-2</v>
          </cell>
          <cell r="AE2557" t="str">
            <v>Con precio</v>
          </cell>
        </row>
        <row r="2558">
          <cell r="B2558" t="str">
            <v>C-M-P0005</v>
          </cell>
          <cell r="X2558" t="str">
            <v>Formulación</v>
          </cell>
          <cell r="AC2558">
            <v>4.8799999999999998E-3</v>
          </cell>
          <cell r="AD2558">
            <v>4.8799999999999998E-3</v>
          </cell>
          <cell r="AE2558" t="str">
            <v>Con precio</v>
          </cell>
        </row>
        <row r="2559">
          <cell r="B2559" t="str">
            <v>C-M-P0005</v>
          </cell>
          <cell r="X2559" t="str">
            <v>Formulación</v>
          </cell>
          <cell r="AC2559">
            <v>9.8751999999999995</v>
          </cell>
          <cell r="AD2559">
            <v>6.8589714285714294</v>
          </cell>
          <cell r="AE2559" t="str">
            <v>Con precio</v>
          </cell>
        </row>
        <row r="2560">
          <cell r="B2560" t="str">
            <v>C-M-P0005</v>
          </cell>
          <cell r="X2560" t="str">
            <v>Formulación</v>
          </cell>
          <cell r="AC2560">
            <v>0.1104</v>
          </cell>
          <cell r="AD2560">
            <v>0.10679999999999999</v>
          </cell>
          <cell r="AE2560" t="str">
            <v>Con precio</v>
          </cell>
        </row>
        <row r="2561">
          <cell r="B2561" t="str">
            <v>C-M-P0005</v>
          </cell>
          <cell r="X2561" t="str">
            <v>Formulación</v>
          </cell>
          <cell r="AC2561">
            <v>1.0319999999999999E-2</v>
          </cell>
          <cell r="AD2561">
            <v>7.7160000000000006E-3</v>
          </cell>
          <cell r="AE2561" t="str">
            <v>Con precio</v>
          </cell>
        </row>
        <row r="2562">
          <cell r="B2562" t="str">
            <v>C-M-P0005</v>
          </cell>
          <cell r="X2562" t="str">
            <v>Empaquetado</v>
          </cell>
          <cell r="AC2562">
            <v>1.2991333333333337E-2</v>
          </cell>
          <cell r="AD2562">
            <v>1.2991333333333337E-2</v>
          </cell>
          <cell r="AE2562" t="str">
            <v>Con precio</v>
          </cell>
        </row>
        <row r="2563">
          <cell r="B2563" t="str">
            <v>C-M-P0005</v>
          </cell>
          <cell r="X2563" t="str">
            <v>Empaquetado</v>
          </cell>
          <cell r="AC2563">
            <v>2.5783333333333339E-2</v>
          </cell>
          <cell r="AD2563">
            <v>2.5783333333333339E-2</v>
          </cell>
          <cell r="AE2563" t="str">
            <v>Con precio</v>
          </cell>
        </row>
        <row r="2564">
          <cell r="B2564" t="str">
            <v>C-M-P0005</v>
          </cell>
          <cell r="X2564" t="str">
            <v>Empaquetado</v>
          </cell>
          <cell r="AC2564">
            <v>2.5359983896940424E-2</v>
          </cell>
          <cell r="AD2564">
            <v>2.5359983896940424E-2</v>
          </cell>
          <cell r="AE2564" t="str">
            <v>Con precio</v>
          </cell>
        </row>
        <row r="2565">
          <cell r="B2565" t="str">
            <v>C-M-P0005</v>
          </cell>
          <cell r="X2565" t="str">
            <v>Empaquetado</v>
          </cell>
          <cell r="AC2565">
            <v>3.4200000000000001E-2</v>
          </cell>
          <cell r="AD2565">
            <v>3.4200000000000001E-2</v>
          </cell>
          <cell r="AE2565" t="str">
            <v>Con precio</v>
          </cell>
        </row>
        <row r="2566">
          <cell r="B2566" t="str">
            <v>C-M-P0005</v>
          </cell>
          <cell r="X2566" t="str">
            <v>Empaquetado</v>
          </cell>
          <cell r="AC2566">
            <v>0.17399999999999999</v>
          </cell>
          <cell r="AD2566">
            <v>0.17399999999999999</v>
          </cell>
          <cell r="AE2566" t="str">
            <v>Con precio</v>
          </cell>
        </row>
        <row r="2567">
          <cell r="B2567" t="str">
            <v>C-M-P0005</v>
          </cell>
          <cell r="X2567" t="str">
            <v>Empaquetado</v>
          </cell>
          <cell r="AC2567">
            <v>3.6950017630465445E-2</v>
          </cell>
          <cell r="AD2567">
            <v>3.6950017630465445E-2</v>
          </cell>
          <cell r="AE2567" t="str">
            <v>Con precio</v>
          </cell>
        </row>
        <row r="2568">
          <cell r="B2568" t="str">
            <v>C-M-P0005MA</v>
          </cell>
          <cell r="X2568" t="str">
            <v>Formulación</v>
          </cell>
          <cell r="AC2568">
            <v>4.8799999999999998E-3</v>
          </cell>
          <cell r="AD2568">
            <v>4.8799999999999998E-3</v>
          </cell>
          <cell r="AE2568" t="str">
            <v>Con precio</v>
          </cell>
        </row>
        <row r="2569">
          <cell r="B2569" t="str">
            <v>C-M-P0005MA</v>
          </cell>
          <cell r="X2569" t="str">
            <v>Formulación</v>
          </cell>
          <cell r="AC2569">
            <v>9.8751999999999995</v>
          </cell>
          <cell r="AD2569">
            <v>6.8589714285714294</v>
          </cell>
          <cell r="AE2569" t="str">
            <v>Con precio</v>
          </cell>
        </row>
        <row r="2570">
          <cell r="B2570" t="str">
            <v>C-M-P0005MA</v>
          </cell>
          <cell r="X2570" t="str">
            <v>Formulación</v>
          </cell>
          <cell r="AC2570">
            <v>0.1104</v>
          </cell>
          <cell r="AD2570">
            <v>0.10679999999999999</v>
          </cell>
          <cell r="AE2570" t="str">
            <v>Con precio</v>
          </cell>
        </row>
        <row r="2571">
          <cell r="B2571" t="str">
            <v>C-M-P0005MA</v>
          </cell>
          <cell r="X2571" t="str">
            <v>Formulación</v>
          </cell>
          <cell r="AC2571">
            <v>1.0319999999999999E-2</v>
          </cell>
          <cell r="AD2571">
            <v>7.7160000000000006E-3</v>
          </cell>
          <cell r="AE2571" t="str">
            <v>Con precio</v>
          </cell>
        </row>
        <row r="2572">
          <cell r="B2572" t="str">
            <v>C-M-P0005MA</v>
          </cell>
          <cell r="X2572" t="str">
            <v>Empaquetado</v>
          </cell>
          <cell r="AC2572">
            <v>1.2991333333333337E-2</v>
          </cell>
          <cell r="AD2572">
            <v>1.2991333333333337E-2</v>
          </cell>
          <cell r="AE2572" t="str">
            <v>Con precio</v>
          </cell>
        </row>
        <row r="2573">
          <cell r="B2573" t="str">
            <v>C-M-P0005MA</v>
          </cell>
          <cell r="X2573" t="str">
            <v>Empaquetado</v>
          </cell>
          <cell r="AC2573">
            <v>2.5783333333333339E-2</v>
          </cell>
          <cell r="AD2573">
            <v>2.5783333333333339E-2</v>
          </cell>
          <cell r="AE2573" t="str">
            <v>Con precio</v>
          </cell>
        </row>
        <row r="2574">
          <cell r="B2574" t="str">
            <v>C-M-P0005MA</v>
          </cell>
          <cell r="X2574" t="str">
            <v>Empaquetado</v>
          </cell>
          <cell r="AC2574">
            <v>2.5359983896940424E-2</v>
          </cell>
          <cell r="AD2574">
            <v>2.5359983896940424E-2</v>
          </cell>
          <cell r="AE2574" t="str">
            <v>Con precio</v>
          </cell>
        </row>
        <row r="2575">
          <cell r="B2575" t="str">
            <v>C-M-P0005MA</v>
          </cell>
          <cell r="X2575" t="str">
            <v>Empaquetado</v>
          </cell>
          <cell r="AC2575">
            <v>3.4200000000000001E-2</v>
          </cell>
          <cell r="AD2575">
            <v>3.4200000000000001E-2</v>
          </cell>
          <cell r="AE2575" t="str">
            <v>Con precio</v>
          </cell>
        </row>
        <row r="2576">
          <cell r="B2576" t="str">
            <v>C-M-P0005MA</v>
          </cell>
          <cell r="X2576" t="str">
            <v>Empaquetado</v>
          </cell>
          <cell r="AC2576">
            <v>0.17399999999999999</v>
          </cell>
          <cell r="AD2576">
            <v>0.17399999999999999</v>
          </cell>
          <cell r="AE2576" t="str">
            <v>Con precio</v>
          </cell>
        </row>
        <row r="2577">
          <cell r="B2577" t="str">
            <v>C-M-P0005MA</v>
          </cell>
          <cell r="X2577" t="str">
            <v>Empaquetado</v>
          </cell>
          <cell r="AC2577">
            <v>3.6950017630465445E-2</v>
          </cell>
          <cell r="AD2577">
            <v>3.6950017630465445E-2</v>
          </cell>
          <cell r="AE2577" t="str">
            <v>Con precio</v>
          </cell>
        </row>
        <row r="2578">
          <cell r="B2578" t="str">
            <v>C-M-P0020</v>
          </cell>
          <cell r="X2578" t="str">
            <v>Formulación</v>
          </cell>
          <cell r="AC2578">
            <v>4.8799999999999998E-3</v>
          </cell>
          <cell r="AD2578">
            <v>4.8799999999999998E-3</v>
          </cell>
          <cell r="AE2578" t="str">
            <v>Con precio</v>
          </cell>
        </row>
        <row r="2579">
          <cell r="B2579" t="str">
            <v>C-M-P0020</v>
          </cell>
          <cell r="X2579" t="str">
            <v>Formulación</v>
          </cell>
          <cell r="AC2579">
            <v>9.8751999999999995</v>
          </cell>
          <cell r="AD2579">
            <v>6.8589714285714294</v>
          </cell>
          <cell r="AE2579" t="str">
            <v>Con precio</v>
          </cell>
        </row>
        <row r="2580">
          <cell r="B2580" t="str">
            <v>C-M-P0020</v>
          </cell>
          <cell r="X2580" t="str">
            <v>Formulación</v>
          </cell>
          <cell r="AC2580">
            <v>0.1104</v>
          </cell>
          <cell r="AD2580">
            <v>0.10679999999999999</v>
          </cell>
          <cell r="AE2580" t="str">
            <v>Con precio</v>
          </cell>
        </row>
        <row r="2581">
          <cell r="B2581" t="str">
            <v>C-M-P0020</v>
          </cell>
          <cell r="X2581" t="str">
            <v>Formulación</v>
          </cell>
          <cell r="AC2581">
            <v>1.0319999999999999E-2</v>
          </cell>
          <cell r="AD2581">
            <v>7.7160000000000006E-3</v>
          </cell>
          <cell r="AE2581" t="str">
            <v>Con precio</v>
          </cell>
        </row>
        <row r="2582">
          <cell r="B2582" t="str">
            <v>C-M-P0020</v>
          </cell>
          <cell r="X2582" t="str">
            <v>Empaquetado</v>
          </cell>
          <cell r="AC2582">
            <v>7.3209374999999993E-3</v>
          </cell>
          <cell r="AD2582">
            <v>7.3209374999999993E-3</v>
          </cell>
          <cell r="AE2582" t="str">
            <v>Con precio</v>
          </cell>
        </row>
        <row r="2583">
          <cell r="B2583" t="str">
            <v>C-M-P0020</v>
          </cell>
          <cell r="X2583" t="str">
            <v>Empaquetado</v>
          </cell>
          <cell r="AC2583">
            <v>2.4171875000000002E-2</v>
          </cell>
          <cell r="AD2583">
            <v>2.4171875000000002E-2</v>
          </cell>
          <cell r="AE2583" t="str">
            <v>Con precio</v>
          </cell>
        </row>
        <row r="2584">
          <cell r="B2584" t="str">
            <v>C-M-P0020</v>
          </cell>
          <cell r="X2584" t="str">
            <v>Empaquetado</v>
          </cell>
          <cell r="AC2584">
            <v>5.0719967793880849E-3</v>
          </cell>
          <cell r="AD2584">
            <v>5.0719967793880849E-3</v>
          </cell>
          <cell r="AE2584" t="str">
            <v>Con precio</v>
          </cell>
        </row>
        <row r="2585">
          <cell r="B2585" t="str">
            <v>C-M-P0020</v>
          </cell>
          <cell r="X2585" t="str">
            <v>Empaquetado</v>
          </cell>
          <cell r="AC2585">
            <v>1.2352941176470591E-2</v>
          </cell>
          <cell r="AD2585">
            <v>1.2352941176470591E-2</v>
          </cell>
          <cell r="AE2585" t="str">
            <v>Con precio</v>
          </cell>
        </row>
        <row r="2586">
          <cell r="B2586" t="str">
            <v>C-M-P0020</v>
          </cell>
          <cell r="X2586" t="str">
            <v>Empaquetado</v>
          </cell>
          <cell r="AC2586">
            <v>0.18266505681818179</v>
          </cell>
          <cell r="AD2586">
            <v>0.18266505681818179</v>
          </cell>
          <cell r="AE2586" t="str">
            <v>Con precio</v>
          </cell>
        </row>
        <row r="2587">
          <cell r="B2587" t="str">
            <v>C-MB0001</v>
          </cell>
          <cell r="X2587" t="str">
            <v>Formulación</v>
          </cell>
          <cell r="AC2587">
            <v>4.8799999999999998E-3</v>
          </cell>
          <cell r="AD2587">
            <v>4.8799999999999998E-3</v>
          </cell>
          <cell r="AE2587" t="str">
            <v>Con precio</v>
          </cell>
        </row>
        <row r="2588">
          <cell r="B2588" t="str">
            <v>C-MB0001</v>
          </cell>
          <cell r="X2588" t="str">
            <v>Formulación</v>
          </cell>
          <cell r="AC2588">
            <v>0.60888799999999987</v>
          </cell>
          <cell r="AD2588">
            <v>0.55234839999999996</v>
          </cell>
          <cell r="AE2588" t="str">
            <v>Con precio</v>
          </cell>
        </row>
        <row r="2589">
          <cell r="B2589" t="str">
            <v>C-MB0001</v>
          </cell>
          <cell r="X2589" t="str">
            <v>Formulación</v>
          </cell>
          <cell r="AC2589">
            <v>3.88836</v>
          </cell>
          <cell r="AD2589">
            <v>2.7007200000000005</v>
          </cell>
          <cell r="AE2589" t="str">
            <v>Con precio</v>
          </cell>
        </row>
        <row r="2590">
          <cell r="B2590" t="str">
            <v>C-MB0001</v>
          </cell>
          <cell r="X2590" t="str">
            <v>Formulación</v>
          </cell>
          <cell r="AC2590">
            <v>6.7500000000000004E-2</v>
          </cell>
          <cell r="AD2590">
            <v>4.5785714285714291E-2</v>
          </cell>
          <cell r="AE2590" t="str">
            <v>Con precio</v>
          </cell>
        </row>
        <row r="2591">
          <cell r="B2591" t="str">
            <v>C-MB0001</v>
          </cell>
          <cell r="X2591" t="str">
            <v>Formulación</v>
          </cell>
          <cell r="AC2591">
            <v>6.8799999999999998E-3</v>
          </cell>
          <cell r="AD2591">
            <v>5.1440000000000001E-3</v>
          </cell>
          <cell r="AE2591" t="str">
            <v>Con precio</v>
          </cell>
        </row>
        <row r="2592">
          <cell r="B2592" t="str">
            <v>C-MB0001</v>
          </cell>
          <cell r="X2592" t="str">
            <v>Empaquetado</v>
          </cell>
          <cell r="AC2592">
            <v>3.0303030303030299E-5</v>
          </cell>
          <cell r="AD2592">
            <v>3.0303030303030299E-5</v>
          </cell>
          <cell r="AE2592" t="str">
            <v>Con precio</v>
          </cell>
        </row>
        <row r="2593">
          <cell r="B2593" t="str">
            <v>C-MB0001</v>
          </cell>
          <cell r="X2593" t="str">
            <v>Empaquetado</v>
          </cell>
          <cell r="AC2593">
            <v>2.3439393939393937E-2</v>
          </cell>
          <cell r="AD2593">
            <v>2.3439393939393937E-2</v>
          </cell>
          <cell r="AE2593" t="str">
            <v>Con precio</v>
          </cell>
        </row>
        <row r="2594">
          <cell r="B2594" t="str">
            <v>C-MB0001</v>
          </cell>
          <cell r="X2594" t="str">
            <v>Empaquetado</v>
          </cell>
          <cell r="AC2594">
            <v>7.1917518745739595E-2</v>
          </cell>
          <cell r="AD2594">
            <v>7.1917518745739595E-2</v>
          </cell>
          <cell r="AE2594" t="str">
            <v>Con precio</v>
          </cell>
        </row>
        <row r="2595">
          <cell r="B2595" t="str">
            <v>C-MB0001</v>
          </cell>
          <cell r="X2595" t="str">
            <v>Empaquetado</v>
          </cell>
          <cell r="AC2595">
            <v>0.44322992424242419</v>
          </cell>
          <cell r="AD2595">
            <v>0.44322992424242419</v>
          </cell>
          <cell r="AE2595" t="str">
            <v>Con precio</v>
          </cell>
        </row>
        <row r="2596">
          <cell r="B2596" t="str">
            <v>C-MB0001</v>
          </cell>
          <cell r="X2596" t="str">
            <v>Empaquetado</v>
          </cell>
          <cell r="AC2596">
            <v>0.11874999999999999</v>
          </cell>
          <cell r="AD2596">
            <v>0.11874999999999999</v>
          </cell>
          <cell r="AE2596" t="str">
            <v>Con precio</v>
          </cell>
        </row>
        <row r="2597">
          <cell r="B2597" t="str">
            <v>C-MB0001</v>
          </cell>
          <cell r="X2597" t="str">
            <v>Empaquetado</v>
          </cell>
          <cell r="AC2597">
            <v>9.6080774456521717E-2</v>
          </cell>
          <cell r="AD2597">
            <v>9.6080774456521717E-2</v>
          </cell>
          <cell r="AE2597" t="str">
            <v>Con precio</v>
          </cell>
        </row>
        <row r="2598">
          <cell r="B2598" t="str">
            <v>C-MB0001DO</v>
          </cell>
          <cell r="X2598" t="str">
            <v>Formulación</v>
          </cell>
          <cell r="AC2598">
            <v>4.8799999999999998E-3</v>
          </cell>
          <cell r="AD2598">
            <v>4.8799999999999998E-3</v>
          </cell>
          <cell r="AE2598" t="str">
            <v>Con precio</v>
          </cell>
        </row>
        <row r="2599">
          <cell r="B2599" t="str">
            <v>C-MB0001DO</v>
          </cell>
          <cell r="X2599" t="str">
            <v>Formulación</v>
          </cell>
          <cell r="AC2599">
            <v>0.60888799999999987</v>
          </cell>
          <cell r="AD2599">
            <v>0.55234839999999996</v>
          </cell>
          <cell r="AE2599" t="str">
            <v>Con precio</v>
          </cell>
        </row>
        <row r="2600">
          <cell r="B2600" t="str">
            <v>C-MB0001DO</v>
          </cell>
          <cell r="X2600" t="str">
            <v>Formulación</v>
          </cell>
          <cell r="AC2600">
            <v>3.88836</v>
          </cell>
          <cell r="AD2600">
            <v>2.7007200000000005</v>
          </cell>
          <cell r="AE2600" t="str">
            <v>Con precio</v>
          </cell>
        </row>
        <row r="2601">
          <cell r="B2601" t="str">
            <v>C-MB0001DO</v>
          </cell>
          <cell r="X2601" t="str">
            <v>Formulación</v>
          </cell>
          <cell r="AC2601">
            <v>6.7500000000000004E-2</v>
          </cell>
          <cell r="AD2601">
            <v>4.5785714285714291E-2</v>
          </cell>
          <cell r="AE2601" t="str">
            <v>Con precio</v>
          </cell>
        </row>
        <row r="2602">
          <cell r="B2602" t="str">
            <v>C-MB0001DO</v>
          </cell>
          <cell r="X2602" t="str">
            <v>Formulación</v>
          </cell>
          <cell r="AC2602">
            <v>6.8799999999999998E-3</v>
          </cell>
          <cell r="AD2602">
            <v>5.1440000000000001E-3</v>
          </cell>
          <cell r="AE2602" t="str">
            <v>Con precio</v>
          </cell>
        </row>
        <row r="2603">
          <cell r="B2603" t="str">
            <v>C-MB0001DO</v>
          </cell>
          <cell r="X2603" t="str">
            <v>Empaquetado</v>
          </cell>
          <cell r="AC2603">
            <v>3.0303030303030299E-5</v>
          </cell>
          <cell r="AD2603">
            <v>3.0303030303030299E-5</v>
          </cell>
          <cell r="AE2603" t="str">
            <v>Con precio</v>
          </cell>
        </row>
        <row r="2604">
          <cell r="B2604" t="str">
            <v>C-MB0001DO</v>
          </cell>
          <cell r="X2604" t="str">
            <v>Empaquetado</v>
          </cell>
          <cell r="AC2604">
            <v>2.3439393939393937E-2</v>
          </cell>
          <cell r="AD2604">
            <v>2.3439393939393937E-2</v>
          </cell>
          <cell r="AE2604" t="str">
            <v>Con precio</v>
          </cell>
        </row>
        <row r="2605">
          <cell r="B2605" t="str">
            <v>C-MB0001DO</v>
          </cell>
          <cell r="X2605" t="str">
            <v>Empaquetado</v>
          </cell>
          <cell r="AC2605">
            <v>7.1917518745739595E-2</v>
          </cell>
          <cell r="AD2605">
            <v>7.1917518745739595E-2</v>
          </cell>
          <cell r="AE2605" t="str">
            <v>Con precio</v>
          </cell>
        </row>
        <row r="2606">
          <cell r="B2606" t="str">
            <v>C-MB0001DO</v>
          </cell>
          <cell r="X2606" t="str">
            <v>Empaquetado</v>
          </cell>
          <cell r="AC2606">
            <v>0.44322992424242419</v>
          </cell>
          <cell r="AD2606">
            <v>0.44322992424242419</v>
          </cell>
          <cell r="AE2606" t="str">
            <v>Con precio</v>
          </cell>
        </row>
        <row r="2607">
          <cell r="B2607" t="str">
            <v>C-MB0001DO</v>
          </cell>
          <cell r="X2607" t="str">
            <v>Empaquetado</v>
          </cell>
          <cell r="AC2607">
            <v>0.11874999999999999</v>
          </cell>
          <cell r="AD2607">
            <v>0.11874999999999999</v>
          </cell>
          <cell r="AE2607" t="str">
            <v>Con precio</v>
          </cell>
        </row>
        <row r="2608">
          <cell r="B2608" t="str">
            <v>C-MB0001DO</v>
          </cell>
          <cell r="X2608" t="str">
            <v>Empaquetado</v>
          </cell>
          <cell r="AC2608">
            <v>9.6080774456521717E-2</v>
          </cell>
          <cell r="AD2608">
            <v>9.6080774456521717E-2</v>
          </cell>
          <cell r="AE2608" t="str">
            <v>Con precio</v>
          </cell>
        </row>
        <row r="2609">
          <cell r="B2609" t="str">
            <v>C-MB0005</v>
          </cell>
          <cell r="X2609" t="str">
            <v>Formulación</v>
          </cell>
          <cell r="AC2609">
            <v>4.8799999999999998E-3</v>
          </cell>
          <cell r="AD2609">
            <v>4.8799999999999998E-3</v>
          </cell>
          <cell r="AE2609" t="str">
            <v>Con precio</v>
          </cell>
        </row>
        <row r="2610">
          <cell r="B2610" t="str">
            <v>C-MB0005</v>
          </cell>
          <cell r="X2610" t="str">
            <v>Formulación</v>
          </cell>
          <cell r="AC2610">
            <v>0.60888799999999987</v>
          </cell>
          <cell r="AD2610">
            <v>0.55234839999999996</v>
          </cell>
          <cell r="AE2610" t="str">
            <v>Con precio</v>
          </cell>
        </row>
        <row r="2611">
          <cell r="B2611" t="str">
            <v>C-MB0005</v>
          </cell>
          <cell r="X2611" t="str">
            <v>Formulación</v>
          </cell>
          <cell r="AC2611">
            <v>3.88836</v>
          </cell>
          <cell r="AD2611">
            <v>2.7007200000000005</v>
          </cell>
          <cell r="AE2611" t="str">
            <v>Con precio</v>
          </cell>
        </row>
        <row r="2612">
          <cell r="B2612" t="str">
            <v>C-MB0005</v>
          </cell>
          <cell r="X2612" t="str">
            <v>Formulación</v>
          </cell>
          <cell r="AC2612">
            <v>6.7500000000000004E-2</v>
          </cell>
          <cell r="AD2612">
            <v>4.5785714285714291E-2</v>
          </cell>
          <cell r="AE2612" t="str">
            <v>Con precio</v>
          </cell>
        </row>
        <row r="2613">
          <cell r="B2613" t="str">
            <v>C-MB0005</v>
          </cell>
          <cell r="X2613" t="str">
            <v>Formulación</v>
          </cell>
          <cell r="AC2613">
            <v>6.8799999999999998E-3</v>
          </cell>
          <cell r="AD2613">
            <v>5.1440000000000001E-3</v>
          </cell>
          <cell r="AE2613" t="str">
            <v>Con precio</v>
          </cell>
        </row>
        <row r="2614">
          <cell r="B2614" t="str">
            <v>C-MB0005</v>
          </cell>
          <cell r="X2614" t="str">
            <v>Empaquetado</v>
          </cell>
          <cell r="AC2614">
            <v>1.2991333333333337E-2</v>
          </cell>
          <cell r="AD2614">
            <v>1.2991333333333337E-2</v>
          </cell>
          <cell r="AE2614" t="str">
            <v>Con precio</v>
          </cell>
        </row>
        <row r="2615">
          <cell r="B2615" t="str">
            <v>C-MB0005</v>
          </cell>
          <cell r="X2615" t="str">
            <v>Empaquetado</v>
          </cell>
          <cell r="AC2615">
            <v>2.5783333333333339E-2</v>
          </cell>
          <cell r="AD2615">
            <v>2.5783333333333339E-2</v>
          </cell>
          <cell r="AE2615" t="str">
            <v>Con precio</v>
          </cell>
        </row>
        <row r="2616">
          <cell r="B2616" t="str">
            <v>C-MB0005</v>
          </cell>
          <cell r="X2616" t="str">
            <v>Empaquetado</v>
          </cell>
          <cell r="AC2616">
            <v>2.5359983896940424E-2</v>
          </cell>
          <cell r="AD2616">
            <v>2.5359983896940424E-2</v>
          </cell>
          <cell r="AE2616" t="str">
            <v>Con precio</v>
          </cell>
        </row>
        <row r="2617">
          <cell r="B2617" t="str">
            <v>C-MB0005</v>
          </cell>
          <cell r="X2617" t="str">
            <v>Empaquetado</v>
          </cell>
          <cell r="AC2617">
            <v>3.4200000000000001E-2</v>
          </cell>
          <cell r="AD2617">
            <v>3.4200000000000001E-2</v>
          </cell>
          <cell r="AE2617" t="str">
            <v>Con precio</v>
          </cell>
        </row>
        <row r="2618">
          <cell r="B2618" t="str">
            <v>C-MB0005</v>
          </cell>
          <cell r="X2618" t="str">
            <v>Empaquetado</v>
          </cell>
          <cell r="AC2618">
            <v>0.17399999999999999</v>
          </cell>
          <cell r="AD2618">
            <v>0.17399999999999999</v>
          </cell>
          <cell r="AE2618" t="str">
            <v>Con precio</v>
          </cell>
        </row>
        <row r="2619">
          <cell r="B2619" t="str">
            <v>C-MB0005</v>
          </cell>
          <cell r="X2619" t="str">
            <v>Empaquetado</v>
          </cell>
          <cell r="AC2619">
            <v>3.6950017630465445E-2</v>
          </cell>
          <cell r="AD2619">
            <v>3.6950017630465445E-2</v>
          </cell>
          <cell r="AE2619" t="str">
            <v>Con precio</v>
          </cell>
        </row>
        <row r="2620">
          <cell r="B2620" t="str">
            <v>C-MB0005MA</v>
          </cell>
          <cell r="X2620" t="str">
            <v>Formulación</v>
          </cell>
          <cell r="AC2620">
            <v>4.8799999999999998E-3</v>
          </cell>
          <cell r="AD2620">
            <v>4.8799999999999998E-3</v>
          </cell>
          <cell r="AE2620" t="str">
            <v>Con precio</v>
          </cell>
        </row>
        <row r="2621">
          <cell r="B2621" t="str">
            <v>C-MB0005MA</v>
          </cell>
          <cell r="X2621" t="str">
            <v>Formulación</v>
          </cell>
          <cell r="AC2621">
            <v>0.60888799999999987</v>
          </cell>
          <cell r="AD2621">
            <v>0.55234839999999996</v>
          </cell>
          <cell r="AE2621" t="str">
            <v>Con precio</v>
          </cell>
        </row>
        <row r="2622">
          <cell r="B2622" t="str">
            <v>C-MB0005MA</v>
          </cell>
          <cell r="X2622" t="str">
            <v>Formulación</v>
          </cell>
          <cell r="AC2622">
            <v>3.88836</v>
          </cell>
          <cell r="AD2622">
            <v>2.7007200000000005</v>
          </cell>
          <cell r="AE2622" t="str">
            <v>Con precio</v>
          </cell>
        </row>
        <row r="2623">
          <cell r="B2623" t="str">
            <v>C-MB0005MA</v>
          </cell>
          <cell r="X2623" t="str">
            <v>Formulación</v>
          </cell>
          <cell r="AC2623">
            <v>6.7500000000000004E-2</v>
          </cell>
          <cell r="AD2623">
            <v>4.5785714285714291E-2</v>
          </cell>
          <cell r="AE2623" t="str">
            <v>Con precio</v>
          </cell>
        </row>
        <row r="2624">
          <cell r="B2624" t="str">
            <v>C-MB0005MA</v>
          </cell>
          <cell r="X2624" t="str">
            <v>Formulación</v>
          </cell>
          <cell r="AC2624">
            <v>6.8799999999999998E-3</v>
          </cell>
          <cell r="AD2624">
            <v>5.1440000000000001E-3</v>
          </cell>
          <cell r="AE2624" t="str">
            <v>Con precio</v>
          </cell>
        </row>
        <row r="2625">
          <cell r="B2625" t="str">
            <v>C-MB0005MA</v>
          </cell>
          <cell r="X2625" t="str">
            <v>Empaquetado</v>
          </cell>
          <cell r="AC2625">
            <v>1.2991333333333337E-2</v>
          </cell>
          <cell r="AD2625">
            <v>1.2991333333333337E-2</v>
          </cell>
          <cell r="AE2625" t="str">
            <v>Con precio</v>
          </cell>
        </row>
        <row r="2626">
          <cell r="B2626" t="str">
            <v>C-MB0005MA</v>
          </cell>
          <cell r="X2626" t="str">
            <v>Empaquetado</v>
          </cell>
          <cell r="AC2626">
            <v>2.5783333333333339E-2</v>
          </cell>
          <cell r="AD2626">
            <v>2.5783333333333339E-2</v>
          </cell>
          <cell r="AE2626" t="str">
            <v>Con precio</v>
          </cell>
        </row>
        <row r="2627">
          <cell r="B2627" t="str">
            <v>C-MB0005MA</v>
          </cell>
          <cell r="X2627" t="str">
            <v>Empaquetado</v>
          </cell>
          <cell r="AC2627">
            <v>2.5359983896940424E-2</v>
          </cell>
          <cell r="AD2627">
            <v>2.5359983896940424E-2</v>
          </cell>
          <cell r="AE2627" t="str">
            <v>Con precio</v>
          </cell>
        </row>
        <row r="2628">
          <cell r="B2628" t="str">
            <v>C-MB0005MA</v>
          </cell>
          <cell r="X2628" t="str">
            <v>Empaquetado</v>
          </cell>
          <cell r="AC2628">
            <v>3.4200000000000001E-2</v>
          </cell>
          <cell r="AD2628">
            <v>3.4200000000000001E-2</v>
          </cell>
          <cell r="AE2628" t="str">
            <v>Con precio</v>
          </cell>
        </row>
        <row r="2629">
          <cell r="B2629" t="str">
            <v>C-MB0005MA</v>
          </cell>
          <cell r="X2629" t="str">
            <v>Empaquetado</v>
          </cell>
          <cell r="AC2629">
            <v>0.17399999999999999</v>
          </cell>
          <cell r="AD2629">
            <v>0.17399999999999999</v>
          </cell>
          <cell r="AE2629" t="str">
            <v>Con precio</v>
          </cell>
        </row>
        <row r="2630">
          <cell r="B2630" t="str">
            <v>C-MB0005MA</v>
          </cell>
          <cell r="X2630" t="str">
            <v>Empaquetado</v>
          </cell>
          <cell r="AC2630">
            <v>3.6950017630465445E-2</v>
          </cell>
          <cell r="AD2630">
            <v>3.6950017630465445E-2</v>
          </cell>
          <cell r="AE2630" t="str">
            <v>Con precio</v>
          </cell>
        </row>
        <row r="2631">
          <cell r="B2631" t="str">
            <v>C-MB0020</v>
          </cell>
          <cell r="X2631" t="str">
            <v>Formulación</v>
          </cell>
          <cell r="AC2631">
            <v>4.8799999999999998E-3</v>
          </cell>
          <cell r="AD2631">
            <v>4.8799999999999998E-3</v>
          </cell>
          <cell r="AE2631" t="str">
            <v>Con precio</v>
          </cell>
        </row>
        <row r="2632">
          <cell r="B2632" t="str">
            <v>C-MB0020</v>
          </cell>
          <cell r="X2632" t="str">
            <v>Formulación</v>
          </cell>
          <cell r="AC2632">
            <v>0.60888799999999987</v>
          </cell>
          <cell r="AD2632">
            <v>0.55234839999999996</v>
          </cell>
          <cell r="AE2632" t="str">
            <v>Con precio</v>
          </cell>
        </row>
        <row r="2633">
          <cell r="B2633" t="str">
            <v>C-MB0020</v>
          </cell>
          <cell r="X2633" t="str">
            <v>Formulación</v>
          </cell>
          <cell r="AC2633">
            <v>3.88836</v>
          </cell>
          <cell r="AD2633">
            <v>2.7007200000000005</v>
          </cell>
          <cell r="AE2633" t="str">
            <v>Con precio</v>
          </cell>
        </row>
        <row r="2634">
          <cell r="B2634" t="str">
            <v>C-MB0020</v>
          </cell>
          <cell r="X2634" t="str">
            <v>Formulación</v>
          </cell>
          <cell r="AC2634">
            <v>6.7500000000000004E-2</v>
          </cell>
          <cell r="AD2634">
            <v>4.5785714285714291E-2</v>
          </cell>
          <cell r="AE2634" t="str">
            <v>Con precio</v>
          </cell>
        </row>
        <row r="2635">
          <cell r="B2635" t="str">
            <v>C-MB0020</v>
          </cell>
          <cell r="X2635" t="str">
            <v>Formulación</v>
          </cell>
          <cell r="AC2635">
            <v>6.8799999999999998E-3</v>
          </cell>
          <cell r="AD2635">
            <v>5.1440000000000001E-3</v>
          </cell>
          <cell r="AE2635" t="str">
            <v>Con precio</v>
          </cell>
        </row>
        <row r="2636">
          <cell r="B2636" t="str">
            <v>C-MB0020</v>
          </cell>
          <cell r="X2636" t="str">
            <v>Empaquetado</v>
          </cell>
          <cell r="AC2636">
            <v>7.3209374999999993E-3</v>
          </cell>
          <cell r="AD2636">
            <v>7.3209374999999993E-3</v>
          </cell>
          <cell r="AE2636" t="str">
            <v>Con precio</v>
          </cell>
        </row>
        <row r="2637">
          <cell r="B2637" t="str">
            <v>C-MB0020</v>
          </cell>
          <cell r="X2637" t="str">
            <v>Empaquetado</v>
          </cell>
          <cell r="AC2637">
            <v>2.4171875000000002E-2</v>
          </cell>
          <cell r="AD2637">
            <v>2.4171875000000002E-2</v>
          </cell>
          <cell r="AE2637" t="str">
            <v>Con precio</v>
          </cell>
        </row>
        <row r="2638">
          <cell r="B2638" t="str">
            <v>C-MB0020</v>
          </cell>
          <cell r="X2638" t="str">
            <v>Empaquetado</v>
          </cell>
          <cell r="AC2638">
            <v>5.0719967793880849E-3</v>
          </cell>
          <cell r="AD2638">
            <v>5.0719967793880849E-3</v>
          </cell>
          <cell r="AE2638" t="str">
            <v>Con precio</v>
          </cell>
        </row>
        <row r="2639">
          <cell r="B2639" t="str">
            <v>C-MB0020</v>
          </cell>
          <cell r="X2639" t="str">
            <v>Empaquetado</v>
          </cell>
          <cell r="AC2639">
            <v>0.18266505681818179</v>
          </cell>
          <cell r="AD2639">
            <v>0.18266505681818179</v>
          </cell>
          <cell r="AE2639" t="str">
            <v>Con precio</v>
          </cell>
        </row>
        <row r="2640">
          <cell r="B2640" t="str">
            <v>C-MB0020</v>
          </cell>
          <cell r="X2640" t="str">
            <v>Empaquetado</v>
          </cell>
          <cell r="AC2640">
            <v>2.4035031847133761E-2</v>
          </cell>
          <cell r="AD2640">
            <v>2.4035031847133761E-2</v>
          </cell>
          <cell r="AE2640" t="str">
            <v>Con precio</v>
          </cell>
        </row>
        <row r="2641">
          <cell r="B2641" t="str">
            <v>CALCIO0001RO</v>
          </cell>
          <cell r="X2641" t="str">
            <v>Formulación</v>
          </cell>
          <cell r="AC2641">
            <v>3.6719999999999996E-2</v>
          </cell>
          <cell r="AD2641">
            <v>3.6719999999999996E-2</v>
          </cell>
          <cell r="AE2641" t="str">
            <v>Con precio</v>
          </cell>
        </row>
        <row r="2642">
          <cell r="B2642" t="str">
            <v>CALCIO0001RO</v>
          </cell>
          <cell r="X2642" t="str">
            <v>Formulación</v>
          </cell>
          <cell r="AC2642">
            <v>0.98399999999999999</v>
          </cell>
          <cell r="AD2642">
            <v>0.72100000000000009</v>
          </cell>
          <cell r="AE2642" t="str">
            <v>Con precio</v>
          </cell>
        </row>
        <row r="2643">
          <cell r="B2643" t="str">
            <v>CALCIO0001RO</v>
          </cell>
          <cell r="X2643" t="str">
            <v>Formulación</v>
          </cell>
          <cell r="AC2643">
            <v>4.8440000000000004E-2</v>
          </cell>
          <cell r="AD2643">
            <v>4.0740000000000005E-2</v>
          </cell>
          <cell r="AE2643" t="str">
            <v>Con precio</v>
          </cell>
        </row>
        <row r="2644">
          <cell r="B2644" t="str">
            <v>CALCIO0001RO</v>
          </cell>
          <cell r="X2644" t="str">
            <v>Formulación</v>
          </cell>
          <cell r="AC2644">
            <v>0.44820000000000004</v>
          </cell>
          <cell r="AD2644">
            <v>0.30401714285714287</v>
          </cell>
          <cell r="AE2644" t="str">
            <v>Con precio</v>
          </cell>
        </row>
        <row r="2645">
          <cell r="B2645" t="str">
            <v>CALCIO0001RO</v>
          </cell>
          <cell r="X2645" t="str">
            <v>Formulación</v>
          </cell>
          <cell r="AC2645">
            <v>0.1145</v>
          </cell>
          <cell r="AD2645">
            <v>8.5799999999999987E-2</v>
          </cell>
          <cell r="AE2645" t="str">
            <v>Con precio</v>
          </cell>
        </row>
        <row r="2646">
          <cell r="B2646" t="str">
            <v>CALCIO0001RO</v>
          </cell>
          <cell r="X2646" t="str">
            <v>Empaquetado</v>
          </cell>
          <cell r="AC2646">
            <v>1.8939393939393939E-5</v>
          </cell>
          <cell r="AD2646">
            <v>1.8939393939393939E-5</v>
          </cell>
          <cell r="AE2646" t="str">
            <v>Con precio</v>
          </cell>
        </row>
        <row r="2647">
          <cell r="B2647" t="str">
            <v>CALCIO0001RO</v>
          </cell>
          <cell r="X2647" t="str">
            <v>Empaquetado</v>
          </cell>
          <cell r="AC2647">
            <v>1.4649621212121213E-2</v>
          </cell>
          <cell r="AD2647">
            <v>1.4649621212121213E-2</v>
          </cell>
          <cell r="AE2647" t="str">
            <v>Con precio</v>
          </cell>
        </row>
        <row r="2648">
          <cell r="B2648" t="str">
            <v>CALCIO0001RO</v>
          </cell>
          <cell r="X2648" t="str">
            <v>Empaquetado</v>
          </cell>
          <cell r="AC2648">
            <v>5.3938139059304703E-2</v>
          </cell>
          <cell r="AD2648">
            <v>5.3938139059304703E-2</v>
          </cell>
          <cell r="AE2648" t="str">
            <v>Con precio</v>
          </cell>
        </row>
        <row r="2649">
          <cell r="B2649" t="str">
            <v>CALCIO0001RO</v>
          </cell>
          <cell r="X2649" t="str">
            <v>Empaquetado</v>
          </cell>
          <cell r="AC2649">
            <v>5.5431216032608699E-3</v>
          </cell>
          <cell r="AD2649">
            <v>5.5431216032608699E-3</v>
          </cell>
          <cell r="AE2649" t="str">
            <v>Con precio</v>
          </cell>
        </row>
        <row r="2650">
          <cell r="B2650" t="str">
            <v>CALCIO0001RO</v>
          </cell>
          <cell r="X2650" t="str">
            <v>Empaquetado</v>
          </cell>
          <cell r="AC2650">
            <v>3.9889583333333332E-2</v>
          </cell>
          <cell r="AD2650">
            <v>3.9889583333333332E-2</v>
          </cell>
          <cell r="AE2650" t="str">
            <v>Con precio</v>
          </cell>
        </row>
        <row r="2651">
          <cell r="B2651" t="str">
            <v>CALCIO0001RO</v>
          </cell>
          <cell r="X2651" t="str">
            <v>Empaquetado</v>
          </cell>
          <cell r="AC2651">
            <v>6.3339962121212137E-2</v>
          </cell>
          <cell r="AD2651">
            <v>6.3339962121212137E-2</v>
          </cell>
          <cell r="AE2651" t="str">
            <v>Con precio</v>
          </cell>
        </row>
        <row r="2652">
          <cell r="B2652" t="str">
            <v>CALCIO0005</v>
          </cell>
          <cell r="X2652" t="str">
            <v>Formulación</v>
          </cell>
          <cell r="AC2652">
            <v>3.6719999999999996E-2</v>
          </cell>
          <cell r="AD2652">
            <v>3.6719999999999996E-2</v>
          </cell>
          <cell r="AE2652" t="str">
            <v>Con precio</v>
          </cell>
        </row>
        <row r="2653">
          <cell r="B2653" t="str">
            <v>CALCIO0005</v>
          </cell>
          <cell r="X2653" t="str">
            <v>Formulación</v>
          </cell>
          <cell r="AC2653">
            <v>0.98399999999999999</v>
          </cell>
          <cell r="AD2653">
            <v>0.72100000000000009</v>
          </cell>
          <cell r="AE2653" t="str">
            <v>Con precio</v>
          </cell>
        </row>
        <row r="2654">
          <cell r="B2654" t="str">
            <v>CALCIO0005</v>
          </cell>
          <cell r="X2654" t="str">
            <v>Formulación</v>
          </cell>
          <cell r="AC2654">
            <v>4.8440000000000004E-2</v>
          </cell>
          <cell r="AD2654">
            <v>4.0740000000000005E-2</v>
          </cell>
          <cell r="AE2654" t="str">
            <v>Con precio</v>
          </cell>
        </row>
        <row r="2655">
          <cell r="B2655" t="str">
            <v>CALCIO0005</v>
          </cell>
          <cell r="X2655" t="str">
            <v>Formulación</v>
          </cell>
          <cell r="AC2655">
            <v>0.44820000000000004</v>
          </cell>
          <cell r="AD2655">
            <v>0.30401714285714287</v>
          </cell>
          <cell r="AE2655" t="str">
            <v>Con precio</v>
          </cell>
        </row>
        <row r="2656">
          <cell r="B2656" t="str">
            <v>CALCIO0005</v>
          </cell>
          <cell r="X2656" t="str">
            <v>Formulación</v>
          </cell>
          <cell r="AC2656">
            <v>0.1145</v>
          </cell>
          <cell r="AD2656">
            <v>8.5799999999999987E-2</v>
          </cell>
          <cell r="AE2656" t="str">
            <v>Con precio</v>
          </cell>
        </row>
        <row r="2657">
          <cell r="B2657" t="str">
            <v>CALCIO0005</v>
          </cell>
          <cell r="X2657" t="str">
            <v>Empaquetado</v>
          </cell>
          <cell r="AC2657">
            <v>1.0393066666666666E-2</v>
          </cell>
          <cell r="AD2657">
            <v>1.0393066666666666E-2</v>
          </cell>
          <cell r="AE2657" t="str">
            <v>Con precio</v>
          </cell>
        </row>
        <row r="2658">
          <cell r="B2658" t="str">
            <v>CALCIO0005</v>
          </cell>
          <cell r="X2658" t="str">
            <v>Empaquetado</v>
          </cell>
          <cell r="AC2658">
            <v>2.0626666666666665E-2</v>
          </cell>
          <cell r="AD2658">
            <v>2.0626666666666665E-2</v>
          </cell>
          <cell r="AE2658" t="str">
            <v>Con precio</v>
          </cell>
        </row>
        <row r="2659">
          <cell r="B2659" t="str">
            <v>CALCIO0005</v>
          </cell>
          <cell r="X2659" t="str">
            <v>Empaquetado</v>
          </cell>
          <cell r="AC2659">
            <v>2.1285586956521739E-2</v>
          </cell>
          <cell r="AD2659">
            <v>2.1285586956521739E-2</v>
          </cell>
          <cell r="AE2659" t="str">
            <v>Con precio</v>
          </cell>
        </row>
        <row r="2660">
          <cell r="B2660" t="str">
            <v>CALCIO0005</v>
          </cell>
          <cell r="X2660" t="str">
            <v>Empaquetado</v>
          </cell>
          <cell r="AC2660">
            <v>2.9560014104372354E-2</v>
          </cell>
          <cell r="AD2660">
            <v>2.9560014104372354E-2</v>
          </cell>
          <cell r="AE2660" t="str">
            <v>Con precio</v>
          </cell>
        </row>
        <row r="2661">
          <cell r="B2661" t="str">
            <v>CALCIO0005</v>
          </cell>
          <cell r="X2661" t="str">
            <v>Empaquetado</v>
          </cell>
          <cell r="AC2661">
            <v>2.1682000000000003E-2</v>
          </cell>
          <cell r="AD2661">
            <v>2.1682000000000003E-2</v>
          </cell>
          <cell r="AE2661" t="str">
            <v>Con precio</v>
          </cell>
        </row>
        <row r="2662">
          <cell r="B2662" t="str">
            <v>CALCIO0005MA</v>
          </cell>
          <cell r="X2662" t="str">
            <v>Formulación</v>
          </cell>
          <cell r="AC2662">
            <v>3.6719999999999996E-2</v>
          </cell>
          <cell r="AD2662">
            <v>3.6719999999999996E-2</v>
          </cell>
          <cell r="AE2662" t="str">
            <v>Con precio</v>
          </cell>
        </row>
        <row r="2663">
          <cell r="B2663" t="str">
            <v>CALCIO0005MA</v>
          </cell>
          <cell r="X2663" t="str">
            <v>Formulación</v>
          </cell>
          <cell r="AC2663">
            <v>0.98399999999999999</v>
          </cell>
          <cell r="AD2663">
            <v>0.72100000000000009</v>
          </cell>
          <cell r="AE2663" t="str">
            <v>Con precio</v>
          </cell>
        </row>
        <row r="2664">
          <cell r="B2664" t="str">
            <v>CALCIO0005MA</v>
          </cell>
          <cell r="X2664" t="str">
            <v>Formulación</v>
          </cell>
          <cell r="AC2664">
            <v>4.8440000000000004E-2</v>
          </cell>
          <cell r="AD2664">
            <v>4.0740000000000005E-2</v>
          </cell>
          <cell r="AE2664" t="str">
            <v>Con precio</v>
          </cell>
        </row>
        <row r="2665">
          <cell r="B2665" t="str">
            <v>CALCIO0005MA</v>
          </cell>
          <cell r="X2665" t="str">
            <v>Formulación</v>
          </cell>
          <cell r="AC2665">
            <v>0.44820000000000004</v>
          </cell>
          <cell r="AD2665">
            <v>0.30401714285714287</v>
          </cell>
          <cell r="AE2665" t="str">
            <v>Con precio</v>
          </cell>
        </row>
        <row r="2666">
          <cell r="B2666" t="str">
            <v>CALCIO0005MA</v>
          </cell>
          <cell r="X2666" t="str">
            <v>Formulación</v>
          </cell>
          <cell r="AC2666">
            <v>0.1145</v>
          </cell>
          <cell r="AD2666">
            <v>8.5799999999999987E-2</v>
          </cell>
          <cell r="AE2666" t="str">
            <v>Con precio</v>
          </cell>
        </row>
        <row r="2667">
          <cell r="B2667" t="str">
            <v>CALCIO0005MA</v>
          </cell>
          <cell r="X2667" t="str">
            <v>Empaquetado</v>
          </cell>
          <cell r="AC2667">
            <v>1.0393066666666666E-2</v>
          </cell>
          <cell r="AD2667">
            <v>1.0393066666666666E-2</v>
          </cell>
          <cell r="AE2667" t="str">
            <v>Con precio</v>
          </cell>
        </row>
        <row r="2668">
          <cell r="B2668" t="str">
            <v>CALCIO0005MA</v>
          </cell>
          <cell r="X2668" t="str">
            <v>Empaquetado</v>
          </cell>
          <cell r="AC2668">
            <v>2.0626666666666665E-2</v>
          </cell>
          <cell r="AD2668">
            <v>2.0626666666666665E-2</v>
          </cell>
          <cell r="AE2668" t="str">
            <v>Con precio</v>
          </cell>
        </row>
        <row r="2669">
          <cell r="B2669" t="str">
            <v>CALCIO0005MA</v>
          </cell>
          <cell r="X2669" t="str">
            <v>Empaquetado</v>
          </cell>
          <cell r="AC2669">
            <v>2.1285586956521739E-2</v>
          </cell>
          <cell r="AD2669">
            <v>2.1285586956521739E-2</v>
          </cell>
          <cell r="AE2669" t="str">
            <v>Con precio</v>
          </cell>
        </row>
        <row r="2670">
          <cell r="B2670" t="str">
            <v>CALCIO0005MA</v>
          </cell>
          <cell r="X2670" t="str">
            <v>Empaquetado</v>
          </cell>
          <cell r="AC2670">
            <v>2.9560014104372354E-2</v>
          </cell>
          <cell r="AD2670">
            <v>2.9560014104372354E-2</v>
          </cell>
          <cell r="AE2670" t="str">
            <v>Con precio</v>
          </cell>
        </row>
        <row r="2671">
          <cell r="B2671" t="str">
            <v>CALCIO0005MA</v>
          </cell>
          <cell r="X2671" t="str">
            <v>Empaquetado</v>
          </cell>
          <cell r="AC2671">
            <v>2.1682000000000003E-2</v>
          </cell>
          <cell r="AD2671">
            <v>2.1682000000000003E-2</v>
          </cell>
          <cell r="AE2671" t="str">
            <v>Con precio</v>
          </cell>
        </row>
        <row r="2672">
          <cell r="B2672" t="str">
            <v>CALCIO0020</v>
          </cell>
          <cell r="X2672" t="str">
            <v>Formulación</v>
          </cell>
          <cell r="AC2672">
            <v>3.6719999999999996E-2</v>
          </cell>
          <cell r="AD2672">
            <v>3.6719999999999996E-2</v>
          </cell>
          <cell r="AE2672" t="str">
            <v>Con precio</v>
          </cell>
        </row>
        <row r="2673">
          <cell r="B2673" t="str">
            <v>CALCIO0020</v>
          </cell>
          <cell r="X2673" t="str">
            <v>Formulación</v>
          </cell>
          <cell r="AC2673">
            <v>0.98399999999999999</v>
          </cell>
          <cell r="AD2673">
            <v>0.72100000000000009</v>
          </cell>
          <cell r="AE2673" t="str">
            <v>Con precio</v>
          </cell>
        </row>
        <row r="2674">
          <cell r="B2674" t="str">
            <v>CALCIO0020</v>
          </cell>
          <cell r="X2674" t="str">
            <v>Formulación</v>
          </cell>
          <cell r="AC2674">
            <v>4.8440000000000004E-2</v>
          </cell>
          <cell r="AD2674">
            <v>4.0740000000000005E-2</v>
          </cell>
          <cell r="AE2674" t="str">
            <v>Con precio</v>
          </cell>
        </row>
        <row r="2675">
          <cell r="B2675" t="str">
            <v>CALCIO0020</v>
          </cell>
          <cell r="X2675" t="str">
            <v>Formulación</v>
          </cell>
          <cell r="AC2675">
            <v>0.44820000000000004</v>
          </cell>
          <cell r="AD2675">
            <v>0.30401714285714287</v>
          </cell>
          <cell r="AE2675" t="str">
            <v>Con precio</v>
          </cell>
        </row>
        <row r="2676">
          <cell r="B2676" t="str">
            <v>CALCIO0020</v>
          </cell>
          <cell r="X2676" t="str">
            <v>Formulación</v>
          </cell>
          <cell r="AC2676">
            <v>0.1145</v>
          </cell>
          <cell r="AD2676">
            <v>8.5799999999999987E-2</v>
          </cell>
          <cell r="AE2676" t="str">
            <v>Con precio</v>
          </cell>
        </row>
        <row r="2677">
          <cell r="B2677" t="str">
            <v>CALCIO0020</v>
          </cell>
          <cell r="X2677" t="str">
            <v>Empaquetado</v>
          </cell>
          <cell r="AC2677">
            <v>5.5115999999999993E-3</v>
          </cell>
          <cell r="AD2677">
            <v>5.5115999999999993E-3</v>
          </cell>
          <cell r="AE2677" t="str">
            <v>Con precio</v>
          </cell>
        </row>
        <row r="2678">
          <cell r="B2678" t="str">
            <v>CALCIO0020</v>
          </cell>
          <cell r="X2678" t="str">
            <v>Empaquetado</v>
          </cell>
          <cell r="AC2678">
            <v>8.8689945652173918E-3</v>
          </cell>
          <cell r="AD2678">
            <v>8.8689945652173918E-3</v>
          </cell>
          <cell r="AE2678" t="str">
            <v>Con precio</v>
          </cell>
        </row>
        <row r="2679">
          <cell r="B2679" t="str">
            <v>CALCIO0020</v>
          </cell>
          <cell r="X2679" t="str">
            <v>Empaquetado</v>
          </cell>
          <cell r="AC2679">
            <v>1.6625000000000001E-2</v>
          </cell>
          <cell r="AD2679">
            <v>1.6625000000000001E-2</v>
          </cell>
          <cell r="AE2679" t="str">
            <v>Con precio</v>
          </cell>
        </row>
        <row r="2680">
          <cell r="B2680" t="str">
            <v>CALCIO0020</v>
          </cell>
          <cell r="X2680" t="str">
            <v>Empaquetado</v>
          </cell>
          <cell r="AC2680">
            <v>1.9337500000000001E-2</v>
          </cell>
          <cell r="AD2680">
            <v>1.9337500000000001E-2</v>
          </cell>
          <cell r="AE2680" t="str">
            <v>Con precio</v>
          </cell>
        </row>
        <row r="2681">
          <cell r="B2681" t="str">
            <v>CALCIO0020</v>
          </cell>
          <cell r="X2681" t="str">
            <v>Empaquetado</v>
          </cell>
          <cell r="AC2681">
            <v>3.6950017630465445E-2</v>
          </cell>
          <cell r="AD2681">
            <v>3.6950017630465445E-2</v>
          </cell>
          <cell r="AE2681" t="str">
            <v>Con precio</v>
          </cell>
        </row>
        <row r="2682">
          <cell r="B2682" t="str">
            <v>CALCIO0020RO</v>
          </cell>
          <cell r="X2682" t="str">
            <v>Formulación</v>
          </cell>
          <cell r="AC2682">
            <v>3.6719999999999996E-2</v>
          </cell>
          <cell r="AD2682">
            <v>3.6719999999999996E-2</v>
          </cell>
          <cell r="AE2682" t="str">
            <v>Con precio</v>
          </cell>
        </row>
        <row r="2683">
          <cell r="B2683" t="str">
            <v>CALCIO0020RO</v>
          </cell>
          <cell r="X2683" t="str">
            <v>Formulación</v>
          </cell>
          <cell r="AC2683">
            <v>0.98399999999999999</v>
          </cell>
          <cell r="AD2683">
            <v>0.72100000000000009</v>
          </cell>
          <cell r="AE2683" t="str">
            <v>Con precio</v>
          </cell>
        </row>
        <row r="2684">
          <cell r="B2684" t="str">
            <v>CALCIO0020RO</v>
          </cell>
          <cell r="X2684" t="str">
            <v>Formulación</v>
          </cell>
          <cell r="AC2684">
            <v>4.8440000000000004E-2</v>
          </cell>
          <cell r="AD2684">
            <v>4.0740000000000005E-2</v>
          </cell>
          <cell r="AE2684" t="str">
            <v>Con precio</v>
          </cell>
        </row>
        <row r="2685">
          <cell r="B2685" t="str">
            <v>CALCIO0020RO</v>
          </cell>
          <cell r="X2685" t="str">
            <v>Formulación</v>
          </cell>
          <cell r="AC2685">
            <v>0.44820000000000004</v>
          </cell>
          <cell r="AD2685">
            <v>0.30401714285714287</v>
          </cell>
          <cell r="AE2685" t="str">
            <v>Con precio</v>
          </cell>
        </row>
        <row r="2686">
          <cell r="B2686" t="str">
            <v>CALCIO0020RO</v>
          </cell>
          <cell r="X2686" t="str">
            <v>Formulación</v>
          </cell>
          <cell r="AC2686">
            <v>0.1145</v>
          </cell>
          <cell r="AD2686">
            <v>8.5799999999999987E-2</v>
          </cell>
          <cell r="AE2686" t="str">
            <v>Con precio</v>
          </cell>
        </row>
        <row r="2687">
          <cell r="B2687" t="str">
            <v>CALCIO0020RO</v>
          </cell>
          <cell r="X2687" t="str">
            <v>Empaquetado</v>
          </cell>
          <cell r="AC2687">
            <v>5.5115999999999993E-3</v>
          </cell>
          <cell r="AD2687">
            <v>5.5115999999999993E-3</v>
          </cell>
          <cell r="AE2687" t="str">
            <v>Con precio</v>
          </cell>
        </row>
        <row r="2688">
          <cell r="B2688" t="str">
            <v>CALCIO0020RO</v>
          </cell>
          <cell r="X2688" t="str">
            <v>Empaquetado</v>
          </cell>
          <cell r="AC2688">
            <v>8.8689945652173918E-3</v>
          </cell>
          <cell r="AD2688">
            <v>8.8689945652173918E-3</v>
          </cell>
          <cell r="AE2688" t="str">
            <v>Con precio</v>
          </cell>
        </row>
        <row r="2689">
          <cell r="B2689" t="str">
            <v>CALCIO0020RO</v>
          </cell>
          <cell r="X2689" t="str">
            <v>Empaquetado</v>
          </cell>
          <cell r="AC2689">
            <v>1.6625000000000001E-2</v>
          </cell>
          <cell r="AD2689">
            <v>1.6625000000000001E-2</v>
          </cell>
          <cell r="AE2689" t="str">
            <v>Con precio</v>
          </cell>
        </row>
        <row r="2690">
          <cell r="B2690" t="str">
            <v>CALCIO0020RO</v>
          </cell>
          <cell r="X2690" t="str">
            <v>Empaquetado</v>
          </cell>
          <cell r="AC2690">
            <v>1.9337500000000001E-2</v>
          </cell>
          <cell r="AD2690">
            <v>1.9337500000000001E-2</v>
          </cell>
          <cell r="AE2690" t="str">
            <v>Con precio</v>
          </cell>
        </row>
        <row r="2691">
          <cell r="B2691" t="str">
            <v>CALCIO0020RO</v>
          </cell>
          <cell r="X2691" t="str">
            <v>Empaquetado</v>
          </cell>
          <cell r="AC2691">
            <v>3.6950017630465445E-2</v>
          </cell>
          <cell r="AD2691">
            <v>3.6950017630465445E-2</v>
          </cell>
          <cell r="AE2691" t="str">
            <v>Con precio</v>
          </cell>
        </row>
        <row r="2692">
          <cell r="B2692" t="str">
            <v>CBASI0005</v>
          </cell>
          <cell r="X2692" t="str">
            <v>Formulación</v>
          </cell>
          <cell r="AC2692">
            <v>0.49</v>
          </cell>
          <cell r="AD2692">
            <v>0.48</v>
          </cell>
          <cell r="AE2692" t="str">
            <v>Con precio</v>
          </cell>
        </row>
        <row r="2693">
          <cell r="B2693" t="str">
            <v>CBASI0005</v>
          </cell>
          <cell r="X2693" t="str">
            <v>Empaquetado</v>
          </cell>
          <cell r="AC2693">
            <v>1.0393066666666666E-2</v>
          </cell>
          <cell r="AD2693">
            <v>1.0393066666666666E-2</v>
          </cell>
          <cell r="AE2693" t="str">
            <v>Con precio</v>
          </cell>
        </row>
        <row r="2694">
          <cell r="B2694" t="str">
            <v>CBASI0005</v>
          </cell>
          <cell r="X2694" t="str">
            <v>Empaquetado</v>
          </cell>
          <cell r="AC2694">
            <v>2.0626666666666665E-2</v>
          </cell>
          <cell r="AD2694">
            <v>2.0626666666666665E-2</v>
          </cell>
          <cell r="AE2694" t="str">
            <v>Con precio</v>
          </cell>
        </row>
        <row r="2695">
          <cell r="B2695" t="str">
            <v>CBASI0005</v>
          </cell>
          <cell r="X2695" t="str">
            <v>Empaquetado</v>
          </cell>
          <cell r="AC2695">
            <v>2.1285586956521739E-2</v>
          </cell>
          <cell r="AD2695">
            <v>2.1285586956521739E-2</v>
          </cell>
          <cell r="AE2695" t="str">
            <v>Con precio</v>
          </cell>
        </row>
        <row r="2696">
          <cell r="B2696" t="str">
            <v>CBASI0005</v>
          </cell>
          <cell r="X2696" t="str">
            <v>Empaquetado</v>
          </cell>
          <cell r="AC2696">
            <v>2.9560014104372354E-2</v>
          </cell>
          <cell r="AD2696">
            <v>2.9560014104372354E-2</v>
          </cell>
          <cell r="AE2696" t="str">
            <v>Con precio</v>
          </cell>
        </row>
        <row r="2697">
          <cell r="B2697" t="str">
            <v>CBASI0005</v>
          </cell>
          <cell r="X2697" t="str">
            <v>Empaquetado</v>
          </cell>
          <cell r="AC2697">
            <v>2.1682000000000003E-2</v>
          </cell>
          <cell r="AD2697">
            <v>2.1682000000000003E-2</v>
          </cell>
          <cell r="AE2697" t="str">
            <v>Con precio</v>
          </cell>
        </row>
        <row r="2698">
          <cell r="B2698" t="str">
            <v>CBROT0001</v>
          </cell>
          <cell r="X2698" t="str">
            <v>Formulación</v>
          </cell>
          <cell r="AC2698">
            <v>1.7100000000000001E-2</v>
          </cell>
          <cell r="AD2698">
            <v>1.7100000000000001E-2</v>
          </cell>
          <cell r="AE2698" t="str">
            <v>Con precio</v>
          </cell>
        </row>
        <row r="2699">
          <cell r="B2699" t="str">
            <v>CBROT0001</v>
          </cell>
          <cell r="X2699" t="str">
            <v>Formulación</v>
          </cell>
          <cell r="AC2699">
            <v>1.8374999999999999E-2</v>
          </cell>
          <cell r="AD2699">
            <v>1.8374999999999999E-2</v>
          </cell>
          <cell r="AE2699" t="str">
            <v>Con precio</v>
          </cell>
        </row>
        <row r="2700">
          <cell r="B2700" t="str">
            <v>CBROT0001</v>
          </cell>
          <cell r="X2700" t="str">
            <v>Formulación</v>
          </cell>
          <cell r="AC2700">
            <v>3.245E-2</v>
          </cell>
          <cell r="AD2700">
            <v>3.245E-2</v>
          </cell>
          <cell r="AE2700" t="str">
            <v>Con precio</v>
          </cell>
        </row>
        <row r="2701">
          <cell r="B2701" t="str">
            <v>CBROT0001</v>
          </cell>
          <cell r="X2701" t="str">
            <v>Formulación</v>
          </cell>
          <cell r="AC2701">
            <v>0.2079</v>
          </cell>
          <cell r="AD2701">
            <v>0.14102000000000001</v>
          </cell>
          <cell r="AE2701" t="str">
            <v>Con precio</v>
          </cell>
        </row>
        <row r="2702">
          <cell r="B2702" t="str">
            <v>CBROT0001</v>
          </cell>
          <cell r="X2702" t="str">
            <v>Formulación</v>
          </cell>
          <cell r="AC2702">
            <v>2.9700000000000001E-2</v>
          </cell>
          <cell r="AD2702">
            <v>2.9700000000000001E-2</v>
          </cell>
          <cell r="AE2702" t="str">
            <v>Con precio</v>
          </cell>
        </row>
        <row r="2703">
          <cell r="B2703" t="str">
            <v>CBROT0001</v>
          </cell>
          <cell r="X2703" t="str">
            <v>Formulación</v>
          </cell>
          <cell r="AC2703">
            <v>4.5045000000000002E-2</v>
          </cell>
          <cell r="AD2703">
            <v>4.5045000000000002E-2</v>
          </cell>
          <cell r="AE2703" t="str">
            <v>Con precio</v>
          </cell>
        </row>
        <row r="2704">
          <cell r="B2704" t="str">
            <v>CBROT0001</v>
          </cell>
          <cell r="X2704" t="str">
            <v>Formulación</v>
          </cell>
          <cell r="AC2704">
            <v>0.23547600000000002</v>
          </cell>
          <cell r="AD2704">
            <v>0.23547600000000002</v>
          </cell>
          <cell r="AE2704" t="str">
            <v>Con precio</v>
          </cell>
        </row>
        <row r="2705">
          <cell r="B2705" t="str">
            <v>CBROT0001</v>
          </cell>
          <cell r="X2705" t="str">
            <v>Formulación</v>
          </cell>
          <cell r="AC2705">
            <v>0.17550000000000002</v>
          </cell>
          <cell r="AD2705">
            <v>0.1383571428571429</v>
          </cell>
          <cell r="AE2705" t="str">
            <v>Con precio</v>
          </cell>
        </row>
        <row r="2706">
          <cell r="B2706" t="str">
            <v>CBROT0001</v>
          </cell>
          <cell r="X2706" t="str">
            <v>Formulación</v>
          </cell>
          <cell r="AC2706">
            <v>7.3200000000000001E-3</v>
          </cell>
          <cell r="AD2706">
            <v>7.3200000000000001E-3</v>
          </cell>
          <cell r="AE2706" t="str">
            <v>Con precio</v>
          </cell>
        </row>
        <row r="2707">
          <cell r="B2707" t="str">
            <v>CBROT0001</v>
          </cell>
          <cell r="X2707" t="str">
            <v>Formulación</v>
          </cell>
          <cell r="AC2707">
            <v>1.7250000000000001E-2</v>
          </cell>
          <cell r="AD2707">
            <v>1.4134999999999998E-2</v>
          </cell>
          <cell r="AE2707" t="str">
            <v>Con precio</v>
          </cell>
        </row>
        <row r="2708">
          <cell r="B2708" t="str">
            <v>CBROT0001</v>
          </cell>
          <cell r="X2708" t="str">
            <v>Empaquetado</v>
          </cell>
          <cell r="AC2708">
            <v>3.0303030303030299E-5</v>
          </cell>
          <cell r="AD2708">
            <v>3.0303030303030299E-5</v>
          </cell>
          <cell r="AE2708" t="str">
            <v>Con precio</v>
          </cell>
        </row>
        <row r="2709">
          <cell r="B2709" t="str">
            <v>CBROT0001</v>
          </cell>
          <cell r="X2709" t="str">
            <v>Empaquetado</v>
          </cell>
          <cell r="AC2709">
            <v>2.3439393939393937E-2</v>
          </cell>
          <cell r="AD2709">
            <v>2.3439393939393937E-2</v>
          </cell>
          <cell r="AE2709" t="str">
            <v>Con precio</v>
          </cell>
        </row>
        <row r="2710">
          <cell r="B2710" t="str">
            <v>CBROT0001</v>
          </cell>
          <cell r="X2710" t="str">
            <v>Empaquetado</v>
          </cell>
          <cell r="AC2710">
            <v>7.1917518745739595E-2</v>
          </cell>
          <cell r="AD2710">
            <v>7.1917518745739595E-2</v>
          </cell>
          <cell r="AE2710" t="str">
            <v>Con precio</v>
          </cell>
        </row>
        <row r="2711">
          <cell r="B2711" t="str">
            <v>CBROT0001</v>
          </cell>
          <cell r="X2711" t="str">
            <v>Empaquetado</v>
          </cell>
          <cell r="AC2711">
            <v>0.44322992424242419</v>
          </cell>
          <cell r="AD2711">
            <v>0.44322992424242419</v>
          </cell>
          <cell r="AE2711" t="str">
            <v>Con precio</v>
          </cell>
        </row>
        <row r="2712">
          <cell r="B2712" t="str">
            <v>CBROT0001</v>
          </cell>
          <cell r="X2712" t="str">
            <v>Empaquetado</v>
          </cell>
          <cell r="AC2712">
            <v>0.45124999999999998</v>
          </cell>
          <cell r="AD2712">
            <v>0.32061666666666666</v>
          </cell>
          <cell r="AE2712" t="str">
            <v>Con precio</v>
          </cell>
        </row>
        <row r="2713">
          <cell r="B2713" t="str">
            <v>CBROT0001</v>
          </cell>
          <cell r="X2713" t="str">
            <v>Empaquetado</v>
          </cell>
          <cell r="AC2713">
            <v>9.6080774456521717E-2</v>
          </cell>
          <cell r="AD2713">
            <v>9.6080774456521717E-2</v>
          </cell>
          <cell r="AE2713" t="str">
            <v>Con precio</v>
          </cell>
        </row>
        <row r="2714">
          <cell r="B2714" t="str">
            <v>CBROT0005</v>
          </cell>
          <cell r="X2714" t="str">
            <v>Formulación</v>
          </cell>
          <cell r="AC2714">
            <v>1.7100000000000001E-2</v>
          </cell>
          <cell r="AD2714">
            <v>1.7100000000000001E-2</v>
          </cell>
          <cell r="AE2714" t="str">
            <v>Con precio</v>
          </cell>
        </row>
        <row r="2715">
          <cell r="B2715" t="str">
            <v>CBROT0005</v>
          </cell>
          <cell r="X2715" t="str">
            <v>Formulación</v>
          </cell>
          <cell r="AC2715">
            <v>1.8374999999999999E-2</v>
          </cell>
          <cell r="AD2715">
            <v>1.8374999999999999E-2</v>
          </cell>
          <cell r="AE2715" t="str">
            <v>Con precio</v>
          </cell>
        </row>
        <row r="2716">
          <cell r="B2716" t="str">
            <v>CBROT0005</v>
          </cell>
          <cell r="X2716" t="str">
            <v>Formulación</v>
          </cell>
          <cell r="AC2716">
            <v>3.245E-2</v>
          </cell>
          <cell r="AD2716">
            <v>3.245E-2</v>
          </cell>
          <cell r="AE2716" t="str">
            <v>Con precio</v>
          </cell>
        </row>
        <row r="2717">
          <cell r="B2717" t="str">
            <v>CBROT0005</v>
          </cell>
          <cell r="X2717" t="str">
            <v>Formulación</v>
          </cell>
          <cell r="AC2717">
            <v>0.2079</v>
          </cell>
          <cell r="AD2717">
            <v>0.14102000000000001</v>
          </cell>
          <cell r="AE2717" t="str">
            <v>Con precio</v>
          </cell>
        </row>
        <row r="2718">
          <cell r="B2718" t="str">
            <v>CBROT0005</v>
          </cell>
          <cell r="X2718" t="str">
            <v>Formulación</v>
          </cell>
          <cell r="AC2718">
            <v>2.9700000000000001E-2</v>
          </cell>
          <cell r="AD2718">
            <v>2.9700000000000001E-2</v>
          </cell>
          <cell r="AE2718" t="str">
            <v>Con precio</v>
          </cell>
        </row>
        <row r="2719">
          <cell r="B2719" t="str">
            <v>CBROT0005</v>
          </cell>
          <cell r="X2719" t="str">
            <v>Formulación</v>
          </cell>
          <cell r="AC2719">
            <v>4.5045000000000002E-2</v>
          </cell>
          <cell r="AD2719">
            <v>4.5045000000000002E-2</v>
          </cell>
          <cell r="AE2719" t="str">
            <v>Con precio</v>
          </cell>
        </row>
        <row r="2720">
          <cell r="B2720" t="str">
            <v>CBROT0005</v>
          </cell>
          <cell r="X2720" t="str">
            <v>Formulación</v>
          </cell>
          <cell r="AC2720">
            <v>0.23547600000000002</v>
          </cell>
          <cell r="AD2720">
            <v>0.23547600000000002</v>
          </cell>
          <cell r="AE2720" t="str">
            <v>Con precio</v>
          </cell>
        </row>
        <row r="2721">
          <cell r="B2721" t="str">
            <v>CBROT0005</v>
          </cell>
          <cell r="X2721" t="str">
            <v>Formulación</v>
          </cell>
          <cell r="AC2721">
            <v>0.17550000000000002</v>
          </cell>
          <cell r="AD2721">
            <v>0.1383571428571429</v>
          </cell>
          <cell r="AE2721" t="str">
            <v>Con precio</v>
          </cell>
        </row>
        <row r="2722">
          <cell r="B2722" t="str">
            <v>CBROT0005</v>
          </cell>
          <cell r="X2722" t="str">
            <v>Formulación</v>
          </cell>
          <cell r="AC2722">
            <v>7.3200000000000001E-3</v>
          </cell>
          <cell r="AD2722">
            <v>7.3200000000000001E-3</v>
          </cell>
          <cell r="AE2722" t="str">
            <v>Con precio</v>
          </cell>
        </row>
        <row r="2723">
          <cell r="B2723" t="str">
            <v>CBROT0005</v>
          </cell>
          <cell r="X2723" t="str">
            <v>Formulación</v>
          </cell>
          <cell r="AC2723">
            <v>1.7250000000000001E-2</v>
          </cell>
          <cell r="AD2723">
            <v>1.4134999999999998E-2</v>
          </cell>
          <cell r="AE2723" t="str">
            <v>Con precio</v>
          </cell>
        </row>
        <row r="2724">
          <cell r="B2724" t="str">
            <v>CBROT0005</v>
          </cell>
          <cell r="X2724" t="str">
            <v>Empaquetado</v>
          </cell>
          <cell r="AC2724">
            <v>1.2991333333333337E-2</v>
          </cell>
          <cell r="AD2724">
            <v>1.2991333333333337E-2</v>
          </cell>
          <cell r="AE2724" t="str">
            <v>Con precio</v>
          </cell>
        </row>
        <row r="2725">
          <cell r="B2725" t="str">
            <v>CBROT0005</v>
          </cell>
          <cell r="X2725" t="str">
            <v>Empaquetado</v>
          </cell>
          <cell r="AC2725">
            <v>2.5783333333333339E-2</v>
          </cell>
          <cell r="AD2725">
            <v>2.5783333333333339E-2</v>
          </cell>
          <cell r="AE2725" t="str">
            <v>Con precio</v>
          </cell>
        </row>
        <row r="2726">
          <cell r="B2726" t="str">
            <v>CBROT0005</v>
          </cell>
          <cell r="X2726" t="str">
            <v>Empaquetado</v>
          </cell>
          <cell r="AC2726">
            <v>2.5359983896940424E-2</v>
          </cell>
          <cell r="AD2726">
            <v>2.5359983896940424E-2</v>
          </cell>
          <cell r="AE2726" t="str">
            <v>Con precio</v>
          </cell>
        </row>
        <row r="2727">
          <cell r="B2727" t="str">
            <v>CBROT0005</v>
          </cell>
          <cell r="X2727" t="str">
            <v>Empaquetado</v>
          </cell>
          <cell r="AC2727">
            <v>0.17399999999999999</v>
          </cell>
          <cell r="AD2727">
            <v>0.17399999999999999</v>
          </cell>
          <cell r="AE2727" t="str">
            <v>Con precio</v>
          </cell>
        </row>
        <row r="2728">
          <cell r="B2728" t="str">
            <v>CBROT0005</v>
          </cell>
          <cell r="X2728" t="str">
            <v>Empaquetado</v>
          </cell>
          <cell r="AC2728">
            <v>5.7799999999999997E-2</v>
          </cell>
          <cell r="AD2728">
            <v>5.7799999999999997E-2</v>
          </cell>
          <cell r="AE2728" t="str">
            <v>Con precio</v>
          </cell>
        </row>
        <row r="2729">
          <cell r="B2729" t="str">
            <v>CBROT0005</v>
          </cell>
          <cell r="X2729" t="str">
            <v>Empaquetado</v>
          </cell>
          <cell r="AC2729">
            <v>3.6950017630465445E-2</v>
          </cell>
          <cell r="AD2729">
            <v>3.6950017630465445E-2</v>
          </cell>
          <cell r="AE2729" t="str">
            <v>Con precio</v>
          </cell>
        </row>
        <row r="2730">
          <cell r="B2730" t="str">
            <v>CBROT0005RO</v>
          </cell>
          <cell r="X2730" t="str">
            <v>Formulación</v>
          </cell>
          <cell r="AC2730">
            <v>1.7100000000000001E-2</v>
          </cell>
          <cell r="AD2730">
            <v>1.7100000000000001E-2</v>
          </cell>
          <cell r="AE2730" t="str">
            <v>Con precio</v>
          </cell>
        </row>
        <row r="2731">
          <cell r="B2731" t="str">
            <v>CBROT0005RO</v>
          </cell>
          <cell r="X2731" t="str">
            <v>Formulación</v>
          </cell>
          <cell r="AC2731">
            <v>1.8374999999999999E-2</v>
          </cell>
          <cell r="AD2731">
            <v>1.8374999999999999E-2</v>
          </cell>
          <cell r="AE2731" t="str">
            <v>Con precio</v>
          </cell>
        </row>
        <row r="2732">
          <cell r="B2732" t="str">
            <v>CBROT0005RO</v>
          </cell>
          <cell r="X2732" t="str">
            <v>Formulación</v>
          </cell>
          <cell r="AC2732">
            <v>3.245E-2</v>
          </cell>
          <cell r="AD2732">
            <v>3.245E-2</v>
          </cell>
          <cell r="AE2732" t="str">
            <v>Con precio</v>
          </cell>
        </row>
        <row r="2733">
          <cell r="B2733" t="str">
            <v>CBROT0005RO</v>
          </cell>
          <cell r="X2733" t="str">
            <v>Formulación</v>
          </cell>
          <cell r="AC2733">
            <v>0.2079</v>
          </cell>
          <cell r="AD2733">
            <v>0.14102000000000001</v>
          </cell>
          <cell r="AE2733" t="str">
            <v>Con precio</v>
          </cell>
        </row>
        <row r="2734">
          <cell r="B2734" t="str">
            <v>CBROT0005RO</v>
          </cell>
          <cell r="X2734" t="str">
            <v>Formulación</v>
          </cell>
          <cell r="AC2734">
            <v>2.9700000000000001E-2</v>
          </cell>
          <cell r="AD2734">
            <v>2.9700000000000001E-2</v>
          </cell>
          <cell r="AE2734" t="str">
            <v>Con precio</v>
          </cell>
        </row>
        <row r="2735">
          <cell r="B2735" t="str">
            <v>CBROT0005RO</v>
          </cell>
          <cell r="X2735" t="str">
            <v>Formulación</v>
          </cell>
          <cell r="AC2735">
            <v>4.5045000000000002E-2</v>
          </cell>
          <cell r="AD2735">
            <v>4.5045000000000002E-2</v>
          </cell>
          <cell r="AE2735" t="str">
            <v>Con precio</v>
          </cell>
        </row>
        <row r="2736">
          <cell r="B2736" t="str">
            <v>CBROT0005RO</v>
          </cell>
          <cell r="X2736" t="str">
            <v>Formulación</v>
          </cell>
          <cell r="AC2736">
            <v>0.23547600000000002</v>
          </cell>
          <cell r="AD2736">
            <v>0.23547600000000002</v>
          </cell>
          <cell r="AE2736" t="str">
            <v>Con precio</v>
          </cell>
        </row>
        <row r="2737">
          <cell r="B2737" t="str">
            <v>CBROT0005RO</v>
          </cell>
          <cell r="X2737" t="str">
            <v>Formulación</v>
          </cell>
          <cell r="AC2737">
            <v>0.17550000000000002</v>
          </cell>
          <cell r="AD2737">
            <v>0.1383571428571429</v>
          </cell>
          <cell r="AE2737" t="str">
            <v>Con precio</v>
          </cell>
        </row>
        <row r="2738">
          <cell r="B2738" t="str">
            <v>CBROT0005RO</v>
          </cell>
          <cell r="X2738" t="str">
            <v>Formulación</v>
          </cell>
          <cell r="AC2738">
            <v>7.3200000000000001E-3</v>
          </cell>
          <cell r="AD2738">
            <v>7.3200000000000001E-3</v>
          </cell>
          <cell r="AE2738" t="str">
            <v>Con precio</v>
          </cell>
        </row>
        <row r="2739">
          <cell r="B2739" t="str">
            <v>CBROT0005RO</v>
          </cell>
          <cell r="X2739" t="str">
            <v>Formulación</v>
          </cell>
          <cell r="AC2739">
            <v>1.7250000000000001E-2</v>
          </cell>
          <cell r="AD2739">
            <v>1.4134999999999998E-2</v>
          </cell>
          <cell r="AE2739" t="str">
            <v>Con precio</v>
          </cell>
        </row>
        <row r="2740">
          <cell r="B2740" t="str">
            <v>CBROT0005RO</v>
          </cell>
          <cell r="X2740" t="str">
            <v>Empaquetado</v>
          </cell>
          <cell r="AC2740">
            <v>1.2991333333333337E-2</v>
          </cell>
          <cell r="AD2740">
            <v>1.2991333333333337E-2</v>
          </cell>
          <cell r="AE2740" t="str">
            <v>Con precio</v>
          </cell>
        </row>
        <row r="2741">
          <cell r="B2741" t="str">
            <v>CBROT0005RO</v>
          </cell>
          <cell r="X2741" t="str">
            <v>Empaquetado</v>
          </cell>
          <cell r="AC2741">
            <v>2.5783333333333339E-2</v>
          </cell>
          <cell r="AD2741">
            <v>2.5783333333333339E-2</v>
          </cell>
          <cell r="AE2741" t="str">
            <v>Con precio</v>
          </cell>
        </row>
        <row r="2742">
          <cell r="B2742" t="str">
            <v>CBROT0005RO</v>
          </cell>
          <cell r="X2742" t="str">
            <v>Empaquetado</v>
          </cell>
          <cell r="AC2742">
            <v>2.5359983896940424E-2</v>
          </cell>
          <cell r="AD2742">
            <v>2.5359983896940424E-2</v>
          </cell>
          <cell r="AE2742" t="str">
            <v>Con precio</v>
          </cell>
        </row>
        <row r="2743">
          <cell r="B2743" t="str">
            <v>CBROT0005RO</v>
          </cell>
          <cell r="X2743" t="str">
            <v>Empaquetado</v>
          </cell>
          <cell r="AC2743">
            <v>0.17399999999999999</v>
          </cell>
          <cell r="AD2743">
            <v>0.17399999999999999</v>
          </cell>
          <cell r="AE2743" t="str">
            <v>Con precio</v>
          </cell>
        </row>
        <row r="2744">
          <cell r="B2744" t="str">
            <v>CBROT0005RO</v>
          </cell>
          <cell r="X2744" t="str">
            <v>Empaquetado</v>
          </cell>
          <cell r="AC2744">
            <v>5.7799999999999997E-2</v>
          </cell>
          <cell r="AD2744">
            <v>5.7799999999999997E-2</v>
          </cell>
          <cell r="AE2744" t="str">
            <v>Con precio</v>
          </cell>
        </row>
        <row r="2745">
          <cell r="B2745" t="str">
            <v>CBROT0005RO</v>
          </cell>
          <cell r="X2745" t="str">
            <v>Empaquetado</v>
          </cell>
          <cell r="AC2745">
            <v>3.6950017630465445E-2</v>
          </cell>
          <cell r="AD2745">
            <v>3.6950017630465445E-2</v>
          </cell>
          <cell r="AE2745" t="str">
            <v>Con precio</v>
          </cell>
        </row>
        <row r="2746">
          <cell r="B2746" t="str">
            <v>CBROT0020</v>
          </cell>
          <cell r="X2746" t="str">
            <v>Formulación</v>
          </cell>
          <cell r="AC2746">
            <v>1.7100000000000001E-2</v>
          </cell>
          <cell r="AD2746">
            <v>1.7100000000000001E-2</v>
          </cell>
          <cell r="AE2746" t="str">
            <v>Con precio</v>
          </cell>
        </row>
        <row r="2747">
          <cell r="B2747" t="str">
            <v>CBROT0020</v>
          </cell>
          <cell r="X2747" t="str">
            <v>Formulación</v>
          </cell>
          <cell r="AC2747">
            <v>1.8374999999999999E-2</v>
          </cell>
          <cell r="AD2747">
            <v>1.8374999999999999E-2</v>
          </cell>
          <cell r="AE2747" t="str">
            <v>Con precio</v>
          </cell>
        </row>
        <row r="2748">
          <cell r="B2748" t="str">
            <v>CBROT0020</v>
          </cell>
          <cell r="X2748" t="str">
            <v>Formulación</v>
          </cell>
          <cell r="AC2748">
            <v>3.245E-2</v>
          </cell>
          <cell r="AD2748">
            <v>3.245E-2</v>
          </cell>
          <cell r="AE2748" t="str">
            <v>Con precio</v>
          </cell>
        </row>
        <row r="2749">
          <cell r="B2749" t="str">
            <v>CBROT0020</v>
          </cell>
          <cell r="X2749" t="str">
            <v>Formulación</v>
          </cell>
          <cell r="AC2749">
            <v>0.2079</v>
          </cell>
          <cell r="AD2749">
            <v>0.14102000000000001</v>
          </cell>
          <cell r="AE2749" t="str">
            <v>Con precio</v>
          </cell>
        </row>
        <row r="2750">
          <cell r="B2750" t="str">
            <v>CBROT0020</v>
          </cell>
          <cell r="X2750" t="str">
            <v>Formulación</v>
          </cell>
          <cell r="AC2750">
            <v>2.9700000000000001E-2</v>
          </cell>
          <cell r="AD2750">
            <v>2.9700000000000001E-2</v>
          </cell>
          <cell r="AE2750" t="str">
            <v>Con precio</v>
          </cell>
        </row>
        <row r="2751">
          <cell r="B2751" t="str">
            <v>CBROT0020</v>
          </cell>
          <cell r="X2751" t="str">
            <v>Formulación</v>
          </cell>
          <cell r="AC2751">
            <v>4.5045000000000002E-2</v>
          </cell>
          <cell r="AD2751">
            <v>4.5045000000000002E-2</v>
          </cell>
          <cell r="AE2751" t="str">
            <v>Con precio</v>
          </cell>
        </row>
        <row r="2752">
          <cell r="B2752" t="str">
            <v>CBROT0020</v>
          </cell>
          <cell r="X2752" t="str">
            <v>Formulación</v>
          </cell>
          <cell r="AC2752">
            <v>0.23547600000000002</v>
          </cell>
          <cell r="AD2752">
            <v>0.23547600000000002</v>
          </cell>
          <cell r="AE2752" t="str">
            <v>Con precio</v>
          </cell>
        </row>
        <row r="2753">
          <cell r="B2753" t="str">
            <v>CBROT0020</v>
          </cell>
          <cell r="X2753" t="str">
            <v>Formulación</v>
          </cell>
          <cell r="AC2753">
            <v>0.17550000000000002</v>
          </cell>
          <cell r="AD2753">
            <v>0.1383571428571429</v>
          </cell>
          <cell r="AE2753" t="str">
            <v>Con precio</v>
          </cell>
        </row>
        <row r="2754">
          <cell r="B2754" t="str">
            <v>CBROT0020</v>
          </cell>
          <cell r="X2754" t="str">
            <v>Formulación</v>
          </cell>
          <cell r="AC2754">
            <v>7.3200000000000001E-3</v>
          </cell>
          <cell r="AD2754">
            <v>7.3200000000000001E-3</v>
          </cell>
          <cell r="AE2754" t="str">
            <v>Con precio</v>
          </cell>
        </row>
        <row r="2755">
          <cell r="B2755" t="str">
            <v>CBROT0020</v>
          </cell>
          <cell r="X2755" t="str">
            <v>Formulación</v>
          </cell>
          <cell r="AC2755">
            <v>1.7250000000000001E-2</v>
          </cell>
          <cell r="AD2755">
            <v>1.4134999999999998E-2</v>
          </cell>
          <cell r="AE2755" t="str">
            <v>Con precio</v>
          </cell>
        </row>
        <row r="2756">
          <cell r="B2756" t="str">
            <v>CBROT0020</v>
          </cell>
          <cell r="X2756" t="str">
            <v>Empaquetado</v>
          </cell>
          <cell r="AC2756">
            <v>7.3209374999999993E-3</v>
          </cell>
          <cell r="AD2756">
            <v>7.3209374999999993E-3</v>
          </cell>
          <cell r="AE2756" t="str">
            <v>Con precio</v>
          </cell>
        </row>
        <row r="2757">
          <cell r="B2757" t="str">
            <v>CBROT0020</v>
          </cell>
          <cell r="X2757" t="str">
            <v>Empaquetado</v>
          </cell>
          <cell r="AC2757">
            <v>2.4171875000000002E-2</v>
          </cell>
          <cell r="AD2757">
            <v>2.4171875000000002E-2</v>
          </cell>
          <cell r="AE2757" t="str">
            <v>Con precio</v>
          </cell>
        </row>
        <row r="2758">
          <cell r="B2758" t="str">
            <v>CBROT0020</v>
          </cell>
          <cell r="X2758" t="str">
            <v>Empaquetado</v>
          </cell>
          <cell r="AC2758">
            <v>5.0719967793880849E-3</v>
          </cell>
          <cell r="AD2758">
            <v>5.0719967793880849E-3</v>
          </cell>
          <cell r="AE2758" t="str">
            <v>Con precio</v>
          </cell>
        </row>
        <row r="2759">
          <cell r="B2759" t="str">
            <v>CBROT0020</v>
          </cell>
          <cell r="X2759" t="str">
            <v>Empaquetado</v>
          </cell>
          <cell r="AC2759">
            <v>0.18266505681818179</v>
          </cell>
          <cell r="AD2759">
            <v>0.18266505681818179</v>
          </cell>
          <cell r="AE2759" t="str">
            <v>Con precio</v>
          </cell>
        </row>
        <row r="2760">
          <cell r="B2760" t="str">
            <v>CBROT0020</v>
          </cell>
          <cell r="X2760" t="str">
            <v>Empaquetado</v>
          </cell>
          <cell r="AC2760">
            <v>2.4035031847133761E-2</v>
          </cell>
          <cell r="AD2760">
            <v>2.4035031847133761E-2</v>
          </cell>
          <cell r="AE2760" t="str">
            <v>Con precio</v>
          </cell>
        </row>
        <row r="2761">
          <cell r="B2761" t="str">
            <v>CBROT0020AZ</v>
          </cell>
          <cell r="X2761" t="str">
            <v>Formulación</v>
          </cell>
          <cell r="AC2761">
            <v>1.7100000000000001E-2</v>
          </cell>
          <cell r="AD2761">
            <v>1.7100000000000001E-2</v>
          </cell>
          <cell r="AE2761" t="str">
            <v>Con precio</v>
          </cell>
        </row>
        <row r="2762">
          <cell r="B2762" t="str">
            <v>CBROT0020AZ</v>
          </cell>
          <cell r="X2762" t="str">
            <v>Formulación</v>
          </cell>
          <cell r="AC2762">
            <v>1.8374999999999999E-2</v>
          </cell>
          <cell r="AD2762">
            <v>1.8374999999999999E-2</v>
          </cell>
          <cell r="AE2762" t="str">
            <v>Con precio</v>
          </cell>
        </row>
        <row r="2763">
          <cell r="B2763" t="str">
            <v>CBROT0020AZ</v>
          </cell>
          <cell r="X2763" t="str">
            <v>Formulación</v>
          </cell>
          <cell r="AC2763">
            <v>3.245E-2</v>
          </cell>
          <cell r="AD2763">
            <v>3.245E-2</v>
          </cell>
          <cell r="AE2763" t="str">
            <v>Con precio</v>
          </cell>
        </row>
        <row r="2764">
          <cell r="B2764" t="str">
            <v>CBROT0020AZ</v>
          </cell>
          <cell r="X2764" t="str">
            <v>Formulación</v>
          </cell>
          <cell r="AC2764">
            <v>0.2079</v>
          </cell>
          <cell r="AD2764">
            <v>0.14102000000000001</v>
          </cell>
          <cell r="AE2764" t="str">
            <v>Con precio</v>
          </cell>
        </row>
        <row r="2765">
          <cell r="B2765" t="str">
            <v>CBROT0020AZ</v>
          </cell>
          <cell r="X2765" t="str">
            <v>Formulación</v>
          </cell>
          <cell r="AC2765">
            <v>2.9700000000000001E-2</v>
          </cell>
          <cell r="AD2765">
            <v>2.9700000000000001E-2</v>
          </cell>
          <cell r="AE2765" t="str">
            <v>Con precio</v>
          </cell>
        </row>
        <row r="2766">
          <cell r="B2766" t="str">
            <v>CBROT0020AZ</v>
          </cell>
          <cell r="X2766" t="str">
            <v>Formulación</v>
          </cell>
          <cell r="AC2766">
            <v>4.5045000000000002E-2</v>
          </cell>
          <cell r="AD2766">
            <v>4.5045000000000002E-2</v>
          </cell>
          <cell r="AE2766" t="str">
            <v>Con precio</v>
          </cell>
        </row>
        <row r="2767">
          <cell r="B2767" t="str">
            <v>CBROT0020AZ</v>
          </cell>
          <cell r="X2767" t="str">
            <v>Formulación</v>
          </cell>
          <cell r="AC2767">
            <v>0.23547600000000002</v>
          </cell>
          <cell r="AD2767">
            <v>0.23547600000000002</v>
          </cell>
          <cell r="AE2767" t="str">
            <v>Con precio</v>
          </cell>
        </row>
        <row r="2768">
          <cell r="B2768" t="str">
            <v>CBROT0020AZ</v>
          </cell>
          <cell r="X2768" t="str">
            <v>Formulación</v>
          </cell>
          <cell r="AC2768">
            <v>0.17550000000000002</v>
          </cell>
          <cell r="AD2768">
            <v>0.1383571428571429</v>
          </cell>
          <cell r="AE2768" t="str">
            <v>Con precio</v>
          </cell>
        </row>
        <row r="2769">
          <cell r="B2769" t="str">
            <v>CBROT0020AZ</v>
          </cell>
          <cell r="X2769" t="str">
            <v>Formulación</v>
          </cell>
          <cell r="AC2769">
            <v>7.3200000000000001E-3</v>
          </cell>
          <cell r="AD2769">
            <v>7.3200000000000001E-3</v>
          </cell>
          <cell r="AE2769" t="str">
            <v>Con precio</v>
          </cell>
        </row>
        <row r="2770">
          <cell r="B2770" t="str">
            <v>CBROT0020AZ</v>
          </cell>
          <cell r="X2770" t="str">
            <v>Formulación</v>
          </cell>
          <cell r="AC2770">
            <v>1.7250000000000001E-2</v>
          </cell>
          <cell r="AD2770">
            <v>1.4134999999999998E-2</v>
          </cell>
          <cell r="AE2770" t="str">
            <v>Con precio</v>
          </cell>
        </row>
        <row r="2771">
          <cell r="B2771" t="str">
            <v>CBROT0020AZ</v>
          </cell>
          <cell r="X2771" t="str">
            <v>Empaquetado</v>
          </cell>
          <cell r="AC2771">
            <v>7.3209374999999993E-3</v>
          </cell>
          <cell r="AD2771">
            <v>7.3209374999999993E-3</v>
          </cell>
          <cell r="AE2771" t="str">
            <v>Con precio</v>
          </cell>
        </row>
        <row r="2772">
          <cell r="B2772" t="str">
            <v>CBROT0020AZ</v>
          </cell>
          <cell r="X2772" t="str">
            <v>Empaquetado</v>
          </cell>
          <cell r="AC2772">
            <v>2.4171875000000002E-2</v>
          </cell>
          <cell r="AD2772">
            <v>2.4171875000000002E-2</v>
          </cell>
          <cell r="AE2772" t="str">
            <v>Con precio</v>
          </cell>
        </row>
        <row r="2773">
          <cell r="B2773" t="str">
            <v>CBROT0020AZ</v>
          </cell>
          <cell r="X2773" t="str">
            <v>Empaquetado</v>
          </cell>
          <cell r="AC2773">
            <v>5.0719967793880849E-3</v>
          </cell>
          <cell r="AD2773">
            <v>5.0719967793880849E-3</v>
          </cell>
          <cell r="AE2773" t="str">
            <v>Con precio</v>
          </cell>
        </row>
        <row r="2774">
          <cell r="B2774" t="str">
            <v>CBROT0020AZ</v>
          </cell>
          <cell r="X2774" t="str">
            <v>Empaquetado</v>
          </cell>
          <cell r="AC2774">
            <v>0.18266505681818179</v>
          </cell>
          <cell r="AD2774">
            <v>0.18266505681818179</v>
          </cell>
          <cell r="AE2774" t="str">
            <v>Con precio</v>
          </cell>
        </row>
        <row r="2775">
          <cell r="B2775" t="str">
            <v>CBROT0020AZ</v>
          </cell>
          <cell r="X2775" t="str">
            <v>Empaquetado</v>
          </cell>
          <cell r="AC2775">
            <v>2.4035031847133761E-2</v>
          </cell>
          <cell r="AD2775">
            <v>2.4035031847133761E-2</v>
          </cell>
          <cell r="AE2775" t="str">
            <v>Con precio</v>
          </cell>
        </row>
        <row r="2776">
          <cell r="B2776" t="str">
            <v>CM30005GE</v>
          </cell>
          <cell r="X2776" t="str">
            <v>Formulación</v>
          </cell>
          <cell r="AC2776">
            <v>4.8799999999999998E-3</v>
          </cell>
          <cell r="AD2776">
            <v>4.8799999999999998E-3</v>
          </cell>
          <cell r="AE2776" t="str">
            <v>Con precio</v>
          </cell>
        </row>
        <row r="2777">
          <cell r="B2777" t="str">
            <v>CM30005GE</v>
          </cell>
          <cell r="X2777" t="str">
            <v>Formulación</v>
          </cell>
          <cell r="AC2777">
            <v>0</v>
          </cell>
          <cell r="AD2777">
            <v>0</v>
          </cell>
          <cell r="AE2777" t="str">
            <v>Con precio</v>
          </cell>
        </row>
        <row r="2778">
          <cell r="B2778" t="str">
            <v>CM30005GE</v>
          </cell>
          <cell r="X2778" t="str">
            <v>Formulación</v>
          </cell>
          <cell r="AC2778">
            <v>1.0692000000000002E-2</v>
          </cell>
          <cell r="AD2778">
            <v>1.0692000000000002E-2</v>
          </cell>
          <cell r="AE2778" t="str">
            <v>Con precio</v>
          </cell>
        </row>
        <row r="2779">
          <cell r="B2779" t="str">
            <v>CM30005GE</v>
          </cell>
          <cell r="X2779" t="str">
            <v>Formulación</v>
          </cell>
          <cell r="AC2779">
            <v>0.12144000000000001</v>
          </cell>
          <cell r="AD2779">
            <v>0.11748</v>
          </cell>
          <cell r="AE2779" t="str">
            <v>Con precio</v>
          </cell>
        </row>
        <row r="2780">
          <cell r="B2780" t="str">
            <v>CM30005GE</v>
          </cell>
          <cell r="X2780" t="str">
            <v>Formulación</v>
          </cell>
          <cell r="AC2780">
            <v>1.7399999999999999E-2</v>
          </cell>
          <cell r="AD2780">
            <v>1.7399999999999999E-2</v>
          </cell>
          <cell r="AE2780" t="str">
            <v>Con precio</v>
          </cell>
        </row>
        <row r="2781">
          <cell r="B2781" t="str">
            <v>CM30005GE</v>
          </cell>
          <cell r="X2781" t="str">
            <v>Formulación</v>
          </cell>
          <cell r="AC2781">
            <v>0.42224000000000006</v>
          </cell>
          <cell r="AD2781">
            <v>0.26082600000000006</v>
          </cell>
          <cell r="AE2781" t="str">
            <v>Con precio</v>
          </cell>
        </row>
        <row r="2782">
          <cell r="B2782" t="str">
            <v>CM30005GE</v>
          </cell>
          <cell r="X2782" t="str">
            <v>Empaquetado</v>
          </cell>
          <cell r="AC2782">
            <v>1.2991333333333337E-2</v>
          </cell>
          <cell r="AD2782">
            <v>1.2991333333333337E-2</v>
          </cell>
          <cell r="AE2782" t="str">
            <v>Con precio</v>
          </cell>
        </row>
        <row r="2783">
          <cell r="B2783" t="str">
            <v>CM30005GE</v>
          </cell>
          <cell r="X2783" t="str">
            <v>Empaquetado</v>
          </cell>
          <cell r="AC2783">
            <v>2.5783333333333339E-2</v>
          </cell>
          <cell r="AD2783">
            <v>2.5783333333333339E-2</v>
          </cell>
          <cell r="AE2783" t="str">
            <v>Con precio</v>
          </cell>
        </row>
        <row r="2784">
          <cell r="B2784" t="str">
            <v>CM30005GE</v>
          </cell>
          <cell r="X2784" t="str">
            <v>Empaquetado</v>
          </cell>
          <cell r="AC2784">
            <v>2.217248641304348E-2</v>
          </cell>
          <cell r="AD2784">
            <v>2.217248641304348E-2</v>
          </cell>
          <cell r="AE2784" t="str">
            <v>Con precio</v>
          </cell>
        </row>
        <row r="2785">
          <cell r="B2785" t="str">
            <v>CM30005GE</v>
          </cell>
          <cell r="X2785" t="str">
            <v>Empaquetado</v>
          </cell>
          <cell r="AC2785">
            <v>0.17399999999999999</v>
          </cell>
          <cell r="AD2785">
            <v>0.17399999999999999</v>
          </cell>
          <cell r="AE2785" t="str">
            <v>Con precio</v>
          </cell>
        </row>
        <row r="2786">
          <cell r="B2786" t="str">
            <v>CM30005GE</v>
          </cell>
          <cell r="X2786" t="str">
            <v>Empaquetado</v>
          </cell>
          <cell r="AC2786">
            <v>3.6950017630465445E-2</v>
          </cell>
          <cell r="AD2786">
            <v>3.6950017630465445E-2</v>
          </cell>
          <cell r="AE2786" t="str">
            <v>Con precio</v>
          </cell>
        </row>
        <row r="2787">
          <cell r="B2787" t="str">
            <v>CM30005GE</v>
          </cell>
          <cell r="X2787" t="str">
            <v>Empaquetado</v>
          </cell>
          <cell r="AC2787">
            <v>0.17100000000000001</v>
          </cell>
          <cell r="AD2787">
            <v>0.17100000000000001</v>
          </cell>
          <cell r="AE2787" t="str">
            <v>Con precio</v>
          </cell>
        </row>
        <row r="2788">
          <cell r="B2788" t="str">
            <v>CM3M0001AZ</v>
          </cell>
          <cell r="X2788" t="str">
            <v>Formulación</v>
          </cell>
          <cell r="AC2788">
            <v>2.7000000000000003E-2</v>
          </cell>
          <cell r="AD2788">
            <v>2.3571428571428573E-2</v>
          </cell>
          <cell r="AE2788" t="str">
            <v>Con precio</v>
          </cell>
        </row>
        <row r="2789">
          <cell r="B2789" t="str">
            <v>CM3M0001AZ</v>
          </cell>
          <cell r="X2789" t="str">
            <v>Formulación</v>
          </cell>
          <cell r="AC2789">
            <v>1.4061000000000001</v>
          </cell>
          <cell r="AD2789">
            <v>1.4061000000000001</v>
          </cell>
          <cell r="AE2789" t="str">
            <v>Con precio</v>
          </cell>
        </row>
        <row r="2790">
          <cell r="B2790" t="str">
            <v>CM3M0001AZ</v>
          </cell>
          <cell r="X2790" t="str">
            <v>Formulación</v>
          </cell>
          <cell r="AC2790">
            <v>0.12512000000000001</v>
          </cell>
          <cell r="AD2790">
            <v>0.12104000000000001</v>
          </cell>
          <cell r="AE2790" t="str">
            <v>Con precio</v>
          </cell>
        </row>
        <row r="2791">
          <cell r="B2791" t="str">
            <v>CM3M0001AZ</v>
          </cell>
          <cell r="X2791" t="str">
            <v>Formulación</v>
          </cell>
          <cell r="AC2791">
            <v>1.9574999999999999E-2</v>
          </cell>
          <cell r="AD2791">
            <v>1.9574999999999999E-2</v>
          </cell>
          <cell r="AE2791" t="str">
            <v>Con precio</v>
          </cell>
        </row>
        <row r="2792">
          <cell r="B2792" t="str">
            <v>CM3M0001AZ</v>
          </cell>
          <cell r="X2792" t="str">
            <v>Formulación</v>
          </cell>
          <cell r="AC2792">
            <v>1.1550000000000001E-2</v>
          </cell>
          <cell r="AD2792">
            <v>1.1550000000000001E-2</v>
          </cell>
          <cell r="AE2792" t="str">
            <v>Con precio</v>
          </cell>
        </row>
        <row r="2793">
          <cell r="B2793" t="str">
            <v>CM3M0001AZ</v>
          </cell>
          <cell r="X2793" t="str">
            <v>Formulación</v>
          </cell>
          <cell r="AC2793">
            <v>1.55E-2</v>
          </cell>
          <cell r="AD2793">
            <v>1.55E-2</v>
          </cell>
          <cell r="AE2793" t="str">
            <v>Con precio</v>
          </cell>
        </row>
        <row r="2794">
          <cell r="B2794" t="str">
            <v>CM3M0001AZ</v>
          </cell>
          <cell r="X2794" t="str">
            <v>Empaquetado</v>
          </cell>
          <cell r="AC2794">
            <v>3.0303030303030299E-5</v>
          </cell>
          <cell r="AD2794">
            <v>3.0303030303030299E-5</v>
          </cell>
          <cell r="AE2794" t="str">
            <v>Con precio</v>
          </cell>
        </row>
        <row r="2795">
          <cell r="B2795" t="str">
            <v>CM3M0001AZ</v>
          </cell>
          <cell r="X2795" t="str">
            <v>Empaquetado</v>
          </cell>
          <cell r="AC2795">
            <v>2.3439393939393937E-2</v>
          </cell>
          <cell r="AD2795">
            <v>2.3439393939393937E-2</v>
          </cell>
          <cell r="AE2795" t="str">
            <v>Con precio</v>
          </cell>
        </row>
        <row r="2796">
          <cell r="B2796" t="str">
            <v>CM3M0001AZ</v>
          </cell>
          <cell r="X2796" t="str">
            <v>Empaquetado</v>
          </cell>
          <cell r="AC2796">
            <v>7.1917518745739595E-2</v>
          </cell>
          <cell r="AD2796">
            <v>7.1917518745739595E-2</v>
          </cell>
          <cell r="AE2796" t="str">
            <v>Con precio</v>
          </cell>
        </row>
        <row r="2797">
          <cell r="B2797" t="str">
            <v>CM3M0001AZ</v>
          </cell>
          <cell r="X2797" t="str">
            <v>Empaquetado</v>
          </cell>
          <cell r="AC2797">
            <v>0.11874999999999999</v>
          </cell>
          <cell r="AD2797">
            <v>0.11874999999999999</v>
          </cell>
          <cell r="AE2797" t="str">
            <v>Con precio</v>
          </cell>
        </row>
        <row r="2798">
          <cell r="B2798" t="str">
            <v>CM3M0001AZ</v>
          </cell>
          <cell r="X2798" t="str">
            <v>Empaquetado</v>
          </cell>
          <cell r="AC2798">
            <v>9.6080774456521717E-2</v>
          </cell>
          <cell r="AD2798">
            <v>9.6080774456521717E-2</v>
          </cell>
          <cell r="AE2798" t="str">
            <v>Con precio</v>
          </cell>
        </row>
        <row r="2799">
          <cell r="B2799" t="str">
            <v>CM3M0001AZ</v>
          </cell>
          <cell r="X2799" t="str">
            <v>Empaquetado</v>
          </cell>
          <cell r="AC2799">
            <v>0.59068001033057849</v>
          </cell>
          <cell r="AD2799">
            <v>0.59068001033057849</v>
          </cell>
          <cell r="AE2799" t="str">
            <v>Con precio</v>
          </cell>
        </row>
        <row r="2800">
          <cell r="B2800" t="str">
            <v>CM3M0005</v>
          </cell>
          <cell r="X2800" t="str">
            <v>Formulación</v>
          </cell>
          <cell r="AC2800">
            <v>2.7000000000000003E-2</v>
          </cell>
          <cell r="AD2800">
            <v>2.3571428571428573E-2</v>
          </cell>
          <cell r="AE2800" t="str">
            <v>Con precio</v>
          </cell>
        </row>
        <row r="2801">
          <cell r="B2801" t="str">
            <v>CM3M0005</v>
          </cell>
          <cell r="X2801" t="str">
            <v>Formulación</v>
          </cell>
          <cell r="AC2801">
            <v>1.4061000000000001</v>
          </cell>
          <cell r="AD2801">
            <v>1.4061000000000001</v>
          </cell>
          <cell r="AE2801" t="str">
            <v>Con precio</v>
          </cell>
        </row>
        <row r="2802">
          <cell r="B2802" t="str">
            <v>CM3M0005</v>
          </cell>
          <cell r="X2802" t="str">
            <v>Formulación</v>
          </cell>
          <cell r="AC2802">
            <v>0.12512000000000001</v>
          </cell>
          <cell r="AD2802">
            <v>0.12104000000000001</v>
          </cell>
          <cell r="AE2802" t="str">
            <v>Con precio</v>
          </cell>
        </row>
        <row r="2803">
          <cell r="B2803" t="str">
            <v>CM3M0005</v>
          </cell>
          <cell r="X2803" t="str">
            <v>Formulación</v>
          </cell>
          <cell r="AC2803">
            <v>1.9574999999999999E-2</v>
          </cell>
          <cell r="AD2803">
            <v>1.9574999999999999E-2</v>
          </cell>
          <cell r="AE2803" t="str">
            <v>Con precio</v>
          </cell>
        </row>
        <row r="2804">
          <cell r="B2804" t="str">
            <v>CM3M0005</v>
          </cell>
          <cell r="X2804" t="str">
            <v>Formulación</v>
          </cell>
          <cell r="AC2804">
            <v>1.1550000000000001E-2</v>
          </cell>
          <cell r="AD2804">
            <v>1.1550000000000001E-2</v>
          </cell>
          <cell r="AE2804" t="str">
            <v>Con precio</v>
          </cell>
        </row>
        <row r="2805">
          <cell r="B2805" t="str">
            <v>CM3M0005</v>
          </cell>
          <cell r="X2805" t="str">
            <v>Formulación</v>
          </cell>
          <cell r="AC2805">
            <v>1.55E-2</v>
          </cell>
          <cell r="AD2805">
            <v>1.55E-2</v>
          </cell>
          <cell r="AE2805" t="str">
            <v>Con precio</v>
          </cell>
        </row>
        <row r="2806">
          <cell r="B2806" t="str">
            <v>CM3M0005</v>
          </cell>
          <cell r="X2806" t="str">
            <v>Empaquetado</v>
          </cell>
          <cell r="AC2806">
            <v>1.2991333333333337E-2</v>
          </cell>
          <cell r="AD2806">
            <v>1.2991333333333337E-2</v>
          </cell>
          <cell r="AE2806" t="str">
            <v>Con precio</v>
          </cell>
        </row>
        <row r="2807">
          <cell r="B2807" t="str">
            <v>CM3M0005</v>
          </cell>
          <cell r="X2807" t="str">
            <v>Empaquetado</v>
          </cell>
          <cell r="AC2807">
            <v>2.5783333333333339E-2</v>
          </cell>
          <cell r="AD2807">
            <v>2.5783333333333339E-2</v>
          </cell>
          <cell r="AE2807" t="str">
            <v>Con precio</v>
          </cell>
        </row>
        <row r="2808">
          <cell r="B2808" t="str">
            <v>CM3M0005</v>
          </cell>
          <cell r="X2808" t="str">
            <v>Empaquetado</v>
          </cell>
          <cell r="AC2808">
            <v>2.5359983896940424E-2</v>
          </cell>
          <cell r="AD2808">
            <v>2.5359983896940424E-2</v>
          </cell>
          <cell r="AE2808" t="str">
            <v>Con precio</v>
          </cell>
        </row>
        <row r="2809">
          <cell r="B2809" t="str">
            <v>CM3M0005</v>
          </cell>
          <cell r="X2809" t="str">
            <v>Empaquetado</v>
          </cell>
          <cell r="AC2809">
            <v>0.17399999999999999</v>
          </cell>
          <cell r="AD2809">
            <v>0.17399999999999999</v>
          </cell>
          <cell r="AE2809" t="str">
            <v>Con precio</v>
          </cell>
        </row>
        <row r="2810">
          <cell r="B2810" t="str">
            <v>CM3M0005</v>
          </cell>
          <cell r="X2810" t="str">
            <v>Empaquetado</v>
          </cell>
          <cell r="AC2810">
            <v>5.7799999999999997E-2</v>
          </cell>
          <cell r="AD2810">
            <v>5.7799999999999997E-2</v>
          </cell>
          <cell r="AE2810" t="str">
            <v>Con precio</v>
          </cell>
        </row>
        <row r="2811">
          <cell r="B2811" t="str">
            <v>CM3M0005</v>
          </cell>
          <cell r="X2811" t="str">
            <v>Empaquetado</v>
          </cell>
          <cell r="AC2811">
            <v>3.6950017630465445E-2</v>
          </cell>
          <cell r="AD2811">
            <v>3.6950017630465445E-2</v>
          </cell>
          <cell r="AE2811" t="str">
            <v>Con precio</v>
          </cell>
        </row>
        <row r="2812">
          <cell r="B2812" t="str">
            <v>CODIR0001PA</v>
          </cell>
          <cell r="X2812" t="str">
            <v>Formulación</v>
          </cell>
          <cell r="AC2812">
            <v>0.11499999999999999</v>
          </cell>
          <cell r="AD2812">
            <v>0.11433333333333334</v>
          </cell>
          <cell r="AE2812" t="str">
            <v>Con precio</v>
          </cell>
        </row>
        <row r="2813">
          <cell r="B2813" t="str">
            <v>CODIR0001PA</v>
          </cell>
          <cell r="X2813" t="str">
            <v>Formulación</v>
          </cell>
          <cell r="AC2813">
            <v>0</v>
          </cell>
          <cell r="AD2813">
            <v>0</v>
          </cell>
          <cell r="AE2813" t="str">
            <v>Con precio</v>
          </cell>
        </row>
        <row r="2814">
          <cell r="B2814" t="str">
            <v>CODIR0001PA</v>
          </cell>
          <cell r="X2814" t="str">
            <v>Formulación</v>
          </cell>
          <cell r="AC2814">
            <v>0.48799999999999999</v>
          </cell>
          <cell r="AD2814">
            <v>0.40533333333333332</v>
          </cell>
          <cell r="AE2814" t="str">
            <v>Con precio</v>
          </cell>
        </row>
        <row r="2815">
          <cell r="B2815" t="str">
            <v>CODIR0001PA</v>
          </cell>
          <cell r="X2815" t="str">
            <v>Formulación</v>
          </cell>
          <cell r="AC2815">
            <v>0.6</v>
          </cell>
          <cell r="AD2815">
            <v>0.46900000000000008</v>
          </cell>
          <cell r="AE2815" t="str">
            <v>Con precio</v>
          </cell>
        </row>
        <row r="2816">
          <cell r="B2816" t="str">
            <v>CODIR0001PA</v>
          </cell>
          <cell r="X2816" t="str">
            <v>Formulación</v>
          </cell>
          <cell r="AC2816">
            <v>9.7500000000000003E-2</v>
          </cell>
          <cell r="AD2816">
            <v>9.7500000000000003E-2</v>
          </cell>
          <cell r="AE2816" t="str">
            <v>Con precio</v>
          </cell>
        </row>
        <row r="2817">
          <cell r="B2817" t="str">
            <v>CODIR0001PA</v>
          </cell>
          <cell r="X2817" t="str">
            <v>Empaquetado</v>
          </cell>
          <cell r="AC2817">
            <v>3.0303030303030299E-5</v>
          </cell>
          <cell r="AD2817">
            <v>3.0303030303030299E-5</v>
          </cell>
          <cell r="AE2817" t="str">
            <v>Con precio</v>
          </cell>
        </row>
        <row r="2818">
          <cell r="B2818" t="str">
            <v>CODIR0001PA</v>
          </cell>
          <cell r="X2818" t="str">
            <v>Empaquetado</v>
          </cell>
          <cell r="AC2818">
            <v>2.3439393939393937E-2</v>
          </cell>
          <cell r="AD2818">
            <v>2.3439393939393937E-2</v>
          </cell>
          <cell r="AE2818" t="str">
            <v>Con precio</v>
          </cell>
        </row>
        <row r="2819">
          <cell r="B2819" t="str">
            <v>CODIR0001PA</v>
          </cell>
          <cell r="X2819" t="str">
            <v>Empaquetado</v>
          </cell>
          <cell r="AC2819">
            <v>7.1917518745739595E-2</v>
          </cell>
          <cell r="AD2819">
            <v>7.1917518745739595E-2</v>
          </cell>
          <cell r="AE2819" t="str">
            <v>Con precio</v>
          </cell>
        </row>
        <row r="2820">
          <cell r="B2820" t="str">
            <v>CODIR0001PA</v>
          </cell>
          <cell r="X2820" t="str">
            <v>Empaquetado</v>
          </cell>
          <cell r="AC2820">
            <v>0.44322992424242419</v>
          </cell>
          <cell r="AD2820">
            <v>0.44322992424242419</v>
          </cell>
          <cell r="AE2820" t="str">
            <v>Con precio</v>
          </cell>
        </row>
        <row r="2821">
          <cell r="B2821" t="str">
            <v>CODIR0001PA</v>
          </cell>
          <cell r="X2821" t="str">
            <v>Empaquetado</v>
          </cell>
          <cell r="AC2821">
            <v>0.11874999999999999</v>
          </cell>
          <cell r="AD2821">
            <v>0.11874999999999999</v>
          </cell>
          <cell r="AE2821" t="str">
            <v>Con precio</v>
          </cell>
        </row>
        <row r="2822">
          <cell r="B2822" t="str">
            <v>CODIR0001PA</v>
          </cell>
          <cell r="X2822" t="str">
            <v>Empaquetado</v>
          </cell>
          <cell r="AC2822">
            <v>9.6080774456521717E-2</v>
          </cell>
          <cell r="AD2822">
            <v>9.6080774456521717E-2</v>
          </cell>
          <cell r="AE2822" t="str">
            <v>Con precio</v>
          </cell>
        </row>
        <row r="2823">
          <cell r="B2823" t="str">
            <v>CODIR0005PA</v>
          </cell>
          <cell r="X2823" t="str">
            <v>Formulación</v>
          </cell>
          <cell r="AC2823">
            <v>0.11499999999999999</v>
          </cell>
          <cell r="AD2823">
            <v>0.11433333333333334</v>
          </cell>
          <cell r="AE2823" t="str">
            <v>Con precio</v>
          </cell>
        </row>
        <row r="2824">
          <cell r="B2824" t="str">
            <v>CODIR0005PA</v>
          </cell>
          <cell r="X2824" t="str">
            <v>Formulación</v>
          </cell>
          <cell r="AC2824">
            <v>0</v>
          </cell>
          <cell r="AD2824">
            <v>0</v>
          </cell>
          <cell r="AE2824" t="str">
            <v>Con precio</v>
          </cell>
        </row>
        <row r="2825">
          <cell r="B2825" t="str">
            <v>CODIR0005PA</v>
          </cell>
          <cell r="X2825" t="str">
            <v>Formulación</v>
          </cell>
          <cell r="AC2825">
            <v>0.48799999999999999</v>
          </cell>
          <cell r="AD2825">
            <v>0.40533333333333332</v>
          </cell>
          <cell r="AE2825" t="str">
            <v>Con precio</v>
          </cell>
        </row>
        <row r="2826">
          <cell r="B2826" t="str">
            <v>CODIR0005PA</v>
          </cell>
          <cell r="X2826" t="str">
            <v>Formulación</v>
          </cell>
          <cell r="AC2826">
            <v>0.6</v>
          </cell>
          <cell r="AD2826">
            <v>0.46900000000000008</v>
          </cell>
          <cell r="AE2826" t="str">
            <v>Con precio</v>
          </cell>
        </row>
        <row r="2827">
          <cell r="B2827" t="str">
            <v>CODIR0005PA</v>
          </cell>
          <cell r="X2827" t="str">
            <v>Formulación</v>
          </cell>
          <cell r="AC2827">
            <v>9.7500000000000003E-2</v>
          </cell>
          <cell r="AD2827">
            <v>9.7500000000000003E-2</v>
          </cell>
          <cell r="AE2827" t="str">
            <v>Con precio</v>
          </cell>
        </row>
        <row r="2828">
          <cell r="B2828" t="str">
            <v>CODIR0005PA</v>
          </cell>
          <cell r="X2828" t="str">
            <v>Empaquetado</v>
          </cell>
          <cell r="AC2828">
            <v>1.5470000000000001E-2</v>
          </cell>
          <cell r="AD2828">
            <v>1.5470000000000001E-2</v>
          </cell>
          <cell r="AE2828" t="str">
            <v>Con precio</v>
          </cell>
        </row>
        <row r="2829">
          <cell r="B2829" t="str">
            <v>CODIR0005PA</v>
          </cell>
          <cell r="X2829" t="str">
            <v>Empaquetado</v>
          </cell>
          <cell r="AC2829">
            <v>7.7948000000000002E-3</v>
          </cell>
          <cell r="AD2829">
            <v>7.7948000000000002E-3</v>
          </cell>
          <cell r="AE2829" t="str">
            <v>Con precio</v>
          </cell>
        </row>
        <row r="2830">
          <cell r="B2830" t="str">
            <v>CODIR0005PA</v>
          </cell>
          <cell r="X2830" t="str">
            <v>Empaquetado</v>
          </cell>
          <cell r="AC2830">
            <v>2.5359983896940424E-2</v>
          </cell>
          <cell r="AD2830">
            <v>2.5359983896940424E-2</v>
          </cell>
          <cell r="AE2830" t="str">
            <v>Con precio</v>
          </cell>
        </row>
        <row r="2831">
          <cell r="B2831" t="str">
            <v>CODIR0005PA</v>
          </cell>
          <cell r="X2831" t="str">
            <v>Empaquetado</v>
          </cell>
          <cell r="AC2831">
            <v>3.4200000000000001E-2</v>
          </cell>
          <cell r="AD2831">
            <v>3.4200000000000001E-2</v>
          </cell>
          <cell r="AE2831" t="str">
            <v>Con precio</v>
          </cell>
        </row>
        <row r="2832">
          <cell r="B2832" t="str">
            <v>CODIR0005PA</v>
          </cell>
          <cell r="X2832" t="str">
            <v>Empaquetado</v>
          </cell>
          <cell r="AC2832">
            <v>0.17399999999999999</v>
          </cell>
          <cell r="AD2832">
            <v>0.17399999999999999</v>
          </cell>
          <cell r="AE2832" t="str">
            <v>Con precio</v>
          </cell>
        </row>
        <row r="2833">
          <cell r="B2833" t="str">
            <v>CODIR0005PA</v>
          </cell>
          <cell r="X2833" t="str">
            <v>Empaquetado</v>
          </cell>
          <cell r="AC2833">
            <v>3.6950017630465445E-2</v>
          </cell>
          <cell r="AD2833">
            <v>3.6950017630465445E-2</v>
          </cell>
          <cell r="AE2833" t="str">
            <v>Con precio</v>
          </cell>
        </row>
        <row r="2834">
          <cell r="B2834" t="str">
            <v>CODIR1000CR</v>
          </cell>
          <cell r="X2834" t="str">
            <v>Formulación</v>
          </cell>
          <cell r="AC2834">
            <v>0.11499999999999999</v>
          </cell>
          <cell r="AD2834">
            <v>0.11433333333333334</v>
          </cell>
          <cell r="AE2834" t="str">
            <v>Con precio</v>
          </cell>
        </row>
        <row r="2835">
          <cell r="B2835" t="str">
            <v>CODIR1000CR</v>
          </cell>
          <cell r="X2835" t="str">
            <v>Formulación</v>
          </cell>
          <cell r="AC2835">
            <v>0</v>
          </cell>
          <cell r="AD2835">
            <v>0</v>
          </cell>
          <cell r="AE2835" t="str">
            <v>Con precio</v>
          </cell>
        </row>
        <row r="2836">
          <cell r="B2836" t="str">
            <v>CODIR1000CR</v>
          </cell>
          <cell r="X2836" t="str">
            <v>Formulación</v>
          </cell>
          <cell r="AC2836">
            <v>0.48799999999999999</v>
          </cell>
          <cell r="AD2836">
            <v>0.40533333333333332</v>
          </cell>
          <cell r="AE2836" t="str">
            <v>Con precio</v>
          </cell>
        </row>
        <row r="2837">
          <cell r="B2837" t="str">
            <v>CODIR1000CR</v>
          </cell>
          <cell r="X2837" t="str">
            <v>Formulación</v>
          </cell>
          <cell r="AC2837">
            <v>0.6</v>
          </cell>
          <cell r="AD2837">
            <v>0.46900000000000008</v>
          </cell>
          <cell r="AE2837" t="str">
            <v>Con precio</v>
          </cell>
        </row>
        <row r="2838">
          <cell r="B2838" t="str">
            <v>CODIR1000CR</v>
          </cell>
          <cell r="X2838" t="str">
            <v>Formulación</v>
          </cell>
          <cell r="AC2838">
            <v>9.7500000000000003E-2</v>
          </cell>
          <cell r="AD2838">
            <v>9.7500000000000003E-2</v>
          </cell>
          <cell r="AE2838" t="str">
            <v>Con precio</v>
          </cell>
        </row>
        <row r="2839">
          <cell r="B2839" t="str">
            <v>CODIR1000CR</v>
          </cell>
          <cell r="X2839" t="str">
            <v>Empaquetado</v>
          </cell>
          <cell r="AC2839">
            <v>0.11700000000000001</v>
          </cell>
          <cell r="AD2839">
            <v>0.11700000000000001</v>
          </cell>
          <cell r="AE2839" t="str">
            <v>Con precio</v>
          </cell>
        </row>
        <row r="2840">
          <cell r="B2840" t="str">
            <v>CODIR1000CR</v>
          </cell>
          <cell r="X2840" t="str">
            <v>Empaquetado</v>
          </cell>
          <cell r="AC2840">
            <v>1.014399355877617E-4</v>
          </cell>
          <cell r="AD2840">
            <v>1.014399355877617E-4</v>
          </cell>
          <cell r="AE2840" t="str">
            <v>Con precio</v>
          </cell>
        </row>
        <row r="2841">
          <cell r="B2841" t="str">
            <v>CPLUS0020</v>
          </cell>
          <cell r="X2841" t="str">
            <v>Formulación</v>
          </cell>
          <cell r="AC2841">
            <v>0.24796199999999999</v>
          </cell>
          <cell r="AD2841">
            <v>0.21963999999999997</v>
          </cell>
          <cell r="AE2841" t="str">
            <v>Con precio</v>
          </cell>
        </row>
        <row r="2842">
          <cell r="B2842" t="str">
            <v>CPLUS0020</v>
          </cell>
          <cell r="X2842" t="str">
            <v>Formulación</v>
          </cell>
          <cell r="AC2842">
            <v>1.6983000000000002E-2</v>
          </cell>
          <cell r="AD2842">
            <v>1.6983000000000002E-2</v>
          </cell>
          <cell r="AE2842" t="str">
            <v>Con precio</v>
          </cell>
        </row>
        <row r="2843">
          <cell r="B2843" t="str">
            <v>CPLUS0020</v>
          </cell>
          <cell r="X2843" t="str">
            <v>Formulación</v>
          </cell>
          <cell r="AC2843">
            <v>8.6639999999999995E-2</v>
          </cell>
          <cell r="AD2843">
            <v>7.093333333333332E-2</v>
          </cell>
          <cell r="AE2843" t="str">
            <v>Con precio</v>
          </cell>
        </row>
        <row r="2844">
          <cell r="B2844" t="str">
            <v>CPLUS0020</v>
          </cell>
          <cell r="X2844" t="str">
            <v>Formulación</v>
          </cell>
          <cell r="AC2844">
            <v>2.0879999999999996E-2</v>
          </cell>
          <cell r="AD2844">
            <v>1.8247499999999996E-2</v>
          </cell>
          <cell r="AE2844" t="str">
            <v>Con precio</v>
          </cell>
        </row>
        <row r="2845">
          <cell r="B2845" t="str">
            <v>CPLUS0020</v>
          </cell>
          <cell r="X2845" t="str">
            <v>Formulación</v>
          </cell>
          <cell r="AC2845">
            <v>1.2880000000000001E-2</v>
          </cell>
          <cell r="AD2845">
            <v>1.2460000000000001E-2</v>
          </cell>
          <cell r="AE2845" t="str">
            <v>Con precio</v>
          </cell>
        </row>
        <row r="2846">
          <cell r="B2846" t="str">
            <v>CPLUS0020</v>
          </cell>
          <cell r="X2846" t="str">
            <v>Formulación</v>
          </cell>
          <cell r="AC2846">
            <v>0.24149999999999996</v>
          </cell>
          <cell r="AD2846">
            <v>0.19833333333333331</v>
          </cell>
          <cell r="AE2846" t="str">
            <v>Con precio</v>
          </cell>
        </row>
        <row r="2847">
          <cell r="B2847" t="str">
            <v>CPLUS0020</v>
          </cell>
          <cell r="X2847" t="str">
            <v>Formulación</v>
          </cell>
          <cell r="AC2847">
            <v>2.7820000000000001E-2</v>
          </cell>
          <cell r="AD2847">
            <v>2.3400000000000001E-2</v>
          </cell>
          <cell r="AE2847" t="str">
            <v>Con precio</v>
          </cell>
        </row>
        <row r="2848">
          <cell r="B2848" t="str">
            <v>CPLUS0020</v>
          </cell>
          <cell r="X2848" t="str">
            <v>Formulación</v>
          </cell>
          <cell r="AC2848">
            <v>9.7599999999999996E-3</v>
          </cell>
          <cell r="AD2848">
            <v>9.7599999999999996E-3</v>
          </cell>
          <cell r="AE2848" t="str">
            <v>Con precio</v>
          </cell>
        </row>
        <row r="2849">
          <cell r="B2849" t="str">
            <v>CPLUS0020</v>
          </cell>
          <cell r="X2849" t="str">
            <v>Formulación</v>
          </cell>
          <cell r="AC2849">
            <v>7.7500000000000008E-4</v>
          </cell>
          <cell r="AD2849">
            <v>7.7500000000000008E-4</v>
          </cell>
          <cell r="AE2849" t="str">
            <v>Con precio</v>
          </cell>
        </row>
        <row r="2850">
          <cell r="B2850" t="str">
            <v>CPLUS0020</v>
          </cell>
          <cell r="X2850" t="str">
            <v>Formulación</v>
          </cell>
          <cell r="AC2850">
            <v>3.3750000000000002E-2</v>
          </cell>
          <cell r="AD2850">
            <v>3.3750000000000002E-2</v>
          </cell>
          <cell r="AE2850" t="str">
            <v>Con precio</v>
          </cell>
        </row>
        <row r="2851">
          <cell r="B2851" t="str">
            <v>CPLUS0020</v>
          </cell>
          <cell r="X2851" t="str">
            <v>Empaquetado</v>
          </cell>
          <cell r="AC2851">
            <v>7.3209374999999993E-3</v>
          </cell>
          <cell r="AD2851">
            <v>7.3209374999999993E-3</v>
          </cell>
          <cell r="AE2851" t="str">
            <v>Con precio</v>
          </cell>
        </row>
        <row r="2852">
          <cell r="B2852" t="str">
            <v>CPLUS0020</v>
          </cell>
          <cell r="X2852" t="str">
            <v>Empaquetado</v>
          </cell>
          <cell r="AC2852">
            <v>2.4171875000000002E-2</v>
          </cell>
          <cell r="AD2852">
            <v>2.4171875000000002E-2</v>
          </cell>
          <cell r="AE2852" t="str">
            <v>Con precio</v>
          </cell>
        </row>
        <row r="2853">
          <cell r="B2853" t="str">
            <v>CPLUS0020</v>
          </cell>
          <cell r="X2853" t="str">
            <v>Empaquetado</v>
          </cell>
          <cell r="AC2853">
            <v>0.18266505681818179</v>
          </cell>
          <cell r="AD2853">
            <v>0.18266505681818179</v>
          </cell>
          <cell r="AE2853" t="str">
            <v>Con precio</v>
          </cell>
        </row>
        <row r="2854">
          <cell r="B2854" t="str">
            <v>CPLUS0020</v>
          </cell>
          <cell r="X2854" t="str">
            <v>Empaquetado</v>
          </cell>
          <cell r="AC2854">
            <v>2.4035031847133761E-2</v>
          </cell>
          <cell r="AD2854">
            <v>2.4035031847133761E-2</v>
          </cell>
          <cell r="AE2854" t="str">
            <v>Con precio</v>
          </cell>
        </row>
        <row r="2855">
          <cell r="B2855" t="str">
            <v>CPLUS0020</v>
          </cell>
          <cell r="X2855" t="str">
            <v>Empaquetado</v>
          </cell>
          <cell r="AC2855">
            <v>5.0719967793880849E-3</v>
          </cell>
          <cell r="AD2855">
            <v>5.0719967793880849E-3</v>
          </cell>
          <cell r="AE2855" t="str">
            <v>Con precio</v>
          </cell>
        </row>
        <row r="2856">
          <cell r="B2856" t="str">
            <v>CPLUS0200</v>
          </cell>
          <cell r="X2856" t="str">
            <v>Formulación</v>
          </cell>
          <cell r="AC2856">
            <v>0.24796199999999999</v>
          </cell>
          <cell r="AD2856">
            <v>0.21963999999999997</v>
          </cell>
          <cell r="AE2856" t="str">
            <v>Con precio</v>
          </cell>
        </row>
        <row r="2857">
          <cell r="B2857" t="str">
            <v>CPLUS0200</v>
          </cell>
          <cell r="X2857" t="str">
            <v>Formulación</v>
          </cell>
          <cell r="AC2857">
            <v>1.6983000000000002E-2</v>
          </cell>
          <cell r="AD2857">
            <v>1.6983000000000002E-2</v>
          </cell>
          <cell r="AE2857" t="str">
            <v>Con precio</v>
          </cell>
        </row>
        <row r="2858">
          <cell r="B2858" t="str">
            <v>CPLUS0200</v>
          </cell>
          <cell r="X2858" t="str">
            <v>Formulación</v>
          </cell>
          <cell r="AC2858">
            <v>8.6639999999999995E-2</v>
          </cell>
          <cell r="AD2858">
            <v>7.093333333333332E-2</v>
          </cell>
          <cell r="AE2858" t="str">
            <v>Con precio</v>
          </cell>
        </row>
        <row r="2859">
          <cell r="B2859" t="str">
            <v>CPLUS0200</v>
          </cell>
          <cell r="X2859" t="str">
            <v>Formulación</v>
          </cell>
          <cell r="AC2859">
            <v>2.0879999999999996E-2</v>
          </cell>
          <cell r="AD2859">
            <v>1.8247499999999996E-2</v>
          </cell>
          <cell r="AE2859" t="str">
            <v>Con precio</v>
          </cell>
        </row>
        <row r="2860">
          <cell r="B2860" t="str">
            <v>CPLUS0200</v>
          </cell>
          <cell r="X2860" t="str">
            <v>Formulación</v>
          </cell>
          <cell r="AC2860">
            <v>1.2880000000000001E-2</v>
          </cell>
          <cell r="AD2860">
            <v>1.2460000000000001E-2</v>
          </cell>
          <cell r="AE2860" t="str">
            <v>Con precio</v>
          </cell>
        </row>
        <row r="2861">
          <cell r="B2861" t="str">
            <v>CPLUS0200</v>
          </cell>
          <cell r="X2861" t="str">
            <v>Formulación</v>
          </cell>
          <cell r="AC2861">
            <v>0.24149999999999996</v>
          </cell>
          <cell r="AD2861">
            <v>0.19833333333333331</v>
          </cell>
          <cell r="AE2861" t="str">
            <v>Con precio</v>
          </cell>
        </row>
        <row r="2862">
          <cell r="B2862" t="str">
            <v>CPLUS0200</v>
          </cell>
          <cell r="X2862" t="str">
            <v>Formulación</v>
          </cell>
          <cell r="AC2862">
            <v>2.7820000000000001E-2</v>
          </cell>
          <cell r="AD2862">
            <v>2.3400000000000001E-2</v>
          </cell>
          <cell r="AE2862" t="str">
            <v>Con precio</v>
          </cell>
        </row>
        <row r="2863">
          <cell r="B2863" t="str">
            <v>CPLUS0200</v>
          </cell>
          <cell r="X2863" t="str">
            <v>Formulación</v>
          </cell>
          <cell r="AC2863">
            <v>9.7599999999999996E-3</v>
          </cell>
          <cell r="AD2863">
            <v>9.7599999999999996E-3</v>
          </cell>
          <cell r="AE2863" t="str">
            <v>Con precio</v>
          </cell>
        </row>
        <row r="2864">
          <cell r="B2864" t="str">
            <v>CPLUS0200</v>
          </cell>
          <cell r="X2864" t="str">
            <v>Formulación</v>
          </cell>
          <cell r="AC2864">
            <v>7.7500000000000008E-4</v>
          </cell>
          <cell r="AD2864">
            <v>7.7500000000000008E-4</v>
          </cell>
          <cell r="AE2864" t="str">
            <v>Con precio</v>
          </cell>
        </row>
        <row r="2865">
          <cell r="B2865" t="str">
            <v>CPLUS0200</v>
          </cell>
          <cell r="X2865" t="str">
            <v>Formulación</v>
          </cell>
          <cell r="AC2865">
            <v>3.3750000000000002E-2</v>
          </cell>
          <cell r="AD2865">
            <v>3.3750000000000002E-2</v>
          </cell>
          <cell r="AE2865" t="str">
            <v>Con precio</v>
          </cell>
        </row>
        <row r="2866">
          <cell r="B2866" t="str">
            <v>CPLUS0200</v>
          </cell>
          <cell r="X2866" t="str">
            <v>Empaquetado</v>
          </cell>
          <cell r="AC2866">
            <v>5.0719967793880845E-4</v>
          </cell>
          <cell r="AD2866">
            <v>5.0719967793880845E-4</v>
          </cell>
          <cell r="AE2866" t="str">
            <v>Con precio</v>
          </cell>
        </row>
        <row r="2867">
          <cell r="B2867" t="str">
            <v>CPLUS0200</v>
          </cell>
          <cell r="X2867" t="str">
            <v>Empaquetado</v>
          </cell>
          <cell r="AC2867">
            <v>2.1875000000000002E-3</v>
          </cell>
          <cell r="AD2867">
            <v>2.1875000000000002E-3</v>
          </cell>
          <cell r="AE2867" t="str">
            <v>Con precio</v>
          </cell>
        </row>
        <row r="2868">
          <cell r="B2868" t="str">
            <v>CPLUS0200</v>
          </cell>
          <cell r="X2868" t="str">
            <v>Empaquetado</v>
          </cell>
          <cell r="AC2868">
            <v>0.16730511363636363</v>
          </cell>
          <cell r="AD2868">
            <v>0.16730511363636363</v>
          </cell>
          <cell r="AE2868" t="str">
            <v>Con precio</v>
          </cell>
        </row>
        <row r="2869">
          <cell r="B2869" t="str">
            <v>CPLUS0200</v>
          </cell>
          <cell r="X2869" t="str">
            <v>Empaquetado</v>
          </cell>
          <cell r="AC2869">
            <v>1.9337500000000001E-2</v>
          </cell>
          <cell r="AD2869">
            <v>1.9337500000000001E-2</v>
          </cell>
          <cell r="AE2869" t="str">
            <v>Con precio</v>
          </cell>
        </row>
        <row r="2870">
          <cell r="B2870" t="str">
            <v>CPLUS0200</v>
          </cell>
          <cell r="X2870" t="str">
            <v>Empaquetado</v>
          </cell>
          <cell r="AC2870">
            <v>3.4999999999999996E-3</v>
          </cell>
          <cell r="AD2870">
            <v>3.4999999999999996E-3</v>
          </cell>
          <cell r="AE2870" t="str">
            <v>Con precio</v>
          </cell>
        </row>
        <row r="2871">
          <cell r="B2871" t="str">
            <v>CPLUS0200</v>
          </cell>
          <cell r="X2871" t="str">
            <v>Empaquetado</v>
          </cell>
          <cell r="AC2871">
            <v>2.2500000000000003E-3</v>
          </cell>
          <cell r="AD2871">
            <v>2.2500000000000003E-3</v>
          </cell>
          <cell r="AE2871" t="str">
            <v>Con precio</v>
          </cell>
        </row>
        <row r="2872">
          <cell r="B2872" t="str">
            <v>CPLUS1000</v>
          </cell>
          <cell r="X2872" t="str">
            <v>Formulación</v>
          </cell>
          <cell r="AC2872">
            <v>0.24796199999999999</v>
          </cell>
          <cell r="AD2872">
            <v>0.21963999999999997</v>
          </cell>
          <cell r="AE2872" t="str">
            <v>Con precio</v>
          </cell>
        </row>
        <row r="2873">
          <cell r="B2873" t="str">
            <v>CPLUS1000</v>
          </cell>
          <cell r="X2873" t="str">
            <v>Formulación</v>
          </cell>
          <cell r="AC2873">
            <v>1.6983000000000002E-2</v>
          </cell>
          <cell r="AD2873">
            <v>1.6983000000000002E-2</v>
          </cell>
          <cell r="AE2873" t="str">
            <v>Con precio</v>
          </cell>
        </row>
        <row r="2874">
          <cell r="B2874" t="str">
            <v>CPLUS1000</v>
          </cell>
          <cell r="X2874" t="str">
            <v>Formulación</v>
          </cell>
          <cell r="AC2874">
            <v>8.6639999999999995E-2</v>
          </cell>
          <cell r="AD2874">
            <v>7.093333333333332E-2</v>
          </cell>
          <cell r="AE2874" t="str">
            <v>Con precio</v>
          </cell>
        </row>
        <row r="2875">
          <cell r="B2875" t="str">
            <v>CPLUS1000</v>
          </cell>
          <cell r="X2875" t="str">
            <v>Formulación</v>
          </cell>
          <cell r="AC2875">
            <v>2.0879999999999996E-2</v>
          </cell>
          <cell r="AD2875">
            <v>1.8247499999999996E-2</v>
          </cell>
          <cell r="AE2875" t="str">
            <v>Con precio</v>
          </cell>
        </row>
        <row r="2876">
          <cell r="B2876" t="str">
            <v>CPLUS1000</v>
          </cell>
          <cell r="X2876" t="str">
            <v>Formulación</v>
          </cell>
          <cell r="AC2876">
            <v>1.2880000000000001E-2</v>
          </cell>
          <cell r="AD2876">
            <v>1.2460000000000001E-2</v>
          </cell>
          <cell r="AE2876" t="str">
            <v>Con precio</v>
          </cell>
        </row>
        <row r="2877">
          <cell r="B2877" t="str">
            <v>CPLUS1000</v>
          </cell>
          <cell r="X2877" t="str">
            <v>Formulación</v>
          </cell>
          <cell r="AC2877">
            <v>0.24149999999999996</v>
          </cell>
          <cell r="AD2877">
            <v>0.19833333333333331</v>
          </cell>
          <cell r="AE2877" t="str">
            <v>Con precio</v>
          </cell>
        </row>
        <row r="2878">
          <cell r="B2878" t="str">
            <v>CPLUS1000</v>
          </cell>
          <cell r="X2878" t="str">
            <v>Formulación</v>
          </cell>
          <cell r="AC2878">
            <v>2.7820000000000001E-2</v>
          </cell>
          <cell r="AD2878">
            <v>2.3400000000000001E-2</v>
          </cell>
          <cell r="AE2878" t="str">
            <v>Con precio</v>
          </cell>
        </row>
        <row r="2879">
          <cell r="B2879" t="str">
            <v>CPLUS1000</v>
          </cell>
          <cell r="X2879" t="str">
            <v>Formulación</v>
          </cell>
          <cell r="AC2879">
            <v>9.7599999999999996E-3</v>
          </cell>
          <cell r="AD2879">
            <v>9.7599999999999996E-3</v>
          </cell>
          <cell r="AE2879" t="str">
            <v>Con precio</v>
          </cell>
        </row>
        <row r="2880">
          <cell r="B2880" t="str">
            <v>CPLUS1000</v>
          </cell>
          <cell r="X2880" t="str">
            <v>Formulación</v>
          </cell>
          <cell r="AC2880">
            <v>7.7500000000000008E-4</v>
          </cell>
          <cell r="AD2880">
            <v>7.7500000000000008E-4</v>
          </cell>
          <cell r="AE2880" t="str">
            <v>Con precio</v>
          </cell>
        </row>
        <row r="2881">
          <cell r="B2881" t="str">
            <v>CPLUS1000</v>
          </cell>
          <cell r="X2881" t="str">
            <v>Formulación</v>
          </cell>
          <cell r="AC2881">
            <v>3.3750000000000002E-2</v>
          </cell>
          <cell r="AD2881">
            <v>3.3750000000000002E-2</v>
          </cell>
          <cell r="AE2881" t="str">
            <v>Con precio</v>
          </cell>
        </row>
        <row r="2882">
          <cell r="B2882" t="str">
            <v>CPLUS1000</v>
          </cell>
          <cell r="X2882" t="str">
            <v>Empaquetado</v>
          </cell>
          <cell r="AC2882">
            <v>0.11700000000000001</v>
          </cell>
          <cell r="AD2882">
            <v>0.11700000000000001</v>
          </cell>
          <cell r="AE2882" t="str">
            <v>Con precio</v>
          </cell>
        </row>
        <row r="2883">
          <cell r="B2883" t="str">
            <v>CPLUS1000</v>
          </cell>
          <cell r="X2883" t="str">
            <v>Empaquetado</v>
          </cell>
          <cell r="AC2883">
            <v>1.014399355877617E-4</v>
          </cell>
          <cell r="AD2883">
            <v>1.014399355877617E-4</v>
          </cell>
          <cell r="AE2883" t="str">
            <v>Con precio</v>
          </cell>
        </row>
        <row r="2884">
          <cell r="B2884" t="str">
            <v>CSIL0001</v>
          </cell>
          <cell r="X2884" t="str">
            <v>Formulación</v>
          </cell>
          <cell r="AC2884">
            <v>1.1475</v>
          </cell>
          <cell r="AD2884">
            <v>1.1475</v>
          </cell>
          <cell r="AE2884" t="str">
            <v>Con precio</v>
          </cell>
        </row>
        <row r="2885">
          <cell r="B2885" t="str">
            <v>CSIL0001</v>
          </cell>
          <cell r="X2885" t="str">
            <v>Empaquetado</v>
          </cell>
          <cell r="AC2885">
            <v>3.0303030303030299E-5</v>
          </cell>
          <cell r="AD2885">
            <v>3.0303030303030299E-5</v>
          </cell>
          <cell r="AE2885" t="str">
            <v>Con precio</v>
          </cell>
        </row>
        <row r="2886">
          <cell r="B2886" t="str">
            <v>CSIL0001</v>
          </cell>
          <cell r="X2886" t="str">
            <v>Empaquetado</v>
          </cell>
          <cell r="AC2886">
            <v>2.3439393939393937E-2</v>
          </cell>
          <cell r="AD2886">
            <v>2.3439393939393937E-2</v>
          </cell>
          <cell r="AE2886" t="str">
            <v>Con precio</v>
          </cell>
        </row>
        <row r="2887">
          <cell r="B2887" t="str">
            <v>CSIL0001</v>
          </cell>
          <cell r="X2887" t="str">
            <v>Empaquetado</v>
          </cell>
          <cell r="AC2887">
            <v>7.1917518745739595E-2</v>
          </cell>
          <cell r="AD2887">
            <v>7.1917518745739595E-2</v>
          </cell>
          <cell r="AE2887" t="str">
            <v>Con precio</v>
          </cell>
        </row>
        <row r="2888">
          <cell r="B2888" t="str">
            <v>CSIL0001</v>
          </cell>
          <cell r="X2888" t="str">
            <v>Empaquetado</v>
          </cell>
          <cell r="AC2888">
            <v>0.44322992424242419</v>
          </cell>
          <cell r="AD2888">
            <v>0.44322992424242419</v>
          </cell>
          <cell r="AE2888" t="str">
            <v>Con precio</v>
          </cell>
        </row>
        <row r="2889">
          <cell r="B2889" t="str">
            <v>CSIL0001</v>
          </cell>
          <cell r="X2889" t="str">
            <v>Empaquetado</v>
          </cell>
          <cell r="AC2889">
            <v>0.11874999999999999</v>
          </cell>
          <cell r="AD2889">
            <v>0.11874999999999999</v>
          </cell>
          <cell r="AE2889" t="str">
            <v>Con precio</v>
          </cell>
        </row>
        <row r="2890">
          <cell r="B2890" t="str">
            <v>CSIL0001</v>
          </cell>
          <cell r="X2890" t="str">
            <v>Empaquetado</v>
          </cell>
          <cell r="AC2890">
            <v>9.6080774456521717E-2</v>
          </cell>
          <cell r="AD2890">
            <v>9.6080774456521717E-2</v>
          </cell>
          <cell r="AE2890" t="str">
            <v>Con precio</v>
          </cell>
        </row>
        <row r="2891">
          <cell r="B2891" t="str">
            <v>CSIL0005</v>
          </cell>
          <cell r="X2891" t="str">
            <v>Formulación</v>
          </cell>
          <cell r="AC2891">
            <v>1.1475</v>
          </cell>
          <cell r="AD2891">
            <v>1.1475</v>
          </cell>
          <cell r="AE2891" t="str">
            <v>Con precio</v>
          </cell>
        </row>
        <row r="2892">
          <cell r="B2892" t="str">
            <v>CSIL0005</v>
          </cell>
          <cell r="X2892" t="str">
            <v>Empaquetado</v>
          </cell>
          <cell r="AC2892">
            <v>1.2991333333333337E-2</v>
          </cell>
          <cell r="AD2892">
            <v>1.2991333333333337E-2</v>
          </cell>
          <cell r="AE2892" t="str">
            <v>Con precio</v>
          </cell>
        </row>
        <row r="2893">
          <cell r="B2893" t="str">
            <v>CSIL0005</v>
          </cell>
          <cell r="X2893" t="str">
            <v>Empaquetado</v>
          </cell>
          <cell r="AC2893">
            <v>2.5783333333333339E-2</v>
          </cell>
          <cell r="AD2893">
            <v>2.5783333333333339E-2</v>
          </cell>
          <cell r="AE2893" t="str">
            <v>Con precio</v>
          </cell>
        </row>
        <row r="2894">
          <cell r="B2894" t="str">
            <v>CSIL0005</v>
          </cell>
          <cell r="X2894" t="str">
            <v>Empaquetado</v>
          </cell>
          <cell r="AC2894">
            <v>2.5359983896940424E-2</v>
          </cell>
          <cell r="AD2894">
            <v>2.5359983896940424E-2</v>
          </cell>
          <cell r="AE2894" t="str">
            <v>Con precio</v>
          </cell>
        </row>
        <row r="2895">
          <cell r="B2895" t="str">
            <v>CSIL0005</v>
          </cell>
          <cell r="X2895" t="str">
            <v>Empaquetado</v>
          </cell>
          <cell r="AC2895">
            <v>3.4200000000000001E-2</v>
          </cell>
          <cell r="AD2895">
            <v>3.4200000000000001E-2</v>
          </cell>
          <cell r="AE2895" t="str">
            <v>Con precio</v>
          </cell>
        </row>
        <row r="2896">
          <cell r="B2896" t="str">
            <v>CSIL0005</v>
          </cell>
          <cell r="X2896" t="str">
            <v>Empaquetado</v>
          </cell>
          <cell r="AC2896">
            <v>0.17399999999999999</v>
          </cell>
          <cell r="AD2896">
            <v>0.17399999999999999</v>
          </cell>
          <cell r="AE2896" t="str">
            <v>Con precio</v>
          </cell>
        </row>
        <row r="2897">
          <cell r="B2897" t="str">
            <v>CSIL0005</v>
          </cell>
          <cell r="X2897" t="str">
            <v>Empaquetado</v>
          </cell>
          <cell r="AC2897">
            <v>3.6950017630465445E-2</v>
          </cell>
          <cell r="AD2897">
            <v>3.6950017630465445E-2</v>
          </cell>
          <cell r="AE2897" t="str">
            <v>Con precio</v>
          </cell>
        </row>
        <row r="2898">
          <cell r="B2898" t="str">
            <v>CSIL0005MA</v>
          </cell>
          <cell r="X2898" t="str">
            <v>Formulación</v>
          </cell>
          <cell r="AC2898">
            <v>1.1475</v>
          </cell>
          <cell r="AD2898">
            <v>1.1475</v>
          </cell>
          <cell r="AE2898" t="str">
            <v>Con precio</v>
          </cell>
        </row>
        <row r="2899">
          <cell r="B2899" t="str">
            <v>CSIL0005MA</v>
          </cell>
          <cell r="X2899" t="str">
            <v>Empaquetado</v>
          </cell>
          <cell r="AC2899">
            <v>1.2991333333333337E-2</v>
          </cell>
          <cell r="AD2899">
            <v>1.2991333333333337E-2</v>
          </cell>
          <cell r="AE2899" t="str">
            <v>Con precio</v>
          </cell>
        </row>
        <row r="2900">
          <cell r="B2900" t="str">
            <v>CSIL0005MA</v>
          </cell>
          <cell r="X2900" t="str">
            <v>Empaquetado</v>
          </cell>
          <cell r="AC2900">
            <v>2.5783333333333339E-2</v>
          </cell>
          <cell r="AD2900">
            <v>2.5783333333333339E-2</v>
          </cell>
          <cell r="AE2900" t="str">
            <v>Con precio</v>
          </cell>
        </row>
        <row r="2901">
          <cell r="B2901" t="str">
            <v>CSIL0005MA</v>
          </cell>
          <cell r="X2901" t="str">
            <v>Empaquetado</v>
          </cell>
          <cell r="AC2901">
            <v>2.5359983896940424E-2</v>
          </cell>
          <cell r="AD2901">
            <v>2.5359983896940424E-2</v>
          </cell>
          <cell r="AE2901" t="str">
            <v>Con precio</v>
          </cell>
        </row>
        <row r="2902">
          <cell r="B2902" t="str">
            <v>CSIL0005MA</v>
          </cell>
          <cell r="X2902" t="str">
            <v>Empaquetado</v>
          </cell>
          <cell r="AC2902">
            <v>3.4200000000000001E-2</v>
          </cell>
          <cell r="AD2902">
            <v>3.4200000000000001E-2</v>
          </cell>
          <cell r="AE2902" t="str">
            <v>Con precio</v>
          </cell>
        </row>
        <row r="2903">
          <cell r="B2903" t="str">
            <v>CSIL0005MA</v>
          </cell>
          <cell r="X2903" t="str">
            <v>Empaquetado</v>
          </cell>
          <cell r="AC2903">
            <v>0.17399999999999999</v>
          </cell>
          <cell r="AD2903">
            <v>0.17399999999999999</v>
          </cell>
          <cell r="AE2903" t="str">
            <v>Con precio</v>
          </cell>
        </row>
        <row r="2904">
          <cell r="B2904" t="str">
            <v>CSIL0005MA</v>
          </cell>
          <cell r="X2904" t="str">
            <v>Empaquetado</v>
          </cell>
          <cell r="AC2904">
            <v>3.6950017630465445E-2</v>
          </cell>
          <cell r="AD2904">
            <v>3.6950017630465445E-2</v>
          </cell>
          <cell r="AE2904" t="str">
            <v>Con precio</v>
          </cell>
        </row>
        <row r="2905">
          <cell r="B2905" t="str">
            <v>CSIL0020</v>
          </cell>
          <cell r="X2905" t="str">
            <v>Formulación</v>
          </cell>
          <cell r="AC2905">
            <v>1.1475</v>
          </cell>
          <cell r="AD2905">
            <v>1.1475</v>
          </cell>
          <cell r="AE2905" t="str">
            <v>Con precio</v>
          </cell>
        </row>
        <row r="2906">
          <cell r="B2906" t="str">
            <v>CSIL0020</v>
          </cell>
          <cell r="X2906" t="str">
            <v>Empaquetado</v>
          </cell>
          <cell r="AC2906">
            <v>7.3209374999999993E-3</v>
          </cell>
          <cell r="AD2906">
            <v>7.3209374999999993E-3</v>
          </cell>
          <cell r="AE2906" t="str">
            <v>Con precio</v>
          </cell>
        </row>
        <row r="2907">
          <cell r="B2907" t="str">
            <v>CSIL0020</v>
          </cell>
          <cell r="X2907" t="str">
            <v>Empaquetado</v>
          </cell>
          <cell r="AC2907">
            <v>2.4171875000000002E-2</v>
          </cell>
          <cell r="AD2907">
            <v>2.4171875000000002E-2</v>
          </cell>
          <cell r="AE2907" t="str">
            <v>Con precio</v>
          </cell>
        </row>
        <row r="2908">
          <cell r="B2908" t="str">
            <v>CSIL0020</v>
          </cell>
          <cell r="X2908" t="str">
            <v>Empaquetado</v>
          </cell>
          <cell r="AC2908">
            <v>5.0719967793880849E-3</v>
          </cell>
          <cell r="AD2908">
            <v>5.0719967793880849E-3</v>
          </cell>
          <cell r="AE2908" t="str">
            <v>Con precio</v>
          </cell>
        </row>
        <row r="2909">
          <cell r="B2909" t="str">
            <v>CSIL0020</v>
          </cell>
          <cell r="X2909" t="str">
            <v>Empaquetado</v>
          </cell>
          <cell r="AC2909">
            <v>0.18266505681818179</v>
          </cell>
          <cell r="AD2909">
            <v>0.18266505681818179</v>
          </cell>
          <cell r="AE2909" t="str">
            <v>Con precio</v>
          </cell>
        </row>
        <row r="2910">
          <cell r="B2910" t="str">
            <v>CSIL0020</v>
          </cell>
          <cell r="X2910" t="str">
            <v>Empaquetado</v>
          </cell>
          <cell r="AC2910">
            <v>1.2352941176470591E-2</v>
          </cell>
          <cell r="AD2910">
            <v>1.2352941176470591E-2</v>
          </cell>
          <cell r="AE2910" t="str">
            <v>Con precio</v>
          </cell>
        </row>
        <row r="2911">
          <cell r="B2911" t="str">
            <v>CSIL1000PE</v>
          </cell>
          <cell r="X2911" t="str">
            <v>Formulación</v>
          </cell>
          <cell r="AC2911">
            <v>1.1475</v>
          </cell>
          <cell r="AD2911">
            <v>1.1475</v>
          </cell>
          <cell r="AE2911" t="str">
            <v>Con precio</v>
          </cell>
        </row>
        <row r="2912">
          <cell r="B2912" t="str">
            <v>CSIL1000PE</v>
          </cell>
          <cell r="X2912" t="str">
            <v>Empaquetado</v>
          </cell>
          <cell r="AC2912">
            <v>6.9846153846153836E-2</v>
          </cell>
          <cell r="AD2912">
            <v>6.9846153846153836E-2</v>
          </cell>
          <cell r="AE2912" t="str">
            <v>Con precio</v>
          </cell>
        </row>
        <row r="2913">
          <cell r="B2913" t="str">
            <v>CSIL1000PE</v>
          </cell>
          <cell r="X2913" t="str">
            <v>Empaquetado</v>
          </cell>
          <cell r="AC2913">
            <v>1.014399355877617E-4</v>
          </cell>
          <cell r="AD2913">
            <v>1.014399355877617E-4</v>
          </cell>
          <cell r="AE2913" t="str">
            <v>Con precio</v>
          </cell>
        </row>
        <row r="2914">
          <cell r="B2914" t="str">
            <v>CZNMNES0001AZ</v>
          </cell>
          <cell r="X2914" t="str">
            <v>Formulación</v>
          </cell>
          <cell r="AC2914">
            <v>1.0948000000000002</v>
          </cell>
          <cell r="AD2914">
            <v>1.0948000000000002</v>
          </cell>
          <cell r="AE2914" t="str">
            <v>Con precio</v>
          </cell>
        </row>
        <row r="2915">
          <cell r="B2915" t="str">
            <v>CZNMNES0001AZ</v>
          </cell>
          <cell r="X2915" t="str">
            <v>Formulación</v>
          </cell>
          <cell r="AC2915">
            <v>0.40095000000000003</v>
          </cell>
          <cell r="AD2915">
            <v>0.40095000000000003</v>
          </cell>
          <cell r="AE2915" t="str">
            <v>Con precio</v>
          </cell>
        </row>
        <row r="2916">
          <cell r="B2916" t="str">
            <v>CZNMNES0001AZ</v>
          </cell>
          <cell r="X2916" t="str">
            <v>Formulación</v>
          </cell>
          <cell r="AC2916">
            <v>7.6230000000000006E-2</v>
          </cell>
          <cell r="AD2916">
            <v>7.6230000000000006E-2</v>
          </cell>
          <cell r="AE2916" t="str">
            <v>Con precio</v>
          </cell>
        </row>
        <row r="2917">
          <cell r="B2917" t="str">
            <v>CZNMNES0001AZ</v>
          </cell>
          <cell r="X2917" t="str">
            <v>Empaquetado</v>
          </cell>
          <cell r="AC2917">
            <v>1.8939393939393939E-5</v>
          </cell>
          <cell r="AD2917">
            <v>1.8939393939393939E-5</v>
          </cell>
          <cell r="AE2917" t="str">
            <v>Con precio</v>
          </cell>
        </row>
        <row r="2918">
          <cell r="B2918" t="str">
            <v>CZNMNES0001AZ</v>
          </cell>
          <cell r="X2918" t="str">
            <v>Empaquetado</v>
          </cell>
          <cell r="AC2918">
            <v>1.4649621212121213E-2</v>
          </cell>
          <cell r="AD2918">
            <v>1.4649621212121213E-2</v>
          </cell>
          <cell r="AE2918" t="str">
            <v>Con precio</v>
          </cell>
        </row>
        <row r="2919">
          <cell r="B2919" t="str">
            <v>CZNMNES0001AZ</v>
          </cell>
          <cell r="X2919" t="str">
            <v>Empaquetado</v>
          </cell>
          <cell r="AC2919">
            <v>5.3938139059304703E-2</v>
          </cell>
          <cell r="AD2919">
            <v>5.3938139059304703E-2</v>
          </cell>
          <cell r="AE2919" t="str">
            <v>Con precio</v>
          </cell>
        </row>
        <row r="2920">
          <cell r="B2920" t="str">
            <v>CZNMNES0001AZ</v>
          </cell>
          <cell r="X2920" t="str">
            <v>Empaquetado</v>
          </cell>
          <cell r="AC2920">
            <v>5.5431216032608699E-3</v>
          </cell>
          <cell r="AD2920">
            <v>5.5431216032608699E-3</v>
          </cell>
          <cell r="AE2920" t="str">
            <v>Con precio</v>
          </cell>
        </row>
        <row r="2921">
          <cell r="B2921" t="str">
            <v>CZNMNES0001AZ</v>
          </cell>
          <cell r="X2921" t="str">
            <v>Empaquetado</v>
          </cell>
          <cell r="AC2921">
            <v>3.9889583333333332E-2</v>
          </cell>
          <cell r="AD2921">
            <v>3.9889583333333332E-2</v>
          </cell>
          <cell r="AE2921" t="str">
            <v>Con precio</v>
          </cell>
        </row>
        <row r="2922">
          <cell r="B2922" t="str">
            <v>CZNMNES0001AZ</v>
          </cell>
          <cell r="X2922" t="str">
            <v>Empaquetado</v>
          </cell>
          <cell r="AC2922">
            <v>6.3339962121212137E-2</v>
          </cell>
          <cell r="AD2922">
            <v>6.3339962121212137E-2</v>
          </cell>
          <cell r="AE2922" t="str">
            <v>Con precio</v>
          </cell>
        </row>
        <row r="2923">
          <cell r="B2923" t="str">
            <v>CZNMNES0001GE</v>
          </cell>
          <cell r="X2923" t="str">
            <v>Formulación</v>
          </cell>
          <cell r="AC2923">
            <v>1.0948000000000002</v>
          </cell>
          <cell r="AD2923">
            <v>1.0948000000000002</v>
          </cell>
          <cell r="AE2923" t="str">
            <v>Con precio</v>
          </cell>
        </row>
        <row r="2924">
          <cell r="B2924" t="str">
            <v>CZNMNES0001GE</v>
          </cell>
          <cell r="X2924" t="str">
            <v>Formulación</v>
          </cell>
          <cell r="AC2924">
            <v>0.40095000000000003</v>
          </cell>
          <cell r="AD2924">
            <v>0.40095000000000003</v>
          </cell>
          <cell r="AE2924" t="str">
            <v>Con precio</v>
          </cell>
        </row>
        <row r="2925">
          <cell r="B2925" t="str">
            <v>CZNMNES0001GE</v>
          </cell>
          <cell r="X2925" t="str">
            <v>Formulación</v>
          </cell>
          <cell r="AC2925">
            <v>7.6230000000000006E-2</v>
          </cell>
          <cell r="AD2925">
            <v>7.6230000000000006E-2</v>
          </cell>
          <cell r="AE2925" t="str">
            <v>Con precio</v>
          </cell>
        </row>
        <row r="2926">
          <cell r="B2926" t="str">
            <v>CZNMNES0001GE</v>
          </cell>
          <cell r="X2926" t="str">
            <v>Empaquetado</v>
          </cell>
          <cell r="AC2926">
            <v>1.8939393939393939E-5</v>
          </cell>
          <cell r="AD2926">
            <v>1.8939393939393939E-5</v>
          </cell>
          <cell r="AE2926" t="str">
            <v>Con precio</v>
          </cell>
        </row>
        <row r="2927">
          <cell r="B2927" t="str">
            <v>CZNMNES0001GE</v>
          </cell>
          <cell r="X2927" t="str">
            <v>Empaquetado</v>
          </cell>
          <cell r="AC2927">
            <v>1.4649621212121213E-2</v>
          </cell>
          <cell r="AD2927">
            <v>1.4649621212121213E-2</v>
          </cell>
          <cell r="AE2927" t="str">
            <v>Con precio</v>
          </cell>
        </row>
        <row r="2928">
          <cell r="B2928" t="str">
            <v>CZNMNES0001GE</v>
          </cell>
          <cell r="X2928" t="str">
            <v>Empaquetado</v>
          </cell>
          <cell r="AC2928">
            <v>5.3938139059304703E-2</v>
          </cell>
          <cell r="AD2928">
            <v>5.3938139059304703E-2</v>
          </cell>
          <cell r="AE2928" t="str">
            <v>Con precio</v>
          </cell>
        </row>
        <row r="2929">
          <cell r="B2929" t="str">
            <v>CZNMNES0001GE</v>
          </cell>
          <cell r="X2929" t="str">
            <v>Empaquetado</v>
          </cell>
          <cell r="AC2929">
            <v>5.5431216032608699E-3</v>
          </cell>
          <cell r="AD2929">
            <v>5.5431216032608699E-3</v>
          </cell>
          <cell r="AE2929" t="str">
            <v>Con precio</v>
          </cell>
        </row>
        <row r="2930">
          <cell r="B2930" t="str">
            <v>CZNMNES0001GE</v>
          </cell>
          <cell r="X2930" t="str">
            <v>Empaquetado</v>
          </cell>
          <cell r="AC2930">
            <v>3.9889583333333332E-2</v>
          </cell>
          <cell r="AD2930">
            <v>3.9889583333333332E-2</v>
          </cell>
          <cell r="AE2930" t="str">
            <v>Con precio</v>
          </cell>
        </row>
        <row r="2931">
          <cell r="B2931" t="str">
            <v>CZNMNES0001GE</v>
          </cell>
          <cell r="X2931" t="str">
            <v>Empaquetado</v>
          </cell>
          <cell r="AC2931">
            <v>6.3339962121212137E-2</v>
          </cell>
          <cell r="AD2931">
            <v>6.3339962121212137E-2</v>
          </cell>
          <cell r="AE2931" t="str">
            <v>Con precio</v>
          </cell>
        </row>
        <row r="2932">
          <cell r="B2932" t="str">
            <v>CZNMNES0005</v>
          </cell>
          <cell r="X2932" t="str">
            <v>Formulación</v>
          </cell>
          <cell r="AC2932">
            <v>1.0948000000000002</v>
          </cell>
          <cell r="AD2932">
            <v>1.0948000000000002</v>
          </cell>
          <cell r="AE2932" t="str">
            <v>Con precio</v>
          </cell>
        </row>
        <row r="2933">
          <cell r="B2933" t="str">
            <v>CZNMNES0005</v>
          </cell>
          <cell r="X2933" t="str">
            <v>Formulación</v>
          </cell>
          <cell r="AC2933">
            <v>0.40095000000000003</v>
          </cell>
          <cell r="AD2933">
            <v>0.40095000000000003</v>
          </cell>
          <cell r="AE2933" t="str">
            <v>Con precio</v>
          </cell>
        </row>
        <row r="2934">
          <cell r="B2934" t="str">
            <v>CZNMNES0005</v>
          </cell>
          <cell r="X2934" t="str">
            <v>Formulación</v>
          </cell>
          <cell r="AC2934">
            <v>7.6230000000000006E-2</v>
          </cell>
          <cell r="AD2934">
            <v>7.6230000000000006E-2</v>
          </cell>
          <cell r="AE2934" t="str">
            <v>Con precio</v>
          </cell>
        </row>
        <row r="2935">
          <cell r="B2935" t="str">
            <v>CZNMNES0005</v>
          </cell>
          <cell r="X2935" t="str">
            <v>Empaquetado</v>
          </cell>
          <cell r="AC2935">
            <v>1.0393066666666666E-2</v>
          </cell>
          <cell r="AD2935">
            <v>1.0393066666666666E-2</v>
          </cell>
          <cell r="AE2935" t="str">
            <v>Con precio</v>
          </cell>
        </row>
        <row r="2936">
          <cell r="B2936" t="str">
            <v>CZNMNES0005</v>
          </cell>
          <cell r="X2936" t="str">
            <v>Empaquetado</v>
          </cell>
          <cell r="AC2936">
            <v>2.0626666666666665E-2</v>
          </cell>
          <cell r="AD2936">
            <v>2.0626666666666665E-2</v>
          </cell>
          <cell r="AE2936" t="str">
            <v>Con precio</v>
          </cell>
        </row>
        <row r="2937">
          <cell r="B2937" t="str">
            <v>CZNMNES0005</v>
          </cell>
          <cell r="X2937" t="str">
            <v>Empaquetado</v>
          </cell>
          <cell r="AC2937">
            <v>2.1285586956521739E-2</v>
          </cell>
          <cell r="AD2937">
            <v>2.1285586956521739E-2</v>
          </cell>
          <cell r="AE2937" t="str">
            <v>Con precio</v>
          </cell>
        </row>
        <row r="2938">
          <cell r="B2938" t="str">
            <v>CZNMNES0005</v>
          </cell>
          <cell r="X2938" t="str">
            <v>Empaquetado</v>
          </cell>
          <cell r="AC2938">
            <v>2.9560014104372354E-2</v>
          </cell>
          <cell r="AD2938">
            <v>2.9560014104372354E-2</v>
          </cell>
          <cell r="AE2938" t="str">
            <v>Con precio</v>
          </cell>
        </row>
        <row r="2939">
          <cell r="B2939" t="str">
            <v>CZNMNES0005</v>
          </cell>
          <cell r="X2939" t="str">
            <v>Empaquetado</v>
          </cell>
          <cell r="AC2939">
            <v>2.1682000000000003E-2</v>
          </cell>
          <cell r="AD2939">
            <v>2.1682000000000003E-2</v>
          </cell>
          <cell r="AE2939" t="str">
            <v>Con precio</v>
          </cell>
        </row>
        <row r="2940">
          <cell r="B2940" t="str">
            <v>CZNMNES0005AZ</v>
          </cell>
          <cell r="X2940" t="str">
            <v>Formulación</v>
          </cell>
          <cell r="AC2940">
            <v>1.0948000000000002</v>
          </cell>
          <cell r="AD2940">
            <v>1.0948000000000002</v>
          </cell>
          <cell r="AE2940" t="str">
            <v>Con precio</v>
          </cell>
        </row>
        <row r="2941">
          <cell r="B2941" t="str">
            <v>CZNMNES0005AZ</v>
          </cell>
          <cell r="X2941" t="str">
            <v>Formulación</v>
          </cell>
          <cell r="AC2941">
            <v>0.40095000000000003</v>
          </cell>
          <cell r="AD2941">
            <v>0.40095000000000003</v>
          </cell>
          <cell r="AE2941" t="str">
            <v>Con precio</v>
          </cell>
        </row>
        <row r="2942">
          <cell r="B2942" t="str">
            <v>CZNMNES0005AZ</v>
          </cell>
          <cell r="X2942" t="str">
            <v>Formulación</v>
          </cell>
          <cell r="AC2942">
            <v>7.6230000000000006E-2</v>
          </cell>
          <cell r="AD2942">
            <v>7.6230000000000006E-2</v>
          </cell>
          <cell r="AE2942" t="str">
            <v>Con precio</v>
          </cell>
        </row>
        <row r="2943">
          <cell r="B2943" t="str">
            <v>CZNMNES0005AZ</v>
          </cell>
          <cell r="X2943" t="str">
            <v>Empaquetado</v>
          </cell>
          <cell r="AC2943">
            <v>1.0393066666666666E-2</v>
          </cell>
          <cell r="AD2943">
            <v>1.0393066666666666E-2</v>
          </cell>
          <cell r="AE2943" t="str">
            <v>Con precio</v>
          </cell>
        </row>
        <row r="2944">
          <cell r="B2944" t="str">
            <v>CZNMNES0005AZ</v>
          </cell>
          <cell r="X2944" t="str">
            <v>Empaquetado</v>
          </cell>
          <cell r="AC2944">
            <v>2.0626666666666665E-2</v>
          </cell>
          <cell r="AD2944">
            <v>2.0626666666666665E-2</v>
          </cell>
          <cell r="AE2944" t="str">
            <v>Con precio</v>
          </cell>
        </row>
        <row r="2945">
          <cell r="B2945" t="str">
            <v>CZNMNES0005AZ</v>
          </cell>
          <cell r="X2945" t="str">
            <v>Empaquetado</v>
          </cell>
          <cell r="AC2945">
            <v>2.1285586956521739E-2</v>
          </cell>
          <cell r="AD2945">
            <v>2.1285586956521739E-2</v>
          </cell>
          <cell r="AE2945" t="str">
            <v>Con precio</v>
          </cell>
        </row>
        <row r="2946">
          <cell r="B2946" t="str">
            <v>CZNMNES0005AZ</v>
          </cell>
          <cell r="X2946" t="str">
            <v>Empaquetado</v>
          </cell>
          <cell r="AC2946">
            <v>2.9560014104372354E-2</v>
          </cell>
          <cell r="AD2946">
            <v>2.9560014104372354E-2</v>
          </cell>
          <cell r="AE2946" t="str">
            <v>Con precio</v>
          </cell>
        </row>
        <row r="2947">
          <cell r="B2947" t="str">
            <v>CZNMNES0005AZ</v>
          </cell>
          <cell r="X2947" t="str">
            <v>Empaquetado</v>
          </cell>
          <cell r="AC2947">
            <v>2.1682000000000003E-2</v>
          </cell>
          <cell r="AD2947">
            <v>2.1682000000000003E-2</v>
          </cell>
          <cell r="AE2947" t="str">
            <v>Con precio</v>
          </cell>
        </row>
        <row r="2948">
          <cell r="B2948" t="str">
            <v>CZNMNES0005GE</v>
          </cell>
          <cell r="X2948" t="str">
            <v>Formulación</v>
          </cell>
          <cell r="AC2948">
            <v>1.0948000000000002</v>
          </cell>
          <cell r="AD2948">
            <v>1.0948000000000002</v>
          </cell>
          <cell r="AE2948" t="str">
            <v>Con precio</v>
          </cell>
        </row>
        <row r="2949">
          <cell r="B2949" t="str">
            <v>CZNMNES0005GE</v>
          </cell>
          <cell r="X2949" t="str">
            <v>Formulación</v>
          </cell>
          <cell r="AC2949">
            <v>0.40095000000000003</v>
          </cell>
          <cell r="AD2949">
            <v>0.40095000000000003</v>
          </cell>
          <cell r="AE2949" t="str">
            <v>Con precio</v>
          </cell>
        </row>
        <row r="2950">
          <cell r="B2950" t="str">
            <v>CZNMNES0005GE</v>
          </cell>
          <cell r="X2950" t="str">
            <v>Formulación</v>
          </cell>
          <cell r="AC2950">
            <v>7.6230000000000006E-2</v>
          </cell>
          <cell r="AD2950">
            <v>7.6230000000000006E-2</v>
          </cell>
          <cell r="AE2950" t="str">
            <v>Con precio</v>
          </cell>
        </row>
        <row r="2951">
          <cell r="B2951" t="str">
            <v>CZNMNES0005GE</v>
          </cell>
          <cell r="X2951" t="str">
            <v>Empaquetado</v>
          </cell>
          <cell r="AC2951">
            <v>1.0393066666666666E-2</v>
          </cell>
          <cell r="AD2951">
            <v>1.0393066666666666E-2</v>
          </cell>
          <cell r="AE2951" t="str">
            <v>Con precio</v>
          </cell>
        </row>
        <row r="2952">
          <cell r="B2952" t="str">
            <v>CZNMNES0005GE</v>
          </cell>
          <cell r="X2952" t="str">
            <v>Empaquetado</v>
          </cell>
          <cell r="AC2952">
            <v>2.0626666666666665E-2</v>
          </cell>
          <cell r="AD2952">
            <v>2.0626666666666665E-2</v>
          </cell>
          <cell r="AE2952" t="str">
            <v>Con precio</v>
          </cell>
        </row>
        <row r="2953">
          <cell r="B2953" t="str">
            <v>CZNMNES0005GE</v>
          </cell>
          <cell r="X2953" t="str">
            <v>Empaquetado</v>
          </cell>
          <cell r="AC2953">
            <v>2.1285586956521739E-2</v>
          </cell>
          <cell r="AD2953">
            <v>2.1285586956521739E-2</v>
          </cell>
          <cell r="AE2953" t="str">
            <v>Con precio</v>
          </cell>
        </row>
        <row r="2954">
          <cell r="B2954" t="str">
            <v>CZNMNES0005GE</v>
          </cell>
          <cell r="X2954" t="str">
            <v>Empaquetado</v>
          </cell>
          <cell r="AC2954">
            <v>2.9560014104372354E-2</v>
          </cell>
          <cell r="AD2954">
            <v>2.9560014104372354E-2</v>
          </cell>
          <cell r="AE2954" t="str">
            <v>Con precio</v>
          </cell>
        </row>
        <row r="2955">
          <cell r="B2955" t="str">
            <v>CZNMNES0005GE</v>
          </cell>
          <cell r="X2955" t="str">
            <v>Empaquetado</v>
          </cell>
          <cell r="AC2955">
            <v>2.1682000000000003E-2</v>
          </cell>
          <cell r="AD2955">
            <v>2.1682000000000003E-2</v>
          </cell>
          <cell r="AE2955" t="str">
            <v>Con precio</v>
          </cell>
        </row>
        <row r="2956">
          <cell r="B2956" t="str">
            <v>CZNMNES0005MA</v>
          </cell>
          <cell r="X2956" t="str">
            <v>Formulación</v>
          </cell>
          <cell r="AC2956">
            <v>1.0948000000000002</v>
          </cell>
          <cell r="AD2956">
            <v>1.0948000000000002</v>
          </cell>
          <cell r="AE2956" t="str">
            <v>Con precio</v>
          </cell>
        </row>
        <row r="2957">
          <cell r="B2957" t="str">
            <v>CZNMNES0005MA</v>
          </cell>
          <cell r="X2957" t="str">
            <v>Formulación</v>
          </cell>
          <cell r="AC2957">
            <v>0.40095000000000003</v>
          </cell>
          <cell r="AD2957">
            <v>0.40095000000000003</v>
          </cell>
          <cell r="AE2957" t="str">
            <v>Con precio</v>
          </cell>
        </row>
        <row r="2958">
          <cell r="B2958" t="str">
            <v>CZNMNES0005MA</v>
          </cell>
          <cell r="X2958" t="str">
            <v>Formulación</v>
          </cell>
          <cell r="AC2958">
            <v>7.6230000000000006E-2</v>
          </cell>
          <cell r="AD2958">
            <v>7.6230000000000006E-2</v>
          </cell>
          <cell r="AE2958" t="str">
            <v>Con precio</v>
          </cell>
        </row>
        <row r="2959">
          <cell r="B2959" t="str">
            <v>CZNMNES0005MA</v>
          </cell>
          <cell r="X2959" t="str">
            <v>Empaquetado</v>
          </cell>
          <cell r="AC2959">
            <v>1.0393066666666666E-2</v>
          </cell>
          <cell r="AD2959">
            <v>1.0393066666666666E-2</v>
          </cell>
          <cell r="AE2959" t="str">
            <v>Con precio</v>
          </cell>
        </row>
        <row r="2960">
          <cell r="B2960" t="str">
            <v>CZNMNES0005MA</v>
          </cell>
          <cell r="X2960" t="str">
            <v>Empaquetado</v>
          </cell>
          <cell r="AC2960">
            <v>2.0626666666666665E-2</v>
          </cell>
          <cell r="AD2960">
            <v>2.0626666666666665E-2</v>
          </cell>
          <cell r="AE2960" t="str">
            <v>Con precio</v>
          </cell>
        </row>
        <row r="2961">
          <cell r="B2961" t="str">
            <v>CZNMNES0005MA</v>
          </cell>
          <cell r="X2961" t="str">
            <v>Empaquetado</v>
          </cell>
          <cell r="AC2961">
            <v>2.1285586956521739E-2</v>
          </cell>
          <cell r="AD2961">
            <v>2.1285586956521739E-2</v>
          </cell>
          <cell r="AE2961" t="str">
            <v>Con precio</v>
          </cell>
        </row>
        <row r="2962">
          <cell r="B2962" t="str">
            <v>CZNMNES0005MA</v>
          </cell>
          <cell r="X2962" t="str">
            <v>Empaquetado</v>
          </cell>
          <cell r="AC2962">
            <v>2.9560014104372354E-2</v>
          </cell>
          <cell r="AD2962">
            <v>2.9560014104372354E-2</v>
          </cell>
          <cell r="AE2962" t="str">
            <v>Con precio</v>
          </cell>
        </row>
        <row r="2963">
          <cell r="B2963" t="str">
            <v>CZNMNES0005MA</v>
          </cell>
          <cell r="X2963" t="str">
            <v>Empaquetado</v>
          </cell>
          <cell r="AC2963">
            <v>2.1682000000000003E-2</v>
          </cell>
          <cell r="AD2963">
            <v>2.1682000000000003E-2</v>
          </cell>
          <cell r="AE2963" t="str">
            <v>Con precio</v>
          </cell>
        </row>
        <row r="2964">
          <cell r="B2964" t="str">
            <v>CZNMNES1000TR</v>
          </cell>
          <cell r="X2964" t="str">
            <v>Formulación</v>
          </cell>
          <cell r="AC2964">
            <v>1.0948000000000002</v>
          </cell>
          <cell r="AD2964">
            <v>1.0948000000000002</v>
          </cell>
          <cell r="AE2964" t="str">
            <v>Con precio</v>
          </cell>
        </row>
        <row r="2965">
          <cell r="B2965" t="str">
            <v>CZNMNES1000TR</v>
          </cell>
          <cell r="X2965" t="str">
            <v>Formulación</v>
          </cell>
          <cell r="AC2965">
            <v>0.40095000000000003</v>
          </cell>
          <cell r="AD2965">
            <v>0.40095000000000003</v>
          </cell>
          <cell r="AE2965" t="str">
            <v>Con precio</v>
          </cell>
        </row>
        <row r="2966">
          <cell r="B2966" t="str">
            <v>CZNMNES1000TR</v>
          </cell>
          <cell r="X2966" t="str">
            <v>Formulación</v>
          </cell>
          <cell r="AC2966">
            <v>7.6230000000000006E-2</v>
          </cell>
          <cell r="AD2966">
            <v>7.6230000000000006E-2</v>
          </cell>
          <cell r="AE2966" t="str">
            <v>Con precio</v>
          </cell>
        </row>
        <row r="2967">
          <cell r="B2967" t="str">
            <v>DECA0005CR</v>
          </cell>
          <cell r="X2967" t="str">
            <v>Formulación</v>
          </cell>
          <cell r="AC2967">
            <v>8.7702550688976387E-3</v>
          </cell>
          <cell r="AD2967">
            <v>8.7702550688976387E-3</v>
          </cell>
          <cell r="AE2967" t="str">
            <v>Con precio</v>
          </cell>
        </row>
        <row r="2968">
          <cell r="B2968" t="str">
            <v>DECA0005CR</v>
          </cell>
          <cell r="X2968" t="str">
            <v>Formulación</v>
          </cell>
          <cell r="AC2968">
            <v>0</v>
          </cell>
          <cell r="AD2968">
            <v>0</v>
          </cell>
          <cell r="AE2968" t="str">
            <v>Con precio</v>
          </cell>
        </row>
        <row r="2969">
          <cell r="B2969" t="str">
            <v>DECA0005CR</v>
          </cell>
          <cell r="X2969" t="str">
            <v>Formulación</v>
          </cell>
          <cell r="AC2969">
            <v>9.1961668811515726E-2</v>
          </cell>
          <cell r="AD2969">
            <v>9.1961668811515726E-2</v>
          </cell>
          <cell r="AE2969" t="str">
            <v>Con precio</v>
          </cell>
        </row>
        <row r="2970">
          <cell r="B2970" t="str">
            <v>DECA0005CR</v>
          </cell>
          <cell r="X2970" t="str">
            <v>Formulación</v>
          </cell>
          <cell r="AC2970">
            <v>1.1844884719488189E-2</v>
          </cell>
          <cell r="AD2970">
            <v>1.1844884719488189E-2</v>
          </cell>
          <cell r="AE2970" t="str">
            <v>Con precio</v>
          </cell>
        </row>
        <row r="2971">
          <cell r="B2971" t="str">
            <v>DECA0005CR</v>
          </cell>
          <cell r="X2971" t="str">
            <v>Formulación</v>
          </cell>
          <cell r="AC2971">
            <v>1.4701098056102361E-3</v>
          </cell>
          <cell r="AD2971">
            <v>1.4701098056102361E-3</v>
          </cell>
          <cell r="AE2971" t="str">
            <v>Con precio</v>
          </cell>
        </row>
        <row r="2972">
          <cell r="B2972" t="str">
            <v>DECA0005CR</v>
          </cell>
          <cell r="X2972" t="str">
            <v>Formulación</v>
          </cell>
          <cell r="AC2972">
            <v>4.1656003937007885E-2</v>
          </cell>
          <cell r="AD2972">
            <v>4.1656003937007885E-2</v>
          </cell>
          <cell r="AE2972" t="str">
            <v>Con precio</v>
          </cell>
        </row>
        <row r="2973">
          <cell r="B2973" t="str">
            <v>DECA0005CR</v>
          </cell>
          <cell r="X2973" t="str">
            <v>Formulación</v>
          </cell>
          <cell r="AC2973">
            <v>0.1298</v>
          </cell>
          <cell r="AD2973">
            <v>0.1298</v>
          </cell>
          <cell r="AE2973" t="str">
            <v>Con precio</v>
          </cell>
        </row>
        <row r="2974">
          <cell r="B2974" t="str">
            <v>DECA0005CR</v>
          </cell>
          <cell r="X2974" t="str">
            <v>Formulación</v>
          </cell>
          <cell r="AC2974">
            <v>4.2240000000000003E-3</v>
          </cell>
          <cell r="AD2974">
            <v>4.2240000000000003E-3</v>
          </cell>
          <cell r="AE2974" t="str">
            <v>Con precio</v>
          </cell>
        </row>
        <row r="2975">
          <cell r="B2975" t="str">
            <v>DECA0005CR</v>
          </cell>
          <cell r="X2975" t="str">
            <v>Formulación</v>
          </cell>
          <cell r="AC2975">
            <v>6.574E-3</v>
          </cell>
          <cell r="AD2975">
            <v>5.5290000000000001E-3</v>
          </cell>
          <cell r="AE2975" t="str">
            <v>Con precio</v>
          </cell>
        </row>
        <row r="2976">
          <cell r="B2976" t="str">
            <v>DECA0005CR</v>
          </cell>
          <cell r="X2976" t="str">
            <v>Empaquetado</v>
          </cell>
          <cell r="AC2976">
            <v>7.376999999999999E-3</v>
          </cell>
          <cell r="AD2976">
            <v>7.376999999999999E-3</v>
          </cell>
          <cell r="AE2976" t="str">
            <v>Con precio</v>
          </cell>
        </row>
        <row r="2977">
          <cell r="B2977" t="str">
            <v>DECA0005CR</v>
          </cell>
          <cell r="X2977" t="str">
            <v>Empaquetado</v>
          </cell>
          <cell r="AC2977">
            <v>1.4063636363636365E-2</v>
          </cell>
          <cell r="AD2977">
            <v>1.4063636363636365E-2</v>
          </cell>
          <cell r="AE2977" t="str">
            <v>Con precio</v>
          </cell>
        </row>
        <row r="2978">
          <cell r="B2978" t="str">
            <v>DECA0005CR</v>
          </cell>
          <cell r="X2978" t="str">
            <v>Empaquetado</v>
          </cell>
          <cell r="AC2978">
            <v>1.7737989130434784E-2</v>
          </cell>
          <cell r="AD2978">
            <v>1.7737989130434784E-2</v>
          </cell>
          <cell r="AE2978" t="str">
            <v>Con precio</v>
          </cell>
        </row>
        <row r="2979">
          <cell r="B2979" t="str">
            <v>DECA0005CR</v>
          </cell>
          <cell r="X2979" t="str">
            <v>Empaquetado</v>
          </cell>
          <cell r="AC2979">
            <v>4.4344972826086959E-3</v>
          </cell>
          <cell r="AD2979">
            <v>4.4344972826086959E-3</v>
          </cell>
          <cell r="AE2979" t="str">
            <v>Con precio</v>
          </cell>
        </row>
        <row r="2980">
          <cell r="B2980" t="str">
            <v>DECA0005CR</v>
          </cell>
          <cell r="X2980" t="str">
            <v>Empaquetado</v>
          </cell>
          <cell r="AC2980">
            <v>3.1449999999999999E-2</v>
          </cell>
          <cell r="AD2980">
            <v>3.1449999999999999E-2</v>
          </cell>
          <cell r="AE2980" t="str">
            <v>Con precio</v>
          </cell>
        </row>
        <row r="2981">
          <cell r="B2981" t="str">
            <v>DECA0005CR</v>
          </cell>
          <cell r="X2981" t="str">
            <v>Empaquetado</v>
          </cell>
          <cell r="AC2981">
            <v>0.12</v>
          </cell>
          <cell r="AD2981">
            <v>0.12</v>
          </cell>
          <cell r="AE2981" t="str">
            <v>Con precio</v>
          </cell>
        </row>
        <row r="2982">
          <cell r="B2982" t="str">
            <v>F-A0001CO</v>
          </cell>
          <cell r="X2982" t="str">
            <v>Formulación</v>
          </cell>
          <cell r="AC2982">
            <v>0</v>
          </cell>
          <cell r="AD2982">
            <v>0</v>
          </cell>
          <cell r="AE2982" t="str">
            <v>Con precio</v>
          </cell>
        </row>
        <row r="2983">
          <cell r="B2983" t="str">
            <v>F-A0001CO</v>
          </cell>
          <cell r="X2983" t="str">
            <v>Formulación</v>
          </cell>
          <cell r="AC2983">
            <v>2.80423</v>
          </cell>
          <cell r="AD2983">
            <v>1.4074060000000002</v>
          </cell>
          <cell r="AE2983" t="str">
            <v>Con precio</v>
          </cell>
        </row>
        <row r="2984">
          <cell r="B2984" t="str">
            <v>F-A0001CO</v>
          </cell>
          <cell r="X2984" t="str">
            <v>Formulación</v>
          </cell>
          <cell r="AC2984">
            <v>0.40583999999999992</v>
          </cell>
          <cell r="AD2984">
            <v>0.37308799999999998</v>
          </cell>
          <cell r="AE2984" t="str">
            <v>Con precio</v>
          </cell>
        </row>
        <row r="2985">
          <cell r="B2985" t="str">
            <v>F-A0001CO</v>
          </cell>
          <cell r="X2985" t="str">
            <v>Empaquetado</v>
          </cell>
          <cell r="AC2985">
            <v>3.0303030303030299E-5</v>
          </cell>
          <cell r="AD2985">
            <v>3.0303030303030299E-5</v>
          </cell>
          <cell r="AE2985" t="str">
            <v>Con precio</v>
          </cell>
        </row>
        <row r="2986">
          <cell r="B2986" t="str">
            <v>F-A0001CO</v>
          </cell>
          <cell r="X2986" t="str">
            <v>Empaquetado</v>
          </cell>
          <cell r="AC2986">
            <v>2.3439393939393937E-2</v>
          </cell>
          <cell r="AD2986">
            <v>2.3439393939393937E-2</v>
          </cell>
          <cell r="AE2986" t="str">
            <v>Con precio</v>
          </cell>
        </row>
        <row r="2987">
          <cell r="B2987" t="str">
            <v>F-A0001CO</v>
          </cell>
          <cell r="X2987" t="str">
            <v>Empaquetado</v>
          </cell>
          <cell r="AC2987">
            <v>7.1917518745739595E-2</v>
          </cell>
          <cell r="AD2987">
            <v>7.1917518745739595E-2</v>
          </cell>
          <cell r="AE2987" t="str">
            <v>Con precio</v>
          </cell>
        </row>
        <row r="2988">
          <cell r="B2988" t="str">
            <v>F-A0001CO</v>
          </cell>
          <cell r="X2988" t="str">
            <v>Empaquetado</v>
          </cell>
          <cell r="AC2988">
            <v>0.44322992424242419</v>
          </cell>
          <cell r="AD2988">
            <v>0.44322992424242419</v>
          </cell>
          <cell r="AE2988" t="str">
            <v>Con precio</v>
          </cell>
        </row>
        <row r="2989">
          <cell r="B2989" t="str">
            <v>F-A0001CO</v>
          </cell>
          <cell r="X2989" t="str">
            <v>Empaquetado</v>
          </cell>
          <cell r="AC2989">
            <v>0.11874999999999999</v>
          </cell>
          <cell r="AD2989">
            <v>0.11874999999999999</v>
          </cell>
          <cell r="AE2989" t="str">
            <v>Con precio</v>
          </cell>
        </row>
        <row r="2990">
          <cell r="B2990" t="str">
            <v>F-A0001CO</v>
          </cell>
          <cell r="X2990" t="str">
            <v>Empaquetado</v>
          </cell>
          <cell r="AC2990">
            <v>9.6080774456521717E-2</v>
          </cell>
          <cell r="AD2990">
            <v>9.6080774456521717E-2</v>
          </cell>
          <cell r="AE2990" t="str">
            <v>Con precio</v>
          </cell>
        </row>
        <row r="2991">
          <cell r="B2991" t="str">
            <v>F-A0001DO</v>
          </cell>
          <cell r="X2991" t="str">
            <v>Formulación</v>
          </cell>
          <cell r="AC2991">
            <v>0</v>
          </cell>
          <cell r="AD2991">
            <v>0</v>
          </cell>
          <cell r="AE2991" t="str">
            <v>Con precio</v>
          </cell>
        </row>
        <row r="2992">
          <cell r="B2992" t="str">
            <v>F-A0001DO</v>
          </cell>
          <cell r="X2992" t="str">
            <v>Formulación</v>
          </cell>
          <cell r="AC2992">
            <v>2.80423</v>
          </cell>
          <cell r="AD2992">
            <v>1.4074060000000002</v>
          </cell>
          <cell r="AE2992" t="str">
            <v>Con precio</v>
          </cell>
        </row>
        <row r="2993">
          <cell r="B2993" t="str">
            <v>F-A0001DO</v>
          </cell>
          <cell r="X2993" t="str">
            <v>Formulación</v>
          </cell>
          <cell r="AC2993">
            <v>0.40583999999999992</v>
          </cell>
          <cell r="AD2993">
            <v>0.37308799999999998</v>
          </cell>
          <cell r="AE2993" t="str">
            <v>Con precio</v>
          </cell>
        </row>
        <row r="2994">
          <cell r="B2994" t="str">
            <v>F-A0001DO</v>
          </cell>
          <cell r="X2994" t="str">
            <v>Empaquetado</v>
          </cell>
          <cell r="AC2994">
            <v>3.0303030303030299E-5</v>
          </cell>
          <cell r="AD2994">
            <v>3.0303030303030299E-5</v>
          </cell>
          <cell r="AE2994" t="str">
            <v>Con precio</v>
          </cell>
        </row>
        <row r="2995">
          <cell r="B2995" t="str">
            <v>F-A0001DO</v>
          </cell>
          <cell r="X2995" t="str">
            <v>Empaquetado</v>
          </cell>
          <cell r="AC2995">
            <v>2.3439393939393937E-2</v>
          </cell>
          <cell r="AD2995">
            <v>2.3439393939393937E-2</v>
          </cell>
          <cell r="AE2995" t="str">
            <v>Con precio</v>
          </cell>
        </row>
        <row r="2996">
          <cell r="B2996" t="str">
            <v>F-A0001DO</v>
          </cell>
          <cell r="X2996" t="str">
            <v>Empaquetado</v>
          </cell>
          <cell r="AC2996">
            <v>7.1917518745739595E-2</v>
          </cell>
          <cell r="AD2996">
            <v>7.1917518745739595E-2</v>
          </cell>
          <cell r="AE2996" t="str">
            <v>Con precio</v>
          </cell>
        </row>
        <row r="2997">
          <cell r="B2997" t="str">
            <v>F-A0001DO</v>
          </cell>
          <cell r="X2997" t="str">
            <v>Empaquetado</v>
          </cell>
          <cell r="AC2997">
            <v>0.44322992424242419</v>
          </cell>
          <cell r="AD2997">
            <v>0.44322992424242419</v>
          </cell>
          <cell r="AE2997" t="str">
            <v>Con precio</v>
          </cell>
        </row>
        <row r="2998">
          <cell r="B2998" t="str">
            <v>F-A0001DO</v>
          </cell>
          <cell r="X2998" t="str">
            <v>Empaquetado</v>
          </cell>
          <cell r="AC2998">
            <v>0.11874999999999999</v>
          </cell>
          <cell r="AD2998">
            <v>0.11874999999999999</v>
          </cell>
          <cell r="AE2998" t="str">
            <v>Con precio</v>
          </cell>
        </row>
        <row r="2999">
          <cell r="B2999" t="str">
            <v>F-A0001DO</v>
          </cell>
          <cell r="X2999" t="str">
            <v>Empaquetado</v>
          </cell>
          <cell r="AC2999">
            <v>9.6080774456521717E-2</v>
          </cell>
          <cell r="AD2999">
            <v>9.6080774456521717E-2</v>
          </cell>
          <cell r="AE2999" t="str">
            <v>Con precio</v>
          </cell>
        </row>
        <row r="3000">
          <cell r="B3000" t="str">
            <v>F-A0005CO</v>
          </cell>
          <cell r="X3000" t="str">
            <v>Formulación</v>
          </cell>
          <cell r="AC3000">
            <v>0</v>
          </cell>
          <cell r="AD3000">
            <v>0</v>
          </cell>
          <cell r="AE3000" t="str">
            <v>Con precio</v>
          </cell>
        </row>
        <row r="3001">
          <cell r="B3001" t="str">
            <v>F-A0005CO</v>
          </cell>
          <cell r="X3001" t="str">
            <v>Formulación</v>
          </cell>
          <cell r="AC3001">
            <v>2.80423</v>
          </cell>
          <cell r="AD3001">
            <v>1.4074060000000002</v>
          </cell>
          <cell r="AE3001" t="str">
            <v>Con precio</v>
          </cell>
        </row>
        <row r="3002">
          <cell r="B3002" t="str">
            <v>F-A0005CO</v>
          </cell>
          <cell r="X3002" t="str">
            <v>Formulación</v>
          </cell>
          <cell r="AC3002">
            <v>0.40583999999999992</v>
          </cell>
          <cell r="AD3002">
            <v>0.37308799999999998</v>
          </cell>
          <cell r="AE3002" t="str">
            <v>Con precio</v>
          </cell>
        </row>
        <row r="3003">
          <cell r="B3003" t="str">
            <v>F-A0005CO</v>
          </cell>
          <cell r="X3003" t="str">
            <v>Empaquetado</v>
          </cell>
          <cell r="AC3003">
            <v>9.7435000000000004E-3</v>
          </cell>
          <cell r="AD3003">
            <v>9.7435000000000004E-3</v>
          </cell>
          <cell r="AE3003" t="str">
            <v>Con precio</v>
          </cell>
        </row>
        <row r="3004">
          <cell r="B3004" t="str">
            <v>F-A0005CO</v>
          </cell>
          <cell r="X3004" t="str">
            <v>Empaquetado</v>
          </cell>
          <cell r="AC3004">
            <v>1.9337500000000001E-2</v>
          </cell>
          <cell r="AD3004">
            <v>1.9337500000000001E-2</v>
          </cell>
          <cell r="AE3004" t="str">
            <v>Con precio</v>
          </cell>
        </row>
        <row r="3005">
          <cell r="B3005" t="str">
            <v>F-A0005CO</v>
          </cell>
          <cell r="X3005" t="str">
            <v>Empaquetado</v>
          </cell>
          <cell r="AC3005">
            <v>2.5359983896940424E-2</v>
          </cell>
          <cell r="AD3005">
            <v>2.5359983896940424E-2</v>
          </cell>
          <cell r="AE3005" t="str">
            <v>Con precio</v>
          </cell>
        </row>
        <row r="3006">
          <cell r="B3006" t="str">
            <v>F-A0005CO</v>
          </cell>
          <cell r="X3006" t="str">
            <v>Empaquetado</v>
          </cell>
          <cell r="AC3006">
            <v>0.17399999999999999</v>
          </cell>
          <cell r="AD3006">
            <v>0.17399999999999999</v>
          </cell>
          <cell r="AE3006" t="str">
            <v>Con precio</v>
          </cell>
        </row>
        <row r="3007">
          <cell r="B3007" t="str">
            <v>F-A0005CO</v>
          </cell>
          <cell r="X3007" t="str">
            <v>Empaquetado</v>
          </cell>
          <cell r="AC3007">
            <v>3.6950017630465445E-2</v>
          </cell>
          <cell r="AD3007">
            <v>3.6950017630465445E-2</v>
          </cell>
          <cell r="AE3007" t="str">
            <v>Con precio</v>
          </cell>
        </row>
        <row r="3008">
          <cell r="B3008" t="str">
            <v>F-A0005CO</v>
          </cell>
          <cell r="X3008" t="str">
            <v>Empaquetado</v>
          </cell>
          <cell r="AC3008">
            <v>3.4200000000000001E-2</v>
          </cell>
          <cell r="AD3008">
            <v>3.4200000000000001E-2</v>
          </cell>
          <cell r="AE3008" t="str">
            <v>Con precio</v>
          </cell>
        </row>
        <row r="3009">
          <cell r="B3009" t="str">
            <v>F-A0005DO</v>
          </cell>
          <cell r="X3009" t="str">
            <v>Formulación</v>
          </cell>
          <cell r="AC3009">
            <v>0</v>
          </cell>
          <cell r="AD3009">
            <v>0</v>
          </cell>
          <cell r="AE3009" t="str">
            <v>Con precio</v>
          </cell>
        </row>
        <row r="3010">
          <cell r="B3010" t="str">
            <v>F-A0005DO</v>
          </cell>
          <cell r="X3010" t="str">
            <v>Formulación</v>
          </cell>
          <cell r="AC3010">
            <v>2.80423</v>
          </cell>
          <cell r="AD3010">
            <v>1.4074060000000002</v>
          </cell>
          <cell r="AE3010" t="str">
            <v>Con precio</v>
          </cell>
        </row>
        <row r="3011">
          <cell r="B3011" t="str">
            <v>F-A0005DO</v>
          </cell>
          <cell r="X3011" t="str">
            <v>Formulación</v>
          </cell>
          <cell r="AC3011">
            <v>0.40583999999999992</v>
          </cell>
          <cell r="AD3011">
            <v>0.37308799999999998</v>
          </cell>
          <cell r="AE3011" t="str">
            <v>Con precio</v>
          </cell>
        </row>
        <row r="3012">
          <cell r="B3012" t="str">
            <v>F-A0005DO</v>
          </cell>
          <cell r="X3012" t="str">
            <v>Empaquetado</v>
          </cell>
          <cell r="AC3012">
            <v>9.7435000000000004E-3</v>
          </cell>
          <cell r="AD3012">
            <v>9.7435000000000004E-3</v>
          </cell>
          <cell r="AE3012" t="str">
            <v>Con precio</v>
          </cell>
        </row>
        <row r="3013">
          <cell r="B3013" t="str">
            <v>F-A0005DO</v>
          </cell>
          <cell r="X3013" t="str">
            <v>Empaquetado</v>
          </cell>
          <cell r="AC3013">
            <v>1.9337500000000001E-2</v>
          </cell>
          <cell r="AD3013">
            <v>1.9337500000000001E-2</v>
          </cell>
          <cell r="AE3013" t="str">
            <v>Con precio</v>
          </cell>
        </row>
        <row r="3014">
          <cell r="B3014" t="str">
            <v>F-A0005DO</v>
          </cell>
          <cell r="X3014" t="str">
            <v>Empaquetado</v>
          </cell>
          <cell r="AC3014">
            <v>2.5359983896940424E-2</v>
          </cell>
          <cell r="AD3014">
            <v>2.5359983896940424E-2</v>
          </cell>
          <cell r="AE3014" t="str">
            <v>Con precio</v>
          </cell>
        </row>
        <row r="3015">
          <cell r="B3015" t="str">
            <v>F-A0005DO</v>
          </cell>
          <cell r="X3015" t="str">
            <v>Empaquetado</v>
          </cell>
          <cell r="AC3015">
            <v>0.17399999999999999</v>
          </cell>
          <cell r="AD3015">
            <v>0.17399999999999999</v>
          </cell>
          <cell r="AE3015" t="str">
            <v>Con precio</v>
          </cell>
        </row>
        <row r="3016">
          <cell r="B3016" t="str">
            <v>F-A0005DO</v>
          </cell>
          <cell r="X3016" t="str">
            <v>Empaquetado</v>
          </cell>
          <cell r="AC3016">
            <v>3.6950017630465445E-2</v>
          </cell>
          <cell r="AD3016">
            <v>3.6950017630465445E-2</v>
          </cell>
          <cell r="AE3016" t="str">
            <v>Con precio</v>
          </cell>
        </row>
        <row r="3017">
          <cell r="B3017" t="str">
            <v>F-A0005DO</v>
          </cell>
          <cell r="X3017" t="str">
            <v>Empaquetado</v>
          </cell>
          <cell r="AC3017">
            <v>3.4200000000000001E-2</v>
          </cell>
          <cell r="AD3017">
            <v>3.4200000000000001E-2</v>
          </cell>
          <cell r="AE3017" t="str">
            <v>Con precio</v>
          </cell>
        </row>
        <row r="3018">
          <cell r="B3018" t="str">
            <v>F-A1000CR</v>
          </cell>
          <cell r="X3018" t="str">
            <v>Formulación</v>
          </cell>
          <cell r="AC3018">
            <v>0</v>
          </cell>
          <cell r="AD3018">
            <v>0</v>
          </cell>
          <cell r="AE3018" t="str">
            <v>Con precio</v>
          </cell>
        </row>
        <row r="3019">
          <cell r="B3019" t="str">
            <v>F-A1000CR</v>
          </cell>
          <cell r="X3019" t="str">
            <v>Formulación</v>
          </cell>
          <cell r="AC3019">
            <v>2.80423</v>
          </cell>
          <cell r="AD3019">
            <v>1.4074060000000002</v>
          </cell>
          <cell r="AE3019" t="str">
            <v>Con precio</v>
          </cell>
        </row>
        <row r="3020">
          <cell r="B3020" t="str">
            <v>F-A1000CR</v>
          </cell>
          <cell r="X3020" t="str">
            <v>Formulación</v>
          </cell>
          <cell r="AC3020">
            <v>0.40583999999999992</v>
          </cell>
          <cell r="AD3020">
            <v>0.37308799999999998</v>
          </cell>
          <cell r="AE3020" t="str">
            <v>Con precio</v>
          </cell>
        </row>
        <row r="3021">
          <cell r="B3021" t="str">
            <v>F-A1000CR</v>
          </cell>
          <cell r="X3021" t="str">
            <v>Empaquetado</v>
          </cell>
          <cell r="AC3021">
            <v>6.9846153846153836E-2</v>
          </cell>
          <cell r="AD3021">
            <v>6.9846153846153836E-2</v>
          </cell>
          <cell r="AE3021" t="str">
            <v>Con precio</v>
          </cell>
        </row>
        <row r="3022">
          <cell r="B3022" t="str">
            <v>F-A1000CR</v>
          </cell>
          <cell r="X3022" t="str">
            <v>Empaquetado</v>
          </cell>
          <cell r="AC3022">
            <v>1.014399355877617E-4</v>
          </cell>
          <cell r="AD3022">
            <v>1.014399355877617E-4</v>
          </cell>
          <cell r="AE3022" t="str">
            <v>Con precio</v>
          </cell>
        </row>
        <row r="3023">
          <cell r="B3023" t="str">
            <v>F-MIX0005MA</v>
          </cell>
          <cell r="X3023" t="str">
            <v>Formulación</v>
          </cell>
          <cell r="AC3023">
            <v>1.9623800000000001E-3</v>
          </cell>
          <cell r="AD3023">
            <v>1.7801590000000001E-3</v>
          </cell>
          <cell r="AE3023" t="str">
            <v>Con precio</v>
          </cell>
        </row>
        <row r="3024">
          <cell r="B3024" t="str">
            <v>F-MIX0005MA</v>
          </cell>
          <cell r="X3024" t="str">
            <v>Formulación</v>
          </cell>
          <cell r="AC3024">
            <v>0</v>
          </cell>
          <cell r="AD3024">
            <v>0</v>
          </cell>
          <cell r="AE3024" t="str">
            <v>Con precio</v>
          </cell>
        </row>
        <row r="3025">
          <cell r="B3025" t="str">
            <v>F-MIX0005MA</v>
          </cell>
          <cell r="X3025" t="str">
            <v>Formulación</v>
          </cell>
          <cell r="AC3025">
            <v>2.4621139400000001</v>
          </cell>
          <cell r="AD3025">
            <v>1.2357024680000002</v>
          </cell>
          <cell r="AE3025" t="str">
            <v>Con precio</v>
          </cell>
        </row>
        <row r="3026">
          <cell r="B3026" t="str">
            <v>F-MIX0005MA</v>
          </cell>
          <cell r="X3026" t="str">
            <v>Formulación</v>
          </cell>
          <cell r="AC3026">
            <v>0.35632752000000001</v>
          </cell>
          <cell r="AD3026">
            <v>0.32757126400000003</v>
          </cell>
          <cell r="AE3026" t="str">
            <v>Con precio</v>
          </cell>
        </row>
        <row r="3027">
          <cell r="B3027" t="str">
            <v>F-MIX0005MA</v>
          </cell>
          <cell r="X3027" t="str">
            <v>Formulación</v>
          </cell>
          <cell r="AC3027">
            <v>5.1615000000000001E-2</v>
          </cell>
          <cell r="AD3027">
            <v>5.1615000000000001E-2</v>
          </cell>
          <cell r="AE3027" t="str">
            <v>Con precio</v>
          </cell>
        </row>
        <row r="3028">
          <cell r="B3028" t="str">
            <v>F-MIX0005MA</v>
          </cell>
          <cell r="X3028" t="str">
            <v>Formulación</v>
          </cell>
          <cell r="AC3028">
            <v>1.2344000000000001E-3</v>
          </cell>
          <cell r="AD3028">
            <v>8.5737142857142878E-4</v>
          </cell>
          <cell r="AE3028" t="str">
            <v>Con precio</v>
          </cell>
        </row>
        <row r="3029">
          <cell r="B3029" t="str">
            <v>F-MIX0005MA</v>
          </cell>
          <cell r="X3029" t="str">
            <v>Formulación</v>
          </cell>
          <cell r="AC3029">
            <v>1.7250000000000001E-2</v>
          </cell>
          <cell r="AD3029">
            <v>1.3483750000000001E-2</v>
          </cell>
          <cell r="AE3029" t="str">
            <v>Con precio</v>
          </cell>
        </row>
        <row r="3030">
          <cell r="B3030" t="str">
            <v>F-MIX0005MA</v>
          </cell>
          <cell r="X3030" t="str">
            <v>Formulación</v>
          </cell>
          <cell r="AC3030">
            <v>1.242E-2</v>
          </cell>
          <cell r="AD3030">
            <v>1.2167000000000001E-2</v>
          </cell>
          <cell r="AE3030" t="str">
            <v>Con precio</v>
          </cell>
        </row>
        <row r="3031">
          <cell r="B3031" t="str">
            <v>F-MIX0005MA</v>
          </cell>
          <cell r="X3031" t="str">
            <v>Formulación</v>
          </cell>
          <cell r="AC3031">
            <v>5.7850000000000002E-3</v>
          </cell>
          <cell r="AD3031">
            <v>5.7850000000000002E-3</v>
          </cell>
          <cell r="AE3031" t="str">
            <v>Con precio</v>
          </cell>
        </row>
        <row r="3032">
          <cell r="B3032" t="str">
            <v>F-MIX0005MA</v>
          </cell>
          <cell r="X3032" t="str">
            <v>Formulación</v>
          </cell>
          <cell r="AC3032">
            <v>7.9299999999999995E-3</v>
          </cell>
          <cell r="AD3032">
            <v>6.586666666666666E-3</v>
          </cell>
          <cell r="AE3032" t="str">
            <v>Con precio</v>
          </cell>
        </row>
        <row r="3033">
          <cell r="B3033" t="str">
            <v>F-MIX0005MA</v>
          </cell>
          <cell r="X3033" t="str">
            <v>Empaquetado</v>
          </cell>
          <cell r="AC3033">
            <v>1.5470000000000001E-2</v>
          </cell>
          <cell r="AD3033">
            <v>1.5470000000000001E-2</v>
          </cell>
          <cell r="AE3033" t="str">
            <v>Con precio</v>
          </cell>
        </row>
        <row r="3034">
          <cell r="B3034" t="str">
            <v>F-MIX0005MA</v>
          </cell>
          <cell r="X3034" t="str">
            <v>Empaquetado</v>
          </cell>
          <cell r="AC3034">
            <v>7.7948000000000002E-3</v>
          </cell>
          <cell r="AD3034">
            <v>7.7948000000000002E-3</v>
          </cell>
          <cell r="AE3034" t="str">
            <v>Con precio</v>
          </cell>
        </row>
        <row r="3035">
          <cell r="B3035" t="str">
            <v>F-MIX0005MA</v>
          </cell>
          <cell r="X3035" t="str">
            <v>Empaquetado</v>
          </cell>
          <cell r="AC3035">
            <v>2.5359983896940424E-2</v>
          </cell>
          <cell r="AD3035">
            <v>2.5359983896940424E-2</v>
          </cell>
          <cell r="AE3035" t="str">
            <v>Con precio</v>
          </cell>
        </row>
        <row r="3036">
          <cell r="B3036" t="str">
            <v>F-MIX0005MA</v>
          </cell>
          <cell r="X3036" t="str">
            <v>Empaquetado</v>
          </cell>
          <cell r="AC3036">
            <v>0.17399999999999999</v>
          </cell>
          <cell r="AD3036">
            <v>0.17399999999999999</v>
          </cell>
          <cell r="AE3036" t="str">
            <v>Con precio</v>
          </cell>
        </row>
        <row r="3037">
          <cell r="B3037" t="str">
            <v>F-MIX0005MA</v>
          </cell>
          <cell r="X3037" t="str">
            <v>Empaquetado</v>
          </cell>
          <cell r="AC3037">
            <v>5.7799999999999997E-2</v>
          </cell>
          <cell r="AD3037">
            <v>5.7799999999999997E-2</v>
          </cell>
          <cell r="AE3037" t="str">
            <v>Con precio</v>
          </cell>
        </row>
        <row r="3038">
          <cell r="B3038" t="str">
            <v>F-MIX0005MA</v>
          </cell>
          <cell r="X3038" t="str">
            <v>Empaquetado</v>
          </cell>
          <cell r="AC3038">
            <v>3.6950017630465445E-2</v>
          </cell>
          <cell r="AD3038">
            <v>3.6950017630465445E-2</v>
          </cell>
          <cell r="AE3038" t="str">
            <v>Con precio</v>
          </cell>
        </row>
        <row r="3039">
          <cell r="B3039" t="str">
            <v>F-MIX0020MA</v>
          </cell>
          <cell r="X3039" t="str">
            <v>Formulación</v>
          </cell>
          <cell r="AC3039">
            <v>1.9623800000000001E-3</v>
          </cell>
          <cell r="AD3039">
            <v>1.7801590000000001E-3</v>
          </cell>
          <cell r="AE3039" t="str">
            <v>Con precio</v>
          </cell>
        </row>
        <row r="3040">
          <cell r="B3040" t="str">
            <v>F-MIX0020MA</v>
          </cell>
          <cell r="X3040" t="str">
            <v>Formulación</v>
          </cell>
          <cell r="AC3040">
            <v>0</v>
          </cell>
          <cell r="AD3040">
            <v>0</v>
          </cell>
          <cell r="AE3040" t="str">
            <v>Con precio</v>
          </cell>
        </row>
        <row r="3041">
          <cell r="B3041" t="str">
            <v>F-MIX0020MA</v>
          </cell>
          <cell r="X3041" t="str">
            <v>Formulación</v>
          </cell>
          <cell r="AC3041">
            <v>2.4621139400000001</v>
          </cell>
          <cell r="AD3041">
            <v>1.2357024680000002</v>
          </cell>
          <cell r="AE3041" t="str">
            <v>Con precio</v>
          </cell>
        </row>
        <row r="3042">
          <cell r="B3042" t="str">
            <v>F-MIX0020MA</v>
          </cell>
          <cell r="X3042" t="str">
            <v>Formulación</v>
          </cell>
          <cell r="AC3042">
            <v>0.35632752000000001</v>
          </cell>
          <cell r="AD3042">
            <v>0.32757126400000003</v>
          </cell>
          <cell r="AE3042" t="str">
            <v>Con precio</v>
          </cell>
        </row>
        <row r="3043">
          <cell r="B3043" t="str">
            <v>F-MIX0020MA</v>
          </cell>
          <cell r="X3043" t="str">
            <v>Formulación</v>
          </cell>
          <cell r="AC3043">
            <v>5.1615000000000001E-2</v>
          </cell>
          <cell r="AD3043">
            <v>5.1615000000000001E-2</v>
          </cell>
          <cell r="AE3043" t="str">
            <v>Con precio</v>
          </cell>
        </row>
        <row r="3044">
          <cell r="B3044" t="str">
            <v>F-MIX0020MA</v>
          </cell>
          <cell r="X3044" t="str">
            <v>Formulación</v>
          </cell>
          <cell r="AC3044">
            <v>1.2344000000000001E-3</v>
          </cell>
          <cell r="AD3044">
            <v>8.5737142857142878E-4</v>
          </cell>
          <cell r="AE3044" t="str">
            <v>Con precio</v>
          </cell>
        </row>
        <row r="3045">
          <cell r="B3045" t="str">
            <v>F-MIX0020MA</v>
          </cell>
          <cell r="X3045" t="str">
            <v>Formulación</v>
          </cell>
          <cell r="AC3045">
            <v>1.7250000000000001E-2</v>
          </cell>
          <cell r="AD3045">
            <v>1.3483750000000001E-2</v>
          </cell>
          <cell r="AE3045" t="str">
            <v>Con precio</v>
          </cell>
        </row>
        <row r="3046">
          <cell r="B3046" t="str">
            <v>F-MIX0020MA</v>
          </cell>
          <cell r="X3046" t="str">
            <v>Formulación</v>
          </cell>
          <cell r="AC3046">
            <v>1.242E-2</v>
          </cell>
          <cell r="AD3046">
            <v>1.2167000000000001E-2</v>
          </cell>
          <cell r="AE3046" t="str">
            <v>Con precio</v>
          </cell>
        </row>
        <row r="3047">
          <cell r="B3047" t="str">
            <v>F-MIX0020MA</v>
          </cell>
          <cell r="X3047" t="str">
            <v>Formulación</v>
          </cell>
          <cell r="AC3047">
            <v>5.7850000000000002E-3</v>
          </cell>
          <cell r="AD3047">
            <v>5.7850000000000002E-3</v>
          </cell>
          <cell r="AE3047" t="str">
            <v>Con precio</v>
          </cell>
        </row>
        <row r="3048">
          <cell r="B3048" t="str">
            <v>F-MIX0020MA</v>
          </cell>
          <cell r="X3048" t="str">
            <v>Formulación</v>
          </cell>
          <cell r="AC3048">
            <v>7.9299999999999995E-3</v>
          </cell>
          <cell r="AD3048">
            <v>6.586666666666666E-3</v>
          </cell>
          <cell r="AE3048" t="str">
            <v>Con precio</v>
          </cell>
        </row>
        <row r="3049">
          <cell r="B3049" t="str">
            <v>F-MIX0020MA</v>
          </cell>
          <cell r="X3049" t="str">
            <v>Empaquetado</v>
          </cell>
          <cell r="AC3049">
            <v>4.6853999999999993E-3</v>
          </cell>
          <cell r="AD3049">
            <v>4.6853999999999993E-3</v>
          </cell>
          <cell r="AE3049" t="str">
            <v>Con precio</v>
          </cell>
        </row>
        <row r="3050">
          <cell r="B3050" t="str">
            <v>F-MIX0020MA</v>
          </cell>
          <cell r="X3050" t="str">
            <v>Empaquetado</v>
          </cell>
          <cell r="AC3050">
            <v>2.41332E-2</v>
          </cell>
          <cell r="AD3050">
            <v>2.41332E-2</v>
          </cell>
          <cell r="AE3050" t="str">
            <v>Con precio</v>
          </cell>
        </row>
        <row r="3051">
          <cell r="B3051" t="str">
            <v>F-MIX0020MA</v>
          </cell>
          <cell r="X3051" t="str">
            <v>Empaquetado</v>
          </cell>
          <cell r="AC3051">
            <v>5.0719967793880849E-3</v>
          </cell>
          <cell r="AD3051">
            <v>5.0719967793880849E-3</v>
          </cell>
          <cell r="AE3051" t="str">
            <v>Con precio</v>
          </cell>
        </row>
        <row r="3052">
          <cell r="B3052" t="str">
            <v>F-MIX0020MA</v>
          </cell>
          <cell r="X3052" t="str">
            <v>Empaquetado</v>
          </cell>
          <cell r="AC3052">
            <v>0.18266505681818179</v>
          </cell>
          <cell r="AD3052">
            <v>0.18266505681818179</v>
          </cell>
          <cell r="AE3052" t="str">
            <v>Con precio</v>
          </cell>
        </row>
        <row r="3053">
          <cell r="B3053" t="str">
            <v>F-MIX0020MA</v>
          </cell>
          <cell r="X3053" t="str">
            <v>Empaquetado</v>
          </cell>
          <cell r="AC3053">
            <v>2.4035031847133761E-2</v>
          </cell>
          <cell r="AD3053">
            <v>2.4035031847133761E-2</v>
          </cell>
          <cell r="AE3053" t="str">
            <v>Con precio</v>
          </cell>
        </row>
        <row r="3054">
          <cell r="B3054" t="str">
            <v>FIORI1000IT</v>
          </cell>
          <cell r="X3054" t="str">
            <v>Formulación</v>
          </cell>
          <cell r="AC3054">
            <v>4.8799999999999998E-3</v>
          </cell>
          <cell r="AD3054">
            <v>4.8799999999999998E-3</v>
          </cell>
          <cell r="AE3054" t="str">
            <v>Con precio</v>
          </cell>
        </row>
        <row r="3055">
          <cell r="B3055" t="str">
            <v>FIORI1000IT</v>
          </cell>
          <cell r="X3055" t="str">
            <v>Formulación</v>
          </cell>
          <cell r="AC3055">
            <v>4.7683999999999997E-2</v>
          </cell>
          <cell r="AD3055">
            <v>4.3256200000000002E-2</v>
          </cell>
          <cell r="AE3055" t="str">
            <v>Con precio</v>
          </cell>
        </row>
        <row r="3056">
          <cell r="B3056" t="str">
            <v>FIORI1000IT</v>
          </cell>
          <cell r="X3056" t="str">
            <v>Formulación</v>
          </cell>
          <cell r="AC3056">
            <v>6.0749999999999998E-2</v>
          </cell>
          <cell r="AD3056">
            <v>6.0749999999999998E-2</v>
          </cell>
          <cell r="AE3056" t="str">
            <v>Con precio</v>
          </cell>
        </row>
        <row r="3057">
          <cell r="B3057" t="str">
            <v>FIORI1000IT</v>
          </cell>
          <cell r="X3057" t="str">
            <v>Formulación</v>
          </cell>
          <cell r="AC3057">
            <v>0.18532399999999999</v>
          </cell>
          <cell r="AD3057">
            <v>0.18532399999999999</v>
          </cell>
          <cell r="AE3057" t="str">
            <v>Con precio</v>
          </cell>
        </row>
        <row r="3058">
          <cell r="B3058" t="str">
            <v>FIORI1000IT</v>
          </cell>
          <cell r="X3058" t="str">
            <v>Formulación</v>
          </cell>
          <cell r="AC3058">
            <v>8.3779999999999993E-2</v>
          </cell>
          <cell r="AD3058">
            <v>8.3779999999999993E-2</v>
          </cell>
          <cell r="AE3058" t="str">
            <v>Con precio</v>
          </cell>
        </row>
        <row r="3059">
          <cell r="B3059" t="str">
            <v>FIORI1000IT</v>
          </cell>
          <cell r="X3059" t="str">
            <v>Formulación</v>
          </cell>
          <cell r="AC3059">
            <v>0.16283999999999998</v>
          </cell>
          <cell r="AD3059">
            <v>0.13373333333333332</v>
          </cell>
          <cell r="AE3059" t="str">
            <v>Con precio</v>
          </cell>
        </row>
        <row r="3060">
          <cell r="B3060" t="str">
            <v>FIORI1000IT</v>
          </cell>
          <cell r="X3060" t="str">
            <v>Formulación</v>
          </cell>
          <cell r="AC3060">
            <v>4.6000000000000006E-2</v>
          </cell>
          <cell r="AD3060">
            <v>4.4500000000000005E-2</v>
          </cell>
          <cell r="AE3060" t="str">
            <v>Con precio</v>
          </cell>
        </row>
        <row r="3061">
          <cell r="B3061" t="str">
            <v>FIORI1000IT</v>
          </cell>
          <cell r="X3061" t="str">
            <v>Formulación</v>
          </cell>
          <cell r="AC3061">
            <v>9.3000000000000013E-2</v>
          </cell>
          <cell r="AD3061">
            <v>8.5483333333333342E-2</v>
          </cell>
          <cell r="AE3061" t="str">
            <v>Con precio</v>
          </cell>
        </row>
        <row r="3062">
          <cell r="B3062" t="str">
            <v>FIORI1000IT</v>
          </cell>
          <cell r="X3062" t="str">
            <v>Formulación</v>
          </cell>
          <cell r="AC3062">
            <v>3.4500000000000004E-4</v>
          </cell>
          <cell r="AD3062">
            <v>3.4500000000000004E-4</v>
          </cell>
          <cell r="AE3062" t="str">
            <v>Con precio</v>
          </cell>
        </row>
        <row r="3063">
          <cell r="B3063" t="str">
            <v>FIORI1000IT</v>
          </cell>
          <cell r="X3063" t="str">
            <v>Formulación</v>
          </cell>
          <cell r="AC3063">
            <v>2.2000000000000001E-4</v>
          </cell>
          <cell r="AD3063">
            <v>2.2000000000000001E-4</v>
          </cell>
          <cell r="AE3063" t="str">
            <v>Con precio</v>
          </cell>
        </row>
        <row r="3064">
          <cell r="B3064" t="str">
            <v>FIORI1000IT</v>
          </cell>
          <cell r="X3064" t="str">
            <v>Empaquetado</v>
          </cell>
          <cell r="AC3064">
            <v>0.11700000000000001</v>
          </cell>
          <cell r="AD3064">
            <v>0.11700000000000001</v>
          </cell>
          <cell r="AE3064" t="str">
            <v>Con precio</v>
          </cell>
        </row>
        <row r="3065">
          <cell r="B3065" t="str">
            <v>FIORI1000IT</v>
          </cell>
          <cell r="X3065" t="str">
            <v>Empaquetado</v>
          </cell>
          <cell r="AC3065">
            <v>1.014399355877617E-4</v>
          </cell>
          <cell r="AD3065">
            <v>1.014399355877617E-4</v>
          </cell>
          <cell r="AE3065" t="str">
            <v>Con precio</v>
          </cell>
        </row>
        <row r="3066">
          <cell r="B3066" t="str">
            <v>FLOR0001DO</v>
          </cell>
          <cell r="X3066" t="str">
            <v>Formulación</v>
          </cell>
          <cell r="AC3066">
            <v>4.8799999999999998E-3</v>
          </cell>
          <cell r="AD3066">
            <v>4.8799999999999998E-3</v>
          </cell>
          <cell r="AE3066" t="str">
            <v>Con precio</v>
          </cell>
        </row>
        <row r="3067">
          <cell r="B3067" t="str">
            <v>FLOR0001DO</v>
          </cell>
          <cell r="X3067" t="str">
            <v>Formulación</v>
          </cell>
          <cell r="AC3067">
            <v>4.7683999999999997E-2</v>
          </cell>
          <cell r="AD3067">
            <v>4.3256200000000002E-2</v>
          </cell>
          <cell r="AE3067" t="str">
            <v>Con precio</v>
          </cell>
        </row>
        <row r="3068">
          <cell r="B3068" t="str">
            <v>FLOR0001DO</v>
          </cell>
          <cell r="X3068" t="str">
            <v>Formulación</v>
          </cell>
          <cell r="AC3068">
            <v>9.3000000000000013E-2</v>
          </cell>
          <cell r="AD3068">
            <v>8.5483333333333342E-2</v>
          </cell>
          <cell r="AE3068" t="str">
            <v>Con precio</v>
          </cell>
        </row>
        <row r="3069">
          <cell r="B3069" t="str">
            <v>FLOR0001DO</v>
          </cell>
          <cell r="X3069" t="str">
            <v>Formulación</v>
          </cell>
          <cell r="AC3069">
            <v>3.4500000000000004E-4</v>
          </cell>
          <cell r="AD3069">
            <v>3.4500000000000004E-4</v>
          </cell>
          <cell r="AE3069" t="str">
            <v>Con precio</v>
          </cell>
        </row>
        <row r="3070">
          <cell r="B3070" t="str">
            <v>FLOR0001DO</v>
          </cell>
          <cell r="X3070" t="str">
            <v>Formulación</v>
          </cell>
          <cell r="AC3070">
            <v>4.9950000000000003E-3</v>
          </cell>
          <cell r="AD3070">
            <v>4.4599999999999996E-3</v>
          </cell>
          <cell r="AE3070" t="str">
            <v>Con precio</v>
          </cell>
        </row>
        <row r="3071">
          <cell r="B3071" t="str">
            <v>FLOR0001DO</v>
          </cell>
          <cell r="X3071" t="str">
            <v>Formulación</v>
          </cell>
          <cell r="AC3071">
            <v>1.4152500000000002E-2</v>
          </cell>
          <cell r="AD3071">
            <v>1.4152500000000002E-2</v>
          </cell>
          <cell r="AE3071" t="str">
            <v>Con precio</v>
          </cell>
        </row>
        <row r="3072">
          <cell r="B3072" t="str">
            <v>FLOR0001DO</v>
          </cell>
          <cell r="X3072" t="str">
            <v>Formulación</v>
          </cell>
          <cell r="AC3072">
            <v>8.1674999999999998E-2</v>
          </cell>
          <cell r="AD3072">
            <v>8.1674999999999998E-2</v>
          </cell>
          <cell r="AE3072" t="str">
            <v>Con precio</v>
          </cell>
        </row>
        <row r="3073">
          <cell r="B3073" t="str">
            <v>FLOR0001DO</v>
          </cell>
          <cell r="X3073" t="str">
            <v>Formulación</v>
          </cell>
          <cell r="AC3073">
            <v>0.10147999999999999</v>
          </cell>
          <cell r="AD3073">
            <v>0.10147999999999999</v>
          </cell>
          <cell r="AE3073" t="str">
            <v>Con precio</v>
          </cell>
        </row>
        <row r="3074">
          <cell r="B3074" t="str">
            <v>FLOR0001DO</v>
          </cell>
          <cell r="X3074" t="str">
            <v>Formulación</v>
          </cell>
          <cell r="AC3074">
            <v>0.15456</v>
          </cell>
          <cell r="AD3074">
            <v>0.12693333333333334</v>
          </cell>
          <cell r="AE3074" t="str">
            <v>Con precio</v>
          </cell>
        </row>
        <row r="3075">
          <cell r="B3075" t="str">
            <v>FLOR0001DO</v>
          </cell>
          <cell r="X3075" t="str">
            <v>Formulación</v>
          </cell>
          <cell r="AC3075">
            <v>2.2000000000000001E-4</v>
          </cell>
          <cell r="AD3075">
            <v>2.2000000000000001E-4</v>
          </cell>
          <cell r="AE3075" t="str">
            <v>Con precio</v>
          </cell>
        </row>
        <row r="3076">
          <cell r="B3076" t="str">
            <v>FLOR0001DO</v>
          </cell>
          <cell r="X3076" t="str">
            <v>Formulación</v>
          </cell>
          <cell r="AC3076">
            <v>4.4160000000000005E-2</v>
          </cell>
          <cell r="AD3076">
            <v>4.2720000000000001E-2</v>
          </cell>
          <cell r="AE3076" t="str">
            <v>Con precio</v>
          </cell>
        </row>
        <row r="3077">
          <cell r="B3077" t="str">
            <v>FLOR0001DO</v>
          </cell>
          <cell r="X3077" t="str">
            <v>Formulación</v>
          </cell>
          <cell r="AC3077">
            <v>9.3749999999999997E-3</v>
          </cell>
          <cell r="AD3077">
            <v>9.3749999999999997E-3</v>
          </cell>
          <cell r="AE3077" t="str">
            <v>Con precio</v>
          </cell>
        </row>
        <row r="3078">
          <cell r="B3078" t="str">
            <v>FLOR0001DO</v>
          </cell>
          <cell r="X3078" t="str">
            <v>Empaquetado</v>
          </cell>
          <cell r="AC3078">
            <v>3.0303030303030299E-5</v>
          </cell>
          <cell r="AD3078">
            <v>3.0303030303030299E-5</v>
          </cell>
          <cell r="AE3078" t="str">
            <v>Con precio</v>
          </cell>
        </row>
        <row r="3079">
          <cell r="B3079" t="str">
            <v>FLOR0001DO</v>
          </cell>
          <cell r="X3079" t="str">
            <v>Empaquetado</v>
          </cell>
          <cell r="AC3079">
            <v>2.3439393939393937E-2</v>
          </cell>
          <cell r="AD3079">
            <v>2.3439393939393937E-2</v>
          </cell>
          <cell r="AE3079" t="str">
            <v>Con precio</v>
          </cell>
        </row>
        <row r="3080">
          <cell r="B3080" t="str">
            <v>FLOR0001DO</v>
          </cell>
          <cell r="X3080" t="str">
            <v>Empaquetado</v>
          </cell>
          <cell r="AC3080">
            <v>7.1917518745739595E-2</v>
          </cell>
          <cell r="AD3080">
            <v>7.1917518745739595E-2</v>
          </cell>
          <cell r="AE3080" t="str">
            <v>Con precio</v>
          </cell>
        </row>
        <row r="3081">
          <cell r="B3081" t="str">
            <v>FLOR0001DO</v>
          </cell>
          <cell r="X3081" t="str">
            <v>Empaquetado</v>
          </cell>
          <cell r="AC3081">
            <v>0.44322992424242419</v>
          </cell>
          <cell r="AD3081">
            <v>0.44322992424242419</v>
          </cell>
          <cell r="AE3081" t="str">
            <v>Con precio</v>
          </cell>
        </row>
        <row r="3082">
          <cell r="B3082" t="str">
            <v>FLOR0001DO</v>
          </cell>
          <cell r="X3082" t="str">
            <v>Empaquetado</v>
          </cell>
          <cell r="AC3082">
            <v>0.11874999999999999</v>
          </cell>
          <cell r="AD3082">
            <v>0.11874999999999999</v>
          </cell>
          <cell r="AE3082" t="str">
            <v>Con precio</v>
          </cell>
        </row>
        <row r="3083">
          <cell r="B3083" t="str">
            <v>FLOR0001DO</v>
          </cell>
          <cell r="X3083" t="str">
            <v>Empaquetado</v>
          </cell>
          <cell r="AC3083">
            <v>9.6080774456521717E-2</v>
          </cell>
          <cell r="AD3083">
            <v>9.6080774456521717E-2</v>
          </cell>
          <cell r="AE3083" t="str">
            <v>Con precio</v>
          </cell>
        </row>
        <row r="3084">
          <cell r="B3084" t="str">
            <v>FLOR0001RO</v>
          </cell>
          <cell r="X3084" t="str">
            <v>Formulación</v>
          </cell>
          <cell r="AC3084">
            <v>4.8799999999999998E-3</v>
          </cell>
          <cell r="AD3084">
            <v>4.8799999999999998E-3</v>
          </cell>
          <cell r="AE3084" t="str">
            <v>Con precio</v>
          </cell>
        </row>
        <row r="3085">
          <cell r="B3085" t="str">
            <v>FLOR0001RO</v>
          </cell>
          <cell r="X3085" t="str">
            <v>Formulación</v>
          </cell>
          <cell r="AC3085">
            <v>4.7683999999999997E-2</v>
          </cell>
          <cell r="AD3085">
            <v>4.3256200000000002E-2</v>
          </cell>
          <cell r="AE3085" t="str">
            <v>Con precio</v>
          </cell>
        </row>
        <row r="3086">
          <cell r="B3086" t="str">
            <v>FLOR0001RO</v>
          </cell>
          <cell r="X3086" t="str">
            <v>Formulación</v>
          </cell>
          <cell r="AC3086">
            <v>9.3000000000000013E-2</v>
          </cell>
          <cell r="AD3086">
            <v>8.5483333333333342E-2</v>
          </cell>
          <cell r="AE3086" t="str">
            <v>Con precio</v>
          </cell>
        </row>
        <row r="3087">
          <cell r="B3087" t="str">
            <v>FLOR0001RO</v>
          </cell>
          <cell r="X3087" t="str">
            <v>Formulación</v>
          </cell>
          <cell r="AC3087">
            <v>3.4500000000000004E-4</v>
          </cell>
          <cell r="AD3087">
            <v>3.4500000000000004E-4</v>
          </cell>
          <cell r="AE3087" t="str">
            <v>Con precio</v>
          </cell>
        </row>
        <row r="3088">
          <cell r="B3088" t="str">
            <v>FLOR0001RO</v>
          </cell>
          <cell r="X3088" t="str">
            <v>Formulación</v>
          </cell>
          <cell r="AC3088">
            <v>4.9950000000000003E-3</v>
          </cell>
          <cell r="AD3088">
            <v>4.4599999999999996E-3</v>
          </cell>
          <cell r="AE3088" t="str">
            <v>Con precio</v>
          </cell>
        </row>
        <row r="3089">
          <cell r="B3089" t="str">
            <v>FLOR0001RO</v>
          </cell>
          <cell r="X3089" t="str">
            <v>Formulación</v>
          </cell>
          <cell r="AC3089">
            <v>1.4152500000000002E-2</v>
          </cell>
          <cell r="AD3089">
            <v>1.4152500000000002E-2</v>
          </cell>
          <cell r="AE3089" t="str">
            <v>Con precio</v>
          </cell>
        </row>
        <row r="3090">
          <cell r="B3090" t="str">
            <v>FLOR0001RO</v>
          </cell>
          <cell r="X3090" t="str">
            <v>Formulación</v>
          </cell>
          <cell r="AC3090">
            <v>8.1674999999999998E-2</v>
          </cell>
          <cell r="AD3090">
            <v>8.1674999999999998E-2</v>
          </cell>
          <cell r="AE3090" t="str">
            <v>Con precio</v>
          </cell>
        </row>
        <row r="3091">
          <cell r="B3091" t="str">
            <v>FLOR0001RO</v>
          </cell>
          <cell r="X3091" t="str">
            <v>Formulación</v>
          </cell>
          <cell r="AC3091">
            <v>0.10147999999999999</v>
          </cell>
          <cell r="AD3091">
            <v>0.10147999999999999</v>
          </cell>
          <cell r="AE3091" t="str">
            <v>Con precio</v>
          </cell>
        </row>
        <row r="3092">
          <cell r="B3092" t="str">
            <v>FLOR0001RO</v>
          </cell>
          <cell r="X3092" t="str">
            <v>Formulación</v>
          </cell>
          <cell r="AC3092">
            <v>0.15456</v>
          </cell>
          <cell r="AD3092">
            <v>0.12693333333333334</v>
          </cell>
          <cell r="AE3092" t="str">
            <v>Con precio</v>
          </cell>
        </row>
        <row r="3093">
          <cell r="B3093" t="str">
            <v>FLOR0001RO</v>
          </cell>
          <cell r="X3093" t="str">
            <v>Formulación</v>
          </cell>
          <cell r="AC3093">
            <v>2.2000000000000001E-4</v>
          </cell>
          <cell r="AD3093">
            <v>2.2000000000000001E-4</v>
          </cell>
          <cell r="AE3093" t="str">
            <v>Con precio</v>
          </cell>
        </row>
        <row r="3094">
          <cell r="B3094" t="str">
            <v>FLOR0001RO</v>
          </cell>
          <cell r="X3094" t="str">
            <v>Formulación</v>
          </cell>
          <cell r="AC3094">
            <v>4.4160000000000005E-2</v>
          </cell>
          <cell r="AD3094">
            <v>4.2720000000000001E-2</v>
          </cell>
          <cell r="AE3094" t="str">
            <v>Con precio</v>
          </cell>
        </row>
        <row r="3095">
          <cell r="B3095" t="str">
            <v>FLOR0001RO</v>
          </cell>
          <cell r="X3095" t="str">
            <v>Formulación</v>
          </cell>
          <cell r="AC3095">
            <v>9.3749999999999997E-3</v>
          </cell>
          <cell r="AD3095">
            <v>9.3749999999999997E-3</v>
          </cell>
          <cell r="AE3095" t="str">
            <v>Con precio</v>
          </cell>
        </row>
        <row r="3096">
          <cell r="B3096" t="str">
            <v>FLOR0001RO</v>
          </cell>
          <cell r="X3096" t="str">
            <v>Empaquetado</v>
          </cell>
          <cell r="AC3096">
            <v>3.0303030303030299E-5</v>
          </cell>
          <cell r="AD3096">
            <v>3.0303030303030299E-5</v>
          </cell>
          <cell r="AE3096" t="str">
            <v>Con precio</v>
          </cell>
        </row>
        <row r="3097">
          <cell r="B3097" t="str">
            <v>FLOR0001RO</v>
          </cell>
          <cell r="X3097" t="str">
            <v>Empaquetado</v>
          </cell>
          <cell r="AC3097">
            <v>2.3439393939393937E-2</v>
          </cell>
          <cell r="AD3097">
            <v>2.3439393939393937E-2</v>
          </cell>
          <cell r="AE3097" t="str">
            <v>Con precio</v>
          </cell>
        </row>
        <row r="3098">
          <cell r="B3098" t="str">
            <v>FLOR0001RO</v>
          </cell>
          <cell r="X3098" t="str">
            <v>Empaquetado</v>
          </cell>
          <cell r="AC3098">
            <v>7.1917518745739595E-2</v>
          </cell>
          <cell r="AD3098">
            <v>7.1917518745739595E-2</v>
          </cell>
          <cell r="AE3098" t="str">
            <v>Con precio</v>
          </cell>
        </row>
        <row r="3099">
          <cell r="B3099" t="str">
            <v>FLOR0001RO</v>
          </cell>
          <cell r="X3099" t="str">
            <v>Empaquetado</v>
          </cell>
          <cell r="AC3099">
            <v>0.44322992424242419</v>
          </cell>
          <cell r="AD3099">
            <v>0.44322992424242419</v>
          </cell>
          <cell r="AE3099" t="str">
            <v>Con precio</v>
          </cell>
        </row>
        <row r="3100">
          <cell r="B3100" t="str">
            <v>FLOR0001RO</v>
          </cell>
          <cell r="X3100" t="str">
            <v>Empaquetado</v>
          </cell>
          <cell r="AC3100">
            <v>0.11874999999999999</v>
          </cell>
          <cell r="AD3100">
            <v>0.11874999999999999</v>
          </cell>
          <cell r="AE3100" t="str">
            <v>Con precio</v>
          </cell>
        </row>
        <row r="3101">
          <cell r="B3101" t="str">
            <v>FLOR0001RO</v>
          </cell>
          <cell r="X3101" t="str">
            <v>Empaquetado</v>
          </cell>
          <cell r="AC3101">
            <v>9.6080774456521717E-2</v>
          </cell>
          <cell r="AD3101">
            <v>9.6080774456521717E-2</v>
          </cell>
          <cell r="AE3101" t="str">
            <v>Con precio</v>
          </cell>
        </row>
        <row r="3102">
          <cell r="B3102" t="str">
            <v>FLOR0020</v>
          </cell>
          <cell r="X3102" t="str">
            <v>Formulación</v>
          </cell>
          <cell r="AC3102">
            <v>4.8799999999999998E-3</v>
          </cell>
          <cell r="AD3102">
            <v>4.8799999999999998E-3</v>
          </cell>
          <cell r="AE3102" t="str">
            <v>Con precio</v>
          </cell>
        </row>
        <row r="3103">
          <cell r="B3103" t="str">
            <v>FLOR0020</v>
          </cell>
          <cell r="X3103" t="str">
            <v>Formulación</v>
          </cell>
          <cell r="AC3103">
            <v>4.7683999999999997E-2</v>
          </cell>
          <cell r="AD3103">
            <v>4.3256200000000002E-2</v>
          </cell>
          <cell r="AE3103" t="str">
            <v>Con precio</v>
          </cell>
        </row>
        <row r="3104">
          <cell r="B3104" t="str">
            <v>FLOR0020</v>
          </cell>
          <cell r="X3104" t="str">
            <v>Formulación</v>
          </cell>
          <cell r="AC3104">
            <v>9.3000000000000013E-2</v>
          </cell>
          <cell r="AD3104">
            <v>8.5483333333333342E-2</v>
          </cell>
          <cell r="AE3104" t="str">
            <v>Con precio</v>
          </cell>
        </row>
        <row r="3105">
          <cell r="B3105" t="str">
            <v>FLOR0020</v>
          </cell>
          <cell r="X3105" t="str">
            <v>Formulación</v>
          </cell>
          <cell r="AC3105">
            <v>3.4500000000000004E-4</v>
          </cell>
          <cell r="AD3105">
            <v>3.4500000000000004E-4</v>
          </cell>
          <cell r="AE3105" t="str">
            <v>Con precio</v>
          </cell>
        </row>
        <row r="3106">
          <cell r="B3106" t="str">
            <v>FLOR0020</v>
          </cell>
          <cell r="X3106" t="str">
            <v>Formulación</v>
          </cell>
          <cell r="AC3106">
            <v>4.9950000000000003E-3</v>
          </cell>
          <cell r="AD3106">
            <v>4.4599999999999996E-3</v>
          </cell>
          <cell r="AE3106" t="str">
            <v>Con precio</v>
          </cell>
        </row>
        <row r="3107">
          <cell r="B3107" t="str">
            <v>FLOR0020</v>
          </cell>
          <cell r="X3107" t="str">
            <v>Formulación</v>
          </cell>
          <cell r="AC3107">
            <v>1.4152500000000002E-2</v>
          </cell>
          <cell r="AD3107">
            <v>1.4152500000000002E-2</v>
          </cell>
          <cell r="AE3107" t="str">
            <v>Con precio</v>
          </cell>
        </row>
        <row r="3108">
          <cell r="B3108" t="str">
            <v>FLOR0020</v>
          </cell>
          <cell r="X3108" t="str">
            <v>Formulación</v>
          </cell>
          <cell r="AC3108">
            <v>8.1674999999999998E-2</v>
          </cell>
          <cell r="AD3108">
            <v>8.1674999999999998E-2</v>
          </cell>
          <cell r="AE3108" t="str">
            <v>Con precio</v>
          </cell>
        </row>
        <row r="3109">
          <cell r="B3109" t="str">
            <v>FLOR0020</v>
          </cell>
          <cell r="X3109" t="str">
            <v>Formulación</v>
          </cell>
          <cell r="AC3109">
            <v>0.10147999999999999</v>
          </cell>
          <cell r="AD3109">
            <v>0.10147999999999999</v>
          </cell>
          <cell r="AE3109" t="str">
            <v>Con precio</v>
          </cell>
        </row>
        <row r="3110">
          <cell r="B3110" t="str">
            <v>FLOR0020</v>
          </cell>
          <cell r="X3110" t="str">
            <v>Formulación</v>
          </cell>
          <cell r="AC3110">
            <v>0.15456</v>
          </cell>
          <cell r="AD3110">
            <v>0.12693333333333334</v>
          </cell>
          <cell r="AE3110" t="str">
            <v>Con precio</v>
          </cell>
        </row>
        <row r="3111">
          <cell r="B3111" t="str">
            <v>FLOR0020</v>
          </cell>
          <cell r="X3111" t="str">
            <v>Formulación</v>
          </cell>
          <cell r="AC3111">
            <v>2.2000000000000001E-4</v>
          </cell>
          <cell r="AD3111">
            <v>2.2000000000000001E-4</v>
          </cell>
          <cell r="AE3111" t="str">
            <v>Con precio</v>
          </cell>
        </row>
        <row r="3112">
          <cell r="B3112" t="str">
            <v>FLOR0020</v>
          </cell>
          <cell r="X3112" t="str">
            <v>Formulación</v>
          </cell>
          <cell r="AC3112">
            <v>4.4160000000000005E-2</v>
          </cell>
          <cell r="AD3112">
            <v>4.2720000000000001E-2</v>
          </cell>
          <cell r="AE3112" t="str">
            <v>Con precio</v>
          </cell>
        </row>
        <row r="3113">
          <cell r="B3113" t="str">
            <v>FLOR0020</v>
          </cell>
          <cell r="X3113" t="str">
            <v>Formulación</v>
          </cell>
          <cell r="AC3113">
            <v>9.3749999999999997E-3</v>
          </cell>
          <cell r="AD3113">
            <v>9.3749999999999997E-3</v>
          </cell>
          <cell r="AE3113" t="str">
            <v>Con precio</v>
          </cell>
        </row>
        <row r="3114">
          <cell r="B3114" t="str">
            <v>FLOR0020</v>
          </cell>
          <cell r="X3114" t="str">
            <v>Empaquetado</v>
          </cell>
          <cell r="AC3114">
            <v>7.3209374999999993E-3</v>
          </cell>
          <cell r="AD3114">
            <v>7.3209374999999993E-3</v>
          </cell>
          <cell r="AE3114" t="str">
            <v>Con precio</v>
          </cell>
        </row>
        <row r="3115">
          <cell r="B3115" t="str">
            <v>FLOR0020</v>
          </cell>
          <cell r="X3115" t="str">
            <v>Empaquetado</v>
          </cell>
          <cell r="AC3115">
            <v>2.4171875000000002E-2</v>
          </cell>
          <cell r="AD3115">
            <v>2.4171875000000002E-2</v>
          </cell>
          <cell r="AE3115" t="str">
            <v>Con precio</v>
          </cell>
        </row>
        <row r="3116">
          <cell r="B3116" t="str">
            <v>FLOR0020</v>
          </cell>
          <cell r="X3116" t="str">
            <v>Empaquetado</v>
          </cell>
          <cell r="AC3116">
            <v>5.0719967793880849E-3</v>
          </cell>
          <cell r="AD3116">
            <v>5.0719967793880849E-3</v>
          </cell>
          <cell r="AE3116" t="str">
            <v>Con precio</v>
          </cell>
        </row>
        <row r="3117">
          <cell r="B3117" t="str">
            <v>FLOR0020</v>
          </cell>
          <cell r="X3117" t="str">
            <v>Empaquetado</v>
          </cell>
          <cell r="AC3117">
            <v>0.18266505681818179</v>
          </cell>
          <cell r="AD3117">
            <v>0.18266505681818179</v>
          </cell>
          <cell r="AE3117" t="str">
            <v>Con precio</v>
          </cell>
        </row>
        <row r="3118">
          <cell r="B3118" t="str">
            <v>FLOR0020</v>
          </cell>
          <cell r="X3118" t="str">
            <v>Empaquetado</v>
          </cell>
          <cell r="AC3118">
            <v>1.2352941176470591E-2</v>
          </cell>
          <cell r="AD3118">
            <v>1.2352941176470591E-2</v>
          </cell>
          <cell r="AE3118" t="str">
            <v>Con precio</v>
          </cell>
        </row>
        <row r="3119">
          <cell r="B3119" t="str">
            <v>FLOR0020RO</v>
          </cell>
          <cell r="X3119" t="str">
            <v>Formulación</v>
          </cell>
          <cell r="AC3119">
            <v>4.8799999999999998E-3</v>
          </cell>
          <cell r="AD3119">
            <v>4.8799999999999998E-3</v>
          </cell>
          <cell r="AE3119" t="str">
            <v>Con precio</v>
          </cell>
        </row>
        <row r="3120">
          <cell r="B3120" t="str">
            <v>FLOR0020RO</v>
          </cell>
          <cell r="X3120" t="str">
            <v>Formulación</v>
          </cell>
          <cell r="AC3120">
            <v>4.7683999999999997E-2</v>
          </cell>
          <cell r="AD3120">
            <v>4.3256200000000002E-2</v>
          </cell>
          <cell r="AE3120" t="str">
            <v>Con precio</v>
          </cell>
        </row>
        <row r="3121">
          <cell r="B3121" t="str">
            <v>FLOR0020RO</v>
          </cell>
          <cell r="X3121" t="str">
            <v>Formulación</v>
          </cell>
          <cell r="AC3121">
            <v>9.3000000000000013E-2</v>
          </cell>
          <cell r="AD3121">
            <v>8.5483333333333342E-2</v>
          </cell>
          <cell r="AE3121" t="str">
            <v>Con precio</v>
          </cell>
        </row>
        <row r="3122">
          <cell r="B3122" t="str">
            <v>FLOR0020RO</v>
          </cell>
          <cell r="X3122" t="str">
            <v>Formulación</v>
          </cell>
          <cell r="AC3122">
            <v>3.4500000000000004E-4</v>
          </cell>
          <cell r="AD3122">
            <v>3.4500000000000004E-4</v>
          </cell>
          <cell r="AE3122" t="str">
            <v>Con precio</v>
          </cell>
        </row>
        <row r="3123">
          <cell r="B3123" t="str">
            <v>FLOR0020RO</v>
          </cell>
          <cell r="X3123" t="str">
            <v>Formulación</v>
          </cell>
          <cell r="AC3123">
            <v>4.9950000000000003E-3</v>
          </cell>
          <cell r="AD3123">
            <v>4.4599999999999996E-3</v>
          </cell>
          <cell r="AE3123" t="str">
            <v>Con precio</v>
          </cell>
        </row>
        <row r="3124">
          <cell r="B3124" t="str">
            <v>FLOR0020RO</v>
          </cell>
          <cell r="X3124" t="str">
            <v>Formulación</v>
          </cell>
          <cell r="AC3124">
            <v>1.4152500000000002E-2</v>
          </cell>
          <cell r="AD3124">
            <v>1.4152500000000002E-2</v>
          </cell>
          <cell r="AE3124" t="str">
            <v>Con precio</v>
          </cell>
        </row>
        <row r="3125">
          <cell r="B3125" t="str">
            <v>FLOR0020RO</v>
          </cell>
          <cell r="X3125" t="str">
            <v>Formulación</v>
          </cell>
          <cell r="AC3125">
            <v>8.1674999999999998E-2</v>
          </cell>
          <cell r="AD3125">
            <v>8.1674999999999998E-2</v>
          </cell>
          <cell r="AE3125" t="str">
            <v>Con precio</v>
          </cell>
        </row>
        <row r="3126">
          <cell r="B3126" t="str">
            <v>FLOR0020RO</v>
          </cell>
          <cell r="X3126" t="str">
            <v>Formulación</v>
          </cell>
          <cell r="AC3126">
            <v>0.10147999999999999</v>
          </cell>
          <cell r="AD3126">
            <v>0.10147999999999999</v>
          </cell>
          <cell r="AE3126" t="str">
            <v>Con precio</v>
          </cell>
        </row>
        <row r="3127">
          <cell r="B3127" t="str">
            <v>FLOR0020RO</v>
          </cell>
          <cell r="X3127" t="str">
            <v>Formulación</v>
          </cell>
          <cell r="AC3127">
            <v>0.15456</v>
          </cell>
          <cell r="AD3127">
            <v>0.12693333333333334</v>
          </cell>
          <cell r="AE3127" t="str">
            <v>Con precio</v>
          </cell>
        </row>
        <row r="3128">
          <cell r="B3128" t="str">
            <v>FLOR0020RO</v>
          </cell>
          <cell r="X3128" t="str">
            <v>Formulación</v>
          </cell>
          <cell r="AC3128">
            <v>2.2000000000000001E-4</v>
          </cell>
          <cell r="AD3128">
            <v>2.2000000000000001E-4</v>
          </cell>
          <cell r="AE3128" t="str">
            <v>Con precio</v>
          </cell>
        </row>
        <row r="3129">
          <cell r="B3129" t="str">
            <v>FLOR0020RO</v>
          </cell>
          <cell r="X3129" t="str">
            <v>Formulación</v>
          </cell>
          <cell r="AC3129">
            <v>4.4160000000000005E-2</v>
          </cell>
          <cell r="AD3129">
            <v>4.2720000000000001E-2</v>
          </cell>
          <cell r="AE3129" t="str">
            <v>Con precio</v>
          </cell>
        </row>
        <row r="3130">
          <cell r="B3130" t="str">
            <v>FLOR0020RO</v>
          </cell>
          <cell r="X3130" t="str">
            <v>Formulación</v>
          </cell>
          <cell r="AC3130">
            <v>9.3749999999999997E-3</v>
          </cell>
          <cell r="AD3130">
            <v>9.3749999999999997E-3</v>
          </cell>
          <cell r="AE3130" t="str">
            <v>Con precio</v>
          </cell>
        </row>
        <row r="3131">
          <cell r="B3131" t="str">
            <v>FLOR0020RO</v>
          </cell>
          <cell r="X3131" t="str">
            <v>Empaquetado</v>
          </cell>
          <cell r="AC3131">
            <v>7.3209374999999993E-3</v>
          </cell>
          <cell r="AD3131">
            <v>7.3209374999999993E-3</v>
          </cell>
          <cell r="AE3131" t="str">
            <v>Con precio</v>
          </cell>
        </row>
        <row r="3132">
          <cell r="B3132" t="str">
            <v>FLOR0020RO</v>
          </cell>
          <cell r="X3132" t="str">
            <v>Empaquetado</v>
          </cell>
          <cell r="AC3132">
            <v>2.4171875000000002E-2</v>
          </cell>
          <cell r="AD3132">
            <v>2.4171875000000002E-2</v>
          </cell>
          <cell r="AE3132" t="str">
            <v>Con precio</v>
          </cell>
        </row>
        <row r="3133">
          <cell r="B3133" t="str">
            <v>FLOR0020RO</v>
          </cell>
          <cell r="X3133" t="str">
            <v>Empaquetado</v>
          </cell>
          <cell r="AC3133">
            <v>5.0719967793880849E-3</v>
          </cell>
          <cell r="AD3133">
            <v>5.0719967793880849E-3</v>
          </cell>
          <cell r="AE3133" t="str">
            <v>Con precio</v>
          </cell>
        </row>
        <row r="3134">
          <cell r="B3134" t="str">
            <v>FLOR0020RO</v>
          </cell>
          <cell r="X3134" t="str">
            <v>Empaquetado</v>
          </cell>
          <cell r="AC3134">
            <v>0.18266505681818179</v>
          </cell>
          <cell r="AD3134">
            <v>0.18266505681818179</v>
          </cell>
          <cell r="AE3134" t="str">
            <v>Con precio</v>
          </cell>
        </row>
        <row r="3135">
          <cell r="B3135" t="str">
            <v>FLOR0020RO</v>
          </cell>
          <cell r="X3135" t="str">
            <v>Empaquetado</v>
          </cell>
          <cell r="AC3135">
            <v>1.2352941176470591E-2</v>
          </cell>
          <cell r="AD3135">
            <v>1.2352941176470591E-2</v>
          </cell>
          <cell r="AE3135" t="str">
            <v>Con precio</v>
          </cell>
        </row>
        <row r="3136">
          <cell r="B3136" t="str">
            <v>FLOR0200</v>
          </cell>
          <cell r="X3136" t="str">
            <v>Formulación</v>
          </cell>
          <cell r="AC3136">
            <v>4.8799999999999998E-3</v>
          </cell>
          <cell r="AD3136">
            <v>4.8799999999999998E-3</v>
          </cell>
          <cell r="AE3136" t="str">
            <v>Con precio</v>
          </cell>
        </row>
        <row r="3137">
          <cell r="B3137" t="str">
            <v>FLOR0200</v>
          </cell>
          <cell r="X3137" t="str">
            <v>Formulación</v>
          </cell>
          <cell r="AC3137">
            <v>4.7683999999999997E-2</v>
          </cell>
          <cell r="AD3137">
            <v>4.3256200000000002E-2</v>
          </cell>
          <cell r="AE3137" t="str">
            <v>Con precio</v>
          </cell>
        </row>
        <row r="3138">
          <cell r="B3138" t="str">
            <v>FLOR0200</v>
          </cell>
          <cell r="X3138" t="str">
            <v>Formulación</v>
          </cell>
          <cell r="AC3138">
            <v>9.3000000000000013E-2</v>
          </cell>
          <cell r="AD3138">
            <v>8.5483333333333342E-2</v>
          </cell>
          <cell r="AE3138" t="str">
            <v>Con precio</v>
          </cell>
        </row>
        <row r="3139">
          <cell r="B3139" t="str">
            <v>FLOR0200</v>
          </cell>
          <cell r="X3139" t="str">
            <v>Formulación</v>
          </cell>
          <cell r="AC3139">
            <v>3.4500000000000004E-4</v>
          </cell>
          <cell r="AD3139">
            <v>3.4500000000000004E-4</v>
          </cell>
          <cell r="AE3139" t="str">
            <v>Con precio</v>
          </cell>
        </row>
        <row r="3140">
          <cell r="B3140" t="str">
            <v>FLOR0200</v>
          </cell>
          <cell r="X3140" t="str">
            <v>Formulación</v>
          </cell>
          <cell r="AC3140">
            <v>4.9950000000000003E-3</v>
          </cell>
          <cell r="AD3140">
            <v>4.4599999999999996E-3</v>
          </cell>
          <cell r="AE3140" t="str">
            <v>Con precio</v>
          </cell>
        </row>
        <row r="3141">
          <cell r="B3141" t="str">
            <v>FLOR0200</v>
          </cell>
          <cell r="X3141" t="str">
            <v>Formulación</v>
          </cell>
          <cell r="AC3141">
            <v>1.4152500000000002E-2</v>
          </cell>
          <cell r="AD3141">
            <v>1.4152500000000002E-2</v>
          </cell>
          <cell r="AE3141" t="str">
            <v>Con precio</v>
          </cell>
        </row>
        <row r="3142">
          <cell r="B3142" t="str">
            <v>FLOR0200</v>
          </cell>
          <cell r="X3142" t="str">
            <v>Formulación</v>
          </cell>
          <cell r="AC3142">
            <v>8.1674999999999998E-2</v>
          </cell>
          <cell r="AD3142">
            <v>8.1674999999999998E-2</v>
          </cell>
          <cell r="AE3142" t="str">
            <v>Con precio</v>
          </cell>
        </row>
        <row r="3143">
          <cell r="B3143" t="str">
            <v>FLOR0200</v>
          </cell>
          <cell r="X3143" t="str">
            <v>Formulación</v>
          </cell>
          <cell r="AC3143">
            <v>0.10147999999999999</v>
          </cell>
          <cell r="AD3143">
            <v>0.10147999999999999</v>
          </cell>
          <cell r="AE3143" t="str">
            <v>Con precio</v>
          </cell>
        </row>
        <row r="3144">
          <cell r="B3144" t="str">
            <v>FLOR0200</v>
          </cell>
          <cell r="X3144" t="str">
            <v>Formulación</v>
          </cell>
          <cell r="AC3144">
            <v>0.15456</v>
          </cell>
          <cell r="AD3144">
            <v>0.12693333333333334</v>
          </cell>
          <cell r="AE3144" t="str">
            <v>Con precio</v>
          </cell>
        </row>
        <row r="3145">
          <cell r="B3145" t="str">
            <v>FLOR0200</v>
          </cell>
          <cell r="X3145" t="str">
            <v>Formulación</v>
          </cell>
          <cell r="AC3145">
            <v>2.2000000000000001E-4</v>
          </cell>
          <cell r="AD3145">
            <v>2.2000000000000001E-4</v>
          </cell>
          <cell r="AE3145" t="str">
            <v>Con precio</v>
          </cell>
        </row>
        <row r="3146">
          <cell r="B3146" t="str">
            <v>FLOR0200</v>
          </cell>
          <cell r="X3146" t="str">
            <v>Formulación</v>
          </cell>
          <cell r="AC3146">
            <v>4.4160000000000005E-2</v>
          </cell>
          <cell r="AD3146">
            <v>4.2720000000000001E-2</v>
          </cell>
          <cell r="AE3146" t="str">
            <v>Con precio</v>
          </cell>
        </row>
        <row r="3147">
          <cell r="B3147" t="str">
            <v>FLOR0200</v>
          </cell>
          <cell r="X3147" t="str">
            <v>Formulación</v>
          </cell>
          <cell r="AC3147">
            <v>9.3749999999999997E-3</v>
          </cell>
          <cell r="AD3147">
            <v>9.3749999999999997E-3</v>
          </cell>
          <cell r="AE3147" t="str">
            <v>Con precio</v>
          </cell>
        </row>
        <row r="3148">
          <cell r="B3148" t="str">
            <v>FLOR0200</v>
          </cell>
          <cell r="X3148" t="str">
            <v>Empaquetado</v>
          </cell>
          <cell r="AC3148">
            <v>5.0719967793880845E-4</v>
          </cell>
          <cell r="AD3148">
            <v>5.0719967793880845E-4</v>
          </cell>
          <cell r="AE3148" t="str">
            <v>Con precio</v>
          </cell>
        </row>
        <row r="3149">
          <cell r="B3149" t="str">
            <v>FLOR0200</v>
          </cell>
          <cell r="X3149" t="str">
            <v>Empaquetado</v>
          </cell>
          <cell r="AC3149">
            <v>2.1875000000000002E-3</v>
          </cell>
          <cell r="AD3149">
            <v>2.1875000000000002E-3</v>
          </cell>
          <cell r="AE3149" t="str">
            <v>Con precio</v>
          </cell>
        </row>
        <row r="3150">
          <cell r="B3150" t="str">
            <v>FLOR0200</v>
          </cell>
          <cell r="X3150" t="str">
            <v>Empaquetado</v>
          </cell>
          <cell r="AC3150">
            <v>0.16730511363636363</v>
          </cell>
          <cell r="AD3150">
            <v>0.16730511363636363</v>
          </cell>
          <cell r="AE3150" t="str">
            <v>Con precio</v>
          </cell>
        </row>
        <row r="3151">
          <cell r="B3151" t="str">
            <v>FLOR0200</v>
          </cell>
          <cell r="X3151" t="str">
            <v>Empaquetado</v>
          </cell>
          <cell r="AC3151">
            <v>1.9337500000000001E-2</v>
          </cell>
          <cell r="AD3151">
            <v>1.9337500000000001E-2</v>
          </cell>
          <cell r="AE3151" t="str">
            <v>Con precio</v>
          </cell>
        </row>
        <row r="3152">
          <cell r="B3152" t="str">
            <v>FLOR0200</v>
          </cell>
          <cell r="X3152" t="str">
            <v>Empaquetado</v>
          </cell>
          <cell r="AC3152">
            <v>3.4999999999999996E-3</v>
          </cell>
          <cell r="AD3152">
            <v>3.4999999999999996E-3</v>
          </cell>
          <cell r="AE3152" t="str">
            <v>Con precio</v>
          </cell>
        </row>
        <row r="3153">
          <cell r="B3153" t="str">
            <v>FLOR0200</v>
          </cell>
          <cell r="X3153" t="str">
            <v>Empaquetado</v>
          </cell>
          <cell r="AC3153">
            <v>2.2500000000000003E-3</v>
          </cell>
          <cell r="AD3153">
            <v>2.2500000000000003E-3</v>
          </cell>
          <cell r="AE3153" t="str">
            <v>Con precio</v>
          </cell>
        </row>
        <row r="3154">
          <cell r="B3154" t="str">
            <v>FLORCR0001CO</v>
          </cell>
          <cell r="X3154" t="str">
            <v>Formulación</v>
          </cell>
          <cell r="AC3154">
            <v>5.3186000000000004E-2</v>
          </cell>
          <cell r="AD3154">
            <v>4.8247300000000007E-2</v>
          </cell>
          <cell r="AE3154" t="str">
            <v>Con precio</v>
          </cell>
        </row>
        <row r="3155">
          <cell r="B3155" t="str">
            <v>FLORCR0001CO</v>
          </cell>
          <cell r="X3155" t="str">
            <v>Formulación</v>
          </cell>
          <cell r="AC3155">
            <v>0.11249999999999999</v>
          </cell>
          <cell r="AD3155">
            <v>0.11249999999999999</v>
          </cell>
          <cell r="AE3155" t="str">
            <v>Con precio</v>
          </cell>
        </row>
        <row r="3156">
          <cell r="B3156" t="str">
            <v>FLORCR0001CO</v>
          </cell>
          <cell r="X3156" t="str">
            <v>Formulación</v>
          </cell>
          <cell r="AC3156">
            <v>0.1104</v>
          </cell>
          <cell r="AD3156">
            <v>0.10679999999999999</v>
          </cell>
          <cell r="AE3156" t="str">
            <v>Con precio</v>
          </cell>
        </row>
        <row r="3157">
          <cell r="B3157" t="str">
            <v>FLORCR0001CO</v>
          </cell>
          <cell r="X3157" t="str">
            <v>Formulación</v>
          </cell>
          <cell r="AC3157">
            <v>7.4400000000000008E-2</v>
          </cell>
          <cell r="AD3157">
            <v>6.8386666666666665E-2</v>
          </cell>
          <cell r="AE3157" t="str">
            <v>Con precio</v>
          </cell>
        </row>
        <row r="3158">
          <cell r="B3158" t="str">
            <v>FLORCR0001CO</v>
          </cell>
          <cell r="X3158" t="str">
            <v>Formulación</v>
          </cell>
          <cell r="AC3158">
            <v>4.9950000000000003E-3</v>
          </cell>
          <cell r="AD3158">
            <v>4.4599999999999996E-3</v>
          </cell>
          <cell r="AE3158" t="str">
            <v>Con precio</v>
          </cell>
        </row>
        <row r="3159">
          <cell r="B3159" t="str">
            <v>FLORCR0001CO</v>
          </cell>
          <cell r="X3159" t="str">
            <v>Formulación</v>
          </cell>
          <cell r="AC3159">
            <v>1.6799999999999999E-2</v>
          </cell>
          <cell r="AD3159">
            <v>1.6799999999999999E-2</v>
          </cell>
          <cell r="AE3159" t="str">
            <v>Con precio</v>
          </cell>
        </row>
        <row r="3160">
          <cell r="B3160" t="str">
            <v>FLORCR0001CO</v>
          </cell>
          <cell r="X3160" t="str">
            <v>Formulación</v>
          </cell>
          <cell r="AC3160">
            <v>0.10296</v>
          </cell>
          <cell r="AD3160">
            <v>9.1200000000000003E-2</v>
          </cell>
          <cell r="AE3160" t="str">
            <v>Con precio</v>
          </cell>
        </row>
        <row r="3161">
          <cell r="B3161" t="str">
            <v>FLORCR0001CO</v>
          </cell>
          <cell r="X3161" t="str">
            <v>Empaquetado</v>
          </cell>
          <cell r="AC3161">
            <v>3.0303030303030299E-5</v>
          </cell>
          <cell r="AD3161">
            <v>3.0303030303030299E-5</v>
          </cell>
          <cell r="AE3161" t="str">
            <v>Con precio</v>
          </cell>
        </row>
        <row r="3162">
          <cell r="B3162" t="str">
            <v>FLORCR0001CO</v>
          </cell>
          <cell r="X3162" t="str">
            <v>Empaquetado</v>
          </cell>
          <cell r="AC3162">
            <v>2.3439393939393937E-2</v>
          </cell>
          <cell r="AD3162">
            <v>2.3439393939393937E-2</v>
          </cell>
          <cell r="AE3162" t="str">
            <v>Con precio</v>
          </cell>
        </row>
        <row r="3163">
          <cell r="B3163" t="str">
            <v>FLORCR0001CO</v>
          </cell>
          <cell r="X3163" t="str">
            <v>Empaquetado</v>
          </cell>
          <cell r="AC3163">
            <v>7.1917518745739595E-2</v>
          </cell>
          <cell r="AD3163">
            <v>7.1917518745739595E-2</v>
          </cell>
          <cell r="AE3163" t="str">
            <v>Con precio</v>
          </cell>
        </row>
        <row r="3164">
          <cell r="B3164" t="str">
            <v>FLORCR0001CO</v>
          </cell>
          <cell r="X3164" t="str">
            <v>Empaquetado</v>
          </cell>
          <cell r="AC3164">
            <v>0.44322992424242419</v>
          </cell>
          <cell r="AD3164">
            <v>0.44322992424242419</v>
          </cell>
          <cell r="AE3164" t="str">
            <v>Con precio</v>
          </cell>
        </row>
        <row r="3165">
          <cell r="B3165" t="str">
            <v>FLORCR0001CO</v>
          </cell>
          <cell r="X3165" t="str">
            <v>Empaquetado</v>
          </cell>
          <cell r="AC3165">
            <v>0.11874999999999999</v>
          </cell>
          <cell r="AD3165">
            <v>0.11874999999999999</v>
          </cell>
          <cell r="AE3165" t="str">
            <v>Con precio</v>
          </cell>
        </row>
        <row r="3166">
          <cell r="B3166" t="str">
            <v>FLORCR0001CO</v>
          </cell>
          <cell r="X3166" t="str">
            <v>Empaquetado</v>
          </cell>
          <cell r="AC3166">
            <v>9.6080774456521717E-2</v>
          </cell>
          <cell r="AD3166">
            <v>9.6080774456521717E-2</v>
          </cell>
          <cell r="AE3166" t="str">
            <v>Con precio</v>
          </cell>
        </row>
        <row r="3167">
          <cell r="B3167" t="str">
            <v>FLORCR0001PA</v>
          </cell>
          <cell r="X3167" t="str">
            <v>Formulación</v>
          </cell>
          <cell r="AC3167">
            <v>5.3186000000000004E-2</v>
          </cell>
          <cell r="AD3167">
            <v>4.8247300000000007E-2</v>
          </cell>
          <cell r="AE3167" t="str">
            <v>Con precio</v>
          </cell>
        </row>
        <row r="3168">
          <cell r="B3168" t="str">
            <v>FLORCR0001PA</v>
          </cell>
          <cell r="X3168" t="str">
            <v>Formulación</v>
          </cell>
          <cell r="AC3168">
            <v>0.11249999999999999</v>
          </cell>
          <cell r="AD3168">
            <v>0.11249999999999999</v>
          </cell>
          <cell r="AE3168" t="str">
            <v>Con precio</v>
          </cell>
        </row>
        <row r="3169">
          <cell r="B3169" t="str">
            <v>FLORCR0001PA</v>
          </cell>
          <cell r="X3169" t="str">
            <v>Formulación</v>
          </cell>
          <cell r="AC3169">
            <v>0.1104</v>
          </cell>
          <cell r="AD3169">
            <v>0.10679999999999999</v>
          </cell>
          <cell r="AE3169" t="str">
            <v>Con precio</v>
          </cell>
        </row>
        <row r="3170">
          <cell r="B3170" t="str">
            <v>FLORCR0001PA</v>
          </cell>
          <cell r="X3170" t="str">
            <v>Formulación</v>
          </cell>
          <cell r="AC3170">
            <v>7.4400000000000008E-2</v>
          </cell>
          <cell r="AD3170">
            <v>6.8386666666666665E-2</v>
          </cell>
          <cell r="AE3170" t="str">
            <v>Con precio</v>
          </cell>
        </row>
        <row r="3171">
          <cell r="B3171" t="str">
            <v>FLORCR0001PA</v>
          </cell>
          <cell r="X3171" t="str">
            <v>Formulación</v>
          </cell>
          <cell r="AC3171">
            <v>4.9950000000000003E-3</v>
          </cell>
          <cell r="AD3171">
            <v>4.4599999999999996E-3</v>
          </cell>
          <cell r="AE3171" t="str">
            <v>Con precio</v>
          </cell>
        </row>
        <row r="3172">
          <cell r="B3172" t="str">
            <v>FLORCR0001PA</v>
          </cell>
          <cell r="X3172" t="str">
            <v>Formulación</v>
          </cell>
          <cell r="AC3172">
            <v>1.6799999999999999E-2</v>
          </cell>
          <cell r="AD3172">
            <v>1.6799999999999999E-2</v>
          </cell>
          <cell r="AE3172" t="str">
            <v>Con precio</v>
          </cell>
        </row>
        <row r="3173">
          <cell r="B3173" t="str">
            <v>FLORCR0001PA</v>
          </cell>
          <cell r="X3173" t="str">
            <v>Formulación</v>
          </cell>
          <cell r="AC3173">
            <v>0.10296</v>
          </cell>
          <cell r="AD3173">
            <v>9.1200000000000003E-2</v>
          </cell>
          <cell r="AE3173" t="str">
            <v>Con precio</v>
          </cell>
        </row>
        <row r="3174">
          <cell r="B3174" t="str">
            <v>FLORCR0001PA</v>
          </cell>
          <cell r="X3174" t="str">
            <v>Empaquetado</v>
          </cell>
          <cell r="AC3174">
            <v>3.0303030303030299E-5</v>
          </cell>
          <cell r="AD3174">
            <v>3.0303030303030299E-5</v>
          </cell>
          <cell r="AE3174" t="str">
            <v>Con precio</v>
          </cell>
        </row>
        <row r="3175">
          <cell r="B3175" t="str">
            <v>FLORCR0001PA</v>
          </cell>
          <cell r="X3175" t="str">
            <v>Empaquetado</v>
          </cell>
          <cell r="AC3175">
            <v>2.3439393939393937E-2</v>
          </cell>
          <cell r="AD3175">
            <v>2.3439393939393937E-2</v>
          </cell>
          <cell r="AE3175" t="str">
            <v>Con precio</v>
          </cell>
        </row>
        <row r="3176">
          <cell r="B3176" t="str">
            <v>FLORCR0001PA</v>
          </cell>
          <cell r="X3176" t="str">
            <v>Empaquetado</v>
          </cell>
          <cell r="AC3176">
            <v>7.1917518745739595E-2</v>
          </cell>
          <cell r="AD3176">
            <v>7.1917518745739595E-2</v>
          </cell>
          <cell r="AE3176" t="str">
            <v>Con precio</v>
          </cell>
        </row>
        <row r="3177">
          <cell r="B3177" t="str">
            <v>FLORCR0001PA</v>
          </cell>
          <cell r="X3177" t="str">
            <v>Empaquetado</v>
          </cell>
          <cell r="AC3177">
            <v>0.44322992424242419</v>
          </cell>
          <cell r="AD3177">
            <v>0.44322992424242419</v>
          </cell>
          <cell r="AE3177" t="str">
            <v>Con precio</v>
          </cell>
        </row>
        <row r="3178">
          <cell r="B3178" t="str">
            <v>FLORCR0001PA</v>
          </cell>
          <cell r="X3178" t="str">
            <v>Empaquetado</v>
          </cell>
          <cell r="AC3178">
            <v>0.11874999999999999</v>
          </cell>
          <cell r="AD3178">
            <v>0.11874999999999999</v>
          </cell>
          <cell r="AE3178" t="str">
            <v>Con precio</v>
          </cell>
        </row>
        <row r="3179">
          <cell r="B3179" t="str">
            <v>FLORCR0001PA</v>
          </cell>
          <cell r="X3179" t="str">
            <v>Empaquetado</v>
          </cell>
          <cell r="AC3179">
            <v>9.6080774456521717E-2</v>
          </cell>
          <cell r="AD3179">
            <v>9.6080774456521717E-2</v>
          </cell>
          <cell r="AE3179" t="str">
            <v>Con precio</v>
          </cell>
        </row>
        <row r="3180">
          <cell r="B3180" t="str">
            <v>FLORCR0005CO</v>
          </cell>
          <cell r="X3180" t="str">
            <v>Formulación</v>
          </cell>
          <cell r="AC3180">
            <v>5.3186000000000004E-2</v>
          </cell>
          <cell r="AD3180">
            <v>4.8247300000000007E-2</v>
          </cell>
          <cell r="AE3180" t="str">
            <v>Con precio</v>
          </cell>
        </row>
        <row r="3181">
          <cell r="B3181" t="str">
            <v>FLORCR0005CO</v>
          </cell>
          <cell r="X3181" t="str">
            <v>Formulación</v>
          </cell>
          <cell r="AC3181">
            <v>0.11249999999999999</v>
          </cell>
          <cell r="AD3181">
            <v>0.11249999999999999</v>
          </cell>
          <cell r="AE3181" t="str">
            <v>Con precio</v>
          </cell>
        </row>
        <row r="3182">
          <cell r="B3182" t="str">
            <v>FLORCR0005CO</v>
          </cell>
          <cell r="X3182" t="str">
            <v>Formulación</v>
          </cell>
          <cell r="AC3182">
            <v>0.1104</v>
          </cell>
          <cell r="AD3182">
            <v>0.10679999999999999</v>
          </cell>
          <cell r="AE3182" t="str">
            <v>Con precio</v>
          </cell>
        </row>
        <row r="3183">
          <cell r="B3183" t="str">
            <v>FLORCR0005CO</v>
          </cell>
          <cell r="X3183" t="str">
            <v>Formulación</v>
          </cell>
          <cell r="AC3183">
            <v>7.4400000000000008E-2</v>
          </cell>
          <cell r="AD3183">
            <v>6.8386666666666665E-2</v>
          </cell>
          <cell r="AE3183" t="str">
            <v>Con precio</v>
          </cell>
        </row>
        <row r="3184">
          <cell r="B3184" t="str">
            <v>FLORCR0005CO</v>
          </cell>
          <cell r="X3184" t="str">
            <v>Formulación</v>
          </cell>
          <cell r="AC3184">
            <v>4.9950000000000003E-3</v>
          </cell>
          <cell r="AD3184">
            <v>4.4599999999999996E-3</v>
          </cell>
          <cell r="AE3184" t="str">
            <v>Con precio</v>
          </cell>
        </row>
        <row r="3185">
          <cell r="B3185" t="str">
            <v>FLORCR0005CO</v>
          </cell>
          <cell r="X3185" t="str">
            <v>Formulación</v>
          </cell>
          <cell r="AC3185">
            <v>1.6799999999999999E-2</v>
          </cell>
          <cell r="AD3185">
            <v>1.6799999999999999E-2</v>
          </cell>
          <cell r="AE3185" t="str">
            <v>Con precio</v>
          </cell>
        </row>
        <row r="3186">
          <cell r="B3186" t="str">
            <v>FLORCR0005CO</v>
          </cell>
          <cell r="X3186" t="str">
            <v>Formulación</v>
          </cell>
          <cell r="AC3186">
            <v>0.10296</v>
          </cell>
          <cell r="AD3186">
            <v>9.1200000000000003E-2</v>
          </cell>
          <cell r="AE3186" t="str">
            <v>Con precio</v>
          </cell>
        </row>
        <row r="3187">
          <cell r="B3187" t="str">
            <v>FLORCR0005CO</v>
          </cell>
          <cell r="X3187" t="str">
            <v>Empaquetado</v>
          </cell>
          <cell r="AC3187">
            <v>1.2991333333333337E-2</v>
          </cell>
          <cell r="AD3187">
            <v>1.2991333333333337E-2</v>
          </cell>
          <cell r="AE3187" t="str">
            <v>Con precio</v>
          </cell>
        </row>
        <row r="3188">
          <cell r="B3188" t="str">
            <v>FLORCR0005CO</v>
          </cell>
          <cell r="X3188" t="str">
            <v>Empaquetado</v>
          </cell>
          <cell r="AC3188">
            <v>2.5783333333333339E-2</v>
          </cell>
          <cell r="AD3188">
            <v>2.5783333333333339E-2</v>
          </cell>
          <cell r="AE3188" t="str">
            <v>Con precio</v>
          </cell>
        </row>
        <row r="3189">
          <cell r="B3189" t="str">
            <v>FLORCR0005CO</v>
          </cell>
          <cell r="X3189" t="str">
            <v>Empaquetado</v>
          </cell>
          <cell r="AC3189">
            <v>2.5359983896940424E-2</v>
          </cell>
          <cell r="AD3189">
            <v>2.5359983896940424E-2</v>
          </cell>
          <cell r="AE3189" t="str">
            <v>Con precio</v>
          </cell>
        </row>
        <row r="3190">
          <cell r="B3190" t="str">
            <v>FLORCR0005CO</v>
          </cell>
          <cell r="X3190" t="str">
            <v>Empaquetado</v>
          </cell>
          <cell r="AC3190">
            <v>3.4200000000000001E-2</v>
          </cell>
          <cell r="AD3190">
            <v>3.4200000000000001E-2</v>
          </cell>
          <cell r="AE3190" t="str">
            <v>Con precio</v>
          </cell>
        </row>
        <row r="3191">
          <cell r="B3191" t="str">
            <v>FLORCR0005CO</v>
          </cell>
          <cell r="X3191" t="str">
            <v>Empaquetado</v>
          </cell>
          <cell r="AC3191">
            <v>0.17399999999999999</v>
          </cell>
          <cell r="AD3191">
            <v>0.17399999999999999</v>
          </cell>
          <cell r="AE3191" t="str">
            <v>Con precio</v>
          </cell>
        </row>
        <row r="3192">
          <cell r="B3192" t="str">
            <v>FLORCR0005CO</v>
          </cell>
          <cell r="X3192" t="str">
            <v>Empaquetado</v>
          </cell>
          <cell r="AC3192">
            <v>3.6950017630465445E-2</v>
          </cell>
          <cell r="AD3192">
            <v>3.6950017630465445E-2</v>
          </cell>
          <cell r="AE3192" t="str">
            <v>Con precio</v>
          </cell>
        </row>
        <row r="3193">
          <cell r="B3193" t="str">
            <v>FLORCR0005PA</v>
          </cell>
          <cell r="X3193" t="str">
            <v>Formulación</v>
          </cell>
          <cell r="AC3193">
            <v>5.3186000000000004E-2</v>
          </cell>
          <cell r="AD3193">
            <v>4.8247300000000007E-2</v>
          </cell>
          <cell r="AE3193" t="str">
            <v>Con precio</v>
          </cell>
        </row>
        <row r="3194">
          <cell r="B3194" t="str">
            <v>FLORCR0005PA</v>
          </cell>
          <cell r="X3194" t="str">
            <v>Formulación</v>
          </cell>
          <cell r="AC3194">
            <v>0.11249999999999999</v>
          </cell>
          <cell r="AD3194">
            <v>0.11249999999999999</v>
          </cell>
          <cell r="AE3194" t="str">
            <v>Con precio</v>
          </cell>
        </row>
        <row r="3195">
          <cell r="B3195" t="str">
            <v>FLORCR0005PA</v>
          </cell>
          <cell r="X3195" t="str">
            <v>Formulación</v>
          </cell>
          <cell r="AC3195">
            <v>0.1104</v>
          </cell>
          <cell r="AD3195">
            <v>0.10679999999999999</v>
          </cell>
          <cell r="AE3195" t="str">
            <v>Con precio</v>
          </cell>
        </row>
        <row r="3196">
          <cell r="B3196" t="str">
            <v>FLORCR0005PA</v>
          </cell>
          <cell r="X3196" t="str">
            <v>Formulación</v>
          </cell>
          <cell r="AC3196">
            <v>7.4400000000000008E-2</v>
          </cell>
          <cell r="AD3196">
            <v>6.8386666666666665E-2</v>
          </cell>
          <cell r="AE3196" t="str">
            <v>Con precio</v>
          </cell>
        </row>
        <row r="3197">
          <cell r="B3197" t="str">
            <v>FLORCR0005PA</v>
          </cell>
          <cell r="X3197" t="str">
            <v>Formulación</v>
          </cell>
          <cell r="AC3197">
            <v>4.9950000000000003E-3</v>
          </cell>
          <cell r="AD3197">
            <v>4.4599999999999996E-3</v>
          </cell>
          <cell r="AE3197" t="str">
            <v>Con precio</v>
          </cell>
        </row>
        <row r="3198">
          <cell r="B3198" t="str">
            <v>FLORCR0005PA</v>
          </cell>
          <cell r="X3198" t="str">
            <v>Formulación</v>
          </cell>
          <cell r="AC3198">
            <v>1.6799999999999999E-2</v>
          </cell>
          <cell r="AD3198">
            <v>1.6799999999999999E-2</v>
          </cell>
          <cell r="AE3198" t="str">
            <v>Con precio</v>
          </cell>
        </row>
        <row r="3199">
          <cell r="B3199" t="str">
            <v>FLORCR0005PA</v>
          </cell>
          <cell r="X3199" t="str">
            <v>Formulación</v>
          </cell>
          <cell r="AC3199">
            <v>0.10296</v>
          </cell>
          <cell r="AD3199">
            <v>9.1200000000000003E-2</v>
          </cell>
          <cell r="AE3199" t="str">
            <v>Con precio</v>
          </cell>
        </row>
        <row r="3200">
          <cell r="B3200" t="str">
            <v>FLORCR0005PA</v>
          </cell>
          <cell r="X3200" t="str">
            <v>Empaquetado</v>
          </cell>
          <cell r="AC3200">
            <v>1.2991333333333337E-2</v>
          </cell>
          <cell r="AD3200">
            <v>1.2991333333333337E-2</v>
          </cell>
          <cell r="AE3200" t="str">
            <v>Con precio</v>
          </cell>
        </row>
        <row r="3201">
          <cell r="B3201" t="str">
            <v>FLORCR0005PA</v>
          </cell>
          <cell r="X3201" t="str">
            <v>Empaquetado</v>
          </cell>
          <cell r="AC3201">
            <v>2.5783333333333339E-2</v>
          </cell>
          <cell r="AD3201">
            <v>2.5783333333333339E-2</v>
          </cell>
          <cell r="AE3201" t="str">
            <v>Con precio</v>
          </cell>
        </row>
        <row r="3202">
          <cell r="B3202" t="str">
            <v>FLORCR0005PA</v>
          </cell>
          <cell r="X3202" t="str">
            <v>Empaquetado</v>
          </cell>
          <cell r="AC3202">
            <v>2.5359983896940424E-2</v>
          </cell>
          <cell r="AD3202">
            <v>2.5359983896940424E-2</v>
          </cell>
          <cell r="AE3202" t="str">
            <v>Con precio</v>
          </cell>
        </row>
        <row r="3203">
          <cell r="B3203" t="str">
            <v>FLORCR0005PA</v>
          </cell>
          <cell r="X3203" t="str">
            <v>Empaquetado</v>
          </cell>
          <cell r="AC3203">
            <v>3.4200000000000001E-2</v>
          </cell>
          <cell r="AD3203">
            <v>3.4200000000000001E-2</v>
          </cell>
          <cell r="AE3203" t="str">
            <v>Con precio</v>
          </cell>
        </row>
        <row r="3204">
          <cell r="B3204" t="str">
            <v>FLORCR0005PA</v>
          </cell>
          <cell r="X3204" t="str">
            <v>Empaquetado</v>
          </cell>
          <cell r="AC3204">
            <v>0.17399999999999999</v>
          </cell>
          <cell r="AD3204">
            <v>0.17399999999999999</v>
          </cell>
          <cell r="AE3204" t="str">
            <v>Con precio</v>
          </cell>
        </row>
        <row r="3205">
          <cell r="B3205" t="str">
            <v>FLORCR0005PA</v>
          </cell>
          <cell r="X3205" t="str">
            <v>Empaquetado</v>
          </cell>
          <cell r="AC3205">
            <v>3.6950017630465445E-2</v>
          </cell>
          <cell r="AD3205">
            <v>3.6950017630465445E-2</v>
          </cell>
          <cell r="AE3205" t="str">
            <v>Con precio</v>
          </cell>
        </row>
        <row r="3206">
          <cell r="B3206" t="str">
            <v>FLORCR0020CO</v>
          </cell>
          <cell r="X3206" t="str">
            <v>Formulación</v>
          </cell>
          <cell r="AC3206">
            <v>5.3186000000000004E-2</v>
          </cell>
          <cell r="AD3206">
            <v>4.8247300000000007E-2</v>
          </cell>
          <cell r="AE3206" t="str">
            <v>Con precio</v>
          </cell>
        </row>
        <row r="3207">
          <cell r="B3207" t="str">
            <v>FLORCR0020CO</v>
          </cell>
          <cell r="X3207" t="str">
            <v>Formulación</v>
          </cell>
          <cell r="AC3207">
            <v>0.11249999999999999</v>
          </cell>
          <cell r="AD3207">
            <v>0.11249999999999999</v>
          </cell>
          <cell r="AE3207" t="str">
            <v>Con precio</v>
          </cell>
        </row>
        <row r="3208">
          <cell r="B3208" t="str">
            <v>FLORCR0020CO</v>
          </cell>
          <cell r="X3208" t="str">
            <v>Formulación</v>
          </cell>
          <cell r="AC3208">
            <v>0.1104</v>
          </cell>
          <cell r="AD3208">
            <v>0.10679999999999999</v>
          </cell>
          <cell r="AE3208" t="str">
            <v>Con precio</v>
          </cell>
        </row>
        <row r="3209">
          <cell r="B3209" t="str">
            <v>FLORCR0020CO</v>
          </cell>
          <cell r="X3209" t="str">
            <v>Formulación</v>
          </cell>
          <cell r="AC3209">
            <v>7.4400000000000008E-2</v>
          </cell>
          <cell r="AD3209">
            <v>6.8386666666666665E-2</v>
          </cell>
          <cell r="AE3209" t="str">
            <v>Con precio</v>
          </cell>
        </row>
        <row r="3210">
          <cell r="B3210" t="str">
            <v>FLORCR0020CO</v>
          </cell>
          <cell r="X3210" t="str">
            <v>Formulación</v>
          </cell>
          <cell r="AC3210">
            <v>4.9950000000000003E-3</v>
          </cell>
          <cell r="AD3210">
            <v>4.4599999999999996E-3</v>
          </cell>
          <cell r="AE3210" t="str">
            <v>Con precio</v>
          </cell>
        </row>
        <row r="3211">
          <cell r="B3211" t="str">
            <v>FLORCR0020CO</v>
          </cell>
          <cell r="X3211" t="str">
            <v>Formulación</v>
          </cell>
          <cell r="AC3211">
            <v>1.6799999999999999E-2</v>
          </cell>
          <cell r="AD3211">
            <v>1.6799999999999999E-2</v>
          </cell>
          <cell r="AE3211" t="str">
            <v>Con precio</v>
          </cell>
        </row>
        <row r="3212">
          <cell r="B3212" t="str">
            <v>FLORCR0020CO</v>
          </cell>
          <cell r="X3212" t="str">
            <v>Formulación</v>
          </cell>
          <cell r="AC3212">
            <v>0.10296</v>
          </cell>
          <cell r="AD3212">
            <v>9.1200000000000003E-2</v>
          </cell>
          <cell r="AE3212" t="str">
            <v>Con precio</v>
          </cell>
        </row>
        <row r="3213">
          <cell r="B3213" t="str">
            <v>FLORCR0020CO</v>
          </cell>
          <cell r="X3213" t="str">
            <v>Empaquetado</v>
          </cell>
          <cell r="AC3213">
            <v>7.3209374999999993E-3</v>
          </cell>
          <cell r="AD3213">
            <v>7.3209374999999993E-3</v>
          </cell>
          <cell r="AE3213" t="str">
            <v>Con precio</v>
          </cell>
        </row>
        <row r="3214">
          <cell r="B3214" t="str">
            <v>FLORCR0020CO</v>
          </cell>
          <cell r="X3214" t="str">
            <v>Empaquetado</v>
          </cell>
          <cell r="AC3214">
            <v>2.4171875000000002E-2</v>
          </cell>
          <cell r="AD3214">
            <v>2.4171875000000002E-2</v>
          </cell>
          <cell r="AE3214" t="str">
            <v>Con precio</v>
          </cell>
        </row>
        <row r="3215">
          <cell r="B3215" t="str">
            <v>FLORCR0020CO</v>
          </cell>
          <cell r="X3215" t="str">
            <v>Empaquetado</v>
          </cell>
          <cell r="AC3215">
            <v>4.4344972826086959E-3</v>
          </cell>
          <cell r="AD3215">
            <v>4.4344972826086959E-3</v>
          </cell>
          <cell r="AE3215" t="str">
            <v>Con precio</v>
          </cell>
        </row>
        <row r="3216">
          <cell r="B3216" t="str">
            <v>FLORCR0020CO</v>
          </cell>
          <cell r="X3216" t="str">
            <v>Empaquetado</v>
          </cell>
          <cell r="AC3216">
            <v>0.18266505681818179</v>
          </cell>
          <cell r="AD3216">
            <v>0.18266505681818179</v>
          </cell>
          <cell r="AE3216" t="str">
            <v>Con precio</v>
          </cell>
        </row>
        <row r="3217">
          <cell r="B3217" t="str">
            <v>FLORCR0020CO</v>
          </cell>
          <cell r="X3217" t="str">
            <v>Empaquetado</v>
          </cell>
          <cell r="AC3217">
            <v>1.2352941176470591E-2</v>
          </cell>
          <cell r="AD3217">
            <v>1.2352941176470591E-2</v>
          </cell>
          <cell r="AE3217" t="str">
            <v>Con precio</v>
          </cell>
        </row>
        <row r="3218">
          <cell r="B3218" t="str">
            <v>FLORCR1000CR</v>
          </cell>
          <cell r="X3218" t="str">
            <v>Formulación</v>
          </cell>
          <cell r="AC3218">
            <v>5.3186000000000004E-2</v>
          </cell>
          <cell r="AD3218">
            <v>4.8247300000000007E-2</v>
          </cell>
          <cell r="AE3218" t="str">
            <v>Con precio</v>
          </cell>
        </row>
        <row r="3219">
          <cell r="B3219" t="str">
            <v>FLORCR1000CR</v>
          </cell>
          <cell r="X3219" t="str">
            <v>Formulación</v>
          </cell>
          <cell r="AC3219">
            <v>0.11249999999999999</v>
          </cell>
          <cell r="AD3219">
            <v>0.11249999999999999</v>
          </cell>
          <cell r="AE3219" t="str">
            <v>Con precio</v>
          </cell>
        </row>
        <row r="3220">
          <cell r="B3220" t="str">
            <v>FLORCR1000CR</v>
          </cell>
          <cell r="X3220" t="str">
            <v>Formulación</v>
          </cell>
          <cell r="AC3220">
            <v>0.1104</v>
          </cell>
          <cell r="AD3220">
            <v>0.10679999999999999</v>
          </cell>
          <cell r="AE3220" t="str">
            <v>Con precio</v>
          </cell>
        </row>
        <row r="3221">
          <cell r="B3221" t="str">
            <v>FLORCR1000CR</v>
          </cell>
          <cell r="X3221" t="str">
            <v>Formulación</v>
          </cell>
          <cell r="AC3221">
            <v>7.4400000000000008E-2</v>
          </cell>
          <cell r="AD3221">
            <v>6.8386666666666665E-2</v>
          </cell>
          <cell r="AE3221" t="str">
            <v>Con precio</v>
          </cell>
        </row>
        <row r="3222">
          <cell r="B3222" t="str">
            <v>FLORCR1000CR</v>
          </cell>
          <cell r="X3222" t="str">
            <v>Formulación</v>
          </cell>
          <cell r="AC3222">
            <v>4.9950000000000003E-3</v>
          </cell>
          <cell r="AD3222">
            <v>4.4599999999999996E-3</v>
          </cell>
          <cell r="AE3222" t="str">
            <v>Con precio</v>
          </cell>
        </row>
        <row r="3223">
          <cell r="B3223" t="str">
            <v>FLORCR1000CR</v>
          </cell>
          <cell r="X3223" t="str">
            <v>Formulación</v>
          </cell>
          <cell r="AC3223">
            <v>1.6799999999999999E-2</v>
          </cell>
          <cell r="AD3223">
            <v>1.6799999999999999E-2</v>
          </cell>
          <cell r="AE3223" t="str">
            <v>Con precio</v>
          </cell>
        </row>
        <row r="3224">
          <cell r="B3224" t="str">
            <v>FLORCR1000CR</v>
          </cell>
          <cell r="X3224" t="str">
            <v>Formulación</v>
          </cell>
          <cell r="AC3224">
            <v>0.10296</v>
          </cell>
          <cell r="AD3224">
            <v>9.1200000000000003E-2</v>
          </cell>
          <cell r="AE3224" t="str">
            <v>Con precio</v>
          </cell>
        </row>
        <row r="3225">
          <cell r="B3225" t="str">
            <v>FLORCR1000CR</v>
          </cell>
          <cell r="X3225" t="str">
            <v>Empaquetado</v>
          </cell>
          <cell r="AC3225">
            <v>0.11700000000000001</v>
          </cell>
          <cell r="AD3225">
            <v>0.11700000000000001</v>
          </cell>
          <cell r="AE3225" t="str">
            <v>Con precio</v>
          </cell>
        </row>
        <row r="3226">
          <cell r="B3226" t="str">
            <v>FLORCR1000CR</v>
          </cell>
          <cell r="X3226" t="str">
            <v>Empaquetado</v>
          </cell>
          <cell r="AC3226">
            <v>1.014399355877617E-4</v>
          </cell>
          <cell r="AD3226">
            <v>1.014399355877617E-4</v>
          </cell>
          <cell r="AE3226" t="str">
            <v>Con precio</v>
          </cell>
        </row>
        <row r="3227">
          <cell r="B3227" t="str">
            <v>FROST-P0001RO</v>
          </cell>
          <cell r="X3227" t="str">
            <v>Formulación</v>
          </cell>
          <cell r="AC3227">
            <v>3.1899999999999998E-2</v>
          </cell>
          <cell r="AD3227">
            <v>3.1899999999999998E-2</v>
          </cell>
          <cell r="AE3227" t="str">
            <v>Con precio</v>
          </cell>
        </row>
        <row r="3228">
          <cell r="B3228" t="str">
            <v>FROST-P0001RO</v>
          </cell>
          <cell r="X3228" t="str">
            <v>Formulación</v>
          </cell>
          <cell r="AC3228">
            <v>1.3880000000000002E-2</v>
          </cell>
          <cell r="AD3228">
            <v>1.3880000000000002E-2</v>
          </cell>
          <cell r="AE3228" t="str">
            <v>Con precio</v>
          </cell>
        </row>
        <row r="3229">
          <cell r="B3229" t="str">
            <v>FROST-P0001RO</v>
          </cell>
          <cell r="X3229" t="str">
            <v>Formulación</v>
          </cell>
          <cell r="AC3229">
            <v>8.8000000000000005E-3</v>
          </cell>
          <cell r="AD3229">
            <v>8.8000000000000005E-3</v>
          </cell>
          <cell r="AE3229" t="str">
            <v>Con precio</v>
          </cell>
        </row>
        <row r="3230">
          <cell r="B3230" t="str">
            <v>FROST-P0001RO</v>
          </cell>
          <cell r="X3230" t="str">
            <v>Formulación</v>
          </cell>
          <cell r="AC3230">
            <v>1.9</v>
          </cell>
          <cell r="AD3230">
            <v>1.4812500000000002</v>
          </cell>
          <cell r="AE3230" t="str">
            <v>Con precio</v>
          </cell>
        </row>
        <row r="3231">
          <cell r="B3231" t="str">
            <v>FROST-P0001RO</v>
          </cell>
          <cell r="X3231" t="str">
            <v>Formulación</v>
          </cell>
          <cell r="AC3231">
            <v>3.2278399999999999E-2</v>
          </cell>
          <cell r="AD3231">
            <v>2.9281120000000001E-2</v>
          </cell>
          <cell r="AE3231" t="str">
            <v>Con precio</v>
          </cell>
        </row>
        <row r="3232">
          <cell r="B3232" t="str">
            <v>FROST-P0001RO</v>
          </cell>
          <cell r="X3232" t="str">
            <v>Formulación</v>
          </cell>
          <cell r="AC3232">
            <v>0.30192000000000002</v>
          </cell>
          <cell r="AD3232">
            <v>0.30192000000000002</v>
          </cell>
          <cell r="AE3232" t="str">
            <v>Con precio</v>
          </cell>
        </row>
        <row r="3233">
          <cell r="B3233" t="str">
            <v>FROST-P0001RO</v>
          </cell>
          <cell r="X3233" t="str">
            <v>Formulación</v>
          </cell>
          <cell r="AC3233">
            <v>0.78660000000000008</v>
          </cell>
          <cell r="AD3233">
            <v>0.64455599999999991</v>
          </cell>
          <cell r="AE3233" t="str">
            <v>Con precio</v>
          </cell>
        </row>
        <row r="3234">
          <cell r="B3234" t="str">
            <v>FROST-P0001RO</v>
          </cell>
          <cell r="X3234" t="str">
            <v>Formulación</v>
          </cell>
          <cell r="AC3234">
            <v>5.9340000000000004E-2</v>
          </cell>
          <cell r="AD3234">
            <v>5.9340000000000004E-2</v>
          </cell>
          <cell r="AE3234" t="str">
            <v>Con precio</v>
          </cell>
        </row>
        <row r="3235">
          <cell r="B3235" t="str">
            <v>FROST-P0001RO</v>
          </cell>
          <cell r="X3235" t="str">
            <v>Formulación</v>
          </cell>
          <cell r="AC3235">
            <v>0.13280999999999998</v>
          </cell>
          <cell r="AD3235">
            <v>0.12209200000000001</v>
          </cell>
          <cell r="AE3235" t="str">
            <v>Con precio</v>
          </cell>
        </row>
        <row r="3236">
          <cell r="B3236" t="str">
            <v>FROST-P0001RO</v>
          </cell>
          <cell r="X3236" t="str">
            <v>Formulación</v>
          </cell>
          <cell r="AC3236">
            <v>0.40500000000000003</v>
          </cell>
          <cell r="AD3236">
            <v>0.27471428571428569</v>
          </cell>
          <cell r="AE3236" t="str">
            <v>Con precio</v>
          </cell>
        </row>
        <row r="3237">
          <cell r="B3237" t="str">
            <v>FROST-P0001RO</v>
          </cell>
          <cell r="X3237" t="str">
            <v>Formulación</v>
          </cell>
          <cell r="AC3237">
            <v>8.6E-3</v>
          </cell>
          <cell r="AD3237">
            <v>6.43E-3</v>
          </cell>
          <cell r="AE3237" t="str">
            <v>Con precio</v>
          </cell>
        </row>
        <row r="3238">
          <cell r="B3238" t="str">
            <v>FROST-P0001RO</v>
          </cell>
          <cell r="X3238" t="str">
            <v>Formulación</v>
          </cell>
          <cell r="AC3238">
            <v>7.3200000000000001E-3</v>
          </cell>
          <cell r="AD3238">
            <v>7.3200000000000001E-3</v>
          </cell>
          <cell r="AE3238" t="str">
            <v>Con precio</v>
          </cell>
        </row>
        <row r="3239">
          <cell r="B3239" t="str">
            <v>FROST-P0001RO</v>
          </cell>
          <cell r="X3239" t="str">
            <v>Formulación</v>
          </cell>
          <cell r="AC3239">
            <v>1.55E-2</v>
          </cell>
          <cell r="AD3239">
            <v>1.55E-2</v>
          </cell>
          <cell r="AE3239" t="str">
            <v>Con precio</v>
          </cell>
        </row>
        <row r="3240">
          <cell r="B3240" t="str">
            <v>FROST-P0001RO</v>
          </cell>
          <cell r="X3240" t="str">
            <v>Empaquetado</v>
          </cell>
          <cell r="AC3240">
            <v>3.0303030303030299E-5</v>
          </cell>
          <cell r="AD3240">
            <v>3.0303030303030299E-5</v>
          </cell>
          <cell r="AE3240" t="str">
            <v>Con precio</v>
          </cell>
        </row>
        <row r="3241">
          <cell r="B3241" t="str">
            <v>FROST-P0001RO</v>
          </cell>
          <cell r="X3241" t="str">
            <v>Empaquetado</v>
          </cell>
          <cell r="AC3241">
            <v>2.3439393939393937E-2</v>
          </cell>
          <cell r="AD3241">
            <v>2.3439393939393937E-2</v>
          </cell>
          <cell r="AE3241" t="str">
            <v>Con precio</v>
          </cell>
        </row>
        <row r="3242">
          <cell r="B3242" t="str">
            <v>FROST-P0001RO</v>
          </cell>
          <cell r="X3242" t="str">
            <v>Empaquetado</v>
          </cell>
          <cell r="AC3242">
            <v>7.1917518745739595E-2</v>
          </cell>
          <cell r="AD3242">
            <v>7.1917518745739595E-2</v>
          </cell>
          <cell r="AE3242" t="str">
            <v>Con precio</v>
          </cell>
        </row>
        <row r="3243">
          <cell r="B3243" t="str">
            <v>FROST-P0001RO</v>
          </cell>
          <cell r="X3243" t="str">
            <v>Empaquetado</v>
          </cell>
          <cell r="AC3243">
            <v>0.44322992424242419</v>
          </cell>
          <cell r="AD3243">
            <v>0.44322992424242419</v>
          </cell>
          <cell r="AE3243" t="str">
            <v>Con precio</v>
          </cell>
        </row>
        <row r="3244">
          <cell r="B3244" t="str">
            <v>FROST-P0001RO</v>
          </cell>
          <cell r="X3244" t="str">
            <v>Empaquetado</v>
          </cell>
          <cell r="AC3244">
            <v>0.11874999999999999</v>
          </cell>
          <cell r="AD3244">
            <v>0.11874999999999999</v>
          </cell>
          <cell r="AE3244" t="str">
            <v>Con precio</v>
          </cell>
        </row>
        <row r="3245">
          <cell r="B3245" t="str">
            <v>FROST-P0001RO</v>
          </cell>
          <cell r="X3245" t="str">
            <v>Empaquetado</v>
          </cell>
          <cell r="AC3245">
            <v>9.6080774456521717E-2</v>
          </cell>
          <cell r="AD3245">
            <v>9.6080774456521717E-2</v>
          </cell>
          <cell r="AE3245" t="str">
            <v>Con precio</v>
          </cell>
        </row>
        <row r="3246">
          <cell r="B3246" t="str">
            <v>FROST-P0005</v>
          </cell>
          <cell r="X3246" t="str">
            <v>Formulación</v>
          </cell>
          <cell r="AC3246">
            <v>3.1899999999999998E-2</v>
          </cell>
          <cell r="AD3246">
            <v>3.1899999999999998E-2</v>
          </cell>
          <cell r="AE3246" t="str">
            <v>Con precio</v>
          </cell>
        </row>
        <row r="3247">
          <cell r="B3247" t="str">
            <v>FROST-P0005</v>
          </cell>
          <cell r="X3247" t="str">
            <v>Formulación</v>
          </cell>
          <cell r="AC3247">
            <v>1.3880000000000002E-2</v>
          </cell>
          <cell r="AD3247">
            <v>1.3880000000000002E-2</v>
          </cell>
          <cell r="AE3247" t="str">
            <v>Con precio</v>
          </cell>
        </row>
        <row r="3248">
          <cell r="B3248" t="str">
            <v>FROST-P0005</v>
          </cell>
          <cell r="X3248" t="str">
            <v>Formulación</v>
          </cell>
          <cell r="AC3248">
            <v>8.8000000000000005E-3</v>
          </cell>
          <cell r="AD3248">
            <v>8.8000000000000005E-3</v>
          </cell>
          <cell r="AE3248" t="str">
            <v>Con precio</v>
          </cell>
        </row>
        <row r="3249">
          <cell r="B3249" t="str">
            <v>FROST-P0005</v>
          </cell>
          <cell r="X3249" t="str">
            <v>Formulación</v>
          </cell>
          <cell r="AC3249">
            <v>1.9</v>
          </cell>
          <cell r="AD3249">
            <v>1.4812500000000002</v>
          </cell>
          <cell r="AE3249" t="str">
            <v>Con precio</v>
          </cell>
        </row>
        <row r="3250">
          <cell r="B3250" t="str">
            <v>FROST-P0005</v>
          </cell>
          <cell r="X3250" t="str">
            <v>Formulación</v>
          </cell>
          <cell r="AC3250">
            <v>3.2278399999999999E-2</v>
          </cell>
          <cell r="AD3250">
            <v>2.9281120000000001E-2</v>
          </cell>
          <cell r="AE3250" t="str">
            <v>Con precio</v>
          </cell>
        </row>
        <row r="3251">
          <cell r="B3251" t="str">
            <v>FROST-P0005</v>
          </cell>
          <cell r="X3251" t="str">
            <v>Formulación</v>
          </cell>
          <cell r="AC3251">
            <v>0.30192000000000002</v>
          </cell>
          <cell r="AD3251">
            <v>0.30192000000000002</v>
          </cell>
          <cell r="AE3251" t="str">
            <v>Con precio</v>
          </cell>
        </row>
        <row r="3252">
          <cell r="B3252" t="str">
            <v>FROST-P0005</v>
          </cell>
          <cell r="X3252" t="str">
            <v>Formulación</v>
          </cell>
          <cell r="AC3252">
            <v>0.78660000000000008</v>
          </cell>
          <cell r="AD3252">
            <v>0.64455599999999991</v>
          </cell>
          <cell r="AE3252" t="str">
            <v>Con precio</v>
          </cell>
        </row>
        <row r="3253">
          <cell r="B3253" t="str">
            <v>FROST-P0005</v>
          </cell>
          <cell r="X3253" t="str">
            <v>Formulación</v>
          </cell>
          <cell r="AC3253">
            <v>5.9340000000000004E-2</v>
          </cell>
          <cell r="AD3253">
            <v>5.9340000000000004E-2</v>
          </cell>
          <cell r="AE3253" t="str">
            <v>Con precio</v>
          </cell>
        </row>
        <row r="3254">
          <cell r="B3254" t="str">
            <v>FROST-P0005</v>
          </cell>
          <cell r="X3254" t="str">
            <v>Formulación</v>
          </cell>
          <cell r="AC3254">
            <v>0.13280999999999998</v>
          </cell>
          <cell r="AD3254">
            <v>0.12209200000000001</v>
          </cell>
          <cell r="AE3254" t="str">
            <v>Con precio</v>
          </cell>
        </row>
        <row r="3255">
          <cell r="B3255" t="str">
            <v>FROST-P0005</v>
          </cell>
          <cell r="X3255" t="str">
            <v>Formulación</v>
          </cell>
          <cell r="AC3255">
            <v>0.40500000000000003</v>
          </cell>
          <cell r="AD3255">
            <v>0.27471428571428569</v>
          </cell>
          <cell r="AE3255" t="str">
            <v>Con precio</v>
          </cell>
        </row>
        <row r="3256">
          <cell r="B3256" t="str">
            <v>FROST-P0005</v>
          </cell>
          <cell r="X3256" t="str">
            <v>Formulación</v>
          </cell>
          <cell r="AC3256">
            <v>8.6E-3</v>
          </cell>
          <cell r="AD3256">
            <v>6.43E-3</v>
          </cell>
          <cell r="AE3256" t="str">
            <v>Con precio</v>
          </cell>
        </row>
        <row r="3257">
          <cell r="B3257" t="str">
            <v>FROST-P0005</v>
          </cell>
          <cell r="X3257" t="str">
            <v>Formulación</v>
          </cell>
          <cell r="AC3257">
            <v>7.3200000000000001E-3</v>
          </cell>
          <cell r="AD3257">
            <v>7.3200000000000001E-3</v>
          </cell>
          <cell r="AE3257" t="str">
            <v>Con precio</v>
          </cell>
        </row>
        <row r="3258">
          <cell r="B3258" t="str">
            <v>FROST-P0005</v>
          </cell>
          <cell r="X3258" t="str">
            <v>Formulación</v>
          </cell>
          <cell r="AC3258">
            <v>1.55E-2</v>
          </cell>
          <cell r="AD3258">
            <v>1.55E-2</v>
          </cell>
          <cell r="AE3258" t="str">
            <v>Con precio</v>
          </cell>
        </row>
        <row r="3259">
          <cell r="B3259" t="str">
            <v>FROST-P0005</v>
          </cell>
          <cell r="X3259" t="str">
            <v>Empaquetado</v>
          </cell>
          <cell r="AC3259">
            <v>1.2991333333333337E-2</v>
          </cell>
          <cell r="AD3259">
            <v>1.2991333333333337E-2</v>
          </cell>
          <cell r="AE3259" t="str">
            <v>Con precio</v>
          </cell>
        </row>
        <row r="3260">
          <cell r="B3260" t="str">
            <v>FROST-P0005</v>
          </cell>
          <cell r="X3260" t="str">
            <v>Empaquetado</v>
          </cell>
          <cell r="AC3260">
            <v>2.5783333333333339E-2</v>
          </cell>
          <cell r="AD3260">
            <v>2.5783333333333339E-2</v>
          </cell>
          <cell r="AE3260" t="str">
            <v>Con precio</v>
          </cell>
        </row>
        <row r="3261">
          <cell r="B3261" t="str">
            <v>FROST-P0005</v>
          </cell>
          <cell r="X3261" t="str">
            <v>Empaquetado</v>
          </cell>
          <cell r="AC3261">
            <v>2.5359983896940424E-2</v>
          </cell>
          <cell r="AD3261">
            <v>2.5359983896940424E-2</v>
          </cell>
          <cell r="AE3261" t="str">
            <v>Con precio</v>
          </cell>
        </row>
        <row r="3262">
          <cell r="B3262" t="str">
            <v>FROST-P0005</v>
          </cell>
          <cell r="X3262" t="str">
            <v>Empaquetado</v>
          </cell>
          <cell r="AC3262">
            <v>3.4200000000000001E-2</v>
          </cell>
          <cell r="AD3262">
            <v>3.4200000000000001E-2</v>
          </cell>
          <cell r="AE3262" t="str">
            <v>Con precio</v>
          </cell>
        </row>
        <row r="3263">
          <cell r="B3263" t="str">
            <v>FROST-P0005</v>
          </cell>
          <cell r="X3263" t="str">
            <v>Empaquetado</v>
          </cell>
          <cell r="AC3263">
            <v>0.17399999999999999</v>
          </cell>
          <cell r="AD3263">
            <v>0.17399999999999999</v>
          </cell>
          <cell r="AE3263" t="str">
            <v>Con precio</v>
          </cell>
        </row>
        <row r="3264">
          <cell r="B3264" t="str">
            <v>FROST-P0005</v>
          </cell>
          <cell r="X3264" t="str">
            <v>Empaquetado</v>
          </cell>
          <cell r="AC3264">
            <v>3.6950017630465445E-2</v>
          </cell>
          <cell r="AD3264">
            <v>3.6950017630465445E-2</v>
          </cell>
          <cell r="AE3264" t="str">
            <v>Con precio</v>
          </cell>
        </row>
        <row r="3265">
          <cell r="B3265" t="str">
            <v>FROST-P0020</v>
          </cell>
          <cell r="X3265" t="str">
            <v>Formulación</v>
          </cell>
          <cell r="AC3265">
            <v>3.1899999999999998E-2</v>
          </cell>
          <cell r="AD3265">
            <v>3.1899999999999998E-2</v>
          </cell>
          <cell r="AE3265" t="str">
            <v>Con precio</v>
          </cell>
        </row>
        <row r="3266">
          <cell r="B3266" t="str">
            <v>FROST-P0020</v>
          </cell>
          <cell r="X3266" t="str">
            <v>Formulación</v>
          </cell>
          <cell r="AC3266">
            <v>1.3880000000000002E-2</v>
          </cell>
          <cell r="AD3266">
            <v>1.3880000000000002E-2</v>
          </cell>
          <cell r="AE3266" t="str">
            <v>Con precio</v>
          </cell>
        </row>
        <row r="3267">
          <cell r="B3267" t="str">
            <v>FROST-P0020</v>
          </cell>
          <cell r="X3267" t="str">
            <v>Formulación</v>
          </cell>
          <cell r="AC3267">
            <v>8.8000000000000005E-3</v>
          </cell>
          <cell r="AD3267">
            <v>8.8000000000000005E-3</v>
          </cell>
          <cell r="AE3267" t="str">
            <v>Con precio</v>
          </cell>
        </row>
        <row r="3268">
          <cell r="B3268" t="str">
            <v>FROST-P0020</v>
          </cell>
          <cell r="X3268" t="str">
            <v>Formulación</v>
          </cell>
          <cell r="AC3268">
            <v>1.9</v>
          </cell>
          <cell r="AD3268">
            <v>1.4812500000000002</v>
          </cell>
          <cell r="AE3268" t="str">
            <v>Con precio</v>
          </cell>
        </row>
        <row r="3269">
          <cell r="B3269" t="str">
            <v>FROST-P0020</v>
          </cell>
          <cell r="X3269" t="str">
            <v>Formulación</v>
          </cell>
          <cell r="AC3269">
            <v>3.2278399999999999E-2</v>
          </cell>
          <cell r="AD3269">
            <v>2.9281120000000001E-2</v>
          </cell>
          <cell r="AE3269" t="str">
            <v>Con precio</v>
          </cell>
        </row>
        <row r="3270">
          <cell r="B3270" t="str">
            <v>FROST-P0020</v>
          </cell>
          <cell r="X3270" t="str">
            <v>Formulación</v>
          </cell>
          <cell r="AC3270">
            <v>0.30192000000000002</v>
          </cell>
          <cell r="AD3270">
            <v>0.30192000000000002</v>
          </cell>
          <cell r="AE3270" t="str">
            <v>Con precio</v>
          </cell>
        </row>
        <row r="3271">
          <cell r="B3271" t="str">
            <v>FROST-P0020</v>
          </cell>
          <cell r="X3271" t="str">
            <v>Formulación</v>
          </cell>
          <cell r="AC3271">
            <v>0.78660000000000008</v>
          </cell>
          <cell r="AD3271">
            <v>0.64455599999999991</v>
          </cell>
          <cell r="AE3271" t="str">
            <v>Con precio</v>
          </cell>
        </row>
        <row r="3272">
          <cell r="B3272" t="str">
            <v>FROST-P0020</v>
          </cell>
          <cell r="X3272" t="str">
            <v>Formulación</v>
          </cell>
          <cell r="AC3272">
            <v>5.9340000000000004E-2</v>
          </cell>
          <cell r="AD3272">
            <v>5.9340000000000004E-2</v>
          </cell>
          <cell r="AE3272" t="str">
            <v>Con precio</v>
          </cell>
        </row>
        <row r="3273">
          <cell r="B3273" t="str">
            <v>FROST-P0020</v>
          </cell>
          <cell r="X3273" t="str">
            <v>Formulación</v>
          </cell>
          <cell r="AC3273">
            <v>0.13280999999999998</v>
          </cell>
          <cell r="AD3273">
            <v>0.12209200000000001</v>
          </cell>
          <cell r="AE3273" t="str">
            <v>Con precio</v>
          </cell>
        </row>
        <row r="3274">
          <cell r="B3274" t="str">
            <v>FROST-P0020</v>
          </cell>
          <cell r="X3274" t="str">
            <v>Formulación</v>
          </cell>
          <cell r="AC3274">
            <v>0.40500000000000003</v>
          </cell>
          <cell r="AD3274">
            <v>0.27471428571428569</v>
          </cell>
          <cell r="AE3274" t="str">
            <v>Con precio</v>
          </cell>
        </row>
        <row r="3275">
          <cell r="B3275" t="str">
            <v>FROST-P0020</v>
          </cell>
          <cell r="X3275" t="str">
            <v>Formulación</v>
          </cell>
          <cell r="AC3275">
            <v>8.6E-3</v>
          </cell>
          <cell r="AD3275">
            <v>6.43E-3</v>
          </cell>
          <cell r="AE3275" t="str">
            <v>Con precio</v>
          </cell>
        </row>
        <row r="3276">
          <cell r="B3276" t="str">
            <v>FROST-P0020</v>
          </cell>
          <cell r="X3276" t="str">
            <v>Formulación</v>
          </cell>
          <cell r="AC3276">
            <v>7.3200000000000001E-3</v>
          </cell>
          <cell r="AD3276">
            <v>7.3200000000000001E-3</v>
          </cell>
          <cell r="AE3276" t="str">
            <v>Con precio</v>
          </cell>
        </row>
        <row r="3277">
          <cell r="B3277" t="str">
            <v>FROST-P0020</v>
          </cell>
          <cell r="X3277" t="str">
            <v>Formulación</v>
          </cell>
          <cell r="AC3277">
            <v>1.55E-2</v>
          </cell>
          <cell r="AD3277">
            <v>1.55E-2</v>
          </cell>
          <cell r="AE3277" t="str">
            <v>Con precio</v>
          </cell>
        </row>
        <row r="3278">
          <cell r="B3278" t="str">
            <v>FROST-P0020</v>
          </cell>
          <cell r="X3278" t="str">
            <v>Empaquetado</v>
          </cell>
          <cell r="AC3278">
            <v>7.3209374999999993E-3</v>
          </cell>
          <cell r="AD3278">
            <v>7.3209374999999993E-3</v>
          </cell>
          <cell r="AE3278" t="str">
            <v>Con precio</v>
          </cell>
        </row>
        <row r="3279">
          <cell r="B3279" t="str">
            <v>FROST-P0020</v>
          </cell>
          <cell r="X3279" t="str">
            <v>Empaquetado</v>
          </cell>
          <cell r="AC3279">
            <v>2.4171875000000002E-2</v>
          </cell>
          <cell r="AD3279">
            <v>2.4171875000000002E-2</v>
          </cell>
          <cell r="AE3279" t="str">
            <v>Con precio</v>
          </cell>
        </row>
        <row r="3280">
          <cell r="B3280" t="str">
            <v>FROST-P0020</v>
          </cell>
          <cell r="X3280" t="str">
            <v>Empaquetado</v>
          </cell>
          <cell r="AC3280">
            <v>5.0719967793880849E-3</v>
          </cell>
          <cell r="AD3280">
            <v>5.0719967793880849E-3</v>
          </cell>
          <cell r="AE3280" t="str">
            <v>Con precio</v>
          </cell>
        </row>
        <row r="3281">
          <cell r="B3281" t="str">
            <v>FROST-P0020</v>
          </cell>
          <cell r="X3281" t="str">
            <v>Empaquetado</v>
          </cell>
          <cell r="AC3281">
            <v>0.18266505681818179</v>
          </cell>
          <cell r="AD3281">
            <v>0.18266505681818179</v>
          </cell>
          <cell r="AE3281" t="str">
            <v>Con precio</v>
          </cell>
        </row>
        <row r="3282">
          <cell r="B3282" t="str">
            <v>FROST-P0020</v>
          </cell>
          <cell r="X3282" t="str">
            <v>Empaquetado</v>
          </cell>
          <cell r="AC3282">
            <v>2.4035031847133761E-2</v>
          </cell>
          <cell r="AD3282">
            <v>2.4035031847133761E-2</v>
          </cell>
          <cell r="AE3282" t="str">
            <v>Con precio</v>
          </cell>
        </row>
        <row r="3283">
          <cell r="B3283" t="str">
            <v>FTK0005</v>
          </cell>
          <cell r="X3283" t="str">
            <v>Formulación</v>
          </cell>
          <cell r="AC3283">
            <v>9.5973428571428585E-3</v>
          </cell>
          <cell r="AD3283">
            <v>9.5973428571428585E-3</v>
          </cell>
          <cell r="AE3283" t="str">
            <v>Con precio</v>
          </cell>
        </row>
        <row r="3284">
          <cell r="B3284" t="str">
            <v>FTK0005</v>
          </cell>
          <cell r="X3284" t="str">
            <v>Formulación</v>
          </cell>
          <cell r="AC3284">
            <v>0</v>
          </cell>
          <cell r="AD3284">
            <v>0</v>
          </cell>
          <cell r="AE3284" t="str">
            <v>Con precio</v>
          </cell>
        </row>
        <row r="3285">
          <cell r="B3285" t="str">
            <v>FTK0005</v>
          </cell>
          <cell r="X3285" t="str">
            <v>Formulación</v>
          </cell>
          <cell r="AC3285">
            <v>0.10063420714285719</v>
          </cell>
          <cell r="AD3285">
            <v>0.10063420714285719</v>
          </cell>
          <cell r="AE3285" t="str">
            <v>Con precio</v>
          </cell>
        </row>
        <row r="3286">
          <cell r="B3286" t="str">
            <v>FTK0005</v>
          </cell>
          <cell r="X3286" t="str">
            <v>Formulación</v>
          </cell>
          <cell r="AC3286">
            <v>1.296192857142857E-2</v>
          </cell>
          <cell r="AD3286">
            <v>1.296192857142857E-2</v>
          </cell>
          <cell r="AE3286" t="str">
            <v>Con precio</v>
          </cell>
        </row>
        <row r="3287">
          <cell r="B3287" t="str">
            <v>FTK0005</v>
          </cell>
          <cell r="X3287" t="str">
            <v>Formulación</v>
          </cell>
          <cell r="AC3287">
            <v>1.6087500000000002E-3</v>
          </cell>
          <cell r="AD3287">
            <v>1.6087500000000002E-3</v>
          </cell>
          <cell r="AE3287" t="str">
            <v>Con precio</v>
          </cell>
        </row>
        <row r="3288">
          <cell r="B3288" t="str">
            <v>FTK0005</v>
          </cell>
          <cell r="X3288" t="str">
            <v>Formulación</v>
          </cell>
          <cell r="AC3288">
            <v>0.26063999999999998</v>
          </cell>
          <cell r="AD3288">
            <v>0.26063999999999998</v>
          </cell>
          <cell r="AE3288" t="str">
            <v>Con precio</v>
          </cell>
        </row>
        <row r="3289">
          <cell r="B3289" t="str">
            <v>FTK0005</v>
          </cell>
          <cell r="X3289" t="str">
            <v>Formulación</v>
          </cell>
          <cell r="AC3289">
            <v>0.12760000000000002</v>
          </cell>
          <cell r="AD3289">
            <v>0.12760000000000002</v>
          </cell>
          <cell r="AE3289" t="str">
            <v>Con precio</v>
          </cell>
        </row>
        <row r="3290">
          <cell r="B3290" t="str">
            <v>FTK0005</v>
          </cell>
          <cell r="X3290" t="str">
            <v>Formulación</v>
          </cell>
          <cell r="AC3290">
            <v>1.7500000000000002E-2</v>
          </cell>
          <cell r="AD3290">
            <v>1.6366666666666668E-2</v>
          </cell>
          <cell r="AE3290" t="str">
            <v>Con precio</v>
          </cell>
        </row>
        <row r="3291">
          <cell r="B3291" t="str">
            <v>FTK0005</v>
          </cell>
          <cell r="X3291" t="str">
            <v>Formulación</v>
          </cell>
          <cell r="AC3291">
            <v>1.1550000000000001E-2</v>
          </cell>
          <cell r="AD3291">
            <v>1.1550000000000001E-2</v>
          </cell>
          <cell r="AE3291" t="str">
            <v>Con precio</v>
          </cell>
        </row>
        <row r="3292">
          <cell r="B3292" t="str">
            <v>FTK0005</v>
          </cell>
          <cell r="X3292" t="str">
            <v>Formulación</v>
          </cell>
          <cell r="AC3292">
            <v>6.4874999999999993E-3</v>
          </cell>
          <cell r="AD3292">
            <v>5.4562500000000002E-3</v>
          </cell>
          <cell r="AE3292" t="str">
            <v>Con precio</v>
          </cell>
        </row>
        <row r="3293">
          <cell r="B3293" t="str">
            <v>FTK0005</v>
          </cell>
          <cell r="X3293" t="str">
            <v>Formulación</v>
          </cell>
          <cell r="AC3293">
            <v>0.1295</v>
          </cell>
          <cell r="AD3293">
            <v>0.1295</v>
          </cell>
          <cell r="AE3293" t="str">
            <v>Con precio</v>
          </cell>
        </row>
        <row r="3294">
          <cell r="B3294" t="str">
            <v>FTK0005</v>
          </cell>
          <cell r="X3294" t="str">
            <v>Formulación</v>
          </cell>
          <cell r="AC3294">
            <v>5.2499999999999998E-2</v>
          </cell>
          <cell r="AD3294">
            <v>5.2499999999999998E-2</v>
          </cell>
          <cell r="AE3294" t="str">
            <v>Con precio</v>
          </cell>
        </row>
        <row r="3295">
          <cell r="B3295" t="str">
            <v>FTK0005</v>
          </cell>
          <cell r="X3295" t="str">
            <v>Empaquetado</v>
          </cell>
          <cell r="AC3295">
            <v>7.376999999999999E-3</v>
          </cell>
          <cell r="AD3295">
            <v>7.376999999999999E-3</v>
          </cell>
          <cell r="AE3295" t="str">
            <v>Con precio</v>
          </cell>
        </row>
        <row r="3296">
          <cell r="B3296" t="str">
            <v>FTK0005</v>
          </cell>
          <cell r="X3296" t="str">
            <v>Empaquetado</v>
          </cell>
          <cell r="AC3296">
            <v>1.4063636363636365E-2</v>
          </cell>
          <cell r="AD3296">
            <v>1.4063636363636365E-2</v>
          </cell>
          <cell r="AE3296" t="str">
            <v>Con precio</v>
          </cell>
        </row>
        <row r="3297">
          <cell r="B3297" t="str">
            <v>FTK0005</v>
          </cell>
          <cell r="X3297" t="str">
            <v>Empaquetado</v>
          </cell>
          <cell r="AC3297">
            <v>2.217248641304348E-2</v>
          </cell>
          <cell r="AD3297">
            <v>2.217248641304348E-2</v>
          </cell>
          <cell r="AE3297" t="str">
            <v>Con precio</v>
          </cell>
        </row>
        <row r="3298">
          <cell r="B3298" t="str">
            <v>FTK0005</v>
          </cell>
          <cell r="X3298" t="str">
            <v>Empaquetado</v>
          </cell>
          <cell r="AC3298">
            <v>0.12</v>
          </cell>
          <cell r="AD3298">
            <v>0.12</v>
          </cell>
          <cell r="AE3298" t="str">
            <v>Con precio</v>
          </cell>
        </row>
        <row r="3299">
          <cell r="B3299" t="str">
            <v>FTK0005</v>
          </cell>
          <cell r="X3299" t="str">
            <v>Empaquetado</v>
          </cell>
          <cell r="AC3299">
            <v>3.1449999999999999E-2</v>
          </cell>
          <cell r="AD3299">
            <v>3.1449999999999999E-2</v>
          </cell>
          <cell r="AE3299" t="str">
            <v>Con precio</v>
          </cell>
        </row>
        <row r="3300">
          <cell r="B3300" t="str">
            <v>FTK0005AZ</v>
          </cell>
          <cell r="X3300" t="str">
            <v>Formulación</v>
          </cell>
          <cell r="AC3300">
            <v>9.5973428571428585E-3</v>
          </cell>
          <cell r="AD3300">
            <v>9.5973428571428585E-3</v>
          </cell>
          <cell r="AE3300" t="str">
            <v>Con precio</v>
          </cell>
        </row>
        <row r="3301">
          <cell r="B3301" t="str">
            <v>FTK0005AZ</v>
          </cell>
          <cell r="X3301" t="str">
            <v>Formulación</v>
          </cell>
          <cell r="AC3301">
            <v>0</v>
          </cell>
          <cell r="AD3301">
            <v>0</v>
          </cell>
          <cell r="AE3301" t="str">
            <v>Con precio</v>
          </cell>
        </row>
        <row r="3302">
          <cell r="B3302" t="str">
            <v>FTK0005AZ</v>
          </cell>
          <cell r="X3302" t="str">
            <v>Formulación</v>
          </cell>
          <cell r="AC3302">
            <v>0.10063420714285719</v>
          </cell>
          <cell r="AD3302">
            <v>0.10063420714285719</v>
          </cell>
          <cell r="AE3302" t="str">
            <v>Con precio</v>
          </cell>
        </row>
        <row r="3303">
          <cell r="B3303" t="str">
            <v>FTK0005AZ</v>
          </cell>
          <cell r="X3303" t="str">
            <v>Formulación</v>
          </cell>
          <cell r="AC3303">
            <v>1.296192857142857E-2</v>
          </cell>
          <cell r="AD3303">
            <v>1.296192857142857E-2</v>
          </cell>
          <cell r="AE3303" t="str">
            <v>Con precio</v>
          </cell>
        </row>
        <row r="3304">
          <cell r="B3304" t="str">
            <v>FTK0005AZ</v>
          </cell>
          <cell r="X3304" t="str">
            <v>Formulación</v>
          </cell>
          <cell r="AC3304">
            <v>1.6087500000000002E-3</v>
          </cell>
          <cell r="AD3304">
            <v>1.6087500000000002E-3</v>
          </cell>
          <cell r="AE3304" t="str">
            <v>Con precio</v>
          </cell>
        </row>
        <row r="3305">
          <cell r="B3305" t="str">
            <v>FTK0005AZ</v>
          </cell>
          <cell r="X3305" t="str">
            <v>Formulación</v>
          </cell>
          <cell r="AC3305">
            <v>0.26063999999999998</v>
          </cell>
          <cell r="AD3305">
            <v>0.26063999999999998</v>
          </cell>
          <cell r="AE3305" t="str">
            <v>Con precio</v>
          </cell>
        </row>
        <row r="3306">
          <cell r="B3306" t="str">
            <v>FTK0005AZ</v>
          </cell>
          <cell r="X3306" t="str">
            <v>Formulación</v>
          </cell>
          <cell r="AC3306">
            <v>0.12760000000000002</v>
          </cell>
          <cell r="AD3306">
            <v>0.12760000000000002</v>
          </cell>
          <cell r="AE3306" t="str">
            <v>Con precio</v>
          </cell>
        </row>
        <row r="3307">
          <cell r="B3307" t="str">
            <v>FTK0005AZ</v>
          </cell>
          <cell r="X3307" t="str">
            <v>Formulación</v>
          </cell>
          <cell r="AC3307">
            <v>1.7500000000000002E-2</v>
          </cell>
          <cell r="AD3307">
            <v>1.6366666666666668E-2</v>
          </cell>
          <cell r="AE3307" t="str">
            <v>Con precio</v>
          </cell>
        </row>
        <row r="3308">
          <cell r="B3308" t="str">
            <v>FTK0005AZ</v>
          </cell>
          <cell r="X3308" t="str">
            <v>Formulación</v>
          </cell>
          <cell r="AC3308">
            <v>1.1550000000000001E-2</v>
          </cell>
          <cell r="AD3308">
            <v>1.1550000000000001E-2</v>
          </cell>
          <cell r="AE3308" t="str">
            <v>Con precio</v>
          </cell>
        </row>
        <row r="3309">
          <cell r="B3309" t="str">
            <v>FTK0005AZ</v>
          </cell>
          <cell r="X3309" t="str">
            <v>Formulación</v>
          </cell>
          <cell r="AC3309">
            <v>6.4874999999999993E-3</v>
          </cell>
          <cell r="AD3309">
            <v>5.4562500000000002E-3</v>
          </cell>
          <cell r="AE3309" t="str">
            <v>Con precio</v>
          </cell>
        </row>
        <row r="3310">
          <cell r="B3310" t="str">
            <v>FTK0005AZ</v>
          </cell>
          <cell r="X3310" t="str">
            <v>Formulación</v>
          </cell>
          <cell r="AC3310">
            <v>0.1295</v>
          </cell>
          <cell r="AD3310">
            <v>0.1295</v>
          </cell>
          <cell r="AE3310" t="str">
            <v>Con precio</v>
          </cell>
        </row>
        <row r="3311">
          <cell r="B3311" t="str">
            <v>FTK0005AZ</v>
          </cell>
          <cell r="X3311" t="str">
            <v>Formulación</v>
          </cell>
          <cell r="AC3311">
            <v>5.2499999999999998E-2</v>
          </cell>
          <cell r="AD3311">
            <v>5.2499999999999998E-2</v>
          </cell>
          <cell r="AE3311" t="str">
            <v>Con precio</v>
          </cell>
        </row>
        <row r="3312">
          <cell r="B3312" t="str">
            <v>FTK0005AZ</v>
          </cell>
          <cell r="X3312" t="str">
            <v>Empaquetado</v>
          </cell>
          <cell r="AC3312">
            <v>7.376999999999999E-3</v>
          </cell>
          <cell r="AD3312">
            <v>7.376999999999999E-3</v>
          </cell>
          <cell r="AE3312" t="str">
            <v>Con precio</v>
          </cell>
        </row>
        <row r="3313">
          <cell r="B3313" t="str">
            <v>FTK0005AZ</v>
          </cell>
          <cell r="X3313" t="str">
            <v>Empaquetado</v>
          </cell>
          <cell r="AC3313">
            <v>1.4063636363636365E-2</v>
          </cell>
          <cell r="AD3313">
            <v>1.4063636363636365E-2</v>
          </cell>
          <cell r="AE3313" t="str">
            <v>Con precio</v>
          </cell>
        </row>
        <row r="3314">
          <cell r="B3314" t="str">
            <v>FTK0005AZ</v>
          </cell>
          <cell r="X3314" t="str">
            <v>Empaquetado</v>
          </cell>
          <cell r="AC3314">
            <v>2.217248641304348E-2</v>
          </cell>
          <cell r="AD3314">
            <v>2.217248641304348E-2</v>
          </cell>
          <cell r="AE3314" t="str">
            <v>Con precio</v>
          </cell>
        </row>
        <row r="3315">
          <cell r="B3315" t="str">
            <v>FTK0005AZ</v>
          </cell>
          <cell r="X3315" t="str">
            <v>Empaquetado</v>
          </cell>
          <cell r="AC3315">
            <v>0.12</v>
          </cell>
          <cell r="AD3315">
            <v>0.12</v>
          </cell>
          <cell r="AE3315" t="str">
            <v>Con precio</v>
          </cell>
        </row>
        <row r="3316">
          <cell r="B3316" t="str">
            <v>FTK0005AZ</v>
          </cell>
          <cell r="X3316" t="str">
            <v>Empaquetado</v>
          </cell>
          <cell r="AC3316">
            <v>3.1449999999999999E-2</v>
          </cell>
          <cell r="AD3316">
            <v>3.1449999999999999E-2</v>
          </cell>
          <cell r="AE3316" t="str">
            <v>Con precio</v>
          </cell>
        </row>
        <row r="3317">
          <cell r="B3317" t="str">
            <v>FTK0005MA</v>
          </cell>
          <cell r="X3317" t="str">
            <v>Formulación</v>
          </cell>
          <cell r="AC3317">
            <v>9.5973428571428585E-3</v>
          </cell>
          <cell r="AD3317">
            <v>9.5973428571428585E-3</v>
          </cell>
          <cell r="AE3317" t="str">
            <v>Con precio</v>
          </cell>
        </row>
        <row r="3318">
          <cell r="B3318" t="str">
            <v>FTK0005MA</v>
          </cell>
          <cell r="X3318" t="str">
            <v>Formulación</v>
          </cell>
          <cell r="AC3318">
            <v>0</v>
          </cell>
          <cell r="AD3318">
            <v>0</v>
          </cell>
          <cell r="AE3318" t="str">
            <v>Con precio</v>
          </cell>
        </row>
        <row r="3319">
          <cell r="B3319" t="str">
            <v>FTK0005MA</v>
          </cell>
          <cell r="X3319" t="str">
            <v>Formulación</v>
          </cell>
          <cell r="AC3319">
            <v>0.10063420714285719</v>
          </cell>
          <cell r="AD3319">
            <v>0.10063420714285719</v>
          </cell>
          <cell r="AE3319" t="str">
            <v>Con precio</v>
          </cell>
        </row>
        <row r="3320">
          <cell r="B3320" t="str">
            <v>FTK0005MA</v>
          </cell>
          <cell r="X3320" t="str">
            <v>Formulación</v>
          </cell>
          <cell r="AC3320">
            <v>1.296192857142857E-2</v>
          </cell>
          <cell r="AD3320">
            <v>1.296192857142857E-2</v>
          </cell>
          <cell r="AE3320" t="str">
            <v>Con precio</v>
          </cell>
        </row>
        <row r="3321">
          <cell r="B3321" t="str">
            <v>FTK0005MA</v>
          </cell>
          <cell r="X3321" t="str">
            <v>Formulación</v>
          </cell>
          <cell r="AC3321">
            <v>1.6087500000000002E-3</v>
          </cell>
          <cell r="AD3321">
            <v>1.6087500000000002E-3</v>
          </cell>
          <cell r="AE3321" t="str">
            <v>Con precio</v>
          </cell>
        </row>
        <row r="3322">
          <cell r="B3322" t="str">
            <v>FTK0005MA</v>
          </cell>
          <cell r="X3322" t="str">
            <v>Formulación</v>
          </cell>
          <cell r="AC3322">
            <v>0.26063999999999998</v>
          </cell>
          <cell r="AD3322">
            <v>0.26063999999999998</v>
          </cell>
          <cell r="AE3322" t="str">
            <v>Con precio</v>
          </cell>
        </row>
        <row r="3323">
          <cell r="B3323" t="str">
            <v>FTK0005MA</v>
          </cell>
          <cell r="X3323" t="str">
            <v>Formulación</v>
          </cell>
          <cell r="AC3323">
            <v>0.12760000000000002</v>
          </cell>
          <cell r="AD3323">
            <v>0.12760000000000002</v>
          </cell>
          <cell r="AE3323" t="str">
            <v>Con precio</v>
          </cell>
        </row>
        <row r="3324">
          <cell r="B3324" t="str">
            <v>FTK0005MA</v>
          </cell>
          <cell r="X3324" t="str">
            <v>Formulación</v>
          </cell>
          <cell r="AC3324">
            <v>1.7500000000000002E-2</v>
          </cell>
          <cell r="AD3324">
            <v>1.6366666666666668E-2</v>
          </cell>
          <cell r="AE3324" t="str">
            <v>Con precio</v>
          </cell>
        </row>
        <row r="3325">
          <cell r="B3325" t="str">
            <v>FTK0005MA</v>
          </cell>
          <cell r="X3325" t="str">
            <v>Formulación</v>
          </cell>
          <cell r="AC3325">
            <v>1.1550000000000001E-2</v>
          </cell>
          <cell r="AD3325">
            <v>1.1550000000000001E-2</v>
          </cell>
          <cell r="AE3325" t="str">
            <v>Con precio</v>
          </cell>
        </row>
        <row r="3326">
          <cell r="B3326" t="str">
            <v>FTK0005MA</v>
          </cell>
          <cell r="X3326" t="str">
            <v>Formulación</v>
          </cell>
          <cell r="AC3326">
            <v>6.4874999999999993E-3</v>
          </cell>
          <cell r="AD3326">
            <v>5.4562500000000002E-3</v>
          </cell>
          <cell r="AE3326" t="str">
            <v>Con precio</v>
          </cell>
        </row>
        <row r="3327">
          <cell r="B3327" t="str">
            <v>FTK0005MA</v>
          </cell>
          <cell r="X3327" t="str">
            <v>Formulación</v>
          </cell>
          <cell r="AC3327">
            <v>0.1295</v>
          </cell>
          <cell r="AD3327">
            <v>0.1295</v>
          </cell>
          <cell r="AE3327" t="str">
            <v>Con precio</v>
          </cell>
        </row>
        <row r="3328">
          <cell r="B3328" t="str">
            <v>FTK0005MA</v>
          </cell>
          <cell r="X3328" t="str">
            <v>Formulación</v>
          </cell>
          <cell r="AC3328">
            <v>5.2499999999999998E-2</v>
          </cell>
          <cell r="AD3328">
            <v>5.2499999999999998E-2</v>
          </cell>
          <cell r="AE3328" t="str">
            <v>Con precio</v>
          </cell>
        </row>
        <row r="3329">
          <cell r="B3329" t="str">
            <v>FTK0005MA</v>
          </cell>
          <cell r="X3329" t="str">
            <v>Empaquetado</v>
          </cell>
          <cell r="AC3329">
            <v>7.376999999999999E-3</v>
          </cell>
          <cell r="AD3329">
            <v>7.376999999999999E-3</v>
          </cell>
          <cell r="AE3329" t="str">
            <v>Con precio</v>
          </cell>
        </row>
        <row r="3330">
          <cell r="B3330" t="str">
            <v>FTK0005MA</v>
          </cell>
          <cell r="X3330" t="str">
            <v>Empaquetado</v>
          </cell>
          <cell r="AC3330">
            <v>1.4063636363636365E-2</v>
          </cell>
          <cell r="AD3330">
            <v>1.4063636363636365E-2</v>
          </cell>
          <cell r="AE3330" t="str">
            <v>Con precio</v>
          </cell>
        </row>
        <row r="3331">
          <cell r="B3331" t="str">
            <v>FTK0005MA</v>
          </cell>
          <cell r="X3331" t="str">
            <v>Empaquetado</v>
          </cell>
          <cell r="AC3331">
            <v>2.217248641304348E-2</v>
          </cell>
          <cell r="AD3331">
            <v>2.217248641304348E-2</v>
          </cell>
          <cell r="AE3331" t="str">
            <v>Con precio</v>
          </cell>
        </row>
        <row r="3332">
          <cell r="B3332" t="str">
            <v>FTK0005MA</v>
          </cell>
          <cell r="X3332" t="str">
            <v>Empaquetado</v>
          </cell>
          <cell r="AC3332">
            <v>0.12</v>
          </cell>
          <cell r="AD3332">
            <v>0.12</v>
          </cell>
          <cell r="AE3332" t="str">
            <v>Con precio</v>
          </cell>
        </row>
        <row r="3333">
          <cell r="B3333" t="str">
            <v>FTK0005MA</v>
          </cell>
          <cell r="X3333" t="str">
            <v>Empaquetado</v>
          </cell>
          <cell r="AC3333">
            <v>3.1449999999999999E-2</v>
          </cell>
          <cell r="AD3333">
            <v>3.1449999999999999E-2</v>
          </cell>
          <cell r="AE3333" t="str">
            <v>Con precio</v>
          </cell>
        </row>
        <row r="3334">
          <cell r="B3334" t="str">
            <v>FTK0005RS</v>
          </cell>
          <cell r="X3334" t="str">
            <v>Formulación</v>
          </cell>
          <cell r="AC3334">
            <v>9.5973428571428585E-3</v>
          </cell>
          <cell r="AD3334">
            <v>9.5973428571428585E-3</v>
          </cell>
          <cell r="AE3334" t="str">
            <v>Con precio</v>
          </cell>
        </row>
        <row r="3335">
          <cell r="B3335" t="str">
            <v>FTK0005RS</v>
          </cell>
          <cell r="X3335" t="str">
            <v>Formulación</v>
          </cell>
          <cell r="AC3335">
            <v>0</v>
          </cell>
          <cell r="AD3335">
            <v>0</v>
          </cell>
          <cell r="AE3335" t="str">
            <v>Con precio</v>
          </cell>
        </row>
        <row r="3336">
          <cell r="B3336" t="str">
            <v>FTK0005RS</v>
          </cell>
          <cell r="X3336" t="str">
            <v>Formulación</v>
          </cell>
          <cell r="AC3336">
            <v>0.10063420714285719</v>
          </cell>
          <cell r="AD3336">
            <v>0.10063420714285719</v>
          </cell>
          <cell r="AE3336" t="str">
            <v>Con precio</v>
          </cell>
        </row>
        <row r="3337">
          <cell r="B3337" t="str">
            <v>FTK0005RS</v>
          </cell>
          <cell r="X3337" t="str">
            <v>Formulación</v>
          </cell>
          <cell r="AC3337">
            <v>1.296192857142857E-2</v>
          </cell>
          <cell r="AD3337">
            <v>1.296192857142857E-2</v>
          </cell>
          <cell r="AE3337" t="str">
            <v>Con precio</v>
          </cell>
        </row>
        <row r="3338">
          <cell r="B3338" t="str">
            <v>FTK0005RS</v>
          </cell>
          <cell r="X3338" t="str">
            <v>Formulación</v>
          </cell>
          <cell r="AC3338">
            <v>1.6087500000000002E-3</v>
          </cell>
          <cell r="AD3338">
            <v>1.6087500000000002E-3</v>
          </cell>
          <cell r="AE3338" t="str">
            <v>Con precio</v>
          </cell>
        </row>
        <row r="3339">
          <cell r="B3339" t="str">
            <v>FTK0005RS</v>
          </cell>
          <cell r="X3339" t="str">
            <v>Formulación</v>
          </cell>
          <cell r="AC3339">
            <v>0.26063999999999998</v>
          </cell>
          <cell r="AD3339">
            <v>0.26063999999999998</v>
          </cell>
          <cell r="AE3339" t="str">
            <v>Con precio</v>
          </cell>
        </row>
        <row r="3340">
          <cell r="B3340" t="str">
            <v>FTK0005RS</v>
          </cell>
          <cell r="X3340" t="str">
            <v>Formulación</v>
          </cell>
          <cell r="AC3340">
            <v>0.12760000000000002</v>
          </cell>
          <cell r="AD3340">
            <v>0.12760000000000002</v>
          </cell>
          <cell r="AE3340" t="str">
            <v>Con precio</v>
          </cell>
        </row>
        <row r="3341">
          <cell r="B3341" t="str">
            <v>FTK0005RS</v>
          </cell>
          <cell r="X3341" t="str">
            <v>Formulación</v>
          </cell>
          <cell r="AC3341">
            <v>1.7500000000000002E-2</v>
          </cell>
          <cell r="AD3341">
            <v>1.6366666666666668E-2</v>
          </cell>
          <cell r="AE3341" t="str">
            <v>Con precio</v>
          </cell>
        </row>
        <row r="3342">
          <cell r="B3342" t="str">
            <v>FTK0005RS</v>
          </cell>
          <cell r="X3342" t="str">
            <v>Formulación</v>
          </cell>
          <cell r="AC3342">
            <v>1.1550000000000001E-2</v>
          </cell>
          <cell r="AD3342">
            <v>1.1550000000000001E-2</v>
          </cell>
          <cell r="AE3342" t="str">
            <v>Con precio</v>
          </cell>
        </row>
        <row r="3343">
          <cell r="B3343" t="str">
            <v>FTK0005RS</v>
          </cell>
          <cell r="X3343" t="str">
            <v>Formulación</v>
          </cell>
          <cell r="AC3343">
            <v>6.4874999999999993E-3</v>
          </cell>
          <cell r="AD3343">
            <v>5.4562500000000002E-3</v>
          </cell>
          <cell r="AE3343" t="str">
            <v>Con precio</v>
          </cell>
        </row>
        <row r="3344">
          <cell r="B3344" t="str">
            <v>FTK0005RS</v>
          </cell>
          <cell r="X3344" t="str">
            <v>Formulación</v>
          </cell>
          <cell r="AC3344">
            <v>0.1295</v>
          </cell>
          <cell r="AD3344">
            <v>0.1295</v>
          </cell>
          <cell r="AE3344" t="str">
            <v>Con precio</v>
          </cell>
        </row>
        <row r="3345">
          <cell r="B3345" t="str">
            <v>FTK0005RS</v>
          </cell>
          <cell r="X3345" t="str">
            <v>Formulación</v>
          </cell>
          <cell r="AC3345">
            <v>5.2499999999999998E-2</v>
          </cell>
          <cell r="AD3345">
            <v>5.2499999999999998E-2</v>
          </cell>
          <cell r="AE3345" t="str">
            <v>Con precio</v>
          </cell>
        </row>
        <row r="3346">
          <cell r="B3346" t="str">
            <v>FTK0005RS</v>
          </cell>
          <cell r="X3346" t="str">
            <v>Empaquetado</v>
          </cell>
          <cell r="AC3346">
            <v>7.376999999999999E-3</v>
          </cell>
          <cell r="AD3346">
            <v>7.376999999999999E-3</v>
          </cell>
          <cell r="AE3346" t="str">
            <v>Con precio</v>
          </cell>
        </row>
        <row r="3347">
          <cell r="B3347" t="str">
            <v>FTK0005RS</v>
          </cell>
          <cell r="X3347" t="str">
            <v>Empaquetado</v>
          </cell>
          <cell r="AC3347">
            <v>1.4063636363636365E-2</v>
          </cell>
          <cell r="AD3347">
            <v>1.4063636363636365E-2</v>
          </cell>
          <cell r="AE3347" t="str">
            <v>Con precio</v>
          </cell>
        </row>
        <row r="3348">
          <cell r="B3348" t="str">
            <v>FTK0005RS</v>
          </cell>
          <cell r="X3348" t="str">
            <v>Empaquetado</v>
          </cell>
          <cell r="AC3348">
            <v>2.217248641304348E-2</v>
          </cell>
          <cell r="AD3348">
            <v>2.217248641304348E-2</v>
          </cell>
          <cell r="AE3348" t="str">
            <v>Con precio</v>
          </cell>
        </row>
        <row r="3349">
          <cell r="B3349" t="str">
            <v>FTK0005RS</v>
          </cell>
          <cell r="X3349" t="str">
            <v>Empaquetado</v>
          </cell>
          <cell r="AC3349">
            <v>0.12</v>
          </cell>
          <cell r="AD3349">
            <v>0.12</v>
          </cell>
          <cell r="AE3349" t="str">
            <v>Con precio</v>
          </cell>
        </row>
        <row r="3350">
          <cell r="B3350" t="str">
            <v>FTK0005RS</v>
          </cell>
          <cell r="X3350" t="str">
            <v>Empaquetado</v>
          </cell>
          <cell r="AC3350">
            <v>3.1449999999999999E-2</v>
          </cell>
          <cell r="AD3350">
            <v>3.1449999999999999E-2</v>
          </cell>
          <cell r="AE3350" t="str">
            <v>Con precio</v>
          </cell>
        </row>
        <row r="3351">
          <cell r="B3351" t="str">
            <v>FTK0005TR</v>
          </cell>
          <cell r="X3351" t="str">
            <v>Formulación</v>
          </cell>
          <cell r="AC3351">
            <v>9.5973428571428585E-3</v>
          </cell>
          <cell r="AD3351">
            <v>9.5973428571428585E-3</v>
          </cell>
          <cell r="AE3351" t="str">
            <v>Con precio</v>
          </cell>
        </row>
        <row r="3352">
          <cell r="B3352" t="str">
            <v>FTK0005TR</v>
          </cell>
          <cell r="X3352" t="str">
            <v>Formulación</v>
          </cell>
          <cell r="AC3352">
            <v>0</v>
          </cell>
          <cell r="AD3352">
            <v>0</v>
          </cell>
          <cell r="AE3352" t="str">
            <v>Con precio</v>
          </cell>
        </row>
        <row r="3353">
          <cell r="B3353" t="str">
            <v>FTK0005TR</v>
          </cell>
          <cell r="X3353" t="str">
            <v>Formulación</v>
          </cell>
          <cell r="AC3353">
            <v>0.10063420714285719</v>
          </cell>
          <cell r="AD3353">
            <v>0.10063420714285719</v>
          </cell>
          <cell r="AE3353" t="str">
            <v>Con precio</v>
          </cell>
        </row>
        <row r="3354">
          <cell r="B3354" t="str">
            <v>FTK0005TR</v>
          </cell>
          <cell r="X3354" t="str">
            <v>Formulación</v>
          </cell>
          <cell r="AC3354">
            <v>1.296192857142857E-2</v>
          </cell>
          <cell r="AD3354">
            <v>1.296192857142857E-2</v>
          </cell>
          <cell r="AE3354" t="str">
            <v>Con precio</v>
          </cell>
        </row>
        <row r="3355">
          <cell r="B3355" t="str">
            <v>FTK0005TR</v>
          </cell>
          <cell r="X3355" t="str">
            <v>Formulación</v>
          </cell>
          <cell r="AC3355">
            <v>1.6087500000000002E-3</v>
          </cell>
          <cell r="AD3355">
            <v>1.6087500000000002E-3</v>
          </cell>
          <cell r="AE3355" t="str">
            <v>Con precio</v>
          </cell>
        </row>
        <row r="3356">
          <cell r="B3356" t="str">
            <v>FTK0005TR</v>
          </cell>
          <cell r="X3356" t="str">
            <v>Formulación</v>
          </cell>
          <cell r="AC3356">
            <v>0.26063999999999998</v>
          </cell>
          <cell r="AD3356">
            <v>0.26063999999999998</v>
          </cell>
          <cell r="AE3356" t="str">
            <v>Con precio</v>
          </cell>
        </row>
        <row r="3357">
          <cell r="B3357" t="str">
            <v>FTK0005TR</v>
          </cell>
          <cell r="X3357" t="str">
            <v>Formulación</v>
          </cell>
          <cell r="AC3357">
            <v>0.12760000000000002</v>
          </cell>
          <cell r="AD3357">
            <v>0.12760000000000002</v>
          </cell>
          <cell r="AE3357" t="str">
            <v>Con precio</v>
          </cell>
        </row>
        <row r="3358">
          <cell r="B3358" t="str">
            <v>FTK0005TR</v>
          </cell>
          <cell r="X3358" t="str">
            <v>Formulación</v>
          </cell>
          <cell r="AC3358">
            <v>1.7500000000000002E-2</v>
          </cell>
          <cell r="AD3358">
            <v>1.6366666666666668E-2</v>
          </cell>
          <cell r="AE3358" t="str">
            <v>Con precio</v>
          </cell>
        </row>
        <row r="3359">
          <cell r="B3359" t="str">
            <v>FTK0005TR</v>
          </cell>
          <cell r="X3359" t="str">
            <v>Formulación</v>
          </cell>
          <cell r="AC3359">
            <v>1.1550000000000001E-2</v>
          </cell>
          <cell r="AD3359">
            <v>1.1550000000000001E-2</v>
          </cell>
          <cell r="AE3359" t="str">
            <v>Con precio</v>
          </cell>
        </row>
        <row r="3360">
          <cell r="B3360" t="str">
            <v>FTK0005TR</v>
          </cell>
          <cell r="X3360" t="str">
            <v>Formulación</v>
          </cell>
          <cell r="AC3360">
            <v>6.4874999999999993E-3</v>
          </cell>
          <cell r="AD3360">
            <v>5.4562500000000002E-3</v>
          </cell>
          <cell r="AE3360" t="str">
            <v>Con precio</v>
          </cell>
        </row>
        <row r="3361">
          <cell r="B3361" t="str">
            <v>FTK0005TR</v>
          </cell>
          <cell r="X3361" t="str">
            <v>Formulación</v>
          </cell>
          <cell r="AC3361">
            <v>0.1295</v>
          </cell>
          <cell r="AD3361">
            <v>0.1295</v>
          </cell>
          <cell r="AE3361" t="str">
            <v>Con precio</v>
          </cell>
        </row>
        <row r="3362">
          <cell r="B3362" t="str">
            <v>FTK0005TR</v>
          </cell>
          <cell r="X3362" t="str">
            <v>Formulación</v>
          </cell>
          <cell r="AC3362">
            <v>5.2499999999999998E-2</v>
          </cell>
          <cell r="AD3362">
            <v>5.2499999999999998E-2</v>
          </cell>
          <cell r="AE3362" t="str">
            <v>Con precio</v>
          </cell>
        </row>
        <row r="3363">
          <cell r="B3363" t="str">
            <v>FTK0005TR</v>
          </cell>
          <cell r="X3363" t="str">
            <v>Empaquetado</v>
          </cell>
          <cell r="AC3363">
            <v>7.376999999999999E-3</v>
          </cell>
          <cell r="AD3363">
            <v>7.376999999999999E-3</v>
          </cell>
          <cell r="AE3363" t="str">
            <v>Con precio</v>
          </cell>
        </row>
        <row r="3364">
          <cell r="B3364" t="str">
            <v>FTK0005TR</v>
          </cell>
          <cell r="X3364" t="str">
            <v>Empaquetado</v>
          </cell>
          <cell r="AC3364">
            <v>1.4063636363636365E-2</v>
          </cell>
          <cell r="AD3364">
            <v>1.4063636363636365E-2</v>
          </cell>
          <cell r="AE3364" t="str">
            <v>Con precio</v>
          </cell>
        </row>
        <row r="3365">
          <cell r="B3365" t="str">
            <v>FTK0005TR</v>
          </cell>
          <cell r="X3365" t="str">
            <v>Empaquetado</v>
          </cell>
          <cell r="AC3365">
            <v>2.217248641304348E-2</v>
          </cell>
          <cell r="AD3365">
            <v>2.217248641304348E-2</v>
          </cell>
          <cell r="AE3365" t="str">
            <v>Con precio</v>
          </cell>
        </row>
        <row r="3366">
          <cell r="B3366" t="str">
            <v>FTK0005TR</v>
          </cell>
          <cell r="X3366" t="str">
            <v>Empaquetado</v>
          </cell>
          <cell r="AC3366">
            <v>0.12</v>
          </cell>
          <cell r="AD3366">
            <v>0.12</v>
          </cell>
          <cell r="AE3366" t="str">
            <v>Con precio</v>
          </cell>
        </row>
        <row r="3367">
          <cell r="B3367" t="str">
            <v>FTK0005TR</v>
          </cell>
          <cell r="X3367" t="str">
            <v>Empaquetado</v>
          </cell>
          <cell r="AC3367">
            <v>3.1449999999999999E-2</v>
          </cell>
          <cell r="AD3367">
            <v>3.1449999999999999E-2</v>
          </cell>
          <cell r="AE3367" t="str">
            <v>Con precio</v>
          </cell>
        </row>
        <row r="3368">
          <cell r="B3368" t="str">
            <v>FTK0020RS</v>
          </cell>
          <cell r="X3368" t="str">
            <v>Formulación</v>
          </cell>
          <cell r="AC3368">
            <v>9.5973428571428585E-3</v>
          </cell>
          <cell r="AD3368">
            <v>9.5973428571428585E-3</v>
          </cell>
          <cell r="AE3368" t="str">
            <v>Con precio</v>
          </cell>
        </row>
        <row r="3369">
          <cell r="B3369" t="str">
            <v>FTK0020RS</v>
          </cell>
          <cell r="X3369" t="str">
            <v>Formulación</v>
          </cell>
          <cell r="AC3369">
            <v>0</v>
          </cell>
          <cell r="AD3369">
            <v>0</v>
          </cell>
          <cell r="AE3369" t="str">
            <v>Con precio</v>
          </cell>
        </row>
        <row r="3370">
          <cell r="B3370" t="str">
            <v>FTK0020RS</v>
          </cell>
          <cell r="X3370" t="str">
            <v>Formulación</v>
          </cell>
          <cell r="AC3370">
            <v>0.10063420714285719</v>
          </cell>
          <cell r="AD3370">
            <v>0.10063420714285719</v>
          </cell>
          <cell r="AE3370" t="str">
            <v>Con precio</v>
          </cell>
        </row>
        <row r="3371">
          <cell r="B3371" t="str">
            <v>FTK0020RS</v>
          </cell>
          <cell r="X3371" t="str">
            <v>Formulación</v>
          </cell>
          <cell r="AC3371">
            <v>1.296192857142857E-2</v>
          </cell>
          <cell r="AD3371">
            <v>1.296192857142857E-2</v>
          </cell>
          <cell r="AE3371" t="str">
            <v>Con precio</v>
          </cell>
        </row>
        <row r="3372">
          <cell r="B3372" t="str">
            <v>FTK0020RS</v>
          </cell>
          <cell r="X3372" t="str">
            <v>Formulación</v>
          </cell>
          <cell r="AC3372">
            <v>1.6087500000000002E-3</v>
          </cell>
          <cell r="AD3372">
            <v>1.6087500000000002E-3</v>
          </cell>
          <cell r="AE3372" t="str">
            <v>Con precio</v>
          </cell>
        </row>
        <row r="3373">
          <cell r="B3373" t="str">
            <v>FTK0020RS</v>
          </cell>
          <cell r="X3373" t="str">
            <v>Formulación</v>
          </cell>
          <cell r="AC3373">
            <v>0.26063999999999998</v>
          </cell>
          <cell r="AD3373">
            <v>0.26063999999999998</v>
          </cell>
          <cell r="AE3373" t="str">
            <v>Con precio</v>
          </cell>
        </row>
        <row r="3374">
          <cell r="B3374" t="str">
            <v>FTK0020RS</v>
          </cell>
          <cell r="X3374" t="str">
            <v>Formulación</v>
          </cell>
          <cell r="AC3374">
            <v>0.12760000000000002</v>
          </cell>
          <cell r="AD3374">
            <v>0.12760000000000002</v>
          </cell>
          <cell r="AE3374" t="str">
            <v>Con precio</v>
          </cell>
        </row>
        <row r="3375">
          <cell r="B3375" t="str">
            <v>FTK0020RS</v>
          </cell>
          <cell r="X3375" t="str">
            <v>Formulación</v>
          </cell>
          <cell r="AC3375">
            <v>1.7500000000000002E-2</v>
          </cell>
          <cell r="AD3375">
            <v>1.6366666666666668E-2</v>
          </cell>
          <cell r="AE3375" t="str">
            <v>Con precio</v>
          </cell>
        </row>
        <row r="3376">
          <cell r="B3376" t="str">
            <v>FTK0020RS</v>
          </cell>
          <cell r="X3376" t="str">
            <v>Formulación</v>
          </cell>
          <cell r="AC3376">
            <v>1.1550000000000001E-2</v>
          </cell>
          <cell r="AD3376">
            <v>1.1550000000000001E-2</v>
          </cell>
          <cell r="AE3376" t="str">
            <v>Con precio</v>
          </cell>
        </row>
        <row r="3377">
          <cell r="B3377" t="str">
            <v>FTK0020RS</v>
          </cell>
          <cell r="X3377" t="str">
            <v>Formulación</v>
          </cell>
          <cell r="AC3377">
            <v>6.4874999999999993E-3</v>
          </cell>
          <cell r="AD3377">
            <v>5.4562500000000002E-3</v>
          </cell>
          <cell r="AE3377" t="str">
            <v>Con precio</v>
          </cell>
        </row>
        <row r="3378">
          <cell r="B3378" t="str">
            <v>FTK0020RS</v>
          </cell>
          <cell r="X3378" t="str">
            <v>Formulación</v>
          </cell>
          <cell r="AC3378">
            <v>0.1295</v>
          </cell>
          <cell r="AD3378">
            <v>0.1295</v>
          </cell>
          <cell r="AE3378" t="str">
            <v>Con precio</v>
          </cell>
        </row>
        <row r="3379">
          <cell r="B3379" t="str">
            <v>FTK0020RS</v>
          </cell>
          <cell r="X3379" t="str">
            <v>Formulación</v>
          </cell>
          <cell r="AC3379">
            <v>5.2499999999999998E-2</v>
          </cell>
          <cell r="AD3379">
            <v>5.2499999999999998E-2</v>
          </cell>
          <cell r="AE3379" t="str">
            <v>Con precio</v>
          </cell>
        </row>
        <row r="3380">
          <cell r="B3380" t="str">
            <v>FTK0020RS</v>
          </cell>
          <cell r="X3380" t="str">
            <v>Empaquetado</v>
          </cell>
          <cell r="AC3380">
            <v>5.2896000000000002E-3</v>
          </cell>
          <cell r="AD3380">
            <v>5.2896000000000002E-3</v>
          </cell>
          <cell r="AE3380" t="str">
            <v>Con precio</v>
          </cell>
        </row>
        <row r="3381">
          <cell r="B3381" t="str">
            <v>FTK0020RS</v>
          </cell>
          <cell r="X3381" t="str">
            <v>Empaquetado</v>
          </cell>
          <cell r="AC3381">
            <v>1.40777E-2</v>
          </cell>
          <cell r="AD3381">
            <v>1.40777E-2</v>
          </cell>
          <cell r="AE3381" t="str">
            <v>Con precio</v>
          </cell>
        </row>
        <row r="3382">
          <cell r="B3382" t="str">
            <v>FTK0020RS</v>
          </cell>
          <cell r="X3382" t="str">
            <v>Empaquetado</v>
          </cell>
          <cell r="AC3382">
            <v>4.4344972826086959E-3</v>
          </cell>
          <cell r="AD3382">
            <v>4.4344972826086959E-3</v>
          </cell>
          <cell r="AE3382" t="str">
            <v>Con precio</v>
          </cell>
        </row>
        <row r="3383">
          <cell r="B3383" t="str">
            <v>FTK0020RS</v>
          </cell>
          <cell r="X3383" t="str">
            <v>Empaquetado</v>
          </cell>
          <cell r="AC3383">
            <v>4.3500000000000004E-2</v>
          </cell>
          <cell r="AD3383">
            <v>4.3500000000000004E-2</v>
          </cell>
          <cell r="AE3383" t="str">
            <v>Con precio</v>
          </cell>
        </row>
        <row r="3384">
          <cell r="B3384" t="str">
            <v>FTK0020RS</v>
          </cell>
          <cell r="X3384" t="str">
            <v>Empaquetado</v>
          </cell>
          <cell r="AC3384">
            <v>3.1449999999999999E-2</v>
          </cell>
          <cell r="AD3384">
            <v>3.1449999999999999E-2</v>
          </cell>
          <cell r="AE3384" t="str">
            <v>Con precio</v>
          </cell>
        </row>
        <row r="3385">
          <cell r="B3385" t="str">
            <v>FU0001</v>
          </cell>
          <cell r="X3385" t="str">
            <v>Formulación</v>
          </cell>
          <cell r="AC3385">
            <v>4.8799999999999998E-3</v>
          </cell>
          <cell r="AD3385">
            <v>4.8799999999999998E-3</v>
          </cell>
          <cell r="AE3385" t="str">
            <v>Con precio</v>
          </cell>
        </row>
        <row r="3386">
          <cell r="B3386" t="str">
            <v>FU0001</v>
          </cell>
          <cell r="X3386" t="str">
            <v>Formulación</v>
          </cell>
          <cell r="AC3386">
            <v>3.6014999999999998E-2</v>
          </cell>
          <cell r="AD3386">
            <v>3.6014999999999998E-2</v>
          </cell>
          <cell r="AE3386" t="str">
            <v>Con precio</v>
          </cell>
        </row>
        <row r="3387">
          <cell r="B3387" t="str">
            <v>FU0001</v>
          </cell>
          <cell r="X3387" t="str">
            <v>Formulación</v>
          </cell>
          <cell r="AC3387">
            <v>0.28520000000000001</v>
          </cell>
          <cell r="AD3387">
            <v>0.27589999999999998</v>
          </cell>
          <cell r="AE3387" t="str">
            <v>Con precio</v>
          </cell>
        </row>
        <row r="3388">
          <cell r="B3388" t="str">
            <v>FU0001</v>
          </cell>
          <cell r="X3388" t="str">
            <v>Formulación</v>
          </cell>
          <cell r="AC3388">
            <v>0.21840000000000001</v>
          </cell>
          <cell r="AD3388">
            <v>0.1541072</v>
          </cell>
          <cell r="AE3388" t="str">
            <v>Con precio</v>
          </cell>
        </row>
        <row r="3389">
          <cell r="B3389" t="str">
            <v>FU0001</v>
          </cell>
          <cell r="X3389" t="str">
            <v>Formulación</v>
          </cell>
          <cell r="AC3389">
            <v>4.1175000000000003E-2</v>
          </cell>
          <cell r="AD3389">
            <v>4.1175000000000003E-2</v>
          </cell>
          <cell r="AE3389" t="str">
            <v>Con precio</v>
          </cell>
        </row>
        <row r="3390">
          <cell r="B3390" t="str">
            <v>FU0001</v>
          </cell>
          <cell r="X3390" t="str">
            <v>Formulación</v>
          </cell>
          <cell r="AC3390">
            <v>0.13159999999999999</v>
          </cell>
          <cell r="AD3390">
            <v>0.107296</v>
          </cell>
          <cell r="AE3390" t="str">
            <v>Con precio</v>
          </cell>
        </row>
        <row r="3391">
          <cell r="B3391" t="str">
            <v>FU0001</v>
          </cell>
          <cell r="X3391" t="str">
            <v>Formulación</v>
          </cell>
          <cell r="AC3391">
            <v>0.12340499999999999</v>
          </cell>
          <cell r="AD3391">
            <v>0.12340499999999999</v>
          </cell>
          <cell r="AE3391" t="str">
            <v>Con precio</v>
          </cell>
        </row>
        <row r="3392">
          <cell r="B3392" t="str">
            <v>FU0001</v>
          </cell>
          <cell r="X3392" t="str">
            <v>Formulación</v>
          </cell>
          <cell r="AC3392">
            <v>7.1979999999999988E-2</v>
          </cell>
          <cell r="AD3392">
            <v>7.1979999999999988E-2</v>
          </cell>
          <cell r="AE3392" t="str">
            <v>Con precio</v>
          </cell>
        </row>
        <row r="3393">
          <cell r="B3393" t="str">
            <v>FU0001</v>
          </cell>
          <cell r="X3393" t="str">
            <v>Formulación</v>
          </cell>
          <cell r="AC3393">
            <v>4.1279999999999997E-2</v>
          </cell>
          <cell r="AD3393">
            <v>3.0864000000000003E-2</v>
          </cell>
          <cell r="AE3393" t="str">
            <v>Con precio</v>
          </cell>
        </row>
        <row r="3394">
          <cell r="B3394" t="str">
            <v>FU0001</v>
          </cell>
          <cell r="X3394" t="str">
            <v>Empaquetado</v>
          </cell>
          <cell r="AC3394">
            <v>3.0303030303030299E-5</v>
          </cell>
          <cell r="AD3394">
            <v>3.0303030303030299E-5</v>
          </cell>
          <cell r="AE3394" t="str">
            <v>Con precio</v>
          </cell>
        </row>
        <row r="3395">
          <cell r="B3395" t="str">
            <v>FU0001</v>
          </cell>
          <cell r="X3395" t="str">
            <v>Empaquetado</v>
          </cell>
          <cell r="AC3395">
            <v>2.3439393939393937E-2</v>
          </cell>
          <cell r="AD3395">
            <v>2.3439393939393937E-2</v>
          </cell>
          <cell r="AE3395" t="str">
            <v>Con precio</v>
          </cell>
        </row>
        <row r="3396">
          <cell r="B3396" t="str">
            <v>FU0001</v>
          </cell>
          <cell r="X3396" t="str">
            <v>Empaquetado</v>
          </cell>
          <cell r="AC3396">
            <v>7.1917518745739595E-2</v>
          </cell>
          <cell r="AD3396">
            <v>7.1917518745739595E-2</v>
          </cell>
          <cell r="AE3396" t="str">
            <v>Con precio</v>
          </cell>
        </row>
        <row r="3397">
          <cell r="B3397" t="str">
            <v>FU0001</v>
          </cell>
          <cell r="X3397" t="str">
            <v>Empaquetado</v>
          </cell>
          <cell r="AC3397">
            <v>0.44322992424242419</v>
          </cell>
          <cell r="AD3397">
            <v>0.44322992424242419</v>
          </cell>
          <cell r="AE3397" t="str">
            <v>Con precio</v>
          </cell>
        </row>
        <row r="3398">
          <cell r="B3398" t="str">
            <v>FU0001</v>
          </cell>
          <cell r="X3398" t="str">
            <v>Empaquetado</v>
          </cell>
          <cell r="AC3398">
            <v>0.45124999999999998</v>
          </cell>
          <cell r="AD3398">
            <v>0.32061666666666666</v>
          </cell>
          <cell r="AE3398" t="str">
            <v>Con precio</v>
          </cell>
        </row>
        <row r="3399">
          <cell r="B3399" t="str">
            <v>FU0001</v>
          </cell>
          <cell r="X3399" t="str">
            <v>Empaquetado</v>
          </cell>
          <cell r="AC3399">
            <v>9.6080774456521717E-2</v>
          </cell>
          <cell r="AD3399">
            <v>9.6080774456521717E-2</v>
          </cell>
          <cell r="AE3399" t="str">
            <v>Con precio</v>
          </cell>
        </row>
        <row r="3400">
          <cell r="B3400" t="str">
            <v>FU0001AZ</v>
          </cell>
          <cell r="X3400" t="str">
            <v>Formulación</v>
          </cell>
          <cell r="AC3400">
            <v>4.8799999999999998E-3</v>
          </cell>
          <cell r="AD3400">
            <v>4.8799999999999998E-3</v>
          </cell>
          <cell r="AE3400" t="str">
            <v>Con precio</v>
          </cell>
        </row>
        <row r="3401">
          <cell r="B3401" t="str">
            <v>FU0001AZ</v>
          </cell>
          <cell r="X3401" t="str">
            <v>Formulación</v>
          </cell>
          <cell r="AC3401">
            <v>3.6014999999999998E-2</v>
          </cell>
          <cell r="AD3401">
            <v>3.6014999999999998E-2</v>
          </cell>
          <cell r="AE3401" t="str">
            <v>Con precio</v>
          </cell>
        </row>
        <row r="3402">
          <cell r="B3402" t="str">
            <v>FU0001AZ</v>
          </cell>
          <cell r="X3402" t="str">
            <v>Formulación</v>
          </cell>
          <cell r="AC3402">
            <v>0.28520000000000001</v>
          </cell>
          <cell r="AD3402">
            <v>0.27589999999999998</v>
          </cell>
          <cell r="AE3402" t="str">
            <v>Con precio</v>
          </cell>
        </row>
        <row r="3403">
          <cell r="B3403" t="str">
            <v>FU0001AZ</v>
          </cell>
          <cell r="X3403" t="str">
            <v>Formulación</v>
          </cell>
          <cell r="AC3403">
            <v>0.21840000000000001</v>
          </cell>
          <cell r="AD3403">
            <v>0.1541072</v>
          </cell>
          <cell r="AE3403" t="str">
            <v>Con precio</v>
          </cell>
        </row>
        <row r="3404">
          <cell r="B3404" t="str">
            <v>FU0001AZ</v>
          </cell>
          <cell r="X3404" t="str">
            <v>Formulación</v>
          </cell>
          <cell r="AC3404">
            <v>4.1175000000000003E-2</v>
          </cell>
          <cell r="AD3404">
            <v>4.1175000000000003E-2</v>
          </cell>
          <cell r="AE3404" t="str">
            <v>Con precio</v>
          </cell>
        </row>
        <row r="3405">
          <cell r="B3405" t="str">
            <v>FU0001AZ</v>
          </cell>
          <cell r="X3405" t="str">
            <v>Formulación</v>
          </cell>
          <cell r="AC3405">
            <v>0.13159999999999999</v>
          </cell>
          <cell r="AD3405">
            <v>0.107296</v>
          </cell>
          <cell r="AE3405" t="str">
            <v>Con precio</v>
          </cell>
        </row>
        <row r="3406">
          <cell r="B3406" t="str">
            <v>FU0001AZ</v>
          </cell>
          <cell r="X3406" t="str">
            <v>Formulación</v>
          </cell>
          <cell r="AC3406">
            <v>0.12340499999999999</v>
          </cell>
          <cell r="AD3406">
            <v>0.12340499999999999</v>
          </cell>
          <cell r="AE3406" t="str">
            <v>Con precio</v>
          </cell>
        </row>
        <row r="3407">
          <cell r="B3407" t="str">
            <v>FU0001AZ</v>
          </cell>
          <cell r="X3407" t="str">
            <v>Formulación</v>
          </cell>
          <cell r="AC3407">
            <v>7.1979999999999988E-2</v>
          </cell>
          <cell r="AD3407">
            <v>7.1979999999999988E-2</v>
          </cell>
          <cell r="AE3407" t="str">
            <v>Con precio</v>
          </cell>
        </row>
        <row r="3408">
          <cell r="B3408" t="str">
            <v>FU0001AZ</v>
          </cell>
          <cell r="X3408" t="str">
            <v>Formulación</v>
          </cell>
          <cell r="AC3408">
            <v>4.1279999999999997E-2</v>
          </cell>
          <cell r="AD3408">
            <v>3.0864000000000003E-2</v>
          </cell>
          <cell r="AE3408" t="str">
            <v>Con precio</v>
          </cell>
        </row>
        <row r="3409">
          <cell r="B3409" t="str">
            <v>FU0001AZ</v>
          </cell>
          <cell r="X3409" t="str">
            <v>Empaquetado</v>
          </cell>
          <cell r="AC3409">
            <v>3.0303030303030299E-5</v>
          </cell>
          <cell r="AD3409">
            <v>3.0303030303030299E-5</v>
          </cell>
          <cell r="AE3409" t="str">
            <v>Con precio</v>
          </cell>
        </row>
        <row r="3410">
          <cell r="B3410" t="str">
            <v>FU0001AZ</v>
          </cell>
          <cell r="X3410" t="str">
            <v>Empaquetado</v>
          </cell>
          <cell r="AC3410">
            <v>2.3439393939393937E-2</v>
          </cell>
          <cell r="AD3410">
            <v>2.3439393939393937E-2</v>
          </cell>
          <cell r="AE3410" t="str">
            <v>Con precio</v>
          </cell>
        </row>
        <row r="3411">
          <cell r="B3411" t="str">
            <v>FU0001AZ</v>
          </cell>
          <cell r="X3411" t="str">
            <v>Empaquetado</v>
          </cell>
          <cell r="AC3411">
            <v>7.1917518745739595E-2</v>
          </cell>
          <cell r="AD3411">
            <v>7.1917518745739595E-2</v>
          </cell>
          <cell r="AE3411" t="str">
            <v>Con precio</v>
          </cell>
        </row>
        <row r="3412">
          <cell r="B3412" t="str">
            <v>FU0001AZ</v>
          </cell>
          <cell r="X3412" t="str">
            <v>Empaquetado</v>
          </cell>
          <cell r="AC3412">
            <v>0.44322992424242419</v>
          </cell>
          <cell r="AD3412">
            <v>0.44322992424242419</v>
          </cell>
          <cell r="AE3412" t="str">
            <v>Con precio</v>
          </cell>
        </row>
        <row r="3413">
          <cell r="B3413" t="str">
            <v>FU0001AZ</v>
          </cell>
          <cell r="X3413" t="str">
            <v>Empaquetado</v>
          </cell>
          <cell r="AC3413">
            <v>0.45124999999999998</v>
          </cell>
          <cell r="AD3413">
            <v>0.32061666666666666</v>
          </cell>
          <cell r="AE3413" t="str">
            <v>Con precio</v>
          </cell>
        </row>
        <row r="3414">
          <cell r="B3414" t="str">
            <v>FU0001AZ</v>
          </cell>
          <cell r="X3414" t="str">
            <v>Empaquetado</v>
          </cell>
          <cell r="AC3414">
            <v>9.6080774456521717E-2</v>
          </cell>
          <cell r="AD3414">
            <v>9.6080774456521717E-2</v>
          </cell>
          <cell r="AE3414" t="str">
            <v>Con precio</v>
          </cell>
        </row>
        <row r="3415">
          <cell r="B3415" t="str">
            <v>FU0001DO</v>
          </cell>
          <cell r="X3415" t="str">
            <v>Formulación</v>
          </cell>
          <cell r="AC3415">
            <v>4.8799999999999998E-3</v>
          </cell>
          <cell r="AD3415">
            <v>4.8799999999999998E-3</v>
          </cell>
          <cell r="AE3415" t="str">
            <v>Con precio</v>
          </cell>
        </row>
        <row r="3416">
          <cell r="B3416" t="str">
            <v>FU0001DO</v>
          </cell>
          <cell r="X3416" t="str">
            <v>Formulación</v>
          </cell>
          <cell r="AC3416">
            <v>3.6014999999999998E-2</v>
          </cell>
          <cell r="AD3416">
            <v>3.6014999999999998E-2</v>
          </cell>
          <cell r="AE3416" t="str">
            <v>Con precio</v>
          </cell>
        </row>
        <row r="3417">
          <cell r="B3417" t="str">
            <v>FU0001DO</v>
          </cell>
          <cell r="X3417" t="str">
            <v>Formulación</v>
          </cell>
          <cell r="AC3417">
            <v>0.28520000000000001</v>
          </cell>
          <cell r="AD3417">
            <v>0.27589999999999998</v>
          </cell>
          <cell r="AE3417" t="str">
            <v>Con precio</v>
          </cell>
        </row>
        <row r="3418">
          <cell r="B3418" t="str">
            <v>FU0001DO</v>
          </cell>
          <cell r="X3418" t="str">
            <v>Formulación</v>
          </cell>
          <cell r="AC3418">
            <v>0.21840000000000001</v>
          </cell>
          <cell r="AD3418">
            <v>0.1541072</v>
          </cell>
          <cell r="AE3418" t="str">
            <v>Con precio</v>
          </cell>
        </row>
        <row r="3419">
          <cell r="B3419" t="str">
            <v>FU0001DO</v>
          </cell>
          <cell r="X3419" t="str">
            <v>Formulación</v>
          </cell>
          <cell r="AC3419">
            <v>4.1175000000000003E-2</v>
          </cell>
          <cell r="AD3419">
            <v>4.1175000000000003E-2</v>
          </cell>
          <cell r="AE3419" t="str">
            <v>Con precio</v>
          </cell>
        </row>
        <row r="3420">
          <cell r="B3420" t="str">
            <v>FU0001DO</v>
          </cell>
          <cell r="X3420" t="str">
            <v>Formulación</v>
          </cell>
          <cell r="AC3420">
            <v>0.13159999999999999</v>
          </cell>
          <cell r="AD3420">
            <v>0.107296</v>
          </cell>
          <cell r="AE3420" t="str">
            <v>Con precio</v>
          </cell>
        </row>
        <row r="3421">
          <cell r="B3421" t="str">
            <v>FU0001DO</v>
          </cell>
          <cell r="X3421" t="str">
            <v>Formulación</v>
          </cell>
          <cell r="AC3421">
            <v>0.12340499999999999</v>
          </cell>
          <cell r="AD3421">
            <v>0.12340499999999999</v>
          </cell>
          <cell r="AE3421" t="str">
            <v>Con precio</v>
          </cell>
        </row>
        <row r="3422">
          <cell r="B3422" t="str">
            <v>FU0001DO</v>
          </cell>
          <cell r="X3422" t="str">
            <v>Formulación</v>
          </cell>
          <cell r="AC3422">
            <v>7.1979999999999988E-2</v>
          </cell>
          <cell r="AD3422">
            <v>7.1979999999999988E-2</v>
          </cell>
          <cell r="AE3422" t="str">
            <v>Con precio</v>
          </cell>
        </row>
        <row r="3423">
          <cell r="B3423" t="str">
            <v>FU0001DO</v>
          </cell>
          <cell r="X3423" t="str">
            <v>Formulación</v>
          </cell>
          <cell r="AC3423">
            <v>4.1279999999999997E-2</v>
          </cell>
          <cell r="AD3423">
            <v>3.0864000000000003E-2</v>
          </cell>
          <cell r="AE3423" t="str">
            <v>Con precio</v>
          </cell>
        </row>
        <row r="3424">
          <cell r="B3424" t="str">
            <v>FU0001DO</v>
          </cell>
          <cell r="X3424" t="str">
            <v>Empaquetado</v>
          </cell>
          <cell r="AC3424">
            <v>3.0303030303030299E-5</v>
          </cell>
          <cell r="AD3424">
            <v>3.0303030303030299E-5</v>
          </cell>
          <cell r="AE3424" t="str">
            <v>Con precio</v>
          </cell>
        </row>
        <row r="3425">
          <cell r="B3425" t="str">
            <v>FU0001DO</v>
          </cell>
          <cell r="X3425" t="str">
            <v>Empaquetado</v>
          </cell>
          <cell r="AC3425">
            <v>2.3439393939393937E-2</v>
          </cell>
          <cell r="AD3425">
            <v>2.3439393939393937E-2</v>
          </cell>
          <cell r="AE3425" t="str">
            <v>Con precio</v>
          </cell>
        </row>
        <row r="3426">
          <cell r="B3426" t="str">
            <v>FU0001DO</v>
          </cell>
          <cell r="X3426" t="str">
            <v>Empaquetado</v>
          </cell>
          <cell r="AC3426">
            <v>7.1917518745739595E-2</v>
          </cell>
          <cell r="AD3426">
            <v>7.1917518745739595E-2</v>
          </cell>
          <cell r="AE3426" t="str">
            <v>Con precio</v>
          </cell>
        </row>
        <row r="3427">
          <cell r="B3427" t="str">
            <v>FU0001DO</v>
          </cell>
          <cell r="X3427" t="str">
            <v>Empaquetado</v>
          </cell>
          <cell r="AC3427">
            <v>0.44322992424242419</v>
          </cell>
          <cell r="AD3427">
            <v>0.44322992424242419</v>
          </cell>
          <cell r="AE3427" t="str">
            <v>Con precio</v>
          </cell>
        </row>
        <row r="3428">
          <cell r="B3428" t="str">
            <v>FU0001DO</v>
          </cell>
          <cell r="X3428" t="str">
            <v>Empaquetado</v>
          </cell>
          <cell r="AC3428">
            <v>0.45124999999999998</v>
          </cell>
          <cell r="AD3428">
            <v>0.32061666666666666</v>
          </cell>
          <cell r="AE3428" t="str">
            <v>Con precio</v>
          </cell>
        </row>
        <row r="3429">
          <cell r="B3429" t="str">
            <v>FU0001DO</v>
          </cell>
          <cell r="X3429" t="str">
            <v>Empaquetado</v>
          </cell>
          <cell r="AC3429">
            <v>9.6080774456521717E-2</v>
          </cell>
          <cell r="AD3429">
            <v>9.6080774456521717E-2</v>
          </cell>
          <cell r="AE3429" t="str">
            <v>Con precio</v>
          </cell>
        </row>
        <row r="3430">
          <cell r="B3430" t="str">
            <v>FU0001RS</v>
          </cell>
          <cell r="X3430" t="str">
            <v>Formulación</v>
          </cell>
          <cell r="AC3430">
            <v>4.8799999999999998E-3</v>
          </cell>
          <cell r="AD3430">
            <v>4.8799999999999998E-3</v>
          </cell>
          <cell r="AE3430" t="str">
            <v>Con precio</v>
          </cell>
        </row>
        <row r="3431">
          <cell r="B3431" t="str">
            <v>FU0001RS</v>
          </cell>
          <cell r="X3431" t="str">
            <v>Formulación</v>
          </cell>
          <cell r="AC3431">
            <v>3.6014999999999998E-2</v>
          </cell>
          <cell r="AD3431">
            <v>3.6014999999999998E-2</v>
          </cell>
          <cell r="AE3431" t="str">
            <v>Con precio</v>
          </cell>
        </row>
        <row r="3432">
          <cell r="B3432" t="str">
            <v>FU0001RS</v>
          </cell>
          <cell r="X3432" t="str">
            <v>Formulación</v>
          </cell>
          <cell r="AC3432">
            <v>0.28520000000000001</v>
          </cell>
          <cell r="AD3432">
            <v>0.27589999999999998</v>
          </cell>
          <cell r="AE3432" t="str">
            <v>Con precio</v>
          </cell>
        </row>
        <row r="3433">
          <cell r="B3433" t="str">
            <v>FU0001RS</v>
          </cell>
          <cell r="X3433" t="str">
            <v>Formulación</v>
          </cell>
          <cell r="AC3433">
            <v>0.21840000000000001</v>
          </cell>
          <cell r="AD3433">
            <v>0.1541072</v>
          </cell>
          <cell r="AE3433" t="str">
            <v>Con precio</v>
          </cell>
        </row>
        <row r="3434">
          <cell r="B3434" t="str">
            <v>FU0001RS</v>
          </cell>
          <cell r="X3434" t="str">
            <v>Formulación</v>
          </cell>
          <cell r="AC3434">
            <v>4.1175000000000003E-2</v>
          </cell>
          <cell r="AD3434">
            <v>4.1175000000000003E-2</v>
          </cell>
          <cell r="AE3434" t="str">
            <v>Con precio</v>
          </cell>
        </row>
        <row r="3435">
          <cell r="B3435" t="str">
            <v>FU0001RS</v>
          </cell>
          <cell r="X3435" t="str">
            <v>Formulación</v>
          </cell>
          <cell r="AC3435">
            <v>0.13159999999999999</v>
          </cell>
          <cell r="AD3435">
            <v>0.107296</v>
          </cell>
          <cell r="AE3435" t="str">
            <v>Con precio</v>
          </cell>
        </row>
        <row r="3436">
          <cell r="B3436" t="str">
            <v>FU0001RS</v>
          </cell>
          <cell r="X3436" t="str">
            <v>Formulación</v>
          </cell>
          <cell r="AC3436">
            <v>0.12340499999999999</v>
          </cell>
          <cell r="AD3436">
            <v>0.12340499999999999</v>
          </cell>
          <cell r="AE3436" t="str">
            <v>Con precio</v>
          </cell>
        </row>
        <row r="3437">
          <cell r="B3437" t="str">
            <v>FU0001RS</v>
          </cell>
          <cell r="X3437" t="str">
            <v>Formulación</v>
          </cell>
          <cell r="AC3437">
            <v>7.1979999999999988E-2</v>
          </cell>
          <cell r="AD3437">
            <v>7.1979999999999988E-2</v>
          </cell>
          <cell r="AE3437" t="str">
            <v>Con precio</v>
          </cell>
        </row>
        <row r="3438">
          <cell r="B3438" t="str">
            <v>FU0001RS</v>
          </cell>
          <cell r="X3438" t="str">
            <v>Formulación</v>
          </cell>
          <cell r="AC3438">
            <v>4.1279999999999997E-2</v>
          </cell>
          <cell r="AD3438">
            <v>3.0864000000000003E-2</v>
          </cell>
          <cell r="AE3438" t="str">
            <v>Con precio</v>
          </cell>
        </row>
        <row r="3439">
          <cell r="B3439" t="str">
            <v>FU0001RS</v>
          </cell>
          <cell r="X3439" t="str">
            <v>Empaquetado</v>
          </cell>
          <cell r="AC3439">
            <v>3.0303030303030299E-5</v>
          </cell>
          <cell r="AD3439">
            <v>3.0303030303030299E-5</v>
          </cell>
          <cell r="AE3439" t="str">
            <v>Con precio</v>
          </cell>
        </row>
        <row r="3440">
          <cell r="B3440" t="str">
            <v>FU0001RS</v>
          </cell>
          <cell r="X3440" t="str">
            <v>Empaquetado</v>
          </cell>
          <cell r="AC3440">
            <v>2.3439393939393937E-2</v>
          </cell>
          <cell r="AD3440">
            <v>2.3439393939393937E-2</v>
          </cell>
          <cell r="AE3440" t="str">
            <v>Con precio</v>
          </cell>
        </row>
        <row r="3441">
          <cell r="B3441" t="str">
            <v>FU0001RS</v>
          </cell>
          <cell r="X3441" t="str">
            <v>Empaquetado</v>
          </cell>
          <cell r="AC3441">
            <v>7.1917518745739595E-2</v>
          </cell>
          <cell r="AD3441">
            <v>7.1917518745739595E-2</v>
          </cell>
          <cell r="AE3441" t="str">
            <v>Con precio</v>
          </cell>
        </row>
        <row r="3442">
          <cell r="B3442" t="str">
            <v>FU0001RS</v>
          </cell>
          <cell r="X3442" t="str">
            <v>Empaquetado</v>
          </cell>
          <cell r="AC3442">
            <v>0.44322992424242419</v>
          </cell>
          <cell r="AD3442">
            <v>0.44322992424242419</v>
          </cell>
          <cell r="AE3442" t="str">
            <v>Con precio</v>
          </cell>
        </row>
        <row r="3443">
          <cell r="B3443" t="str">
            <v>FU0001RS</v>
          </cell>
          <cell r="X3443" t="str">
            <v>Empaquetado</v>
          </cell>
          <cell r="AC3443">
            <v>0.45124999999999998</v>
          </cell>
          <cell r="AD3443">
            <v>0.32061666666666666</v>
          </cell>
          <cell r="AE3443" t="str">
            <v>Con precio</v>
          </cell>
        </row>
        <row r="3444">
          <cell r="B3444" t="str">
            <v>FU0001RS</v>
          </cell>
          <cell r="X3444" t="str">
            <v>Empaquetado</v>
          </cell>
          <cell r="AC3444">
            <v>9.6080774456521717E-2</v>
          </cell>
          <cell r="AD3444">
            <v>9.6080774456521717E-2</v>
          </cell>
          <cell r="AE3444" t="str">
            <v>Con precio</v>
          </cell>
        </row>
        <row r="3445">
          <cell r="B3445" t="str">
            <v>FU0005</v>
          </cell>
          <cell r="X3445" t="str">
            <v>Formulación</v>
          </cell>
          <cell r="AC3445">
            <v>4.8799999999999998E-3</v>
          </cell>
          <cell r="AD3445">
            <v>4.8799999999999998E-3</v>
          </cell>
          <cell r="AE3445" t="str">
            <v>Con precio</v>
          </cell>
        </row>
        <row r="3446">
          <cell r="B3446" t="str">
            <v>FU0005</v>
          </cell>
          <cell r="X3446" t="str">
            <v>Formulación</v>
          </cell>
          <cell r="AC3446">
            <v>3.6014999999999998E-2</v>
          </cell>
          <cell r="AD3446">
            <v>3.6014999999999998E-2</v>
          </cell>
          <cell r="AE3446" t="str">
            <v>Con precio</v>
          </cell>
        </row>
        <row r="3447">
          <cell r="B3447" t="str">
            <v>FU0005</v>
          </cell>
          <cell r="X3447" t="str">
            <v>Formulación</v>
          </cell>
          <cell r="AC3447">
            <v>0.28520000000000001</v>
          </cell>
          <cell r="AD3447">
            <v>0.27589999999999998</v>
          </cell>
          <cell r="AE3447" t="str">
            <v>Con precio</v>
          </cell>
        </row>
        <row r="3448">
          <cell r="B3448" t="str">
            <v>FU0005</v>
          </cell>
          <cell r="X3448" t="str">
            <v>Formulación</v>
          </cell>
          <cell r="AC3448">
            <v>0.21840000000000001</v>
          </cell>
          <cell r="AD3448">
            <v>0.1541072</v>
          </cell>
          <cell r="AE3448" t="str">
            <v>Con precio</v>
          </cell>
        </row>
        <row r="3449">
          <cell r="B3449" t="str">
            <v>FU0005</v>
          </cell>
          <cell r="X3449" t="str">
            <v>Formulación</v>
          </cell>
          <cell r="AC3449">
            <v>4.1175000000000003E-2</v>
          </cell>
          <cell r="AD3449">
            <v>4.1175000000000003E-2</v>
          </cell>
          <cell r="AE3449" t="str">
            <v>Con precio</v>
          </cell>
        </row>
        <row r="3450">
          <cell r="B3450" t="str">
            <v>FU0005</v>
          </cell>
          <cell r="X3450" t="str">
            <v>Formulación</v>
          </cell>
          <cell r="AC3450">
            <v>0.13159999999999999</v>
          </cell>
          <cell r="AD3450">
            <v>0.107296</v>
          </cell>
          <cell r="AE3450" t="str">
            <v>Con precio</v>
          </cell>
        </row>
        <row r="3451">
          <cell r="B3451" t="str">
            <v>FU0005</v>
          </cell>
          <cell r="X3451" t="str">
            <v>Formulación</v>
          </cell>
          <cell r="AC3451">
            <v>0.12340499999999999</v>
          </cell>
          <cell r="AD3451">
            <v>0.12340499999999999</v>
          </cell>
          <cell r="AE3451" t="str">
            <v>Con precio</v>
          </cell>
        </row>
        <row r="3452">
          <cell r="B3452" t="str">
            <v>FU0005</v>
          </cell>
          <cell r="X3452" t="str">
            <v>Formulación</v>
          </cell>
          <cell r="AC3452">
            <v>7.1979999999999988E-2</v>
          </cell>
          <cell r="AD3452">
            <v>7.1979999999999988E-2</v>
          </cell>
          <cell r="AE3452" t="str">
            <v>Con precio</v>
          </cell>
        </row>
        <row r="3453">
          <cell r="B3453" t="str">
            <v>FU0005</v>
          </cell>
          <cell r="X3453" t="str">
            <v>Formulación</v>
          </cell>
          <cell r="AC3453">
            <v>4.1279999999999997E-2</v>
          </cell>
          <cell r="AD3453">
            <v>3.0864000000000003E-2</v>
          </cell>
          <cell r="AE3453" t="str">
            <v>Con precio</v>
          </cell>
        </row>
        <row r="3454">
          <cell r="B3454" t="str">
            <v>FU0005</v>
          </cell>
          <cell r="X3454" t="str">
            <v>Empaquetado</v>
          </cell>
          <cell r="AC3454">
            <v>1.5470000000000001E-2</v>
          </cell>
          <cell r="AD3454">
            <v>1.5470000000000001E-2</v>
          </cell>
          <cell r="AE3454" t="str">
            <v>Con precio</v>
          </cell>
        </row>
        <row r="3455">
          <cell r="B3455" t="str">
            <v>FU0005</v>
          </cell>
          <cell r="X3455" t="str">
            <v>Empaquetado</v>
          </cell>
          <cell r="AC3455">
            <v>7.7948000000000002E-3</v>
          </cell>
          <cell r="AD3455">
            <v>7.7948000000000002E-3</v>
          </cell>
          <cell r="AE3455" t="str">
            <v>Con precio</v>
          </cell>
        </row>
        <row r="3456">
          <cell r="B3456" t="str">
            <v>FU0005</v>
          </cell>
          <cell r="X3456" t="str">
            <v>Empaquetado</v>
          </cell>
          <cell r="AC3456">
            <v>2.5359983896940424E-2</v>
          </cell>
          <cell r="AD3456">
            <v>2.5359983896940424E-2</v>
          </cell>
          <cell r="AE3456" t="str">
            <v>Con precio</v>
          </cell>
        </row>
        <row r="3457">
          <cell r="B3457" t="str">
            <v>FU0005</v>
          </cell>
          <cell r="X3457" t="str">
            <v>Empaquetado</v>
          </cell>
          <cell r="AC3457">
            <v>0.17399999999999999</v>
          </cell>
          <cell r="AD3457">
            <v>0.17399999999999999</v>
          </cell>
          <cell r="AE3457" t="str">
            <v>Con precio</v>
          </cell>
        </row>
        <row r="3458">
          <cell r="B3458" t="str">
            <v>FU0005</v>
          </cell>
          <cell r="X3458" t="str">
            <v>Empaquetado</v>
          </cell>
          <cell r="AC3458">
            <v>5.7799999999999997E-2</v>
          </cell>
          <cell r="AD3458">
            <v>5.7799999999999997E-2</v>
          </cell>
          <cell r="AE3458" t="str">
            <v>Con precio</v>
          </cell>
        </row>
        <row r="3459">
          <cell r="B3459" t="str">
            <v>FU0005</v>
          </cell>
          <cell r="X3459" t="str">
            <v>Empaquetado</v>
          </cell>
          <cell r="AC3459">
            <v>3.6950017630465445E-2</v>
          </cell>
          <cell r="AD3459">
            <v>3.6950017630465445E-2</v>
          </cell>
          <cell r="AE3459" t="str">
            <v>Con precio</v>
          </cell>
        </row>
        <row r="3460">
          <cell r="B3460" t="str">
            <v>FU0005AZ</v>
          </cell>
          <cell r="X3460" t="str">
            <v>Formulación</v>
          </cell>
          <cell r="AC3460">
            <v>4.8799999999999998E-3</v>
          </cell>
          <cell r="AD3460">
            <v>4.8799999999999998E-3</v>
          </cell>
          <cell r="AE3460" t="str">
            <v>Con precio</v>
          </cell>
        </row>
        <row r="3461">
          <cell r="B3461" t="str">
            <v>FU0005AZ</v>
          </cell>
          <cell r="X3461" t="str">
            <v>Formulación</v>
          </cell>
          <cell r="AC3461">
            <v>3.6014999999999998E-2</v>
          </cell>
          <cell r="AD3461">
            <v>3.6014999999999998E-2</v>
          </cell>
          <cell r="AE3461" t="str">
            <v>Con precio</v>
          </cell>
        </row>
        <row r="3462">
          <cell r="B3462" t="str">
            <v>FU0005AZ</v>
          </cell>
          <cell r="X3462" t="str">
            <v>Formulación</v>
          </cell>
          <cell r="AC3462">
            <v>0.28520000000000001</v>
          </cell>
          <cell r="AD3462">
            <v>0.27589999999999998</v>
          </cell>
          <cell r="AE3462" t="str">
            <v>Con precio</v>
          </cell>
        </row>
        <row r="3463">
          <cell r="B3463" t="str">
            <v>FU0005AZ</v>
          </cell>
          <cell r="X3463" t="str">
            <v>Formulación</v>
          </cell>
          <cell r="AC3463">
            <v>0.21840000000000001</v>
          </cell>
          <cell r="AD3463">
            <v>0.1541072</v>
          </cell>
          <cell r="AE3463" t="str">
            <v>Con precio</v>
          </cell>
        </row>
        <row r="3464">
          <cell r="B3464" t="str">
            <v>FU0005AZ</v>
          </cell>
          <cell r="X3464" t="str">
            <v>Formulación</v>
          </cell>
          <cell r="AC3464">
            <v>4.1175000000000003E-2</v>
          </cell>
          <cell r="AD3464">
            <v>4.1175000000000003E-2</v>
          </cell>
          <cell r="AE3464" t="str">
            <v>Con precio</v>
          </cell>
        </row>
        <row r="3465">
          <cell r="B3465" t="str">
            <v>FU0005AZ</v>
          </cell>
          <cell r="X3465" t="str">
            <v>Formulación</v>
          </cell>
          <cell r="AC3465">
            <v>0.13159999999999999</v>
          </cell>
          <cell r="AD3465">
            <v>0.107296</v>
          </cell>
          <cell r="AE3465" t="str">
            <v>Con precio</v>
          </cell>
        </row>
        <row r="3466">
          <cell r="B3466" t="str">
            <v>FU0005AZ</v>
          </cell>
          <cell r="X3466" t="str">
            <v>Formulación</v>
          </cell>
          <cell r="AC3466">
            <v>0.12340499999999999</v>
          </cell>
          <cell r="AD3466">
            <v>0.12340499999999999</v>
          </cell>
          <cell r="AE3466" t="str">
            <v>Con precio</v>
          </cell>
        </row>
        <row r="3467">
          <cell r="B3467" t="str">
            <v>FU0005AZ</v>
          </cell>
          <cell r="X3467" t="str">
            <v>Formulación</v>
          </cell>
          <cell r="AC3467">
            <v>7.1979999999999988E-2</v>
          </cell>
          <cell r="AD3467">
            <v>7.1979999999999988E-2</v>
          </cell>
          <cell r="AE3467" t="str">
            <v>Con precio</v>
          </cell>
        </row>
        <row r="3468">
          <cell r="B3468" t="str">
            <v>FU0005AZ</v>
          </cell>
          <cell r="X3468" t="str">
            <v>Formulación</v>
          </cell>
          <cell r="AC3468">
            <v>4.1279999999999997E-2</v>
          </cell>
          <cell r="AD3468">
            <v>3.0864000000000003E-2</v>
          </cell>
          <cell r="AE3468" t="str">
            <v>Con precio</v>
          </cell>
        </row>
        <row r="3469">
          <cell r="B3469" t="str">
            <v>FU0005AZ</v>
          </cell>
          <cell r="X3469" t="str">
            <v>Empaquetado</v>
          </cell>
          <cell r="AC3469">
            <v>1.5470000000000001E-2</v>
          </cell>
          <cell r="AD3469">
            <v>1.5470000000000001E-2</v>
          </cell>
          <cell r="AE3469" t="str">
            <v>Con precio</v>
          </cell>
        </row>
        <row r="3470">
          <cell r="B3470" t="str">
            <v>FU0005AZ</v>
          </cell>
          <cell r="X3470" t="str">
            <v>Empaquetado</v>
          </cell>
          <cell r="AC3470">
            <v>7.7948000000000002E-3</v>
          </cell>
          <cell r="AD3470">
            <v>7.7948000000000002E-3</v>
          </cell>
          <cell r="AE3470" t="str">
            <v>Con precio</v>
          </cell>
        </row>
        <row r="3471">
          <cell r="B3471" t="str">
            <v>FU0005AZ</v>
          </cell>
          <cell r="X3471" t="str">
            <v>Empaquetado</v>
          </cell>
          <cell r="AC3471">
            <v>2.5359983896940424E-2</v>
          </cell>
          <cell r="AD3471">
            <v>2.5359983896940424E-2</v>
          </cell>
          <cell r="AE3471" t="str">
            <v>Con precio</v>
          </cell>
        </row>
        <row r="3472">
          <cell r="B3472" t="str">
            <v>FU0005AZ</v>
          </cell>
          <cell r="X3472" t="str">
            <v>Empaquetado</v>
          </cell>
          <cell r="AC3472">
            <v>0.17399999999999999</v>
          </cell>
          <cell r="AD3472">
            <v>0.17399999999999999</v>
          </cell>
          <cell r="AE3472" t="str">
            <v>Con precio</v>
          </cell>
        </row>
        <row r="3473">
          <cell r="B3473" t="str">
            <v>FU0005AZ</v>
          </cell>
          <cell r="X3473" t="str">
            <v>Empaquetado</v>
          </cell>
          <cell r="AC3473">
            <v>5.7799999999999997E-2</v>
          </cell>
          <cell r="AD3473">
            <v>5.7799999999999997E-2</v>
          </cell>
          <cell r="AE3473" t="str">
            <v>Con precio</v>
          </cell>
        </row>
        <row r="3474">
          <cell r="B3474" t="str">
            <v>FU0005AZ</v>
          </cell>
          <cell r="X3474" t="str">
            <v>Empaquetado</v>
          </cell>
          <cell r="AC3474">
            <v>3.6950017630465445E-2</v>
          </cell>
          <cell r="AD3474">
            <v>3.6950017630465445E-2</v>
          </cell>
          <cell r="AE3474" t="str">
            <v>Con precio</v>
          </cell>
        </row>
        <row r="3475">
          <cell r="B3475" t="str">
            <v>FU0020</v>
          </cell>
          <cell r="X3475" t="str">
            <v>Formulación</v>
          </cell>
          <cell r="AC3475">
            <v>4.8799999999999998E-3</v>
          </cell>
          <cell r="AD3475">
            <v>4.8799999999999998E-3</v>
          </cell>
          <cell r="AE3475" t="str">
            <v>Con precio</v>
          </cell>
        </row>
        <row r="3476">
          <cell r="B3476" t="str">
            <v>FU0020</v>
          </cell>
          <cell r="X3476" t="str">
            <v>Formulación</v>
          </cell>
          <cell r="AC3476">
            <v>3.6014999999999998E-2</v>
          </cell>
          <cell r="AD3476">
            <v>3.6014999999999998E-2</v>
          </cell>
          <cell r="AE3476" t="str">
            <v>Con precio</v>
          </cell>
        </row>
        <row r="3477">
          <cell r="B3477" t="str">
            <v>FU0020</v>
          </cell>
          <cell r="X3477" t="str">
            <v>Formulación</v>
          </cell>
          <cell r="AC3477">
            <v>0.28520000000000001</v>
          </cell>
          <cell r="AD3477">
            <v>0.27589999999999998</v>
          </cell>
          <cell r="AE3477" t="str">
            <v>Con precio</v>
          </cell>
        </row>
        <row r="3478">
          <cell r="B3478" t="str">
            <v>FU0020</v>
          </cell>
          <cell r="X3478" t="str">
            <v>Formulación</v>
          </cell>
          <cell r="AC3478">
            <v>0.21840000000000001</v>
          </cell>
          <cell r="AD3478">
            <v>0.1541072</v>
          </cell>
          <cell r="AE3478" t="str">
            <v>Con precio</v>
          </cell>
        </row>
        <row r="3479">
          <cell r="B3479" t="str">
            <v>FU0020</v>
          </cell>
          <cell r="X3479" t="str">
            <v>Formulación</v>
          </cell>
          <cell r="AC3479">
            <v>4.1175000000000003E-2</v>
          </cell>
          <cell r="AD3479">
            <v>4.1175000000000003E-2</v>
          </cell>
          <cell r="AE3479" t="str">
            <v>Con precio</v>
          </cell>
        </row>
        <row r="3480">
          <cell r="B3480" t="str">
            <v>FU0020</v>
          </cell>
          <cell r="X3480" t="str">
            <v>Formulación</v>
          </cell>
          <cell r="AC3480">
            <v>0.13159999999999999</v>
          </cell>
          <cell r="AD3480">
            <v>0.107296</v>
          </cell>
          <cell r="AE3480" t="str">
            <v>Con precio</v>
          </cell>
        </row>
        <row r="3481">
          <cell r="B3481" t="str">
            <v>FU0020</v>
          </cell>
          <cell r="X3481" t="str">
            <v>Formulación</v>
          </cell>
          <cell r="AC3481">
            <v>0.12340499999999999</v>
          </cell>
          <cell r="AD3481">
            <v>0.12340499999999999</v>
          </cell>
          <cell r="AE3481" t="str">
            <v>Con precio</v>
          </cell>
        </row>
        <row r="3482">
          <cell r="B3482" t="str">
            <v>FU0020</v>
          </cell>
          <cell r="X3482" t="str">
            <v>Formulación</v>
          </cell>
          <cell r="AC3482">
            <v>7.1979999999999988E-2</v>
          </cell>
          <cell r="AD3482">
            <v>7.1979999999999988E-2</v>
          </cell>
          <cell r="AE3482" t="str">
            <v>Con precio</v>
          </cell>
        </row>
        <row r="3483">
          <cell r="B3483" t="str">
            <v>FU0020</v>
          </cell>
          <cell r="X3483" t="str">
            <v>Formulación</v>
          </cell>
          <cell r="AC3483">
            <v>4.1279999999999997E-2</v>
          </cell>
          <cell r="AD3483">
            <v>3.0864000000000003E-2</v>
          </cell>
          <cell r="AE3483" t="str">
            <v>Con precio</v>
          </cell>
        </row>
        <row r="3484">
          <cell r="B3484" t="str">
            <v>FU0020</v>
          </cell>
          <cell r="X3484" t="str">
            <v>Empaquetado</v>
          </cell>
          <cell r="AC3484">
            <v>7.3209374999999993E-3</v>
          </cell>
          <cell r="AD3484">
            <v>7.3209374999999993E-3</v>
          </cell>
          <cell r="AE3484" t="str">
            <v>Con precio</v>
          </cell>
        </row>
        <row r="3485">
          <cell r="B3485" t="str">
            <v>FU0020</v>
          </cell>
          <cell r="X3485" t="str">
            <v>Empaquetado</v>
          </cell>
          <cell r="AC3485">
            <v>2.4171875000000002E-2</v>
          </cell>
          <cell r="AD3485">
            <v>2.4171875000000002E-2</v>
          </cell>
          <cell r="AE3485" t="str">
            <v>Con precio</v>
          </cell>
        </row>
        <row r="3486">
          <cell r="B3486" t="str">
            <v>FU0020</v>
          </cell>
          <cell r="X3486" t="str">
            <v>Empaquetado</v>
          </cell>
          <cell r="AC3486">
            <v>5.0719967793880849E-3</v>
          </cell>
          <cell r="AD3486">
            <v>5.0719967793880849E-3</v>
          </cell>
          <cell r="AE3486" t="str">
            <v>Con precio</v>
          </cell>
        </row>
        <row r="3487">
          <cell r="B3487" t="str">
            <v>FU0020</v>
          </cell>
          <cell r="X3487" t="str">
            <v>Empaquetado</v>
          </cell>
          <cell r="AC3487">
            <v>0.18266505681818179</v>
          </cell>
          <cell r="AD3487">
            <v>0.18266505681818179</v>
          </cell>
          <cell r="AE3487" t="str">
            <v>Con precio</v>
          </cell>
        </row>
        <row r="3488">
          <cell r="B3488" t="str">
            <v>FU0020</v>
          </cell>
          <cell r="X3488" t="str">
            <v>Empaquetado</v>
          </cell>
          <cell r="AC3488">
            <v>2.4035031847133761E-2</v>
          </cell>
          <cell r="AD3488">
            <v>2.4035031847133761E-2</v>
          </cell>
          <cell r="AE3488" t="str">
            <v>Con precio</v>
          </cell>
        </row>
        <row r="3489">
          <cell r="B3489" t="str">
            <v>FU0020AZ</v>
          </cell>
          <cell r="X3489" t="str">
            <v>Formulación</v>
          </cell>
          <cell r="AC3489">
            <v>4.8799999999999998E-3</v>
          </cell>
          <cell r="AD3489">
            <v>4.8799999999999998E-3</v>
          </cell>
          <cell r="AE3489" t="str">
            <v>Con precio</v>
          </cell>
        </row>
        <row r="3490">
          <cell r="B3490" t="str">
            <v>FU0020AZ</v>
          </cell>
          <cell r="X3490" t="str">
            <v>Formulación</v>
          </cell>
          <cell r="AC3490">
            <v>3.6014999999999998E-2</v>
          </cell>
          <cell r="AD3490">
            <v>3.6014999999999998E-2</v>
          </cell>
          <cell r="AE3490" t="str">
            <v>Con precio</v>
          </cell>
        </row>
        <row r="3491">
          <cell r="B3491" t="str">
            <v>FU0020AZ</v>
          </cell>
          <cell r="X3491" t="str">
            <v>Formulación</v>
          </cell>
          <cell r="AC3491">
            <v>0.28520000000000001</v>
          </cell>
          <cell r="AD3491">
            <v>0.27589999999999998</v>
          </cell>
          <cell r="AE3491" t="str">
            <v>Con precio</v>
          </cell>
        </row>
        <row r="3492">
          <cell r="B3492" t="str">
            <v>FU0020AZ</v>
          </cell>
          <cell r="X3492" t="str">
            <v>Formulación</v>
          </cell>
          <cell r="AC3492">
            <v>0.21840000000000001</v>
          </cell>
          <cell r="AD3492">
            <v>0.1541072</v>
          </cell>
          <cell r="AE3492" t="str">
            <v>Con precio</v>
          </cell>
        </row>
        <row r="3493">
          <cell r="B3493" t="str">
            <v>FU0020AZ</v>
          </cell>
          <cell r="X3493" t="str">
            <v>Formulación</v>
          </cell>
          <cell r="AC3493">
            <v>4.1175000000000003E-2</v>
          </cell>
          <cell r="AD3493">
            <v>4.1175000000000003E-2</v>
          </cell>
          <cell r="AE3493" t="str">
            <v>Con precio</v>
          </cell>
        </row>
        <row r="3494">
          <cell r="B3494" t="str">
            <v>FU0020AZ</v>
          </cell>
          <cell r="X3494" t="str">
            <v>Formulación</v>
          </cell>
          <cell r="AC3494">
            <v>0.13159999999999999</v>
          </cell>
          <cell r="AD3494">
            <v>0.107296</v>
          </cell>
          <cell r="AE3494" t="str">
            <v>Con precio</v>
          </cell>
        </row>
        <row r="3495">
          <cell r="B3495" t="str">
            <v>FU0020AZ</v>
          </cell>
          <cell r="X3495" t="str">
            <v>Formulación</v>
          </cell>
          <cell r="AC3495">
            <v>0.12340499999999999</v>
          </cell>
          <cell r="AD3495">
            <v>0.12340499999999999</v>
          </cell>
          <cell r="AE3495" t="str">
            <v>Con precio</v>
          </cell>
        </row>
        <row r="3496">
          <cell r="B3496" t="str">
            <v>FU0020AZ</v>
          </cell>
          <cell r="X3496" t="str">
            <v>Formulación</v>
          </cell>
          <cell r="AC3496">
            <v>7.1979999999999988E-2</v>
          </cell>
          <cell r="AD3496">
            <v>7.1979999999999988E-2</v>
          </cell>
          <cell r="AE3496" t="str">
            <v>Con precio</v>
          </cell>
        </row>
        <row r="3497">
          <cell r="B3497" t="str">
            <v>FU0020AZ</v>
          </cell>
          <cell r="X3497" t="str">
            <v>Formulación</v>
          </cell>
          <cell r="AC3497">
            <v>4.1279999999999997E-2</v>
          </cell>
          <cell r="AD3497">
            <v>3.0864000000000003E-2</v>
          </cell>
          <cell r="AE3497" t="str">
            <v>Con precio</v>
          </cell>
        </row>
        <row r="3498">
          <cell r="B3498" t="str">
            <v>FU0020AZ</v>
          </cell>
          <cell r="X3498" t="str">
            <v>Empaquetado</v>
          </cell>
          <cell r="AC3498">
            <v>7.3209374999999993E-3</v>
          </cell>
          <cell r="AD3498">
            <v>7.3209374999999993E-3</v>
          </cell>
          <cell r="AE3498" t="str">
            <v>Con precio</v>
          </cell>
        </row>
        <row r="3499">
          <cell r="B3499" t="str">
            <v>FU0020AZ</v>
          </cell>
          <cell r="X3499" t="str">
            <v>Empaquetado</v>
          </cell>
          <cell r="AC3499">
            <v>2.4171875000000002E-2</v>
          </cell>
          <cell r="AD3499">
            <v>2.4171875000000002E-2</v>
          </cell>
          <cell r="AE3499" t="str">
            <v>Con precio</v>
          </cell>
        </row>
        <row r="3500">
          <cell r="B3500" t="str">
            <v>FU0020AZ</v>
          </cell>
          <cell r="X3500" t="str">
            <v>Empaquetado</v>
          </cell>
          <cell r="AC3500">
            <v>5.0719967793880849E-3</v>
          </cell>
          <cell r="AD3500">
            <v>5.0719967793880849E-3</v>
          </cell>
          <cell r="AE3500" t="str">
            <v>Con precio</v>
          </cell>
        </row>
        <row r="3501">
          <cell r="B3501" t="str">
            <v>FU0020AZ</v>
          </cell>
          <cell r="X3501" t="str">
            <v>Empaquetado</v>
          </cell>
          <cell r="AC3501">
            <v>0.18266505681818179</v>
          </cell>
          <cell r="AD3501">
            <v>0.18266505681818179</v>
          </cell>
          <cell r="AE3501" t="str">
            <v>Con precio</v>
          </cell>
        </row>
        <row r="3502">
          <cell r="B3502" t="str">
            <v>FU0020AZ</v>
          </cell>
          <cell r="X3502" t="str">
            <v>Empaquetado</v>
          </cell>
          <cell r="AC3502">
            <v>2.4035031847133761E-2</v>
          </cell>
          <cell r="AD3502">
            <v>2.4035031847133761E-2</v>
          </cell>
          <cell r="AE3502" t="str">
            <v>Con precio</v>
          </cell>
        </row>
        <row r="3503">
          <cell r="B3503" t="str">
            <v>FU1000TR</v>
          </cell>
          <cell r="X3503" t="str">
            <v>Formulación</v>
          </cell>
          <cell r="AC3503">
            <v>4.8799999999999998E-3</v>
          </cell>
          <cell r="AD3503">
            <v>4.8799999999999998E-3</v>
          </cell>
          <cell r="AE3503" t="str">
            <v>Con precio</v>
          </cell>
        </row>
        <row r="3504">
          <cell r="B3504" t="str">
            <v>FU1000TR</v>
          </cell>
          <cell r="X3504" t="str">
            <v>Formulación</v>
          </cell>
          <cell r="AC3504">
            <v>3.6014999999999998E-2</v>
          </cell>
          <cell r="AD3504">
            <v>3.6014999999999998E-2</v>
          </cell>
          <cell r="AE3504" t="str">
            <v>Con precio</v>
          </cell>
        </row>
        <row r="3505">
          <cell r="B3505" t="str">
            <v>FU1000TR</v>
          </cell>
          <cell r="X3505" t="str">
            <v>Formulación</v>
          </cell>
          <cell r="AC3505">
            <v>0.28520000000000001</v>
          </cell>
          <cell r="AD3505">
            <v>0.27589999999999998</v>
          </cell>
          <cell r="AE3505" t="str">
            <v>Con precio</v>
          </cell>
        </row>
        <row r="3506">
          <cell r="B3506" t="str">
            <v>FU1000TR</v>
          </cell>
          <cell r="X3506" t="str">
            <v>Formulación</v>
          </cell>
          <cell r="AC3506">
            <v>0.21840000000000001</v>
          </cell>
          <cell r="AD3506">
            <v>0.1541072</v>
          </cell>
          <cell r="AE3506" t="str">
            <v>Con precio</v>
          </cell>
        </row>
        <row r="3507">
          <cell r="B3507" t="str">
            <v>FU1000TR</v>
          </cell>
          <cell r="X3507" t="str">
            <v>Formulación</v>
          </cell>
          <cell r="AC3507">
            <v>4.1175000000000003E-2</v>
          </cell>
          <cell r="AD3507">
            <v>4.1175000000000003E-2</v>
          </cell>
          <cell r="AE3507" t="str">
            <v>Con precio</v>
          </cell>
        </row>
        <row r="3508">
          <cell r="B3508" t="str">
            <v>FU1000TR</v>
          </cell>
          <cell r="X3508" t="str">
            <v>Formulación</v>
          </cell>
          <cell r="AC3508">
            <v>0.13159999999999999</v>
          </cell>
          <cell r="AD3508">
            <v>0.107296</v>
          </cell>
          <cell r="AE3508" t="str">
            <v>Con precio</v>
          </cell>
        </row>
        <row r="3509">
          <cell r="B3509" t="str">
            <v>FU1000TR</v>
          </cell>
          <cell r="X3509" t="str">
            <v>Formulación</v>
          </cell>
          <cell r="AC3509">
            <v>0.12340499999999999</v>
          </cell>
          <cell r="AD3509">
            <v>0.12340499999999999</v>
          </cell>
          <cell r="AE3509" t="str">
            <v>Con precio</v>
          </cell>
        </row>
        <row r="3510">
          <cell r="B3510" t="str">
            <v>FU1000TR</v>
          </cell>
          <cell r="X3510" t="str">
            <v>Formulación</v>
          </cell>
          <cell r="AC3510">
            <v>7.1979999999999988E-2</v>
          </cell>
          <cell r="AD3510">
            <v>7.1979999999999988E-2</v>
          </cell>
          <cell r="AE3510" t="str">
            <v>Con precio</v>
          </cell>
        </row>
        <row r="3511">
          <cell r="B3511" t="str">
            <v>FU1000TR</v>
          </cell>
          <cell r="X3511" t="str">
            <v>Formulación</v>
          </cell>
          <cell r="AC3511">
            <v>4.1279999999999997E-2</v>
          </cell>
          <cell r="AD3511">
            <v>3.0864000000000003E-2</v>
          </cell>
          <cell r="AE3511" t="str">
            <v>Con precio</v>
          </cell>
        </row>
        <row r="3512">
          <cell r="B3512" t="str">
            <v>FU1000TR</v>
          </cell>
          <cell r="X3512" t="str">
            <v>Empaquetado</v>
          </cell>
          <cell r="AC3512">
            <v>6.9846153846153836E-2</v>
          </cell>
          <cell r="AD3512">
            <v>6.9846153846153836E-2</v>
          </cell>
          <cell r="AE3512" t="str">
            <v>Con precio</v>
          </cell>
        </row>
        <row r="3513">
          <cell r="B3513" t="str">
            <v>FU1000TR</v>
          </cell>
          <cell r="X3513" t="str">
            <v>Empaquetado</v>
          </cell>
          <cell r="AC3513">
            <v>8.8689945652173921E-5</v>
          </cell>
          <cell r="AD3513">
            <v>8.8689945652173921E-5</v>
          </cell>
          <cell r="AE3513" t="str">
            <v>Con precio</v>
          </cell>
        </row>
        <row r="3514">
          <cell r="B3514" t="str">
            <v>G0001PA</v>
          </cell>
          <cell r="X3514" t="str">
            <v>Formulación</v>
          </cell>
          <cell r="AC3514">
            <v>0.88159999999999994</v>
          </cell>
          <cell r="AD3514">
            <v>0.77044999999999997</v>
          </cell>
          <cell r="AE3514" t="str">
            <v>Con precio</v>
          </cell>
        </row>
        <row r="3515">
          <cell r="B3515" t="str">
            <v>G0001PA</v>
          </cell>
          <cell r="X3515" t="str">
            <v>Formulación</v>
          </cell>
          <cell r="AC3515">
            <v>4.1400000000000006E-2</v>
          </cell>
          <cell r="AD3515">
            <v>3.3923999999999996E-2</v>
          </cell>
          <cell r="AE3515" t="str">
            <v>Con precio</v>
          </cell>
        </row>
        <row r="3516">
          <cell r="B3516" t="str">
            <v>G0001PA</v>
          </cell>
          <cell r="X3516" t="str">
            <v>Formulación</v>
          </cell>
          <cell r="AC3516">
            <v>3.9835999999999996E-2</v>
          </cell>
          <cell r="AD3516">
            <v>3.9835999999999996E-2</v>
          </cell>
          <cell r="AE3516" t="str">
            <v>Con precio</v>
          </cell>
        </row>
        <row r="3517">
          <cell r="B3517" t="str">
            <v>G0001PA</v>
          </cell>
          <cell r="X3517" t="str">
            <v>Formulación</v>
          </cell>
          <cell r="AC3517">
            <v>0.24299999999999999</v>
          </cell>
          <cell r="AD3517">
            <v>0.16482857142857141</v>
          </cell>
          <cell r="AE3517" t="str">
            <v>Con precio</v>
          </cell>
        </row>
        <row r="3518">
          <cell r="B3518" t="str">
            <v>G0001PA</v>
          </cell>
          <cell r="X3518" t="str">
            <v>Formulación</v>
          </cell>
          <cell r="AC3518">
            <v>5.1599999999999997E-3</v>
          </cell>
          <cell r="AD3518">
            <v>3.8580000000000003E-3</v>
          </cell>
          <cell r="AE3518" t="str">
            <v>Con precio</v>
          </cell>
        </row>
        <row r="3519">
          <cell r="B3519" t="str">
            <v>G0001PA</v>
          </cell>
          <cell r="X3519" t="str">
            <v>Formulación</v>
          </cell>
          <cell r="AC3519">
            <v>9.7899999999999994E-5</v>
          </cell>
          <cell r="AD3519">
            <v>9.7899999999999994E-5</v>
          </cell>
          <cell r="AE3519" t="str">
            <v>Con precio</v>
          </cell>
        </row>
        <row r="3520">
          <cell r="B3520" t="str">
            <v>G0001PA</v>
          </cell>
          <cell r="X3520" t="str">
            <v>Formulación</v>
          </cell>
          <cell r="AC3520">
            <v>0.7248</v>
          </cell>
          <cell r="AD3520">
            <v>0.57072000000000001</v>
          </cell>
          <cell r="AE3520" t="str">
            <v>Con precio</v>
          </cell>
        </row>
        <row r="3521">
          <cell r="B3521" t="str">
            <v>G0001PA</v>
          </cell>
          <cell r="X3521" t="str">
            <v>Empaquetado</v>
          </cell>
          <cell r="AC3521">
            <v>3.0303030303030299E-5</v>
          </cell>
          <cell r="AD3521">
            <v>3.0303030303030299E-5</v>
          </cell>
          <cell r="AE3521" t="str">
            <v>Con precio</v>
          </cell>
        </row>
        <row r="3522">
          <cell r="B3522" t="str">
            <v>G0001PA</v>
          </cell>
          <cell r="X3522" t="str">
            <v>Empaquetado</v>
          </cell>
          <cell r="AC3522">
            <v>2.3439393939393937E-2</v>
          </cell>
          <cell r="AD3522">
            <v>2.3439393939393937E-2</v>
          </cell>
          <cell r="AE3522" t="str">
            <v>Con precio</v>
          </cell>
        </row>
        <row r="3523">
          <cell r="B3523" t="str">
            <v>G0001PA</v>
          </cell>
          <cell r="X3523" t="str">
            <v>Empaquetado</v>
          </cell>
          <cell r="AC3523">
            <v>7.1917518745739595E-2</v>
          </cell>
          <cell r="AD3523">
            <v>7.1917518745739595E-2</v>
          </cell>
          <cell r="AE3523" t="str">
            <v>Con precio</v>
          </cell>
        </row>
        <row r="3524">
          <cell r="B3524" t="str">
            <v>G0001PA</v>
          </cell>
          <cell r="X3524" t="str">
            <v>Empaquetado</v>
          </cell>
          <cell r="AC3524">
            <v>0.44322992424242419</v>
          </cell>
          <cell r="AD3524">
            <v>0.44322992424242419</v>
          </cell>
          <cell r="AE3524" t="str">
            <v>Con precio</v>
          </cell>
        </row>
        <row r="3525">
          <cell r="B3525" t="str">
            <v>G0001PA</v>
          </cell>
          <cell r="X3525" t="str">
            <v>Empaquetado</v>
          </cell>
          <cell r="AC3525">
            <v>0.45124999999999998</v>
          </cell>
          <cell r="AD3525">
            <v>0.32061666666666666</v>
          </cell>
          <cell r="AE3525" t="str">
            <v>Con precio</v>
          </cell>
        </row>
        <row r="3526">
          <cell r="B3526" t="str">
            <v>G0001PA</v>
          </cell>
          <cell r="X3526" t="str">
            <v>Empaquetado</v>
          </cell>
          <cell r="AC3526">
            <v>9.6080774456521717E-2</v>
          </cell>
          <cell r="AD3526">
            <v>9.6080774456521717E-2</v>
          </cell>
          <cell r="AE3526" t="str">
            <v>Con precio</v>
          </cell>
        </row>
        <row r="3527">
          <cell r="B3527" t="str">
            <v>G0001RO</v>
          </cell>
          <cell r="X3527" t="str">
            <v>Formulación</v>
          </cell>
          <cell r="AC3527">
            <v>0.88159999999999994</v>
          </cell>
          <cell r="AD3527">
            <v>0.77044999999999997</v>
          </cell>
          <cell r="AE3527" t="str">
            <v>Con precio</v>
          </cell>
        </row>
        <row r="3528">
          <cell r="B3528" t="str">
            <v>G0001RO</v>
          </cell>
          <cell r="X3528" t="str">
            <v>Formulación</v>
          </cell>
          <cell r="AC3528">
            <v>4.1400000000000006E-2</v>
          </cell>
          <cell r="AD3528">
            <v>3.3923999999999996E-2</v>
          </cell>
          <cell r="AE3528" t="str">
            <v>Con precio</v>
          </cell>
        </row>
        <row r="3529">
          <cell r="B3529" t="str">
            <v>G0001RO</v>
          </cell>
          <cell r="X3529" t="str">
            <v>Formulación</v>
          </cell>
          <cell r="AC3529">
            <v>3.9835999999999996E-2</v>
          </cell>
          <cell r="AD3529">
            <v>3.9835999999999996E-2</v>
          </cell>
          <cell r="AE3529" t="str">
            <v>Con precio</v>
          </cell>
        </row>
        <row r="3530">
          <cell r="B3530" t="str">
            <v>G0001RO</v>
          </cell>
          <cell r="X3530" t="str">
            <v>Formulación</v>
          </cell>
          <cell r="AC3530">
            <v>0.24299999999999999</v>
          </cell>
          <cell r="AD3530">
            <v>0.16482857142857141</v>
          </cell>
          <cell r="AE3530" t="str">
            <v>Con precio</v>
          </cell>
        </row>
        <row r="3531">
          <cell r="B3531" t="str">
            <v>G0001RO</v>
          </cell>
          <cell r="X3531" t="str">
            <v>Formulación</v>
          </cell>
          <cell r="AC3531">
            <v>5.1599999999999997E-3</v>
          </cell>
          <cell r="AD3531">
            <v>3.8580000000000003E-3</v>
          </cell>
          <cell r="AE3531" t="str">
            <v>Con precio</v>
          </cell>
        </row>
        <row r="3532">
          <cell r="B3532" t="str">
            <v>G0001RO</v>
          </cell>
          <cell r="X3532" t="str">
            <v>Formulación</v>
          </cell>
          <cell r="AC3532">
            <v>9.7899999999999994E-5</v>
          </cell>
          <cell r="AD3532">
            <v>9.7899999999999994E-5</v>
          </cell>
          <cell r="AE3532" t="str">
            <v>Con precio</v>
          </cell>
        </row>
        <row r="3533">
          <cell r="B3533" t="str">
            <v>G0001RO</v>
          </cell>
          <cell r="X3533" t="str">
            <v>Formulación</v>
          </cell>
          <cell r="AC3533">
            <v>0.7248</v>
          </cell>
          <cell r="AD3533">
            <v>0.57072000000000001</v>
          </cell>
          <cell r="AE3533" t="str">
            <v>Con precio</v>
          </cell>
        </row>
        <row r="3534">
          <cell r="B3534" t="str">
            <v>G0001RO</v>
          </cell>
          <cell r="X3534" t="str">
            <v>Empaquetado</v>
          </cell>
          <cell r="AC3534">
            <v>3.0303030303030299E-5</v>
          </cell>
          <cell r="AD3534">
            <v>3.0303030303030299E-5</v>
          </cell>
          <cell r="AE3534" t="str">
            <v>Con precio</v>
          </cell>
        </row>
        <row r="3535">
          <cell r="B3535" t="str">
            <v>G0001RO</v>
          </cell>
          <cell r="X3535" t="str">
            <v>Empaquetado</v>
          </cell>
          <cell r="AC3535">
            <v>2.3439393939393937E-2</v>
          </cell>
          <cell r="AD3535">
            <v>2.3439393939393937E-2</v>
          </cell>
          <cell r="AE3535" t="str">
            <v>Con precio</v>
          </cell>
        </row>
        <row r="3536">
          <cell r="B3536" t="str">
            <v>G0001RO</v>
          </cell>
          <cell r="X3536" t="str">
            <v>Empaquetado</v>
          </cell>
          <cell r="AC3536">
            <v>7.1917518745739595E-2</v>
          </cell>
          <cell r="AD3536">
            <v>7.1917518745739595E-2</v>
          </cell>
          <cell r="AE3536" t="str">
            <v>Con precio</v>
          </cell>
        </row>
        <row r="3537">
          <cell r="B3537" t="str">
            <v>G0001RO</v>
          </cell>
          <cell r="X3537" t="str">
            <v>Empaquetado</v>
          </cell>
          <cell r="AC3537">
            <v>0.44322992424242419</v>
          </cell>
          <cell r="AD3537">
            <v>0.44322992424242419</v>
          </cell>
          <cell r="AE3537" t="str">
            <v>Con precio</v>
          </cell>
        </row>
        <row r="3538">
          <cell r="B3538" t="str">
            <v>G0001RO</v>
          </cell>
          <cell r="X3538" t="str">
            <v>Empaquetado</v>
          </cell>
          <cell r="AC3538">
            <v>0.45124999999999998</v>
          </cell>
          <cell r="AD3538">
            <v>0.32061666666666666</v>
          </cell>
          <cell r="AE3538" t="str">
            <v>Con precio</v>
          </cell>
        </row>
        <row r="3539">
          <cell r="B3539" t="str">
            <v>G0001RO</v>
          </cell>
          <cell r="X3539" t="str">
            <v>Empaquetado</v>
          </cell>
          <cell r="AC3539">
            <v>9.6080774456521717E-2</v>
          </cell>
          <cell r="AD3539">
            <v>9.6080774456521717E-2</v>
          </cell>
          <cell r="AE3539" t="str">
            <v>Con precio</v>
          </cell>
        </row>
        <row r="3540">
          <cell r="B3540" t="str">
            <v>G0005PA</v>
          </cell>
          <cell r="X3540" t="str">
            <v>Formulación</v>
          </cell>
          <cell r="AC3540">
            <v>0.88159999999999994</v>
          </cell>
          <cell r="AD3540">
            <v>0.77044999999999997</v>
          </cell>
          <cell r="AE3540" t="str">
            <v>Con precio</v>
          </cell>
        </row>
        <row r="3541">
          <cell r="B3541" t="str">
            <v>G0005PA</v>
          </cell>
          <cell r="X3541" t="str">
            <v>Formulación</v>
          </cell>
          <cell r="AC3541">
            <v>4.1400000000000006E-2</v>
          </cell>
          <cell r="AD3541">
            <v>3.3923999999999996E-2</v>
          </cell>
          <cell r="AE3541" t="str">
            <v>Con precio</v>
          </cell>
        </row>
        <row r="3542">
          <cell r="B3542" t="str">
            <v>G0005PA</v>
          </cell>
          <cell r="X3542" t="str">
            <v>Formulación</v>
          </cell>
          <cell r="AC3542">
            <v>3.9835999999999996E-2</v>
          </cell>
          <cell r="AD3542">
            <v>3.9835999999999996E-2</v>
          </cell>
          <cell r="AE3542" t="str">
            <v>Con precio</v>
          </cell>
        </row>
        <row r="3543">
          <cell r="B3543" t="str">
            <v>G0005PA</v>
          </cell>
          <cell r="X3543" t="str">
            <v>Formulación</v>
          </cell>
          <cell r="AC3543">
            <v>0.24299999999999999</v>
          </cell>
          <cell r="AD3543">
            <v>0.16482857142857141</v>
          </cell>
          <cell r="AE3543" t="str">
            <v>Con precio</v>
          </cell>
        </row>
        <row r="3544">
          <cell r="B3544" t="str">
            <v>G0005PA</v>
          </cell>
          <cell r="X3544" t="str">
            <v>Formulación</v>
          </cell>
          <cell r="AC3544">
            <v>5.1599999999999997E-3</v>
          </cell>
          <cell r="AD3544">
            <v>3.8580000000000003E-3</v>
          </cell>
          <cell r="AE3544" t="str">
            <v>Con precio</v>
          </cell>
        </row>
        <row r="3545">
          <cell r="B3545" t="str">
            <v>G0005PA</v>
          </cell>
          <cell r="X3545" t="str">
            <v>Formulación</v>
          </cell>
          <cell r="AC3545">
            <v>9.7899999999999994E-5</v>
          </cell>
          <cell r="AD3545">
            <v>9.7899999999999994E-5</v>
          </cell>
          <cell r="AE3545" t="str">
            <v>Con precio</v>
          </cell>
        </row>
        <row r="3546">
          <cell r="B3546" t="str">
            <v>G0005PA</v>
          </cell>
          <cell r="X3546" t="str">
            <v>Formulación</v>
          </cell>
          <cell r="AC3546">
            <v>0.7248</v>
          </cell>
          <cell r="AD3546">
            <v>0.57072000000000001</v>
          </cell>
          <cell r="AE3546" t="str">
            <v>Con precio</v>
          </cell>
        </row>
        <row r="3547">
          <cell r="B3547" t="str">
            <v>G0005PA</v>
          </cell>
          <cell r="X3547" t="str">
            <v>Empaquetado</v>
          </cell>
          <cell r="AC3547">
            <v>1.5470000000000001E-2</v>
          </cell>
          <cell r="AD3547">
            <v>1.5470000000000001E-2</v>
          </cell>
          <cell r="AE3547" t="str">
            <v>Con precio</v>
          </cell>
        </row>
        <row r="3548">
          <cell r="B3548" t="str">
            <v>G0005PA</v>
          </cell>
          <cell r="X3548" t="str">
            <v>Empaquetado</v>
          </cell>
          <cell r="AC3548">
            <v>7.7948000000000002E-3</v>
          </cell>
          <cell r="AD3548">
            <v>7.7948000000000002E-3</v>
          </cell>
          <cell r="AE3548" t="str">
            <v>Con precio</v>
          </cell>
        </row>
        <row r="3549">
          <cell r="B3549" t="str">
            <v>G0005PA</v>
          </cell>
          <cell r="X3549" t="str">
            <v>Empaquetado</v>
          </cell>
          <cell r="AC3549">
            <v>2.5359983896940424E-2</v>
          </cell>
          <cell r="AD3549">
            <v>2.5359983896940424E-2</v>
          </cell>
          <cell r="AE3549" t="str">
            <v>Con precio</v>
          </cell>
        </row>
        <row r="3550">
          <cell r="B3550" t="str">
            <v>G0005PA</v>
          </cell>
          <cell r="X3550" t="str">
            <v>Empaquetado</v>
          </cell>
          <cell r="AC3550">
            <v>0.17399999999999999</v>
          </cell>
          <cell r="AD3550">
            <v>0.17399999999999999</v>
          </cell>
          <cell r="AE3550" t="str">
            <v>Con precio</v>
          </cell>
        </row>
        <row r="3551">
          <cell r="B3551" t="str">
            <v>G0005PA</v>
          </cell>
          <cell r="X3551" t="str">
            <v>Empaquetado</v>
          </cell>
          <cell r="AC3551">
            <v>4.0000000000000008E-2</v>
          </cell>
          <cell r="AD3551">
            <v>4.0000000000000008E-2</v>
          </cell>
          <cell r="AE3551" t="str">
            <v>Con precio</v>
          </cell>
        </row>
        <row r="3552">
          <cell r="B3552" t="str">
            <v>G0005PA</v>
          </cell>
          <cell r="X3552" t="str">
            <v>Empaquetado</v>
          </cell>
          <cell r="AC3552">
            <v>3.6950017630465445E-2</v>
          </cell>
          <cell r="AD3552">
            <v>3.6950017630465445E-2</v>
          </cell>
          <cell r="AE3552" t="str">
            <v>Con precio</v>
          </cell>
        </row>
        <row r="3553">
          <cell r="B3553" t="str">
            <v>G0020RO</v>
          </cell>
          <cell r="X3553" t="str">
            <v>Formulación</v>
          </cell>
          <cell r="AC3553">
            <v>0.88159999999999994</v>
          </cell>
          <cell r="AD3553">
            <v>0.77044999999999997</v>
          </cell>
          <cell r="AE3553" t="str">
            <v>Con precio</v>
          </cell>
        </row>
        <row r="3554">
          <cell r="B3554" t="str">
            <v>G0020RO</v>
          </cell>
          <cell r="X3554" t="str">
            <v>Formulación</v>
          </cell>
          <cell r="AC3554">
            <v>4.1400000000000006E-2</v>
          </cell>
          <cell r="AD3554">
            <v>3.3923999999999996E-2</v>
          </cell>
          <cell r="AE3554" t="str">
            <v>Con precio</v>
          </cell>
        </row>
        <row r="3555">
          <cell r="B3555" t="str">
            <v>G0020RO</v>
          </cell>
          <cell r="X3555" t="str">
            <v>Formulación</v>
          </cell>
          <cell r="AC3555">
            <v>3.9835999999999996E-2</v>
          </cell>
          <cell r="AD3555">
            <v>3.9835999999999996E-2</v>
          </cell>
          <cell r="AE3555" t="str">
            <v>Con precio</v>
          </cell>
        </row>
        <row r="3556">
          <cell r="B3556" t="str">
            <v>G0020RO</v>
          </cell>
          <cell r="X3556" t="str">
            <v>Formulación</v>
          </cell>
          <cell r="AC3556">
            <v>0.24299999999999999</v>
          </cell>
          <cell r="AD3556">
            <v>0.16482857142857141</v>
          </cell>
          <cell r="AE3556" t="str">
            <v>Con precio</v>
          </cell>
        </row>
        <row r="3557">
          <cell r="B3557" t="str">
            <v>G0020RO</v>
          </cell>
          <cell r="X3557" t="str">
            <v>Formulación</v>
          </cell>
          <cell r="AC3557">
            <v>5.1599999999999997E-3</v>
          </cell>
          <cell r="AD3557">
            <v>3.8580000000000003E-3</v>
          </cell>
          <cell r="AE3557" t="str">
            <v>Con precio</v>
          </cell>
        </row>
        <row r="3558">
          <cell r="B3558" t="str">
            <v>G0020RO</v>
          </cell>
          <cell r="X3558" t="str">
            <v>Formulación</v>
          </cell>
          <cell r="AC3558">
            <v>9.7899999999999994E-5</v>
          </cell>
          <cell r="AD3558">
            <v>9.7899999999999994E-5</v>
          </cell>
          <cell r="AE3558" t="str">
            <v>Con precio</v>
          </cell>
        </row>
        <row r="3559">
          <cell r="B3559" t="str">
            <v>G0020RO</v>
          </cell>
          <cell r="X3559" t="str">
            <v>Formulación</v>
          </cell>
          <cell r="AC3559">
            <v>0.7248</v>
          </cell>
          <cell r="AD3559">
            <v>0.57072000000000001</v>
          </cell>
          <cell r="AE3559" t="str">
            <v>Con precio</v>
          </cell>
        </row>
        <row r="3560">
          <cell r="B3560" t="str">
            <v>G0020RO</v>
          </cell>
          <cell r="X3560" t="str">
            <v>Empaquetado</v>
          </cell>
          <cell r="AC3560">
            <v>7.3209374999999993E-3</v>
          </cell>
          <cell r="AD3560">
            <v>7.3209374999999993E-3</v>
          </cell>
          <cell r="AE3560" t="str">
            <v>Con precio</v>
          </cell>
        </row>
        <row r="3561">
          <cell r="B3561" t="str">
            <v>G0020RO</v>
          </cell>
          <cell r="X3561" t="str">
            <v>Empaquetado</v>
          </cell>
          <cell r="AC3561">
            <v>2.4171875000000002E-2</v>
          </cell>
          <cell r="AD3561">
            <v>2.4171875000000002E-2</v>
          </cell>
          <cell r="AE3561" t="str">
            <v>Con precio</v>
          </cell>
        </row>
        <row r="3562">
          <cell r="B3562" t="str">
            <v>G0020RO</v>
          </cell>
          <cell r="X3562" t="str">
            <v>Empaquetado</v>
          </cell>
          <cell r="AC3562">
            <v>5.0719967793880849E-3</v>
          </cell>
          <cell r="AD3562">
            <v>5.0719967793880849E-3</v>
          </cell>
          <cell r="AE3562" t="str">
            <v>Con precio</v>
          </cell>
        </row>
        <row r="3563">
          <cell r="B3563" t="str">
            <v>G0020RO</v>
          </cell>
          <cell r="X3563" t="str">
            <v>Empaquetado</v>
          </cell>
          <cell r="AC3563">
            <v>0.18266505681818179</v>
          </cell>
          <cell r="AD3563">
            <v>0.18266505681818179</v>
          </cell>
          <cell r="AE3563" t="str">
            <v>Con precio</v>
          </cell>
        </row>
        <row r="3564">
          <cell r="B3564" t="str">
            <v>G0020RO</v>
          </cell>
          <cell r="X3564" t="str">
            <v>Empaquetado</v>
          </cell>
          <cell r="AC3564">
            <v>2.4035031847133761E-2</v>
          </cell>
          <cell r="AD3564">
            <v>2.4035031847133761E-2</v>
          </cell>
          <cell r="AE3564" t="str">
            <v>Con precio</v>
          </cell>
        </row>
        <row r="3565">
          <cell r="B3565" t="str">
            <v>G0200RO</v>
          </cell>
          <cell r="X3565" t="str">
            <v>Formulación</v>
          </cell>
          <cell r="AC3565">
            <v>0.88159999999999994</v>
          </cell>
          <cell r="AD3565">
            <v>0.77044999999999997</v>
          </cell>
          <cell r="AE3565" t="str">
            <v>Con precio</v>
          </cell>
        </row>
        <row r="3566">
          <cell r="B3566" t="str">
            <v>G0200RO</v>
          </cell>
          <cell r="X3566" t="str">
            <v>Formulación</v>
          </cell>
          <cell r="AC3566">
            <v>4.1400000000000006E-2</v>
          </cell>
          <cell r="AD3566">
            <v>3.3923999999999996E-2</v>
          </cell>
          <cell r="AE3566" t="str">
            <v>Con precio</v>
          </cell>
        </row>
        <row r="3567">
          <cell r="B3567" t="str">
            <v>G0200RO</v>
          </cell>
          <cell r="X3567" t="str">
            <v>Formulación</v>
          </cell>
          <cell r="AC3567">
            <v>3.9835999999999996E-2</v>
          </cell>
          <cell r="AD3567">
            <v>3.9835999999999996E-2</v>
          </cell>
          <cell r="AE3567" t="str">
            <v>Con precio</v>
          </cell>
        </row>
        <row r="3568">
          <cell r="B3568" t="str">
            <v>G0200RO</v>
          </cell>
          <cell r="X3568" t="str">
            <v>Formulación</v>
          </cell>
          <cell r="AC3568">
            <v>0.24299999999999999</v>
          </cell>
          <cell r="AD3568">
            <v>0.16482857142857141</v>
          </cell>
          <cell r="AE3568" t="str">
            <v>Con precio</v>
          </cell>
        </row>
        <row r="3569">
          <cell r="B3569" t="str">
            <v>G0200RO</v>
          </cell>
          <cell r="X3569" t="str">
            <v>Formulación</v>
          </cell>
          <cell r="AC3569">
            <v>5.1599999999999997E-3</v>
          </cell>
          <cell r="AD3569">
            <v>3.8580000000000003E-3</v>
          </cell>
          <cell r="AE3569" t="str">
            <v>Con precio</v>
          </cell>
        </row>
        <row r="3570">
          <cell r="B3570" t="str">
            <v>G0200RO</v>
          </cell>
          <cell r="X3570" t="str">
            <v>Formulación</v>
          </cell>
          <cell r="AC3570">
            <v>9.7899999999999994E-5</v>
          </cell>
          <cell r="AD3570">
            <v>9.7899999999999994E-5</v>
          </cell>
          <cell r="AE3570" t="str">
            <v>Con precio</v>
          </cell>
        </row>
        <row r="3571">
          <cell r="B3571" t="str">
            <v>G0200RO</v>
          </cell>
          <cell r="X3571" t="str">
            <v>Formulación</v>
          </cell>
          <cell r="AC3571">
            <v>0.7248</v>
          </cell>
          <cell r="AD3571">
            <v>0.57072000000000001</v>
          </cell>
          <cell r="AE3571" t="str">
            <v>Con precio</v>
          </cell>
        </row>
        <row r="3572">
          <cell r="B3572" t="str">
            <v>G0200RO</v>
          </cell>
          <cell r="X3572" t="str">
            <v>Empaquetado</v>
          </cell>
          <cell r="AC3572">
            <v>5.0719967793880845E-4</v>
          </cell>
          <cell r="AD3572">
            <v>5.0719967793880845E-4</v>
          </cell>
          <cell r="AE3572" t="str">
            <v>Con precio</v>
          </cell>
        </row>
        <row r="3573">
          <cell r="B3573" t="str">
            <v>G0200RO</v>
          </cell>
          <cell r="X3573" t="str">
            <v>Empaquetado</v>
          </cell>
          <cell r="AC3573">
            <v>2.1875000000000002E-3</v>
          </cell>
          <cell r="AD3573">
            <v>2.1875000000000002E-3</v>
          </cell>
          <cell r="AE3573" t="str">
            <v>Con precio</v>
          </cell>
        </row>
        <row r="3574">
          <cell r="B3574" t="str">
            <v>G0200RO</v>
          </cell>
          <cell r="X3574" t="str">
            <v>Empaquetado</v>
          </cell>
          <cell r="AC3574">
            <v>0.16730511363636363</v>
          </cell>
          <cell r="AD3574">
            <v>0.16730511363636363</v>
          </cell>
          <cell r="AE3574" t="str">
            <v>Con precio</v>
          </cell>
        </row>
        <row r="3575">
          <cell r="B3575" t="str">
            <v>G0200RO</v>
          </cell>
          <cell r="X3575" t="str">
            <v>Empaquetado</v>
          </cell>
          <cell r="AC3575">
            <v>1.9337500000000001E-2</v>
          </cell>
          <cell r="AD3575">
            <v>1.9337500000000001E-2</v>
          </cell>
          <cell r="AE3575" t="str">
            <v>Con precio</v>
          </cell>
        </row>
        <row r="3576">
          <cell r="B3576" t="str">
            <v>G0200RO</v>
          </cell>
          <cell r="X3576" t="str">
            <v>Empaquetado</v>
          </cell>
          <cell r="AC3576">
            <v>3.4999999999999996E-3</v>
          </cell>
          <cell r="AD3576">
            <v>3.4999999999999996E-3</v>
          </cell>
          <cell r="AE3576" t="str">
            <v>Con precio</v>
          </cell>
        </row>
        <row r="3577">
          <cell r="B3577" t="str">
            <v>G0200RO</v>
          </cell>
          <cell r="X3577" t="str">
            <v>Empaquetado</v>
          </cell>
          <cell r="AC3577">
            <v>2.2500000000000003E-3</v>
          </cell>
          <cell r="AD3577">
            <v>2.2500000000000003E-3</v>
          </cell>
          <cell r="AE3577" t="str">
            <v>Con precio</v>
          </cell>
        </row>
        <row r="3578">
          <cell r="B3578" t="str">
            <v>G1000CR</v>
          </cell>
          <cell r="X3578" t="str">
            <v>Formulación</v>
          </cell>
          <cell r="AC3578">
            <v>0.88159999999999994</v>
          </cell>
          <cell r="AD3578">
            <v>0.77044999999999997</v>
          </cell>
          <cell r="AE3578" t="str">
            <v>Con precio</v>
          </cell>
        </row>
        <row r="3579">
          <cell r="B3579" t="str">
            <v>G1000CR</v>
          </cell>
          <cell r="X3579" t="str">
            <v>Formulación</v>
          </cell>
          <cell r="AC3579">
            <v>4.1400000000000006E-2</v>
          </cell>
          <cell r="AD3579">
            <v>3.3923999999999996E-2</v>
          </cell>
          <cell r="AE3579" t="str">
            <v>Con precio</v>
          </cell>
        </row>
        <row r="3580">
          <cell r="B3580" t="str">
            <v>G1000CR</v>
          </cell>
          <cell r="X3580" t="str">
            <v>Formulación</v>
          </cell>
          <cell r="AC3580">
            <v>3.9835999999999996E-2</v>
          </cell>
          <cell r="AD3580">
            <v>3.9835999999999996E-2</v>
          </cell>
          <cell r="AE3580" t="str">
            <v>Con precio</v>
          </cell>
        </row>
        <row r="3581">
          <cell r="B3581" t="str">
            <v>G1000CR</v>
          </cell>
          <cell r="X3581" t="str">
            <v>Formulación</v>
          </cell>
          <cell r="AC3581">
            <v>0.24299999999999999</v>
          </cell>
          <cell r="AD3581">
            <v>0.16482857142857141</v>
          </cell>
          <cell r="AE3581" t="str">
            <v>Con precio</v>
          </cell>
        </row>
        <row r="3582">
          <cell r="B3582" t="str">
            <v>G1000CR</v>
          </cell>
          <cell r="X3582" t="str">
            <v>Formulación</v>
          </cell>
          <cell r="AC3582">
            <v>5.1599999999999997E-3</v>
          </cell>
          <cell r="AD3582">
            <v>3.8580000000000003E-3</v>
          </cell>
          <cell r="AE3582" t="str">
            <v>Con precio</v>
          </cell>
        </row>
        <row r="3583">
          <cell r="B3583" t="str">
            <v>G1000CR</v>
          </cell>
          <cell r="X3583" t="str">
            <v>Formulación</v>
          </cell>
          <cell r="AC3583">
            <v>9.7899999999999994E-5</v>
          </cell>
          <cell r="AD3583">
            <v>9.7899999999999994E-5</v>
          </cell>
          <cell r="AE3583" t="str">
            <v>Con precio</v>
          </cell>
        </row>
        <row r="3584">
          <cell r="B3584" t="str">
            <v>G1000CR</v>
          </cell>
          <cell r="X3584" t="str">
            <v>Formulación</v>
          </cell>
          <cell r="AC3584">
            <v>0.7248</v>
          </cell>
          <cell r="AD3584">
            <v>0.57072000000000001</v>
          </cell>
          <cell r="AE3584" t="str">
            <v>Con precio</v>
          </cell>
        </row>
        <row r="3585">
          <cell r="B3585" t="str">
            <v>G1000CR</v>
          </cell>
          <cell r="X3585" t="str">
            <v>Empaquetado</v>
          </cell>
          <cell r="AC3585">
            <v>0.11700000000000001</v>
          </cell>
          <cell r="AD3585">
            <v>0.11700000000000001</v>
          </cell>
          <cell r="AE3585" t="str">
            <v>Con precio</v>
          </cell>
        </row>
        <row r="3586">
          <cell r="B3586" t="str">
            <v>G1000CR</v>
          </cell>
          <cell r="X3586" t="str">
            <v>Empaquetado</v>
          </cell>
          <cell r="AC3586">
            <v>8.8689945652173921E-5</v>
          </cell>
          <cell r="AD3586">
            <v>8.8689945652173921E-5</v>
          </cell>
          <cell r="AE3586" t="str">
            <v>Con precio</v>
          </cell>
        </row>
        <row r="3587">
          <cell r="B3587" t="str">
            <v>G30001</v>
          </cell>
          <cell r="X3587" t="str">
            <v>Formulación</v>
          </cell>
          <cell r="AC3587">
            <v>8.4795454545454549E-2</v>
          </cell>
          <cell r="AD3587">
            <v>8.4795454545454549E-2</v>
          </cell>
          <cell r="AE3587" t="str">
            <v>Con precio</v>
          </cell>
        </row>
        <row r="3588">
          <cell r="B3588" t="str">
            <v>G30001</v>
          </cell>
          <cell r="X3588" t="str">
            <v>Formulación</v>
          </cell>
          <cell r="AC3588">
            <v>4.1400000000000006E-2</v>
          </cell>
          <cell r="AD3588">
            <v>3.3923999999999996E-2</v>
          </cell>
          <cell r="AE3588" t="str">
            <v>Con precio</v>
          </cell>
        </row>
        <row r="3589">
          <cell r="B3589" t="str">
            <v>G30001</v>
          </cell>
          <cell r="X3589" t="str">
            <v>Formulación</v>
          </cell>
          <cell r="AC3589">
            <v>3.2899999999999999E-2</v>
          </cell>
          <cell r="AD3589">
            <v>2.6824000000000001E-2</v>
          </cell>
          <cell r="AE3589" t="str">
            <v>Con precio</v>
          </cell>
        </row>
        <row r="3590">
          <cell r="B3590" t="str">
            <v>G30001</v>
          </cell>
          <cell r="X3590" t="str">
            <v>Formulación</v>
          </cell>
          <cell r="AC3590">
            <v>0.19432000000000002</v>
          </cell>
          <cell r="AD3590">
            <v>0.19432000000000002</v>
          </cell>
          <cell r="AE3590" t="str">
            <v>Con precio</v>
          </cell>
        </row>
        <row r="3591">
          <cell r="B3591" t="str">
            <v>G30001</v>
          </cell>
          <cell r="X3591" t="str">
            <v>Formulación</v>
          </cell>
          <cell r="AC3591">
            <v>2.5760000000000002E-2</v>
          </cell>
          <cell r="AD3591">
            <v>2.4920000000000001E-2</v>
          </cell>
          <cell r="AE3591" t="str">
            <v>Con precio</v>
          </cell>
        </row>
        <row r="3592">
          <cell r="B3592" t="str">
            <v>G30001</v>
          </cell>
          <cell r="X3592" t="str">
            <v>Formulación</v>
          </cell>
          <cell r="AC3592">
            <v>2.4080000000000001E-2</v>
          </cell>
          <cell r="AD3592">
            <v>1.8003999999999999E-2</v>
          </cell>
          <cell r="AE3592" t="str">
            <v>Con precio</v>
          </cell>
        </row>
        <row r="3593">
          <cell r="B3593" t="str">
            <v>G30001</v>
          </cell>
          <cell r="X3593" t="str">
            <v>Formulación</v>
          </cell>
          <cell r="AC3593">
            <v>0.56839999999999991</v>
          </cell>
          <cell r="AD3593">
            <v>0.49673749999999994</v>
          </cell>
          <cell r="AE3593" t="str">
            <v>Con precio</v>
          </cell>
        </row>
        <row r="3594">
          <cell r="B3594" t="str">
            <v>G30001</v>
          </cell>
          <cell r="X3594" t="str">
            <v>Formulación</v>
          </cell>
          <cell r="AC3594">
            <v>0.91139999999999999</v>
          </cell>
          <cell r="AD3594">
            <v>0.82242999999999999</v>
          </cell>
          <cell r="AE3594" t="str">
            <v>Con precio</v>
          </cell>
        </row>
        <row r="3595">
          <cell r="B3595" t="str">
            <v>G30001</v>
          </cell>
          <cell r="X3595" t="str">
            <v>Formulación</v>
          </cell>
          <cell r="AC3595">
            <v>9.06E-2</v>
          </cell>
          <cell r="AD3595">
            <v>7.1340000000000001E-2</v>
          </cell>
          <cell r="AE3595" t="str">
            <v>Con precio</v>
          </cell>
        </row>
        <row r="3596">
          <cell r="B3596" t="str">
            <v>G30001</v>
          </cell>
          <cell r="X3596" t="str">
            <v>Empaquetado</v>
          </cell>
          <cell r="AC3596">
            <v>3.0303030303030299E-5</v>
          </cell>
          <cell r="AD3596">
            <v>3.0303030303030299E-5</v>
          </cell>
          <cell r="AE3596" t="str">
            <v>Con precio</v>
          </cell>
        </row>
        <row r="3597">
          <cell r="B3597" t="str">
            <v>G30001</v>
          </cell>
          <cell r="X3597" t="str">
            <v>Empaquetado</v>
          </cell>
          <cell r="AC3597">
            <v>2.3439393939393937E-2</v>
          </cell>
          <cell r="AD3597">
            <v>2.3439393939393937E-2</v>
          </cell>
          <cell r="AE3597" t="str">
            <v>Con precio</v>
          </cell>
        </row>
        <row r="3598">
          <cell r="B3598" t="str">
            <v>G30001</v>
          </cell>
          <cell r="X3598" t="str">
            <v>Empaquetado</v>
          </cell>
          <cell r="AC3598">
            <v>7.1917518745739595E-2</v>
          </cell>
          <cell r="AD3598">
            <v>7.1917518745739595E-2</v>
          </cell>
          <cell r="AE3598" t="str">
            <v>Con precio</v>
          </cell>
        </row>
        <row r="3599">
          <cell r="B3599" t="str">
            <v>G30001</v>
          </cell>
          <cell r="X3599" t="str">
            <v>Empaquetado</v>
          </cell>
          <cell r="AC3599">
            <v>0.44322992424242419</v>
          </cell>
          <cell r="AD3599">
            <v>0.44322992424242419</v>
          </cell>
          <cell r="AE3599" t="str">
            <v>Con precio</v>
          </cell>
        </row>
        <row r="3600">
          <cell r="B3600" t="str">
            <v>G30001</v>
          </cell>
          <cell r="X3600" t="str">
            <v>Empaquetado</v>
          </cell>
          <cell r="AC3600">
            <v>0.11874999999999999</v>
          </cell>
          <cell r="AD3600">
            <v>0.11874999999999999</v>
          </cell>
          <cell r="AE3600" t="str">
            <v>Con precio</v>
          </cell>
        </row>
        <row r="3601">
          <cell r="B3601" t="str">
            <v>G30001</v>
          </cell>
          <cell r="X3601" t="str">
            <v>Empaquetado</v>
          </cell>
          <cell r="AC3601">
            <v>9.6080774456521717E-2</v>
          </cell>
          <cell r="AD3601">
            <v>9.6080774456521717E-2</v>
          </cell>
          <cell r="AE3601" t="str">
            <v>Con precio</v>
          </cell>
        </row>
        <row r="3602">
          <cell r="B3602" t="str">
            <v>G30001CO</v>
          </cell>
          <cell r="X3602" t="str">
            <v>Formulación</v>
          </cell>
          <cell r="AC3602">
            <v>8.4795454545454549E-2</v>
          </cell>
          <cell r="AD3602">
            <v>8.4795454545454549E-2</v>
          </cell>
          <cell r="AE3602" t="str">
            <v>Con precio</v>
          </cell>
        </row>
        <row r="3603">
          <cell r="B3603" t="str">
            <v>G30001CO</v>
          </cell>
          <cell r="X3603" t="str">
            <v>Formulación</v>
          </cell>
          <cell r="AC3603">
            <v>4.1400000000000006E-2</v>
          </cell>
          <cell r="AD3603">
            <v>3.3923999999999996E-2</v>
          </cell>
          <cell r="AE3603" t="str">
            <v>Con precio</v>
          </cell>
        </row>
        <row r="3604">
          <cell r="B3604" t="str">
            <v>G30001CO</v>
          </cell>
          <cell r="X3604" t="str">
            <v>Formulación</v>
          </cell>
          <cell r="AC3604">
            <v>3.2899999999999999E-2</v>
          </cell>
          <cell r="AD3604">
            <v>2.6824000000000001E-2</v>
          </cell>
          <cell r="AE3604" t="str">
            <v>Con precio</v>
          </cell>
        </row>
        <row r="3605">
          <cell r="B3605" t="str">
            <v>G30001CO</v>
          </cell>
          <cell r="X3605" t="str">
            <v>Formulación</v>
          </cell>
          <cell r="AC3605">
            <v>0.19432000000000002</v>
          </cell>
          <cell r="AD3605">
            <v>0.19432000000000002</v>
          </cell>
          <cell r="AE3605" t="str">
            <v>Con precio</v>
          </cell>
        </row>
        <row r="3606">
          <cell r="B3606" t="str">
            <v>G30001CO</v>
          </cell>
          <cell r="X3606" t="str">
            <v>Formulación</v>
          </cell>
          <cell r="AC3606">
            <v>2.5760000000000002E-2</v>
          </cell>
          <cell r="AD3606">
            <v>2.4920000000000001E-2</v>
          </cell>
          <cell r="AE3606" t="str">
            <v>Con precio</v>
          </cell>
        </row>
        <row r="3607">
          <cell r="B3607" t="str">
            <v>G30001CO</v>
          </cell>
          <cell r="X3607" t="str">
            <v>Formulación</v>
          </cell>
          <cell r="AC3607">
            <v>2.4080000000000001E-2</v>
          </cell>
          <cell r="AD3607">
            <v>1.8003999999999999E-2</v>
          </cell>
          <cell r="AE3607" t="str">
            <v>Con precio</v>
          </cell>
        </row>
        <row r="3608">
          <cell r="B3608" t="str">
            <v>G30001CO</v>
          </cell>
          <cell r="X3608" t="str">
            <v>Formulación</v>
          </cell>
          <cell r="AC3608">
            <v>0.56839999999999991</v>
          </cell>
          <cell r="AD3608">
            <v>0.49673749999999994</v>
          </cell>
          <cell r="AE3608" t="str">
            <v>Con precio</v>
          </cell>
        </row>
        <row r="3609">
          <cell r="B3609" t="str">
            <v>G30001CO</v>
          </cell>
          <cell r="X3609" t="str">
            <v>Formulación</v>
          </cell>
          <cell r="AC3609">
            <v>0.91139999999999999</v>
          </cell>
          <cell r="AD3609">
            <v>0.82242999999999999</v>
          </cell>
          <cell r="AE3609" t="str">
            <v>Con precio</v>
          </cell>
        </row>
        <row r="3610">
          <cell r="B3610" t="str">
            <v>G30001CO</v>
          </cell>
          <cell r="X3610" t="str">
            <v>Formulación</v>
          </cell>
          <cell r="AC3610">
            <v>9.06E-2</v>
          </cell>
          <cell r="AD3610">
            <v>7.1340000000000001E-2</v>
          </cell>
          <cell r="AE3610" t="str">
            <v>Con precio</v>
          </cell>
        </row>
        <row r="3611">
          <cell r="B3611" t="str">
            <v>G30001CO</v>
          </cell>
          <cell r="X3611" t="str">
            <v>Empaquetado</v>
          </cell>
          <cell r="AC3611">
            <v>3.0303030303030299E-5</v>
          </cell>
          <cell r="AD3611">
            <v>3.0303030303030299E-5</v>
          </cell>
          <cell r="AE3611" t="str">
            <v>Con precio</v>
          </cell>
        </row>
        <row r="3612">
          <cell r="B3612" t="str">
            <v>G30001CO</v>
          </cell>
          <cell r="X3612" t="str">
            <v>Empaquetado</v>
          </cell>
          <cell r="AC3612">
            <v>2.3439393939393937E-2</v>
          </cell>
          <cell r="AD3612">
            <v>2.3439393939393937E-2</v>
          </cell>
          <cell r="AE3612" t="str">
            <v>Con precio</v>
          </cell>
        </row>
        <row r="3613">
          <cell r="B3613" t="str">
            <v>G30001CO</v>
          </cell>
          <cell r="X3613" t="str">
            <v>Empaquetado</v>
          </cell>
          <cell r="AC3613">
            <v>7.1917518745739595E-2</v>
          </cell>
          <cell r="AD3613">
            <v>7.1917518745739595E-2</v>
          </cell>
          <cell r="AE3613" t="str">
            <v>Con precio</v>
          </cell>
        </row>
        <row r="3614">
          <cell r="B3614" t="str">
            <v>G30001CO</v>
          </cell>
          <cell r="X3614" t="str">
            <v>Empaquetado</v>
          </cell>
          <cell r="AC3614">
            <v>0.44322992424242419</v>
          </cell>
          <cell r="AD3614">
            <v>0.44322992424242419</v>
          </cell>
          <cell r="AE3614" t="str">
            <v>Con precio</v>
          </cell>
        </row>
        <row r="3615">
          <cell r="B3615" t="str">
            <v>G30001CO</v>
          </cell>
          <cell r="X3615" t="str">
            <v>Empaquetado</v>
          </cell>
          <cell r="AC3615">
            <v>0.11874999999999999</v>
          </cell>
          <cell r="AD3615">
            <v>0.11874999999999999</v>
          </cell>
          <cell r="AE3615" t="str">
            <v>Con precio</v>
          </cell>
        </row>
        <row r="3616">
          <cell r="B3616" t="str">
            <v>G30001CO</v>
          </cell>
          <cell r="X3616" t="str">
            <v>Empaquetado</v>
          </cell>
          <cell r="AC3616">
            <v>9.6080774456521717E-2</v>
          </cell>
          <cell r="AD3616">
            <v>9.6080774456521717E-2</v>
          </cell>
          <cell r="AE3616" t="str">
            <v>Con precio</v>
          </cell>
        </row>
        <row r="3617">
          <cell r="B3617" t="str">
            <v>G30001DO</v>
          </cell>
          <cell r="X3617" t="str">
            <v>Formulación</v>
          </cell>
          <cell r="AC3617">
            <v>8.4795454545454549E-2</v>
          </cell>
          <cell r="AD3617">
            <v>8.4795454545454549E-2</v>
          </cell>
          <cell r="AE3617" t="str">
            <v>Con precio</v>
          </cell>
        </row>
        <row r="3618">
          <cell r="B3618" t="str">
            <v>G30001DO</v>
          </cell>
          <cell r="X3618" t="str">
            <v>Formulación</v>
          </cell>
          <cell r="AC3618">
            <v>4.1400000000000006E-2</v>
          </cell>
          <cell r="AD3618">
            <v>3.3923999999999996E-2</v>
          </cell>
          <cell r="AE3618" t="str">
            <v>Con precio</v>
          </cell>
        </row>
        <row r="3619">
          <cell r="B3619" t="str">
            <v>G30001DO</v>
          </cell>
          <cell r="X3619" t="str">
            <v>Formulación</v>
          </cell>
          <cell r="AC3619">
            <v>3.2899999999999999E-2</v>
          </cell>
          <cell r="AD3619">
            <v>2.6824000000000001E-2</v>
          </cell>
          <cell r="AE3619" t="str">
            <v>Con precio</v>
          </cell>
        </row>
        <row r="3620">
          <cell r="B3620" t="str">
            <v>G30001DO</v>
          </cell>
          <cell r="X3620" t="str">
            <v>Formulación</v>
          </cell>
          <cell r="AC3620">
            <v>0.19432000000000002</v>
          </cell>
          <cell r="AD3620">
            <v>0.19432000000000002</v>
          </cell>
          <cell r="AE3620" t="str">
            <v>Con precio</v>
          </cell>
        </row>
        <row r="3621">
          <cell r="B3621" t="str">
            <v>G30001DO</v>
          </cell>
          <cell r="X3621" t="str">
            <v>Formulación</v>
          </cell>
          <cell r="AC3621">
            <v>2.5760000000000002E-2</v>
          </cell>
          <cell r="AD3621">
            <v>2.4920000000000001E-2</v>
          </cell>
          <cell r="AE3621" t="str">
            <v>Con precio</v>
          </cell>
        </row>
        <row r="3622">
          <cell r="B3622" t="str">
            <v>G30001DO</v>
          </cell>
          <cell r="X3622" t="str">
            <v>Formulación</v>
          </cell>
          <cell r="AC3622">
            <v>2.4080000000000001E-2</v>
          </cell>
          <cell r="AD3622">
            <v>1.8003999999999999E-2</v>
          </cell>
          <cell r="AE3622" t="str">
            <v>Con precio</v>
          </cell>
        </row>
        <row r="3623">
          <cell r="B3623" t="str">
            <v>G30001DO</v>
          </cell>
          <cell r="X3623" t="str">
            <v>Formulación</v>
          </cell>
          <cell r="AC3623">
            <v>0.56839999999999991</v>
          </cell>
          <cell r="AD3623">
            <v>0.49673749999999994</v>
          </cell>
          <cell r="AE3623" t="str">
            <v>Con precio</v>
          </cell>
        </row>
        <row r="3624">
          <cell r="B3624" t="str">
            <v>G30001DO</v>
          </cell>
          <cell r="X3624" t="str">
            <v>Formulación</v>
          </cell>
          <cell r="AC3624">
            <v>0.91139999999999999</v>
          </cell>
          <cell r="AD3624">
            <v>0.82242999999999999</v>
          </cell>
          <cell r="AE3624" t="str">
            <v>Con precio</v>
          </cell>
        </row>
        <row r="3625">
          <cell r="B3625" t="str">
            <v>G30001DO</v>
          </cell>
          <cell r="X3625" t="str">
            <v>Formulación</v>
          </cell>
          <cell r="AC3625">
            <v>9.06E-2</v>
          </cell>
          <cell r="AD3625">
            <v>7.1340000000000001E-2</v>
          </cell>
          <cell r="AE3625" t="str">
            <v>Con precio</v>
          </cell>
        </row>
        <row r="3626">
          <cell r="B3626" t="str">
            <v>G30001DO</v>
          </cell>
          <cell r="X3626" t="str">
            <v>Empaquetado</v>
          </cell>
          <cell r="AC3626">
            <v>3.0303030303030299E-5</v>
          </cell>
          <cell r="AD3626">
            <v>3.0303030303030299E-5</v>
          </cell>
          <cell r="AE3626" t="str">
            <v>Con precio</v>
          </cell>
        </row>
        <row r="3627">
          <cell r="B3627" t="str">
            <v>G30001DO</v>
          </cell>
          <cell r="X3627" t="str">
            <v>Empaquetado</v>
          </cell>
          <cell r="AC3627">
            <v>2.3439393939393937E-2</v>
          </cell>
          <cell r="AD3627">
            <v>2.3439393939393937E-2</v>
          </cell>
          <cell r="AE3627" t="str">
            <v>Con precio</v>
          </cell>
        </row>
        <row r="3628">
          <cell r="B3628" t="str">
            <v>G30001DO</v>
          </cell>
          <cell r="X3628" t="str">
            <v>Empaquetado</v>
          </cell>
          <cell r="AC3628">
            <v>7.1917518745739595E-2</v>
          </cell>
          <cell r="AD3628">
            <v>7.1917518745739595E-2</v>
          </cell>
          <cell r="AE3628" t="str">
            <v>Con precio</v>
          </cell>
        </row>
        <row r="3629">
          <cell r="B3629" t="str">
            <v>G30001DO</v>
          </cell>
          <cell r="X3629" t="str">
            <v>Empaquetado</v>
          </cell>
          <cell r="AC3629">
            <v>0.44322992424242419</v>
          </cell>
          <cell r="AD3629">
            <v>0.44322992424242419</v>
          </cell>
          <cell r="AE3629" t="str">
            <v>Con precio</v>
          </cell>
        </row>
        <row r="3630">
          <cell r="B3630" t="str">
            <v>G30001DO</v>
          </cell>
          <cell r="X3630" t="str">
            <v>Empaquetado</v>
          </cell>
          <cell r="AC3630">
            <v>0.11874999999999999</v>
          </cell>
          <cell r="AD3630">
            <v>0.11874999999999999</v>
          </cell>
          <cell r="AE3630" t="str">
            <v>Con precio</v>
          </cell>
        </row>
        <row r="3631">
          <cell r="B3631" t="str">
            <v>G30001DO</v>
          </cell>
          <cell r="X3631" t="str">
            <v>Empaquetado</v>
          </cell>
          <cell r="AC3631">
            <v>9.6080774456521717E-2</v>
          </cell>
          <cell r="AD3631">
            <v>9.6080774456521717E-2</v>
          </cell>
          <cell r="AE3631" t="str">
            <v>Con precio</v>
          </cell>
        </row>
        <row r="3632">
          <cell r="B3632" t="str">
            <v>G30001EC</v>
          </cell>
          <cell r="X3632" t="str">
            <v>Formulación</v>
          </cell>
          <cell r="AC3632">
            <v>8.4795454545454549E-2</v>
          </cell>
          <cell r="AD3632">
            <v>8.4795454545454549E-2</v>
          </cell>
          <cell r="AE3632" t="str">
            <v>Con precio</v>
          </cell>
        </row>
        <row r="3633">
          <cell r="B3633" t="str">
            <v>G30001EC</v>
          </cell>
          <cell r="X3633" t="str">
            <v>Formulación</v>
          </cell>
          <cell r="AC3633">
            <v>4.1400000000000006E-2</v>
          </cell>
          <cell r="AD3633">
            <v>3.3923999999999996E-2</v>
          </cell>
          <cell r="AE3633" t="str">
            <v>Con precio</v>
          </cell>
        </row>
        <row r="3634">
          <cell r="B3634" t="str">
            <v>G30001EC</v>
          </cell>
          <cell r="X3634" t="str">
            <v>Formulación</v>
          </cell>
          <cell r="AC3634">
            <v>3.2899999999999999E-2</v>
          </cell>
          <cell r="AD3634">
            <v>2.6824000000000001E-2</v>
          </cell>
          <cell r="AE3634" t="str">
            <v>Con precio</v>
          </cell>
        </row>
        <row r="3635">
          <cell r="B3635" t="str">
            <v>G30001EC</v>
          </cell>
          <cell r="X3635" t="str">
            <v>Formulación</v>
          </cell>
          <cell r="AC3635">
            <v>0.19432000000000002</v>
          </cell>
          <cell r="AD3635">
            <v>0.19432000000000002</v>
          </cell>
          <cell r="AE3635" t="str">
            <v>Con precio</v>
          </cell>
        </row>
        <row r="3636">
          <cell r="B3636" t="str">
            <v>G30001EC</v>
          </cell>
          <cell r="X3636" t="str">
            <v>Formulación</v>
          </cell>
          <cell r="AC3636">
            <v>2.5760000000000002E-2</v>
          </cell>
          <cell r="AD3636">
            <v>2.4920000000000001E-2</v>
          </cell>
          <cell r="AE3636" t="str">
            <v>Con precio</v>
          </cell>
        </row>
        <row r="3637">
          <cell r="B3637" t="str">
            <v>G30001EC</v>
          </cell>
          <cell r="X3637" t="str">
            <v>Formulación</v>
          </cell>
          <cell r="AC3637">
            <v>2.4080000000000001E-2</v>
          </cell>
          <cell r="AD3637">
            <v>1.8003999999999999E-2</v>
          </cell>
          <cell r="AE3637" t="str">
            <v>Con precio</v>
          </cell>
        </row>
        <row r="3638">
          <cell r="B3638" t="str">
            <v>G30001EC</v>
          </cell>
          <cell r="X3638" t="str">
            <v>Formulación</v>
          </cell>
          <cell r="AC3638">
            <v>0.56839999999999991</v>
          </cell>
          <cell r="AD3638">
            <v>0.49673749999999994</v>
          </cell>
          <cell r="AE3638" t="str">
            <v>Con precio</v>
          </cell>
        </row>
        <row r="3639">
          <cell r="B3639" t="str">
            <v>G30001EC</v>
          </cell>
          <cell r="X3639" t="str">
            <v>Formulación</v>
          </cell>
          <cell r="AC3639">
            <v>0.91139999999999999</v>
          </cell>
          <cell r="AD3639">
            <v>0.82242999999999999</v>
          </cell>
          <cell r="AE3639" t="str">
            <v>Con precio</v>
          </cell>
        </row>
        <row r="3640">
          <cell r="B3640" t="str">
            <v>G30001EC</v>
          </cell>
          <cell r="X3640" t="str">
            <v>Formulación</v>
          </cell>
          <cell r="AC3640">
            <v>9.06E-2</v>
          </cell>
          <cell r="AD3640">
            <v>7.1340000000000001E-2</v>
          </cell>
          <cell r="AE3640" t="str">
            <v>Con precio</v>
          </cell>
        </row>
        <row r="3641">
          <cell r="B3641" t="str">
            <v>G30001EC</v>
          </cell>
          <cell r="X3641" t="str">
            <v>Empaquetado</v>
          </cell>
          <cell r="AC3641">
            <v>3.0303030303030299E-5</v>
          </cell>
          <cell r="AD3641">
            <v>3.0303030303030299E-5</v>
          </cell>
          <cell r="AE3641" t="str">
            <v>Con precio</v>
          </cell>
        </row>
        <row r="3642">
          <cell r="B3642" t="str">
            <v>G30001EC</v>
          </cell>
          <cell r="X3642" t="str">
            <v>Empaquetado</v>
          </cell>
          <cell r="AC3642">
            <v>2.3439393939393937E-2</v>
          </cell>
          <cell r="AD3642">
            <v>2.3439393939393937E-2</v>
          </cell>
          <cell r="AE3642" t="str">
            <v>Con precio</v>
          </cell>
        </row>
        <row r="3643">
          <cell r="B3643" t="str">
            <v>G30001EC</v>
          </cell>
          <cell r="X3643" t="str">
            <v>Empaquetado</v>
          </cell>
          <cell r="AC3643">
            <v>7.1917518745739595E-2</v>
          </cell>
          <cell r="AD3643">
            <v>7.1917518745739595E-2</v>
          </cell>
          <cell r="AE3643" t="str">
            <v>Con precio</v>
          </cell>
        </row>
        <row r="3644">
          <cell r="B3644" t="str">
            <v>G30001EC</v>
          </cell>
          <cell r="X3644" t="str">
            <v>Empaquetado</v>
          </cell>
          <cell r="AC3644">
            <v>0.44322992424242419</v>
          </cell>
          <cell r="AD3644">
            <v>0.44322992424242419</v>
          </cell>
          <cell r="AE3644" t="str">
            <v>Con precio</v>
          </cell>
        </row>
        <row r="3645">
          <cell r="B3645" t="str">
            <v>G30001EC</v>
          </cell>
          <cell r="X3645" t="str">
            <v>Empaquetado</v>
          </cell>
          <cell r="AC3645">
            <v>0.11874999999999999</v>
          </cell>
          <cell r="AD3645">
            <v>0.11874999999999999</v>
          </cell>
          <cell r="AE3645" t="str">
            <v>Con precio</v>
          </cell>
        </row>
        <row r="3646">
          <cell r="B3646" t="str">
            <v>G30001EC</v>
          </cell>
          <cell r="X3646" t="str">
            <v>Empaquetado</v>
          </cell>
          <cell r="AC3646">
            <v>9.6080774456521717E-2</v>
          </cell>
          <cell r="AD3646">
            <v>9.6080774456521717E-2</v>
          </cell>
          <cell r="AE3646" t="str">
            <v>Con precio</v>
          </cell>
        </row>
        <row r="3647">
          <cell r="B3647" t="str">
            <v>G30005</v>
          </cell>
          <cell r="X3647" t="str">
            <v>Formulación</v>
          </cell>
          <cell r="AC3647">
            <v>8.4795454545454549E-2</v>
          </cell>
          <cell r="AD3647">
            <v>8.4795454545454549E-2</v>
          </cell>
          <cell r="AE3647" t="str">
            <v>Con precio</v>
          </cell>
        </row>
        <row r="3648">
          <cell r="B3648" t="str">
            <v>G30005</v>
          </cell>
          <cell r="X3648" t="str">
            <v>Formulación</v>
          </cell>
          <cell r="AC3648">
            <v>4.1400000000000006E-2</v>
          </cell>
          <cell r="AD3648">
            <v>3.3923999999999996E-2</v>
          </cell>
          <cell r="AE3648" t="str">
            <v>Con precio</v>
          </cell>
        </row>
        <row r="3649">
          <cell r="B3649" t="str">
            <v>G30005</v>
          </cell>
          <cell r="X3649" t="str">
            <v>Formulación</v>
          </cell>
          <cell r="AC3649">
            <v>3.2899999999999999E-2</v>
          </cell>
          <cell r="AD3649">
            <v>2.6824000000000001E-2</v>
          </cell>
          <cell r="AE3649" t="str">
            <v>Con precio</v>
          </cell>
        </row>
        <row r="3650">
          <cell r="B3650" t="str">
            <v>G30005</v>
          </cell>
          <cell r="X3650" t="str">
            <v>Formulación</v>
          </cell>
          <cell r="AC3650">
            <v>0.19432000000000002</v>
          </cell>
          <cell r="AD3650">
            <v>0.19432000000000002</v>
          </cell>
          <cell r="AE3650" t="str">
            <v>Con precio</v>
          </cell>
        </row>
        <row r="3651">
          <cell r="B3651" t="str">
            <v>G30005</v>
          </cell>
          <cell r="X3651" t="str">
            <v>Formulación</v>
          </cell>
          <cell r="AC3651">
            <v>2.5760000000000002E-2</v>
          </cell>
          <cell r="AD3651">
            <v>2.4920000000000001E-2</v>
          </cell>
          <cell r="AE3651" t="str">
            <v>Con precio</v>
          </cell>
        </row>
        <row r="3652">
          <cell r="B3652" t="str">
            <v>G30005</v>
          </cell>
          <cell r="X3652" t="str">
            <v>Formulación</v>
          </cell>
          <cell r="AC3652">
            <v>2.4080000000000001E-2</v>
          </cell>
          <cell r="AD3652">
            <v>1.8003999999999999E-2</v>
          </cell>
          <cell r="AE3652" t="str">
            <v>Con precio</v>
          </cell>
        </row>
        <row r="3653">
          <cell r="B3653" t="str">
            <v>G30005</v>
          </cell>
          <cell r="X3653" t="str">
            <v>Formulación</v>
          </cell>
          <cell r="AC3653">
            <v>0.56839999999999991</v>
          </cell>
          <cell r="AD3653">
            <v>0.49673749999999994</v>
          </cell>
          <cell r="AE3653" t="str">
            <v>Con precio</v>
          </cell>
        </row>
        <row r="3654">
          <cell r="B3654" t="str">
            <v>G30005</v>
          </cell>
          <cell r="X3654" t="str">
            <v>Formulación</v>
          </cell>
          <cell r="AC3654">
            <v>0.91139999999999999</v>
          </cell>
          <cell r="AD3654">
            <v>0.82242999999999999</v>
          </cell>
          <cell r="AE3654" t="str">
            <v>Con precio</v>
          </cell>
        </row>
        <row r="3655">
          <cell r="B3655" t="str">
            <v>G30005</v>
          </cell>
          <cell r="X3655" t="str">
            <v>Formulación</v>
          </cell>
          <cell r="AC3655">
            <v>9.06E-2</v>
          </cell>
          <cell r="AD3655">
            <v>7.1340000000000001E-2</v>
          </cell>
          <cell r="AE3655" t="str">
            <v>Con precio</v>
          </cell>
        </row>
        <row r="3656">
          <cell r="B3656" t="str">
            <v>G30005</v>
          </cell>
          <cell r="X3656" t="str">
            <v>Empaquetado</v>
          </cell>
          <cell r="AC3656">
            <v>1.2991333333333337E-2</v>
          </cell>
          <cell r="AD3656">
            <v>1.2991333333333337E-2</v>
          </cell>
          <cell r="AE3656" t="str">
            <v>Con precio</v>
          </cell>
        </row>
        <row r="3657">
          <cell r="B3657" t="str">
            <v>G30005</v>
          </cell>
          <cell r="X3657" t="str">
            <v>Empaquetado</v>
          </cell>
          <cell r="AC3657">
            <v>2.5783333333333339E-2</v>
          </cell>
          <cell r="AD3657">
            <v>2.5783333333333339E-2</v>
          </cell>
          <cell r="AE3657" t="str">
            <v>Con precio</v>
          </cell>
        </row>
        <row r="3658">
          <cell r="B3658" t="str">
            <v>G30005</v>
          </cell>
          <cell r="X3658" t="str">
            <v>Empaquetado</v>
          </cell>
          <cell r="AC3658">
            <v>2.5359983896940424E-2</v>
          </cell>
          <cell r="AD3658">
            <v>2.5359983896940424E-2</v>
          </cell>
          <cell r="AE3658" t="str">
            <v>Con precio</v>
          </cell>
        </row>
        <row r="3659">
          <cell r="B3659" t="str">
            <v>G30005</v>
          </cell>
          <cell r="X3659" t="str">
            <v>Empaquetado</v>
          </cell>
          <cell r="AC3659">
            <v>3.4200000000000001E-2</v>
          </cell>
          <cell r="AD3659">
            <v>3.4200000000000001E-2</v>
          </cell>
          <cell r="AE3659" t="str">
            <v>Con precio</v>
          </cell>
        </row>
        <row r="3660">
          <cell r="B3660" t="str">
            <v>G30005</v>
          </cell>
          <cell r="X3660" t="str">
            <v>Empaquetado</v>
          </cell>
          <cell r="AC3660">
            <v>0.17399999999999999</v>
          </cell>
          <cell r="AD3660">
            <v>0.17399999999999999</v>
          </cell>
          <cell r="AE3660" t="str">
            <v>Con precio</v>
          </cell>
        </row>
        <row r="3661">
          <cell r="B3661" t="str">
            <v>G30005</v>
          </cell>
          <cell r="X3661" t="str">
            <v>Empaquetado</v>
          </cell>
          <cell r="AC3661">
            <v>3.6950017630465445E-2</v>
          </cell>
          <cell r="AD3661">
            <v>3.6950017630465445E-2</v>
          </cell>
          <cell r="AE3661" t="str">
            <v>Con precio</v>
          </cell>
        </row>
        <row r="3662">
          <cell r="B3662" t="str">
            <v>G30005CO</v>
          </cell>
          <cell r="X3662" t="str">
            <v>Formulación</v>
          </cell>
          <cell r="AC3662">
            <v>8.4795454545454549E-2</v>
          </cell>
          <cell r="AD3662">
            <v>8.4795454545454549E-2</v>
          </cell>
          <cell r="AE3662" t="str">
            <v>Con precio</v>
          </cell>
        </row>
        <row r="3663">
          <cell r="B3663" t="str">
            <v>G30005CO</v>
          </cell>
          <cell r="X3663" t="str">
            <v>Formulación</v>
          </cell>
          <cell r="AC3663">
            <v>4.1400000000000006E-2</v>
          </cell>
          <cell r="AD3663">
            <v>3.3923999999999996E-2</v>
          </cell>
          <cell r="AE3663" t="str">
            <v>Con precio</v>
          </cell>
        </row>
        <row r="3664">
          <cell r="B3664" t="str">
            <v>G30005CO</v>
          </cell>
          <cell r="X3664" t="str">
            <v>Formulación</v>
          </cell>
          <cell r="AC3664">
            <v>3.2899999999999999E-2</v>
          </cell>
          <cell r="AD3664">
            <v>2.6824000000000001E-2</v>
          </cell>
          <cell r="AE3664" t="str">
            <v>Con precio</v>
          </cell>
        </row>
        <row r="3665">
          <cell r="B3665" t="str">
            <v>G30005CO</v>
          </cell>
          <cell r="X3665" t="str">
            <v>Formulación</v>
          </cell>
          <cell r="AC3665">
            <v>0.19432000000000002</v>
          </cell>
          <cell r="AD3665">
            <v>0.19432000000000002</v>
          </cell>
          <cell r="AE3665" t="str">
            <v>Con precio</v>
          </cell>
        </row>
        <row r="3666">
          <cell r="B3666" t="str">
            <v>G30005CO</v>
          </cell>
          <cell r="X3666" t="str">
            <v>Formulación</v>
          </cell>
          <cell r="AC3666">
            <v>2.5760000000000002E-2</v>
          </cell>
          <cell r="AD3666">
            <v>2.4920000000000001E-2</v>
          </cell>
          <cell r="AE3666" t="str">
            <v>Con precio</v>
          </cell>
        </row>
        <row r="3667">
          <cell r="B3667" t="str">
            <v>G30005CO</v>
          </cell>
          <cell r="X3667" t="str">
            <v>Formulación</v>
          </cell>
          <cell r="AC3667">
            <v>2.4080000000000001E-2</v>
          </cell>
          <cell r="AD3667">
            <v>1.8003999999999999E-2</v>
          </cell>
          <cell r="AE3667" t="str">
            <v>Con precio</v>
          </cell>
        </row>
        <row r="3668">
          <cell r="B3668" t="str">
            <v>G30005CO</v>
          </cell>
          <cell r="X3668" t="str">
            <v>Formulación</v>
          </cell>
          <cell r="AC3668">
            <v>0.56839999999999991</v>
          </cell>
          <cell r="AD3668">
            <v>0.49673749999999994</v>
          </cell>
          <cell r="AE3668" t="str">
            <v>Con precio</v>
          </cell>
        </row>
        <row r="3669">
          <cell r="B3669" t="str">
            <v>G30005CO</v>
          </cell>
          <cell r="X3669" t="str">
            <v>Formulación</v>
          </cell>
          <cell r="AC3669">
            <v>0.91139999999999999</v>
          </cell>
          <cell r="AD3669">
            <v>0.82242999999999999</v>
          </cell>
          <cell r="AE3669" t="str">
            <v>Con precio</v>
          </cell>
        </row>
        <row r="3670">
          <cell r="B3670" t="str">
            <v>G30005CO</v>
          </cell>
          <cell r="X3670" t="str">
            <v>Formulación</v>
          </cell>
          <cell r="AC3670">
            <v>9.06E-2</v>
          </cell>
          <cell r="AD3670">
            <v>7.1340000000000001E-2</v>
          </cell>
          <cell r="AE3670" t="str">
            <v>Con precio</v>
          </cell>
        </row>
        <row r="3671">
          <cell r="B3671" t="str">
            <v>G30005CO</v>
          </cell>
          <cell r="X3671" t="str">
            <v>Empaquetado</v>
          </cell>
          <cell r="AC3671">
            <v>1.2991333333333337E-2</v>
          </cell>
          <cell r="AD3671">
            <v>1.2991333333333337E-2</v>
          </cell>
          <cell r="AE3671" t="str">
            <v>Con precio</v>
          </cell>
        </row>
        <row r="3672">
          <cell r="B3672" t="str">
            <v>G30005CO</v>
          </cell>
          <cell r="X3672" t="str">
            <v>Empaquetado</v>
          </cell>
          <cell r="AC3672">
            <v>2.5783333333333339E-2</v>
          </cell>
          <cell r="AD3672">
            <v>2.5783333333333339E-2</v>
          </cell>
          <cell r="AE3672" t="str">
            <v>Con precio</v>
          </cell>
        </row>
        <row r="3673">
          <cell r="B3673" t="str">
            <v>G30005CO</v>
          </cell>
          <cell r="X3673" t="str">
            <v>Empaquetado</v>
          </cell>
          <cell r="AC3673">
            <v>2.5359983896940424E-2</v>
          </cell>
          <cell r="AD3673">
            <v>2.5359983896940424E-2</v>
          </cell>
          <cell r="AE3673" t="str">
            <v>Con precio</v>
          </cell>
        </row>
        <row r="3674">
          <cell r="B3674" t="str">
            <v>G30005CO</v>
          </cell>
          <cell r="X3674" t="str">
            <v>Empaquetado</v>
          </cell>
          <cell r="AC3674">
            <v>3.4200000000000001E-2</v>
          </cell>
          <cell r="AD3674">
            <v>3.4200000000000001E-2</v>
          </cell>
          <cell r="AE3674" t="str">
            <v>Con precio</v>
          </cell>
        </row>
        <row r="3675">
          <cell r="B3675" t="str">
            <v>G30005CO</v>
          </cell>
          <cell r="X3675" t="str">
            <v>Empaquetado</v>
          </cell>
          <cell r="AC3675">
            <v>0.17399999999999999</v>
          </cell>
          <cell r="AD3675">
            <v>0.17399999999999999</v>
          </cell>
          <cell r="AE3675" t="str">
            <v>Con precio</v>
          </cell>
        </row>
        <row r="3676">
          <cell r="B3676" t="str">
            <v>G30005CO</v>
          </cell>
          <cell r="X3676" t="str">
            <v>Empaquetado</v>
          </cell>
          <cell r="AC3676">
            <v>3.6950017630465445E-2</v>
          </cell>
          <cell r="AD3676">
            <v>3.6950017630465445E-2</v>
          </cell>
          <cell r="AE3676" t="str">
            <v>Con precio</v>
          </cell>
        </row>
        <row r="3677">
          <cell r="B3677" t="str">
            <v>G30020</v>
          </cell>
          <cell r="X3677" t="str">
            <v>Formulación</v>
          </cell>
          <cell r="AC3677">
            <v>8.4795454545454549E-2</v>
          </cell>
          <cell r="AD3677">
            <v>8.4795454545454549E-2</v>
          </cell>
          <cell r="AE3677" t="str">
            <v>Con precio</v>
          </cell>
        </row>
        <row r="3678">
          <cell r="B3678" t="str">
            <v>G30020</v>
          </cell>
          <cell r="X3678" t="str">
            <v>Formulación</v>
          </cell>
          <cell r="AC3678">
            <v>4.1400000000000006E-2</v>
          </cell>
          <cell r="AD3678">
            <v>3.3923999999999996E-2</v>
          </cell>
          <cell r="AE3678" t="str">
            <v>Con precio</v>
          </cell>
        </row>
        <row r="3679">
          <cell r="B3679" t="str">
            <v>G30020</v>
          </cell>
          <cell r="X3679" t="str">
            <v>Formulación</v>
          </cell>
          <cell r="AC3679">
            <v>3.2899999999999999E-2</v>
          </cell>
          <cell r="AD3679">
            <v>2.6824000000000001E-2</v>
          </cell>
          <cell r="AE3679" t="str">
            <v>Con precio</v>
          </cell>
        </row>
        <row r="3680">
          <cell r="B3680" t="str">
            <v>G30020</v>
          </cell>
          <cell r="X3680" t="str">
            <v>Formulación</v>
          </cell>
          <cell r="AC3680">
            <v>0.19432000000000002</v>
          </cell>
          <cell r="AD3680">
            <v>0.19432000000000002</v>
          </cell>
          <cell r="AE3680" t="str">
            <v>Con precio</v>
          </cell>
        </row>
        <row r="3681">
          <cell r="B3681" t="str">
            <v>G30020</v>
          </cell>
          <cell r="X3681" t="str">
            <v>Formulación</v>
          </cell>
          <cell r="AC3681">
            <v>2.5760000000000002E-2</v>
          </cell>
          <cell r="AD3681">
            <v>2.4920000000000001E-2</v>
          </cell>
          <cell r="AE3681" t="str">
            <v>Con precio</v>
          </cell>
        </row>
        <row r="3682">
          <cell r="B3682" t="str">
            <v>G30020</v>
          </cell>
          <cell r="X3682" t="str">
            <v>Formulación</v>
          </cell>
          <cell r="AC3682">
            <v>2.4080000000000001E-2</v>
          </cell>
          <cell r="AD3682">
            <v>1.8003999999999999E-2</v>
          </cell>
          <cell r="AE3682" t="str">
            <v>Con precio</v>
          </cell>
        </row>
        <row r="3683">
          <cell r="B3683" t="str">
            <v>G30020</v>
          </cell>
          <cell r="X3683" t="str">
            <v>Formulación</v>
          </cell>
          <cell r="AC3683">
            <v>0.56839999999999991</v>
          </cell>
          <cell r="AD3683">
            <v>0.49673749999999994</v>
          </cell>
          <cell r="AE3683" t="str">
            <v>Con precio</v>
          </cell>
        </row>
        <row r="3684">
          <cell r="B3684" t="str">
            <v>G30020</v>
          </cell>
          <cell r="X3684" t="str">
            <v>Formulación</v>
          </cell>
          <cell r="AC3684">
            <v>0.91139999999999999</v>
          </cell>
          <cell r="AD3684">
            <v>0.82242999999999999</v>
          </cell>
          <cell r="AE3684" t="str">
            <v>Con precio</v>
          </cell>
        </row>
        <row r="3685">
          <cell r="B3685" t="str">
            <v>G30020</v>
          </cell>
          <cell r="X3685" t="str">
            <v>Formulación</v>
          </cell>
          <cell r="AC3685">
            <v>9.06E-2</v>
          </cell>
          <cell r="AD3685">
            <v>7.1340000000000001E-2</v>
          </cell>
          <cell r="AE3685" t="str">
            <v>Con precio</v>
          </cell>
        </row>
        <row r="3686">
          <cell r="B3686" t="str">
            <v>G30020</v>
          </cell>
          <cell r="X3686" t="str">
            <v>Empaquetado</v>
          </cell>
          <cell r="AC3686">
            <v>7.3209374999999993E-3</v>
          </cell>
          <cell r="AD3686">
            <v>7.3209374999999993E-3</v>
          </cell>
          <cell r="AE3686" t="str">
            <v>Con precio</v>
          </cell>
        </row>
        <row r="3687">
          <cell r="B3687" t="str">
            <v>G30020</v>
          </cell>
          <cell r="X3687" t="str">
            <v>Empaquetado</v>
          </cell>
          <cell r="AC3687">
            <v>2.4171875000000002E-2</v>
          </cell>
          <cell r="AD3687">
            <v>2.4171875000000002E-2</v>
          </cell>
          <cell r="AE3687" t="str">
            <v>Con precio</v>
          </cell>
        </row>
        <row r="3688">
          <cell r="B3688" t="str">
            <v>G30020</v>
          </cell>
          <cell r="X3688" t="str">
            <v>Empaquetado</v>
          </cell>
          <cell r="AC3688">
            <v>5.0719967793880849E-3</v>
          </cell>
          <cell r="AD3688">
            <v>5.0719967793880849E-3</v>
          </cell>
          <cell r="AE3688" t="str">
            <v>Con precio</v>
          </cell>
        </row>
        <row r="3689">
          <cell r="B3689" t="str">
            <v>G30020</v>
          </cell>
          <cell r="X3689" t="str">
            <v>Empaquetado</v>
          </cell>
          <cell r="AC3689">
            <v>1.2352941176470591E-2</v>
          </cell>
          <cell r="AD3689">
            <v>1.2352941176470591E-2</v>
          </cell>
          <cell r="AE3689" t="str">
            <v>Con precio</v>
          </cell>
        </row>
        <row r="3690">
          <cell r="B3690" t="str">
            <v>G30020</v>
          </cell>
          <cell r="X3690" t="str">
            <v>Empaquetado</v>
          </cell>
          <cell r="AC3690">
            <v>0.18266505681818179</v>
          </cell>
          <cell r="AD3690">
            <v>0.18266505681818179</v>
          </cell>
          <cell r="AE3690" t="str">
            <v>Con precio</v>
          </cell>
        </row>
        <row r="3691">
          <cell r="B3691" t="str">
            <v>G30200</v>
          </cell>
          <cell r="X3691" t="str">
            <v>Formulación</v>
          </cell>
          <cell r="AC3691">
            <v>8.4795454545454549E-2</v>
          </cell>
          <cell r="AD3691">
            <v>8.4795454545454549E-2</v>
          </cell>
          <cell r="AE3691" t="str">
            <v>Con precio</v>
          </cell>
        </row>
        <row r="3692">
          <cell r="B3692" t="str">
            <v>G30200</v>
          </cell>
          <cell r="X3692" t="str">
            <v>Formulación</v>
          </cell>
          <cell r="AC3692">
            <v>4.1400000000000006E-2</v>
          </cell>
          <cell r="AD3692">
            <v>3.3923999999999996E-2</v>
          </cell>
          <cell r="AE3692" t="str">
            <v>Con precio</v>
          </cell>
        </row>
        <row r="3693">
          <cell r="B3693" t="str">
            <v>G30200</v>
          </cell>
          <cell r="X3693" t="str">
            <v>Formulación</v>
          </cell>
          <cell r="AC3693">
            <v>3.2899999999999999E-2</v>
          </cell>
          <cell r="AD3693">
            <v>2.6824000000000001E-2</v>
          </cell>
          <cell r="AE3693" t="str">
            <v>Con precio</v>
          </cell>
        </row>
        <row r="3694">
          <cell r="B3694" t="str">
            <v>G30200</v>
          </cell>
          <cell r="X3694" t="str">
            <v>Formulación</v>
          </cell>
          <cell r="AC3694">
            <v>0.19432000000000002</v>
          </cell>
          <cell r="AD3694">
            <v>0.19432000000000002</v>
          </cell>
          <cell r="AE3694" t="str">
            <v>Con precio</v>
          </cell>
        </row>
        <row r="3695">
          <cell r="B3695" t="str">
            <v>G30200</v>
          </cell>
          <cell r="X3695" t="str">
            <v>Formulación</v>
          </cell>
          <cell r="AC3695">
            <v>2.5760000000000002E-2</v>
          </cell>
          <cell r="AD3695">
            <v>2.4920000000000001E-2</v>
          </cell>
          <cell r="AE3695" t="str">
            <v>Con precio</v>
          </cell>
        </row>
        <row r="3696">
          <cell r="B3696" t="str">
            <v>G30200</v>
          </cell>
          <cell r="X3696" t="str">
            <v>Formulación</v>
          </cell>
          <cell r="AC3696">
            <v>2.4080000000000001E-2</v>
          </cell>
          <cell r="AD3696">
            <v>1.8003999999999999E-2</v>
          </cell>
          <cell r="AE3696" t="str">
            <v>Con precio</v>
          </cell>
        </row>
        <row r="3697">
          <cell r="B3697" t="str">
            <v>G30200</v>
          </cell>
          <cell r="X3697" t="str">
            <v>Formulación</v>
          </cell>
          <cell r="AC3697">
            <v>0.56839999999999991</v>
          </cell>
          <cell r="AD3697">
            <v>0.49673749999999994</v>
          </cell>
          <cell r="AE3697" t="str">
            <v>Con precio</v>
          </cell>
        </row>
        <row r="3698">
          <cell r="B3698" t="str">
            <v>G30200</v>
          </cell>
          <cell r="X3698" t="str">
            <v>Formulación</v>
          </cell>
          <cell r="AC3698">
            <v>0.91139999999999999</v>
          </cell>
          <cell r="AD3698">
            <v>0.82242999999999999</v>
          </cell>
          <cell r="AE3698" t="str">
            <v>Con precio</v>
          </cell>
        </row>
        <row r="3699">
          <cell r="B3699" t="str">
            <v>G30200</v>
          </cell>
          <cell r="X3699" t="str">
            <v>Formulación</v>
          </cell>
          <cell r="AC3699">
            <v>9.06E-2</v>
          </cell>
          <cell r="AD3699">
            <v>7.1340000000000001E-2</v>
          </cell>
          <cell r="AE3699" t="str">
            <v>Con precio</v>
          </cell>
        </row>
        <row r="3700">
          <cell r="B3700" t="str">
            <v>G30200</v>
          </cell>
          <cell r="X3700" t="str">
            <v>Empaquetado</v>
          </cell>
          <cell r="AC3700">
            <v>5.0719967793880845E-4</v>
          </cell>
          <cell r="AD3700">
            <v>5.0719967793880845E-4</v>
          </cell>
          <cell r="AE3700" t="str">
            <v>Con precio</v>
          </cell>
        </row>
        <row r="3701">
          <cell r="B3701" t="str">
            <v>G30200</v>
          </cell>
          <cell r="X3701" t="str">
            <v>Empaquetado</v>
          </cell>
          <cell r="AC3701">
            <v>2.1875000000000002E-3</v>
          </cell>
          <cell r="AD3701">
            <v>2.1875000000000002E-3</v>
          </cell>
          <cell r="AE3701" t="str">
            <v>Con precio</v>
          </cell>
        </row>
        <row r="3702">
          <cell r="B3702" t="str">
            <v>G30200</v>
          </cell>
          <cell r="X3702" t="str">
            <v>Empaquetado</v>
          </cell>
          <cell r="AC3702">
            <v>0.16730511363636363</v>
          </cell>
          <cell r="AD3702">
            <v>0.16730511363636363</v>
          </cell>
          <cell r="AE3702" t="str">
            <v>Con precio</v>
          </cell>
        </row>
        <row r="3703">
          <cell r="B3703" t="str">
            <v>G30200</v>
          </cell>
          <cell r="X3703" t="str">
            <v>Empaquetado</v>
          </cell>
          <cell r="AC3703">
            <v>1.9337500000000001E-2</v>
          </cell>
          <cell r="AD3703">
            <v>1.9337500000000001E-2</v>
          </cell>
          <cell r="AE3703" t="str">
            <v>Con precio</v>
          </cell>
        </row>
        <row r="3704">
          <cell r="B3704" t="str">
            <v>G30200</v>
          </cell>
          <cell r="X3704" t="str">
            <v>Empaquetado</v>
          </cell>
          <cell r="AC3704">
            <v>3.4999999999999996E-3</v>
          </cell>
          <cell r="AD3704">
            <v>3.4999999999999996E-3</v>
          </cell>
          <cell r="AE3704" t="str">
            <v>Con precio</v>
          </cell>
        </row>
        <row r="3705">
          <cell r="B3705" t="str">
            <v>G30200</v>
          </cell>
          <cell r="X3705" t="str">
            <v>Empaquetado</v>
          </cell>
          <cell r="AC3705">
            <v>2.2500000000000003E-3</v>
          </cell>
          <cell r="AD3705">
            <v>2.2500000000000003E-3</v>
          </cell>
          <cell r="AE3705" t="str">
            <v>Con precio</v>
          </cell>
        </row>
        <row r="3706">
          <cell r="B3706" t="str">
            <v>GRE10001GR</v>
          </cell>
          <cell r="X3706" t="str">
            <v>Formulación</v>
          </cell>
          <cell r="AC3706">
            <v>6.5799999999999997E-2</v>
          </cell>
          <cell r="AD3706">
            <v>5.3648000000000001E-2</v>
          </cell>
          <cell r="AE3706" t="str">
            <v>Con precio</v>
          </cell>
        </row>
        <row r="3707">
          <cell r="B3707" t="str">
            <v>GRE10001GR</v>
          </cell>
          <cell r="X3707" t="str">
            <v>Formulación</v>
          </cell>
          <cell r="AC3707">
            <v>0.29148000000000002</v>
          </cell>
          <cell r="AD3707">
            <v>0.29148000000000002</v>
          </cell>
          <cell r="AE3707" t="str">
            <v>Con precio</v>
          </cell>
        </row>
        <row r="3708">
          <cell r="B3708" t="str">
            <v>GRE10001GR</v>
          </cell>
          <cell r="X3708" t="str">
            <v>Formulación</v>
          </cell>
          <cell r="AC3708">
            <v>6.7547999999999997E-2</v>
          </cell>
          <cell r="AD3708">
            <v>6.7547999999999997E-2</v>
          </cell>
          <cell r="AE3708" t="str">
            <v>Con precio</v>
          </cell>
        </row>
        <row r="3709">
          <cell r="B3709" t="str">
            <v>GRE10001GR</v>
          </cell>
          <cell r="X3709" t="str">
            <v>Formulación</v>
          </cell>
          <cell r="AC3709">
            <v>0.22009999999999999</v>
          </cell>
          <cell r="AD3709">
            <v>0.22009999999999999</v>
          </cell>
          <cell r="AE3709" t="str">
            <v>Con precio</v>
          </cell>
        </row>
        <row r="3710">
          <cell r="B3710" t="str">
            <v>GRE10001GR</v>
          </cell>
          <cell r="X3710" t="str">
            <v>Formulación</v>
          </cell>
          <cell r="AC3710">
            <v>0.40309499999999998</v>
          </cell>
          <cell r="AD3710">
            <v>0.40309499999999998</v>
          </cell>
          <cell r="AE3710" t="str">
            <v>Con precio</v>
          </cell>
        </row>
        <row r="3711">
          <cell r="B3711" t="str">
            <v>GRE10001GR</v>
          </cell>
          <cell r="X3711" t="str">
            <v>Formulación</v>
          </cell>
          <cell r="AC3711">
            <v>8.0960000000000004E-2</v>
          </cell>
          <cell r="AD3711">
            <v>7.8320000000000001E-2</v>
          </cell>
          <cell r="AE3711" t="str">
            <v>Con precio</v>
          </cell>
        </row>
        <row r="3712">
          <cell r="B3712" t="str">
            <v>GRE10001GR</v>
          </cell>
          <cell r="X3712" t="str">
            <v>Formulación</v>
          </cell>
          <cell r="AC3712">
            <v>7.3200000000000001E-3</v>
          </cell>
          <cell r="AD3712">
            <v>7.3200000000000001E-3</v>
          </cell>
          <cell r="AE3712" t="str">
            <v>Con precio</v>
          </cell>
        </row>
        <row r="3713">
          <cell r="B3713" t="str">
            <v>GRE10001GR</v>
          </cell>
          <cell r="X3713" t="str">
            <v>Formulación</v>
          </cell>
          <cell r="AC3713">
            <v>0.31709999999999999</v>
          </cell>
          <cell r="AD3713">
            <v>0.24969</v>
          </cell>
          <cell r="AE3713" t="str">
            <v>Con precio</v>
          </cell>
        </row>
        <row r="3714">
          <cell r="B3714" t="str">
            <v>GRE10001GR</v>
          </cell>
          <cell r="X3714" t="str">
            <v>Empaquetado</v>
          </cell>
          <cell r="AC3714">
            <v>3.0303030303030299E-5</v>
          </cell>
          <cell r="AD3714">
            <v>3.0303030303030299E-5</v>
          </cell>
          <cell r="AE3714" t="str">
            <v>Con precio</v>
          </cell>
        </row>
        <row r="3715">
          <cell r="B3715" t="str">
            <v>GRE10001GR</v>
          </cell>
          <cell r="X3715" t="str">
            <v>Empaquetado</v>
          </cell>
          <cell r="AC3715">
            <v>2.3439393939393937E-2</v>
          </cell>
          <cell r="AD3715">
            <v>2.3439393939393937E-2</v>
          </cell>
          <cell r="AE3715" t="str">
            <v>Con precio</v>
          </cell>
        </row>
        <row r="3716">
          <cell r="B3716" t="str">
            <v>GRE10001GR</v>
          </cell>
          <cell r="X3716" t="str">
            <v>Empaquetado</v>
          </cell>
          <cell r="AC3716">
            <v>7.1917518745739595E-2</v>
          </cell>
          <cell r="AD3716">
            <v>7.1917518745739595E-2</v>
          </cell>
          <cell r="AE3716" t="str">
            <v>Con precio</v>
          </cell>
        </row>
        <row r="3717">
          <cell r="B3717" t="str">
            <v>GRE10001GR</v>
          </cell>
          <cell r="X3717" t="str">
            <v>Empaquetado</v>
          </cell>
          <cell r="AC3717">
            <v>0.45124999999999998</v>
          </cell>
          <cell r="AD3717">
            <v>0.32061666666666666</v>
          </cell>
          <cell r="AE3717" t="str">
            <v>Con precio</v>
          </cell>
        </row>
        <row r="3718">
          <cell r="B3718" t="str">
            <v>GRE10001GR</v>
          </cell>
          <cell r="X3718" t="str">
            <v>Empaquetado</v>
          </cell>
          <cell r="AC3718">
            <v>9.6080774456521717E-2</v>
          </cell>
          <cell r="AD3718">
            <v>9.6080774456521717E-2</v>
          </cell>
          <cell r="AE3718" t="str">
            <v>Con precio</v>
          </cell>
        </row>
        <row r="3719">
          <cell r="B3719" t="str">
            <v>GRE10001GR</v>
          </cell>
          <cell r="X3719" t="str">
            <v>Empaquetado</v>
          </cell>
          <cell r="AC3719">
            <v>0.59068001033057849</v>
          </cell>
          <cell r="AD3719">
            <v>0.59068001033057849</v>
          </cell>
          <cell r="AE3719" t="str">
            <v>Con precio</v>
          </cell>
        </row>
        <row r="3720">
          <cell r="B3720" t="str">
            <v>GRE10005GR</v>
          </cell>
          <cell r="X3720" t="str">
            <v>Formulación</v>
          </cell>
          <cell r="AC3720">
            <v>6.5799999999999997E-2</v>
          </cell>
          <cell r="AD3720">
            <v>5.3648000000000001E-2</v>
          </cell>
          <cell r="AE3720" t="str">
            <v>Con precio</v>
          </cell>
        </row>
        <row r="3721">
          <cell r="B3721" t="str">
            <v>GRE10005GR</v>
          </cell>
          <cell r="X3721" t="str">
            <v>Formulación</v>
          </cell>
          <cell r="AC3721">
            <v>0.29148000000000002</v>
          </cell>
          <cell r="AD3721">
            <v>0.29148000000000002</v>
          </cell>
          <cell r="AE3721" t="str">
            <v>Con precio</v>
          </cell>
        </row>
        <row r="3722">
          <cell r="B3722" t="str">
            <v>GRE10005GR</v>
          </cell>
          <cell r="X3722" t="str">
            <v>Formulación</v>
          </cell>
          <cell r="AC3722">
            <v>6.7547999999999997E-2</v>
          </cell>
          <cell r="AD3722">
            <v>6.7547999999999997E-2</v>
          </cell>
          <cell r="AE3722" t="str">
            <v>Con precio</v>
          </cell>
        </row>
        <row r="3723">
          <cell r="B3723" t="str">
            <v>GRE10005GR</v>
          </cell>
          <cell r="X3723" t="str">
            <v>Formulación</v>
          </cell>
          <cell r="AC3723">
            <v>0.22009999999999999</v>
          </cell>
          <cell r="AD3723">
            <v>0.22009999999999999</v>
          </cell>
          <cell r="AE3723" t="str">
            <v>Con precio</v>
          </cell>
        </row>
        <row r="3724">
          <cell r="B3724" t="str">
            <v>GRE10005GR</v>
          </cell>
          <cell r="X3724" t="str">
            <v>Formulación</v>
          </cell>
          <cell r="AC3724">
            <v>0.40309499999999998</v>
          </cell>
          <cell r="AD3724">
            <v>0.40309499999999998</v>
          </cell>
          <cell r="AE3724" t="str">
            <v>Con precio</v>
          </cell>
        </row>
        <row r="3725">
          <cell r="B3725" t="str">
            <v>GRE10005GR</v>
          </cell>
          <cell r="X3725" t="str">
            <v>Formulación</v>
          </cell>
          <cell r="AC3725">
            <v>8.0960000000000004E-2</v>
          </cell>
          <cell r="AD3725">
            <v>7.8320000000000001E-2</v>
          </cell>
          <cell r="AE3725" t="str">
            <v>Con precio</v>
          </cell>
        </row>
        <row r="3726">
          <cell r="B3726" t="str">
            <v>GRE10005GR</v>
          </cell>
          <cell r="X3726" t="str">
            <v>Formulación</v>
          </cell>
          <cell r="AC3726">
            <v>7.3200000000000001E-3</v>
          </cell>
          <cell r="AD3726">
            <v>7.3200000000000001E-3</v>
          </cell>
          <cell r="AE3726" t="str">
            <v>Con precio</v>
          </cell>
        </row>
        <row r="3727">
          <cell r="B3727" t="str">
            <v>GRE10005GR</v>
          </cell>
          <cell r="X3727" t="str">
            <v>Formulación</v>
          </cell>
          <cell r="AC3727">
            <v>0.31709999999999999</v>
          </cell>
          <cell r="AD3727">
            <v>0.24969</v>
          </cell>
          <cell r="AE3727" t="str">
            <v>Con precio</v>
          </cell>
        </row>
        <row r="3728">
          <cell r="B3728" t="str">
            <v>GRE10005GR</v>
          </cell>
          <cell r="X3728" t="str">
            <v>Empaquetado</v>
          </cell>
          <cell r="AC3728">
            <v>1.5470000000000001E-2</v>
          </cell>
          <cell r="AD3728">
            <v>1.5470000000000001E-2</v>
          </cell>
          <cell r="AE3728" t="str">
            <v>Con precio</v>
          </cell>
        </row>
        <row r="3729">
          <cell r="B3729" t="str">
            <v>GRE10005GR</v>
          </cell>
          <cell r="X3729" t="str">
            <v>Empaquetado</v>
          </cell>
          <cell r="AC3729">
            <v>7.7948000000000002E-3</v>
          </cell>
          <cell r="AD3729">
            <v>7.7948000000000002E-3</v>
          </cell>
          <cell r="AE3729" t="str">
            <v>Con precio</v>
          </cell>
        </row>
        <row r="3730">
          <cell r="B3730" t="str">
            <v>GRE10005GR</v>
          </cell>
          <cell r="X3730" t="str">
            <v>Empaquetado</v>
          </cell>
          <cell r="AC3730">
            <v>2.5359983896940424E-2</v>
          </cell>
          <cell r="AD3730">
            <v>2.5359983896940424E-2</v>
          </cell>
          <cell r="AE3730" t="str">
            <v>Con precio</v>
          </cell>
        </row>
        <row r="3731">
          <cell r="B3731" t="str">
            <v>GRE10005GR</v>
          </cell>
          <cell r="X3731" t="str">
            <v>Empaquetado</v>
          </cell>
          <cell r="AC3731">
            <v>0.17399999999999999</v>
          </cell>
          <cell r="AD3731">
            <v>0.17399999999999999</v>
          </cell>
          <cell r="AE3731" t="str">
            <v>Con precio</v>
          </cell>
        </row>
        <row r="3732">
          <cell r="B3732" t="str">
            <v>GRE10005GR</v>
          </cell>
          <cell r="X3732" t="str">
            <v>Empaquetado</v>
          </cell>
          <cell r="AC3732">
            <v>5.7799999999999997E-2</v>
          </cell>
          <cell r="AD3732">
            <v>5.7799999999999997E-2</v>
          </cell>
          <cell r="AE3732" t="str">
            <v>Con precio</v>
          </cell>
        </row>
        <row r="3733">
          <cell r="B3733" t="str">
            <v>GRE10005GR</v>
          </cell>
          <cell r="X3733" t="str">
            <v>Empaquetado</v>
          </cell>
          <cell r="AC3733">
            <v>3.6950017630465445E-2</v>
          </cell>
          <cell r="AD3733">
            <v>3.6950017630465445E-2</v>
          </cell>
          <cell r="AE3733" t="str">
            <v>Con precio</v>
          </cell>
        </row>
        <row r="3734">
          <cell r="B3734" t="str">
            <v>GRE20001GR</v>
          </cell>
          <cell r="X3734" t="str">
            <v>Formulación</v>
          </cell>
          <cell r="AC3734">
            <v>0.24984000000000001</v>
          </cell>
          <cell r="AD3734">
            <v>0.24984000000000001</v>
          </cell>
          <cell r="AE3734" t="str">
            <v>Con precio</v>
          </cell>
        </row>
        <row r="3735">
          <cell r="B3735" t="str">
            <v>GRE20001GR</v>
          </cell>
          <cell r="X3735" t="str">
            <v>Formulación</v>
          </cell>
          <cell r="AC3735">
            <v>0.92999999999999994</v>
          </cell>
          <cell r="AD3735">
            <v>0.92999999999999994</v>
          </cell>
          <cell r="AE3735" t="str">
            <v>Con precio</v>
          </cell>
        </row>
        <row r="3736">
          <cell r="B3736" t="str">
            <v>GRE20001GR</v>
          </cell>
          <cell r="X3736" t="str">
            <v>Formulación</v>
          </cell>
          <cell r="AC3736">
            <v>1.7080000000000001E-2</v>
          </cell>
          <cell r="AD3736">
            <v>1.7080000000000001E-2</v>
          </cell>
          <cell r="AE3736" t="str">
            <v>Con precio</v>
          </cell>
        </row>
        <row r="3737">
          <cell r="B3737" t="str">
            <v>GRE20001GR</v>
          </cell>
          <cell r="X3737" t="str">
            <v>Formulación</v>
          </cell>
          <cell r="AC3737">
            <v>0.3322</v>
          </cell>
          <cell r="AD3737">
            <v>0.26158000000000003</v>
          </cell>
          <cell r="AE3737" t="str">
            <v>Con precio</v>
          </cell>
        </row>
        <row r="3738">
          <cell r="B3738" t="str">
            <v>GRE20001GR</v>
          </cell>
          <cell r="X3738" t="str">
            <v>Empaquetado</v>
          </cell>
          <cell r="AC3738">
            <v>3.0303030303030299E-5</v>
          </cell>
          <cell r="AD3738">
            <v>3.0303030303030299E-5</v>
          </cell>
          <cell r="AE3738" t="str">
            <v>Con precio</v>
          </cell>
        </row>
        <row r="3739">
          <cell r="B3739" t="str">
            <v>GRE20001GR</v>
          </cell>
          <cell r="X3739" t="str">
            <v>Empaquetado</v>
          </cell>
          <cell r="AC3739">
            <v>2.3439393939393937E-2</v>
          </cell>
          <cell r="AD3739">
            <v>2.3439393939393937E-2</v>
          </cell>
          <cell r="AE3739" t="str">
            <v>Con precio</v>
          </cell>
        </row>
        <row r="3740">
          <cell r="B3740" t="str">
            <v>GRE20001GR</v>
          </cell>
          <cell r="X3740" t="str">
            <v>Empaquetado</v>
          </cell>
          <cell r="AC3740">
            <v>7.1917518745739595E-2</v>
          </cell>
          <cell r="AD3740">
            <v>7.1917518745739595E-2</v>
          </cell>
          <cell r="AE3740" t="str">
            <v>Con precio</v>
          </cell>
        </row>
        <row r="3741">
          <cell r="B3741" t="str">
            <v>GRE20001GR</v>
          </cell>
          <cell r="X3741" t="str">
            <v>Empaquetado</v>
          </cell>
          <cell r="AC3741">
            <v>0.11874999999999999</v>
          </cell>
          <cell r="AD3741">
            <v>0.11874999999999999</v>
          </cell>
          <cell r="AE3741" t="str">
            <v>Con precio</v>
          </cell>
        </row>
        <row r="3742">
          <cell r="B3742" t="str">
            <v>GRE20001GR</v>
          </cell>
          <cell r="X3742" t="str">
            <v>Empaquetado</v>
          </cell>
          <cell r="AC3742">
            <v>9.6080774456521717E-2</v>
          </cell>
          <cell r="AD3742">
            <v>9.6080774456521717E-2</v>
          </cell>
          <cell r="AE3742" t="str">
            <v>Con precio</v>
          </cell>
        </row>
        <row r="3743">
          <cell r="B3743" t="str">
            <v>GRE20001GR</v>
          </cell>
          <cell r="X3743" t="str">
            <v>Empaquetado</v>
          </cell>
          <cell r="AC3743">
            <v>0.59068001033057849</v>
          </cell>
          <cell r="AD3743">
            <v>0.59068001033057849</v>
          </cell>
          <cell r="AE3743" t="str">
            <v>Con precio</v>
          </cell>
        </row>
        <row r="3744">
          <cell r="B3744" t="str">
            <v>GRE20005GR</v>
          </cell>
          <cell r="X3744" t="str">
            <v>Formulación</v>
          </cell>
          <cell r="AC3744">
            <v>0.24984000000000001</v>
          </cell>
          <cell r="AD3744">
            <v>0.24984000000000001</v>
          </cell>
          <cell r="AE3744" t="str">
            <v>Con precio</v>
          </cell>
        </row>
        <row r="3745">
          <cell r="B3745" t="str">
            <v>GRE20005GR</v>
          </cell>
          <cell r="X3745" t="str">
            <v>Formulación</v>
          </cell>
          <cell r="AC3745">
            <v>0.92999999999999994</v>
          </cell>
          <cell r="AD3745">
            <v>0.92999999999999994</v>
          </cell>
          <cell r="AE3745" t="str">
            <v>Con precio</v>
          </cell>
        </row>
        <row r="3746">
          <cell r="B3746" t="str">
            <v>GRE20005GR</v>
          </cell>
          <cell r="X3746" t="str">
            <v>Formulación</v>
          </cell>
          <cell r="AC3746">
            <v>1.7080000000000001E-2</v>
          </cell>
          <cell r="AD3746">
            <v>1.7080000000000001E-2</v>
          </cell>
          <cell r="AE3746" t="str">
            <v>Con precio</v>
          </cell>
        </row>
        <row r="3747">
          <cell r="B3747" t="str">
            <v>GRE20005GR</v>
          </cell>
          <cell r="X3747" t="str">
            <v>Formulación</v>
          </cell>
          <cell r="AC3747">
            <v>0.3322</v>
          </cell>
          <cell r="AD3747">
            <v>0.26158000000000003</v>
          </cell>
          <cell r="AE3747" t="str">
            <v>Con precio</v>
          </cell>
        </row>
        <row r="3748">
          <cell r="B3748" t="str">
            <v>GRE20005GR</v>
          </cell>
          <cell r="X3748" t="str">
            <v>Empaquetado</v>
          </cell>
          <cell r="AC3748">
            <v>1.5470000000000001E-2</v>
          </cell>
          <cell r="AD3748">
            <v>1.5470000000000001E-2</v>
          </cell>
          <cell r="AE3748" t="str">
            <v>Con precio</v>
          </cell>
        </row>
        <row r="3749">
          <cell r="B3749" t="str">
            <v>GRE20005GR</v>
          </cell>
          <cell r="X3749" t="str">
            <v>Empaquetado</v>
          </cell>
          <cell r="AC3749">
            <v>7.7948000000000002E-3</v>
          </cell>
          <cell r="AD3749">
            <v>7.7948000000000002E-3</v>
          </cell>
          <cell r="AE3749" t="str">
            <v>Con precio</v>
          </cell>
        </row>
        <row r="3750">
          <cell r="B3750" t="str">
            <v>GRE20005GR</v>
          </cell>
          <cell r="X3750" t="str">
            <v>Empaquetado</v>
          </cell>
          <cell r="AC3750">
            <v>2.5359983896940424E-2</v>
          </cell>
          <cell r="AD3750">
            <v>2.5359983896940424E-2</v>
          </cell>
          <cell r="AE3750" t="str">
            <v>Con precio</v>
          </cell>
        </row>
        <row r="3751">
          <cell r="B3751" t="str">
            <v>GRE20005GR</v>
          </cell>
          <cell r="X3751" t="str">
            <v>Empaquetado</v>
          </cell>
          <cell r="AC3751">
            <v>3.4200000000000001E-2</v>
          </cell>
          <cell r="AD3751">
            <v>3.4200000000000001E-2</v>
          </cell>
          <cell r="AE3751" t="str">
            <v>Con precio</v>
          </cell>
        </row>
        <row r="3752">
          <cell r="B3752" t="str">
            <v>GRE20005GR</v>
          </cell>
          <cell r="X3752" t="str">
            <v>Empaquetado</v>
          </cell>
          <cell r="AC3752">
            <v>0.17399999999999999</v>
          </cell>
          <cell r="AD3752">
            <v>0.17399999999999999</v>
          </cell>
          <cell r="AE3752" t="str">
            <v>Con precio</v>
          </cell>
        </row>
        <row r="3753">
          <cell r="B3753" t="str">
            <v>GRE20005GR</v>
          </cell>
          <cell r="X3753" t="str">
            <v>Empaquetado</v>
          </cell>
          <cell r="AC3753">
            <v>3.6950017630465445E-2</v>
          </cell>
          <cell r="AD3753">
            <v>3.6950017630465445E-2</v>
          </cell>
          <cell r="AE3753" t="str">
            <v>Con precio</v>
          </cell>
        </row>
        <row r="3754">
          <cell r="B3754" t="str">
            <v>HST0001</v>
          </cell>
          <cell r="X3754" t="str">
            <v>Formulación</v>
          </cell>
          <cell r="AC3754">
            <v>4.8799999999999998E-3</v>
          </cell>
          <cell r="AD3754">
            <v>4.8799999999999998E-3</v>
          </cell>
          <cell r="AE3754" t="str">
            <v>Con precio</v>
          </cell>
        </row>
        <row r="3755">
          <cell r="B3755" t="str">
            <v>HST0001</v>
          </cell>
          <cell r="X3755" t="str">
            <v>Formulación</v>
          </cell>
          <cell r="AC3755">
            <v>3.1899999999999998E-2</v>
          </cell>
          <cell r="AD3755">
            <v>3.1899999999999998E-2</v>
          </cell>
          <cell r="AE3755" t="str">
            <v>Con precio</v>
          </cell>
        </row>
        <row r="3756">
          <cell r="B3756" t="str">
            <v>HST0001</v>
          </cell>
          <cell r="X3756" t="str">
            <v>Formulación</v>
          </cell>
          <cell r="AC3756">
            <v>2.8773</v>
          </cell>
          <cell r="AD3756">
            <v>2.3577179999999993</v>
          </cell>
          <cell r="AE3756" t="str">
            <v>Con precio</v>
          </cell>
        </row>
        <row r="3757">
          <cell r="B3757" t="str">
            <v>HST0001</v>
          </cell>
          <cell r="X3757" t="str">
            <v>Formulación</v>
          </cell>
          <cell r="AC3757">
            <v>0.10031999999999999</v>
          </cell>
          <cell r="AD3757">
            <v>9.2224E-2</v>
          </cell>
          <cell r="AE3757" t="str">
            <v>Con precio</v>
          </cell>
        </row>
        <row r="3758">
          <cell r="B3758" t="str">
            <v>HST0001</v>
          </cell>
          <cell r="X3758" t="str">
            <v>Formulación</v>
          </cell>
          <cell r="AC3758">
            <v>0.29700000000000004</v>
          </cell>
          <cell r="AD3758">
            <v>0.20145714285714286</v>
          </cell>
          <cell r="AE3758" t="str">
            <v>Con precio</v>
          </cell>
        </row>
        <row r="3759">
          <cell r="B3759" t="str">
            <v>HST0001</v>
          </cell>
          <cell r="X3759" t="str">
            <v>Formulación</v>
          </cell>
          <cell r="AC3759">
            <v>5.1599999999999997E-3</v>
          </cell>
          <cell r="AD3759">
            <v>3.8580000000000003E-3</v>
          </cell>
          <cell r="AE3759" t="str">
            <v>Con precio</v>
          </cell>
        </row>
        <row r="3760">
          <cell r="B3760" t="str">
            <v>HST0001</v>
          </cell>
          <cell r="X3760" t="str">
            <v>Formulación</v>
          </cell>
          <cell r="AC3760">
            <v>2.64E-3</v>
          </cell>
          <cell r="AD3760">
            <v>2.64E-3</v>
          </cell>
          <cell r="AE3760" t="str">
            <v>Con precio</v>
          </cell>
        </row>
        <row r="3761">
          <cell r="B3761" t="str">
            <v>HST0001</v>
          </cell>
          <cell r="X3761" t="str">
            <v>Empaquetado</v>
          </cell>
          <cell r="AC3761">
            <v>3.0303030303030299E-5</v>
          </cell>
          <cell r="AD3761">
            <v>3.0303030303030299E-5</v>
          </cell>
          <cell r="AE3761" t="str">
            <v>Con precio</v>
          </cell>
        </row>
        <row r="3762">
          <cell r="B3762" t="str">
            <v>HST0001</v>
          </cell>
          <cell r="X3762" t="str">
            <v>Empaquetado</v>
          </cell>
          <cell r="AC3762">
            <v>2.3439393939393937E-2</v>
          </cell>
          <cell r="AD3762">
            <v>2.3439393939393937E-2</v>
          </cell>
          <cell r="AE3762" t="str">
            <v>Con precio</v>
          </cell>
        </row>
        <row r="3763">
          <cell r="B3763" t="str">
            <v>HST0001</v>
          </cell>
          <cell r="X3763" t="str">
            <v>Empaquetado</v>
          </cell>
          <cell r="AC3763">
            <v>7.1917518745739595E-2</v>
          </cell>
          <cell r="AD3763">
            <v>7.1917518745739595E-2</v>
          </cell>
          <cell r="AE3763" t="str">
            <v>Con precio</v>
          </cell>
        </row>
        <row r="3764">
          <cell r="B3764" t="str">
            <v>HST0001</v>
          </cell>
          <cell r="X3764" t="str">
            <v>Empaquetado</v>
          </cell>
          <cell r="AC3764">
            <v>0.44322992424242419</v>
          </cell>
          <cell r="AD3764">
            <v>0.44322992424242419</v>
          </cell>
          <cell r="AE3764" t="str">
            <v>Con precio</v>
          </cell>
        </row>
        <row r="3765">
          <cell r="B3765" t="str">
            <v>HST0001</v>
          </cell>
          <cell r="X3765" t="str">
            <v>Empaquetado</v>
          </cell>
          <cell r="AC3765">
            <v>0.45124999999999998</v>
          </cell>
          <cell r="AD3765">
            <v>0.32061666666666666</v>
          </cell>
          <cell r="AE3765" t="str">
            <v>Con precio</v>
          </cell>
        </row>
        <row r="3766">
          <cell r="B3766" t="str">
            <v>HST0001</v>
          </cell>
          <cell r="X3766" t="str">
            <v>Empaquetado</v>
          </cell>
          <cell r="AC3766">
            <v>9.6080774456521717E-2</v>
          </cell>
          <cell r="AD3766">
            <v>9.6080774456521717E-2</v>
          </cell>
          <cell r="AE3766" t="str">
            <v>Con precio</v>
          </cell>
        </row>
        <row r="3767">
          <cell r="B3767" t="str">
            <v>HST0005</v>
          </cell>
          <cell r="X3767" t="str">
            <v>Formulación</v>
          </cell>
          <cell r="AC3767">
            <v>4.8799999999999998E-3</v>
          </cell>
          <cell r="AD3767">
            <v>4.8799999999999998E-3</v>
          </cell>
          <cell r="AE3767" t="str">
            <v>Con precio</v>
          </cell>
        </row>
        <row r="3768">
          <cell r="B3768" t="str">
            <v>HST0005</v>
          </cell>
          <cell r="X3768" t="str">
            <v>Formulación</v>
          </cell>
          <cell r="AC3768">
            <v>3.1899999999999998E-2</v>
          </cell>
          <cell r="AD3768">
            <v>3.1899999999999998E-2</v>
          </cell>
          <cell r="AE3768" t="str">
            <v>Con precio</v>
          </cell>
        </row>
        <row r="3769">
          <cell r="B3769" t="str">
            <v>HST0005</v>
          </cell>
          <cell r="X3769" t="str">
            <v>Formulación</v>
          </cell>
          <cell r="AC3769">
            <v>2.8773</v>
          </cell>
          <cell r="AD3769">
            <v>2.3577179999999993</v>
          </cell>
          <cell r="AE3769" t="str">
            <v>Con precio</v>
          </cell>
        </row>
        <row r="3770">
          <cell r="B3770" t="str">
            <v>HST0005</v>
          </cell>
          <cell r="X3770" t="str">
            <v>Formulación</v>
          </cell>
          <cell r="AC3770">
            <v>0.10031999999999999</v>
          </cell>
          <cell r="AD3770">
            <v>9.2224E-2</v>
          </cell>
          <cell r="AE3770" t="str">
            <v>Con precio</v>
          </cell>
        </row>
        <row r="3771">
          <cell r="B3771" t="str">
            <v>HST0005</v>
          </cell>
          <cell r="X3771" t="str">
            <v>Formulación</v>
          </cell>
          <cell r="AC3771">
            <v>0.29700000000000004</v>
          </cell>
          <cell r="AD3771">
            <v>0.20145714285714286</v>
          </cell>
          <cell r="AE3771" t="str">
            <v>Con precio</v>
          </cell>
        </row>
        <row r="3772">
          <cell r="B3772" t="str">
            <v>HST0005</v>
          </cell>
          <cell r="X3772" t="str">
            <v>Formulación</v>
          </cell>
          <cell r="AC3772">
            <v>5.1599999999999997E-3</v>
          </cell>
          <cell r="AD3772">
            <v>3.8580000000000003E-3</v>
          </cell>
          <cell r="AE3772" t="str">
            <v>Con precio</v>
          </cell>
        </row>
        <row r="3773">
          <cell r="B3773" t="str">
            <v>HST0005</v>
          </cell>
          <cell r="X3773" t="str">
            <v>Formulación</v>
          </cell>
          <cell r="AC3773">
            <v>2.64E-3</v>
          </cell>
          <cell r="AD3773">
            <v>2.64E-3</v>
          </cell>
          <cell r="AE3773" t="str">
            <v>Con precio</v>
          </cell>
        </row>
        <row r="3774">
          <cell r="B3774" t="str">
            <v>HST0005</v>
          </cell>
          <cell r="X3774" t="str">
            <v>Empaquetado</v>
          </cell>
          <cell r="AC3774">
            <v>1.2991333333333337E-2</v>
          </cell>
          <cell r="AD3774">
            <v>1.2991333333333337E-2</v>
          </cell>
          <cell r="AE3774" t="str">
            <v>Con precio</v>
          </cell>
        </row>
        <row r="3775">
          <cell r="B3775" t="str">
            <v>HST0005</v>
          </cell>
          <cell r="X3775" t="str">
            <v>Empaquetado</v>
          </cell>
          <cell r="AC3775">
            <v>2.5783333333333339E-2</v>
          </cell>
          <cell r="AD3775">
            <v>2.5783333333333339E-2</v>
          </cell>
          <cell r="AE3775" t="str">
            <v>Con precio</v>
          </cell>
        </row>
        <row r="3776">
          <cell r="B3776" t="str">
            <v>HST0005</v>
          </cell>
          <cell r="X3776" t="str">
            <v>Empaquetado</v>
          </cell>
          <cell r="AC3776">
            <v>2.5359983896940424E-2</v>
          </cell>
          <cell r="AD3776">
            <v>2.5359983896940424E-2</v>
          </cell>
          <cell r="AE3776" t="str">
            <v>Con precio</v>
          </cell>
        </row>
        <row r="3777">
          <cell r="B3777" t="str">
            <v>HST0005</v>
          </cell>
          <cell r="X3777" t="str">
            <v>Empaquetado</v>
          </cell>
          <cell r="AC3777">
            <v>0.17399999999999999</v>
          </cell>
          <cell r="AD3777">
            <v>0.17399999999999999</v>
          </cell>
          <cell r="AE3777" t="str">
            <v>Con precio</v>
          </cell>
        </row>
        <row r="3778">
          <cell r="B3778" t="str">
            <v>HST0005</v>
          </cell>
          <cell r="X3778" t="str">
            <v>Empaquetado</v>
          </cell>
          <cell r="AC3778">
            <v>4.0000000000000008E-2</v>
          </cell>
          <cell r="AD3778">
            <v>4.0000000000000008E-2</v>
          </cell>
          <cell r="AE3778" t="str">
            <v>Con precio</v>
          </cell>
        </row>
        <row r="3779">
          <cell r="B3779" t="str">
            <v>HST0005</v>
          </cell>
          <cell r="X3779" t="str">
            <v>Empaquetado</v>
          </cell>
          <cell r="AC3779">
            <v>3.6950017630465445E-2</v>
          </cell>
          <cell r="AD3779">
            <v>3.6950017630465445E-2</v>
          </cell>
          <cell r="AE3779" t="str">
            <v>Con precio</v>
          </cell>
        </row>
        <row r="3780">
          <cell r="B3780" t="str">
            <v>HST0005AZ</v>
          </cell>
          <cell r="X3780" t="str">
            <v>Formulación</v>
          </cell>
          <cell r="AC3780">
            <v>4.8799999999999998E-3</v>
          </cell>
          <cell r="AD3780">
            <v>4.8799999999999998E-3</v>
          </cell>
          <cell r="AE3780" t="str">
            <v>Con precio</v>
          </cell>
        </row>
        <row r="3781">
          <cell r="B3781" t="str">
            <v>HST0005AZ</v>
          </cell>
          <cell r="X3781" t="str">
            <v>Formulación</v>
          </cell>
          <cell r="AC3781">
            <v>3.1899999999999998E-2</v>
          </cell>
          <cell r="AD3781">
            <v>3.1899999999999998E-2</v>
          </cell>
          <cell r="AE3781" t="str">
            <v>Con precio</v>
          </cell>
        </row>
        <row r="3782">
          <cell r="B3782" t="str">
            <v>HST0005AZ</v>
          </cell>
          <cell r="X3782" t="str">
            <v>Formulación</v>
          </cell>
          <cell r="AC3782">
            <v>2.8773</v>
          </cell>
          <cell r="AD3782">
            <v>2.3577179999999993</v>
          </cell>
          <cell r="AE3782" t="str">
            <v>Con precio</v>
          </cell>
        </row>
        <row r="3783">
          <cell r="B3783" t="str">
            <v>HST0005AZ</v>
          </cell>
          <cell r="X3783" t="str">
            <v>Formulación</v>
          </cell>
          <cell r="AC3783">
            <v>0.10031999999999999</v>
          </cell>
          <cell r="AD3783">
            <v>9.2224E-2</v>
          </cell>
          <cell r="AE3783" t="str">
            <v>Con precio</v>
          </cell>
        </row>
        <row r="3784">
          <cell r="B3784" t="str">
            <v>HST0005AZ</v>
          </cell>
          <cell r="X3784" t="str">
            <v>Formulación</v>
          </cell>
          <cell r="AC3784">
            <v>0.29700000000000004</v>
          </cell>
          <cell r="AD3784">
            <v>0.20145714285714286</v>
          </cell>
          <cell r="AE3784" t="str">
            <v>Con precio</v>
          </cell>
        </row>
        <row r="3785">
          <cell r="B3785" t="str">
            <v>HST0005AZ</v>
          </cell>
          <cell r="X3785" t="str">
            <v>Formulación</v>
          </cell>
          <cell r="AC3785">
            <v>5.1599999999999997E-3</v>
          </cell>
          <cell r="AD3785">
            <v>3.8580000000000003E-3</v>
          </cell>
          <cell r="AE3785" t="str">
            <v>Con precio</v>
          </cell>
        </row>
        <row r="3786">
          <cell r="B3786" t="str">
            <v>HST0005AZ</v>
          </cell>
          <cell r="X3786" t="str">
            <v>Formulación</v>
          </cell>
          <cell r="AC3786">
            <v>2.64E-3</v>
          </cell>
          <cell r="AD3786">
            <v>2.64E-3</v>
          </cell>
          <cell r="AE3786" t="str">
            <v>Con precio</v>
          </cell>
        </row>
        <row r="3787">
          <cell r="B3787" t="str">
            <v>HST0005AZ</v>
          </cell>
          <cell r="X3787" t="str">
            <v>Empaquetado</v>
          </cell>
          <cell r="AC3787">
            <v>1.2991333333333337E-2</v>
          </cell>
          <cell r="AD3787">
            <v>1.2991333333333337E-2</v>
          </cell>
          <cell r="AE3787" t="str">
            <v>Con precio</v>
          </cell>
        </row>
        <row r="3788">
          <cell r="B3788" t="str">
            <v>HST0005AZ</v>
          </cell>
          <cell r="X3788" t="str">
            <v>Empaquetado</v>
          </cell>
          <cell r="AC3788">
            <v>2.5783333333333339E-2</v>
          </cell>
          <cell r="AD3788">
            <v>2.5783333333333339E-2</v>
          </cell>
          <cell r="AE3788" t="str">
            <v>Con precio</v>
          </cell>
        </row>
        <row r="3789">
          <cell r="B3789" t="str">
            <v>HST0005AZ</v>
          </cell>
          <cell r="X3789" t="str">
            <v>Empaquetado</v>
          </cell>
          <cell r="AC3789">
            <v>2.5359983896940424E-2</v>
          </cell>
          <cell r="AD3789">
            <v>2.5359983896940424E-2</v>
          </cell>
          <cell r="AE3789" t="str">
            <v>Con precio</v>
          </cell>
        </row>
        <row r="3790">
          <cell r="B3790" t="str">
            <v>HST0005AZ</v>
          </cell>
          <cell r="X3790" t="str">
            <v>Empaquetado</v>
          </cell>
          <cell r="AC3790">
            <v>0.17399999999999999</v>
          </cell>
          <cell r="AD3790">
            <v>0.17399999999999999</v>
          </cell>
          <cell r="AE3790" t="str">
            <v>Con precio</v>
          </cell>
        </row>
        <row r="3791">
          <cell r="B3791" t="str">
            <v>HST0005AZ</v>
          </cell>
          <cell r="X3791" t="str">
            <v>Empaquetado</v>
          </cell>
          <cell r="AC3791">
            <v>4.0000000000000008E-2</v>
          </cell>
          <cell r="AD3791">
            <v>4.0000000000000008E-2</v>
          </cell>
          <cell r="AE3791" t="str">
            <v>Con precio</v>
          </cell>
        </row>
        <row r="3792">
          <cell r="B3792" t="str">
            <v>HST0005AZ</v>
          </cell>
          <cell r="X3792" t="str">
            <v>Empaquetado</v>
          </cell>
          <cell r="AC3792">
            <v>3.6950017630465445E-2</v>
          </cell>
          <cell r="AD3792">
            <v>3.6950017630465445E-2</v>
          </cell>
          <cell r="AE3792" t="str">
            <v>Con precio</v>
          </cell>
        </row>
        <row r="3793">
          <cell r="B3793" t="str">
            <v>HST0020</v>
          </cell>
          <cell r="X3793" t="str">
            <v>Formulación</v>
          </cell>
          <cell r="AC3793">
            <v>4.8799999999999998E-3</v>
          </cell>
          <cell r="AD3793">
            <v>4.8799999999999998E-3</v>
          </cell>
          <cell r="AE3793" t="str">
            <v>Con precio</v>
          </cell>
        </row>
        <row r="3794">
          <cell r="B3794" t="str">
            <v>HST0020</v>
          </cell>
          <cell r="X3794" t="str">
            <v>Formulación</v>
          </cell>
          <cell r="AC3794">
            <v>3.1899999999999998E-2</v>
          </cell>
          <cell r="AD3794">
            <v>3.1899999999999998E-2</v>
          </cell>
          <cell r="AE3794" t="str">
            <v>Con precio</v>
          </cell>
        </row>
        <row r="3795">
          <cell r="B3795" t="str">
            <v>HST0020</v>
          </cell>
          <cell r="X3795" t="str">
            <v>Formulación</v>
          </cell>
          <cell r="AC3795">
            <v>2.8773</v>
          </cell>
          <cell r="AD3795">
            <v>2.3577179999999993</v>
          </cell>
          <cell r="AE3795" t="str">
            <v>Con precio</v>
          </cell>
        </row>
        <row r="3796">
          <cell r="B3796" t="str">
            <v>HST0020</v>
          </cell>
          <cell r="X3796" t="str">
            <v>Formulación</v>
          </cell>
          <cell r="AC3796">
            <v>0.10031999999999999</v>
          </cell>
          <cell r="AD3796">
            <v>9.2224E-2</v>
          </cell>
          <cell r="AE3796" t="str">
            <v>Con precio</v>
          </cell>
        </row>
        <row r="3797">
          <cell r="B3797" t="str">
            <v>HST0020</v>
          </cell>
          <cell r="X3797" t="str">
            <v>Formulación</v>
          </cell>
          <cell r="AC3797">
            <v>0.29700000000000004</v>
          </cell>
          <cell r="AD3797">
            <v>0.20145714285714286</v>
          </cell>
          <cell r="AE3797" t="str">
            <v>Con precio</v>
          </cell>
        </row>
        <row r="3798">
          <cell r="B3798" t="str">
            <v>HST0020</v>
          </cell>
          <cell r="X3798" t="str">
            <v>Formulación</v>
          </cell>
          <cell r="AC3798">
            <v>5.1599999999999997E-3</v>
          </cell>
          <cell r="AD3798">
            <v>3.8580000000000003E-3</v>
          </cell>
          <cell r="AE3798" t="str">
            <v>Con precio</v>
          </cell>
        </row>
        <row r="3799">
          <cell r="B3799" t="str">
            <v>HST0020</v>
          </cell>
          <cell r="X3799" t="str">
            <v>Formulación</v>
          </cell>
          <cell r="AC3799">
            <v>2.64E-3</v>
          </cell>
          <cell r="AD3799">
            <v>2.64E-3</v>
          </cell>
          <cell r="AE3799" t="str">
            <v>Con precio</v>
          </cell>
        </row>
        <row r="3800">
          <cell r="B3800" t="str">
            <v>HST0020</v>
          </cell>
          <cell r="X3800" t="str">
            <v>Empaquetado</v>
          </cell>
          <cell r="AC3800">
            <v>7.3209374999999993E-3</v>
          </cell>
          <cell r="AD3800">
            <v>7.3209374999999993E-3</v>
          </cell>
          <cell r="AE3800" t="str">
            <v>Con precio</v>
          </cell>
        </row>
        <row r="3801">
          <cell r="B3801" t="str">
            <v>HST0020</v>
          </cell>
          <cell r="X3801" t="str">
            <v>Empaquetado</v>
          </cell>
          <cell r="AC3801">
            <v>2.4171875000000002E-2</v>
          </cell>
          <cell r="AD3801">
            <v>2.4171875000000002E-2</v>
          </cell>
          <cell r="AE3801" t="str">
            <v>Con precio</v>
          </cell>
        </row>
        <row r="3802">
          <cell r="B3802" t="str">
            <v>HST0020</v>
          </cell>
          <cell r="X3802" t="str">
            <v>Empaquetado</v>
          </cell>
          <cell r="AC3802">
            <v>5.0719967793880849E-3</v>
          </cell>
          <cell r="AD3802">
            <v>5.0719967793880849E-3</v>
          </cell>
          <cell r="AE3802" t="str">
            <v>Con precio</v>
          </cell>
        </row>
        <row r="3803">
          <cell r="B3803" t="str">
            <v>HST0020</v>
          </cell>
          <cell r="X3803" t="str">
            <v>Empaquetado</v>
          </cell>
          <cell r="AC3803">
            <v>0.18266505681818179</v>
          </cell>
          <cell r="AD3803">
            <v>0.18266505681818179</v>
          </cell>
          <cell r="AE3803" t="str">
            <v>Con precio</v>
          </cell>
        </row>
        <row r="3804">
          <cell r="B3804" t="str">
            <v>HST0020</v>
          </cell>
          <cell r="X3804" t="str">
            <v>Empaquetado</v>
          </cell>
          <cell r="AC3804">
            <v>2.4035031847133761E-2</v>
          </cell>
          <cell r="AD3804">
            <v>2.4035031847133761E-2</v>
          </cell>
          <cell r="AE3804" t="str">
            <v>Con precio</v>
          </cell>
        </row>
        <row r="3805">
          <cell r="B3805" t="str">
            <v>JF0001</v>
          </cell>
          <cell r="X3805" t="str">
            <v>Formulación</v>
          </cell>
          <cell r="AC3805">
            <v>0.30585600000000002</v>
          </cell>
          <cell r="AD3805">
            <v>0.30585600000000002</v>
          </cell>
          <cell r="AE3805" t="str">
            <v>Con precio</v>
          </cell>
        </row>
        <row r="3806">
          <cell r="B3806" t="str">
            <v>JF0001</v>
          </cell>
          <cell r="X3806" t="str">
            <v>Formulación</v>
          </cell>
          <cell r="AC3806">
            <v>0.22516</v>
          </cell>
          <cell r="AD3806">
            <v>0.22516</v>
          </cell>
          <cell r="AE3806" t="str">
            <v>Con precio</v>
          </cell>
        </row>
        <row r="3807">
          <cell r="B3807" t="str">
            <v>JF0001</v>
          </cell>
          <cell r="X3807" t="str">
            <v>Formulación</v>
          </cell>
          <cell r="AC3807">
            <v>1.8266399999999999E-2</v>
          </cell>
          <cell r="AD3807">
            <v>1.3657319999999999E-2</v>
          </cell>
          <cell r="AE3807" t="str">
            <v>Con precio</v>
          </cell>
        </row>
        <row r="3808">
          <cell r="B3808" t="str">
            <v>JF0001</v>
          </cell>
          <cell r="X3808" t="str">
            <v>Formulación</v>
          </cell>
          <cell r="AC3808">
            <v>0.32550000000000001</v>
          </cell>
          <cell r="AD3808">
            <v>0.22967899999999999</v>
          </cell>
          <cell r="AE3808" t="str">
            <v>Con precio</v>
          </cell>
        </row>
        <row r="3809">
          <cell r="B3809" t="str">
            <v>JF0001</v>
          </cell>
          <cell r="X3809" t="str">
            <v>Formulación</v>
          </cell>
          <cell r="AC3809">
            <v>3.9159999999999998E-4</v>
          </cell>
          <cell r="AD3809">
            <v>3.9159999999999998E-4</v>
          </cell>
          <cell r="AE3809" t="str">
            <v>Con precio</v>
          </cell>
        </row>
        <row r="3810">
          <cell r="B3810" t="str">
            <v>JF0001</v>
          </cell>
          <cell r="X3810" t="str">
            <v>Empaquetado</v>
          </cell>
          <cell r="AC3810">
            <v>3.0303030303030299E-5</v>
          </cell>
          <cell r="AD3810">
            <v>3.0303030303030299E-5</v>
          </cell>
          <cell r="AE3810" t="str">
            <v>Con precio</v>
          </cell>
        </row>
        <row r="3811">
          <cell r="B3811" t="str">
            <v>JF0001</v>
          </cell>
          <cell r="X3811" t="str">
            <v>Empaquetado</v>
          </cell>
          <cell r="AC3811">
            <v>2.3439393939393937E-2</v>
          </cell>
          <cell r="AD3811">
            <v>2.3439393939393937E-2</v>
          </cell>
          <cell r="AE3811" t="str">
            <v>Con precio</v>
          </cell>
        </row>
        <row r="3812">
          <cell r="B3812" t="str">
            <v>JF0001</v>
          </cell>
          <cell r="X3812" t="str">
            <v>Empaquetado</v>
          </cell>
          <cell r="AC3812">
            <v>7.1917518745739595E-2</v>
          </cell>
          <cell r="AD3812">
            <v>7.1917518745739595E-2</v>
          </cell>
          <cell r="AE3812" t="str">
            <v>Con precio</v>
          </cell>
        </row>
        <row r="3813">
          <cell r="B3813" t="str">
            <v>JF0001</v>
          </cell>
          <cell r="X3813" t="str">
            <v>Empaquetado</v>
          </cell>
          <cell r="AC3813">
            <v>0.45124999999999998</v>
          </cell>
          <cell r="AD3813">
            <v>0.32061666666666666</v>
          </cell>
          <cell r="AE3813" t="str">
            <v>Con precio</v>
          </cell>
        </row>
        <row r="3814">
          <cell r="B3814" t="str">
            <v>JF0001</v>
          </cell>
          <cell r="X3814" t="str">
            <v>Empaquetado</v>
          </cell>
          <cell r="AC3814">
            <v>0.44322992424242419</v>
          </cell>
          <cell r="AD3814">
            <v>0.44322992424242419</v>
          </cell>
          <cell r="AE3814" t="str">
            <v>Con precio</v>
          </cell>
        </row>
        <row r="3815">
          <cell r="B3815" t="str">
            <v>JF0001</v>
          </cell>
          <cell r="X3815" t="str">
            <v>Empaquetado</v>
          </cell>
          <cell r="AC3815">
            <v>9.6080774456521717E-2</v>
          </cell>
          <cell r="AD3815">
            <v>9.6080774456521717E-2</v>
          </cell>
          <cell r="AE3815" t="str">
            <v>Con precio</v>
          </cell>
        </row>
        <row r="3816">
          <cell r="B3816" t="str">
            <v>JF0001DO</v>
          </cell>
          <cell r="X3816" t="str">
            <v>Formulación</v>
          </cell>
          <cell r="AC3816">
            <v>0.30585600000000002</v>
          </cell>
          <cell r="AD3816">
            <v>0.30585600000000002</v>
          </cell>
          <cell r="AE3816" t="str">
            <v>Con precio</v>
          </cell>
        </row>
        <row r="3817">
          <cell r="B3817" t="str">
            <v>JF0001DO</v>
          </cell>
          <cell r="X3817" t="str">
            <v>Formulación</v>
          </cell>
          <cell r="AC3817">
            <v>0.22516</v>
          </cell>
          <cell r="AD3817">
            <v>0.22516</v>
          </cell>
          <cell r="AE3817" t="str">
            <v>Con precio</v>
          </cell>
        </row>
        <row r="3818">
          <cell r="B3818" t="str">
            <v>JF0001DO</v>
          </cell>
          <cell r="X3818" t="str">
            <v>Formulación</v>
          </cell>
          <cell r="AC3818">
            <v>1.8266399999999999E-2</v>
          </cell>
          <cell r="AD3818">
            <v>1.3657319999999999E-2</v>
          </cell>
          <cell r="AE3818" t="str">
            <v>Con precio</v>
          </cell>
        </row>
        <row r="3819">
          <cell r="B3819" t="str">
            <v>JF0001DO</v>
          </cell>
          <cell r="X3819" t="str">
            <v>Formulación</v>
          </cell>
          <cell r="AC3819">
            <v>0.32550000000000001</v>
          </cell>
          <cell r="AD3819">
            <v>0.22967899999999999</v>
          </cell>
          <cell r="AE3819" t="str">
            <v>Con precio</v>
          </cell>
        </row>
        <row r="3820">
          <cell r="B3820" t="str">
            <v>JF0001DO</v>
          </cell>
          <cell r="X3820" t="str">
            <v>Formulación</v>
          </cell>
          <cell r="AC3820">
            <v>3.9159999999999998E-4</v>
          </cell>
          <cell r="AD3820">
            <v>3.9159999999999998E-4</v>
          </cell>
          <cell r="AE3820" t="str">
            <v>Con precio</v>
          </cell>
        </row>
        <row r="3821">
          <cell r="B3821" t="str">
            <v>JF0001DO</v>
          </cell>
          <cell r="X3821" t="str">
            <v>Empaquetado</v>
          </cell>
          <cell r="AC3821">
            <v>3.0303030303030299E-5</v>
          </cell>
          <cell r="AD3821">
            <v>3.0303030303030299E-5</v>
          </cell>
          <cell r="AE3821" t="str">
            <v>Con precio</v>
          </cell>
        </row>
        <row r="3822">
          <cell r="B3822" t="str">
            <v>JF0001DO</v>
          </cell>
          <cell r="X3822" t="str">
            <v>Empaquetado</v>
          </cell>
          <cell r="AC3822">
            <v>2.3439393939393937E-2</v>
          </cell>
          <cell r="AD3822">
            <v>2.3439393939393937E-2</v>
          </cell>
          <cell r="AE3822" t="str">
            <v>Con precio</v>
          </cell>
        </row>
        <row r="3823">
          <cell r="B3823" t="str">
            <v>JF0001DO</v>
          </cell>
          <cell r="X3823" t="str">
            <v>Empaquetado</v>
          </cell>
          <cell r="AC3823">
            <v>7.1917518745739595E-2</v>
          </cell>
          <cell r="AD3823">
            <v>7.1917518745739595E-2</v>
          </cell>
          <cell r="AE3823" t="str">
            <v>Con precio</v>
          </cell>
        </row>
        <row r="3824">
          <cell r="B3824" t="str">
            <v>JF0001DO</v>
          </cell>
          <cell r="X3824" t="str">
            <v>Empaquetado</v>
          </cell>
          <cell r="AC3824">
            <v>0.45124999999999998</v>
          </cell>
          <cell r="AD3824">
            <v>0.32061666666666666</v>
          </cell>
          <cell r="AE3824" t="str">
            <v>Con precio</v>
          </cell>
        </row>
        <row r="3825">
          <cell r="B3825" t="str">
            <v>JF0001DO</v>
          </cell>
          <cell r="X3825" t="str">
            <v>Empaquetado</v>
          </cell>
          <cell r="AC3825">
            <v>0.44322992424242419</v>
          </cell>
          <cell r="AD3825">
            <v>0.44322992424242419</v>
          </cell>
          <cell r="AE3825" t="str">
            <v>Con precio</v>
          </cell>
        </row>
        <row r="3826">
          <cell r="B3826" t="str">
            <v>JF0001DO</v>
          </cell>
          <cell r="X3826" t="str">
            <v>Empaquetado</v>
          </cell>
          <cell r="AC3826">
            <v>9.6080774456521717E-2</v>
          </cell>
          <cell r="AD3826">
            <v>9.6080774456521717E-2</v>
          </cell>
          <cell r="AE3826" t="str">
            <v>Con precio</v>
          </cell>
        </row>
        <row r="3827">
          <cell r="B3827" t="str">
            <v>JF0001EC</v>
          </cell>
          <cell r="X3827" t="str">
            <v>Formulación</v>
          </cell>
          <cell r="AC3827">
            <v>0.30585600000000002</v>
          </cell>
          <cell r="AD3827">
            <v>0.30585600000000002</v>
          </cell>
          <cell r="AE3827" t="str">
            <v>Con precio</v>
          </cell>
        </row>
        <row r="3828">
          <cell r="B3828" t="str">
            <v>JF0001EC</v>
          </cell>
          <cell r="X3828" t="str">
            <v>Formulación</v>
          </cell>
          <cell r="AC3828">
            <v>0.22516</v>
          </cell>
          <cell r="AD3828">
            <v>0.22516</v>
          </cell>
          <cell r="AE3828" t="str">
            <v>Con precio</v>
          </cell>
        </row>
        <row r="3829">
          <cell r="B3829" t="str">
            <v>JF0001EC</v>
          </cell>
          <cell r="X3829" t="str">
            <v>Formulación</v>
          </cell>
          <cell r="AC3829">
            <v>1.8266399999999999E-2</v>
          </cell>
          <cell r="AD3829">
            <v>1.3657319999999999E-2</v>
          </cell>
          <cell r="AE3829" t="str">
            <v>Con precio</v>
          </cell>
        </row>
        <row r="3830">
          <cell r="B3830" t="str">
            <v>JF0001EC</v>
          </cell>
          <cell r="X3830" t="str">
            <v>Formulación</v>
          </cell>
          <cell r="AC3830">
            <v>0.32550000000000001</v>
          </cell>
          <cell r="AD3830">
            <v>0.22967899999999999</v>
          </cell>
          <cell r="AE3830" t="str">
            <v>Con precio</v>
          </cell>
        </row>
        <row r="3831">
          <cell r="B3831" t="str">
            <v>JF0001EC</v>
          </cell>
          <cell r="X3831" t="str">
            <v>Formulación</v>
          </cell>
          <cell r="AC3831">
            <v>3.9159999999999998E-4</v>
          </cell>
          <cell r="AD3831">
            <v>3.9159999999999998E-4</v>
          </cell>
          <cell r="AE3831" t="str">
            <v>Con precio</v>
          </cell>
        </row>
        <row r="3832">
          <cell r="B3832" t="str">
            <v>JF0001EC</v>
          </cell>
          <cell r="X3832" t="str">
            <v>Empaquetado</v>
          </cell>
          <cell r="AC3832">
            <v>3.0303030303030299E-5</v>
          </cell>
          <cell r="AD3832">
            <v>3.0303030303030299E-5</v>
          </cell>
          <cell r="AE3832" t="str">
            <v>Con precio</v>
          </cell>
        </row>
        <row r="3833">
          <cell r="B3833" t="str">
            <v>JF0001EC</v>
          </cell>
          <cell r="X3833" t="str">
            <v>Empaquetado</v>
          </cell>
          <cell r="AC3833">
            <v>2.3439393939393937E-2</v>
          </cell>
          <cell r="AD3833">
            <v>2.3439393939393937E-2</v>
          </cell>
          <cell r="AE3833" t="str">
            <v>Con precio</v>
          </cell>
        </row>
        <row r="3834">
          <cell r="B3834" t="str">
            <v>JF0001EC</v>
          </cell>
          <cell r="X3834" t="str">
            <v>Empaquetado</v>
          </cell>
          <cell r="AC3834">
            <v>7.1917518745739595E-2</v>
          </cell>
          <cell r="AD3834">
            <v>7.1917518745739595E-2</v>
          </cell>
          <cell r="AE3834" t="str">
            <v>Con precio</v>
          </cell>
        </row>
        <row r="3835">
          <cell r="B3835" t="str">
            <v>JF0001EC</v>
          </cell>
          <cell r="X3835" t="str">
            <v>Empaquetado</v>
          </cell>
          <cell r="AC3835">
            <v>0.45124999999999998</v>
          </cell>
          <cell r="AD3835">
            <v>0.32061666666666666</v>
          </cell>
          <cell r="AE3835" t="str">
            <v>Con precio</v>
          </cell>
        </row>
        <row r="3836">
          <cell r="B3836" t="str">
            <v>JF0001EC</v>
          </cell>
          <cell r="X3836" t="str">
            <v>Empaquetado</v>
          </cell>
          <cell r="AC3836">
            <v>0.44322992424242419</v>
          </cell>
          <cell r="AD3836">
            <v>0.44322992424242419</v>
          </cell>
          <cell r="AE3836" t="str">
            <v>Con precio</v>
          </cell>
        </row>
        <row r="3837">
          <cell r="B3837" t="str">
            <v>JF0001EC</v>
          </cell>
          <cell r="X3837" t="str">
            <v>Empaquetado</v>
          </cell>
          <cell r="AC3837">
            <v>9.6080774456521717E-2</v>
          </cell>
          <cell r="AD3837">
            <v>9.6080774456521717E-2</v>
          </cell>
          <cell r="AE3837" t="str">
            <v>Con precio</v>
          </cell>
        </row>
        <row r="3838">
          <cell r="B3838" t="str">
            <v>JF0005</v>
          </cell>
          <cell r="X3838" t="str">
            <v>Formulación</v>
          </cell>
          <cell r="AC3838">
            <v>0.30585600000000002</v>
          </cell>
          <cell r="AD3838">
            <v>0.30585600000000002</v>
          </cell>
          <cell r="AE3838" t="str">
            <v>Con precio</v>
          </cell>
        </row>
        <row r="3839">
          <cell r="B3839" t="str">
            <v>JF0005</v>
          </cell>
          <cell r="X3839" t="str">
            <v>Formulación</v>
          </cell>
          <cell r="AC3839">
            <v>0.22516</v>
          </cell>
          <cell r="AD3839">
            <v>0.22516</v>
          </cell>
          <cell r="AE3839" t="str">
            <v>Con precio</v>
          </cell>
        </row>
        <row r="3840">
          <cell r="B3840" t="str">
            <v>JF0005</v>
          </cell>
          <cell r="X3840" t="str">
            <v>Formulación</v>
          </cell>
          <cell r="AC3840">
            <v>1.8266399999999999E-2</v>
          </cell>
          <cell r="AD3840">
            <v>1.3657319999999999E-2</v>
          </cell>
          <cell r="AE3840" t="str">
            <v>Con precio</v>
          </cell>
        </row>
        <row r="3841">
          <cell r="B3841" t="str">
            <v>JF0005</v>
          </cell>
          <cell r="X3841" t="str">
            <v>Formulación</v>
          </cell>
          <cell r="AC3841">
            <v>0.32550000000000001</v>
          </cell>
          <cell r="AD3841">
            <v>0.22967899999999999</v>
          </cell>
          <cell r="AE3841" t="str">
            <v>Con precio</v>
          </cell>
        </row>
        <row r="3842">
          <cell r="B3842" t="str">
            <v>JF0005</v>
          </cell>
          <cell r="X3842" t="str">
            <v>Formulación</v>
          </cell>
          <cell r="AC3842">
            <v>3.9159999999999998E-4</v>
          </cell>
          <cell r="AD3842">
            <v>3.9159999999999998E-4</v>
          </cell>
          <cell r="AE3842" t="str">
            <v>Con precio</v>
          </cell>
        </row>
        <row r="3843">
          <cell r="B3843" t="str">
            <v>JF0005</v>
          </cell>
          <cell r="X3843" t="str">
            <v>Empaquetado</v>
          </cell>
          <cell r="AC3843">
            <v>7.7948000000000002E-3</v>
          </cell>
          <cell r="AD3843">
            <v>7.7948000000000002E-3</v>
          </cell>
          <cell r="AE3843" t="str">
            <v>Con precio</v>
          </cell>
        </row>
        <row r="3844">
          <cell r="B3844" t="str">
            <v>JF0005</v>
          </cell>
          <cell r="X3844" t="str">
            <v>Empaquetado</v>
          </cell>
          <cell r="AC3844">
            <v>2.5359983896940424E-2</v>
          </cell>
          <cell r="AD3844">
            <v>2.5359983896940424E-2</v>
          </cell>
          <cell r="AE3844" t="str">
            <v>Con precio</v>
          </cell>
        </row>
        <row r="3845">
          <cell r="B3845" t="str">
            <v>JF0005</v>
          </cell>
          <cell r="X3845" t="str">
            <v>Empaquetado</v>
          </cell>
          <cell r="AC3845">
            <v>2.5834900000000001E-2</v>
          </cell>
          <cell r="AD3845">
            <v>2.5834900000000001E-2</v>
          </cell>
          <cell r="AE3845" t="str">
            <v>Con precio</v>
          </cell>
        </row>
        <row r="3846">
          <cell r="B3846" t="str">
            <v>JF0005</v>
          </cell>
          <cell r="X3846" t="str">
            <v>Empaquetado</v>
          </cell>
          <cell r="AC3846">
            <v>0.17399999999999999</v>
          </cell>
          <cell r="AD3846">
            <v>0.17399999999999999</v>
          </cell>
          <cell r="AE3846" t="str">
            <v>Con precio</v>
          </cell>
        </row>
        <row r="3847">
          <cell r="B3847" t="str">
            <v>JF0005</v>
          </cell>
          <cell r="X3847" t="str">
            <v>Empaquetado</v>
          </cell>
          <cell r="AC3847">
            <v>5.7799999999999997E-2</v>
          </cell>
          <cell r="AD3847">
            <v>5.7799999999999997E-2</v>
          </cell>
          <cell r="AE3847" t="str">
            <v>Con precio</v>
          </cell>
        </row>
        <row r="3848">
          <cell r="B3848" t="str">
            <v>JF0005</v>
          </cell>
          <cell r="X3848" t="str">
            <v>Empaquetado</v>
          </cell>
          <cell r="AC3848">
            <v>3.6950017630465445E-2</v>
          </cell>
          <cell r="AD3848">
            <v>3.6950017630465445E-2</v>
          </cell>
          <cell r="AE3848" t="str">
            <v>Con precio</v>
          </cell>
        </row>
        <row r="3849">
          <cell r="B3849" t="str">
            <v>JF0005MA</v>
          </cell>
          <cell r="X3849" t="str">
            <v>Formulación</v>
          </cell>
          <cell r="AC3849">
            <v>0.30585600000000002</v>
          </cell>
          <cell r="AD3849">
            <v>0.30585600000000002</v>
          </cell>
          <cell r="AE3849" t="str">
            <v>Con precio</v>
          </cell>
        </row>
        <row r="3850">
          <cell r="B3850" t="str">
            <v>JF0005MA</v>
          </cell>
          <cell r="X3850" t="str">
            <v>Formulación</v>
          </cell>
          <cell r="AC3850">
            <v>0.22516</v>
          </cell>
          <cell r="AD3850">
            <v>0.22516</v>
          </cell>
          <cell r="AE3850" t="str">
            <v>Con precio</v>
          </cell>
        </row>
        <row r="3851">
          <cell r="B3851" t="str">
            <v>JF0005MA</v>
          </cell>
          <cell r="X3851" t="str">
            <v>Formulación</v>
          </cell>
          <cell r="AC3851">
            <v>1.8266399999999999E-2</v>
          </cell>
          <cell r="AD3851">
            <v>1.3657319999999999E-2</v>
          </cell>
          <cell r="AE3851" t="str">
            <v>Con precio</v>
          </cell>
        </row>
        <row r="3852">
          <cell r="B3852" t="str">
            <v>JF0005MA</v>
          </cell>
          <cell r="X3852" t="str">
            <v>Formulación</v>
          </cell>
          <cell r="AC3852">
            <v>0.32550000000000001</v>
          </cell>
          <cell r="AD3852">
            <v>0.22967899999999999</v>
          </cell>
          <cell r="AE3852" t="str">
            <v>Con precio</v>
          </cell>
        </row>
        <row r="3853">
          <cell r="B3853" t="str">
            <v>JF0005MA</v>
          </cell>
          <cell r="X3853" t="str">
            <v>Formulación</v>
          </cell>
          <cell r="AC3853">
            <v>3.9159999999999998E-4</v>
          </cell>
          <cell r="AD3853">
            <v>3.9159999999999998E-4</v>
          </cell>
          <cell r="AE3853" t="str">
            <v>Con precio</v>
          </cell>
        </row>
        <row r="3854">
          <cell r="B3854" t="str">
            <v>JF0005MA</v>
          </cell>
          <cell r="X3854" t="str">
            <v>Empaquetado</v>
          </cell>
          <cell r="AC3854">
            <v>7.7948000000000002E-3</v>
          </cell>
          <cell r="AD3854">
            <v>7.7948000000000002E-3</v>
          </cell>
          <cell r="AE3854" t="str">
            <v>Con precio</v>
          </cell>
        </row>
        <row r="3855">
          <cell r="B3855" t="str">
            <v>JF0005MA</v>
          </cell>
          <cell r="X3855" t="str">
            <v>Empaquetado</v>
          </cell>
          <cell r="AC3855">
            <v>2.5359983896940424E-2</v>
          </cell>
          <cell r="AD3855">
            <v>2.5359983896940424E-2</v>
          </cell>
          <cell r="AE3855" t="str">
            <v>Con precio</v>
          </cell>
        </row>
        <row r="3856">
          <cell r="B3856" t="str">
            <v>JF0005MA</v>
          </cell>
          <cell r="X3856" t="str">
            <v>Empaquetado</v>
          </cell>
          <cell r="AC3856">
            <v>2.5834900000000001E-2</v>
          </cell>
          <cell r="AD3856">
            <v>2.5834900000000001E-2</v>
          </cell>
          <cell r="AE3856" t="str">
            <v>Con precio</v>
          </cell>
        </row>
        <row r="3857">
          <cell r="B3857" t="str">
            <v>JF0005MA</v>
          </cell>
          <cell r="X3857" t="str">
            <v>Empaquetado</v>
          </cell>
          <cell r="AC3857">
            <v>0.17399999999999999</v>
          </cell>
          <cell r="AD3857">
            <v>0.17399999999999999</v>
          </cell>
          <cell r="AE3857" t="str">
            <v>Con precio</v>
          </cell>
        </row>
        <row r="3858">
          <cell r="B3858" t="str">
            <v>JF0005MA</v>
          </cell>
          <cell r="X3858" t="str">
            <v>Empaquetado</v>
          </cell>
          <cell r="AC3858">
            <v>5.7799999999999997E-2</v>
          </cell>
          <cell r="AD3858">
            <v>5.7799999999999997E-2</v>
          </cell>
          <cell r="AE3858" t="str">
            <v>Con precio</v>
          </cell>
        </row>
        <row r="3859">
          <cell r="B3859" t="str">
            <v>JF0005MA</v>
          </cell>
          <cell r="X3859" t="str">
            <v>Empaquetado</v>
          </cell>
          <cell r="AC3859">
            <v>3.6950017630465445E-2</v>
          </cell>
          <cell r="AD3859">
            <v>3.6950017630465445E-2</v>
          </cell>
          <cell r="AE3859" t="str">
            <v>Con precio</v>
          </cell>
        </row>
        <row r="3860">
          <cell r="B3860" t="str">
            <v>JF0020</v>
          </cell>
          <cell r="X3860" t="str">
            <v>Formulación</v>
          </cell>
          <cell r="AC3860">
            <v>0.30585600000000002</v>
          </cell>
          <cell r="AD3860">
            <v>0.30585600000000002</v>
          </cell>
          <cell r="AE3860" t="str">
            <v>Con precio</v>
          </cell>
        </row>
        <row r="3861">
          <cell r="B3861" t="str">
            <v>JF0020</v>
          </cell>
          <cell r="X3861" t="str">
            <v>Formulación</v>
          </cell>
          <cell r="AC3861">
            <v>0.22516</v>
          </cell>
          <cell r="AD3861">
            <v>0.22516</v>
          </cell>
          <cell r="AE3861" t="str">
            <v>Con precio</v>
          </cell>
        </row>
        <row r="3862">
          <cell r="B3862" t="str">
            <v>JF0020</v>
          </cell>
          <cell r="X3862" t="str">
            <v>Formulación</v>
          </cell>
          <cell r="AC3862">
            <v>1.8266399999999999E-2</v>
          </cell>
          <cell r="AD3862">
            <v>1.3657319999999999E-2</v>
          </cell>
          <cell r="AE3862" t="str">
            <v>Con precio</v>
          </cell>
        </row>
        <row r="3863">
          <cell r="B3863" t="str">
            <v>JF0020</v>
          </cell>
          <cell r="X3863" t="str">
            <v>Formulación</v>
          </cell>
          <cell r="AC3863">
            <v>0.32550000000000001</v>
          </cell>
          <cell r="AD3863">
            <v>0.22967899999999999</v>
          </cell>
          <cell r="AE3863" t="str">
            <v>Con precio</v>
          </cell>
        </row>
        <row r="3864">
          <cell r="B3864" t="str">
            <v>JF0020</v>
          </cell>
          <cell r="X3864" t="str">
            <v>Formulación</v>
          </cell>
          <cell r="AC3864">
            <v>3.9159999999999998E-4</v>
          </cell>
          <cell r="AD3864">
            <v>3.9159999999999998E-4</v>
          </cell>
          <cell r="AE3864" t="str">
            <v>Con precio</v>
          </cell>
        </row>
        <row r="3865">
          <cell r="B3865" t="str">
            <v>JF0020</v>
          </cell>
          <cell r="X3865" t="str">
            <v>Empaquetado</v>
          </cell>
          <cell r="AC3865">
            <v>7.3209374999999993E-3</v>
          </cell>
          <cell r="AD3865">
            <v>7.3209374999999993E-3</v>
          </cell>
          <cell r="AE3865" t="str">
            <v>Con precio</v>
          </cell>
        </row>
        <row r="3866">
          <cell r="B3866" t="str">
            <v>JF0020</v>
          </cell>
          <cell r="X3866" t="str">
            <v>Empaquetado</v>
          </cell>
          <cell r="AC3866">
            <v>2.4171875000000002E-2</v>
          </cell>
          <cell r="AD3866">
            <v>2.4171875000000002E-2</v>
          </cell>
          <cell r="AE3866" t="str">
            <v>Con precio</v>
          </cell>
        </row>
        <row r="3867">
          <cell r="B3867" t="str">
            <v>JF0020</v>
          </cell>
          <cell r="X3867" t="str">
            <v>Empaquetado</v>
          </cell>
          <cell r="AC3867">
            <v>5.0719967793880849E-3</v>
          </cell>
          <cell r="AD3867">
            <v>5.0719967793880849E-3</v>
          </cell>
          <cell r="AE3867" t="str">
            <v>Con precio</v>
          </cell>
        </row>
        <row r="3868">
          <cell r="B3868" t="str">
            <v>JF0020</v>
          </cell>
          <cell r="X3868" t="str">
            <v>Empaquetado</v>
          </cell>
          <cell r="AC3868">
            <v>0.18266505681818179</v>
          </cell>
          <cell r="AD3868">
            <v>0.18266505681818179</v>
          </cell>
          <cell r="AE3868" t="str">
            <v>Con precio</v>
          </cell>
        </row>
        <row r="3869">
          <cell r="B3869" t="str">
            <v>JF0020</v>
          </cell>
          <cell r="X3869" t="str">
            <v>Empaquetado</v>
          </cell>
          <cell r="AC3869">
            <v>2.4035031847133761E-2</v>
          </cell>
          <cell r="AD3869">
            <v>2.4035031847133761E-2</v>
          </cell>
          <cell r="AE3869" t="str">
            <v>Con precio</v>
          </cell>
        </row>
        <row r="3870">
          <cell r="B3870" t="str">
            <v>JF1000</v>
          </cell>
          <cell r="X3870" t="str">
            <v>Formulación</v>
          </cell>
          <cell r="AC3870">
            <v>0.30585600000000002</v>
          </cell>
          <cell r="AD3870">
            <v>0.30585600000000002</v>
          </cell>
          <cell r="AE3870" t="str">
            <v>Con precio</v>
          </cell>
        </row>
        <row r="3871">
          <cell r="B3871" t="str">
            <v>JF1000</v>
          </cell>
          <cell r="X3871" t="str">
            <v>Formulación</v>
          </cell>
          <cell r="AC3871">
            <v>0.22516</v>
          </cell>
          <cell r="AD3871">
            <v>0.22516</v>
          </cell>
          <cell r="AE3871" t="str">
            <v>Con precio</v>
          </cell>
        </row>
        <row r="3872">
          <cell r="B3872" t="str">
            <v>JF1000</v>
          </cell>
          <cell r="X3872" t="str">
            <v>Formulación</v>
          </cell>
          <cell r="AC3872">
            <v>1.8266399999999999E-2</v>
          </cell>
          <cell r="AD3872">
            <v>1.3657319999999999E-2</v>
          </cell>
          <cell r="AE3872" t="str">
            <v>Con precio</v>
          </cell>
        </row>
        <row r="3873">
          <cell r="B3873" t="str">
            <v>JF1000</v>
          </cell>
          <cell r="X3873" t="str">
            <v>Formulación</v>
          </cell>
          <cell r="AC3873">
            <v>0.32550000000000001</v>
          </cell>
          <cell r="AD3873">
            <v>0.22967899999999999</v>
          </cell>
          <cell r="AE3873" t="str">
            <v>Con precio</v>
          </cell>
        </row>
        <row r="3874">
          <cell r="B3874" t="str">
            <v>JF1000</v>
          </cell>
          <cell r="X3874" t="str">
            <v>Formulación</v>
          </cell>
          <cell r="AC3874">
            <v>3.9159999999999998E-4</v>
          </cell>
          <cell r="AD3874">
            <v>3.9159999999999998E-4</v>
          </cell>
          <cell r="AE3874" t="str">
            <v>Con precio</v>
          </cell>
        </row>
        <row r="3875">
          <cell r="B3875" t="str">
            <v>JF1000</v>
          </cell>
          <cell r="X3875" t="str">
            <v>Empaquetado</v>
          </cell>
          <cell r="AC3875">
            <v>6.9846153846153836E-2</v>
          </cell>
          <cell r="AD3875">
            <v>6.9846153846153836E-2</v>
          </cell>
          <cell r="AE3875" t="str">
            <v>Con precio</v>
          </cell>
        </row>
        <row r="3876">
          <cell r="B3876" t="str">
            <v>JF1000</v>
          </cell>
          <cell r="X3876" t="str">
            <v>Empaquetado</v>
          </cell>
          <cell r="AC3876">
            <v>1.014399355877617E-4</v>
          </cell>
          <cell r="AD3876">
            <v>1.014399355877617E-4</v>
          </cell>
          <cell r="AE3876" t="str">
            <v>Con precio</v>
          </cell>
        </row>
        <row r="3877">
          <cell r="B3877" t="str">
            <v>LP0001DO</v>
          </cell>
          <cell r="X3877" t="str">
            <v>Formulación</v>
          </cell>
          <cell r="AC3877">
            <v>2.2499999999999998E-5</v>
          </cell>
          <cell r="AD3877">
            <v>2.2499999999999998E-5</v>
          </cell>
          <cell r="AE3877" t="str">
            <v>Con precio</v>
          </cell>
        </row>
        <row r="3878">
          <cell r="B3878" t="str">
            <v>LP0001DO</v>
          </cell>
          <cell r="X3878" t="str">
            <v>Formulación</v>
          </cell>
          <cell r="AC3878">
            <v>1.26</v>
          </cell>
          <cell r="AD3878">
            <v>1.26</v>
          </cell>
          <cell r="AE3878" t="str">
            <v>Con precio</v>
          </cell>
        </row>
        <row r="3879">
          <cell r="B3879" t="str">
            <v>LP0001DO</v>
          </cell>
          <cell r="X3879" t="str">
            <v>Empaquetado</v>
          </cell>
          <cell r="AC3879">
            <v>3.0303030303030299E-5</v>
          </cell>
          <cell r="AD3879">
            <v>3.0303030303030299E-5</v>
          </cell>
          <cell r="AE3879" t="str">
            <v>Con precio</v>
          </cell>
        </row>
        <row r="3880">
          <cell r="B3880" t="str">
            <v>LP0001DO</v>
          </cell>
          <cell r="X3880" t="str">
            <v>Empaquetado</v>
          </cell>
          <cell r="AC3880">
            <v>2.3439393939393937E-2</v>
          </cell>
          <cell r="AD3880">
            <v>2.3439393939393937E-2</v>
          </cell>
          <cell r="AE3880" t="str">
            <v>Con precio</v>
          </cell>
        </row>
        <row r="3881">
          <cell r="B3881" t="str">
            <v>LP0001DO</v>
          </cell>
          <cell r="X3881" t="str">
            <v>Empaquetado</v>
          </cell>
          <cell r="AC3881">
            <v>7.1917518745739595E-2</v>
          </cell>
          <cell r="AD3881">
            <v>7.1917518745739595E-2</v>
          </cell>
          <cell r="AE3881" t="str">
            <v>Con precio</v>
          </cell>
        </row>
        <row r="3882">
          <cell r="B3882" t="str">
            <v>LP0001DO</v>
          </cell>
          <cell r="X3882" t="str">
            <v>Empaquetado</v>
          </cell>
          <cell r="AC3882">
            <v>0.11874999999999999</v>
          </cell>
          <cell r="AD3882">
            <v>0.11874999999999999</v>
          </cell>
          <cell r="AE3882" t="str">
            <v>Con precio</v>
          </cell>
        </row>
        <row r="3883">
          <cell r="B3883" t="str">
            <v>LP0001DO</v>
          </cell>
          <cell r="X3883" t="str">
            <v>Empaquetado</v>
          </cell>
          <cell r="AC3883">
            <v>9.6080774456521717E-2</v>
          </cell>
          <cell r="AD3883">
            <v>9.6080774456521717E-2</v>
          </cell>
          <cell r="AE3883" t="str">
            <v>Con precio</v>
          </cell>
        </row>
        <row r="3884">
          <cell r="B3884" t="str">
            <v>LP0001DO</v>
          </cell>
          <cell r="X3884" t="str">
            <v>Empaquetado</v>
          </cell>
          <cell r="AC3884">
            <v>0.59068001033057849</v>
          </cell>
          <cell r="AD3884">
            <v>0.59068001033057849</v>
          </cell>
          <cell r="AE3884" t="str">
            <v>Con precio</v>
          </cell>
        </row>
        <row r="3885">
          <cell r="B3885" t="str">
            <v>LP0005DO</v>
          </cell>
          <cell r="X3885" t="str">
            <v>Formulación</v>
          </cell>
          <cell r="AC3885">
            <v>2.2499999999999998E-5</v>
          </cell>
          <cell r="AD3885">
            <v>2.2499999999999998E-5</v>
          </cell>
          <cell r="AE3885" t="str">
            <v>Con precio</v>
          </cell>
        </row>
        <row r="3886">
          <cell r="B3886" t="str">
            <v>LP0005DO</v>
          </cell>
          <cell r="X3886" t="str">
            <v>Formulación</v>
          </cell>
          <cell r="AC3886">
            <v>1.26</v>
          </cell>
          <cell r="AD3886">
            <v>1.26</v>
          </cell>
          <cell r="AE3886" t="str">
            <v>Con precio</v>
          </cell>
        </row>
        <row r="3887">
          <cell r="B3887" t="str">
            <v>LP0005DO</v>
          </cell>
          <cell r="X3887" t="str">
            <v>Empaquetado</v>
          </cell>
          <cell r="AC3887">
            <v>7.7948000000000002E-3</v>
          </cell>
          <cell r="AD3887">
            <v>7.7948000000000002E-3</v>
          </cell>
          <cell r="AE3887" t="str">
            <v>Con precio</v>
          </cell>
        </row>
        <row r="3888">
          <cell r="B3888" t="str">
            <v>LP0005DO</v>
          </cell>
          <cell r="X3888" t="str">
            <v>Empaquetado</v>
          </cell>
          <cell r="AC3888">
            <v>2.5359983896940424E-2</v>
          </cell>
          <cell r="AD3888">
            <v>2.5359983896940424E-2</v>
          </cell>
          <cell r="AE3888" t="str">
            <v>Con precio</v>
          </cell>
        </row>
        <row r="3889">
          <cell r="B3889" t="str">
            <v>LP0005DO</v>
          </cell>
          <cell r="X3889" t="str">
            <v>Empaquetado</v>
          </cell>
          <cell r="AC3889">
            <v>2.5834900000000001E-2</v>
          </cell>
          <cell r="AD3889">
            <v>2.5834900000000001E-2</v>
          </cell>
          <cell r="AE3889" t="str">
            <v>Con precio</v>
          </cell>
        </row>
        <row r="3890">
          <cell r="B3890" t="str">
            <v>LP0005DO</v>
          </cell>
          <cell r="X3890" t="str">
            <v>Empaquetado</v>
          </cell>
          <cell r="AC3890">
            <v>0.17399999999999999</v>
          </cell>
          <cell r="AD3890">
            <v>0.17399999999999999</v>
          </cell>
          <cell r="AE3890" t="str">
            <v>Con precio</v>
          </cell>
        </row>
        <row r="3891">
          <cell r="B3891" t="str">
            <v>LP0005DO</v>
          </cell>
          <cell r="X3891" t="str">
            <v>Empaquetado</v>
          </cell>
          <cell r="AC3891">
            <v>5.7799999999999997E-2</v>
          </cell>
          <cell r="AD3891">
            <v>5.7799999999999997E-2</v>
          </cell>
          <cell r="AE3891" t="str">
            <v>Con precio</v>
          </cell>
        </row>
        <row r="3892">
          <cell r="B3892" t="str">
            <v>LP0005DO</v>
          </cell>
          <cell r="X3892" t="str">
            <v>Empaquetado</v>
          </cell>
          <cell r="AC3892">
            <v>3.6950017630465445E-2</v>
          </cell>
          <cell r="AD3892">
            <v>3.6950017630465445E-2</v>
          </cell>
          <cell r="AE3892" t="str">
            <v>Con precio</v>
          </cell>
        </row>
        <row r="3893">
          <cell r="B3893" t="str">
            <v>MPH0001DO</v>
          </cell>
          <cell r="X3893" t="str">
            <v>Formulación</v>
          </cell>
          <cell r="AC3893">
            <v>0.38849999999999996</v>
          </cell>
          <cell r="AD3893">
            <v>0.38849999999999996</v>
          </cell>
          <cell r="AE3893" t="str">
            <v>Con precio</v>
          </cell>
        </row>
        <row r="3894">
          <cell r="B3894" t="str">
            <v>MPH0001DO</v>
          </cell>
          <cell r="X3894" t="str">
            <v>Formulación</v>
          </cell>
          <cell r="AC3894">
            <v>8.0520000000000001E-3</v>
          </cell>
          <cell r="AD3894">
            <v>8.0520000000000001E-3</v>
          </cell>
          <cell r="AE3894" t="str">
            <v>Con precio</v>
          </cell>
        </row>
        <row r="3895">
          <cell r="B3895" t="str">
            <v>MPH0001DO</v>
          </cell>
          <cell r="X3895" t="str">
            <v>Formulación</v>
          </cell>
          <cell r="AC3895">
            <v>9.5700000000000004E-3</v>
          </cell>
          <cell r="AD3895">
            <v>9.5700000000000004E-3</v>
          </cell>
          <cell r="AE3895" t="str">
            <v>Con precio</v>
          </cell>
        </row>
        <row r="3896">
          <cell r="B3896" t="str">
            <v>MPH0001DO</v>
          </cell>
          <cell r="X3896" t="str">
            <v>Formulación</v>
          </cell>
          <cell r="AC3896">
            <v>1.55E-2</v>
          </cell>
          <cell r="AD3896">
            <v>1.55E-2</v>
          </cell>
          <cell r="AE3896" t="str">
            <v>Con precio</v>
          </cell>
        </row>
        <row r="3897">
          <cell r="B3897" t="str">
            <v>MPH0001DO</v>
          </cell>
          <cell r="X3897" t="str">
            <v>Formulación</v>
          </cell>
          <cell r="AC3897">
            <v>1.1550000000000001E-2</v>
          </cell>
          <cell r="AD3897">
            <v>1.1550000000000001E-2</v>
          </cell>
          <cell r="AE3897" t="str">
            <v>Con precio</v>
          </cell>
        </row>
        <row r="3898">
          <cell r="B3898" t="str">
            <v>MPH0001DO</v>
          </cell>
          <cell r="X3898" t="str">
            <v>Formulación</v>
          </cell>
          <cell r="AC3898">
            <v>0.10400000000000001</v>
          </cell>
          <cell r="AD3898">
            <v>6.4242857142857143E-2</v>
          </cell>
          <cell r="AE3898" t="str">
            <v>Con precio</v>
          </cell>
        </row>
        <row r="3899">
          <cell r="B3899" t="str">
            <v>MPH0001DO</v>
          </cell>
          <cell r="X3899" t="str">
            <v>Empaquetado</v>
          </cell>
          <cell r="AC3899">
            <v>3.0303030303030299E-5</v>
          </cell>
          <cell r="AD3899">
            <v>3.0303030303030299E-5</v>
          </cell>
          <cell r="AE3899" t="str">
            <v>Con precio</v>
          </cell>
        </row>
        <row r="3900">
          <cell r="B3900" t="str">
            <v>MPH0001DO</v>
          </cell>
          <cell r="X3900" t="str">
            <v>Empaquetado</v>
          </cell>
          <cell r="AC3900">
            <v>2.3439393939393937E-2</v>
          </cell>
          <cell r="AD3900">
            <v>2.3439393939393937E-2</v>
          </cell>
          <cell r="AE3900" t="str">
            <v>Con precio</v>
          </cell>
        </row>
        <row r="3901">
          <cell r="B3901" t="str">
            <v>MPH0001DO</v>
          </cell>
          <cell r="X3901" t="str">
            <v>Empaquetado</v>
          </cell>
          <cell r="AC3901">
            <v>7.1917518745739595E-2</v>
          </cell>
          <cell r="AD3901">
            <v>7.1917518745739595E-2</v>
          </cell>
          <cell r="AE3901" t="str">
            <v>Con precio</v>
          </cell>
        </row>
        <row r="3902">
          <cell r="B3902" t="str">
            <v>MPH0001DO</v>
          </cell>
          <cell r="X3902" t="str">
            <v>Empaquetado</v>
          </cell>
          <cell r="AC3902">
            <v>0.44322992424242419</v>
          </cell>
          <cell r="AD3902">
            <v>0.44322992424242419</v>
          </cell>
          <cell r="AE3902" t="str">
            <v>Con precio</v>
          </cell>
        </row>
        <row r="3903">
          <cell r="B3903" t="str">
            <v>MPH0001DO</v>
          </cell>
          <cell r="X3903" t="str">
            <v>Empaquetado</v>
          </cell>
          <cell r="AC3903">
            <v>0.45124999999999998</v>
          </cell>
          <cell r="AD3903">
            <v>0.32061666666666666</v>
          </cell>
          <cell r="AE3903" t="str">
            <v>Con precio</v>
          </cell>
        </row>
        <row r="3904">
          <cell r="B3904" t="str">
            <v>MPH0001DO</v>
          </cell>
          <cell r="X3904" t="str">
            <v>Empaquetado</v>
          </cell>
          <cell r="AC3904">
            <v>9.6080774456521717E-2</v>
          </cell>
          <cell r="AD3904">
            <v>9.6080774456521717E-2</v>
          </cell>
          <cell r="AE3904" t="str">
            <v>Con precio</v>
          </cell>
        </row>
        <row r="3905">
          <cell r="B3905" t="str">
            <v>MPH0005DO</v>
          </cell>
          <cell r="X3905" t="str">
            <v>Formulación</v>
          </cell>
          <cell r="AC3905">
            <v>0.38849999999999996</v>
          </cell>
          <cell r="AD3905">
            <v>0.38849999999999996</v>
          </cell>
          <cell r="AE3905" t="str">
            <v>Con precio</v>
          </cell>
        </row>
        <row r="3906">
          <cell r="B3906" t="str">
            <v>MPH0005DO</v>
          </cell>
          <cell r="X3906" t="str">
            <v>Formulación</v>
          </cell>
          <cell r="AC3906">
            <v>8.0520000000000001E-3</v>
          </cell>
          <cell r="AD3906">
            <v>8.0520000000000001E-3</v>
          </cell>
          <cell r="AE3906" t="str">
            <v>Con precio</v>
          </cell>
        </row>
        <row r="3907">
          <cell r="B3907" t="str">
            <v>MPH0005DO</v>
          </cell>
          <cell r="X3907" t="str">
            <v>Formulación</v>
          </cell>
          <cell r="AC3907">
            <v>9.5700000000000004E-3</v>
          </cell>
          <cell r="AD3907">
            <v>9.5700000000000004E-3</v>
          </cell>
          <cell r="AE3907" t="str">
            <v>Con precio</v>
          </cell>
        </row>
        <row r="3908">
          <cell r="B3908" t="str">
            <v>MPH0005DO</v>
          </cell>
          <cell r="X3908" t="str">
            <v>Formulación</v>
          </cell>
          <cell r="AC3908">
            <v>1.55E-2</v>
          </cell>
          <cell r="AD3908">
            <v>1.55E-2</v>
          </cell>
          <cell r="AE3908" t="str">
            <v>Con precio</v>
          </cell>
        </row>
        <row r="3909">
          <cell r="B3909" t="str">
            <v>MPH0005DO</v>
          </cell>
          <cell r="X3909" t="str">
            <v>Formulación</v>
          </cell>
          <cell r="AC3909">
            <v>1.1550000000000001E-2</v>
          </cell>
          <cell r="AD3909">
            <v>1.1550000000000001E-2</v>
          </cell>
          <cell r="AE3909" t="str">
            <v>Con precio</v>
          </cell>
        </row>
        <row r="3910">
          <cell r="B3910" t="str">
            <v>MPH0005DO</v>
          </cell>
          <cell r="X3910" t="str">
            <v>Formulación</v>
          </cell>
          <cell r="AC3910">
            <v>0.10400000000000001</v>
          </cell>
          <cell r="AD3910">
            <v>6.4242857142857143E-2</v>
          </cell>
          <cell r="AE3910" t="str">
            <v>Con precio</v>
          </cell>
        </row>
        <row r="3911">
          <cell r="B3911" t="str">
            <v>MPH0005DO</v>
          </cell>
          <cell r="X3911" t="str">
            <v>Empaquetado</v>
          </cell>
          <cell r="AC3911">
            <v>7.7948000000000002E-3</v>
          </cell>
          <cell r="AD3911">
            <v>7.7948000000000002E-3</v>
          </cell>
          <cell r="AE3911" t="str">
            <v>Con precio</v>
          </cell>
        </row>
        <row r="3912">
          <cell r="B3912" t="str">
            <v>MPH0005DO</v>
          </cell>
          <cell r="X3912" t="str">
            <v>Empaquetado</v>
          </cell>
          <cell r="AC3912">
            <v>2.5359983896940424E-2</v>
          </cell>
          <cell r="AD3912">
            <v>2.5359983896940424E-2</v>
          </cell>
          <cell r="AE3912" t="str">
            <v>Con precio</v>
          </cell>
        </row>
        <row r="3913">
          <cell r="B3913" t="str">
            <v>MPH0005DO</v>
          </cell>
          <cell r="X3913" t="str">
            <v>Empaquetado</v>
          </cell>
          <cell r="AC3913">
            <v>2.5834900000000001E-2</v>
          </cell>
          <cell r="AD3913">
            <v>2.5834900000000001E-2</v>
          </cell>
          <cell r="AE3913" t="str">
            <v>Con precio</v>
          </cell>
        </row>
        <row r="3914">
          <cell r="B3914" t="str">
            <v>MPH0005DO</v>
          </cell>
          <cell r="X3914" t="str">
            <v>Empaquetado</v>
          </cell>
          <cell r="AC3914">
            <v>0.17399999999999999</v>
          </cell>
          <cell r="AD3914">
            <v>0.17399999999999999</v>
          </cell>
          <cell r="AE3914" t="str">
            <v>Con precio</v>
          </cell>
        </row>
        <row r="3915">
          <cell r="B3915" t="str">
            <v>MPH0005DO</v>
          </cell>
          <cell r="X3915" t="str">
            <v>Empaquetado</v>
          </cell>
          <cell r="AC3915">
            <v>5.7799999999999997E-2</v>
          </cell>
          <cell r="AD3915">
            <v>5.7799999999999997E-2</v>
          </cell>
          <cell r="AE3915" t="str">
            <v>Con precio</v>
          </cell>
        </row>
        <row r="3916">
          <cell r="B3916" t="str">
            <v>MPH0005DO</v>
          </cell>
          <cell r="X3916" t="str">
            <v>Empaquetado</v>
          </cell>
          <cell r="AC3916">
            <v>3.6950017630465445E-2</v>
          </cell>
          <cell r="AD3916">
            <v>3.6950017630465445E-2</v>
          </cell>
          <cell r="AE3916" t="str">
            <v>Con precio</v>
          </cell>
        </row>
        <row r="3917">
          <cell r="B3917" t="str">
            <v>N0001</v>
          </cell>
          <cell r="X3917" t="str">
            <v>Formulación</v>
          </cell>
          <cell r="AC3917">
            <v>5.1520000000000003E-2</v>
          </cell>
          <cell r="AD3917">
            <v>4.9840000000000002E-2</v>
          </cell>
          <cell r="AE3917" t="str">
            <v>Con precio</v>
          </cell>
        </row>
        <row r="3918">
          <cell r="B3918" t="str">
            <v>N0001</v>
          </cell>
          <cell r="X3918" t="str">
            <v>Formulación</v>
          </cell>
          <cell r="AC3918">
            <v>2.6307000000000001E-2</v>
          </cell>
          <cell r="AD3918">
            <v>2.6307000000000001E-2</v>
          </cell>
          <cell r="AE3918" t="str">
            <v>Con precio</v>
          </cell>
        </row>
        <row r="3919">
          <cell r="B3919" t="str">
            <v>N0001</v>
          </cell>
          <cell r="X3919" t="str">
            <v>Formulación</v>
          </cell>
          <cell r="AC3919">
            <v>0.14249999999999999</v>
          </cell>
          <cell r="AD3919">
            <v>0.11666666666666665</v>
          </cell>
          <cell r="AE3919" t="str">
            <v>Con precio</v>
          </cell>
        </row>
        <row r="3920">
          <cell r="B3920" t="str">
            <v>N0001</v>
          </cell>
          <cell r="X3920" t="str">
            <v>Formulación</v>
          </cell>
          <cell r="AC3920">
            <v>7.0579000000000003E-2</v>
          </cell>
          <cell r="AD3920">
            <v>7.0579000000000003E-2</v>
          </cell>
          <cell r="AE3920" t="str">
            <v>Con precio</v>
          </cell>
        </row>
        <row r="3921">
          <cell r="B3921" t="str">
            <v>N0001</v>
          </cell>
          <cell r="X3921" t="str">
            <v>Formulación</v>
          </cell>
          <cell r="AC3921">
            <v>0.11867999999999998</v>
          </cell>
          <cell r="AD3921">
            <v>9.746666666666666E-2</v>
          </cell>
          <cell r="AE3921" t="str">
            <v>Con precio</v>
          </cell>
        </row>
        <row r="3922">
          <cell r="B3922" t="str">
            <v>N0001</v>
          </cell>
          <cell r="X3922" t="str">
            <v>Formulación</v>
          </cell>
          <cell r="AC3922">
            <v>9.7599999999999996E-3</v>
          </cell>
          <cell r="AD3922">
            <v>9.7599999999999996E-3</v>
          </cell>
          <cell r="AE3922" t="str">
            <v>Con precio</v>
          </cell>
        </row>
        <row r="3923">
          <cell r="B3923" t="str">
            <v>N0001</v>
          </cell>
          <cell r="X3923" t="str">
            <v>Formulación</v>
          </cell>
          <cell r="AC3923">
            <v>0.30673499999999998</v>
          </cell>
          <cell r="AD3923">
            <v>0.2717</v>
          </cell>
          <cell r="AE3923" t="str">
            <v>Con precio</v>
          </cell>
        </row>
        <row r="3924">
          <cell r="B3924" t="str">
            <v>N0001</v>
          </cell>
          <cell r="X3924" t="str">
            <v>Empaquetado</v>
          </cell>
          <cell r="AC3924">
            <v>3.0303030303030299E-5</v>
          </cell>
          <cell r="AD3924">
            <v>3.0303030303030299E-5</v>
          </cell>
          <cell r="AE3924" t="str">
            <v>Con precio</v>
          </cell>
        </row>
        <row r="3925">
          <cell r="B3925" t="str">
            <v>N0001</v>
          </cell>
          <cell r="X3925" t="str">
            <v>Empaquetado</v>
          </cell>
          <cell r="AC3925">
            <v>2.3439393939393937E-2</v>
          </cell>
          <cell r="AD3925">
            <v>2.3439393939393937E-2</v>
          </cell>
          <cell r="AE3925" t="str">
            <v>Con precio</v>
          </cell>
        </row>
        <row r="3926">
          <cell r="B3926" t="str">
            <v>N0001</v>
          </cell>
          <cell r="X3926" t="str">
            <v>Empaquetado</v>
          </cell>
          <cell r="AC3926">
            <v>7.1917518745739595E-2</v>
          </cell>
          <cell r="AD3926">
            <v>7.1917518745739595E-2</v>
          </cell>
          <cell r="AE3926" t="str">
            <v>Con precio</v>
          </cell>
        </row>
        <row r="3927">
          <cell r="B3927" t="str">
            <v>N0001</v>
          </cell>
          <cell r="X3927" t="str">
            <v>Empaquetado</v>
          </cell>
          <cell r="AC3927">
            <v>0.44322992424242419</v>
          </cell>
          <cell r="AD3927">
            <v>0.44322992424242419</v>
          </cell>
          <cell r="AE3927" t="str">
            <v>Con precio</v>
          </cell>
        </row>
        <row r="3928">
          <cell r="B3928" t="str">
            <v>N0001</v>
          </cell>
          <cell r="X3928" t="str">
            <v>Empaquetado</v>
          </cell>
          <cell r="AC3928">
            <v>0.11874999999999999</v>
          </cell>
          <cell r="AD3928">
            <v>0.11874999999999999</v>
          </cell>
          <cell r="AE3928" t="str">
            <v>Con precio</v>
          </cell>
        </row>
        <row r="3929">
          <cell r="B3929" t="str">
            <v>N0001</v>
          </cell>
          <cell r="X3929" t="str">
            <v>Empaquetado</v>
          </cell>
          <cell r="AC3929">
            <v>9.6080774456521717E-2</v>
          </cell>
          <cell r="AD3929">
            <v>9.6080774456521717E-2</v>
          </cell>
          <cell r="AE3929" t="str">
            <v>Con precio</v>
          </cell>
        </row>
        <row r="3930">
          <cell r="B3930" t="str">
            <v>N0005</v>
          </cell>
          <cell r="X3930" t="str">
            <v>Formulación</v>
          </cell>
          <cell r="AC3930">
            <v>5.1520000000000003E-2</v>
          </cell>
          <cell r="AD3930">
            <v>4.9840000000000002E-2</v>
          </cell>
          <cell r="AE3930" t="str">
            <v>Con precio</v>
          </cell>
        </row>
        <row r="3931">
          <cell r="B3931" t="str">
            <v>N0005</v>
          </cell>
          <cell r="X3931" t="str">
            <v>Formulación</v>
          </cell>
          <cell r="AC3931">
            <v>2.6307000000000001E-2</v>
          </cell>
          <cell r="AD3931">
            <v>2.6307000000000001E-2</v>
          </cell>
          <cell r="AE3931" t="str">
            <v>Con precio</v>
          </cell>
        </row>
        <row r="3932">
          <cell r="B3932" t="str">
            <v>N0005</v>
          </cell>
          <cell r="X3932" t="str">
            <v>Formulación</v>
          </cell>
          <cell r="AC3932">
            <v>0.14249999999999999</v>
          </cell>
          <cell r="AD3932">
            <v>0.11666666666666665</v>
          </cell>
          <cell r="AE3932" t="str">
            <v>Con precio</v>
          </cell>
        </row>
        <row r="3933">
          <cell r="B3933" t="str">
            <v>N0005</v>
          </cell>
          <cell r="X3933" t="str">
            <v>Formulación</v>
          </cell>
          <cell r="AC3933">
            <v>7.0579000000000003E-2</v>
          </cell>
          <cell r="AD3933">
            <v>7.0579000000000003E-2</v>
          </cell>
          <cell r="AE3933" t="str">
            <v>Con precio</v>
          </cell>
        </row>
        <row r="3934">
          <cell r="B3934" t="str">
            <v>N0005</v>
          </cell>
          <cell r="X3934" t="str">
            <v>Formulación</v>
          </cell>
          <cell r="AC3934">
            <v>0.11867999999999998</v>
          </cell>
          <cell r="AD3934">
            <v>9.746666666666666E-2</v>
          </cell>
          <cell r="AE3934" t="str">
            <v>Con precio</v>
          </cell>
        </row>
        <row r="3935">
          <cell r="B3935" t="str">
            <v>N0005</v>
          </cell>
          <cell r="X3935" t="str">
            <v>Formulación</v>
          </cell>
          <cell r="AC3935">
            <v>9.7599999999999996E-3</v>
          </cell>
          <cell r="AD3935">
            <v>9.7599999999999996E-3</v>
          </cell>
          <cell r="AE3935" t="str">
            <v>Con precio</v>
          </cell>
        </row>
        <row r="3936">
          <cell r="B3936" t="str">
            <v>N0005</v>
          </cell>
          <cell r="X3936" t="str">
            <v>Formulación</v>
          </cell>
          <cell r="AC3936">
            <v>0.30673499999999998</v>
          </cell>
          <cell r="AD3936">
            <v>0.2717</v>
          </cell>
          <cell r="AE3936" t="str">
            <v>Con precio</v>
          </cell>
        </row>
        <row r="3937">
          <cell r="B3937" t="str">
            <v>N0005</v>
          </cell>
          <cell r="X3937" t="str">
            <v>Empaquetado</v>
          </cell>
          <cell r="AC3937">
            <v>1.2991333333333337E-2</v>
          </cell>
          <cell r="AD3937">
            <v>1.2991333333333337E-2</v>
          </cell>
          <cell r="AE3937" t="str">
            <v>Con precio</v>
          </cell>
        </row>
        <row r="3938">
          <cell r="B3938" t="str">
            <v>N0005</v>
          </cell>
          <cell r="X3938" t="str">
            <v>Empaquetado</v>
          </cell>
          <cell r="AC3938">
            <v>2.5783333333333339E-2</v>
          </cell>
          <cell r="AD3938">
            <v>2.5783333333333339E-2</v>
          </cell>
          <cell r="AE3938" t="str">
            <v>Con precio</v>
          </cell>
        </row>
        <row r="3939">
          <cell r="B3939" t="str">
            <v>N0005</v>
          </cell>
          <cell r="X3939" t="str">
            <v>Empaquetado</v>
          </cell>
          <cell r="AC3939">
            <v>2.5359983896940424E-2</v>
          </cell>
          <cell r="AD3939">
            <v>2.5359983896940424E-2</v>
          </cell>
          <cell r="AE3939" t="str">
            <v>Con precio</v>
          </cell>
        </row>
        <row r="3940">
          <cell r="B3940" t="str">
            <v>N0005</v>
          </cell>
          <cell r="X3940" t="str">
            <v>Empaquetado</v>
          </cell>
          <cell r="AC3940">
            <v>0.17399999999999999</v>
          </cell>
          <cell r="AD3940">
            <v>0.17399999999999999</v>
          </cell>
          <cell r="AE3940" t="str">
            <v>Con precio</v>
          </cell>
        </row>
        <row r="3941">
          <cell r="B3941" t="str">
            <v>N0005</v>
          </cell>
          <cell r="X3941" t="str">
            <v>Empaquetado</v>
          </cell>
          <cell r="AC3941">
            <v>5.7799999999999997E-2</v>
          </cell>
          <cell r="AD3941">
            <v>5.7799999999999997E-2</v>
          </cell>
          <cell r="AE3941" t="str">
            <v>Con precio</v>
          </cell>
        </row>
        <row r="3942">
          <cell r="B3942" t="str">
            <v>N0005</v>
          </cell>
          <cell r="X3942" t="str">
            <v>Empaquetado</v>
          </cell>
          <cell r="AC3942">
            <v>3.6950017630465445E-2</v>
          </cell>
          <cell r="AD3942">
            <v>3.6950017630465445E-2</v>
          </cell>
          <cell r="AE3942" t="str">
            <v>Con precio</v>
          </cell>
        </row>
        <row r="3943">
          <cell r="B3943" t="str">
            <v>N0020</v>
          </cell>
          <cell r="X3943" t="str">
            <v>Formulación</v>
          </cell>
          <cell r="AC3943">
            <v>5.1520000000000003E-2</v>
          </cell>
          <cell r="AD3943">
            <v>4.9840000000000002E-2</v>
          </cell>
          <cell r="AE3943" t="str">
            <v>Con precio</v>
          </cell>
        </row>
        <row r="3944">
          <cell r="B3944" t="str">
            <v>N0020</v>
          </cell>
          <cell r="X3944" t="str">
            <v>Formulación</v>
          </cell>
          <cell r="AC3944">
            <v>2.6307000000000001E-2</v>
          </cell>
          <cell r="AD3944">
            <v>2.6307000000000001E-2</v>
          </cell>
          <cell r="AE3944" t="str">
            <v>Con precio</v>
          </cell>
        </row>
        <row r="3945">
          <cell r="B3945" t="str">
            <v>N0020</v>
          </cell>
          <cell r="X3945" t="str">
            <v>Formulación</v>
          </cell>
          <cell r="AC3945">
            <v>0.14249999999999999</v>
          </cell>
          <cell r="AD3945">
            <v>0.11666666666666665</v>
          </cell>
          <cell r="AE3945" t="str">
            <v>Con precio</v>
          </cell>
        </row>
        <row r="3946">
          <cell r="B3946" t="str">
            <v>N0020</v>
          </cell>
          <cell r="X3946" t="str">
            <v>Formulación</v>
          </cell>
          <cell r="AC3946">
            <v>7.0579000000000003E-2</v>
          </cell>
          <cell r="AD3946">
            <v>7.0579000000000003E-2</v>
          </cell>
          <cell r="AE3946" t="str">
            <v>Con precio</v>
          </cell>
        </row>
        <row r="3947">
          <cell r="B3947" t="str">
            <v>N0020</v>
          </cell>
          <cell r="X3947" t="str">
            <v>Formulación</v>
          </cell>
          <cell r="AC3947">
            <v>0.11867999999999998</v>
          </cell>
          <cell r="AD3947">
            <v>9.746666666666666E-2</v>
          </cell>
          <cell r="AE3947" t="str">
            <v>Con precio</v>
          </cell>
        </row>
        <row r="3948">
          <cell r="B3948" t="str">
            <v>N0020</v>
          </cell>
          <cell r="X3948" t="str">
            <v>Formulación</v>
          </cell>
          <cell r="AC3948">
            <v>9.7599999999999996E-3</v>
          </cell>
          <cell r="AD3948">
            <v>9.7599999999999996E-3</v>
          </cell>
          <cell r="AE3948" t="str">
            <v>Con precio</v>
          </cell>
        </row>
        <row r="3949">
          <cell r="B3949" t="str">
            <v>N0020</v>
          </cell>
          <cell r="X3949" t="str">
            <v>Formulación</v>
          </cell>
          <cell r="AC3949">
            <v>0.30673499999999998</v>
          </cell>
          <cell r="AD3949">
            <v>0.2717</v>
          </cell>
          <cell r="AE3949" t="str">
            <v>Con precio</v>
          </cell>
        </row>
        <row r="3950">
          <cell r="B3950" t="str">
            <v>N0020</v>
          </cell>
          <cell r="X3950" t="str">
            <v>Empaquetado</v>
          </cell>
          <cell r="AC3950">
            <v>7.3209374999999993E-3</v>
          </cell>
          <cell r="AD3950">
            <v>7.3209374999999993E-3</v>
          </cell>
          <cell r="AE3950" t="str">
            <v>Con precio</v>
          </cell>
        </row>
        <row r="3951">
          <cell r="B3951" t="str">
            <v>N0020</v>
          </cell>
          <cell r="X3951" t="str">
            <v>Empaquetado</v>
          </cell>
          <cell r="AC3951">
            <v>2.4171875000000002E-2</v>
          </cell>
          <cell r="AD3951">
            <v>2.4171875000000002E-2</v>
          </cell>
          <cell r="AE3951" t="str">
            <v>Con precio</v>
          </cell>
        </row>
        <row r="3952">
          <cell r="B3952" t="str">
            <v>N0020</v>
          </cell>
          <cell r="X3952" t="str">
            <v>Empaquetado</v>
          </cell>
          <cell r="AC3952">
            <v>5.0719967793880849E-3</v>
          </cell>
          <cell r="AD3952">
            <v>5.0719967793880849E-3</v>
          </cell>
          <cell r="AE3952" t="str">
            <v>Con precio</v>
          </cell>
        </row>
        <row r="3953">
          <cell r="B3953" t="str">
            <v>N0020</v>
          </cell>
          <cell r="X3953" t="str">
            <v>Empaquetado</v>
          </cell>
          <cell r="AC3953">
            <v>0.18266505681818179</v>
          </cell>
          <cell r="AD3953">
            <v>0.18266505681818179</v>
          </cell>
          <cell r="AE3953" t="str">
            <v>Con precio</v>
          </cell>
        </row>
        <row r="3954">
          <cell r="B3954" t="str">
            <v>N0020</v>
          </cell>
          <cell r="X3954" t="str">
            <v>Empaquetado</v>
          </cell>
          <cell r="AC3954">
            <v>2.4035031847133761E-2</v>
          </cell>
          <cell r="AD3954">
            <v>2.4035031847133761E-2</v>
          </cell>
          <cell r="AE3954" t="str">
            <v>Con precio</v>
          </cell>
        </row>
        <row r="3955">
          <cell r="B3955" t="str">
            <v>N0200</v>
          </cell>
          <cell r="X3955" t="str">
            <v>Formulación</v>
          </cell>
          <cell r="AC3955">
            <v>5.1520000000000003E-2</v>
          </cell>
          <cell r="AD3955">
            <v>4.9840000000000002E-2</v>
          </cell>
          <cell r="AE3955" t="str">
            <v>Con precio</v>
          </cell>
        </row>
        <row r="3956">
          <cell r="B3956" t="str">
            <v>N0200</v>
          </cell>
          <cell r="X3956" t="str">
            <v>Formulación</v>
          </cell>
          <cell r="AC3956">
            <v>2.6307000000000001E-2</v>
          </cell>
          <cell r="AD3956">
            <v>2.6307000000000001E-2</v>
          </cell>
          <cell r="AE3956" t="str">
            <v>Con precio</v>
          </cell>
        </row>
        <row r="3957">
          <cell r="B3957" t="str">
            <v>N0200</v>
          </cell>
          <cell r="X3957" t="str">
            <v>Formulación</v>
          </cell>
          <cell r="AC3957">
            <v>0.14249999999999999</v>
          </cell>
          <cell r="AD3957">
            <v>0.11666666666666665</v>
          </cell>
          <cell r="AE3957" t="str">
            <v>Con precio</v>
          </cell>
        </row>
        <row r="3958">
          <cell r="B3958" t="str">
            <v>N0200</v>
          </cell>
          <cell r="X3958" t="str">
            <v>Formulación</v>
          </cell>
          <cell r="AC3958">
            <v>7.0579000000000003E-2</v>
          </cell>
          <cell r="AD3958">
            <v>7.0579000000000003E-2</v>
          </cell>
          <cell r="AE3958" t="str">
            <v>Con precio</v>
          </cell>
        </row>
        <row r="3959">
          <cell r="B3959" t="str">
            <v>N0200</v>
          </cell>
          <cell r="X3959" t="str">
            <v>Formulación</v>
          </cell>
          <cell r="AC3959">
            <v>0.11867999999999998</v>
          </cell>
          <cell r="AD3959">
            <v>9.746666666666666E-2</v>
          </cell>
          <cell r="AE3959" t="str">
            <v>Con precio</v>
          </cell>
        </row>
        <row r="3960">
          <cell r="B3960" t="str">
            <v>N0200</v>
          </cell>
          <cell r="X3960" t="str">
            <v>Formulación</v>
          </cell>
          <cell r="AC3960">
            <v>9.7599999999999996E-3</v>
          </cell>
          <cell r="AD3960">
            <v>9.7599999999999996E-3</v>
          </cell>
          <cell r="AE3960" t="str">
            <v>Con precio</v>
          </cell>
        </row>
        <row r="3961">
          <cell r="B3961" t="str">
            <v>N0200</v>
          </cell>
          <cell r="X3961" t="str">
            <v>Formulación</v>
          </cell>
          <cell r="AC3961">
            <v>0.30673499999999998</v>
          </cell>
          <cell r="AD3961">
            <v>0.2717</v>
          </cell>
          <cell r="AE3961" t="str">
            <v>Con precio</v>
          </cell>
        </row>
        <row r="3962">
          <cell r="B3962" t="str">
            <v>N0200</v>
          </cell>
          <cell r="X3962" t="str">
            <v>Empaquetado</v>
          </cell>
          <cell r="AC3962">
            <v>5.0719967793880845E-4</v>
          </cell>
          <cell r="AD3962">
            <v>5.0719967793880845E-4</v>
          </cell>
          <cell r="AE3962" t="str">
            <v>Con precio</v>
          </cell>
        </row>
        <row r="3963">
          <cell r="B3963" t="str">
            <v>N0200</v>
          </cell>
          <cell r="X3963" t="str">
            <v>Empaquetado</v>
          </cell>
          <cell r="AC3963">
            <v>2.1875000000000002E-3</v>
          </cell>
          <cell r="AD3963">
            <v>2.1875000000000002E-3</v>
          </cell>
          <cell r="AE3963" t="str">
            <v>Con precio</v>
          </cell>
        </row>
        <row r="3964">
          <cell r="B3964" t="str">
            <v>N0200</v>
          </cell>
          <cell r="X3964" t="str">
            <v>Empaquetado</v>
          </cell>
          <cell r="AC3964">
            <v>0.16730511363636363</v>
          </cell>
          <cell r="AD3964">
            <v>0.16730511363636363</v>
          </cell>
          <cell r="AE3964" t="str">
            <v>Con precio</v>
          </cell>
        </row>
        <row r="3965">
          <cell r="B3965" t="str">
            <v>N0200</v>
          </cell>
          <cell r="X3965" t="str">
            <v>Empaquetado</v>
          </cell>
          <cell r="AC3965">
            <v>1.9337500000000001E-2</v>
          </cell>
          <cell r="AD3965">
            <v>1.9337500000000001E-2</v>
          </cell>
          <cell r="AE3965" t="str">
            <v>Con precio</v>
          </cell>
        </row>
        <row r="3966">
          <cell r="B3966" t="str">
            <v>N0200</v>
          </cell>
          <cell r="X3966" t="str">
            <v>Empaquetado</v>
          </cell>
          <cell r="AC3966">
            <v>3.4999999999999996E-3</v>
          </cell>
          <cell r="AD3966">
            <v>3.4999999999999996E-3</v>
          </cell>
          <cell r="AE3966" t="str">
            <v>Con precio</v>
          </cell>
        </row>
        <row r="3967">
          <cell r="B3967" t="str">
            <v>N0200</v>
          </cell>
          <cell r="X3967" t="str">
            <v>Empaquetado</v>
          </cell>
          <cell r="AC3967">
            <v>2.2500000000000003E-3</v>
          </cell>
          <cell r="AD3967">
            <v>2.2500000000000003E-3</v>
          </cell>
          <cell r="AE3967" t="str">
            <v>Con precio</v>
          </cell>
        </row>
        <row r="3968">
          <cell r="B3968" t="str">
            <v>NB1000CR</v>
          </cell>
          <cell r="X3968" t="str">
            <v>Formulación</v>
          </cell>
          <cell r="AC3968">
            <v>1.204E-2</v>
          </cell>
          <cell r="AD3968">
            <v>9.0019999999999996E-3</v>
          </cell>
          <cell r="AE3968" t="str">
            <v>Con precio</v>
          </cell>
        </row>
        <row r="3969">
          <cell r="B3969" t="str">
            <v>NB1000CR</v>
          </cell>
          <cell r="X3969" t="str">
            <v>Formulación</v>
          </cell>
          <cell r="AC3969">
            <v>2.1910599999999998</v>
          </cell>
          <cell r="AD3969">
            <v>1.5218342857142859</v>
          </cell>
          <cell r="AE3969" t="str">
            <v>Con precio</v>
          </cell>
        </row>
        <row r="3970">
          <cell r="B3970" t="str">
            <v>NB1000CR</v>
          </cell>
          <cell r="X3970" t="str">
            <v>Formulación</v>
          </cell>
          <cell r="AC3970">
            <v>2.5760000000000002E-2</v>
          </cell>
          <cell r="AD3970">
            <v>2.4920000000000001E-2</v>
          </cell>
          <cell r="AE3970" t="str">
            <v>Con precio</v>
          </cell>
        </row>
        <row r="3971">
          <cell r="B3971" t="str">
            <v>NB1000CR</v>
          </cell>
          <cell r="X3971" t="str">
            <v>Formulación</v>
          </cell>
          <cell r="AC3971">
            <v>0.57303999999999999</v>
          </cell>
          <cell r="AD3971">
            <v>0.50079249999999997</v>
          </cell>
          <cell r="AE3971" t="str">
            <v>Con precio</v>
          </cell>
        </row>
        <row r="3972">
          <cell r="B3972" t="str">
            <v>NB1000CR</v>
          </cell>
          <cell r="X3972" t="str">
            <v>Formulación</v>
          </cell>
          <cell r="AC3972">
            <v>0.68587000000000009</v>
          </cell>
          <cell r="AD3972">
            <v>0.57690000000000008</v>
          </cell>
          <cell r="AE3972" t="str">
            <v>Con precio</v>
          </cell>
        </row>
        <row r="3973">
          <cell r="B3973" t="str">
            <v>NB1000CR</v>
          </cell>
          <cell r="X3973" t="str">
            <v>Formulación</v>
          </cell>
          <cell r="AC3973">
            <v>0.15855</v>
          </cell>
          <cell r="AD3973">
            <v>0.124845</v>
          </cell>
          <cell r="AE3973" t="str">
            <v>Con precio</v>
          </cell>
        </row>
        <row r="3974">
          <cell r="B3974" t="str">
            <v>NB1000CR</v>
          </cell>
          <cell r="X3974" t="str">
            <v>Empaquetado</v>
          </cell>
          <cell r="AC3974">
            <v>0.11700000000000001</v>
          </cell>
          <cell r="AD3974">
            <v>0.11700000000000001</v>
          </cell>
          <cell r="AE3974" t="str">
            <v>Con precio</v>
          </cell>
        </row>
        <row r="3975">
          <cell r="B3975" t="str">
            <v>NB1000CR</v>
          </cell>
          <cell r="X3975" t="str">
            <v>Empaquetado</v>
          </cell>
          <cell r="AC3975">
            <v>1.014399355877617E-4</v>
          </cell>
          <cell r="AD3975">
            <v>1.014399355877617E-4</v>
          </cell>
          <cell r="AE3975" t="str">
            <v>Con precio</v>
          </cell>
        </row>
        <row r="3976">
          <cell r="B3976" t="str">
            <v>NI0005MA</v>
          </cell>
          <cell r="X3976" t="str">
            <v>Formulación</v>
          </cell>
          <cell r="AC3976">
            <v>0.35607</v>
          </cell>
          <cell r="AD3976">
            <v>0.31540000000000001</v>
          </cell>
          <cell r="AE3976" t="str">
            <v>Con precio</v>
          </cell>
        </row>
        <row r="3977">
          <cell r="B3977" t="str">
            <v>NI0005MA</v>
          </cell>
          <cell r="X3977" t="str">
            <v>Formulación</v>
          </cell>
          <cell r="AC3977">
            <v>2.8124999999999997E-2</v>
          </cell>
          <cell r="AD3977">
            <v>2.8124999999999997E-2</v>
          </cell>
          <cell r="AE3977" t="str">
            <v>Con precio</v>
          </cell>
        </row>
        <row r="3978">
          <cell r="B3978" t="str">
            <v>NI0005MA</v>
          </cell>
          <cell r="X3978" t="str">
            <v>Formulación</v>
          </cell>
          <cell r="AC3978">
            <v>1.1040000000000001E-2</v>
          </cell>
          <cell r="AD3978">
            <v>1.068E-2</v>
          </cell>
          <cell r="AE3978" t="str">
            <v>Con precio</v>
          </cell>
        </row>
        <row r="3979">
          <cell r="B3979" t="str">
            <v>NI0005MA</v>
          </cell>
          <cell r="X3979" t="str">
            <v>Formulación</v>
          </cell>
          <cell r="AC3979">
            <v>9.9900000000000003E-2</v>
          </cell>
          <cell r="AD3979">
            <v>9.9900000000000003E-2</v>
          </cell>
          <cell r="AE3979" t="str">
            <v>Con precio</v>
          </cell>
        </row>
        <row r="3980">
          <cell r="B3980" t="str">
            <v>NI0005MA</v>
          </cell>
          <cell r="X3980" t="str">
            <v>Formulación</v>
          </cell>
          <cell r="AC3980">
            <v>9.7599999999999996E-3</v>
          </cell>
          <cell r="AD3980">
            <v>9.7599999999999996E-3</v>
          </cell>
          <cell r="AE3980" t="str">
            <v>Con precio</v>
          </cell>
        </row>
        <row r="3981">
          <cell r="B3981" t="str">
            <v>NI0005MA</v>
          </cell>
          <cell r="X3981" t="str">
            <v>Formulación</v>
          </cell>
          <cell r="AC3981">
            <v>1.5200000000000001E-3</v>
          </cell>
          <cell r="AD3981">
            <v>1.5200000000000001E-3</v>
          </cell>
          <cell r="AE3981" t="str">
            <v>Con precio</v>
          </cell>
        </row>
        <row r="3982">
          <cell r="B3982" t="str">
            <v>NI0005MA</v>
          </cell>
          <cell r="X3982" t="str">
            <v>Formulación</v>
          </cell>
          <cell r="AC3982">
            <v>2.0000000000000004E-2</v>
          </cell>
          <cell r="AD3982">
            <v>1.9375000000000003E-2</v>
          </cell>
          <cell r="AE3982" t="str">
            <v>Con precio</v>
          </cell>
        </row>
        <row r="3983">
          <cell r="B3983" t="str">
            <v>NI0005MA</v>
          </cell>
          <cell r="X3983" t="str">
            <v>Empaquetado</v>
          </cell>
          <cell r="AC3983">
            <v>1.3017316000000001E-2</v>
          </cell>
          <cell r="AD3983">
            <v>1.3017316000000001E-2</v>
          </cell>
          <cell r="AE3983" t="str">
            <v>Con precio</v>
          </cell>
        </row>
        <row r="3984">
          <cell r="B3984" t="str">
            <v>NI0005MA</v>
          </cell>
          <cell r="X3984" t="str">
            <v>Empaquetado</v>
          </cell>
          <cell r="AC3984">
            <v>2.5359983896940424E-2</v>
          </cell>
          <cell r="AD3984">
            <v>2.5359983896940424E-2</v>
          </cell>
          <cell r="AE3984" t="str">
            <v>Con precio</v>
          </cell>
        </row>
        <row r="3985">
          <cell r="B3985" t="str">
            <v>NI0005MA</v>
          </cell>
          <cell r="X3985" t="str">
            <v>Empaquetado</v>
          </cell>
          <cell r="AC3985">
            <v>2.5834900000000001E-2</v>
          </cell>
          <cell r="AD3985">
            <v>2.5834900000000001E-2</v>
          </cell>
          <cell r="AE3985" t="str">
            <v>Con precio</v>
          </cell>
        </row>
        <row r="3986">
          <cell r="B3986" t="str">
            <v>NI0005MA</v>
          </cell>
          <cell r="X3986" t="str">
            <v>Empaquetado</v>
          </cell>
          <cell r="AC3986">
            <v>0.17399999999999999</v>
          </cell>
          <cell r="AD3986">
            <v>0.17399999999999999</v>
          </cell>
          <cell r="AE3986" t="str">
            <v>Con precio</v>
          </cell>
        </row>
        <row r="3987">
          <cell r="B3987" t="str">
            <v>NI0005MA</v>
          </cell>
          <cell r="X3987" t="str">
            <v>Empaquetado</v>
          </cell>
          <cell r="AC3987">
            <v>4.0000000000000008E-2</v>
          </cell>
          <cell r="AD3987">
            <v>4.0000000000000008E-2</v>
          </cell>
          <cell r="AE3987" t="str">
            <v>Con precio</v>
          </cell>
        </row>
        <row r="3988">
          <cell r="B3988" t="str">
            <v>NI0005MA</v>
          </cell>
          <cell r="X3988" t="str">
            <v>Empaquetado</v>
          </cell>
          <cell r="AC3988">
            <v>3.6950017630465445E-2</v>
          </cell>
          <cell r="AD3988">
            <v>3.6950017630465445E-2</v>
          </cell>
          <cell r="AE3988" t="str">
            <v>Con precio</v>
          </cell>
        </row>
        <row r="3989">
          <cell r="B3989" t="str">
            <v>P-5X0005</v>
          </cell>
          <cell r="X3989" t="str">
            <v>Formulación</v>
          </cell>
          <cell r="AC3989">
            <v>4.8799999999999998E-3</v>
          </cell>
          <cell r="AD3989">
            <v>4.8799999999999998E-3</v>
          </cell>
          <cell r="AE3989" t="str">
            <v>Con precio</v>
          </cell>
        </row>
        <row r="3990">
          <cell r="B3990" t="str">
            <v>P-5X0005</v>
          </cell>
          <cell r="X3990" t="str">
            <v>Formulación</v>
          </cell>
          <cell r="AC3990">
            <v>3.8000000000000006E-2</v>
          </cell>
          <cell r="AD3990">
            <v>3.8000000000000006E-2</v>
          </cell>
          <cell r="AE3990" t="str">
            <v>Con precio</v>
          </cell>
        </row>
        <row r="3991">
          <cell r="B3991" t="str">
            <v>P-5X0005</v>
          </cell>
          <cell r="X3991" t="str">
            <v>Formulación</v>
          </cell>
          <cell r="AC3991">
            <v>0.14580000000000001</v>
          </cell>
          <cell r="AD3991">
            <v>9.889714285714285E-2</v>
          </cell>
          <cell r="AE3991" t="str">
            <v>Con precio</v>
          </cell>
        </row>
        <row r="3992">
          <cell r="B3992" t="str">
            <v>P-5X0005</v>
          </cell>
          <cell r="X3992" t="str">
            <v>Formulación</v>
          </cell>
          <cell r="AC3992">
            <v>3.3119999999999997E-2</v>
          </cell>
          <cell r="AD3992">
            <v>3.2039999999999999E-2</v>
          </cell>
          <cell r="AE3992" t="str">
            <v>Con precio</v>
          </cell>
        </row>
        <row r="3993">
          <cell r="B3993" t="str">
            <v>P-5X0005</v>
          </cell>
          <cell r="X3993" t="str">
            <v>Formulación</v>
          </cell>
          <cell r="AC3993">
            <v>1.1655E-2</v>
          </cell>
          <cell r="AD3993">
            <v>1.0406666666666666E-2</v>
          </cell>
          <cell r="AE3993" t="str">
            <v>Con precio</v>
          </cell>
        </row>
        <row r="3994">
          <cell r="B3994" t="str">
            <v>P-5X0005</v>
          </cell>
          <cell r="X3994" t="str">
            <v>Formulación</v>
          </cell>
          <cell r="AC3994">
            <v>0.20992000000000002</v>
          </cell>
          <cell r="AD3994">
            <v>0.20992000000000002</v>
          </cell>
          <cell r="AE3994" t="str">
            <v>Con precio</v>
          </cell>
        </row>
        <row r="3995">
          <cell r="B3995" t="str">
            <v>P-5X0005</v>
          </cell>
          <cell r="X3995" t="str">
            <v>Formulación</v>
          </cell>
          <cell r="AC3995">
            <v>7.8750000000000001E-2</v>
          </cell>
          <cell r="AD3995">
            <v>7.8750000000000001E-2</v>
          </cell>
          <cell r="AE3995" t="str">
            <v>Con precio</v>
          </cell>
        </row>
        <row r="3996">
          <cell r="B3996" t="str">
            <v>P-5X0005</v>
          </cell>
          <cell r="X3996" t="str">
            <v>Formulación</v>
          </cell>
          <cell r="AC3996">
            <v>0.16200000000000001</v>
          </cell>
          <cell r="AD3996">
            <v>0.12771428571428572</v>
          </cell>
          <cell r="AE3996" t="str">
            <v>Con precio</v>
          </cell>
        </row>
        <row r="3997">
          <cell r="B3997" t="str">
            <v>P-5X0005</v>
          </cell>
          <cell r="X3997" t="str">
            <v>Empaquetado</v>
          </cell>
          <cell r="AC3997">
            <v>7.7948000000000002E-3</v>
          </cell>
          <cell r="AD3997">
            <v>7.7948000000000002E-3</v>
          </cell>
          <cell r="AE3997" t="str">
            <v>Con precio</v>
          </cell>
        </row>
        <row r="3998">
          <cell r="B3998" t="str">
            <v>P-5X0005</v>
          </cell>
          <cell r="X3998" t="str">
            <v>Empaquetado</v>
          </cell>
          <cell r="AC3998">
            <v>2.5359983896940424E-2</v>
          </cell>
          <cell r="AD3998">
            <v>2.5359983896940424E-2</v>
          </cell>
          <cell r="AE3998" t="str">
            <v>Con precio</v>
          </cell>
        </row>
        <row r="3999">
          <cell r="B3999" t="str">
            <v>P-5X0005</v>
          </cell>
          <cell r="X3999" t="str">
            <v>Empaquetado</v>
          </cell>
          <cell r="AC3999">
            <v>2.5834900000000001E-2</v>
          </cell>
          <cell r="AD3999">
            <v>2.5834900000000001E-2</v>
          </cell>
          <cell r="AE3999" t="str">
            <v>Con precio</v>
          </cell>
        </row>
        <row r="4000">
          <cell r="B4000" t="str">
            <v>P-5X0005</v>
          </cell>
          <cell r="X4000" t="str">
            <v>Empaquetado</v>
          </cell>
          <cell r="AC4000">
            <v>3.4200000000000001E-2</v>
          </cell>
          <cell r="AD4000">
            <v>3.4200000000000001E-2</v>
          </cell>
          <cell r="AE4000" t="str">
            <v>Con precio</v>
          </cell>
        </row>
        <row r="4001">
          <cell r="B4001" t="str">
            <v>P-5X0005</v>
          </cell>
          <cell r="X4001" t="str">
            <v>Empaquetado</v>
          </cell>
          <cell r="AC4001">
            <v>0.17399999999999999</v>
          </cell>
          <cell r="AD4001">
            <v>0.17399999999999999</v>
          </cell>
          <cell r="AE4001" t="str">
            <v>Con precio</v>
          </cell>
        </row>
        <row r="4002">
          <cell r="B4002" t="str">
            <v>P-5X0005</v>
          </cell>
          <cell r="X4002" t="str">
            <v>Empaquetado</v>
          </cell>
          <cell r="AC4002">
            <v>4.4999999999999997E-3</v>
          </cell>
          <cell r="AD4002">
            <v>4.4999999999999997E-3</v>
          </cell>
          <cell r="AE4002" t="str">
            <v>Con precio</v>
          </cell>
        </row>
        <row r="4003">
          <cell r="B4003" t="str">
            <v>P-5X0005</v>
          </cell>
          <cell r="X4003" t="str">
            <v>Empaquetado</v>
          </cell>
          <cell r="AC4003">
            <v>3.6950017630465445E-2</v>
          </cell>
          <cell r="AD4003">
            <v>3.6950017630465445E-2</v>
          </cell>
          <cell r="AE4003" t="str">
            <v>Con precio</v>
          </cell>
        </row>
        <row r="4004">
          <cell r="B4004" t="str">
            <v>P-5X0020</v>
          </cell>
          <cell r="X4004" t="str">
            <v>Formulación</v>
          </cell>
          <cell r="AC4004">
            <v>4.8799999999999998E-3</v>
          </cell>
          <cell r="AD4004">
            <v>4.8799999999999998E-3</v>
          </cell>
          <cell r="AE4004" t="str">
            <v>Con precio</v>
          </cell>
        </row>
        <row r="4005">
          <cell r="B4005" t="str">
            <v>P-5X0020</v>
          </cell>
          <cell r="X4005" t="str">
            <v>Formulación</v>
          </cell>
          <cell r="AC4005">
            <v>3.8000000000000006E-2</v>
          </cell>
          <cell r="AD4005">
            <v>3.8000000000000006E-2</v>
          </cell>
          <cell r="AE4005" t="str">
            <v>Con precio</v>
          </cell>
        </row>
        <row r="4006">
          <cell r="B4006" t="str">
            <v>P-5X0020</v>
          </cell>
          <cell r="X4006" t="str">
            <v>Formulación</v>
          </cell>
          <cell r="AC4006">
            <v>0.14580000000000001</v>
          </cell>
          <cell r="AD4006">
            <v>9.889714285714285E-2</v>
          </cell>
          <cell r="AE4006" t="str">
            <v>Con precio</v>
          </cell>
        </row>
        <row r="4007">
          <cell r="B4007" t="str">
            <v>P-5X0020</v>
          </cell>
          <cell r="X4007" t="str">
            <v>Formulación</v>
          </cell>
          <cell r="AC4007">
            <v>3.3119999999999997E-2</v>
          </cell>
          <cell r="AD4007">
            <v>3.2039999999999999E-2</v>
          </cell>
          <cell r="AE4007" t="str">
            <v>Con precio</v>
          </cell>
        </row>
        <row r="4008">
          <cell r="B4008" t="str">
            <v>P-5X0020</v>
          </cell>
          <cell r="X4008" t="str">
            <v>Formulación</v>
          </cell>
          <cell r="AC4008">
            <v>1.1655E-2</v>
          </cell>
          <cell r="AD4008">
            <v>1.0406666666666666E-2</v>
          </cell>
          <cell r="AE4008" t="str">
            <v>Con precio</v>
          </cell>
        </row>
        <row r="4009">
          <cell r="B4009" t="str">
            <v>P-5X0020</v>
          </cell>
          <cell r="X4009" t="str">
            <v>Formulación</v>
          </cell>
          <cell r="AC4009">
            <v>0.20992000000000002</v>
          </cell>
          <cell r="AD4009">
            <v>0.20992000000000002</v>
          </cell>
          <cell r="AE4009" t="str">
            <v>Con precio</v>
          </cell>
        </row>
        <row r="4010">
          <cell r="B4010" t="str">
            <v>P-5X0020</v>
          </cell>
          <cell r="X4010" t="str">
            <v>Formulación</v>
          </cell>
          <cell r="AC4010">
            <v>7.8750000000000001E-2</v>
          </cell>
          <cell r="AD4010">
            <v>7.8750000000000001E-2</v>
          </cell>
          <cell r="AE4010" t="str">
            <v>Con precio</v>
          </cell>
        </row>
        <row r="4011">
          <cell r="B4011" t="str">
            <v>P-5X0020</v>
          </cell>
          <cell r="X4011" t="str">
            <v>Formulación</v>
          </cell>
          <cell r="AC4011">
            <v>0.16200000000000001</v>
          </cell>
          <cell r="AD4011">
            <v>0.12771428571428572</v>
          </cell>
          <cell r="AE4011" t="str">
            <v>Con precio</v>
          </cell>
        </row>
        <row r="4012">
          <cell r="B4012" t="str">
            <v>P-5X0020</v>
          </cell>
          <cell r="X4012" t="str">
            <v>Empaquetado</v>
          </cell>
          <cell r="AC4012">
            <v>7.3209374999999993E-3</v>
          </cell>
          <cell r="AD4012">
            <v>7.3209374999999993E-3</v>
          </cell>
          <cell r="AE4012" t="str">
            <v>Con precio</v>
          </cell>
        </row>
        <row r="4013">
          <cell r="B4013" t="str">
            <v>P-5X0020</v>
          </cell>
          <cell r="X4013" t="str">
            <v>Empaquetado</v>
          </cell>
          <cell r="AC4013">
            <v>2.4171875000000002E-2</v>
          </cell>
          <cell r="AD4013">
            <v>2.4171875000000002E-2</v>
          </cell>
          <cell r="AE4013" t="str">
            <v>Con precio</v>
          </cell>
        </row>
        <row r="4014">
          <cell r="B4014" t="str">
            <v>P-5X0020</v>
          </cell>
          <cell r="X4014" t="str">
            <v>Empaquetado</v>
          </cell>
          <cell r="AC4014">
            <v>5.0719967793880849E-3</v>
          </cell>
          <cell r="AD4014">
            <v>5.0719967793880849E-3</v>
          </cell>
          <cell r="AE4014" t="str">
            <v>Con precio</v>
          </cell>
        </row>
        <row r="4015">
          <cell r="B4015" t="str">
            <v>P-5X0020</v>
          </cell>
          <cell r="X4015" t="str">
            <v>Empaquetado</v>
          </cell>
          <cell r="AC4015">
            <v>4.4999999999999997E-3</v>
          </cell>
          <cell r="AD4015">
            <v>4.4999999999999997E-3</v>
          </cell>
          <cell r="AE4015" t="str">
            <v>Con precio</v>
          </cell>
        </row>
        <row r="4016">
          <cell r="B4016" t="str">
            <v>P-5X0020</v>
          </cell>
          <cell r="X4016" t="str">
            <v>Empaquetado</v>
          </cell>
          <cell r="AC4016">
            <v>0.18266505681818179</v>
          </cell>
          <cell r="AD4016">
            <v>0.18266505681818179</v>
          </cell>
          <cell r="AE4016" t="str">
            <v>Con precio</v>
          </cell>
        </row>
        <row r="4017">
          <cell r="B4017" t="str">
            <v>P-5X0020</v>
          </cell>
          <cell r="X4017" t="str">
            <v>Empaquetado</v>
          </cell>
          <cell r="AC4017">
            <v>1.2352941176470591E-2</v>
          </cell>
          <cell r="AD4017">
            <v>1.2352941176470591E-2</v>
          </cell>
          <cell r="AE4017" t="str">
            <v>Con precio</v>
          </cell>
        </row>
        <row r="4018">
          <cell r="B4018" t="str">
            <v>P-5X1000</v>
          </cell>
          <cell r="X4018" t="str">
            <v>Formulación</v>
          </cell>
          <cell r="AC4018">
            <v>4.8799999999999998E-3</v>
          </cell>
          <cell r="AD4018">
            <v>4.8799999999999998E-3</v>
          </cell>
          <cell r="AE4018" t="str">
            <v>Con precio</v>
          </cell>
        </row>
        <row r="4019">
          <cell r="B4019" t="str">
            <v>P-5X1000</v>
          </cell>
          <cell r="X4019" t="str">
            <v>Formulación</v>
          </cell>
          <cell r="AC4019">
            <v>3.8000000000000006E-2</v>
          </cell>
          <cell r="AD4019">
            <v>3.8000000000000006E-2</v>
          </cell>
          <cell r="AE4019" t="str">
            <v>Con precio</v>
          </cell>
        </row>
        <row r="4020">
          <cell r="B4020" t="str">
            <v>P-5X1000</v>
          </cell>
          <cell r="X4020" t="str">
            <v>Formulación</v>
          </cell>
          <cell r="AC4020">
            <v>0.14580000000000001</v>
          </cell>
          <cell r="AD4020">
            <v>9.889714285714285E-2</v>
          </cell>
          <cell r="AE4020" t="str">
            <v>Con precio</v>
          </cell>
        </row>
        <row r="4021">
          <cell r="B4021" t="str">
            <v>P-5X1000</v>
          </cell>
          <cell r="X4021" t="str">
            <v>Formulación</v>
          </cell>
          <cell r="AC4021">
            <v>3.3119999999999997E-2</v>
          </cell>
          <cell r="AD4021">
            <v>3.2039999999999999E-2</v>
          </cell>
          <cell r="AE4021" t="str">
            <v>Con precio</v>
          </cell>
        </row>
        <row r="4022">
          <cell r="B4022" t="str">
            <v>P-5X1000</v>
          </cell>
          <cell r="X4022" t="str">
            <v>Formulación</v>
          </cell>
          <cell r="AC4022">
            <v>1.1655E-2</v>
          </cell>
          <cell r="AD4022">
            <v>1.0406666666666666E-2</v>
          </cell>
          <cell r="AE4022" t="str">
            <v>Con precio</v>
          </cell>
        </row>
        <row r="4023">
          <cell r="B4023" t="str">
            <v>P-5X1000</v>
          </cell>
          <cell r="X4023" t="str">
            <v>Formulación</v>
          </cell>
          <cell r="AC4023">
            <v>0.20992000000000002</v>
          </cell>
          <cell r="AD4023">
            <v>0.20992000000000002</v>
          </cell>
          <cell r="AE4023" t="str">
            <v>Con precio</v>
          </cell>
        </row>
        <row r="4024">
          <cell r="B4024" t="str">
            <v>P-5X1000</v>
          </cell>
          <cell r="X4024" t="str">
            <v>Formulación</v>
          </cell>
          <cell r="AC4024">
            <v>7.8750000000000001E-2</v>
          </cell>
          <cell r="AD4024">
            <v>7.8750000000000001E-2</v>
          </cell>
          <cell r="AE4024" t="str">
            <v>Con precio</v>
          </cell>
        </row>
        <row r="4025">
          <cell r="B4025" t="str">
            <v>P-5X1000</v>
          </cell>
          <cell r="X4025" t="str">
            <v>Formulación</v>
          </cell>
          <cell r="AC4025">
            <v>0.16200000000000001</v>
          </cell>
          <cell r="AD4025">
            <v>0.12771428571428572</v>
          </cell>
          <cell r="AE4025" t="str">
            <v>Con precio</v>
          </cell>
        </row>
        <row r="4026">
          <cell r="B4026" t="str">
            <v>P-5X1000</v>
          </cell>
          <cell r="X4026" t="str">
            <v>Empaquetado</v>
          </cell>
          <cell r="AC4026">
            <v>1.014399355877617E-4</v>
          </cell>
          <cell r="AD4026">
            <v>1.014399355877617E-4</v>
          </cell>
          <cell r="AE4026" t="str">
            <v>Con precio</v>
          </cell>
        </row>
        <row r="4027">
          <cell r="B4027" t="str">
            <v>P-ZM3.50005</v>
          </cell>
          <cell r="X4027" t="str">
            <v>Formulación</v>
          </cell>
          <cell r="AC4027">
            <v>8.8200000000000001E-2</v>
          </cell>
          <cell r="AD4027">
            <v>8.8200000000000001E-2</v>
          </cell>
          <cell r="AE4027" t="str">
            <v>Con precio</v>
          </cell>
        </row>
        <row r="4028">
          <cell r="B4028" t="str">
            <v>P-ZM3.50005</v>
          </cell>
          <cell r="X4028" t="str">
            <v>Formulación</v>
          </cell>
          <cell r="AC4028">
            <v>9.4500000000000015E-2</v>
          </cell>
          <cell r="AD4028">
            <v>9.4500000000000015E-2</v>
          </cell>
          <cell r="AE4028" t="str">
            <v>Con precio</v>
          </cell>
        </row>
        <row r="4029">
          <cell r="B4029" t="str">
            <v>P-ZM3.50005</v>
          </cell>
          <cell r="X4029" t="str">
            <v>Formulación</v>
          </cell>
          <cell r="AC4029">
            <v>3.4959999999999998E-2</v>
          </cell>
          <cell r="AD4029">
            <v>3.3820000000000003E-2</v>
          </cell>
          <cell r="AE4029" t="str">
            <v>Con precio</v>
          </cell>
        </row>
        <row r="4030">
          <cell r="B4030" t="str">
            <v>P-ZM3.50005</v>
          </cell>
          <cell r="X4030" t="str">
            <v>Formulación</v>
          </cell>
          <cell r="AC4030">
            <v>0.16170000000000001</v>
          </cell>
          <cell r="AD4030">
            <v>0.16170000000000001</v>
          </cell>
          <cell r="AE4030" t="str">
            <v>Con precio</v>
          </cell>
        </row>
        <row r="4031">
          <cell r="B4031" t="str">
            <v>P-ZM3.50005</v>
          </cell>
          <cell r="X4031" t="str">
            <v>Formulación</v>
          </cell>
          <cell r="AC4031">
            <v>9.7599999999999996E-3</v>
          </cell>
          <cell r="AD4031">
            <v>9.7599999999999996E-3</v>
          </cell>
          <cell r="AE4031" t="str">
            <v>Con precio</v>
          </cell>
        </row>
        <row r="4032">
          <cell r="B4032" t="str">
            <v>P-ZM3.50005</v>
          </cell>
          <cell r="X4032" t="str">
            <v>Empaquetado</v>
          </cell>
          <cell r="AC4032">
            <v>7.7948000000000002E-3</v>
          </cell>
          <cell r="AD4032">
            <v>7.7948000000000002E-3</v>
          </cell>
          <cell r="AE4032" t="str">
            <v>Con precio</v>
          </cell>
        </row>
        <row r="4033">
          <cell r="B4033" t="str">
            <v>P-ZM3.50005</v>
          </cell>
          <cell r="X4033" t="str">
            <v>Empaquetado</v>
          </cell>
          <cell r="AC4033">
            <v>2.5359983896940424E-2</v>
          </cell>
          <cell r="AD4033">
            <v>2.5359983896940424E-2</v>
          </cell>
          <cell r="AE4033" t="str">
            <v>Con precio</v>
          </cell>
        </row>
        <row r="4034">
          <cell r="B4034" t="str">
            <v>P-ZM3.50005</v>
          </cell>
          <cell r="X4034" t="str">
            <v>Empaquetado</v>
          </cell>
          <cell r="AC4034">
            <v>2.5834900000000001E-2</v>
          </cell>
          <cell r="AD4034">
            <v>2.5834900000000001E-2</v>
          </cell>
          <cell r="AE4034" t="str">
            <v>Con precio</v>
          </cell>
        </row>
        <row r="4035">
          <cell r="B4035" t="str">
            <v>P-ZM3.50005</v>
          </cell>
          <cell r="X4035" t="str">
            <v>Empaquetado</v>
          </cell>
          <cell r="AC4035">
            <v>0.17399999999999999</v>
          </cell>
          <cell r="AD4035">
            <v>0.17399999999999999</v>
          </cell>
          <cell r="AE4035" t="str">
            <v>Con precio</v>
          </cell>
        </row>
        <row r="4036">
          <cell r="B4036" t="str">
            <v>P-ZM3.50005</v>
          </cell>
          <cell r="X4036" t="str">
            <v>Empaquetado</v>
          </cell>
          <cell r="AC4036">
            <v>5.7799999999999997E-2</v>
          </cell>
          <cell r="AD4036">
            <v>5.7799999999999997E-2</v>
          </cell>
          <cell r="AE4036" t="str">
            <v>Con precio</v>
          </cell>
        </row>
        <row r="4037">
          <cell r="B4037" t="str">
            <v>P-ZM3.50005</v>
          </cell>
          <cell r="X4037" t="str">
            <v>Empaquetado</v>
          </cell>
          <cell r="AC4037">
            <v>3.6950017630465445E-2</v>
          </cell>
          <cell r="AD4037">
            <v>3.6950017630465445E-2</v>
          </cell>
          <cell r="AE4037" t="str">
            <v>Con precio</v>
          </cell>
        </row>
        <row r="4038">
          <cell r="B4038" t="str">
            <v>P-ZM3.50020</v>
          </cell>
          <cell r="X4038" t="str">
            <v>Formulación</v>
          </cell>
          <cell r="AC4038">
            <v>8.8200000000000001E-2</v>
          </cell>
          <cell r="AD4038">
            <v>8.8200000000000001E-2</v>
          </cell>
          <cell r="AE4038" t="str">
            <v>Con precio</v>
          </cell>
        </row>
        <row r="4039">
          <cell r="B4039" t="str">
            <v>P-ZM3.50020</v>
          </cell>
          <cell r="X4039" t="str">
            <v>Formulación</v>
          </cell>
          <cell r="AC4039">
            <v>9.4500000000000015E-2</v>
          </cell>
          <cell r="AD4039">
            <v>9.4500000000000015E-2</v>
          </cell>
          <cell r="AE4039" t="str">
            <v>Con precio</v>
          </cell>
        </row>
        <row r="4040">
          <cell r="B4040" t="str">
            <v>P-ZM3.50020</v>
          </cell>
          <cell r="X4040" t="str">
            <v>Formulación</v>
          </cell>
          <cell r="AC4040">
            <v>3.4959999999999998E-2</v>
          </cell>
          <cell r="AD4040">
            <v>3.3820000000000003E-2</v>
          </cell>
          <cell r="AE4040" t="str">
            <v>Con precio</v>
          </cell>
        </row>
        <row r="4041">
          <cell r="B4041" t="str">
            <v>P-ZM3.50020</v>
          </cell>
          <cell r="X4041" t="str">
            <v>Formulación</v>
          </cell>
          <cell r="AC4041">
            <v>0.16170000000000001</v>
          </cell>
          <cell r="AD4041">
            <v>0.16170000000000001</v>
          </cell>
          <cell r="AE4041" t="str">
            <v>Con precio</v>
          </cell>
        </row>
        <row r="4042">
          <cell r="B4042" t="str">
            <v>P-ZM3.50020</v>
          </cell>
          <cell r="X4042" t="str">
            <v>Formulación</v>
          </cell>
          <cell r="AC4042">
            <v>9.7599999999999996E-3</v>
          </cell>
          <cell r="AD4042">
            <v>9.7599999999999996E-3</v>
          </cell>
          <cell r="AE4042" t="str">
            <v>Con precio</v>
          </cell>
        </row>
        <row r="4043">
          <cell r="B4043" t="str">
            <v>P-ZM3.50020</v>
          </cell>
          <cell r="X4043" t="str">
            <v>Empaquetado</v>
          </cell>
          <cell r="AC4043">
            <v>7.3092239999999996E-3</v>
          </cell>
          <cell r="AD4043">
            <v>7.3092239999999996E-3</v>
          </cell>
          <cell r="AE4043" t="str">
            <v>Con precio</v>
          </cell>
        </row>
        <row r="4044">
          <cell r="B4044" t="str">
            <v>P-ZM3.50020</v>
          </cell>
          <cell r="X4044" t="str">
            <v>Empaquetado</v>
          </cell>
          <cell r="AC4044">
            <v>2.41332E-2</v>
          </cell>
          <cell r="AD4044">
            <v>2.41332E-2</v>
          </cell>
          <cell r="AE4044" t="str">
            <v>Con precio</v>
          </cell>
        </row>
        <row r="4045">
          <cell r="B4045" t="str">
            <v>P-ZM3.50020</v>
          </cell>
          <cell r="X4045" t="str">
            <v>Empaquetado</v>
          </cell>
          <cell r="AC4045">
            <v>5.0719967793880849E-3</v>
          </cell>
          <cell r="AD4045">
            <v>5.0719967793880849E-3</v>
          </cell>
          <cell r="AE4045" t="str">
            <v>Con precio</v>
          </cell>
        </row>
        <row r="4046">
          <cell r="B4046" t="str">
            <v>P-ZM3.50020</v>
          </cell>
          <cell r="X4046" t="str">
            <v>Empaquetado</v>
          </cell>
          <cell r="AC4046">
            <v>0.18266505681818179</v>
          </cell>
          <cell r="AD4046">
            <v>0.18266505681818179</v>
          </cell>
          <cell r="AE4046" t="str">
            <v>Con precio</v>
          </cell>
        </row>
        <row r="4047">
          <cell r="B4047" t="str">
            <v>P-ZM3.50020</v>
          </cell>
          <cell r="X4047" t="str">
            <v>Empaquetado</v>
          </cell>
          <cell r="AC4047">
            <v>2.4035031847133761E-2</v>
          </cell>
          <cell r="AD4047">
            <v>2.4035031847133761E-2</v>
          </cell>
          <cell r="AE4047" t="str">
            <v>Con precio</v>
          </cell>
        </row>
        <row r="4048">
          <cell r="B4048" t="str">
            <v>P-ZM3.51000</v>
          </cell>
          <cell r="X4048" t="str">
            <v>Formulación</v>
          </cell>
          <cell r="AC4048">
            <v>8.8200000000000001E-2</v>
          </cell>
          <cell r="AD4048">
            <v>8.8200000000000001E-2</v>
          </cell>
          <cell r="AE4048" t="str">
            <v>Con precio</v>
          </cell>
        </row>
        <row r="4049">
          <cell r="B4049" t="str">
            <v>P-ZM3.51000</v>
          </cell>
          <cell r="X4049" t="str">
            <v>Formulación</v>
          </cell>
          <cell r="AC4049">
            <v>9.4500000000000015E-2</v>
          </cell>
          <cell r="AD4049">
            <v>9.4500000000000015E-2</v>
          </cell>
          <cell r="AE4049" t="str">
            <v>Con precio</v>
          </cell>
        </row>
        <row r="4050">
          <cell r="B4050" t="str">
            <v>P-ZM3.51000</v>
          </cell>
          <cell r="X4050" t="str">
            <v>Formulación</v>
          </cell>
          <cell r="AC4050">
            <v>3.4959999999999998E-2</v>
          </cell>
          <cell r="AD4050">
            <v>3.3820000000000003E-2</v>
          </cell>
          <cell r="AE4050" t="str">
            <v>Con precio</v>
          </cell>
        </row>
        <row r="4051">
          <cell r="B4051" t="str">
            <v>P-ZM3.51000</v>
          </cell>
          <cell r="X4051" t="str">
            <v>Formulación</v>
          </cell>
          <cell r="AC4051">
            <v>0.16170000000000001</v>
          </cell>
          <cell r="AD4051">
            <v>0.16170000000000001</v>
          </cell>
          <cell r="AE4051" t="str">
            <v>Con precio</v>
          </cell>
        </row>
        <row r="4052">
          <cell r="B4052" t="str">
            <v>P-ZM3.51000</v>
          </cell>
          <cell r="X4052" t="str">
            <v>Formulación</v>
          </cell>
          <cell r="AC4052">
            <v>9.7599999999999996E-3</v>
          </cell>
          <cell r="AD4052">
            <v>9.7599999999999996E-3</v>
          </cell>
          <cell r="AE4052" t="str">
            <v>Con precio</v>
          </cell>
        </row>
        <row r="4053">
          <cell r="B4053" t="str">
            <v>P-ZM3.51000</v>
          </cell>
          <cell r="X4053" t="str">
            <v>Empaquetado</v>
          </cell>
          <cell r="AC4053">
            <v>1.014399355877617E-4</v>
          </cell>
          <cell r="AD4053">
            <v>1.014399355877617E-4</v>
          </cell>
          <cell r="AE4053" t="str">
            <v>Con precio</v>
          </cell>
        </row>
        <row r="4054">
          <cell r="B4054" t="str">
            <v>P-ZM3.51000</v>
          </cell>
          <cell r="X4054" t="str">
            <v>Empaquetado</v>
          </cell>
          <cell r="AC4054">
            <v>6.9846153846153836E-2</v>
          </cell>
          <cell r="AD4054">
            <v>6.9846153846153836E-2</v>
          </cell>
          <cell r="AE4054" t="str">
            <v>Con precio</v>
          </cell>
        </row>
        <row r="4055">
          <cell r="B4055" t="str">
            <v>PHD0001</v>
          </cell>
          <cell r="X4055" t="str">
            <v>Formulación</v>
          </cell>
          <cell r="AC4055">
            <v>0</v>
          </cell>
          <cell r="AD4055">
            <v>0</v>
          </cell>
          <cell r="AE4055" t="str">
            <v>Con precio</v>
          </cell>
        </row>
        <row r="4056">
          <cell r="B4056" t="str">
            <v>PHD0001</v>
          </cell>
          <cell r="X4056" t="str">
            <v>Formulación</v>
          </cell>
          <cell r="AC4056">
            <v>6.7279999999999993E-2</v>
          </cell>
          <cell r="AD4056">
            <v>5.8797499999999996E-2</v>
          </cell>
          <cell r="AE4056" t="str">
            <v>Con precio</v>
          </cell>
        </row>
        <row r="4057">
          <cell r="B4057" t="str">
            <v>PHD0001</v>
          </cell>
          <cell r="X4057" t="str">
            <v>Formulación</v>
          </cell>
          <cell r="AC4057">
            <v>0.11258</v>
          </cell>
          <cell r="AD4057">
            <v>0.11258</v>
          </cell>
          <cell r="AE4057" t="str">
            <v>Con precio</v>
          </cell>
        </row>
        <row r="4058">
          <cell r="B4058" t="str">
            <v>PHD0001</v>
          </cell>
          <cell r="X4058" t="str">
            <v>Formulación</v>
          </cell>
          <cell r="AC4058">
            <v>0.43472</v>
          </cell>
          <cell r="AD4058">
            <v>0.26853514285714286</v>
          </cell>
          <cell r="AE4058" t="str">
            <v>Con precio</v>
          </cell>
        </row>
        <row r="4059">
          <cell r="B4059" t="str">
            <v>PHD0001</v>
          </cell>
          <cell r="X4059" t="str">
            <v>Formulación</v>
          </cell>
          <cell r="AC4059">
            <v>0.73083999999999993</v>
          </cell>
          <cell r="AD4059">
            <v>0.57547599999999999</v>
          </cell>
          <cell r="AE4059" t="str">
            <v>Con precio</v>
          </cell>
        </row>
        <row r="4060">
          <cell r="B4060" t="str">
            <v>PHD0001</v>
          </cell>
          <cell r="X4060" t="str">
            <v>Empaquetado</v>
          </cell>
          <cell r="AC4060">
            <v>3.0303030303030299E-5</v>
          </cell>
          <cell r="AD4060">
            <v>3.0303030303030299E-5</v>
          </cell>
          <cell r="AE4060" t="str">
            <v>Con precio</v>
          </cell>
        </row>
        <row r="4061">
          <cell r="B4061" t="str">
            <v>PHD0001</v>
          </cell>
          <cell r="X4061" t="str">
            <v>Empaquetado</v>
          </cell>
          <cell r="AC4061">
            <v>2.3439393939393937E-2</v>
          </cell>
          <cell r="AD4061">
            <v>2.3439393939393937E-2</v>
          </cell>
          <cell r="AE4061" t="str">
            <v>Con precio</v>
          </cell>
        </row>
        <row r="4062">
          <cell r="B4062" t="str">
            <v>PHD0001</v>
          </cell>
          <cell r="X4062" t="str">
            <v>Empaquetado</v>
          </cell>
          <cell r="AC4062">
            <v>7.1917518745739595E-2</v>
          </cell>
          <cell r="AD4062">
            <v>7.1917518745739595E-2</v>
          </cell>
          <cell r="AE4062" t="str">
            <v>Con precio</v>
          </cell>
        </row>
        <row r="4063">
          <cell r="B4063" t="str">
            <v>PHD0001</v>
          </cell>
          <cell r="X4063" t="str">
            <v>Empaquetado</v>
          </cell>
          <cell r="AC4063">
            <v>7.4999999999999997E-3</v>
          </cell>
          <cell r="AD4063">
            <v>7.4999999999999997E-3</v>
          </cell>
          <cell r="AE4063" t="str">
            <v>Con precio</v>
          </cell>
        </row>
        <row r="4064">
          <cell r="B4064" t="str">
            <v>PHD0001</v>
          </cell>
          <cell r="X4064" t="str">
            <v>Empaquetado</v>
          </cell>
          <cell r="AC4064">
            <v>0.45124999999999998</v>
          </cell>
          <cell r="AD4064">
            <v>0.32061666666666666</v>
          </cell>
          <cell r="AE4064" t="str">
            <v>Con precio</v>
          </cell>
        </row>
        <row r="4065">
          <cell r="B4065" t="str">
            <v>PHD0001</v>
          </cell>
          <cell r="X4065" t="str">
            <v>Empaquetado</v>
          </cell>
          <cell r="AC4065">
            <v>0.44322992424242419</v>
          </cell>
          <cell r="AD4065">
            <v>0.44322992424242419</v>
          </cell>
          <cell r="AE4065" t="str">
            <v>Con precio</v>
          </cell>
        </row>
        <row r="4066">
          <cell r="B4066" t="str">
            <v>PHD0001</v>
          </cell>
          <cell r="X4066" t="str">
            <v>Empaquetado</v>
          </cell>
          <cell r="AC4066">
            <v>9.6080774456521717E-2</v>
          </cell>
          <cell r="AD4066">
            <v>9.6080774456521717E-2</v>
          </cell>
          <cell r="AE4066" t="str">
            <v>Con precio</v>
          </cell>
        </row>
        <row r="4067">
          <cell r="B4067" t="str">
            <v>PHD0001RO</v>
          </cell>
          <cell r="X4067" t="str">
            <v>Formulación</v>
          </cell>
          <cell r="AC4067">
            <v>0</v>
          </cell>
          <cell r="AD4067">
            <v>0</v>
          </cell>
          <cell r="AE4067" t="str">
            <v>Con precio</v>
          </cell>
        </row>
        <row r="4068">
          <cell r="B4068" t="str">
            <v>PHD0001RO</v>
          </cell>
          <cell r="X4068" t="str">
            <v>Formulación</v>
          </cell>
          <cell r="AC4068">
            <v>6.7279999999999993E-2</v>
          </cell>
          <cell r="AD4068">
            <v>5.8797499999999996E-2</v>
          </cell>
          <cell r="AE4068" t="str">
            <v>Con precio</v>
          </cell>
        </row>
        <row r="4069">
          <cell r="B4069" t="str">
            <v>PHD0001RO</v>
          </cell>
          <cell r="X4069" t="str">
            <v>Formulación</v>
          </cell>
          <cell r="AC4069">
            <v>0.11258</v>
          </cell>
          <cell r="AD4069">
            <v>0.11258</v>
          </cell>
          <cell r="AE4069" t="str">
            <v>Con precio</v>
          </cell>
        </row>
        <row r="4070">
          <cell r="B4070" t="str">
            <v>PHD0001RO</v>
          </cell>
          <cell r="X4070" t="str">
            <v>Formulación</v>
          </cell>
          <cell r="AC4070">
            <v>0.43472</v>
          </cell>
          <cell r="AD4070">
            <v>0.26853514285714286</v>
          </cell>
          <cell r="AE4070" t="str">
            <v>Con precio</v>
          </cell>
        </row>
        <row r="4071">
          <cell r="B4071" t="str">
            <v>PHD0001RO</v>
          </cell>
          <cell r="X4071" t="str">
            <v>Formulación</v>
          </cell>
          <cell r="AC4071">
            <v>0.73083999999999993</v>
          </cell>
          <cell r="AD4071">
            <v>0.57547599999999999</v>
          </cell>
          <cell r="AE4071" t="str">
            <v>Con precio</v>
          </cell>
        </row>
        <row r="4072">
          <cell r="B4072" t="str">
            <v>PHD0001RO</v>
          </cell>
          <cell r="X4072" t="str">
            <v>Empaquetado</v>
          </cell>
          <cell r="AC4072">
            <v>3.0303030303030299E-5</v>
          </cell>
          <cell r="AD4072">
            <v>3.0303030303030299E-5</v>
          </cell>
          <cell r="AE4072" t="str">
            <v>Con precio</v>
          </cell>
        </row>
        <row r="4073">
          <cell r="B4073" t="str">
            <v>PHD0001RO</v>
          </cell>
          <cell r="X4073" t="str">
            <v>Empaquetado</v>
          </cell>
          <cell r="AC4073">
            <v>2.3439393939393937E-2</v>
          </cell>
          <cell r="AD4073">
            <v>2.3439393939393937E-2</v>
          </cell>
          <cell r="AE4073" t="str">
            <v>Con precio</v>
          </cell>
        </row>
        <row r="4074">
          <cell r="B4074" t="str">
            <v>PHD0001RO</v>
          </cell>
          <cell r="X4074" t="str">
            <v>Empaquetado</v>
          </cell>
          <cell r="AC4074">
            <v>7.1917518745739595E-2</v>
          </cell>
          <cell r="AD4074">
            <v>7.1917518745739595E-2</v>
          </cell>
          <cell r="AE4074" t="str">
            <v>Con precio</v>
          </cell>
        </row>
        <row r="4075">
          <cell r="B4075" t="str">
            <v>PHD0001RO</v>
          </cell>
          <cell r="X4075" t="str">
            <v>Empaquetado</v>
          </cell>
          <cell r="AC4075">
            <v>7.4999999999999997E-3</v>
          </cell>
          <cell r="AD4075">
            <v>7.4999999999999997E-3</v>
          </cell>
          <cell r="AE4075" t="str">
            <v>Con precio</v>
          </cell>
        </row>
        <row r="4076">
          <cell r="B4076" t="str">
            <v>PHD0001RO</v>
          </cell>
          <cell r="X4076" t="str">
            <v>Empaquetado</v>
          </cell>
          <cell r="AC4076">
            <v>0.45124999999999998</v>
          </cell>
          <cell r="AD4076">
            <v>0.32061666666666666</v>
          </cell>
          <cell r="AE4076" t="str">
            <v>Con precio</v>
          </cell>
        </row>
        <row r="4077">
          <cell r="B4077" t="str">
            <v>PHD0001RO</v>
          </cell>
          <cell r="X4077" t="str">
            <v>Empaquetado</v>
          </cell>
          <cell r="AC4077">
            <v>0.44322992424242419</v>
          </cell>
          <cell r="AD4077">
            <v>0.44322992424242419</v>
          </cell>
          <cell r="AE4077" t="str">
            <v>Con precio</v>
          </cell>
        </row>
        <row r="4078">
          <cell r="B4078" t="str">
            <v>PHD0001RO</v>
          </cell>
          <cell r="X4078" t="str">
            <v>Empaquetado</v>
          </cell>
          <cell r="AC4078">
            <v>9.6080774456521717E-2</v>
          </cell>
          <cell r="AD4078">
            <v>9.6080774456521717E-2</v>
          </cell>
          <cell r="AE4078" t="str">
            <v>Con precio</v>
          </cell>
        </row>
        <row r="4079">
          <cell r="B4079" t="str">
            <v>PHD0005</v>
          </cell>
          <cell r="X4079" t="str">
            <v>Formulación</v>
          </cell>
          <cell r="AC4079">
            <v>0</v>
          </cell>
          <cell r="AD4079">
            <v>0</v>
          </cell>
          <cell r="AE4079" t="str">
            <v>Con precio</v>
          </cell>
        </row>
        <row r="4080">
          <cell r="B4080" t="str">
            <v>PHD0005</v>
          </cell>
          <cell r="X4080" t="str">
            <v>Formulación</v>
          </cell>
          <cell r="AC4080">
            <v>6.7279999999999993E-2</v>
          </cell>
          <cell r="AD4080">
            <v>5.8797499999999996E-2</v>
          </cell>
          <cell r="AE4080" t="str">
            <v>Con precio</v>
          </cell>
        </row>
        <row r="4081">
          <cell r="B4081" t="str">
            <v>PHD0005</v>
          </cell>
          <cell r="X4081" t="str">
            <v>Formulación</v>
          </cell>
          <cell r="AC4081">
            <v>0.11258</v>
          </cell>
          <cell r="AD4081">
            <v>0.11258</v>
          </cell>
          <cell r="AE4081" t="str">
            <v>Con precio</v>
          </cell>
        </row>
        <row r="4082">
          <cell r="B4082" t="str">
            <v>PHD0005</v>
          </cell>
          <cell r="X4082" t="str">
            <v>Formulación</v>
          </cell>
          <cell r="AC4082">
            <v>0.43472</v>
          </cell>
          <cell r="AD4082">
            <v>0.26853514285714286</v>
          </cell>
          <cell r="AE4082" t="str">
            <v>Con precio</v>
          </cell>
        </row>
        <row r="4083">
          <cell r="B4083" t="str">
            <v>PHD0005</v>
          </cell>
          <cell r="X4083" t="str">
            <v>Formulación</v>
          </cell>
          <cell r="AC4083">
            <v>0.73083999999999993</v>
          </cell>
          <cell r="AD4083">
            <v>0.57547599999999999</v>
          </cell>
          <cell r="AE4083" t="str">
            <v>Con precio</v>
          </cell>
        </row>
        <row r="4084">
          <cell r="B4084" t="str">
            <v>PHD0005</v>
          </cell>
          <cell r="X4084" t="str">
            <v>Empaquetado</v>
          </cell>
          <cell r="AC4084">
            <v>1.3017316000000001E-2</v>
          </cell>
          <cell r="AD4084">
            <v>1.3017316000000001E-2</v>
          </cell>
          <cell r="AE4084" t="str">
            <v>Con precio</v>
          </cell>
        </row>
        <row r="4085">
          <cell r="B4085" t="str">
            <v>PHD0005</v>
          </cell>
          <cell r="X4085" t="str">
            <v>Empaquetado</v>
          </cell>
          <cell r="AC4085">
            <v>2.5359983896940424E-2</v>
          </cell>
          <cell r="AD4085">
            <v>2.5359983896940424E-2</v>
          </cell>
          <cell r="AE4085" t="str">
            <v>Con precio</v>
          </cell>
        </row>
        <row r="4086">
          <cell r="B4086" t="str">
            <v>PHD0005</v>
          </cell>
          <cell r="X4086" t="str">
            <v>Empaquetado</v>
          </cell>
          <cell r="AC4086">
            <v>2.5834900000000001E-2</v>
          </cell>
          <cell r="AD4086">
            <v>2.5834900000000001E-2</v>
          </cell>
          <cell r="AE4086" t="str">
            <v>Con precio</v>
          </cell>
        </row>
        <row r="4087">
          <cell r="B4087" t="str">
            <v>PHD0005</v>
          </cell>
          <cell r="X4087" t="str">
            <v>Empaquetado</v>
          </cell>
          <cell r="AC4087">
            <v>3.4200000000000001E-2</v>
          </cell>
          <cell r="AD4087">
            <v>3.4200000000000001E-2</v>
          </cell>
          <cell r="AE4087" t="str">
            <v>Con precio</v>
          </cell>
        </row>
        <row r="4088">
          <cell r="B4088" t="str">
            <v>PHD0005</v>
          </cell>
          <cell r="X4088" t="str">
            <v>Empaquetado</v>
          </cell>
          <cell r="AC4088">
            <v>0.17399999999999999</v>
          </cell>
          <cell r="AD4088">
            <v>0.17399999999999999</v>
          </cell>
          <cell r="AE4088" t="str">
            <v>Con precio</v>
          </cell>
        </row>
        <row r="4089">
          <cell r="B4089" t="str">
            <v>PHD0005</v>
          </cell>
          <cell r="X4089" t="str">
            <v>Empaquetado</v>
          </cell>
          <cell r="AC4089">
            <v>4.4999999999999997E-3</v>
          </cell>
          <cell r="AD4089">
            <v>4.4999999999999997E-3</v>
          </cell>
          <cell r="AE4089" t="str">
            <v>Con precio</v>
          </cell>
        </row>
        <row r="4090">
          <cell r="B4090" t="str">
            <v>PHD0005</v>
          </cell>
          <cell r="X4090" t="str">
            <v>Empaquetado</v>
          </cell>
          <cell r="AC4090">
            <v>3.6950017630465445E-2</v>
          </cell>
          <cell r="AD4090">
            <v>3.6950017630465445E-2</v>
          </cell>
          <cell r="AE4090" t="str">
            <v>Con precio</v>
          </cell>
        </row>
        <row r="4091">
          <cell r="B4091" t="str">
            <v>PHD0005MA</v>
          </cell>
          <cell r="X4091" t="str">
            <v>Formulación</v>
          </cell>
          <cell r="AC4091">
            <v>0</v>
          </cell>
          <cell r="AD4091">
            <v>0</v>
          </cell>
          <cell r="AE4091" t="str">
            <v>Con precio</v>
          </cell>
        </row>
        <row r="4092">
          <cell r="B4092" t="str">
            <v>PHD0005MA</v>
          </cell>
          <cell r="X4092" t="str">
            <v>Formulación</v>
          </cell>
          <cell r="AC4092">
            <v>6.7279999999999993E-2</v>
          </cell>
          <cell r="AD4092">
            <v>5.8797499999999996E-2</v>
          </cell>
          <cell r="AE4092" t="str">
            <v>Con precio</v>
          </cell>
        </row>
        <row r="4093">
          <cell r="B4093" t="str">
            <v>PHD0005MA</v>
          </cell>
          <cell r="X4093" t="str">
            <v>Formulación</v>
          </cell>
          <cell r="AC4093">
            <v>0.11258</v>
          </cell>
          <cell r="AD4093">
            <v>0.11258</v>
          </cell>
          <cell r="AE4093" t="str">
            <v>Con precio</v>
          </cell>
        </row>
        <row r="4094">
          <cell r="B4094" t="str">
            <v>PHD0005MA</v>
          </cell>
          <cell r="X4094" t="str">
            <v>Formulación</v>
          </cell>
          <cell r="AC4094">
            <v>0.43472</v>
          </cell>
          <cell r="AD4094">
            <v>0.26853514285714286</v>
          </cell>
          <cell r="AE4094" t="str">
            <v>Con precio</v>
          </cell>
        </row>
        <row r="4095">
          <cell r="B4095" t="str">
            <v>PHD0005MA</v>
          </cell>
          <cell r="X4095" t="str">
            <v>Formulación</v>
          </cell>
          <cell r="AC4095">
            <v>0.73083999999999993</v>
          </cell>
          <cell r="AD4095">
            <v>0.57547599999999999</v>
          </cell>
          <cell r="AE4095" t="str">
            <v>Con precio</v>
          </cell>
        </row>
        <row r="4096">
          <cell r="B4096" t="str">
            <v>PHD0005MA</v>
          </cell>
          <cell r="X4096" t="str">
            <v>Empaquetado</v>
          </cell>
          <cell r="AC4096">
            <v>1.3017316000000001E-2</v>
          </cell>
          <cell r="AD4096">
            <v>1.3017316000000001E-2</v>
          </cell>
          <cell r="AE4096" t="str">
            <v>Con precio</v>
          </cell>
        </row>
        <row r="4097">
          <cell r="B4097" t="str">
            <v>PHD0005MA</v>
          </cell>
          <cell r="X4097" t="str">
            <v>Empaquetado</v>
          </cell>
          <cell r="AC4097">
            <v>2.5359983896940424E-2</v>
          </cell>
          <cell r="AD4097">
            <v>2.5359983896940424E-2</v>
          </cell>
          <cell r="AE4097" t="str">
            <v>Con precio</v>
          </cell>
        </row>
        <row r="4098">
          <cell r="B4098" t="str">
            <v>PHD0005MA</v>
          </cell>
          <cell r="X4098" t="str">
            <v>Empaquetado</v>
          </cell>
          <cell r="AC4098">
            <v>2.5834900000000001E-2</v>
          </cell>
          <cell r="AD4098">
            <v>2.5834900000000001E-2</v>
          </cell>
          <cell r="AE4098" t="str">
            <v>Con precio</v>
          </cell>
        </row>
        <row r="4099">
          <cell r="B4099" t="str">
            <v>PHD0005MA</v>
          </cell>
          <cell r="X4099" t="str">
            <v>Empaquetado</v>
          </cell>
          <cell r="AC4099">
            <v>3.4200000000000001E-2</v>
          </cell>
          <cell r="AD4099">
            <v>3.4200000000000001E-2</v>
          </cell>
          <cell r="AE4099" t="str">
            <v>Con precio</v>
          </cell>
        </row>
        <row r="4100">
          <cell r="B4100" t="str">
            <v>PHD0005MA</v>
          </cell>
          <cell r="X4100" t="str">
            <v>Empaquetado</v>
          </cell>
          <cell r="AC4100">
            <v>0.17399999999999999</v>
          </cell>
          <cell r="AD4100">
            <v>0.17399999999999999</v>
          </cell>
          <cell r="AE4100" t="str">
            <v>Con precio</v>
          </cell>
        </row>
        <row r="4101">
          <cell r="B4101" t="str">
            <v>PHD0005MA</v>
          </cell>
          <cell r="X4101" t="str">
            <v>Empaquetado</v>
          </cell>
          <cell r="AC4101">
            <v>4.4999999999999997E-3</v>
          </cell>
          <cell r="AD4101">
            <v>4.4999999999999997E-3</v>
          </cell>
          <cell r="AE4101" t="str">
            <v>Con precio</v>
          </cell>
        </row>
        <row r="4102">
          <cell r="B4102" t="str">
            <v>PHD0005MA</v>
          </cell>
          <cell r="X4102" t="str">
            <v>Empaquetado</v>
          </cell>
          <cell r="AC4102">
            <v>3.6950017630465445E-2</v>
          </cell>
          <cell r="AD4102">
            <v>3.6950017630465445E-2</v>
          </cell>
          <cell r="AE4102" t="str">
            <v>Con precio</v>
          </cell>
        </row>
        <row r="4103">
          <cell r="B4103" t="str">
            <v>PHD0020</v>
          </cell>
          <cell r="X4103" t="str">
            <v>Formulación</v>
          </cell>
          <cell r="AC4103">
            <v>0</v>
          </cell>
          <cell r="AD4103">
            <v>0</v>
          </cell>
          <cell r="AE4103" t="str">
            <v>Con precio</v>
          </cell>
        </row>
        <row r="4104">
          <cell r="B4104" t="str">
            <v>PHD0020</v>
          </cell>
          <cell r="X4104" t="str">
            <v>Formulación</v>
          </cell>
          <cell r="AC4104">
            <v>6.7279999999999993E-2</v>
          </cell>
          <cell r="AD4104">
            <v>5.8797499999999996E-2</v>
          </cell>
          <cell r="AE4104" t="str">
            <v>Con precio</v>
          </cell>
        </row>
        <row r="4105">
          <cell r="B4105" t="str">
            <v>PHD0020</v>
          </cell>
          <cell r="X4105" t="str">
            <v>Formulación</v>
          </cell>
          <cell r="AC4105">
            <v>0.11258</v>
          </cell>
          <cell r="AD4105">
            <v>0.11258</v>
          </cell>
          <cell r="AE4105" t="str">
            <v>Con precio</v>
          </cell>
        </row>
        <row r="4106">
          <cell r="B4106" t="str">
            <v>PHD0020</v>
          </cell>
          <cell r="X4106" t="str">
            <v>Formulación</v>
          </cell>
          <cell r="AC4106">
            <v>0.43472</v>
          </cell>
          <cell r="AD4106">
            <v>0.26853514285714286</v>
          </cell>
          <cell r="AE4106" t="str">
            <v>Con precio</v>
          </cell>
        </row>
        <row r="4107">
          <cell r="B4107" t="str">
            <v>PHD0020</v>
          </cell>
          <cell r="X4107" t="str">
            <v>Formulación</v>
          </cell>
          <cell r="AC4107">
            <v>0.73083999999999993</v>
          </cell>
          <cell r="AD4107">
            <v>0.57547599999999999</v>
          </cell>
          <cell r="AE4107" t="str">
            <v>Con precio</v>
          </cell>
        </row>
        <row r="4108">
          <cell r="B4108" t="str">
            <v>PHD0020</v>
          </cell>
          <cell r="X4108" t="str">
            <v>Empaquetado</v>
          </cell>
          <cell r="AC4108">
            <v>7.3092239999999996E-3</v>
          </cell>
          <cell r="AD4108">
            <v>7.3092239999999996E-3</v>
          </cell>
          <cell r="AE4108" t="str">
            <v>Con precio</v>
          </cell>
        </row>
        <row r="4109">
          <cell r="B4109" t="str">
            <v>PHD0020</v>
          </cell>
          <cell r="X4109" t="str">
            <v>Empaquetado</v>
          </cell>
          <cell r="AC4109">
            <v>2.41332E-2</v>
          </cell>
          <cell r="AD4109">
            <v>2.41332E-2</v>
          </cell>
          <cell r="AE4109" t="str">
            <v>Con precio</v>
          </cell>
        </row>
        <row r="4110">
          <cell r="B4110" t="str">
            <v>PHD0020</v>
          </cell>
          <cell r="X4110" t="str">
            <v>Empaquetado</v>
          </cell>
          <cell r="AC4110">
            <v>5.0719967793880849E-3</v>
          </cell>
          <cell r="AD4110">
            <v>5.0719967793880849E-3</v>
          </cell>
          <cell r="AE4110" t="str">
            <v>Con precio</v>
          </cell>
        </row>
        <row r="4111">
          <cell r="B4111" t="str">
            <v>PHD0020</v>
          </cell>
          <cell r="X4111" t="str">
            <v>Empaquetado</v>
          </cell>
          <cell r="AC4111">
            <v>4.4999999999999997E-3</v>
          </cell>
          <cell r="AD4111">
            <v>4.4999999999999997E-3</v>
          </cell>
          <cell r="AE4111" t="str">
            <v>Con precio</v>
          </cell>
        </row>
        <row r="4112">
          <cell r="B4112" t="str">
            <v>PHD0020</v>
          </cell>
          <cell r="X4112" t="str">
            <v>Empaquetado</v>
          </cell>
          <cell r="AC4112">
            <v>0.18266505681818179</v>
          </cell>
          <cell r="AD4112">
            <v>0.18266505681818179</v>
          </cell>
          <cell r="AE4112" t="str">
            <v>Con precio</v>
          </cell>
        </row>
        <row r="4113">
          <cell r="B4113" t="str">
            <v>PHD0020</v>
          </cell>
          <cell r="X4113" t="str">
            <v>Empaquetado</v>
          </cell>
          <cell r="AC4113">
            <v>2.4035031847133761E-2</v>
          </cell>
          <cell r="AD4113">
            <v>2.4035031847133761E-2</v>
          </cell>
          <cell r="AE4113" t="str">
            <v>Con precio</v>
          </cell>
        </row>
        <row r="4114">
          <cell r="B4114" t="str">
            <v>PHD0020MA</v>
          </cell>
          <cell r="X4114" t="str">
            <v>Formulación</v>
          </cell>
          <cell r="AC4114">
            <v>0</v>
          </cell>
          <cell r="AD4114">
            <v>0</v>
          </cell>
          <cell r="AE4114" t="str">
            <v>Con precio</v>
          </cell>
        </row>
        <row r="4115">
          <cell r="B4115" t="str">
            <v>PHD0020MA</v>
          </cell>
          <cell r="X4115" t="str">
            <v>Formulación</v>
          </cell>
          <cell r="AC4115">
            <v>6.7279999999999993E-2</v>
          </cell>
          <cell r="AD4115">
            <v>5.8797499999999996E-2</v>
          </cell>
          <cell r="AE4115" t="str">
            <v>Con precio</v>
          </cell>
        </row>
        <row r="4116">
          <cell r="B4116" t="str">
            <v>PHD0020MA</v>
          </cell>
          <cell r="X4116" t="str">
            <v>Formulación</v>
          </cell>
          <cell r="AC4116">
            <v>0.11258</v>
          </cell>
          <cell r="AD4116">
            <v>0.11258</v>
          </cell>
          <cell r="AE4116" t="str">
            <v>Con precio</v>
          </cell>
        </row>
        <row r="4117">
          <cell r="B4117" t="str">
            <v>PHD0020MA</v>
          </cell>
          <cell r="X4117" t="str">
            <v>Formulación</v>
          </cell>
          <cell r="AC4117">
            <v>0.43472</v>
          </cell>
          <cell r="AD4117">
            <v>0.26853514285714286</v>
          </cell>
          <cell r="AE4117" t="str">
            <v>Con precio</v>
          </cell>
        </row>
        <row r="4118">
          <cell r="B4118" t="str">
            <v>PHD0020MA</v>
          </cell>
          <cell r="X4118" t="str">
            <v>Formulación</v>
          </cell>
          <cell r="AC4118">
            <v>0.73083999999999993</v>
          </cell>
          <cell r="AD4118">
            <v>0.57547599999999999</v>
          </cell>
          <cell r="AE4118" t="str">
            <v>Con precio</v>
          </cell>
        </row>
        <row r="4119">
          <cell r="B4119" t="str">
            <v>PHD0020MA</v>
          </cell>
          <cell r="X4119" t="str">
            <v>Empaquetado</v>
          </cell>
          <cell r="AC4119">
            <v>7.3092239999999996E-3</v>
          </cell>
          <cell r="AD4119">
            <v>7.3092239999999996E-3</v>
          </cell>
          <cell r="AE4119" t="str">
            <v>Con precio</v>
          </cell>
        </row>
        <row r="4120">
          <cell r="B4120" t="str">
            <v>PHD0020MA</v>
          </cell>
          <cell r="X4120" t="str">
            <v>Empaquetado</v>
          </cell>
          <cell r="AC4120">
            <v>2.41332E-2</v>
          </cell>
          <cell r="AD4120">
            <v>2.41332E-2</v>
          </cell>
          <cell r="AE4120" t="str">
            <v>Con precio</v>
          </cell>
        </row>
        <row r="4121">
          <cell r="B4121" t="str">
            <v>PHD0020MA</v>
          </cell>
          <cell r="X4121" t="str">
            <v>Empaquetado</v>
          </cell>
          <cell r="AC4121">
            <v>5.0719967793880849E-3</v>
          </cell>
          <cell r="AD4121">
            <v>5.0719967793880849E-3</v>
          </cell>
          <cell r="AE4121" t="str">
            <v>Con precio</v>
          </cell>
        </row>
        <row r="4122">
          <cell r="B4122" t="str">
            <v>PHD0020MA</v>
          </cell>
          <cell r="X4122" t="str">
            <v>Empaquetado</v>
          </cell>
          <cell r="AC4122">
            <v>4.4999999999999997E-3</v>
          </cell>
          <cell r="AD4122">
            <v>4.4999999999999997E-3</v>
          </cell>
          <cell r="AE4122" t="str">
            <v>Con precio</v>
          </cell>
        </row>
        <row r="4123">
          <cell r="B4123" t="str">
            <v>PHD0020MA</v>
          </cell>
          <cell r="X4123" t="str">
            <v>Empaquetado</v>
          </cell>
          <cell r="AC4123">
            <v>0.18266505681818179</v>
          </cell>
          <cell r="AD4123">
            <v>0.18266505681818179</v>
          </cell>
          <cell r="AE4123" t="str">
            <v>Con precio</v>
          </cell>
        </row>
        <row r="4124">
          <cell r="B4124" t="str">
            <v>PHD0020MA</v>
          </cell>
          <cell r="X4124" t="str">
            <v>Empaquetado</v>
          </cell>
          <cell r="AC4124">
            <v>2.4035031847133761E-2</v>
          </cell>
          <cell r="AD4124">
            <v>2.4035031847133761E-2</v>
          </cell>
          <cell r="AE4124" t="str">
            <v>Con precio</v>
          </cell>
        </row>
        <row r="4125">
          <cell r="B4125" t="str">
            <v>PIV0005</v>
          </cell>
          <cell r="X4125" t="str">
            <v>Formulación</v>
          </cell>
          <cell r="AC4125">
            <v>0.10304000000000001</v>
          </cell>
          <cell r="AD4125">
            <v>9.9680000000000005E-2</v>
          </cell>
          <cell r="AE4125" t="str">
            <v>Con precio</v>
          </cell>
        </row>
        <row r="4126">
          <cell r="B4126" t="str">
            <v>PIV0005</v>
          </cell>
          <cell r="X4126" t="str">
            <v>Formulación</v>
          </cell>
          <cell r="AC4126">
            <v>0.13650000000000001</v>
          </cell>
          <cell r="AD4126">
            <v>9.6317E-2</v>
          </cell>
          <cell r="AE4126" t="str">
            <v>Con precio</v>
          </cell>
        </row>
        <row r="4127">
          <cell r="B4127" t="str">
            <v>PIV0005</v>
          </cell>
          <cell r="X4127" t="str">
            <v>Formulación</v>
          </cell>
          <cell r="AC4127">
            <v>9.4E-2</v>
          </cell>
          <cell r="AD4127">
            <v>7.7666666666666676E-2</v>
          </cell>
          <cell r="AE4127" t="str">
            <v>Con precio</v>
          </cell>
        </row>
        <row r="4128">
          <cell r="B4128" t="str">
            <v>PIV0005</v>
          </cell>
          <cell r="X4128" t="str">
            <v>Formulación</v>
          </cell>
          <cell r="AC4128">
            <v>0.10804499999999999</v>
          </cell>
          <cell r="AD4128">
            <v>0.10804499999999999</v>
          </cell>
          <cell r="AE4128" t="str">
            <v>Con precio</v>
          </cell>
        </row>
        <row r="4129">
          <cell r="B4129" t="str">
            <v>PIV0005</v>
          </cell>
          <cell r="X4129" t="str">
            <v>Formulación</v>
          </cell>
          <cell r="AC4129">
            <v>7.3200000000000001E-3</v>
          </cell>
          <cell r="AD4129">
            <v>7.3200000000000001E-3</v>
          </cell>
          <cell r="AE4129" t="str">
            <v>Con precio</v>
          </cell>
        </row>
        <row r="4130">
          <cell r="B4130" t="str">
            <v>PIV0005</v>
          </cell>
          <cell r="X4130" t="str">
            <v>Formulación</v>
          </cell>
          <cell r="AC4130">
            <v>5.3691999999999997E-2</v>
          </cell>
          <cell r="AD4130">
            <v>5.3691999999999997E-2</v>
          </cell>
          <cell r="AE4130" t="str">
            <v>Con precio</v>
          </cell>
        </row>
        <row r="4131">
          <cell r="B4131" t="str">
            <v>PIV0005</v>
          </cell>
          <cell r="X4131" t="str">
            <v>Formulación</v>
          </cell>
          <cell r="AC4131">
            <v>6.0400000000000002E-2</v>
          </cell>
          <cell r="AD4131">
            <v>4.7560000000000005E-2</v>
          </cell>
          <cell r="AE4131" t="str">
            <v>Con precio</v>
          </cell>
        </row>
        <row r="4132">
          <cell r="B4132" t="str">
            <v>PIV0005</v>
          </cell>
          <cell r="X4132" t="str">
            <v>Empaquetado</v>
          </cell>
          <cell r="AC4132">
            <v>7.7948000000000002E-3</v>
          </cell>
          <cell r="AD4132">
            <v>7.7948000000000002E-3</v>
          </cell>
          <cell r="AE4132" t="str">
            <v>Con precio</v>
          </cell>
        </row>
        <row r="4133">
          <cell r="B4133" t="str">
            <v>PIV0005</v>
          </cell>
          <cell r="X4133" t="str">
            <v>Empaquetado</v>
          </cell>
          <cell r="AC4133">
            <v>2.5359983896940424E-2</v>
          </cell>
          <cell r="AD4133">
            <v>2.5359983896940424E-2</v>
          </cell>
          <cell r="AE4133" t="str">
            <v>Con precio</v>
          </cell>
        </row>
        <row r="4134">
          <cell r="B4134" t="str">
            <v>PIV0005</v>
          </cell>
          <cell r="X4134" t="str">
            <v>Empaquetado</v>
          </cell>
          <cell r="AC4134">
            <v>3.0940000000000002E-2</v>
          </cell>
          <cell r="AD4134">
            <v>3.0940000000000002E-2</v>
          </cell>
          <cell r="AE4134" t="str">
            <v>Con precio</v>
          </cell>
        </row>
        <row r="4135">
          <cell r="B4135" t="str">
            <v>PIV0005</v>
          </cell>
          <cell r="X4135" t="str">
            <v>Empaquetado</v>
          </cell>
          <cell r="AC4135">
            <v>0.17399999999999999</v>
          </cell>
          <cell r="AD4135">
            <v>0.17399999999999999</v>
          </cell>
          <cell r="AE4135" t="str">
            <v>Con precio</v>
          </cell>
        </row>
        <row r="4136">
          <cell r="B4136" t="str">
            <v>PIV0005</v>
          </cell>
          <cell r="X4136" t="str">
            <v>Empaquetado</v>
          </cell>
          <cell r="AC4136">
            <v>5.7799999999999997E-2</v>
          </cell>
          <cell r="AD4136">
            <v>5.7799999999999997E-2</v>
          </cell>
          <cell r="AE4136" t="str">
            <v>Con precio</v>
          </cell>
        </row>
        <row r="4137">
          <cell r="B4137" t="str">
            <v>PIV0005</v>
          </cell>
          <cell r="X4137" t="str">
            <v>Empaquetado</v>
          </cell>
          <cell r="AC4137">
            <v>3.6950017630465445E-2</v>
          </cell>
          <cell r="AD4137">
            <v>3.6950017630465445E-2</v>
          </cell>
          <cell r="AE4137" t="str">
            <v>Con precio</v>
          </cell>
        </row>
        <row r="4138">
          <cell r="B4138" t="str">
            <v>PIV0020</v>
          </cell>
          <cell r="X4138" t="str">
            <v>Formulación</v>
          </cell>
          <cell r="AC4138">
            <v>0.10304000000000001</v>
          </cell>
          <cell r="AD4138">
            <v>9.9680000000000005E-2</v>
          </cell>
          <cell r="AE4138" t="str">
            <v>Con precio</v>
          </cell>
        </row>
        <row r="4139">
          <cell r="B4139" t="str">
            <v>PIV0020</v>
          </cell>
          <cell r="X4139" t="str">
            <v>Formulación</v>
          </cell>
          <cell r="AC4139">
            <v>0.13650000000000001</v>
          </cell>
          <cell r="AD4139">
            <v>9.6317E-2</v>
          </cell>
          <cell r="AE4139" t="str">
            <v>Con precio</v>
          </cell>
        </row>
        <row r="4140">
          <cell r="B4140" t="str">
            <v>PIV0020</v>
          </cell>
          <cell r="X4140" t="str">
            <v>Formulación</v>
          </cell>
          <cell r="AC4140">
            <v>9.4E-2</v>
          </cell>
          <cell r="AD4140">
            <v>7.7666666666666676E-2</v>
          </cell>
          <cell r="AE4140" t="str">
            <v>Con precio</v>
          </cell>
        </row>
        <row r="4141">
          <cell r="B4141" t="str">
            <v>PIV0020</v>
          </cell>
          <cell r="X4141" t="str">
            <v>Formulación</v>
          </cell>
          <cell r="AC4141">
            <v>0.10804499999999999</v>
          </cell>
          <cell r="AD4141">
            <v>0.10804499999999999</v>
          </cell>
          <cell r="AE4141" t="str">
            <v>Con precio</v>
          </cell>
        </row>
        <row r="4142">
          <cell r="B4142" t="str">
            <v>PIV0020</v>
          </cell>
          <cell r="X4142" t="str">
            <v>Formulación</v>
          </cell>
          <cell r="AC4142">
            <v>7.3200000000000001E-3</v>
          </cell>
          <cell r="AD4142">
            <v>7.3200000000000001E-3</v>
          </cell>
          <cell r="AE4142" t="str">
            <v>Con precio</v>
          </cell>
        </row>
        <row r="4143">
          <cell r="B4143" t="str">
            <v>PIV0020</v>
          </cell>
          <cell r="X4143" t="str">
            <v>Formulación</v>
          </cell>
          <cell r="AC4143">
            <v>5.3691999999999997E-2</v>
          </cell>
          <cell r="AD4143">
            <v>5.3691999999999997E-2</v>
          </cell>
          <cell r="AE4143" t="str">
            <v>Con precio</v>
          </cell>
        </row>
        <row r="4144">
          <cell r="B4144" t="str">
            <v>PIV0020</v>
          </cell>
          <cell r="X4144" t="str">
            <v>Formulación</v>
          </cell>
          <cell r="AC4144">
            <v>6.0400000000000002E-2</v>
          </cell>
          <cell r="AD4144">
            <v>4.7560000000000005E-2</v>
          </cell>
          <cell r="AE4144" t="str">
            <v>Con precio</v>
          </cell>
        </row>
        <row r="4145">
          <cell r="B4145" t="str">
            <v>PIV0020</v>
          </cell>
          <cell r="X4145" t="str">
            <v>Empaquetado</v>
          </cell>
          <cell r="AC4145">
            <v>4.6853999999999993E-3</v>
          </cell>
          <cell r="AD4145">
            <v>4.6853999999999993E-3</v>
          </cell>
          <cell r="AE4145" t="str">
            <v>Con precio</v>
          </cell>
        </row>
        <row r="4146">
          <cell r="B4146" t="str">
            <v>PIV0020</v>
          </cell>
          <cell r="X4146" t="str">
            <v>Empaquetado</v>
          </cell>
          <cell r="AC4146">
            <v>2.41332E-2</v>
          </cell>
          <cell r="AD4146">
            <v>2.41332E-2</v>
          </cell>
          <cell r="AE4146" t="str">
            <v>Con precio</v>
          </cell>
        </row>
        <row r="4147">
          <cell r="B4147" t="str">
            <v>PIV0020</v>
          </cell>
          <cell r="X4147" t="str">
            <v>Empaquetado</v>
          </cell>
          <cell r="AC4147">
            <v>5.0719967793880849E-3</v>
          </cell>
          <cell r="AD4147">
            <v>5.0719967793880849E-3</v>
          </cell>
          <cell r="AE4147" t="str">
            <v>Con precio</v>
          </cell>
        </row>
        <row r="4148">
          <cell r="B4148" t="str">
            <v>PIV0020</v>
          </cell>
          <cell r="X4148" t="str">
            <v>Empaquetado</v>
          </cell>
          <cell r="AC4148">
            <v>0.18266505681818179</v>
          </cell>
          <cell r="AD4148">
            <v>0.18266505681818179</v>
          </cell>
          <cell r="AE4148" t="str">
            <v>Con precio</v>
          </cell>
        </row>
        <row r="4149">
          <cell r="B4149" t="str">
            <v>PIV0020</v>
          </cell>
          <cell r="X4149" t="str">
            <v>Empaquetado</v>
          </cell>
          <cell r="AC4149">
            <v>2.4035031847133761E-2</v>
          </cell>
          <cell r="AD4149">
            <v>2.4035031847133761E-2</v>
          </cell>
          <cell r="AE4149" t="str">
            <v>Con precio</v>
          </cell>
        </row>
        <row r="4150">
          <cell r="B4150" t="str">
            <v>PIV0200</v>
          </cell>
          <cell r="X4150" t="str">
            <v>Formulación</v>
          </cell>
          <cell r="AC4150">
            <v>0.10304000000000001</v>
          </cell>
          <cell r="AD4150">
            <v>9.9680000000000005E-2</v>
          </cell>
          <cell r="AE4150" t="str">
            <v>Con precio</v>
          </cell>
        </row>
        <row r="4151">
          <cell r="B4151" t="str">
            <v>PIV0200</v>
          </cell>
          <cell r="X4151" t="str">
            <v>Formulación</v>
          </cell>
          <cell r="AC4151">
            <v>0.13650000000000001</v>
          </cell>
          <cell r="AD4151">
            <v>9.6317E-2</v>
          </cell>
          <cell r="AE4151" t="str">
            <v>Con precio</v>
          </cell>
        </row>
        <row r="4152">
          <cell r="B4152" t="str">
            <v>PIV0200</v>
          </cell>
          <cell r="X4152" t="str">
            <v>Formulación</v>
          </cell>
          <cell r="AC4152">
            <v>9.4E-2</v>
          </cell>
          <cell r="AD4152">
            <v>7.7666666666666676E-2</v>
          </cell>
          <cell r="AE4152" t="str">
            <v>Con precio</v>
          </cell>
        </row>
        <row r="4153">
          <cell r="B4153" t="str">
            <v>PIV0200</v>
          </cell>
          <cell r="X4153" t="str">
            <v>Formulación</v>
          </cell>
          <cell r="AC4153">
            <v>0.10804499999999999</v>
          </cell>
          <cell r="AD4153">
            <v>0.10804499999999999</v>
          </cell>
          <cell r="AE4153" t="str">
            <v>Con precio</v>
          </cell>
        </row>
        <row r="4154">
          <cell r="B4154" t="str">
            <v>PIV0200</v>
          </cell>
          <cell r="X4154" t="str">
            <v>Formulación</v>
          </cell>
          <cell r="AC4154">
            <v>7.3200000000000001E-3</v>
          </cell>
          <cell r="AD4154">
            <v>7.3200000000000001E-3</v>
          </cell>
          <cell r="AE4154" t="str">
            <v>Con precio</v>
          </cell>
        </row>
        <row r="4155">
          <cell r="B4155" t="str">
            <v>PIV0200</v>
          </cell>
          <cell r="X4155" t="str">
            <v>Formulación</v>
          </cell>
          <cell r="AC4155">
            <v>5.3691999999999997E-2</v>
          </cell>
          <cell r="AD4155">
            <v>5.3691999999999997E-2</v>
          </cell>
          <cell r="AE4155" t="str">
            <v>Con precio</v>
          </cell>
        </row>
        <row r="4156">
          <cell r="B4156" t="str">
            <v>PIV0200</v>
          </cell>
          <cell r="X4156" t="str">
            <v>Formulación</v>
          </cell>
          <cell r="AC4156">
            <v>6.0400000000000002E-2</v>
          </cell>
          <cell r="AD4156">
            <v>4.7560000000000005E-2</v>
          </cell>
          <cell r="AE4156" t="str">
            <v>Con precio</v>
          </cell>
        </row>
        <row r="4157">
          <cell r="B4157" t="str">
            <v>PIV0200</v>
          </cell>
          <cell r="X4157" t="str">
            <v>Empaquetado</v>
          </cell>
          <cell r="AC4157">
            <v>5.0719967793880845E-4</v>
          </cell>
          <cell r="AD4157">
            <v>5.0719967793880845E-4</v>
          </cell>
          <cell r="AE4157" t="str">
            <v>Con precio</v>
          </cell>
        </row>
        <row r="4158">
          <cell r="B4158" t="str">
            <v>PIV0200</v>
          </cell>
          <cell r="X4158" t="str">
            <v>Empaquetado</v>
          </cell>
          <cell r="AC4158">
            <v>2.1875000000000002E-3</v>
          </cell>
          <cell r="AD4158">
            <v>2.1875000000000002E-3</v>
          </cell>
          <cell r="AE4158" t="str">
            <v>Con precio</v>
          </cell>
        </row>
        <row r="4159">
          <cell r="B4159" t="str">
            <v>PIV0200</v>
          </cell>
          <cell r="X4159" t="str">
            <v>Empaquetado</v>
          </cell>
          <cell r="AC4159">
            <v>0.16730511363636363</v>
          </cell>
          <cell r="AD4159">
            <v>0.16730511363636363</v>
          </cell>
          <cell r="AE4159" t="str">
            <v>Con precio</v>
          </cell>
        </row>
        <row r="4160">
          <cell r="B4160" t="str">
            <v>PIV0200</v>
          </cell>
          <cell r="X4160" t="str">
            <v>Empaquetado</v>
          </cell>
          <cell r="AC4160">
            <v>1.9337500000000001E-2</v>
          </cell>
          <cell r="AD4160">
            <v>1.9337500000000001E-2</v>
          </cell>
          <cell r="AE4160" t="str">
            <v>Con precio</v>
          </cell>
        </row>
        <row r="4161">
          <cell r="B4161" t="str">
            <v>PIV0200</v>
          </cell>
          <cell r="X4161" t="str">
            <v>Empaquetado</v>
          </cell>
          <cell r="AC4161">
            <v>3.4999999999999996E-3</v>
          </cell>
          <cell r="AD4161">
            <v>3.4999999999999996E-3</v>
          </cell>
          <cell r="AE4161" t="str">
            <v>Con precio</v>
          </cell>
        </row>
        <row r="4162">
          <cell r="B4162" t="str">
            <v>PIV0200</v>
          </cell>
          <cell r="X4162" t="str">
            <v>Empaquetado</v>
          </cell>
          <cell r="AC4162">
            <v>2.2500000000000003E-3</v>
          </cell>
          <cell r="AD4162">
            <v>2.2500000000000003E-3</v>
          </cell>
          <cell r="AE4162" t="str">
            <v>Con precio</v>
          </cell>
        </row>
        <row r="4163">
          <cell r="B4163" t="str">
            <v>PK500001DO</v>
          </cell>
          <cell r="X4163" t="str">
            <v>Formulación</v>
          </cell>
          <cell r="AC4163">
            <v>0.100456</v>
          </cell>
          <cell r="AD4163">
            <v>0.100456</v>
          </cell>
          <cell r="AE4163" t="str">
            <v>Con precio</v>
          </cell>
        </row>
        <row r="4164">
          <cell r="B4164" t="str">
            <v>PK500001DO</v>
          </cell>
          <cell r="X4164" t="str">
            <v>Formulación</v>
          </cell>
          <cell r="AC4164">
            <v>1.32</v>
          </cell>
          <cell r="AD4164">
            <v>1.224</v>
          </cell>
          <cell r="AE4164" t="str">
            <v>Con precio</v>
          </cell>
        </row>
        <row r="4165">
          <cell r="B4165" t="str">
            <v>PK500001DO</v>
          </cell>
          <cell r="X4165" t="str">
            <v>Formulación</v>
          </cell>
          <cell r="AC4165">
            <v>1.3500000000000002E-2</v>
          </cell>
          <cell r="AD4165">
            <v>1.1785714285714287E-2</v>
          </cell>
          <cell r="AE4165" t="str">
            <v>Con precio</v>
          </cell>
        </row>
        <row r="4166">
          <cell r="B4166" t="str">
            <v>PK500001DO</v>
          </cell>
          <cell r="X4166" t="str">
            <v>Empaquetado</v>
          </cell>
          <cell r="AC4166">
            <v>3.0303030303030299E-5</v>
          </cell>
          <cell r="AD4166">
            <v>3.0303030303030299E-5</v>
          </cell>
          <cell r="AE4166" t="str">
            <v>Con precio</v>
          </cell>
        </row>
        <row r="4167">
          <cell r="B4167" t="str">
            <v>PK500001DO</v>
          </cell>
          <cell r="X4167" t="str">
            <v>Empaquetado</v>
          </cell>
          <cell r="AC4167">
            <v>2.3439393939393937E-2</v>
          </cell>
          <cell r="AD4167">
            <v>2.3439393939393937E-2</v>
          </cell>
          <cell r="AE4167" t="str">
            <v>Con precio</v>
          </cell>
        </row>
        <row r="4168">
          <cell r="B4168" t="str">
            <v>PK500001DO</v>
          </cell>
          <cell r="X4168" t="str">
            <v>Empaquetado</v>
          </cell>
          <cell r="AC4168">
            <v>7.1917518745739595E-2</v>
          </cell>
          <cell r="AD4168">
            <v>7.1917518745739595E-2</v>
          </cell>
          <cell r="AE4168" t="str">
            <v>Con precio</v>
          </cell>
        </row>
        <row r="4169">
          <cell r="B4169" t="str">
            <v>PK500001DO</v>
          </cell>
          <cell r="X4169" t="str">
            <v>Empaquetado</v>
          </cell>
          <cell r="AC4169">
            <v>0.44322992424242419</v>
          </cell>
          <cell r="AD4169">
            <v>0.44322992424242419</v>
          </cell>
          <cell r="AE4169" t="str">
            <v>Con precio</v>
          </cell>
        </row>
        <row r="4170">
          <cell r="B4170" t="str">
            <v>PK500001DO</v>
          </cell>
          <cell r="X4170" t="str">
            <v>Empaquetado</v>
          </cell>
          <cell r="AC4170">
            <v>0.11874999999999999</v>
          </cell>
          <cell r="AD4170">
            <v>0.11874999999999999</v>
          </cell>
          <cell r="AE4170" t="str">
            <v>Con precio</v>
          </cell>
        </row>
        <row r="4171">
          <cell r="B4171" t="str">
            <v>PK500001DO</v>
          </cell>
          <cell r="X4171" t="str">
            <v>Empaquetado</v>
          </cell>
          <cell r="AC4171">
            <v>9.6080774456521717E-2</v>
          </cell>
          <cell r="AD4171">
            <v>9.6080774456521717E-2</v>
          </cell>
          <cell r="AE4171" t="str">
            <v>Con precio</v>
          </cell>
        </row>
        <row r="4172">
          <cell r="B4172" t="str">
            <v>PK500001RO</v>
          </cell>
          <cell r="X4172" t="str">
            <v>Formulación</v>
          </cell>
          <cell r="AC4172">
            <v>0.100456</v>
          </cell>
          <cell r="AD4172">
            <v>0.100456</v>
          </cell>
          <cell r="AE4172" t="str">
            <v>Con precio</v>
          </cell>
        </row>
        <row r="4173">
          <cell r="B4173" t="str">
            <v>PK500001RO</v>
          </cell>
          <cell r="X4173" t="str">
            <v>Formulación</v>
          </cell>
          <cell r="AC4173">
            <v>1.32</v>
          </cell>
          <cell r="AD4173">
            <v>1.224</v>
          </cell>
          <cell r="AE4173" t="str">
            <v>Con precio</v>
          </cell>
        </row>
        <row r="4174">
          <cell r="B4174" t="str">
            <v>PK500001RO</v>
          </cell>
          <cell r="X4174" t="str">
            <v>Formulación</v>
          </cell>
          <cell r="AC4174">
            <v>1.3500000000000002E-2</v>
          </cell>
          <cell r="AD4174">
            <v>1.1785714285714287E-2</v>
          </cell>
          <cell r="AE4174" t="str">
            <v>Con precio</v>
          </cell>
        </row>
        <row r="4175">
          <cell r="B4175" t="str">
            <v>PK500001RO</v>
          </cell>
          <cell r="X4175" t="str">
            <v>Empaquetado</v>
          </cell>
          <cell r="AC4175">
            <v>3.0303030303030299E-5</v>
          </cell>
          <cell r="AD4175">
            <v>3.0303030303030299E-5</v>
          </cell>
          <cell r="AE4175" t="str">
            <v>Con precio</v>
          </cell>
        </row>
        <row r="4176">
          <cell r="B4176" t="str">
            <v>PK500001RO</v>
          </cell>
          <cell r="X4176" t="str">
            <v>Empaquetado</v>
          </cell>
          <cell r="AC4176">
            <v>2.3439393939393937E-2</v>
          </cell>
          <cell r="AD4176">
            <v>2.3439393939393937E-2</v>
          </cell>
          <cell r="AE4176" t="str">
            <v>Con precio</v>
          </cell>
        </row>
        <row r="4177">
          <cell r="B4177" t="str">
            <v>PK500001RO</v>
          </cell>
          <cell r="X4177" t="str">
            <v>Empaquetado</v>
          </cell>
          <cell r="AC4177">
            <v>7.1917518745739595E-2</v>
          </cell>
          <cell r="AD4177">
            <v>7.1917518745739595E-2</v>
          </cell>
          <cell r="AE4177" t="str">
            <v>Con precio</v>
          </cell>
        </row>
        <row r="4178">
          <cell r="B4178" t="str">
            <v>PK500001RO</v>
          </cell>
          <cell r="X4178" t="str">
            <v>Empaquetado</v>
          </cell>
          <cell r="AC4178">
            <v>0.44322992424242419</v>
          </cell>
          <cell r="AD4178">
            <v>0.44322992424242419</v>
          </cell>
          <cell r="AE4178" t="str">
            <v>Con precio</v>
          </cell>
        </row>
        <row r="4179">
          <cell r="B4179" t="str">
            <v>PK500001RO</v>
          </cell>
          <cell r="X4179" t="str">
            <v>Empaquetado</v>
          </cell>
          <cell r="AC4179">
            <v>0.11874999999999999</v>
          </cell>
          <cell r="AD4179">
            <v>0.11874999999999999</v>
          </cell>
          <cell r="AE4179" t="str">
            <v>Con precio</v>
          </cell>
        </row>
        <row r="4180">
          <cell r="B4180" t="str">
            <v>PK500001RO</v>
          </cell>
          <cell r="X4180" t="str">
            <v>Empaquetado</v>
          </cell>
          <cell r="AC4180">
            <v>9.6080774456521717E-2</v>
          </cell>
          <cell r="AD4180">
            <v>9.6080774456521717E-2</v>
          </cell>
          <cell r="AE4180" t="str">
            <v>Con precio</v>
          </cell>
        </row>
        <row r="4181">
          <cell r="B4181" t="str">
            <v>PK500005</v>
          </cell>
          <cell r="X4181" t="str">
            <v>Formulación</v>
          </cell>
          <cell r="AC4181">
            <v>0.100456</v>
          </cell>
          <cell r="AD4181">
            <v>0.100456</v>
          </cell>
          <cell r="AE4181" t="str">
            <v>Con precio</v>
          </cell>
        </row>
        <row r="4182">
          <cell r="B4182" t="str">
            <v>PK500005</v>
          </cell>
          <cell r="X4182" t="str">
            <v>Formulación</v>
          </cell>
          <cell r="AC4182">
            <v>1.32</v>
          </cell>
          <cell r="AD4182">
            <v>1.224</v>
          </cell>
          <cell r="AE4182" t="str">
            <v>Con precio</v>
          </cell>
        </row>
        <row r="4183">
          <cell r="B4183" t="str">
            <v>PK500005</v>
          </cell>
          <cell r="X4183" t="str">
            <v>Formulación</v>
          </cell>
          <cell r="AC4183">
            <v>1.3500000000000002E-2</v>
          </cell>
          <cell r="AD4183">
            <v>1.1785714285714287E-2</v>
          </cell>
          <cell r="AE4183" t="str">
            <v>Con precio</v>
          </cell>
        </row>
        <row r="4184">
          <cell r="B4184" t="str">
            <v>PK500005</v>
          </cell>
          <cell r="X4184" t="str">
            <v>Empaquetado</v>
          </cell>
          <cell r="AC4184">
            <v>7.7948000000000002E-3</v>
          </cell>
          <cell r="AD4184">
            <v>7.7948000000000002E-3</v>
          </cell>
          <cell r="AE4184" t="str">
            <v>Con precio</v>
          </cell>
        </row>
        <row r="4185">
          <cell r="B4185" t="str">
            <v>PK500005</v>
          </cell>
          <cell r="X4185" t="str">
            <v>Empaquetado</v>
          </cell>
          <cell r="AC4185">
            <v>2.5359983896940424E-2</v>
          </cell>
          <cell r="AD4185">
            <v>2.5359983896940424E-2</v>
          </cell>
          <cell r="AE4185" t="str">
            <v>Con precio</v>
          </cell>
        </row>
        <row r="4186">
          <cell r="B4186" t="str">
            <v>PK500005</v>
          </cell>
          <cell r="X4186" t="str">
            <v>Empaquetado</v>
          </cell>
          <cell r="AC4186">
            <v>2.5834900000000001E-2</v>
          </cell>
          <cell r="AD4186">
            <v>2.5834900000000001E-2</v>
          </cell>
          <cell r="AE4186" t="str">
            <v>Con precio</v>
          </cell>
        </row>
        <row r="4187">
          <cell r="B4187" t="str">
            <v>PK500005</v>
          </cell>
          <cell r="X4187" t="str">
            <v>Empaquetado</v>
          </cell>
          <cell r="AC4187">
            <v>3.4200000000000001E-2</v>
          </cell>
          <cell r="AD4187">
            <v>3.4200000000000001E-2</v>
          </cell>
          <cell r="AE4187" t="str">
            <v>Con precio</v>
          </cell>
        </row>
        <row r="4188">
          <cell r="B4188" t="str">
            <v>PK500005</v>
          </cell>
          <cell r="X4188" t="str">
            <v>Empaquetado</v>
          </cell>
          <cell r="AC4188">
            <v>0.17399999999999999</v>
          </cell>
          <cell r="AD4188">
            <v>0.17399999999999999</v>
          </cell>
          <cell r="AE4188" t="str">
            <v>Con precio</v>
          </cell>
        </row>
        <row r="4189">
          <cell r="B4189" t="str">
            <v>PK500005</v>
          </cell>
          <cell r="X4189" t="str">
            <v>Empaquetado</v>
          </cell>
          <cell r="AC4189">
            <v>3.6950017630465445E-2</v>
          </cell>
          <cell r="AD4189">
            <v>3.6950017630465445E-2</v>
          </cell>
          <cell r="AE4189" t="str">
            <v>Con precio</v>
          </cell>
        </row>
        <row r="4190">
          <cell r="B4190" t="str">
            <v>PK500020RO</v>
          </cell>
          <cell r="X4190" t="str">
            <v>Formulación</v>
          </cell>
          <cell r="AC4190">
            <v>0.100456</v>
          </cell>
          <cell r="AD4190">
            <v>0.100456</v>
          </cell>
          <cell r="AE4190" t="str">
            <v>Con precio</v>
          </cell>
        </row>
        <row r="4191">
          <cell r="B4191" t="str">
            <v>PK500020RO</v>
          </cell>
          <cell r="X4191" t="str">
            <v>Formulación</v>
          </cell>
          <cell r="AC4191">
            <v>1.32</v>
          </cell>
          <cell r="AD4191">
            <v>1.224</v>
          </cell>
          <cell r="AE4191" t="str">
            <v>Con precio</v>
          </cell>
        </row>
        <row r="4192">
          <cell r="B4192" t="str">
            <v>PK500020RO</v>
          </cell>
          <cell r="X4192" t="str">
            <v>Formulación</v>
          </cell>
          <cell r="AC4192">
            <v>1.3500000000000002E-2</v>
          </cell>
          <cell r="AD4192">
            <v>1.1785714285714287E-2</v>
          </cell>
          <cell r="AE4192" t="str">
            <v>Con precio</v>
          </cell>
        </row>
        <row r="4193">
          <cell r="B4193" t="str">
            <v>PK500020RO</v>
          </cell>
          <cell r="X4193" t="str">
            <v>Empaquetado</v>
          </cell>
          <cell r="AC4193">
            <v>7.3092239999999996E-3</v>
          </cell>
          <cell r="AD4193">
            <v>7.3092239999999996E-3</v>
          </cell>
          <cell r="AE4193" t="str">
            <v>Con precio</v>
          </cell>
        </row>
        <row r="4194">
          <cell r="B4194" t="str">
            <v>PK500020RO</v>
          </cell>
          <cell r="X4194" t="str">
            <v>Empaquetado</v>
          </cell>
          <cell r="AC4194">
            <v>2.41332E-2</v>
          </cell>
          <cell r="AD4194">
            <v>2.41332E-2</v>
          </cell>
          <cell r="AE4194" t="str">
            <v>Con precio</v>
          </cell>
        </row>
        <row r="4195">
          <cell r="B4195" t="str">
            <v>PK500020RO</v>
          </cell>
          <cell r="X4195" t="str">
            <v>Empaquetado</v>
          </cell>
          <cell r="AC4195">
            <v>5.0719967793880849E-3</v>
          </cell>
          <cell r="AD4195">
            <v>5.0719967793880849E-3</v>
          </cell>
          <cell r="AE4195" t="str">
            <v>Con precio</v>
          </cell>
        </row>
        <row r="4196">
          <cell r="B4196" t="str">
            <v>PK500020RO</v>
          </cell>
          <cell r="X4196" t="str">
            <v>Empaquetado</v>
          </cell>
          <cell r="AC4196">
            <v>0.18266505681818179</v>
          </cell>
          <cell r="AD4196">
            <v>0.18266505681818179</v>
          </cell>
          <cell r="AE4196" t="str">
            <v>Con precio</v>
          </cell>
        </row>
        <row r="4197">
          <cell r="B4197" t="str">
            <v>PK500020RO</v>
          </cell>
          <cell r="X4197" t="str">
            <v>Empaquetado</v>
          </cell>
          <cell r="AC4197">
            <v>1.2352941176470591E-2</v>
          </cell>
          <cell r="AD4197">
            <v>1.2352941176470591E-2</v>
          </cell>
          <cell r="AE4197" t="str">
            <v>Con precio</v>
          </cell>
        </row>
        <row r="4198">
          <cell r="B4198" t="str">
            <v>PML0001RO</v>
          </cell>
          <cell r="X4198" t="str">
            <v>Formulación</v>
          </cell>
          <cell r="AC4198">
            <v>4.8799999999999998E-3</v>
          </cell>
          <cell r="AD4198">
            <v>4.8799999999999998E-3</v>
          </cell>
          <cell r="AE4198" t="str">
            <v>Con precio</v>
          </cell>
        </row>
        <row r="4199">
          <cell r="B4199" t="str">
            <v>PML0001RO</v>
          </cell>
          <cell r="X4199" t="str">
            <v>Formulación</v>
          </cell>
          <cell r="AC4199">
            <v>1.89E-2</v>
          </cell>
          <cell r="AD4199">
            <v>1.89E-2</v>
          </cell>
          <cell r="AE4199" t="str">
            <v>Con precio</v>
          </cell>
        </row>
        <row r="4200">
          <cell r="B4200" t="str">
            <v>PML0001RO</v>
          </cell>
          <cell r="X4200" t="str">
            <v>Formulación</v>
          </cell>
          <cell r="AC4200">
            <v>2.9440000000000001E-2</v>
          </cell>
          <cell r="AD4200">
            <v>2.8480000000000002E-2</v>
          </cell>
          <cell r="AE4200" t="str">
            <v>Con precio</v>
          </cell>
        </row>
        <row r="4201">
          <cell r="B4201" t="str">
            <v>PML0001RO</v>
          </cell>
          <cell r="X4201" t="str">
            <v>Formulación</v>
          </cell>
          <cell r="AC4201">
            <v>4.0320000000000002E-2</v>
          </cell>
          <cell r="AD4201">
            <v>4.0320000000000002E-2</v>
          </cell>
          <cell r="AE4201" t="str">
            <v>Con precio</v>
          </cell>
        </row>
        <row r="4202">
          <cell r="B4202" t="str">
            <v>PML0001RO</v>
          </cell>
          <cell r="X4202" t="str">
            <v>Formulación</v>
          </cell>
          <cell r="AC4202">
            <v>0.88089999999999991</v>
          </cell>
          <cell r="AD4202">
            <v>0.88089999999999991</v>
          </cell>
          <cell r="AE4202" t="str">
            <v>Con precio</v>
          </cell>
        </row>
        <row r="4203">
          <cell r="B4203" t="str">
            <v>PML0001RO</v>
          </cell>
          <cell r="X4203" t="str">
            <v>Formulación</v>
          </cell>
          <cell r="AC4203">
            <v>9.7740000000000007E-2</v>
          </cell>
          <cell r="AD4203">
            <v>9.7740000000000007E-2</v>
          </cell>
          <cell r="AE4203" t="str">
            <v>Con precio</v>
          </cell>
        </row>
        <row r="4204">
          <cell r="B4204" t="str">
            <v>PML0001RO</v>
          </cell>
          <cell r="X4204" t="str">
            <v>Formulación</v>
          </cell>
          <cell r="AC4204">
            <v>4.8510000000000005E-2</v>
          </cell>
          <cell r="AD4204">
            <v>4.8510000000000005E-2</v>
          </cell>
          <cell r="AE4204" t="str">
            <v>Con precio</v>
          </cell>
        </row>
        <row r="4205">
          <cell r="B4205" t="str">
            <v>PML0001RO</v>
          </cell>
          <cell r="X4205" t="str">
            <v>Formulación</v>
          </cell>
          <cell r="AC4205">
            <v>1.6050000000000002E-2</v>
          </cell>
          <cell r="AD4205">
            <v>1.35E-2</v>
          </cell>
          <cell r="AE4205" t="str">
            <v>Con precio</v>
          </cell>
        </row>
        <row r="4206">
          <cell r="B4206" t="str">
            <v>PML0001RO</v>
          </cell>
          <cell r="X4206" t="str">
            <v>Empaquetado</v>
          </cell>
          <cell r="AC4206">
            <v>3.0303030303030299E-5</v>
          </cell>
          <cell r="AD4206">
            <v>3.0303030303030299E-5</v>
          </cell>
          <cell r="AE4206" t="str">
            <v>Con precio</v>
          </cell>
        </row>
        <row r="4207">
          <cell r="B4207" t="str">
            <v>PML0001RO</v>
          </cell>
          <cell r="X4207" t="str">
            <v>Empaquetado</v>
          </cell>
          <cell r="AC4207">
            <v>2.3439393939393937E-2</v>
          </cell>
          <cell r="AD4207">
            <v>2.3439393939393937E-2</v>
          </cell>
          <cell r="AE4207" t="str">
            <v>Con precio</v>
          </cell>
        </row>
        <row r="4208">
          <cell r="B4208" t="str">
            <v>PML0001RO</v>
          </cell>
          <cell r="X4208" t="str">
            <v>Empaquetado</v>
          </cell>
          <cell r="AC4208">
            <v>7.1917518745739595E-2</v>
          </cell>
          <cell r="AD4208">
            <v>7.1917518745739595E-2</v>
          </cell>
          <cell r="AE4208" t="str">
            <v>Con precio</v>
          </cell>
        </row>
        <row r="4209">
          <cell r="B4209" t="str">
            <v>PML0001RO</v>
          </cell>
          <cell r="X4209" t="str">
            <v>Empaquetado</v>
          </cell>
          <cell r="AC4209">
            <v>0.45124999999999998</v>
          </cell>
          <cell r="AD4209">
            <v>0.32061666666666666</v>
          </cell>
          <cell r="AE4209" t="str">
            <v>Con precio</v>
          </cell>
        </row>
        <row r="4210">
          <cell r="B4210" t="str">
            <v>PML0001RO</v>
          </cell>
          <cell r="X4210" t="str">
            <v>Empaquetado</v>
          </cell>
          <cell r="AC4210">
            <v>0.44322992424242419</v>
          </cell>
          <cell r="AD4210">
            <v>0.44322992424242419</v>
          </cell>
          <cell r="AE4210" t="str">
            <v>Con precio</v>
          </cell>
        </row>
        <row r="4211">
          <cell r="B4211" t="str">
            <v>PML0001RO</v>
          </cell>
          <cell r="X4211" t="str">
            <v>Empaquetado</v>
          </cell>
          <cell r="AC4211">
            <v>9.6080774456521717E-2</v>
          </cell>
          <cell r="AD4211">
            <v>9.6080774456521717E-2</v>
          </cell>
          <cell r="AE4211" t="str">
            <v>Con precio</v>
          </cell>
        </row>
        <row r="4212">
          <cell r="B4212" t="str">
            <v>PREZN0005</v>
          </cell>
          <cell r="X4212" t="str">
            <v>Formulación</v>
          </cell>
          <cell r="AC4212">
            <v>0.53129999999999999</v>
          </cell>
          <cell r="AD4212">
            <v>0.53129999999999999</v>
          </cell>
          <cell r="AE4212" t="str">
            <v>Con precio</v>
          </cell>
        </row>
        <row r="4213">
          <cell r="B4213" t="str">
            <v>PREZN0005</v>
          </cell>
          <cell r="X4213" t="str">
            <v>Formulación</v>
          </cell>
          <cell r="AC4213">
            <v>0.71550000000000014</v>
          </cell>
          <cell r="AD4213">
            <v>0.56407142857142867</v>
          </cell>
          <cell r="AE4213" t="str">
            <v>Con precio</v>
          </cell>
        </row>
        <row r="4214">
          <cell r="B4214" t="str">
            <v>PREZN0005</v>
          </cell>
          <cell r="X4214" t="str">
            <v>Formulación</v>
          </cell>
          <cell r="AC4214">
            <v>1.7500000000000002E-2</v>
          </cell>
          <cell r="AD4214">
            <v>1.6366666666666668E-2</v>
          </cell>
          <cell r="AE4214" t="str">
            <v>Con precio</v>
          </cell>
        </row>
        <row r="4215">
          <cell r="B4215" t="str">
            <v>PREZN0005</v>
          </cell>
          <cell r="X4215" t="str">
            <v>Empaquetado</v>
          </cell>
          <cell r="AC4215">
            <v>1.0393066666666666E-2</v>
          </cell>
          <cell r="AD4215">
            <v>1.0393066666666666E-2</v>
          </cell>
          <cell r="AE4215" t="str">
            <v>Con precio</v>
          </cell>
        </row>
        <row r="4216">
          <cell r="B4216" t="str">
            <v>PREZN0005</v>
          </cell>
          <cell r="X4216" t="str">
            <v>Empaquetado</v>
          </cell>
          <cell r="AC4216">
            <v>2.0626666666666665E-2</v>
          </cell>
          <cell r="AD4216">
            <v>2.0626666666666665E-2</v>
          </cell>
          <cell r="AE4216" t="str">
            <v>Con precio</v>
          </cell>
        </row>
        <row r="4217">
          <cell r="B4217" t="str">
            <v>PREZN0005</v>
          </cell>
          <cell r="X4217" t="str">
            <v>Empaquetado</v>
          </cell>
          <cell r="AC4217">
            <v>2.1285586956521739E-2</v>
          </cell>
          <cell r="AD4217">
            <v>2.1285586956521739E-2</v>
          </cell>
          <cell r="AE4217" t="str">
            <v>Con precio</v>
          </cell>
        </row>
        <row r="4218">
          <cell r="B4218" t="str">
            <v>PREZN0005</v>
          </cell>
          <cell r="X4218" t="str">
            <v>Empaquetado</v>
          </cell>
          <cell r="AC4218">
            <v>2.9560014104372354E-2</v>
          </cell>
          <cell r="AD4218">
            <v>2.9560014104372354E-2</v>
          </cell>
          <cell r="AE4218" t="str">
            <v>Con precio</v>
          </cell>
        </row>
        <row r="4219">
          <cell r="B4219" t="str">
            <v>PREZN0005</v>
          </cell>
          <cell r="X4219" t="str">
            <v>Empaquetado</v>
          </cell>
          <cell r="AC4219">
            <v>2.1682000000000003E-2</v>
          </cell>
          <cell r="AD4219">
            <v>2.1682000000000003E-2</v>
          </cell>
          <cell r="AE4219" t="str">
            <v>Con precio</v>
          </cell>
        </row>
        <row r="4220">
          <cell r="B4220" t="str">
            <v>PT0001</v>
          </cell>
          <cell r="X4220" t="str">
            <v>Formulación</v>
          </cell>
          <cell r="AC4220">
            <v>4.8799999999999998E-3</v>
          </cell>
          <cell r="AD4220">
            <v>4.8799999999999998E-3</v>
          </cell>
          <cell r="AE4220" t="str">
            <v>Con precio</v>
          </cell>
        </row>
        <row r="4221">
          <cell r="B4221" t="str">
            <v>PT0001</v>
          </cell>
          <cell r="X4221" t="str">
            <v>Formulación</v>
          </cell>
          <cell r="AC4221">
            <v>1.72E-3</v>
          </cell>
          <cell r="AD4221">
            <v>1.286E-3</v>
          </cell>
          <cell r="AE4221" t="str">
            <v>Con precio</v>
          </cell>
        </row>
        <row r="4222">
          <cell r="B4222" t="str">
            <v>PT0001</v>
          </cell>
          <cell r="X4222" t="str">
            <v>Formulación</v>
          </cell>
          <cell r="AC4222">
            <v>9.1199999999999989E-2</v>
          </cell>
          <cell r="AD4222">
            <v>8.3840000000000012E-2</v>
          </cell>
          <cell r="AE4222" t="str">
            <v>Con precio</v>
          </cell>
        </row>
        <row r="4223">
          <cell r="B4223" t="str">
            <v>PT0001</v>
          </cell>
          <cell r="X4223" t="str">
            <v>Formulación</v>
          </cell>
          <cell r="AC4223">
            <v>0.25920000000000004</v>
          </cell>
          <cell r="AD4223">
            <v>0.17581714285714287</v>
          </cell>
          <cell r="AE4223" t="str">
            <v>Con precio</v>
          </cell>
        </row>
        <row r="4224">
          <cell r="B4224" t="str">
            <v>PT0001</v>
          </cell>
          <cell r="X4224" t="str">
            <v>Formulación</v>
          </cell>
          <cell r="AC4224">
            <v>0.5555000000000001</v>
          </cell>
          <cell r="AD4224">
            <v>0.5151</v>
          </cell>
          <cell r="AE4224" t="str">
            <v>Con precio</v>
          </cell>
        </row>
        <row r="4225">
          <cell r="B4225" t="str">
            <v>PT0001</v>
          </cell>
          <cell r="X4225" t="str">
            <v>Formulación</v>
          </cell>
          <cell r="AC4225">
            <v>2.7600000000000003E-2</v>
          </cell>
          <cell r="AD4225">
            <v>2.2615999999999997E-2</v>
          </cell>
          <cell r="AE4225" t="str">
            <v>Con precio</v>
          </cell>
        </row>
        <row r="4226">
          <cell r="B4226" t="str">
            <v>PT0001</v>
          </cell>
          <cell r="X4226" t="str">
            <v>Formulación</v>
          </cell>
          <cell r="AC4226">
            <v>7.0699999999999995E-4</v>
          </cell>
          <cell r="AD4226">
            <v>7.0699999999999995E-4</v>
          </cell>
          <cell r="AE4226" t="str">
            <v>Con precio</v>
          </cell>
        </row>
        <row r="4227">
          <cell r="B4227" t="str">
            <v>PT0001</v>
          </cell>
          <cell r="X4227" t="str">
            <v>Empaquetado</v>
          </cell>
          <cell r="AC4227">
            <v>3.0303030303030299E-5</v>
          </cell>
          <cell r="AD4227">
            <v>3.0303030303030299E-5</v>
          </cell>
          <cell r="AE4227" t="str">
            <v>Con precio</v>
          </cell>
        </row>
        <row r="4228">
          <cell r="B4228" t="str">
            <v>PT0001</v>
          </cell>
          <cell r="X4228" t="str">
            <v>Empaquetado</v>
          </cell>
          <cell r="AC4228">
            <v>2.3439393939393937E-2</v>
          </cell>
          <cell r="AD4228">
            <v>2.3439393939393937E-2</v>
          </cell>
          <cell r="AE4228" t="str">
            <v>Con precio</v>
          </cell>
        </row>
        <row r="4229">
          <cell r="B4229" t="str">
            <v>PT0001</v>
          </cell>
          <cell r="X4229" t="str">
            <v>Empaquetado</v>
          </cell>
          <cell r="AC4229">
            <v>7.1917518745739595E-2</v>
          </cell>
          <cell r="AD4229">
            <v>7.1917518745739595E-2</v>
          </cell>
          <cell r="AE4229" t="str">
            <v>Con precio</v>
          </cell>
        </row>
        <row r="4230">
          <cell r="B4230" t="str">
            <v>PT0001</v>
          </cell>
          <cell r="X4230" t="str">
            <v>Empaquetado</v>
          </cell>
          <cell r="AC4230">
            <v>0.44322992424242419</v>
          </cell>
          <cell r="AD4230">
            <v>0.44322992424242419</v>
          </cell>
          <cell r="AE4230" t="str">
            <v>Con precio</v>
          </cell>
        </row>
        <row r="4231">
          <cell r="B4231" t="str">
            <v>PT0001</v>
          </cell>
          <cell r="X4231" t="str">
            <v>Empaquetado</v>
          </cell>
          <cell r="AC4231">
            <v>0.11874999999999999</v>
          </cell>
          <cell r="AD4231">
            <v>0.11874999999999999</v>
          </cell>
          <cell r="AE4231" t="str">
            <v>Con precio</v>
          </cell>
        </row>
        <row r="4232">
          <cell r="B4232" t="str">
            <v>PT0001</v>
          </cell>
          <cell r="X4232" t="str">
            <v>Empaquetado</v>
          </cell>
          <cell r="AC4232">
            <v>9.6080774456521717E-2</v>
          </cell>
          <cell r="AD4232">
            <v>9.6080774456521717E-2</v>
          </cell>
          <cell r="AE4232" t="str">
            <v>Con precio</v>
          </cell>
        </row>
        <row r="4233">
          <cell r="B4233" t="str">
            <v>PT0001DO</v>
          </cell>
          <cell r="X4233" t="str">
            <v>Formulación</v>
          </cell>
          <cell r="AC4233">
            <v>4.8799999999999998E-3</v>
          </cell>
          <cell r="AD4233">
            <v>4.8799999999999998E-3</v>
          </cell>
          <cell r="AE4233" t="str">
            <v>Con precio</v>
          </cell>
        </row>
        <row r="4234">
          <cell r="B4234" t="str">
            <v>PT0001DO</v>
          </cell>
          <cell r="X4234" t="str">
            <v>Formulación</v>
          </cell>
          <cell r="AC4234">
            <v>1.72E-3</v>
          </cell>
          <cell r="AD4234">
            <v>1.286E-3</v>
          </cell>
          <cell r="AE4234" t="str">
            <v>Con precio</v>
          </cell>
        </row>
        <row r="4235">
          <cell r="B4235" t="str">
            <v>PT0001DO</v>
          </cell>
          <cell r="X4235" t="str">
            <v>Formulación</v>
          </cell>
          <cell r="AC4235">
            <v>9.1199999999999989E-2</v>
          </cell>
          <cell r="AD4235">
            <v>8.3840000000000012E-2</v>
          </cell>
          <cell r="AE4235" t="str">
            <v>Con precio</v>
          </cell>
        </row>
        <row r="4236">
          <cell r="B4236" t="str">
            <v>PT0001DO</v>
          </cell>
          <cell r="X4236" t="str">
            <v>Formulación</v>
          </cell>
          <cell r="AC4236">
            <v>0.25920000000000004</v>
          </cell>
          <cell r="AD4236">
            <v>0.17581714285714287</v>
          </cell>
          <cell r="AE4236" t="str">
            <v>Con precio</v>
          </cell>
        </row>
        <row r="4237">
          <cell r="B4237" t="str">
            <v>PT0001DO</v>
          </cell>
          <cell r="X4237" t="str">
            <v>Formulación</v>
          </cell>
          <cell r="AC4237">
            <v>0.5555000000000001</v>
          </cell>
          <cell r="AD4237">
            <v>0.5151</v>
          </cell>
          <cell r="AE4237" t="str">
            <v>Con precio</v>
          </cell>
        </row>
        <row r="4238">
          <cell r="B4238" t="str">
            <v>PT0001DO</v>
          </cell>
          <cell r="X4238" t="str">
            <v>Formulación</v>
          </cell>
          <cell r="AC4238">
            <v>2.7600000000000003E-2</v>
          </cell>
          <cell r="AD4238">
            <v>2.2615999999999997E-2</v>
          </cell>
          <cell r="AE4238" t="str">
            <v>Con precio</v>
          </cell>
        </row>
        <row r="4239">
          <cell r="B4239" t="str">
            <v>PT0001DO</v>
          </cell>
          <cell r="X4239" t="str">
            <v>Formulación</v>
          </cell>
          <cell r="AC4239">
            <v>7.0699999999999995E-4</v>
          </cell>
          <cell r="AD4239">
            <v>7.0699999999999995E-4</v>
          </cell>
          <cell r="AE4239" t="str">
            <v>Con precio</v>
          </cell>
        </row>
        <row r="4240">
          <cell r="B4240" t="str">
            <v>PT0001DO</v>
          </cell>
          <cell r="X4240" t="str">
            <v>Empaquetado</v>
          </cell>
          <cell r="AC4240">
            <v>3.0303030303030299E-5</v>
          </cell>
          <cell r="AD4240">
            <v>3.0303030303030299E-5</v>
          </cell>
          <cell r="AE4240" t="str">
            <v>Con precio</v>
          </cell>
        </row>
        <row r="4241">
          <cell r="B4241" t="str">
            <v>PT0001DO</v>
          </cell>
          <cell r="X4241" t="str">
            <v>Empaquetado</v>
          </cell>
          <cell r="AC4241">
            <v>2.3439393939393937E-2</v>
          </cell>
          <cell r="AD4241">
            <v>2.3439393939393937E-2</v>
          </cell>
          <cell r="AE4241" t="str">
            <v>Con precio</v>
          </cell>
        </row>
        <row r="4242">
          <cell r="B4242" t="str">
            <v>PT0001DO</v>
          </cell>
          <cell r="X4242" t="str">
            <v>Empaquetado</v>
          </cell>
          <cell r="AC4242">
            <v>7.1917518745739595E-2</v>
          </cell>
          <cell r="AD4242">
            <v>7.1917518745739595E-2</v>
          </cell>
          <cell r="AE4242" t="str">
            <v>Con precio</v>
          </cell>
        </row>
        <row r="4243">
          <cell r="B4243" t="str">
            <v>PT0001DO</v>
          </cell>
          <cell r="X4243" t="str">
            <v>Empaquetado</v>
          </cell>
          <cell r="AC4243">
            <v>0.44322992424242419</v>
          </cell>
          <cell r="AD4243">
            <v>0.44322992424242419</v>
          </cell>
          <cell r="AE4243" t="str">
            <v>Con precio</v>
          </cell>
        </row>
        <row r="4244">
          <cell r="B4244" t="str">
            <v>PT0001DO</v>
          </cell>
          <cell r="X4244" t="str">
            <v>Empaquetado</v>
          </cell>
          <cell r="AC4244">
            <v>0.11874999999999999</v>
          </cell>
          <cell r="AD4244">
            <v>0.11874999999999999</v>
          </cell>
          <cell r="AE4244" t="str">
            <v>Con precio</v>
          </cell>
        </row>
        <row r="4245">
          <cell r="B4245" t="str">
            <v>PT0001DO</v>
          </cell>
          <cell r="X4245" t="str">
            <v>Empaquetado</v>
          </cell>
          <cell r="AC4245">
            <v>9.6080774456521717E-2</v>
          </cell>
          <cell r="AD4245">
            <v>9.6080774456521717E-2</v>
          </cell>
          <cell r="AE4245" t="str">
            <v>Con precio</v>
          </cell>
        </row>
        <row r="4246">
          <cell r="B4246" t="str">
            <v>PT0001PA</v>
          </cell>
          <cell r="X4246" t="str">
            <v>Formulación</v>
          </cell>
          <cell r="AC4246">
            <v>4.8799999999999998E-3</v>
          </cell>
          <cell r="AD4246">
            <v>4.8799999999999998E-3</v>
          </cell>
          <cell r="AE4246" t="str">
            <v>Con precio</v>
          </cell>
        </row>
        <row r="4247">
          <cell r="B4247" t="str">
            <v>PT0001PA</v>
          </cell>
          <cell r="X4247" t="str">
            <v>Formulación</v>
          </cell>
          <cell r="AC4247">
            <v>1.72E-3</v>
          </cell>
          <cell r="AD4247">
            <v>1.286E-3</v>
          </cell>
          <cell r="AE4247" t="str">
            <v>Con precio</v>
          </cell>
        </row>
        <row r="4248">
          <cell r="B4248" t="str">
            <v>PT0001PA</v>
          </cell>
          <cell r="X4248" t="str">
            <v>Formulación</v>
          </cell>
          <cell r="AC4248">
            <v>9.1199999999999989E-2</v>
          </cell>
          <cell r="AD4248">
            <v>8.3840000000000012E-2</v>
          </cell>
          <cell r="AE4248" t="str">
            <v>Con precio</v>
          </cell>
        </row>
        <row r="4249">
          <cell r="B4249" t="str">
            <v>PT0001PA</v>
          </cell>
          <cell r="X4249" t="str">
            <v>Formulación</v>
          </cell>
          <cell r="AC4249">
            <v>0.25920000000000004</v>
          </cell>
          <cell r="AD4249">
            <v>0.17581714285714287</v>
          </cell>
          <cell r="AE4249" t="str">
            <v>Con precio</v>
          </cell>
        </row>
        <row r="4250">
          <cell r="B4250" t="str">
            <v>PT0001PA</v>
          </cell>
          <cell r="X4250" t="str">
            <v>Formulación</v>
          </cell>
          <cell r="AC4250">
            <v>0.5555000000000001</v>
          </cell>
          <cell r="AD4250">
            <v>0.5151</v>
          </cell>
          <cell r="AE4250" t="str">
            <v>Con precio</v>
          </cell>
        </row>
        <row r="4251">
          <cell r="B4251" t="str">
            <v>PT0001PA</v>
          </cell>
          <cell r="X4251" t="str">
            <v>Formulación</v>
          </cell>
          <cell r="AC4251">
            <v>2.7600000000000003E-2</v>
          </cell>
          <cell r="AD4251">
            <v>2.2615999999999997E-2</v>
          </cell>
          <cell r="AE4251" t="str">
            <v>Con precio</v>
          </cell>
        </row>
        <row r="4252">
          <cell r="B4252" t="str">
            <v>PT0001PA</v>
          </cell>
          <cell r="X4252" t="str">
            <v>Formulación</v>
          </cell>
          <cell r="AC4252">
            <v>7.0699999999999995E-4</v>
          </cell>
          <cell r="AD4252">
            <v>7.0699999999999995E-4</v>
          </cell>
          <cell r="AE4252" t="str">
            <v>Con precio</v>
          </cell>
        </row>
        <row r="4253">
          <cell r="B4253" t="str">
            <v>PT0001PA</v>
          </cell>
          <cell r="X4253" t="str">
            <v>Empaquetado</v>
          </cell>
          <cell r="AC4253">
            <v>3.0303030303030299E-5</v>
          </cell>
          <cell r="AD4253">
            <v>3.0303030303030299E-5</v>
          </cell>
          <cell r="AE4253" t="str">
            <v>Con precio</v>
          </cell>
        </row>
        <row r="4254">
          <cell r="B4254" t="str">
            <v>PT0001PA</v>
          </cell>
          <cell r="X4254" t="str">
            <v>Empaquetado</v>
          </cell>
          <cell r="AC4254">
            <v>2.3439393939393937E-2</v>
          </cell>
          <cell r="AD4254">
            <v>2.3439393939393937E-2</v>
          </cell>
          <cell r="AE4254" t="str">
            <v>Con precio</v>
          </cell>
        </row>
        <row r="4255">
          <cell r="B4255" t="str">
            <v>PT0001PA</v>
          </cell>
          <cell r="X4255" t="str">
            <v>Empaquetado</v>
          </cell>
          <cell r="AC4255">
            <v>7.1917518745739595E-2</v>
          </cell>
          <cell r="AD4255">
            <v>7.1917518745739595E-2</v>
          </cell>
          <cell r="AE4255" t="str">
            <v>Con precio</v>
          </cell>
        </row>
        <row r="4256">
          <cell r="B4256" t="str">
            <v>PT0001PA</v>
          </cell>
          <cell r="X4256" t="str">
            <v>Empaquetado</v>
          </cell>
          <cell r="AC4256">
            <v>0.44322992424242419</v>
          </cell>
          <cell r="AD4256">
            <v>0.44322992424242419</v>
          </cell>
          <cell r="AE4256" t="str">
            <v>Con precio</v>
          </cell>
        </row>
        <row r="4257">
          <cell r="B4257" t="str">
            <v>PT0001PA</v>
          </cell>
          <cell r="X4257" t="str">
            <v>Empaquetado</v>
          </cell>
          <cell r="AC4257">
            <v>0.11874999999999999</v>
          </cell>
          <cell r="AD4257">
            <v>0.11874999999999999</v>
          </cell>
          <cell r="AE4257" t="str">
            <v>Con precio</v>
          </cell>
        </row>
        <row r="4258">
          <cell r="B4258" t="str">
            <v>PT0001PA</v>
          </cell>
          <cell r="X4258" t="str">
            <v>Empaquetado</v>
          </cell>
          <cell r="AC4258">
            <v>9.6080774456521717E-2</v>
          </cell>
          <cell r="AD4258">
            <v>9.6080774456521717E-2</v>
          </cell>
          <cell r="AE4258" t="str">
            <v>Con precio</v>
          </cell>
        </row>
        <row r="4259">
          <cell r="B4259" t="str">
            <v>PT0001RO</v>
          </cell>
          <cell r="X4259" t="str">
            <v>Formulación</v>
          </cell>
          <cell r="AC4259">
            <v>4.8799999999999998E-3</v>
          </cell>
          <cell r="AD4259">
            <v>4.8799999999999998E-3</v>
          </cell>
          <cell r="AE4259" t="str">
            <v>Con precio</v>
          </cell>
        </row>
        <row r="4260">
          <cell r="B4260" t="str">
            <v>PT0001RO</v>
          </cell>
          <cell r="X4260" t="str">
            <v>Formulación</v>
          </cell>
          <cell r="AC4260">
            <v>1.72E-3</v>
          </cell>
          <cell r="AD4260">
            <v>1.286E-3</v>
          </cell>
          <cell r="AE4260" t="str">
            <v>Con precio</v>
          </cell>
        </row>
        <row r="4261">
          <cell r="B4261" t="str">
            <v>PT0001RO</v>
          </cell>
          <cell r="X4261" t="str">
            <v>Formulación</v>
          </cell>
          <cell r="AC4261">
            <v>9.1199999999999989E-2</v>
          </cell>
          <cell r="AD4261">
            <v>8.3840000000000012E-2</v>
          </cell>
          <cell r="AE4261" t="str">
            <v>Con precio</v>
          </cell>
        </row>
        <row r="4262">
          <cell r="B4262" t="str">
            <v>PT0001RO</v>
          </cell>
          <cell r="X4262" t="str">
            <v>Formulación</v>
          </cell>
          <cell r="AC4262">
            <v>0.25920000000000004</v>
          </cell>
          <cell r="AD4262">
            <v>0.17581714285714287</v>
          </cell>
          <cell r="AE4262" t="str">
            <v>Con precio</v>
          </cell>
        </row>
        <row r="4263">
          <cell r="B4263" t="str">
            <v>PT0001RO</v>
          </cell>
          <cell r="X4263" t="str">
            <v>Formulación</v>
          </cell>
          <cell r="AC4263">
            <v>0.5555000000000001</v>
          </cell>
          <cell r="AD4263">
            <v>0.5151</v>
          </cell>
          <cell r="AE4263" t="str">
            <v>Con precio</v>
          </cell>
        </row>
        <row r="4264">
          <cell r="B4264" t="str">
            <v>PT0001RO</v>
          </cell>
          <cell r="X4264" t="str">
            <v>Formulación</v>
          </cell>
          <cell r="AC4264">
            <v>2.7600000000000003E-2</v>
          </cell>
          <cell r="AD4264">
            <v>2.2615999999999997E-2</v>
          </cell>
          <cell r="AE4264" t="str">
            <v>Con precio</v>
          </cell>
        </row>
        <row r="4265">
          <cell r="B4265" t="str">
            <v>PT0001RO</v>
          </cell>
          <cell r="X4265" t="str">
            <v>Formulación</v>
          </cell>
          <cell r="AC4265">
            <v>7.0699999999999995E-4</v>
          </cell>
          <cell r="AD4265">
            <v>7.0699999999999995E-4</v>
          </cell>
          <cell r="AE4265" t="str">
            <v>Con precio</v>
          </cell>
        </row>
        <row r="4266">
          <cell r="B4266" t="str">
            <v>PT0001RO</v>
          </cell>
          <cell r="X4266" t="str">
            <v>Empaquetado</v>
          </cell>
          <cell r="AC4266">
            <v>3.0303030303030299E-5</v>
          </cell>
          <cell r="AD4266">
            <v>3.0303030303030299E-5</v>
          </cell>
          <cell r="AE4266" t="str">
            <v>Con precio</v>
          </cell>
        </row>
        <row r="4267">
          <cell r="B4267" t="str">
            <v>PT0001RO</v>
          </cell>
          <cell r="X4267" t="str">
            <v>Empaquetado</v>
          </cell>
          <cell r="AC4267">
            <v>2.3439393939393937E-2</v>
          </cell>
          <cell r="AD4267">
            <v>2.3439393939393937E-2</v>
          </cell>
          <cell r="AE4267" t="str">
            <v>Con precio</v>
          </cell>
        </row>
        <row r="4268">
          <cell r="B4268" t="str">
            <v>PT0001RO</v>
          </cell>
          <cell r="X4268" t="str">
            <v>Empaquetado</v>
          </cell>
          <cell r="AC4268">
            <v>7.1917518745739595E-2</v>
          </cell>
          <cell r="AD4268">
            <v>7.1917518745739595E-2</v>
          </cell>
          <cell r="AE4268" t="str">
            <v>Con precio</v>
          </cell>
        </row>
        <row r="4269">
          <cell r="B4269" t="str">
            <v>PT0001RO</v>
          </cell>
          <cell r="X4269" t="str">
            <v>Empaquetado</v>
          </cell>
          <cell r="AC4269">
            <v>0.44322992424242419</v>
          </cell>
          <cell r="AD4269">
            <v>0.44322992424242419</v>
          </cell>
          <cell r="AE4269" t="str">
            <v>Con precio</v>
          </cell>
        </row>
        <row r="4270">
          <cell r="B4270" t="str">
            <v>PT0001RO</v>
          </cell>
          <cell r="X4270" t="str">
            <v>Empaquetado</v>
          </cell>
          <cell r="AC4270">
            <v>0.11874999999999999</v>
          </cell>
          <cell r="AD4270">
            <v>0.11874999999999999</v>
          </cell>
          <cell r="AE4270" t="str">
            <v>Con precio</v>
          </cell>
        </row>
        <row r="4271">
          <cell r="B4271" t="str">
            <v>PT0001RO</v>
          </cell>
          <cell r="X4271" t="str">
            <v>Empaquetado</v>
          </cell>
          <cell r="AC4271">
            <v>9.6080774456521717E-2</v>
          </cell>
          <cell r="AD4271">
            <v>9.6080774456521717E-2</v>
          </cell>
          <cell r="AE4271" t="str">
            <v>Con precio</v>
          </cell>
        </row>
        <row r="4272">
          <cell r="B4272" t="str">
            <v>PT0005</v>
          </cell>
          <cell r="X4272" t="str">
            <v>Formulación</v>
          </cell>
          <cell r="AC4272">
            <v>4.8799999999999998E-3</v>
          </cell>
          <cell r="AD4272">
            <v>4.8799999999999998E-3</v>
          </cell>
          <cell r="AE4272" t="str">
            <v>Con precio</v>
          </cell>
        </row>
        <row r="4273">
          <cell r="B4273" t="str">
            <v>PT0005</v>
          </cell>
          <cell r="X4273" t="str">
            <v>Formulación</v>
          </cell>
          <cell r="AC4273">
            <v>1.72E-3</v>
          </cell>
          <cell r="AD4273">
            <v>1.286E-3</v>
          </cell>
          <cell r="AE4273" t="str">
            <v>Con precio</v>
          </cell>
        </row>
        <row r="4274">
          <cell r="B4274" t="str">
            <v>PT0005</v>
          </cell>
          <cell r="X4274" t="str">
            <v>Formulación</v>
          </cell>
          <cell r="AC4274">
            <v>9.1199999999999989E-2</v>
          </cell>
          <cell r="AD4274">
            <v>8.3840000000000012E-2</v>
          </cell>
          <cell r="AE4274" t="str">
            <v>Con precio</v>
          </cell>
        </row>
        <row r="4275">
          <cell r="B4275" t="str">
            <v>PT0005</v>
          </cell>
          <cell r="X4275" t="str">
            <v>Formulación</v>
          </cell>
          <cell r="AC4275">
            <v>0.25920000000000004</v>
          </cell>
          <cell r="AD4275">
            <v>0.17581714285714287</v>
          </cell>
          <cell r="AE4275" t="str">
            <v>Con precio</v>
          </cell>
        </row>
        <row r="4276">
          <cell r="B4276" t="str">
            <v>PT0005</v>
          </cell>
          <cell r="X4276" t="str">
            <v>Formulación</v>
          </cell>
          <cell r="AC4276">
            <v>0.5555000000000001</v>
          </cell>
          <cell r="AD4276">
            <v>0.5151</v>
          </cell>
          <cell r="AE4276" t="str">
            <v>Con precio</v>
          </cell>
        </row>
        <row r="4277">
          <cell r="B4277" t="str">
            <v>PT0005</v>
          </cell>
          <cell r="X4277" t="str">
            <v>Formulación</v>
          </cell>
          <cell r="AC4277">
            <v>2.7600000000000003E-2</v>
          </cell>
          <cell r="AD4277">
            <v>2.2615999999999997E-2</v>
          </cell>
          <cell r="AE4277" t="str">
            <v>Con precio</v>
          </cell>
        </row>
        <row r="4278">
          <cell r="B4278" t="str">
            <v>PT0005</v>
          </cell>
          <cell r="X4278" t="str">
            <v>Formulación</v>
          </cell>
          <cell r="AC4278">
            <v>7.0699999999999995E-4</v>
          </cell>
          <cell r="AD4278">
            <v>7.0699999999999995E-4</v>
          </cell>
          <cell r="AE4278" t="str">
            <v>Con precio</v>
          </cell>
        </row>
        <row r="4279">
          <cell r="B4279" t="str">
            <v>PT0005</v>
          </cell>
          <cell r="X4279" t="str">
            <v>Empaquetado</v>
          </cell>
          <cell r="AC4279">
            <v>1.2991333333333337E-2</v>
          </cell>
          <cell r="AD4279">
            <v>1.2991333333333337E-2</v>
          </cell>
          <cell r="AE4279" t="str">
            <v>Con precio</v>
          </cell>
        </row>
        <row r="4280">
          <cell r="B4280" t="str">
            <v>PT0005</v>
          </cell>
          <cell r="X4280" t="str">
            <v>Empaquetado</v>
          </cell>
          <cell r="AC4280">
            <v>2.5783333333333339E-2</v>
          </cell>
          <cell r="AD4280">
            <v>2.5783333333333339E-2</v>
          </cell>
          <cell r="AE4280" t="str">
            <v>Con precio</v>
          </cell>
        </row>
        <row r="4281">
          <cell r="B4281" t="str">
            <v>PT0005</v>
          </cell>
          <cell r="X4281" t="str">
            <v>Empaquetado</v>
          </cell>
          <cell r="AC4281">
            <v>0.2</v>
          </cell>
          <cell r="AD4281">
            <v>0.2</v>
          </cell>
          <cell r="AE4281" t="str">
            <v>Con precio</v>
          </cell>
        </row>
        <row r="4282">
          <cell r="B4282" t="str">
            <v>PT0005</v>
          </cell>
          <cell r="X4282" t="str">
            <v>Empaquetado</v>
          </cell>
          <cell r="AC4282">
            <v>2.5359983896940424E-2</v>
          </cell>
          <cell r="AD4282">
            <v>2.5359983896940424E-2</v>
          </cell>
          <cell r="AE4282" t="str">
            <v>Con precio</v>
          </cell>
        </row>
        <row r="4283">
          <cell r="B4283" t="str">
            <v>PT0005</v>
          </cell>
          <cell r="X4283" t="str">
            <v>Empaquetado</v>
          </cell>
          <cell r="AC4283">
            <v>3.4200000000000001E-2</v>
          </cell>
          <cell r="AD4283">
            <v>3.4200000000000001E-2</v>
          </cell>
          <cell r="AE4283" t="str">
            <v>Con precio</v>
          </cell>
        </row>
        <row r="4284">
          <cell r="B4284" t="str">
            <v>PT0005</v>
          </cell>
          <cell r="X4284" t="str">
            <v>Empaquetado</v>
          </cell>
          <cell r="AC4284">
            <v>0.17399999999999999</v>
          </cell>
          <cell r="AD4284">
            <v>0.17399999999999999</v>
          </cell>
          <cell r="AE4284" t="str">
            <v>Con precio</v>
          </cell>
        </row>
        <row r="4285">
          <cell r="B4285" t="str">
            <v>PT0005</v>
          </cell>
          <cell r="X4285" t="str">
            <v>Empaquetado</v>
          </cell>
          <cell r="AC4285">
            <v>3.6950017630465445E-2</v>
          </cell>
          <cell r="AD4285">
            <v>3.6950017630465445E-2</v>
          </cell>
          <cell r="AE4285" t="str">
            <v>Con precio</v>
          </cell>
        </row>
        <row r="4286">
          <cell r="B4286" t="str">
            <v>PT0005DO</v>
          </cell>
          <cell r="X4286" t="str">
            <v>Formulación</v>
          </cell>
          <cell r="AC4286">
            <v>4.8799999999999998E-3</v>
          </cell>
          <cell r="AD4286">
            <v>4.8799999999999998E-3</v>
          </cell>
          <cell r="AE4286" t="str">
            <v>Con precio</v>
          </cell>
        </row>
        <row r="4287">
          <cell r="B4287" t="str">
            <v>PT0005DO</v>
          </cell>
          <cell r="X4287" t="str">
            <v>Formulación</v>
          </cell>
          <cell r="AC4287">
            <v>1.72E-3</v>
          </cell>
          <cell r="AD4287">
            <v>1.286E-3</v>
          </cell>
          <cell r="AE4287" t="str">
            <v>Con precio</v>
          </cell>
        </row>
        <row r="4288">
          <cell r="B4288" t="str">
            <v>PT0005DO</v>
          </cell>
          <cell r="X4288" t="str">
            <v>Formulación</v>
          </cell>
          <cell r="AC4288">
            <v>9.1199999999999989E-2</v>
          </cell>
          <cell r="AD4288">
            <v>8.3840000000000012E-2</v>
          </cell>
          <cell r="AE4288" t="str">
            <v>Con precio</v>
          </cell>
        </row>
        <row r="4289">
          <cell r="B4289" t="str">
            <v>PT0005DO</v>
          </cell>
          <cell r="X4289" t="str">
            <v>Formulación</v>
          </cell>
          <cell r="AC4289">
            <v>0.25920000000000004</v>
          </cell>
          <cell r="AD4289">
            <v>0.17581714285714287</v>
          </cell>
          <cell r="AE4289" t="str">
            <v>Con precio</v>
          </cell>
        </row>
        <row r="4290">
          <cell r="B4290" t="str">
            <v>PT0005DO</v>
          </cell>
          <cell r="X4290" t="str">
            <v>Formulación</v>
          </cell>
          <cell r="AC4290">
            <v>0.5555000000000001</v>
          </cell>
          <cell r="AD4290">
            <v>0.5151</v>
          </cell>
          <cell r="AE4290" t="str">
            <v>Con precio</v>
          </cell>
        </row>
        <row r="4291">
          <cell r="B4291" t="str">
            <v>PT0005DO</v>
          </cell>
          <cell r="X4291" t="str">
            <v>Formulación</v>
          </cell>
          <cell r="AC4291">
            <v>2.7600000000000003E-2</v>
          </cell>
          <cell r="AD4291">
            <v>2.2615999999999997E-2</v>
          </cell>
          <cell r="AE4291" t="str">
            <v>Con precio</v>
          </cell>
        </row>
        <row r="4292">
          <cell r="B4292" t="str">
            <v>PT0005DO</v>
          </cell>
          <cell r="X4292" t="str">
            <v>Formulación</v>
          </cell>
          <cell r="AC4292">
            <v>7.0699999999999995E-4</v>
          </cell>
          <cell r="AD4292">
            <v>7.0699999999999995E-4</v>
          </cell>
          <cell r="AE4292" t="str">
            <v>Con precio</v>
          </cell>
        </row>
        <row r="4293">
          <cell r="B4293" t="str">
            <v>PT0005DO</v>
          </cell>
          <cell r="X4293" t="str">
            <v>Empaquetado</v>
          </cell>
          <cell r="AC4293">
            <v>1.2991333333333337E-2</v>
          </cell>
          <cell r="AD4293">
            <v>1.2991333333333337E-2</v>
          </cell>
          <cell r="AE4293" t="str">
            <v>Con precio</v>
          </cell>
        </row>
        <row r="4294">
          <cell r="B4294" t="str">
            <v>PT0005DO</v>
          </cell>
          <cell r="X4294" t="str">
            <v>Empaquetado</v>
          </cell>
          <cell r="AC4294">
            <v>2.5783333333333339E-2</v>
          </cell>
          <cell r="AD4294">
            <v>2.5783333333333339E-2</v>
          </cell>
          <cell r="AE4294" t="str">
            <v>Con precio</v>
          </cell>
        </row>
        <row r="4295">
          <cell r="B4295" t="str">
            <v>PT0005DO</v>
          </cell>
          <cell r="X4295" t="str">
            <v>Empaquetado</v>
          </cell>
          <cell r="AC4295">
            <v>0.2</v>
          </cell>
          <cell r="AD4295">
            <v>0.2</v>
          </cell>
          <cell r="AE4295" t="str">
            <v>Con precio</v>
          </cell>
        </row>
        <row r="4296">
          <cell r="B4296" t="str">
            <v>PT0005DO</v>
          </cell>
          <cell r="X4296" t="str">
            <v>Empaquetado</v>
          </cell>
          <cell r="AC4296">
            <v>2.5359983896940424E-2</v>
          </cell>
          <cell r="AD4296">
            <v>2.5359983896940424E-2</v>
          </cell>
          <cell r="AE4296" t="str">
            <v>Con precio</v>
          </cell>
        </row>
        <row r="4297">
          <cell r="B4297" t="str">
            <v>PT0005DO</v>
          </cell>
          <cell r="X4297" t="str">
            <v>Empaquetado</v>
          </cell>
          <cell r="AC4297">
            <v>3.4200000000000001E-2</v>
          </cell>
          <cell r="AD4297">
            <v>3.4200000000000001E-2</v>
          </cell>
          <cell r="AE4297" t="str">
            <v>Con precio</v>
          </cell>
        </row>
        <row r="4298">
          <cell r="B4298" t="str">
            <v>PT0005DO</v>
          </cell>
          <cell r="X4298" t="str">
            <v>Empaquetado</v>
          </cell>
          <cell r="AC4298">
            <v>0.17399999999999999</v>
          </cell>
          <cell r="AD4298">
            <v>0.17399999999999999</v>
          </cell>
          <cell r="AE4298" t="str">
            <v>Con precio</v>
          </cell>
        </row>
        <row r="4299">
          <cell r="B4299" t="str">
            <v>PT0005DO</v>
          </cell>
          <cell r="X4299" t="str">
            <v>Empaquetado</v>
          </cell>
          <cell r="AC4299">
            <v>3.6950017630465445E-2</v>
          </cell>
          <cell r="AD4299">
            <v>3.6950017630465445E-2</v>
          </cell>
          <cell r="AE4299" t="str">
            <v>Con precio</v>
          </cell>
        </row>
        <row r="4300">
          <cell r="B4300" t="str">
            <v>PT0005MA</v>
          </cell>
          <cell r="X4300" t="str">
            <v>Formulación</v>
          </cell>
          <cell r="AC4300">
            <v>4.8799999999999998E-3</v>
          </cell>
          <cell r="AD4300">
            <v>4.8799999999999998E-3</v>
          </cell>
          <cell r="AE4300" t="str">
            <v>Con precio</v>
          </cell>
        </row>
        <row r="4301">
          <cell r="B4301" t="str">
            <v>PT0005MA</v>
          </cell>
          <cell r="X4301" t="str">
            <v>Formulación</v>
          </cell>
          <cell r="AC4301">
            <v>1.72E-3</v>
          </cell>
          <cell r="AD4301">
            <v>1.286E-3</v>
          </cell>
          <cell r="AE4301" t="str">
            <v>Con precio</v>
          </cell>
        </row>
        <row r="4302">
          <cell r="B4302" t="str">
            <v>PT0005MA</v>
          </cell>
          <cell r="X4302" t="str">
            <v>Formulación</v>
          </cell>
          <cell r="AC4302">
            <v>9.1199999999999989E-2</v>
          </cell>
          <cell r="AD4302">
            <v>8.3840000000000012E-2</v>
          </cell>
          <cell r="AE4302" t="str">
            <v>Con precio</v>
          </cell>
        </row>
        <row r="4303">
          <cell r="B4303" t="str">
            <v>PT0005MA</v>
          </cell>
          <cell r="X4303" t="str">
            <v>Formulación</v>
          </cell>
          <cell r="AC4303">
            <v>0.25920000000000004</v>
          </cell>
          <cell r="AD4303">
            <v>0.17581714285714287</v>
          </cell>
          <cell r="AE4303" t="str">
            <v>Con precio</v>
          </cell>
        </row>
        <row r="4304">
          <cell r="B4304" t="str">
            <v>PT0005MA</v>
          </cell>
          <cell r="X4304" t="str">
            <v>Formulación</v>
          </cell>
          <cell r="AC4304">
            <v>0.5555000000000001</v>
          </cell>
          <cell r="AD4304">
            <v>0.5151</v>
          </cell>
          <cell r="AE4304" t="str">
            <v>Con precio</v>
          </cell>
        </row>
        <row r="4305">
          <cell r="B4305" t="str">
            <v>PT0005MA</v>
          </cell>
          <cell r="X4305" t="str">
            <v>Formulación</v>
          </cell>
          <cell r="AC4305">
            <v>2.7600000000000003E-2</v>
          </cell>
          <cell r="AD4305">
            <v>2.2615999999999997E-2</v>
          </cell>
          <cell r="AE4305" t="str">
            <v>Con precio</v>
          </cell>
        </row>
        <row r="4306">
          <cell r="B4306" t="str">
            <v>PT0005MA</v>
          </cell>
          <cell r="X4306" t="str">
            <v>Formulación</v>
          </cell>
          <cell r="AC4306">
            <v>7.0699999999999995E-4</v>
          </cell>
          <cell r="AD4306">
            <v>7.0699999999999995E-4</v>
          </cell>
          <cell r="AE4306" t="str">
            <v>Con precio</v>
          </cell>
        </row>
        <row r="4307">
          <cell r="B4307" t="str">
            <v>PT0005MA</v>
          </cell>
          <cell r="X4307" t="str">
            <v>Empaquetado</v>
          </cell>
          <cell r="AC4307">
            <v>1.2991333333333337E-2</v>
          </cell>
          <cell r="AD4307">
            <v>1.2991333333333337E-2</v>
          </cell>
          <cell r="AE4307" t="str">
            <v>Con precio</v>
          </cell>
        </row>
        <row r="4308">
          <cell r="B4308" t="str">
            <v>PT0005MA</v>
          </cell>
          <cell r="X4308" t="str">
            <v>Empaquetado</v>
          </cell>
          <cell r="AC4308">
            <v>2.5783333333333339E-2</v>
          </cell>
          <cell r="AD4308">
            <v>2.5783333333333339E-2</v>
          </cell>
          <cell r="AE4308" t="str">
            <v>Con precio</v>
          </cell>
        </row>
        <row r="4309">
          <cell r="B4309" t="str">
            <v>PT0005MA</v>
          </cell>
          <cell r="X4309" t="str">
            <v>Empaquetado</v>
          </cell>
          <cell r="AC4309">
            <v>0.2</v>
          </cell>
          <cell r="AD4309">
            <v>0.2</v>
          </cell>
          <cell r="AE4309" t="str">
            <v>Con precio</v>
          </cell>
        </row>
        <row r="4310">
          <cell r="B4310" t="str">
            <v>PT0005MA</v>
          </cell>
          <cell r="X4310" t="str">
            <v>Empaquetado</v>
          </cell>
          <cell r="AC4310">
            <v>2.5359983896940424E-2</v>
          </cell>
          <cell r="AD4310">
            <v>2.5359983896940424E-2</v>
          </cell>
          <cell r="AE4310" t="str">
            <v>Con precio</v>
          </cell>
        </row>
        <row r="4311">
          <cell r="B4311" t="str">
            <v>PT0005MA</v>
          </cell>
          <cell r="X4311" t="str">
            <v>Empaquetado</v>
          </cell>
          <cell r="AC4311">
            <v>3.4200000000000001E-2</v>
          </cell>
          <cell r="AD4311">
            <v>3.4200000000000001E-2</v>
          </cell>
          <cell r="AE4311" t="str">
            <v>Con precio</v>
          </cell>
        </row>
        <row r="4312">
          <cell r="B4312" t="str">
            <v>PT0005MA</v>
          </cell>
          <cell r="X4312" t="str">
            <v>Empaquetado</v>
          </cell>
          <cell r="AC4312">
            <v>0.17399999999999999</v>
          </cell>
          <cell r="AD4312">
            <v>0.17399999999999999</v>
          </cell>
          <cell r="AE4312" t="str">
            <v>Con precio</v>
          </cell>
        </row>
        <row r="4313">
          <cell r="B4313" t="str">
            <v>PT0005MA</v>
          </cell>
          <cell r="X4313" t="str">
            <v>Empaquetado</v>
          </cell>
          <cell r="AC4313">
            <v>3.6950017630465445E-2</v>
          </cell>
          <cell r="AD4313">
            <v>3.6950017630465445E-2</v>
          </cell>
          <cell r="AE4313" t="str">
            <v>Con precio</v>
          </cell>
        </row>
        <row r="4314">
          <cell r="B4314" t="str">
            <v>PT0005RO</v>
          </cell>
          <cell r="X4314" t="str">
            <v>Formulación</v>
          </cell>
          <cell r="AC4314">
            <v>4.8799999999999998E-3</v>
          </cell>
          <cell r="AD4314">
            <v>4.8799999999999998E-3</v>
          </cell>
          <cell r="AE4314" t="str">
            <v>Con precio</v>
          </cell>
        </row>
        <row r="4315">
          <cell r="B4315" t="str">
            <v>PT0005RO</v>
          </cell>
          <cell r="X4315" t="str">
            <v>Formulación</v>
          </cell>
          <cell r="AC4315">
            <v>1.72E-3</v>
          </cell>
          <cell r="AD4315">
            <v>1.286E-3</v>
          </cell>
          <cell r="AE4315" t="str">
            <v>Con precio</v>
          </cell>
        </row>
        <row r="4316">
          <cell r="B4316" t="str">
            <v>PT0005RO</v>
          </cell>
          <cell r="X4316" t="str">
            <v>Formulación</v>
          </cell>
          <cell r="AC4316">
            <v>9.1199999999999989E-2</v>
          </cell>
          <cell r="AD4316">
            <v>8.3840000000000012E-2</v>
          </cell>
          <cell r="AE4316" t="str">
            <v>Con precio</v>
          </cell>
        </row>
        <row r="4317">
          <cell r="B4317" t="str">
            <v>PT0005RO</v>
          </cell>
          <cell r="X4317" t="str">
            <v>Formulación</v>
          </cell>
          <cell r="AC4317">
            <v>0.25920000000000004</v>
          </cell>
          <cell r="AD4317">
            <v>0.17581714285714287</v>
          </cell>
          <cell r="AE4317" t="str">
            <v>Con precio</v>
          </cell>
        </row>
        <row r="4318">
          <cell r="B4318" t="str">
            <v>PT0005RO</v>
          </cell>
          <cell r="X4318" t="str">
            <v>Formulación</v>
          </cell>
          <cell r="AC4318">
            <v>0.5555000000000001</v>
          </cell>
          <cell r="AD4318">
            <v>0.5151</v>
          </cell>
          <cell r="AE4318" t="str">
            <v>Con precio</v>
          </cell>
        </row>
        <row r="4319">
          <cell r="B4319" t="str">
            <v>PT0005RO</v>
          </cell>
          <cell r="X4319" t="str">
            <v>Formulación</v>
          </cell>
          <cell r="AC4319">
            <v>2.7600000000000003E-2</v>
          </cell>
          <cell r="AD4319">
            <v>2.2615999999999997E-2</v>
          </cell>
          <cell r="AE4319" t="str">
            <v>Con precio</v>
          </cell>
        </row>
        <row r="4320">
          <cell r="B4320" t="str">
            <v>PT0005RO</v>
          </cell>
          <cell r="X4320" t="str">
            <v>Formulación</v>
          </cell>
          <cell r="AC4320">
            <v>7.0699999999999995E-4</v>
          </cell>
          <cell r="AD4320">
            <v>7.0699999999999995E-4</v>
          </cell>
          <cell r="AE4320" t="str">
            <v>Con precio</v>
          </cell>
        </row>
        <row r="4321">
          <cell r="B4321" t="str">
            <v>PT0005RO</v>
          </cell>
          <cell r="X4321" t="str">
            <v>Empaquetado</v>
          </cell>
          <cell r="AC4321">
            <v>1.2991333333333337E-2</v>
          </cell>
          <cell r="AD4321">
            <v>1.2991333333333337E-2</v>
          </cell>
          <cell r="AE4321" t="str">
            <v>Con precio</v>
          </cell>
        </row>
        <row r="4322">
          <cell r="B4322" t="str">
            <v>PT0005RO</v>
          </cell>
          <cell r="X4322" t="str">
            <v>Empaquetado</v>
          </cell>
          <cell r="AC4322">
            <v>2.5783333333333339E-2</v>
          </cell>
          <cell r="AD4322">
            <v>2.5783333333333339E-2</v>
          </cell>
          <cell r="AE4322" t="str">
            <v>Con precio</v>
          </cell>
        </row>
        <row r="4323">
          <cell r="B4323" t="str">
            <v>PT0005RO</v>
          </cell>
          <cell r="X4323" t="str">
            <v>Empaquetado</v>
          </cell>
          <cell r="AC4323">
            <v>0.2</v>
          </cell>
          <cell r="AD4323">
            <v>0.2</v>
          </cell>
          <cell r="AE4323" t="str">
            <v>Con precio</v>
          </cell>
        </row>
        <row r="4324">
          <cell r="B4324" t="str">
            <v>PT0005RO</v>
          </cell>
          <cell r="X4324" t="str">
            <v>Empaquetado</v>
          </cell>
          <cell r="AC4324">
            <v>2.5359983896940424E-2</v>
          </cell>
          <cell r="AD4324">
            <v>2.5359983896940424E-2</v>
          </cell>
          <cell r="AE4324" t="str">
            <v>Con precio</v>
          </cell>
        </row>
        <row r="4325">
          <cell r="B4325" t="str">
            <v>PT0005RO</v>
          </cell>
          <cell r="X4325" t="str">
            <v>Empaquetado</v>
          </cell>
          <cell r="AC4325">
            <v>3.4200000000000001E-2</v>
          </cell>
          <cell r="AD4325">
            <v>3.4200000000000001E-2</v>
          </cell>
          <cell r="AE4325" t="str">
            <v>Con precio</v>
          </cell>
        </row>
        <row r="4326">
          <cell r="B4326" t="str">
            <v>PT0005RO</v>
          </cell>
          <cell r="X4326" t="str">
            <v>Empaquetado</v>
          </cell>
          <cell r="AC4326">
            <v>0.17399999999999999</v>
          </cell>
          <cell r="AD4326">
            <v>0.17399999999999999</v>
          </cell>
          <cell r="AE4326" t="str">
            <v>Con precio</v>
          </cell>
        </row>
        <row r="4327">
          <cell r="B4327" t="str">
            <v>PT0005RO</v>
          </cell>
          <cell r="X4327" t="str">
            <v>Empaquetado</v>
          </cell>
          <cell r="AC4327">
            <v>3.6950017630465445E-2</v>
          </cell>
          <cell r="AD4327">
            <v>3.6950017630465445E-2</v>
          </cell>
          <cell r="AE4327" t="str">
            <v>Con precio</v>
          </cell>
        </row>
        <row r="4328">
          <cell r="B4328" t="str">
            <v>PT0020</v>
          </cell>
          <cell r="X4328" t="str">
            <v>Formulación</v>
          </cell>
          <cell r="AC4328">
            <v>4.8799999999999998E-3</v>
          </cell>
          <cell r="AD4328">
            <v>4.8799999999999998E-3</v>
          </cell>
          <cell r="AE4328" t="str">
            <v>Con precio</v>
          </cell>
        </row>
        <row r="4329">
          <cell r="B4329" t="str">
            <v>PT0020</v>
          </cell>
          <cell r="X4329" t="str">
            <v>Formulación</v>
          </cell>
          <cell r="AC4329">
            <v>1.72E-3</v>
          </cell>
          <cell r="AD4329">
            <v>1.286E-3</v>
          </cell>
          <cell r="AE4329" t="str">
            <v>Con precio</v>
          </cell>
        </row>
        <row r="4330">
          <cell r="B4330" t="str">
            <v>PT0020</v>
          </cell>
          <cell r="X4330" t="str">
            <v>Formulación</v>
          </cell>
          <cell r="AC4330">
            <v>9.1199999999999989E-2</v>
          </cell>
          <cell r="AD4330">
            <v>8.3840000000000012E-2</v>
          </cell>
          <cell r="AE4330" t="str">
            <v>Con precio</v>
          </cell>
        </row>
        <row r="4331">
          <cell r="B4331" t="str">
            <v>PT0020</v>
          </cell>
          <cell r="X4331" t="str">
            <v>Formulación</v>
          </cell>
          <cell r="AC4331">
            <v>0.25920000000000004</v>
          </cell>
          <cell r="AD4331">
            <v>0.17581714285714287</v>
          </cell>
          <cell r="AE4331" t="str">
            <v>Con precio</v>
          </cell>
        </row>
        <row r="4332">
          <cell r="B4332" t="str">
            <v>PT0020</v>
          </cell>
          <cell r="X4332" t="str">
            <v>Formulación</v>
          </cell>
          <cell r="AC4332">
            <v>0.5555000000000001</v>
          </cell>
          <cell r="AD4332">
            <v>0.5151</v>
          </cell>
          <cell r="AE4332" t="str">
            <v>Con precio</v>
          </cell>
        </row>
        <row r="4333">
          <cell r="B4333" t="str">
            <v>PT0020</v>
          </cell>
          <cell r="X4333" t="str">
            <v>Formulación</v>
          </cell>
          <cell r="AC4333">
            <v>2.7600000000000003E-2</v>
          </cell>
          <cell r="AD4333">
            <v>2.2615999999999997E-2</v>
          </cell>
          <cell r="AE4333" t="str">
            <v>Con precio</v>
          </cell>
        </row>
        <row r="4334">
          <cell r="B4334" t="str">
            <v>PT0020</v>
          </cell>
          <cell r="X4334" t="str">
            <v>Formulación</v>
          </cell>
          <cell r="AC4334">
            <v>7.0699999999999995E-4</v>
          </cell>
          <cell r="AD4334">
            <v>7.0699999999999995E-4</v>
          </cell>
          <cell r="AE4334" t="str">
            <v>Con precio</v>
          </cell>
        </row>
        <row r="4335">
          <cell r="B4335" t="str">
            <v>PT0020</v>
          </cell>
          <cell r="X4335" t="str">
            <v>Empaquetado</v>
          </cell>
          <cell r="AC4335">
            <v>7.3209374999999993E-3</v>
          </cell>
          <cell r="AD4335">
            <v>7.3209374999999993E-3</v>
          </cell>
          <cell r="AE4335" t="str">
            <v>Con precio</v>
          </cell>
        </row>
        <row r="4336">
          <cell r="B4336" t="str">
            <v>PT0020</v>
          </cell>
          <cell r="X4336" t="str">
            <v>Empaquetado</v>
          </cell>
          <cell r="AC4336">
            <v>2.4171875000000002E-2</v>
          </cell>
          <cell r="AD4336">
            <v>2.4171875000000002E-2</v>
          </cell>
          <cell r="AE4336" t="str">
            <v>Con precio</v>
          </cell>
        </row>
        <row r="4337">
          <cell r="B4337" t="str">
            <v>PT0020</v>
          </cell>
          <cell r="X4337" t="str">
            <v>Empaquetado</v>
          </cell>
          <cell r="AC4337">
            <v>5.0719967793880849E-3</v>
          </cell>
          <cell r="AD4337">
            <v>5.0719967793880849E-3</v>
          </cell>
          <cell r="AE4337" t="str">
            <v>Con precio</v>
          </cell>
        </row>
        <row r="4338">
          <cell r="B4338" t="str">
            <v>PT0020</v>
          </cell>
          <cell r="X4338" t="str">
            <v>Empaquetado</v>
          </cell>
          <cell r="AC4338">
            <v>0.18266505681818179</v>
          </cell>
          <cell r="AD4338">
            <v>0.18266505681818179</v>
          </cell>
          <cell r="AE4338" t="str">
            <v>Con precio</v>
          </cell>
        </row>
        <row r="4339">
          <cell r="B4339" t="str">
            <v>PT0020</v>
          </cell>
          <cell r="X4339" t="str">
            <v>Empaquetado</v>
          </cell>
          <cell r="AC4339">
            <v>1.2352941176470591E-2</v>
          </cell>
          <cell r="AD4339">
            <v>1.2352941176470591E-2</v>
          </cell>
          <cell r="AE4339" t="str">
            <v>Con precio</v>
          </cell>
        </row>
        <row r="4340">
          <cell r="B4340" t="str">
            <v>PT0020MA</v>
          </cell>
          <cell r="X4340" t="str">
            <v>Formulación</v>
          </cell>
          <cell r="AC4340">
            <v>4.8799999999999998E-3</v>
          </cell>
          <cell r="AD4340">
            <v>4.8799999999999998E-3</v>
          </cell>
          <cell r="AE4340" t="str">
            <v>Con precio</v>
          </cell>
        </row>
        <row r="4341">
          <cell r="B4341" t="str">
            <v>PT0020MA</v>
          </cell>
          <cell r="X4341" t="str">
            <v>Formulación</v>
          </cell>
          <cell r="AC4341">
            <v>1.72E-3</v>
          </cell>
          <cell r="AD4341">
            <v>1.286E-3</v>
          </cell>
          <cell r="AE4341" t="str">
            <v>Con precio</v>
          </cell>
        </row>
        <row r="4342">
          <cell r="B4342" t="str">
            <v>PT0020MA</v>
          </cell>
          <cell r="X4342" t="str">
            <v>Formulación</v>
          </cell>
          <cell r="AC4342">
            <v>9.1199999999999989E-2</v>
          </cell>
          <cell r="AD4342">
            <v>8.3840000000000012E-2</v>
          </cell>
          <cell r="AE4342" t="str">
            <v>Con precio</v>
          </cell>
        </row>
        <row r="4343">
          <cell r="B4343" t="str">
            <v>PT0020MA</v>
          </cell>
          <cell r="X4343" t="str">
            <v>Formulación</v>
          </cell>
          <cell r="AC4343">
            <v>0.25920000000000004</v>
          </cell>
          <cell r="AD4343">
            <v>0.17581714285714287</v>
          </cell>
          <cell r="AE4343" t="str">
            <v>Con precio</v>
          </cell>
        </row>
        <row r="4344">
          <cell r="B4344" t="str">
            <v>PT0020MA</v>
          </cell>
          <cell r="X4344" t="str">
            <v>Formulación</v>
          </cell>
          <cell r="AC4344">
            <v>0.5555000000000001</v>
          </cell>
          <cell r="AD4344">
            <v>0.5151</v>
          </cell>
          <cell r="AE4344" t="str">
            <v>Con precio</v>
          </cell>
        </row>
        <row r="4345">
          <cell r="B4345" t="str">
            <v>PT0020MA</v>
          </cell>
          <cell r="X4345" t="str">
            <v>Formulación</v>
          </cell>
          <cell r="AC4345">
            <v>2.7600000000000003E-2</v>
          </cell>
          <cell r="AD4345">
            <v>2.2615999999999997E-2</v>
          </cell>
          <cell r="AE4345" t="str">
            <v>Con precio</v>
          </cell>
        </row>
        <row r="4346">
          <cell r="B4346" t="str">
            <v>PT0020MA</v>
          </cell>
          <cell r="X4346" t="str">
            <v>Formulación</v>
          </cell>
          <cell r="AC4346">
            <v>7.0699999999999995E-4</v>
          </cell>
          <cell r="AD4346">
            <v>7.0699999999999995E-4</v>
          </cell>
          <cell r="AE4346" t="str">
            <v>Con precio</v>
          </cell>
        </row>
        <row r="4347">
          <cell r="B4347" t="str">
            <v>PT0020MA</v>
          </cell>
          <cell r="X4347" t="str">
            <v>Empaquetado</v>
          </cell>
          <cell r="AC4347">
            <v>7.3209374999999993E-3</v>
          </cell>
          <cell r="AD4347">
            <v>7.3209374999999993E-3</v>
          </cell>
          <cell r="AE4347" t="str">
            <v>Con precio</v>
          </cell>
        </row>
        <row r="4348">
          <cell r="B4348" t="str">
            <v>PT0020MA</v>
          </cell>
          <cell r="X4348" t="str">
            <v>Empaquetado</v>
          </cell>
          <cell r="AC4348">
            <v>2.4171875000000002E-2</v>
          </cell>
          <cell r="AD4348">
            <v>2.4171875000000002E-2</v>
          </cell>
          <cell r="AE4348" t="str">
            <v>Con precio</v>
          </cell>
        </row>
        <row r="4349">
          <cell r="B4349" t="str">
            <v>PT0020MA</v>
          </cell>
          <cell r="X4349" t="str">
            <v>Empaquetado</v>
          </cell>
          <cell r="AC4349">
            <v>5.0719967793880849E-3</v>
          </cell>
          <cell r="AD4349">
            <v>5.0719967793880849E-3</v>
          </cell>
          <cell r="AE4349" t="str">
            <v>Con precio</v>
          </cell>
        </row>
        <row r="4350">
          <cell r="B4350" t="str">
            <v>PT0020MA</v>
          </cell>
          <cell r="X4350" t="str">
            <v>Empaquetado</v>
          </cell>
          <cell r="AC4350">
            <v>0.18266505681818179</v>
          </cell>
          <cell r="AD4350">
            <v>0.18266505681818179</v>
          </cell>
          <cell r="AE4350" t="str">
            <v>Con precio</v>
          </cell>
        </row>
        <row r="4351">
          <cell r="B4351" t="str">
            <v>PT0020MA</v>
          </cell>
          <cell r="X4351" t="str">
            <v>Empaquetado</v>
          </cell>
          <cell r="AC4351">
            <v>1.2352941176470591E-2</v>
          </cell>
          <cell r="AD4351">
            <v>1.2352941176470591E-2</v>
          </cell>
          <cell r="AE4351" t="str">
            <v>Con precio</v>
          </cell>
        </row>
        <row r="4352">
          <cell r="B4352" t="str">
            <v>PT0020RO</v>
          </cell>
          <cell r="X4352" t="str">
            <v>Formulación</v>
          </cell>
          <cell r="AC4352">
            <v>4.8799999999999998E-3</v>
          </cell>
          <cell r="AD4352">
            <v>4.8799999999999998E-3</v>
          </cell>
          <cell r="AE4352" t="str">
            <v>Con precio</v>
          </cell>
        </row>
        <row r="4353">
          <cell r="B4353" t="str">
            <v>PT0020RO</v>
          </cell>
          <cell r="X4353" t="str">
            <v>Formulación</v>
          </cell>
          <cell r="AC4353">
            <v>1.72E-3</v>
          </cell>
          <cell r="AD4353">
            <v>1.286E-3</v>
          </cell>
          <cell r="AE4353" t="str">
            <v>Con precio</v>
          </cell>
        </row>
        <row r="4354">
          <cell r="B4354" t="str">
            <v>PT0020RO</v>
          </cell>
          <cell r="X4354" t="str">
            <v>Formulación</v>
          </cell>
          <cell r="AC4354">
            <v>9.1199999999999989E-2</v>
          </cell>
          <cell r="AD4354">
            <v>8.3840000000000012E-2</v>
          </cell>
          <cell r="AE4354" t="str">
            <v>Con precio</v>
          </cell>
        </row>
        <row r="4355">
          <cell r="B4355" t="str">
            <v>PT0020RO</v>
          </cell>
          <cell r="X4355" t="str">
            <v>Formulación</v>
          </cell>
          <cell r="AC4355">
            <v>0.25920000000000004</v>
          </cell>
          <cell r="AD4355">
            <v>0.17581714285714287</v>
          </cell>
          <cell r="AE4355" t="str">
            <v>Con precio</v>
          </cell>
        </row>
        <row r="4356">
          <cell r="B4356" t="str">
            <v>PT0020RO</v>
          </cell>
          <cell r="X4356" t="str">
            <v>Formulación</v>
          </cell>
          <cell r="AC4356">
            <v>0.5555000000000001</v>
          </cell>
          <cell r="AD4356">
            <v>0.5151</v>
          </cell>
          <cell r="AE4356" t="str">
            <v>Con precio</v>
          </cell>
        </row>
        <row r="4357">
          <cell r="B4357" t="str">
            <v>PT0020RO</v>
          </cell>
          <cell r="X4357" t="str">
            <v>Formulación</v>
          </cell>
          <cell r="AC4357">
            <v>2.7600000000000003E-2</v>
          </cell>
          <cell r="AD4357">
            <v>2.2615999999999997E-2</v>
          </cell>
          <cell r="AE4357" t="str">
            <v>Con precio</v>
          </cell>
        </row>
        <row r="4358">
          <cell r="B4358" t="str">
            <v>PT0020RO</v>
          </cell>
          <cell r="X4358" t="str">
            <v>Formulación</v>
          </cell>
          <cell r="AC4358">
            <v>7.0699999999999995E-4</v>
          </cell>
          <cell r="AD4358">
            <v>7.0699999999999995E-4</v>
          </cell>
          <cell r="AE4358" t="str">
            <v>Con precio</v>
          </cell>
        </row>
        <row r="4359">
          <cell r="B4359" t="str">
            <v>PT0020RO</v>
          </cell>
          <cell r="X4359" t="str">
            <v>Empaquetado</v>
          </cell>
          <cell r="AC4359">
            <v>7.3209374999999993E-3</v>
          </cell>
          <cell r="AD4359">
            <v>7.3209374999999993E-3</v>
          </cell>
          <cell r="AE4359" t="str">
            <v>Con precio</v>
          </cell>
        </row>
        <row r="4360">
          <cell r="B4360" t="str">
            <v>PT0020RO</v>
          </cell>
          <cell r="X4360" t="str">
            <v>Empaquetado</v>
          </cell>
          <cell r="AC4360">
            <v>2.4171875000000002E-2</v>
          </cell>
          <cell r="AD4360">
            <v>2.4171875000000002E-2</v>
          </cell>
          <cell r="AE4360" t="str">
            <v>Con precio</v>
          </cell>
        </row>
        <row r="4361">
          <cell r="B4361" t="str">
            <v>PT0020RO</v>
          </cell>
          <cell r="X4361" t="str">
            <v>Empaquetado</v>
          </cell>
          <cell r="AC4361">
            <v>5.0719967793880849E-3</v>
          </cell>
          <cell r="AD4361">
            <v>5.0719967793880849E-3</v>
          </cell>
          <cell r="AE4361" t="str">
            <v>Con precio</v>
          </cell>
        </row>
        <row r="4362">
          <cell r="B4362" t="str">
            <v>PT0020RO</v>
          </cell>
          <cell r="X4362" t="str">
            <v>Empaquetado</v>
          </cell>
          <cell r="AC4362">
            <v>0.18266505681818179</v>
          </cell>
          <cell r="AD4362">
            <v>0.18266505681818179</v>
          </cell>
          <cell r="AE4362" t="str">
            <v>Con precio</v>
          </cell>
        </row>
        <row r="4363">
          <cell r="B4363" t="str">
            <v>PT0020RO</v>
          </cell>
          <cell r="X4363" t="str">
            <v>Empaquetado</v>
          </cell>
          <cell r="AC4363">
            <v>1.2352941176470591E-2</v>
          </cell>
          <cell r="AD4363">
            <v>1.2352941176470591E-2</v>
          </cell>
          <cell r="AE4363" t="str">
            <v>Con precio</v>
          </cell>
        </row>
        <row r="4364">
          <cell r="B4364" t="str">
            <v>PT0200</v>
          </cell>
          <cell r="X4364" t="str">
            <v>Formulación</v>
          </cell>
          <cell r="AC4364">
            <v>4.8799999999999998E-3</v>
          </cell>
          <cell r="AD4364">
            <v>4.8799999999999998E-3</v>
          </cell>
          <cell r="AE4364" t="str">
            <v>Con precio</v>
          </cell>
        </row>
        <row r="4365">
          <cell r="B4365" t="str">
            <v>PT0200</v>
          </cell>
          <cell r="X4365" t="str">
            <v>Formulación</v>
          </cell>
          <cell r="AC4365">
            <v>1.72E-3</v>
          </cell>
          <cell r="AD4365">
            <v>1.286E-3</v>
          </cell>
          <cell r="AE4365" t="str">
            <v>Con precio</v>
          </cell>
        </row>
        <row r="4366">
          <cell r="B4366" t="str">
            <v>PT0200</v>
          </cell>
          <cell r="X4366" t="str">
            <v>Formulación</v>
          </cell>
          <cell r="AC4366">
            <v>9.1199999999999989E-2</v>
          </cell>
          <cell r="AD4366">
            <v>8.3840000000000012E-2</v>
          </cell>
          <cell r="AE4366" t="str">
            <v>Con precio</v>
          </cell>
        </row>
        <row r="4367">
          <cell r="B4367" t="str">
            <v>PT0200</v>
          </cell>
          <cell r="X4367" t="str">
            <v>Formulación</v>
          </cell>
          <cell r="AC4367">
            <v>0.25920000000000004</v>
          </cell>
          <cell r="AD4367">
            <v>0.17581714285714287</v>
          </cell>
          <cell r="AE4367" t="str">
            <v>Con precio</v>
          </cell>
        </row>
        <row r="4368">
          <cell r="B4368" t="str">
            <v>PT0200</v>
          </cell>
          <cell r="X4368" t="str">
            <v>Formulación</v>
          </cell>
          <cell r="AC4368">
            <v>0.5555000000000001</v>
          </cell>
          <cell r="AD4368">
            <v>0.5151</v>
          </cell>
          <cell r="AE4368" t="str">
            <v>Con precio</v>
          </cell>
        </row>
        <row r="4369">
          <cell r="B4369" t="str">
            <v>PT0200</v>
          </cell>
          <cell r="X4369" t="str">
            <v>Formulación</v>
          </cell>
          <cell r="AC4369">
            <v>2.7600000000000003E-2</v>
          </cell>
          <cell r="AD4369">
            <v>2.2615999999999997E-2</v>
          </cell>
          <cell r="AE4369" t="str">
            <v>Con precio</v>
          </cell>
        </row>
        <row r="4370">
          <cell r="B4370" t="str">
            <v>PT0200</v>
          </cell>
          <cell r="X4370" t="str">
            <v>Formulación</v>
          </cell>
          <cell r="AC4370">
            <v>7.0699999999999995E-4</v>
          </cell>
          <cell r="AD4370">
            <v>7.0699999999999995E-4</v>
          </cell>
          <cell r="AE4370" t="str">
            <v>Con precio</v>
          </cell>
        </row>
        <row r="4371">
          <cell r="B4371" t="str">
            <v>PT0200</v>
          </cell>
          <cell r="X4371" t="str">
            <v>Empaquetado</v>
          </cell>
          <cell r="AC4371">
            <v>5.0719967793880845E-4</v>
          </cell>
          <cell r="AD4371">
            <v>5.0719967793880845E-4</v>
          </cell>
          <cell r="AE4371" t="str">
            <v>Con precio</v>
          </cell>
        </row>
        <row r="4372">
          <cell r="B4372" t="str">
            <v>PT0200</v>
          </cell>
          <cell r="X4372" t="str">
            <v>Empaquetado</v>
          </cell>
          <cell r="AC4372">
            <v>2.1875000000000002E-3</v>
          </cell>
          <cell r="AD4372">
            <v>2.1875000000000002E-3</v>
          </cell>
          <cell r="AE4372" t="str">
            <v>Con precio</v>
          </cell>
        </row>
        <row r="4373">
          <cell r="B4373" t="str">
            <v>PT0200</v>
          </cell>
          <cell r="X4373" t="str">
            <v>Empaquetado</v>
          </cell>
          <cell r="AC4373">
            <v>0.16730511363636363</v>
          </cell>
          <cell r="AD4373">
            <v>0.16730511363636363</v>
          </cell>
          <cell r="AE4373" t="str">
            <v>Con precio</v>
          </cell>
        </row>
        <row r="4374">
          <cell r="B4374" t="str">
            <v>PT0200</v>
          </cell>
          <cell r="X4374" t="str">
            <v>Empaquetado</v>
          </cell>
          <cell r="AC4374">
            <v>1.9337500000000001E-2</v>
          </cell>
          <cell r="AD4374">
            <v>1.9337500000000001E-2</v>
          </cell>
          <cell r="AE4374" t="str">
            <v>Con precio</v>
          </cell>
        </row>
        <row r="4375">
          <cell r="B4375" t="str">
            <v>PT0200</v>
          </cell>
          <cell r="X4375" t="str">
            <v>Empaquetado</v>
          </cell>
          <cell r="AC4375">
            <v>3.4999999999999996E-3</v>
          </cell>
          <cell r="AD4375">
            <v>3.4999999999999996E-3</v>
          </cell>
          <cell r="AE4375" t="str">
            <v>Con precio</v>
          </cell>
        </row>
        <row r="4376">
          <cell r="B4376" t="str">
            <v>PT0200</v>
          </cell>
          <cell r="X4376" t="str">
            <v>Empaquetado</v>
          </cell>
          <cell r="AC4376">
            <v>2.2500000000000003E-3</v>
          </cell>
          <cell r="AD4376">
            <v>2.2500000000000003E-3</v>
          </cell>
          <cell r="AE4376" t="str">
            <v>Con precio</v>
          </cell>
        </row>
        <row r="4377">
          <cell r="B4377" t="str">
            <v>PT0200RO</v>
          </cell>
          <cell r="X4377" t="str">
            <v>Formulación</v>
          </cell>
          <cell r="AC4377">
            <v>4.8799999999999998E-3</v>
          </cell>
          <cell r="AD4377">
            <v>4.8799999999999998E-3</v>
          </cell>
          <cell r="AE4377" t="str">
            <v>Con precio</v>
          </cell>
        </row>
        <row r="4378">
          <cell r="B4378" t="str">
            <v>PT0200RO</v>
          </cell>
          <cell r="X4378" t="str">
            <v>Formulación</v>
          </cell>
          <cell r="AC4378">
            <v>1.72E-3</v>
          </cell>
          <cell r="AD4378">
            <v>1.286E-3</v>
          </cell>
          <cell r="AE4378" t="str">
            <v>Con precio</v>
          </cell>
        </row>
        <row r="4379">
          <cell r="B4379" t="str">
            <v>PT0200RO</v>
          </cell>
          <cell r="X4379" t="str">
            <v>Formulación</v>
          </cell>
          <cell r="AC4379">
            <v>9.1199999999999989E-2</v>
          </cell>
          <cell r="AD4379">
            <v>8.3840000000000012E-2</v>
          </cell>
          <cell r="AE4379" t="str">
            <v>Con precio</v>
          </cell>
        </row>
        <row r="4380">
          <cell r="B4380" t="str">
            <v>PT0200RO</v>
          </cell>
          <cell r="X4380" t="str">
            <v>Formulación</v>
          </cell>
          <cell r="AC4380">
            <v>0.25920000000000004</v>
          </cell>
          <cell r="AD4380">
            <v>0.17581714285714287</v>
          </cell>
          <cell r="AE4380" t="str">
            <v>Con precio</v>
          </cell>
        </row>
        <row r="4381">
          <cell r="B4381" t="str">
            <v>PT0200RO</v>
          </cell>
          <cell r="X4381" t="str">
            <v>Formulación</v>
          </cell>
          <cell r="AC4381">
            <v>0.5555000000000001</v>
          </cell>
          <cell r="AD4381">
            <v>0.5151</v>
          </cell>
          <cell r="AE4381" t="str">
            <v>Con precio</v>
          </cell>
        </row>
        <row r="4382">
          <cell r="B4382" t="str">
            <v>PT0200RO</v>
          </cell>
          <cell r="X4382" t="str">
            <v>Formulación</v>
          </cell>
          <cell r="AC4382">
            <v>2.7600000000000003E-2</v>
          </cell>
          <cell r="AD4382">
            <v>2.2615999999999997E-2</v>
          </cell>
          <cell r="AE4382" t="str">
            <v>Con precio</v>
          </cell>
        </row>
        <row r="4383">
          <cell r="B4383" t="str">
            <v>PT0200RO</v>
          </cell>
          <cell r="X4383" t="str">
            <v>Formulación</v>
          </cell>
          <cell r="AC4383">
            <v>7.0699999999999995E-4</v>
          </cell>
          <cell r="AD4383">
            <v>7.0699999999999995E-4</v>
          </cell>
          <cell r="AE4383" t="str">
            <v>Con precio</v>
          </cell>
        </row>
        <row r="4384">
          <cell r="B4384" t="str">
            <v>PT0200RO</v>
          </cell>
          <cell r="X4384" t="str">
            <v>Empaquetado</v>
          </cell>
          <cell r="AC4384">
            <v>5.0719967793880845E-4</v>
          </cell>
          <cell r="AD4384">
            <v>5.0719967793880845E-4</v>
          </cell>
          <cell r="AE4384" t="str">
            <v>Con precio</v>
          </cell>
        </row>
        <row r="4385">
          <cell r="B4385" t="str">
            <v>PT0200RO</v>
          </cell>
          <cell r="X4385" t="str">
            <v>Empaquetado</v>
          </cell>
          <cell r="AC4385">
            <v>2.1875000000000002E-3</v>
          </cell>
          <cell r="AD4385">
            <v>2.1875000000000002E-3</v>
          </cell>
          <cell r="AE4385" t="str">
            <v>Con precio</v>
          </cell>
        </row>
        <row r="4386">
          <cell r="B4386" t="str">
            <v>PT0200RO</v>
          </cell>
          <cell r="X4386" t="str">
            <v>Empaquetado</v>
          </cell>
          <cell r="AC4386">
            <v>0.16730511363636363</v>
          </cell>
          <cell r="AD4386">
            <v>0.16730511363636363</v>
          </cell>
          <cell r="AE4386" t="str">
            <v>Con precio</v>
          </cell>
        </row>
        <row r="4387">
          <cell r="B4387" t="str">
            <v>PT0200RO</v>
          </cell>
          <cell r="X4387" t="str">
            <v>Empaquetado</v>
          </cell>
          <cell r="AC4387">
            <v>1.9337500000000001E-2</v>
          </cell>
          <cell r="AD4387">
            <v>1.9337500000000001E-2</v>
          </cell>
          <cell r="AE4387" t="str">
            <v>Con precio</v>
          </cell>
        </row>
        <row r="4388">
          <cell r="B4388" t="str">
            <v>PT0200RO</v>
          </cell>
          <cell r="X4388" t="str">
            <v>Empaquetado</v>
          </cell>
          <cell r="AC4388">
            <v>3.4999999999999996E-3</v>
          </cell>
          <cell r="AD4388">
            <v>3.4999999999999996E-3</v>
          </cell>
          <cell r="AE4388" t="str">
            <v>Con precio</v>
          </cell>
        </row>
        <row r="4389">
          <cell r="B4389" t="str">
            <v>PT0200RO</v>
          </cell>
          <cell r="X4389" t="str">
            <v>Empaquetado</v>
          </cell>
          <cell r="AC4389">
            <v>2.2500000000000003E-3</v>
          </cell>
          <cell r="AD4389">
            <v>2.2500000000000003E-3</v>
          </cell>
          <cell r="AE4389" t="str">
            <v>Con precio</v>
          </cell>
        </row>
        <row r="4390">
          <cell r="B4390" t="str">
            <v>PT1000</v>
          </cell>
          <cell r="X4390" t="str">
            <v>Formulación</v>
          </cell>
          <cell r="AC4390">
            <v>4.8799999999999998E-3</v>
          </cell>
          <cell r="AD4390">
            <v>4.8799999999999998E-3</v>
          </cell>
          <cell r="AE4390" t="str">
            <v>Con precio</v>
          </cell>
        </row>
        <row r="4391">
          <cell r="B4391" t="str">
            <v>PT1000</v>
          </cell>
          <cell r="X4391" t="str">
            <v>Formulación</v>
          </cell>
          <cell r="AC4391">
            <v>1.72E-3</v>
          </cell>
          <cell r="AD4391">
            <v>1.286E-3</v>
          </cell>
          <cell r="AE4391" t="str">
            <v>Con precio</v>
          </cell>
        </row>
        <row r="4392">
          <cell r="B4392" t="str">
            <v>PT1000</v>
          </cell>
          <cell r="X4392" t="str">
            <v>Formulación</v>
          </cell>
          <cell r="AC4392">
            <v>9.1199999999999989E-2</v>
          </cell>
          <cell r="AD4392">
            <v>8.3840000000000012E-2</v>
          </cell>
          <cell r="AE4392" t="str">
            <v>Con precio</v>
          </cell>
        </row>
        <row r="4393">
          <cell r="B4393" t="str">
            <v>PT1000</v>
          </cell>
          <cell r="X4393" t="str">
            <v>Formulación</v>
          </cell>
          <cell r="AC4393">
            <v>0.25920000000000004</v>
          </cell>
          <cell r="AD4393">
            <v>0.17581714285714287</v>
          </cell>
          <cell r="AE4393" t="str">
            <v>Con precio</v>
          </cell>
        </row>
        <row r="4394">
          <cell r="B4394" t="str">
            <v>PT1000</v>
          </cell>
          <cell r="X4394" t="str">
            <v>Formulación</v>
          </cell>
          <cell r="AC4394">
            <v>0.5555000000000001</v>
          </cell>
          <cell r="AD4394">
            <v>0.5151</v>
          </cell>
          <cell r="AE4394" t="str">
            <v>Con precio</v>
          </cell>
        </row>
        <row r="4395">
          <cell r="B4395" t="str">
            <v>PT1000</v>
          </cell>
          <cell r="X4395" t="str">
            <v>Formulación</v>
          </cell>
          <cell r="AC4395">
            <v>2.7600000000000003E-2</v>
          </cell>
          <cell r="AD4395">
            <v>2.2615999999999997E-2</v>
          </cell>
          <cell r="AE4395" t="str">
            <v>Con precio</v>
          </cell>
        </row>
        <row r="4396">
          <cell r="B4396" t="str">
            <v>PT1000</v>
          </cell>
          <cell r="X4396" t="str">
            <v>Formulación</v>
          </cell>
          <cell r="AC4396">
            <v>7.0699999999999995E-4</v>
          </cell>
          <cell r="AD4396">
            <v>7.0699999999999995E-4</v>
          </cell>
          <cell r="AE4396" t="str">
            <v>Con precio</v>
          </cell>
        </row>
        <row r="4397">
          <cell r="B4397" t="str">
            <v>PT1000</v>
          </cell>
          <cell r="X4397" t="str">
            <v>Empaquetado</v>
          </cell>
          <cell r="AC4397">
            <v>6.9846153846153836E-2</v>
          </cell>
          <cell r="AD4397">
            <v>6.9846153846153836E-2</v>
          </cell>
          <cell r="AE4397" t="str">
            <v>Con precio</v>
          </cell>
        </row>
        <row r="4398">
          <cell r="B4398" t="str">
            <v>PT1000</v>
          </cell>
          <cell r="X4398" t="str">
            <v>Empaquetado</v>
          </cell>
          <cell r="AC4398">
            <v>1.014399355877617E-4</v>
          </cell>
          <cell r="AD4398">
            <v>1.014399355877617E-4</v>
          </cell>
          <cell r="AE4398" t="str">
            <v>Con precio</v>
          </cell>
        </row>
        <row r="4399">
          <cell r="B4399" t="str">
            <v>PT1000CR</v>
          </cell>
          <cell r="X4399" t="str">
            <v>Formulación</v>
          </cell>
          <cell r="AC4399">
            <v>4.8799999999999998E-3</v>
          </cell>
          <cell r="AD4399">
            <v>4.8799999999999998E-3</v>
          </cell>
          <cell r="AE4399" t="str">
            <v>Con precio</v>
          </cell>
        </row>
        <row r="4400">
          <cell r="B4400" t="str">
            <v>PT1000CR</v>
          </cell>
          <cell r="X4400" t="str">
            <v>Formulación</v>
          </cell>
          <cell r="AC4400">
            <v>1.72E-3</v>
          </cell>
          <cell r="AD4400">
            <v>1.286E-3</v>
          </cell>
          <cell r="AE4400" t="str">
            <v>Con precio</v>
          </cell>
        </row>
        <row r="4401">
          <cell r="B4401" t="str">
            <v>PT1000CR</v>
          </cell>
          <cell r="X4401" t="str">
            <v>Formulación</v>
          </cell>
          <cell r="AC4401">
            <v>9.1199999999999989E-2</v>
          </cell>
          <cell r="AD4401">
            <v>8.3840000000000012E-2</v>
          </cell>
          <cell r="AE4401" t="str">
            <v>Con precio</v>
          </cell>
        </row>
        <row r="4402">
          <cell r="B4402" t="str">
            <v>PT1000CR</v>
          </cell>
          <cell r="X4402" t="str">
            <v>Formulación</v>
          </cell>
          <cell r="AC4402">
            <v>0.25920000000000004</v>
          </cell>
          <cell r="AD4402">
            <v>0.17581714285714287</v>
          </cell>
          <cell r="AE4402" t="str">
            <v>Con precio</v>
          </cell>
        </row>
        <row r="4403">
          <cell r="B4403" t="str">
            <v>PT1000CR</v>
          </cell>
          <cell r="X4403" t="str">
            <v>Formulación</v>
          </cell>
          <cell r="AC4403">
            <v>0.5555000000000001</v>
          </cell>
          <cell r="AD4403">
            <v>0.5151</v>
          </cell>
          <cell r="AE4403" t="str">
            <v>Con precio</v>
          </cell>
        </row>
        <row r="4404">
          <cell r="B4404" t="str">
            <v>PT1000CR</v>
          </cell>
          <cell r="X4404" t="str">
            <v>Formulación</v>
          </cell>
          <cell r="AC4404">
            <v>2.7600000000000003E-2</v>
          </cell>
          <cell r="AD4404">
            <v>2.2615999999999997E-2</v>
          </cell>
          <cell r="AE4404" t="str">
            <v>Con precio</v>
          </cell>
        </row>
        <row r="4405">
          <cell r="B4405" t="str">
            <v>PT1000CR</v>
          </cell>
          <cell r="X4405" t="str">
            <v>Formulación</v>
          </cell>
          <cell r="AC4405">
            <v>7.0699999999999995E-4</v>
          </cell>
          <cell r="AD4405">
            <v>7.0699999999999995E-4</v>
          </cell>
          <cell r="AE4405" t="str">
            <v>Con precio</v>
          </cell>
        </row>
        <row r="4406">
          <cell r="B4406" t="str">
            <v>PT1000CR</v>
          </cell>
          <cell r="X4406" t="str">
            <v>Empaquetado</v>
          </cell>
          <cell r="AC4406">
            <v>6.9846153846153836E-2</v>
          </cell>
          <cell r="AD4406">
            <v>6.9846153846153836E-2</v>
          </cell>
          <cell r="AE4406" t="str">
            <v>Con precio</v>
          </cell>
        </row>
        <row r="4407">
          <cell r="B4407" t="str">
            <v>PT1000CR</v>
          </cell>
          <cell r="X4407" t="str">
            <v>Empaquetado</v>
          </cell>
          <cell r="AC4407">
            <v>1.014399355877617E-4</v>
          </cell>
          <cell r="AD4407">
            <v>1.014399355877617E-4</v>
          </cell>
          <cell r="AE4407" t="str">
            <v>Con precio</v>
          </cell>
        </row>
        <row r="4408">
          <cell r="B4408" t="str">
            <v>RUN0001AZ</v>
          </cell>
          <cell r="X4408" t="str">
            <v>Formulación</v>
          </cell>
          <cell r="AC4408">
            <v>4.8799999999999998E-3</v>
          </cell>
          <cell r="AD4408">
            <v>4.8799999999999998E-3</v>
          </cell>
          <cell r="AE4408" t="str">
            <v>Con precio</v>
          </cell>
        </row>
        <row r="4409">
          <cell r="B4409" t="str">
            <v>RUN0001AZ</v>
          </cell>
          <cell r="X4409" t="str">
            <v>Formulación</v>
          </cell>
          <cell r="AC4409">
            <v>0.31740000000000002</v>
          </cell>
          <cell r="AD4409">
            <v>0.26008399999999993</v>
          </cell>
          <cell r="AE4409" t="str">
            <v>Con precio</v>
          </cell>
        </row>
        <row r="4410">
          <cell r="B4410" t="str">
            <v>RUN0001AZ</v>
          </cell>
          <cell r="X4410" t="str">
            <v>Formulación</v>
          </cell>
          <cell r="AC4410">
            <v>6.7500000000000004E-2</v>
          </cell>
          <cell r="AD4410">
            <v>6.7500000000000004E-2</v>
          </cell>
          <cell r="AE4410" t="str">
            <v>Con precio</v>
          </cell>
        </row>
        <row r="4411">
          <cell r="B4411" t="str">
            <v>RUN0001AZ</v>
          </cell>
          <cell r="X4411" t="str">
            <v>Formulación</v>
          </cell>
          <cell r="AC4411">
            <v>9.5699999999999993E-2</v>
          </cell>
          <cell r="AD4411">
            <v>9.5699999999999993E-2</v>
          </cell>
          <cell r="AE4411" t="str">
            <v>Con precio</v>
          </cell>
        </row>
        <row r="4412">
          <cell r="B4412" t="str">
            <v>RUN0001AZ</v>
          </cell>
          <cell r="X4412" t="str">
            <v>Formulación</v>
          </cell>
          <cell r="AC4412">
            <v>3.1632757377049181</v>
          </cell>
          <cell r="AD4412">
            <v>3.1632757377049181</v>
          </cell>
          <cell r="AE4412" t="str">
            <v>Con precio</v>
          </cell>
        </row>
        <row r="4413">
          <cell r="B4413" t="str">
            <v>RUN0001AZ</v>
          </cell>
          <cell r="X4413" t="str">
            <v>Formulación</v>
          </cell>
          <cell r="AC4413">
            <v>6.0500000000000005E-2</v>
          </cell>
          <cell r="AD4413">
            <v>5.6100000000000004E-2</v>
          </cell>
          <cell r="AE4413" t="str">
            <v>Con precio</v>
          </cell>
        </row>
        <row r="4414">
          <cell r="B4414" t="str">
            <v>RUN0001AZ</v>
          </cell>
          <cell r="X4414" t="str">
            <v>Formulación</v>
          </cell>
          <cell r="AC4414">
            <v>1.72E-2</v>
          </cell>
          <cell r="AD4414">
            <v>1.286E-2</v>
          </cell>
          <cell r="AE4414" t="str">
            <v>Con precio</v>
          </cell>
        </row>
        <row r="4415">
          <cell r="B4415" t="str">
            <v>RUN0001AZ</v>
          </cell>
          <cell r="X4415" t="str">
            <v>Formulación</v>
          </cell>
          <cell r="AC4415">
            <v>3.2000000000000001E-2</v>
          </cell>
          <cell r="AD4415">
            <v>2.8750000000000001E-2</v>
          </cell>
          <cell r="AE4415" t="str">
            <v>Con precio</v>
          </cell>
        </row>
        <row r="4416">
          <cell r="B4416" t="str">
            <v>RUN0001AZ</v>
          </cell>
          <cell r="X4416" t="str">
            <v>Empaquetado</v>
          </cell>
          <cell r="AC4416">
            <v>3.0303030303030299E-5</v>
          </cell>
          <cell r="AD4416">
            <v>3.0303030303030299E-5</v>
          </cell>
          <cell r="AE4416" t="str">
            <v>Con precio</v>
          </cell>
        </row>
        <row r="4417">
          <cell r="B4417" t="str">
            <v>RUN0001AZ</v>
          </cell>
          <cell r="X4417" t="str">
            <v>Empaquetado</v>
          </cell>
          <cell r="AC4417">
            <v>2.3439393939393937E-2</v>
          </cell>
          <cell r="AD4417">
            <v>2.3439393939393937E-2</v>
          </cell>
          <cell r="AE4417" t="str">
            <v>Con precio</v>
          </cell>
        </row>
        <row r="4418">
          <cell r="B4418" t="str">
            <v>RUN0001AZ</v>
          </cell>
          <cell r="X4418" t="str">
            <v>Empaquetado</v>
          </cell>
          <cell r="AC4418">
            <v>7.1917518745739595E-2</v>
          </cell>
          <cell r="AD4418">
            <v>7.1917518745739595E-2</v>
          </cell>
          <cell r="AE4418" t="str">
            <v>Con precio</v>
          </cell>
        </row>
        <row r="4419">
          <cell r="B4419" t="str">
            <v>RUN0001AZ</v>
          </cell>
          <cell r="X4419" t="str">
            <v>Empaquetado</v>
          </cell>
          <cell r="AC4419">
            <v>0.45124999999999998</v>
          </cell>
          <cell r="AD4419">
            <v>0.32061666666666666</v>
          </cell>
          <cell r="AE4419" t="str">
            <v>Con precio</v>
          </cell>
        </row>
        <row r="4420">
          <cell r="B4420" t="str">
            <v>RUN0001AZ</v>
          </cell>
          <cell r="X4420" t="str">
            <v>Empaquetado</v>
          </cell>
          <cell r="AC4420">
            <v>0.44322992424242419</v>
          </cell>
          <cell r="AD4420">
            <v>0.44322992424242419</v>
          </cell>
          <cell r="AE4420" t="str">
            <v>Con precio</v>
          </cell>
        </row>
        <row r="4421">
          <cell r="B4421" t="str">
            <v>RUN0001AZ</v>
          </cell>
          <cell r="X4421" t="str">
            <v>Empaquetado</v>
          </cell>
          <cell r="AC4421">
            <v>9.6080774456521717E-2</v>
          </cell>
          <cell r="AD4421">
            <v>9.6080774456521717E-2</v>
          </cell>
          <cell r="AE4421" t="str">
            <v>Con precio</v>
          </cell>
        </row>
        <row r="4422">
          <cell r="B4422" t="str">
            <v>RUN0001DO</v>
          </cell>
          <cell r="X4422" t="str">
            <v>Formulación</v>
          </cell>
          <cell r="AC4422">
            <v>4.8799999999999998E-3</v>
          </cell>
          <cell r="AD4422">
            <v>4.8799999999999998E-3</v>
          </cell>
          <cell r="AE4422" t="str">
            <v>Con precio</v>
          </cell>
        </row>
        <row r="4423">
          <cell r="B4423" t="str">
            <v>RUN0001DO</v>
          </cell>
          <cell r="X4423" t="str">
            <v>Formulación</v>
          </cell>
          <cell r="AC4423">
            <v>0.31740000000000002</v>
          </cell>
          <cell r="AD4423">
            <v>0.26008399999999993</v>
          </cell>
          <cell r="AE4423" t="str">
            <v>Con precio</v>
          </cell>
        </row>
        <row r="4424">
          <cell r="B4424" t="str">
            <v>RUN0001DO</v>
          </cell>
          <cell r="X4424" t="str">
            <v>Formulación</v>
          </cell>
          <cell r="AC4424">
            <v>6.7500000000000004E-2</v>
          </cell>
          <cell r="AD4424">
            <v>6.7500000000000004E-2</v>
          </cell>
          <cell r="AE4424" t="str">
            <v>Con precio</v>
          </cell>
        </row>
        <row r="4425">
          <cell r="B4425" t="str">
            <v>RUN0001DO</v>
          </cell>
          <cell r="X4425" t="str">
            <v>Formulación</v>
          </cell>
          <cell r="AC4425">
            <v>9.5699999999999993E-2</v>
          </cell>
          <cell r="AD4425">
            <v>9.5699999999999993E-2</v>
          </cell>
          <cell r="AE4425" t="str">
            <v>Con precio</v>
          </cell>
        </row>
        <row r="4426">
          <cell r="B4426" t="str">
            <v>RUN0001DO</v>
          </cell>
          <cell r="X4426" t="str">
            <v>Formulación</v>
          </cell>
          <cell r="AC4426">
            <v>3.1632757377049181</v>
          </cell>
          <cell r="AD4426">
            <v>3.1632757377049181</v>
          </cell>
          <cell r="AE4426" t="str">
            <v>Con precio</v>
          </cell>
        </row>
        <row r="4427">
          <cell r="B4427" t="str">
            <v>RUN0001DO</v>
          </cell>
          <cell r="X4427" t="str">
            <v>Formulación</v>
          </cell>
          <cell r="AC4427">
            <v>6.0500000000000005E-2</v>
          </cell>
          <cell r="AD4427">
            <v>5.6100000000000004E-2</v>
          </cell>
          <cell r="AE4427" t="str">
            <v>Con precio</v>
          </cell>
        </row>
        <row r="4428">
          <cell r="B4428" t="str">
            <v>RUN0001DO</v>
          </cell>
          <cell r="X4428" t="str">
            <v>Formulación</v>
          </cell>
          <cell r="AC4428">
            <v>1.72E-2</v>
          </cell>
          <cell r="AD4428">
            <v>1.286E-2</v>
          </cell>
          <cell r="AE4428" t="str">
            <v>Con precio</v>
          </cell>
        </row>
        <row r="4429">
          <cell r="B4429" t="str">
            <v>RUN0001DO</v>
          </cell>
          <cell r="X4429" t="str">
            <v>Formulación</v>
          </cell>
          <cell r="AC4429">
            <v>3.2000000000000001E-2</v>
          </cell>
          <cell r="AD4429">
            <v>2.8750000000000001E-2</v>
          </cell>
          <cell r="AE4429" t="str">
            <v>Con precio</v>
          </cell>
        </row>
        <row r="4430">
          <cell r="B4430" t="str">
            <v>RUN0001DO</v>
          </cell>
          <cell r="X4430" t="str">
            <v>Empaquetado</v>
          </cell>
          <cell r="AC4430">
            <v>3.0303030303030299E-5</v>
          </cell>
          <cell r="AD4430">
            <v>3.0303030303030299E-5</v>
          </cell>
          <cell r="AE4430" t="str">
            <v>Con precio</v>
          </cell>
        </row>
        <row r="4431">
          <cell r="B4431" t="str">
            <v>RUN0001DO</v>
          </cell>
          <cell r="X4431" t="str">
            <v>Empaquetado</v>
          </cell>
          <cell r="AC4431">
            <v>2.3439393939393937E-2</v>
          </cell>
          <cell r="AD4431">
            <v>2.3439393939393937E-2</v>
          </cell>
          <cell r="AE4431" t="str">
            <v>Con precio</v>
          </cell>
        </row>
        <row r="4432">
          <cell r="B4432" t="str">
            <v>RUN0001DO</v>
          </cell>
          <cell r="X4432" t="str">
            <v>Empaquetado</v>
          </cell>
          <cell r="AC4432">
            <v>7.1917518745739595E-2</v>
          </cell>
          <cell r="AD4432">
            <v>7.1917518745739595E-2</v>
          </cell>
          <cell r="AE4432" t="str">
            <v>Con precio</v>
          </cell>
        </row>
        <row r="4433">
          <cell r="B4433" t="str">
            <v>RUN0001DO</v>
          </cell>
          <cell r="X4433" t="str">
            <v>Empaquetado</v>
          </cell>
          <cell r="AC4433">
            <v>0.45124999999999998</v>
          </cell>
          <cell r="AD4433">
            <v>0.32061666666666666</v>
          </cell>
          <cell r="AE4433" t="str">
            <v>Con precio</v>
          </cell>
        </row>
        <row r="4434">
          <cell r="B4434" t="str">
            <v>RUN0001DO</v>
          </cell>
          <cell r="X4434" t="str">
            <v>Empaquetado</v>
          </cell>
          <cell r="AC4434">
            <v>0.44322992424242419</v>
          </cell>
          <cell r="AD4434">
            <v>0.44322992424242419</v>
          </cell>
          <cell r="AE4434" t="str">
            <v>Con precio</v>
          </cell>
        </row>
        <row r="4435">
          <cell r="B4435" t="str">
            <v>RUN0001DO</v>
          </cell>
          <cell r="X4435" t="str">
            <v>Empaquetado</v>
          </cell>
          <cell r="AC4435">
            <v>9.6080774456521717E-2</v>
          </cell>
          <cell r="AD4435">
            <v>9.6080774456521717E-2</v>
          </cell>
          <cell r="AE4435" t="str">
            <v>Con precio</v>
          </cell>
        </row>
        <row r="4436">
          <cell r="B4436" t="str">
            <v>RUN0001GE</v>
          </cell>
          <cell r="X4436" t="str">
            <v>Formulación</v>
          </cell>
          <cell r="AC4436">
            <v>4.8799999999999998E-3</v>
          </cell>
          <cell r="AD4436">
            <v>4.8799999999999998E-3</v>
          </cell>
          <cell r="AE4436" t="str">
            <v>Con precio</v>
          </cell>
        </row>
        <row r="4437">
          <cell r="B4437" t="str">
            <v>RUN0001GE</v>
          </cell>
          <cell r="X4437" t="str">
            <v>Formulación</v>
          </cell>
          <cell r="AC4437">
            <v>0.31740000000000002</v>
          </cell>
          <cell r="AD4437">
            <v>0.26008399999999993</v>
          </cell>
          <cell r="AE4437" t="str">
            <v>Con precio</v>
          </cell>
        </row>
        <row r="4438">
          <cell r="B4438" t="str">
            <v>RUN0001GE</v>
          </cell>
          <cell r="X4438" t="str">
            <v>Formulación</v>
          </cell>
          <cell r="AC4438">
            <v>6.7500000000000004E-2</v>
          </cell>
          <cell r="AD4438">
            <v>6.7500000000000004E-2</v>
          </cell>
          <cell r="AE4438" t="str">
            <v>Con precio</v>
          </cell>
        </row>
        <row r="4439">
          <cell r="B4439" t="str">
            <v>RUN0001GE</v>
          </cell>
          <cell r="X4439" t="str">
            <v>Formulación</v>
          </cell>
          <cell r="AC4439">
            <v>9.5699999999999993E-2</v>
          </cell>
          <cell r="AD4439">
            <v>9.5699999999999993E-2</v>
          </cell>
          <cell r="AE4439" t="str">
            <v>Con precio</v>
          </cell>
        </row>
        <row r="4440">
          <cell r="B4440" t="str">
            <v>RUN0001GE</v>
          </cell>
          <cell r="X4440" t="str">
            <v>Formulación</v>
          </cell>
          <cell r="AC4440">
            <v>3.1632757377049181</v>
          </cell>
          <cell r="AD4440">
            <v>3.1632757377049181</v>
          </cell>
          <cell r="AE4440" t="str">
            <v>Con precio</v>
          </cell>
        </row>
        <row r="4441">
          <cell r="B4441" t="str">
            <v>RUN0001GE</v>
          </cell>
          <cell r="X4441" t="str">
            <v>Formulación</v>
          </cell>
          <cell r="AC4441">
            <v>6.0500000000000005E-2</v>
          </cell>
          <cell r="AD4441">
            <v>5.6100000000000004E-2</v>
          </cell>
          <cell r="AE4441" t="str">
            <v>Con precio</v>
          </cell>
        </row>
        <row r="4442">
          <cell r="B4442" t="str">
            <v>RUN0001GE</v>
          </cell>
          <cell r="X4442" t="str">
            <v>Formulación</v>
          </cell>
          <cell r="AC4442">
            <v>1.72E-2</v>
          </cell>
          <cell r="AD4442">
            <v>1.286E-2</v>
          </cell>
          <cell r="AE4442" t="str">
            <v>Con precio</v>
          </cell>
        </row>
        <row r="4443">
          <cell r="B4443" t="str">
            <v>RUN0001GE</v>
          </cell>
          <cell r="X4443" t="str">
            <v>Formulación</v>
          </cell>
          <cell r="AC4443">
            <v>3.2000000000000001E-2</v>
          </cell>
          <cell r="AD4443">
            <v>2.8750000000000001E-2</v>
          </cell>
          <cell r="AE4443" t="str">
            <v>Con precio</v>
          </cell>
        </row>
        <row r="4444">
          <cell r="B4444" t="str">
            <v>RUN0001GE</v>
          </cell>
          <cell r="X4444" t="str">
            <v>Empaquetado</v>
          </cell>
          <cell r="AC4444">
            <v>3.0303030303030299E-5</v>
          </cell>
          <cell r="AD4444">
            <v>3.0303030303030299E-5</v>
          </cell>
          <cell r="AE4444" t="str">
            <v>Con precio</v>
          </cell>
        </row>
        <row r="4445">
          <cell r="B4445" t="str">
            <v>RUN0001GE</v>
          </cell>
          <cell r="X4445" t="str">
            <v>Empaquetado</v>
          </cell>
          <cell r="AC4445">
            <v>2.3439393939393937E-2</v>
          </cell>
          <cell r="AD4445">
            <v>2.3439393939393937E-2</v>
          </cell>
          <cell r="AE4445" t="str">
            <v>Con precio</v>
          </cell>
        </row>
        <row r="4446">
          <cell r="B4446" t="str">
            <v>RUN0001GE</v>
          </cell>
          <cell r="X4446" t="str">
            <v>Empaquetado</v>
          </cell>
          <cell r="AC4446">
            <v>7.1917518745739595E-2</v>
          </cell>
          <cell r="AD4446">
            <v>7.1917518745739595E-2</v>
          </cell>
          <cell r="AE4446" t="str">
            <v>Con precio</v>
          </cell>
        </row>
        <row r="4447">
          <cell r="B4447" t="str">
            <v>RUN0001GE</v>
          </cell>
          <cell r="X4447" t="str">
            <v>Empaquetado</v>
          </cell>
          <cell r="AC4447">
            <v>0.45124999999999998</v>
          </cell>
          <cell r="AD4447">
            <v>0.32061666666666666</v>
          </cell>
          <cell r="AE4447" t="str">
            <v>Con precio</v>
          </cell>
        </row>
        <row r="4448">
          <cell r="B4448" t="str">
            <v>RUN0001GE</v>
          </cell>
          <cell r="X4448" t="str">
            <v>Empaquetado</v>
          </cell>
          <cell r="AC4448">
            <v>0.44322992424242419</v>
          </cell>
          <cell r="AD4448">
            <v>0.44322992424242419</v>
          </cell>
          <cell r="AE4448" t="str">
            <v>Con precio</v>
          </cell>
        </row>
        <row r="4449">
          <cell r="B4449" t="str">
            <v>RUN0001GE</v>
          </cell>
          <cell r="X4449" t="str">
            <v>Empaquetado</v>
          </cell>
          <cell r="AC4449">
            <v>9.6080774456521717E-2</v>
          </cell>
          <cell r="AD4449">
            <v>9.6080774456521717E-2</v>
          </cell>
          <cell r="AE4449" t="str">
            <v>Con precio</v>
          </cell>
        </row>
        <row r="4450">
          <cell r="B4450" t="str">
            <v>RUN0001RS</v>
          </cell>
          <cell r="X4450" t="str">
            <v>Formulación</v>
          </cell>
          <cell r="AC4450">
            <v>4.8799999999999998E-3</v>
          </cell>
          <cell r="AD4450">
            <v>4.8799999999999998E-3</v>
          </cell>
          <cell r="AE4450" t="str">
            <v>Con precio</v>
          </cell>
        </row>
        <row r="4451">
          <cell r="B4451" t="str">
            <v>RUN0001RS</v>
          </cell>
          <cell r="X4451" t="str">
            <v>Formulación</v>
          </cell>
          <cell r="AC4451">
            <v>0.31740000000000002</v>
          </cell>
          <cell r="AD4451">
            <v>0.26008399999999993</v>
          </cell>
          <cell r="AE4451" t="str">
            <v>Con precio</v>
          </cell>
        </row>
        <row r="4452">
          <cell r="B4452" t="str">
            <v>RUN0001RS</v>
          </cell>
          <cell r="X4452" t="str">
            <v>Formulación</v>
          </cell>
          <cell r="AC4452">
            <v>6.7500000000000004E-2</v>
          </cell>
          <cell r="AD4452">
            <v>6.7500000000000004E-2</v>
          </cell>
          <cell r="AE4452" t="str">
            <v>Con precio</v>
          </cell>
        </row>
        <row r="4453">
          <cell r="B4453" t="str">
            <v>RUN0001RS</v>
          </cell>
          <cell r="X4453" t="str">
            <v>Formulación</v>
          </cell>
          <cell r="AC4453">
            <v>9.5699999999999993E-2</v>
          </cell>
          <cell r="AD4453">
            <v>9.5699999999999993E-2</v>
          </cell>
          <cell r="AE4453" t="str">
            <v>Con precio</v>
          </cell>
        </row>
        <row r="4454">
          <cell r="B4454" t="str">
            <v>RUN0001RS</v>
          </cell>
          <cell r="X4454" t="str">
            <v>Formulación</v>
          </cell>
          <cell r="AC4454">
            <v>3.1632757377049181</v>
          </cell>
          <cell r="AD4454">
            <v>3.1632757377049181</v>
          </cell>
          <cell r="AE4454" t="str">
            <v>Con precio</v>
          </cell>
        </row>
        <row r="4455">
          <cell r="B4455" t="str">
            <v>RUN0001RS</v>
          </cell>
          <cell r="X4455" t="str">
            <v>Formulación</v>
          </cell>
          <cell r="AC4455">
            <v>6.0500000000000005E-2</v>
          </cell>
          <cell r="AD4455">
            <v>5.6100000000000004E-2</v>
          </cell>
          <cell r="AE4455" t="str">
            <v>Con precio</v>
          </cell>
        </row>
        <row r="4456">
          <cell r="B4456" t="str">
            <v>RUN0001RS</v>
          </cell>
          <cell r="X4456" t="str">
            <v>Formulación</v>
          </cell>
          <cell r="AC4456">
            <v>1.72E-2</v>
          </cell>
          <cell r="AD4456">
            <v>1.286E-2</v>
          </cell>
          <cell r="AE4456" t="str">
            <v>Con precio</v>
          </cell>
        </row>
        <row r="4457">
          <cell r="B4457" t="str">
            <v>RUN0001RS</v>
          </cell>
          <cell r="X4457" t="str">
            <v>Formulación</v>
          </cell>
          <cell r="AC4457">
            <v>3.2000000000000001E-2</v>
          </cell>
          <cell r="AD4457">
            <v>2.8750000000000001E-2</v>
          </cell>
          <cell r="AE4457" t="str">
            <v>Con precio</v>
          </cell>
        </row>
        <row r="4458">
          <cell r="B4458" t="str">
            <v>RUN0001RS</v>
          </cell>
          <cell r="X4458" t="str">
            <v>Empaquetado</v>
          </cell>
          <cell r="AC4458">
            <v>3.0303030303030299E-5</v>
          </cell>
          <cell r="AD4458">
            <v>3.0303030303030299E-5</v>
          </cell>
          <cell r="AE4458" t="str">
            <v>Con precio</v>
          </cell>
        </row>
        <row r="4459">
          <cell r="B4459" t="str">
            <v>RUN0001RS</v>
          </cell>
          <cell r="X4459" t="str">
            <v>Empaquetado</v>
          </cell>
          <cell r="AC4459">
            <v>2.3439393939393937E-2</v>
          </cell>
          <cell r="AD4459">
            <v>2.3439393939393937E-2</v>
          </cell>
          <cell r="AE4459" t="str">
            <v>Con precio</v>
          </cell>
        </row>
        <row r="4460">
          <cell r="B4460" t="str">
            <v>RUN0001RS</v>
          </cell>
          <cell r="X4460" t="str">
            <v>Empaquetado</v>
          </cell>
          <cell r="AC4460">
            <v>7.1917518745739595E-2</v>
          </cell>
          <cell r="AD4460">
            <v>7.1917518745739595E-2</v>
          </cell>
          <cell r="AE4460" t="str">
            <v>Con precio</v>
          </cell>
        </row>
        <row r="4461">
          <cell r="B4461" t="str">
            <v>RUN0001RS</v>
          </cell>
          <cell r="X4461" t="str">
            <v>Empaquetado</v>
          </cell>
          <cell r="AC4461">
            <v>0.45124999999999998</v>
          </cell>
          <cell r="AD4461">
            <v>0.32061666666666666</v>
          </cell>
          <cell r="AE4461" t="str">
            <v>Con precio</v>
          </cell>
        </row>
        <row r="4462">
          <cell r="B4462" t="str">
            <v>RUN0001RS</v>
          </cell>
          <cell r="X4462" t="str">
            <v>Empaquetado</v>
          </cell>
          <cell r="AC4462">
            <v>0.44322992424242419</v>
          </cell>
          <cell r="AD4462">
            <v>0.44322992424242419</v>
          </cell>
          <cell r="AE4462" t="str">
            <v>Con precio</v>
          </cell>
        </row>
        <row r="4463">
          <cell r="B4463" t="str">
            <v>RUN0001RS</v>
          </cell>
          <cell r="X4463" t="str">
            <v>Empaquetado</v>
          </cell>
          <cell r="AC4463">
            <v>9.6080774456521717E-2</v>
          </cell>
          <cell r="AD4463">
            <v>9.6080774456521717E-2</v>
          </cell>
          <cell r="AE4463" t="str">
            <v>Con precio</v>
          </cell>
        </row>
        <row r="4464">
          <cell r="B4464" t="str">
            <v>RUN0001TR</v>
          </cell>
          <cell r="X4464" t="str">
            <v>Formulación</v>
          </cell>
          <cell r="AC4464">
            <v>4.8799999999999998E-3</v>
          </cell>
          <cell r="AD4464">
            <v>4.8799999999999998E-3</v>
          </cell>
          <cell r="AE4464" t="str">
            <v>Con precio</v>
          </cell>
        </row>
        <row r="4465">
          <cell r="B4465" t="str">
            <v>RUN0001TR</v>
          </cell>
          <cell r="X4465" t="str">
            <v>Formulación</v>
          </cell>
          <cell r="AC4465">
            <v>0.31740000000000002</v>
          </cell>
          <cell r="AD4465">
            <v>0.26008399999999993</v>
          </cell>
          <cell r="AE4465" t="str">
            <v>Con precio</v>
          </cell>
        </row>
        <row r="4466">
          <cell r="B4466" t="str">
            <v>RUN0001TR</v>
          </cell>
          <cell r="X4466" t="str">
            <v>Formulación</v>
          </cell>
          <cell r="AC4466">
            <v>6.7500000000000004E-2</v>
          </cell>
          <cell r="AD4466">
            <v>6.7500000000000004E-2</v>
          </cell>
          <cell r="AE4466" t="str">
            <v>Con precio</v>
          </cell>
        </row>
        <row r="4467">
          <cell r="B4467" t="str">
            <v>RUN0001TR</v>
          </cell>
          <cell r="X4467" t="str">
            <v>Formulación</v>
          </cell>
          <cell r="AC4467">
            <v>9.5699999999999993E-2</v>
          </cell>
          <cell r="AD4467">
            <v>9.5699999999999993E-2</v>
          </cell>
          <cell r="AE4467" t="str">
            <v>Con precio</v>
          </cell>
        </row>
        <row r="4468">
          <cell r="B4468" t="str">
            <v>RUN0001TR</v>
          </cell>
          <cell r="X4468" t="str">
            <v>Formulación</v>
          </cell>
          <cell r="AC4468">
            <v>3.1632757377049181</v>
          </cell>
          <cell r="AD4468">
            <v>3.1632757377049181</v>
          </cell>
          <cell r="AE4468" t="str">
            <v>Con precio</v>
          </cell>
        </row>
        <row r="4469">
          <cell r="B4469" t="str">
            <v>RUN0001TR</v>
          </cell>
          <cell r="X4469" t="str">
            <v>Formulación</v>
          </cell>
          <cell r="AC4469">
            <v>6.0500000000000005E-2</v>
          </cell>
          <cell r="AD4469">
            <v>5.6100000000000004E-2</v>
          </cell>
          <cell r="AE4469" t="str">
            <v>Con precio</v>
          </cell>
        </row>
        <row r="4470">
          <cell r="B4470" t="str">
            <v>RUN0001TR</v>
          </cell>
          <cell r="X4470" t="str">
            <v>Formulación</v>
          </cell>
          <cell r="AC4470">
            <v>1.72E-2</v>
          </cell>
          <cell r="AD4470">
            <v>1.286E-2</v>
          </cell>
          <cell r="AE4470" t="str">
            <v>Con precio</v>
          </cell>
        </row>
        <row r="4471">
          <cell r="B4471" t="str">
            <v>RUN0001TR</v>
          </cell>
          <cell r="X4471" t="str">
            <v>Formulación</v>
          </cell>
          <cell r="AC4471">
            <v>3.2000000000000001E-2</v>
          </cell>
          <cell r="AD4471">
            <v>2.8750000000000001E-2</v>
          </cell>
          <cell r="AE4471" t="str">
            <v>Con precio</v>
          </cell>
        </row>
        <row r="4472">
          <cell r="B4472" t="str">
            <v>RUN0001TR</v>
          </cell>
          <cell r="X4472" t="str">
            <v>Empaquetado</v>
          </cell>
          <cell r="AC4472">
            <v>3.0303030303030299E-5</v>
          </cell>
          <cell r="AD4472">
            <v>3.0303030303030299E-5</v>
          </cell>
          <cell r="AE4472" t="str">
            <v>Con precio</v>
          </cell>
        </row>
        <row r="4473">
          <cell r="B4473" t="str">
            <v>RUN0001TR</v>
          </cell>
          <cell r="X4473" t="str">
            <v>Empaquetado</v>
          </cell>
          <cell r="AC4473">
            <v>2.3439393939393937E-2</v>
          </cell>
          <cell r="AD4473">
            <v>2.3439393939393937E-2</v>
          </cell>
          <cell r="AE4473" t="str">
            <v>Con precio</v>
          </cell>
        </row>
        <row r="4474">
          <cell r="B4474" t="str">
            <v>RUN0001TR</v>
          </cell>
          <cell r="X4474" t="str">
            <v>Empaquetado</v>
          </cell>
          <cell r="AC4474">
            <v>7.1917518745739595E-2</v>
          </cell>
          <cell r="AD4474">
            <v>7.1917518745739595E-2</v>
          </cell>
          <cell r="AE4474" t="str">
            <v>Con precio</v>
          </cell>
        </row>
        <row r="4475">
          <cell r="B4475" t="str">
            <v>RUN0001TR</v>
          </cell>
          <cell r="X4475" t="str">
            <v>Empaquetado</v>
          </cell>
          <cell r="AC4475">
            <v>0.45124999999999998</v>
          </cell>
          <cell r="AD4475">
            <v>0.32061666666666666</v>
          </cell>
          <cell r="AE4475" t="str">
            <v>Con precio</v>
          </cell>
        </row>
        <row r="4476">
          <cell r="B4476" t="str">
            <v>RUN0001TR</v>
          </cell>
          <cell r="X4476" t="str">
            <v>Empaquetado</v>
          </cell>
          <cell r="AC4476">
            <v>0.44322992424242419</v>
          </cell>
          <cell r="AD4476">
            <v>0.44322992424242419</v>
          </cell>
          <cell r="AE4476" t="str">
            <v>Con precio</v>
          </cell>
        </row>
        <row r="4477">
          <cell r="B4477" t="str">
            <v>RUN0001TR</v>
          </cell>
          <cell r="X4477" t="str">
            <v>Empaquetado</v>
          </cell>
          <cell r="AC4477">
            <v>9.6080774456521717E-2</v>
          </cell>
          <cell r="AD4477">
            <v>9.6080774456521717E-2</v>
          </cell>
          <cell r="AE4477" t="str">
            <v>Con precio</v>
          </cell>
        </row>
        <row r="4478">
          <cell r="B4478" t="str">
            <v>RUN0005</v>
          </cell>
          <cell r="X4478" t="str">
            <v>Formulación</v>
          </cell>
          <cell r="AC4478">
            <v>4.8799999999999998E-3</v>
          </cell>
          <cell r="AD4478">
            <v>4.8799999999999998E-3</v>
          </cell>
          <cell r="AE4478" t="str">
            <v>Con precio</v>
          </cell>
        </row>
        <row r="4479">
          <cell r="B4479" t="str">
            <v>RUN0005</v>
          </cell>
          <cell r="X4479" t="str">
            <v>Formulación</v>
          </cell>
          <cell r="AC4479">
            <v>0.31740000000000002</v>
          </cell>
          <cell r="AD4479">
            <v>0.26008399999999993</v>
          </cell>
          <cell r="AE4479" t="str">
            <v>Con precio</v>
          </cell>
        </row>
        <row r="4480">
          <cell r="B4480" t="str">
            <v>RUN0005</v>
          </cell>
          <cell r="X4480" t="str">
            <v>Formulación</v>
          </cell>
          <cell r="AC4480">
            <v>6.7500000000000004E-2</v>
          </cell>
          <cell r="AD4480">
            <v>6.7500000000000004E-2</v>
          </cell>
          <cell r="AE4480" t="str">
            <v>Con precio</v>
          </cell>
        </row>
        <row r="4481">
          <cell r="B4481" t="str">
            <v>RUN0005</v>
          </cell>
          <cell r="X4481" t="str">
            <v>Formulación</v>
          </cell>
          <cell r="AC4481">
            <v>9.5699999999999993E-2</v>
          </cell>
          <cell r="AD4481">
            <v>9.5699999999999993E-2</v>
          </cell>
          <cell r="AE4481" t="str">
            <v>Con precio</v>
          </cell>
        </row>
        <row r="4482">
          <cell r="B4482" t="str">
            <v>RUN0005</v>
          </cell>
          <cell r="X4482" t="str">
            <v>Formulación</v>
          </cell>
          <cell r="AC4482">
            <v>3.1632757377049181</v>
          </cell>
          <cell r="AD4482">
            <v>3.1632757377049181</v>
          </cell>
          <cell r="AE4482" t="str">
            <v>Con precio</v>
          </cell>
        </row>
        <row r="4483">
          <cell r="B4483" t="str">
            <v>RUN0005</v>
          </cell>
          <cell r="X4483" t="str">
            <v>Formulación</v>
          </cell>
          <cell r="AC4483">
            <v>6.0500000000000005E-2</v>
          </cell>
          <cell r="AD4483">
            <v>5.6100000000000004E-2</v>
          </cell>
          <cell r="AE4483" t="str">
            <v>Con precio</v>
          </cell>
        </row>
        <row r="4484">
          <cell r="B4484" t="str">
            <v>RUN0005</v>
          </cell>
          <cell r="X4484" t="str">
            <v>Formulación</v>
          </cell>
          <cell r="AC4484">
            <v>1.72E-2</v>
          </cell>
          <cell r="AD4484">
            <v>1.286E-2</v>
          </cell>
          <cell r="AE4484" t="str">
            <v>Con precio</v>
          </cell>
        </row>
        <row r="4485">
          <cell r="B4485" t="str">
            <v>RUN0005</v>
          </cell>
          <cell r="X4485" t="str">
            <v>Formulación</v>
          </cell>
          <cell r="AC4485">
            <v>3.2000000000000001E-2</v>
          </cell>
          <cell r="AD4485">
            <v>2.8750000000000001E-2</v>
          </cell>
          <cell r="AE4485" t="str">
            <v>Con precio</v>
          </cell>
        </row>
        <row r="4486">
          <cell r="B4486" t="str">
            <v>RUN0005</v>
          </cell>
          <cell r="X4486" t="str">
            <v>Empaquetado</v>
          </cell>
          <cell r="AC4486">
            <v>2.5783333333333339E-2</v>
          </cell>
          <cell r="AD4486">
            <v>2.5783333333333339E-2</v>
          </cell>
          <cell r="AE4486" t="str">
            <v>Con precio</v>
          </cell>
        </row>
        <row r="4487">
          <cell r="B4487" t="str">
            <v>RUN0005</v>
          </cell>
          <cell r="X4487" t="str">
            <v>Empaquetado</v>
          </cell>
          <cell r="AC4487">
            <v>1.2991333333333337E-2</v>
          </cell>
          <cell r="AD4487">
            <v>1.2991333333333337E-2</v>
          </cell>
          <cell r="AE4487" t="str">
            <v>Con precio</v>
          </cell>
        </row>
        <row r="4488">
          <cell r="B4488" t="str">
            <v>RUN0005</v>
          </cell>
          <cell r="X4488" t="str">
            <v>Empaquetado</v>
          </cell>
          <cell r="AC4488">
            <v>2.5359983896940424E-2</v>
          </cell>
          <cell r="AD4488">
            <v>2.5359983896940424E-2</v>
          </cell>
          <cell r="AE4488" t="str">
            <v>Con precio</v>
          </cell>
        </row>
        <row r="4489">
          <cell r="B4489" t="str">
            <v>RUN0005</v>
          </cell>
          <cell r="X4489" t="str">
            <v>Empaquetado</v>
          </cell>
          <cell r="AC4489">
            <v>0.17399999999999999</v>
          </cell>
          <cell r="AD4489">
            <v>0.17399999999999999</v>
          </cell>
          <cell r="AE4489" t="str">
            <v>Con precio</v>
          </cell>
        </row>
        <row r="4490">
          <cell r="B4490" t="str">
            <v>RUN0005</v>
          </cell>
          <cell r="X4490" t="str">
            <v>Empaquetado</v>
          </cell>
          <cell r="AC4490">
            <v>5.7799999999999997E-2</v>
          </cell>
          <cell r="AD4490">
            <v>5.7799999999999997E-2</v>
          </cell>
          <cell r="AE4490" t="str">
            <v>Con precio</v>
          </cell>
        </row>
        <row r="4491">
          <cell r="B4491" t="str">
            <v>RUN0005</v>
          </cell>
          <cell r="X4491" t="str">
            <v>Empaquetado</v>
          </cell>
          <cell r="AC4491">
            <v>3.6950017630465445E-2</v>
          </cell>
          <cell r="AD4491">
            <v>3.6950017630465445E-2</v>
          </cell>
          <cell r="AE4491" t="str">
            <v>Con precio</v>
          </cell>
        </row>
        <row r="4492">
          <cell r="B4492" t="str">
            <v>RUN0005GE</v>
          </cell>
          <cell r="X4492" t="str">
            <v>Formulación</v>
          </cell>
          <cell r="AC4492">
            <v>4.8799999999999998E-3</v>
          </cell>
          <cell r="AD4492">
            <v>4.8799999999999998E-3</v>
          </cell>
          <cell r="AE4492" t="str">
            <v>Con precio</v>
          </cell>
        </row>
        <row r="4493">
          <cell r="B4493" t="str">
            <v>RUN0005GE</v>
          </cell>
          <cell r="X4493" t="str">
            <v>Formulación</v>
          </cell>
          <cell r="AC4493">
            <v>0.31740000000000002</v>
          </cell>
          <cell r="AD4493">
            <v>0.26008399999999993</v>
          </cell>
          <cell r="AE4493" t="str">
            <v>Con precio</v>
          </cell>
        </row>
        <row r="4494">
          <cell r="B4494" t="str">
            <v>RUN0005GE</v>
          </cell>
          <cell r="X4494" t="str">
            <v>Formulación</v>
          </cell>
          <cell r="AC4494">
            <v>6.7500000000000004E-2</v>
          </cell>
          <cell r="AD4494">
            <v>6.7500000000000004E-2</v>
          </cell>
          <cell r="AE4494" t="str">
            <v>Con precio</v>
          </cell>
        </row>
        <row r="4495">
          <cell r="B4495" t="str">
            <v>RUN0005GE</v>
          </cell>
          <cell r="X4495" t="str">
            <v>Formulación</v>
          </cell>
          <cell r="AC4495">
            <v>9.5699999999999993E-2</v>
          </cell>
          <cell r="AD4495">
            <v>9.5699999999999993E-2</v>
          </cell>
          <cell r="AE4495" t="str">
            <v>Con precio</v>
          </cell>
        </row>
        <row r="4496">
          <cell r="B4496" t="str">
            <v>RUN0005GE</v>
          </cell>
          <cell r="X4496" t="str">
            <v>Formulación</v>
          </cell>
          <cell r="AC4496">
            <v>3.1632757377049181</v>
          </cell>
          <cell r="AD4496">
            <v>3.1632757377049181</v>
          </cell>
          <cell r="AE4496" t="str">
            <v>Con precio</v>
          </cell>
        </row>
        <row r="4497">
          <cell r="B4497" t="str">
            <v>RUN0005GE</v>
          </cell>
          <cell r="X4497" t="str">
            <v>Formulación</v>
          </cell>
          <cell r="AC4497">
            <v>6.0500000000000005E-2</v>
          </cell>
          <cell r="AD4497">
            <v>5.6100000000000004E-2</v>
          </cell>
          <cell r="AE4497" t="str">
            <v>Con precio</v>
          </cell>
        </row>
        <row r="4498">
          <cell r="B4498" t="str">
            <v>RUN0005GE</v>
          </cell>
          <cell r="X4498" t="str">
            <v>Formulación</v>
          </cell>
          <cell r="AC4498">
            <v>1.72E-2</v>
          </cell>
          <cell r="AD4498">
            <v>1.286E-2</v>
          </cell>
          <cell r="AE4498" t="str">
            <v>Con precio</v>
          </cell>
        </row>
        <row r="4499">
          <cell r="B4499" t="str">
            <v>RUN0005GE</v>
          </cell>
          <cell r="X4499" t="str">
            <v>Formulación</v>
          </cell>
          <cell r="AC4499">
            <v>3.2000000000000001E-2</v>
          </cell>
          <cell r="AD4499">
            <v>2.8750000000000001E-2</v>
          </cell>
          <cell r="AE4499" t="str">
            <v>Con precio</v>
          </cell>
        </row>
        <row r="4500">
          <cell r="B4500" t="str">
            <v>RUN0005GE</v>
          </cell>
          <cell r="X4500" t="str">
            <v>Empaquetado</v>
          </cell>
          <cell r="AC4500">
            <v>2.5783333333333339E-2</v>
          </cell>
          <cell r="AD4500">
            <v>2.5783333333333339E-2</v>
          </cell>
          <cell r="AE4500" t="str">
            <v>Con precio</v>
          </cell>
        </row>
        <row r="4501">
          <cell r="B4501" t="str">
            <v>RUN0005GE</v>
          </cell>
          <cell r="X4501" t="str">
            <v>Empaquetado</v>
          </cell>
          <cell r="AC4501">
            <v>1.2991333333333337E-2</v>
          </cell>
          <cell r="AD4501">
            <v>1.2991333333333337E-2</v>
          </cell>
          <cell r="AE4501" t="str">
            <v>Con precio</v>
          </cell>
        </row>
        <row r="4502">
          <cell r="B4502" t="str">
            <v>RUN0005GE</v>
          </cell>
          <cell r="X4502" t="str">
            <v>Empaquetado</v>
          </cell>
          <cell r="AC4502">
            <v>2.5359983896940424E-2</v>
          </cell>
          <cell r="AD4502">
            <v>2.5359983896940424E-2</v>
          </cell>
          <cell r="AE4502" t="str">
            <v>Con precio</v>
          </cell>
        </row>
        <row r="4503">
          <cell r="B4503" t="str">
            <v>RUN0005GE</v>
          </cell>
          <cell r="X4503" t="str">
            <v>Empaquetado</v>
          </cell>
          <cell r="AC4503">
            <v>0.17399999999999999</v>
          </cell>
          <cell r="AD4503">
            <v>0.17399999999999999</v>
          </cell>
          <cell r="AE4503" t="str">
            <v>Con precio</v>
          </cell>
        </row>
        <row r="4504">
          <cell r="B4504" t="str">
            <v>RUN0005GE</v>
          </cell>
          <cell r="X4504" t="str">
            <v>Empaquetado</v>
          </cell>
          <cell r="AC4504">
            <v>5.7799999999999997E-2</v>
          </cell>
          <cell r="AD4504">
            <v>5.7799999999999997E-2</v>
          </cell>
          <cell r="AE4504" t="str">
            <v>Con precio</v>
          </cell>
        </row>
        <row r="4505">
          <cell r="B4505" t="str">
            <v>RUN0005GE</v>
          </cell>
          <cell r="X4505" t="str">
            <v>Empaquetado</v>
          </cell>
          <cell r="AC4505">
            <v>3.6950017630465445E-2</v>
          </cell>
          <cell r="AD4505">
            <v>3.6950017630465445E-2</v>
          </cell>
          <cell r="AE4505" t="str">
            <v>Con precio</v>
          </cell>
        </row>
        <row r="4506">
          <cell r="B4506" t="str">
            <v>RUN0005MA</v>
          </cell>
          <cell r="X4506" t="str">
            <v>Formulación</v>
          </cell>
          <cell r="AC4506">
            <v>4.8799999999999998E-3</v>
          </cell>
          <cell r="AD4506">
            <v>4.8799999999999998E-3</v>
          </cell>
          <cell r="AE4506" t="str">
            <v>Con precio</v>
          </cell>
        </row>
        <row r="4507">
          <cell r="B4507" t="str">
            <v>RUN0005MA</v>
          </cell>
          <cell r="X4507" t="str">
            <v>Formulación</v>
          </cell>
          <cell r="AC4507">
            <v>0.31740000000000002</v>
          </cell>
          <cell r="AD4507">
            <v>0.26008399999999993</v>
          </cell>
          <cell r="AE4507" t="str">
            <v>Con precio</v>
          </cell>
        </row>
        <row r="4508">
          <cell r="B4508" t="str">
            <v>RUN0005MA</v>
          </cell>
          <cell r="X4508" t="str">
            <v>Formulación</v>
          </cell>
          <cell r="AC4508">
            <v>6.7500000000000004E-2</v>
          </cell>
          <cell r="AD4508">
            <v>6.7500000000000004E-2</v>
          </cell>
          <cell r="AE4508" t="str">
            <v>Con precio</v>
          </cell>
        </row>
        <row r="4509">
          <cell r="B4509" t="str">
            <v>RUN0005MA</v>
          </cell>
          <cell r="X4509" t="str">
            <v>Formulación</v>
          </cell>
          <cell r="AC4509">
            <v>9.5699999999999993E-2</v>
          </cell>
          <cell r="AD4509">
            <v>9.5699999999999993E-2</v>
          </cell>
          <cell r="AE4509" t="str">
            <v>Con precio</v>
          </cell>
        </row>
        <row r="4510">
          <cell r="B4510" t="str">
            <v>RUN0005MA</v>
          </cell>
          <cell r="X4510" t="str">
            <v>Formulación</v>
          </cell>
          <cell r="AC4510">
            <v>3.1632757377049181</v>
          </cell>
          <cell r="AD4510">
            <v>3.1632757377049181</v>
          </cell>
          <cell r="AE4510" t="str">
            <v>Con precio</v>
          </cell>
        </row>
        <row r="4511">
          <cell r="B4511" t="str">
            <v>RUN0005MA</v>
          </cell>
          <cell r="X4511" t="str">
            <v>Formulación</v>
          </cell>
          <cell r="AC4511">
            <v>6.0500000000000005E-2</v>
          </cell>
          <cell r="AD4511">
            <v>5.6100000000000004E-2</v>
          </cell>
          <cell r="AE4511" t="str">
            <v>Con precio</v>
          </cell>
        </row>
        <row r="4512">
          <cell r="B4512" t="str">
            <v>RUN0005MA</v>
          </cell>
          <cell r="X4512" t="str">
            <v>Formulación</v>
          </cell>
          <cell r="AC4512">
            <v>1.72E-2</v>
          </cell>
          <cell r="AD4512">
            <v>1.286E-2</v>
          </cell>
          <cell r="AE4512" t="str">
            <v>Con precio</v>
          </cell>
        </row>
        <row r="4513">
          <cell r="B4513" t="str">
            <v>RUN0005MA</v>
          </cell>
          <cell r="X4513" t="str">
            <v>Formulación</v>
          </cell>
          <cell r="AC4513">
            <v>3.2000000000000001E-2</v>
          </cell>
          <cell r="AD4513">
            <v>2.8750000000000001E-2</v>
          </cell>
          <cell r="AE4513" t="str">
            <v>Con precio</v>
          </cell>
        </row>
        <row r="4514">
          <cell r="B4514" t="str">
            <v>RUN0005MA</v>
          </cell>
          <cell r="X4514" t="str">
            <v>Empaquetado</v>
          </cell>
          <cell r="AC4514">
            <v>2.5783333333333339E-2</v>
          </cell>
          <cell r="AD4514">
            <v>2.5783333333333339E-2</v>
          </cell>
          <cell r="AE4514" t="str">
            <v>Con precio</v>
          </cell>
        </row>
        <row r="4515">
          <cell r="B4515" t="str">
            <v>RUN0005MA</v>
          </cell>
          <cell r="X4515" t="str">
            <v>Empaquetado</v>
          </cell>
          <cell r="AC4515">
            <v>1.2991333333333337E-2</v>
          </cell>
          <cell r="AD4515">
            <v>1.2991333333333337E-2</v>
          </cell>
          <cell r="AE4515" t="str">
            <v>Con precio</v>
          </cell>
        </row>
        <row r="4516">
          <cell r="B4516" t="str">
            <v>RUN0005MA</v>
          </cell>
          <cell r="X4516" t="str">
            <v>Empaquetado</v>
          </cell>
          <cell r="AC4516">
            <v>2.5359983896940424E-2</v>
          </cell>
          <cell r="AD4516">
            <v>2.5359983896940424E-2</v>
          </cell>
          <cell r="AE4516" t="str">
            <v>Con precio</v>
          </cell>
        </row>
        <row r="4517">
          <cell r="B4517" t="str">
            <v>RUN0005MA</v>
          </cell>
          <cell r="X4517" t="str">
            <v>Empaquetado</v>
          </cell>
          <cell r="AC4517">
            <v>0.17399999999999999</v>
          </cell>
          <cell r="AD4517">
            <v>0.17399999999999999</v>
          </cell>
          <cell r="AE4517" t="str">
            <v>Con precio</v>
          </cell>
        </row>
        <row r="4518">
          <cell r="B4518" t="str">
            <v>RUN0005MA</v>
          </cell>
          <cell r="X4518" t="str">
            <v>Empaquetado</v>
          </cell>
          <cell r="AC4518">
            <v>5.7799999999999997E-2</v>
          </cell>
          <cell r="AD4518">
            <v>5.7799999999999997E-2</v>
          </cell>
          <cell r="AE4518" t="str">
            <v>Con precio</v>
          </cell>
        </row>
        <row r="4519">
          <cell r="B4519" t="str">
            <v>RUN0005MA</v>
          </cell>
          <cell r="X4519" t="str">
            <v>Empaquetado</v>
          </cell>
          <cell r="AC4519">
            <v>3.6950017630465445E-2</v>
          </cell>
          <cell r="AD4519">
            <v>3.6950017630465445E-2</v>
          </cell>
          <cell r="AE4519" t="str">
            <v>Con precio</v>
          </cell>
        </row>
        <row r="4520">
          <cell r="B4520" t="str">
            <v>RUN0020</v>
          </cell>
          <cell r="X4520" t="str">
            <v>Formulación</v>
          </cell>
          <cell r="AC4520">
            <v>4.8799999999999998E-3</v>
          </cell>
          <cell r="AD4520">
            <v>4.8799999999999998E-3</v>
          </cell>
          <cell r="AE4520" t="str">
            <v>Con precio</v>
          </cell>
        </row>
        <row r="4521">
          <cell r="B4521" t="str">
            <v>RUN0020</v>
          </cell>
          <cell r="X4521" t="str">
            <v>Formulación</v>
          </cell>
          <cell r="AC4521">
            <v>0.31740000000000002</v>
          </cell>
          <cell r="AD4521">
            <v>0.26008399999999993</v>
          </cell>
          <cell r="AE4521" t="str">
            <v>Con precio</v>
          </cell>
        </row>
        <row r="4522">
          <cell r="B4522" t="str">
            <v>RUN0020</v>
          </cell>
          <cell r="X4522" t="str">
            <v>Formulación</v>
          </cell>
          <cell r="AC4522">
            <v>6.7500000000000004E-2</v>
          </cell>
          <cell r="AD4522">
            <v>6.7500000000000004E-2</v>
          </cell>
          <cell r="AE4522" t="str">
            <v>Con precio</v>
          </cell>
        </row>
        <row r="4523">
          <cell r="B4523" t="str">
            <v>RUN0020</v>
          </cell>
          <cell r="X4523" t="str">
            <v>Formulación</v>
          </cell>
          <cell r="AC4523">
            <v>9.5699999999999993E-2</v>
          </cell>
          <cell r="AD4523">
            <v>9.5699999999999993E-2</v>
          </cell>
          <cell r="AE4523" t="str">
            <v>Con precio</v>
          </cell>
        </row>
        <row r="4524">
          <cell r="B4524" t="str">
            <v>RUN0020</v>
          </cell>
          <cell r="X4524" t="str">
            <v>Formulación</v>
          </cell>
          <cell r="AC4524">
            <v>3.1632757377049181</v>
          </cell>
          <cell r="AD4524">
            <v>3.1632757377049181</v>
          </cell>
          <cell r="AE4524" t="str">
            <v>Con precio</v>
          </cell>
        </row>
        <row r="4525">
          <cell r="B4525" t="str">
            <v>RUN0020</v>
          </cell>
          <cell r="X4525" t="str">
            <v>Formulación</v>
          </cell>
          <cell r="AC4525">
            <v>6.0500000000000005E-2</v>
          </cell>
          <cell r="AD4525">
            <v>5.6100000000000004E-2</v>
          </cell>
          <cell r="AE4525" t="str">
            <v>Con precio</v>
          </cell>
        </row>
        <row r="4526">
          <cell r="B4526" t="str">
            <v>RUN0020</v>
          </cell>
          <cell r="X4526" t="str">
            <v>Formulación</v>
          </cell>
          <cell r="AC4526">
            <v>1.72E-2</v>
          </cell>
          <cell r="AD4526">
            <v>1.286E-2</v>
          </cell>
          <cell r="AE4526" t="str">
            <v>Con precio</v>
          </cell>
        </row>
        <row r="4527">
          <cell r="B4527" t="str">
            <v>RUN0020</v>
          </cell>
          <cell r="X4527" t="str">
            <v>Formulación</v>
          </cell>
          <cell r="AC4527">
            <v>3.2000000000000001E-2</v>
          </cell>
          <cell r="AD4527">
            <v>2.8750000000000001E-2</v>
          </cell>
          <cell r="AE4527" t="str">
            <v>Con precio</v>
          </cell>
        </row>
        <row r="4528">
          <cell r="B4528" t="str">
            <v>RUN0020</v>
          </cell>
          <cell r="X4528" t="str">
            <v>Empaquetado</v>
          </cell>
          <cell r="AC4528">
            <v>7.3209374999999993E-3</v>
          </cell>
          <cell r="AD4528">
            <v>7.3209374999999993E-3</v>
          </cell>
          <cell r="AE4528" t="str">
            <v>Con precio</v>
          </cell>
        </row>
        <row r="4529">
          <cell r="B4529" t="str">
            <v>RUN0020</v>
          </cell>
          <cell r="X4529" t="str">
            <v>Empaquetado</v>
          </cell>
          <cell r="AC4529">
            <v>2.4171875000000002E-2</v>
          </cell>
          <cell r="AD4529">
            <v>2.4171875000000002E-2</v>
          </cell>
          <cell r="AE4529" t="str">
            <v>Con precio</v>
          </cell>
        </row>
        <row r="4530">
          <cell r="B4530" t="str">
            <v>RUN0020</v>
          </cell>
          <cell r="X4530" t="str">
            <v>Empaquetado</v>
          </cell>
          <cell r="AC4530">
            <v>5.0719967793880849E-3</v>
          </cell>
          <cell r="AD4530">
            <v>5.0719967793880849E-3</v>
          </cell>
          <cell r="AE4530" t="str">
            <v>Con precio</v>
          </cell>
        </row>
        <row r="4531">
          <cell r="B4531" t="str">
            <v>RUN0020</v>
          </cell>
          <cell r="X4531" t="str">
            <v>Empaquetado</v>
          </cell>
          <cell r="AC4531">
            <v>0.18266505681818179</v>
          </cell>
          <cell r="AD4531">
            <v>0.18266505681818179</v>
          </cell>
          <cell r="AE4531" t="str">
            <v>Con precio</v>
          </cell>
        </row>
        <row r="4532">
          <cell r="B4532" t="str">
            <v>RUN0020</v>
          </cell>
          <cell r="X4532" t="str">
            <v>Empaquetado</v>
          </cell>
          <cell r="AC4532">
            <v>2.4035031847133761E-2</v>
          </cell>
          <cell r="AD4532">
            <v>2.4035031847133761E-2</v>
          </cell>
          <cell r="AE4532" t="str">
            <v>Con precio</v>
          </cell>
        </row>
        <row r="4533">
          <cell r="B4533" t="str">
            <v>RUN1000TR</v>
          </cell>
          <cell r="X4533" t="str">
            <v>Formulación</v>
          </cell>
          <cell r="AC4533">
            <v>4.8799999999999998E-3</v>
          </cell>
          <cell r="AD4533">
            <v>4.8799999999999998E-3</v>
          </cell>
          <cell r="AE4533" t="str">
            <v>Con precio</v>
          </cell>
        </row>
        <row r="4534">
          <cell r="B4534" t="str">
            <v>RUN1000TR</v>
          </cell>
          <cell r="X4534" t="str">
            <v>Formulación</v>
          </cell>
          <cell r="AC4534">
            <v>0.31740000000000002</v>
          </cell>
          <cell r="AD4534">
            <v>0.26008399999999993</v>
          </cell>
          <cell r="AE4534" t="str">
            <v>Con precio</v>
          </cell>
        </row>
        <row r="4535">
          <cell r="B4535" t="str">
            <v>RUN1000TR</v>
          </cell>
          <cell r="X4535" t="str">
            <v>Formulación</v>
          </cell>
          <cell r="AC4535">
            <v>6.7500000000000004E-2</v>
          </cell>
          <cell r="AD4535">
            <v>6.7500000000000004E-2</v>
          </cell>
          <cell r="AE4535" t="str">
            <v>Con precio</v>
          </cell>
        </row>
        <row r="4536">
          <cell r="B4536" t="str">
            <v>RUN1000TR</v>
          </cell>
          <cell r="X4536" t="str">
            <v>Formulación</v>
          </cell>
          <cell r="AC4536">
            <v>9.5699999999999993E-2</v>
          </cell>
          <cell r="AD4536">
            <v>9.5699999999999993E-2</v>
          </cell>
          <cell r="AE4536" t="str">
            <v>Con precio</v>
          </cell>
        </row>
        <row r="4537">
          <cell r="B4537" t="str">
            <v>RUN1000TR</v>
          </cell>
          <cell r="X4537" t="str">
            <v>Formulación</v>
          </cell>
          <cell r="AC4537">
            <v>3.1632757377049181</v>
          </cell>
          <cell r="AD4537">
            <v>3.1632757377049181</v>
          </cell>
          <cell r="AE4537" t="str">
            <v>Con precio</v>
          </cell>
        </row>
        <row r="4538">
          <cell r="B4538" t="str">
            <v>RUN1000TR</v>
          </cell>
          <cell r="X4538" t="str">
            <v>Formulación</v>
          </cell>
          <cell r="AC4538">
            <v>6.0500000000000005E-2</v>
          </cell>
          <cell r="AD4538">
            <v>5.6100000000000004E-2</v>
          </cell>
          <cell r="AE4538" t="str">
            <v>Con precio</v>
          </cell>
        </row>
        <row r="4539">
          <cell r="B4539" t="str">
            <v>RUN1000TR</v>
          </cell>
          <cell r="X4539" t="str">
            <v>Formulación</v>
          </cell>
          <cell r="AC4539">
            <v>1.72E-2</v>
          </cell>
          <cell r="AD4539">
            <v>1.286E-2</v>
          </cell>
          <cell r="AE4539" t="str">
            <v>Con precio</v>
          </cell>
        </row>
        <row r="4540">
          <cell r="B4540" t="str">
            <v>RUN1000TR</v>
          </cell>
          <cell r="X4540" t="str">
            <v>Formulación</v>
          </cell>
          <cell r="AC4540">
            <v>3.2000000000000001E-2</v>
          </cell>
          <cell r="AD4540">
            <v>2.8750000000000001E-2</v>
          </cell>
          <cell r="AE4540" t="str">
            <v>Con precio</v>
          </cell>
        </row>
        <row r="4541">
          <cell r="B4541" t="str">
            <v>RUN1000TR</v>
          </cell>
          <cell r="X4541" t="str">
            <v>Empaquetado</v>
          </cell>
          <cell r="AC4541">
            <v>6.9846153846153836E-2</v>
          </cell>
          <cell r="AD4541">
            <v>6.9846153846153836E-2</v>
          </cell>
          <cell r="AE4541" t="str">
            <v>Con precio</v>
          </cell>
        </row>
        <row r="4542">
          <cell r="B4542" t="str">
            <v>RUN1000TR</v>
          </cell>
          <cell r="X4542" t="str">
            <v>Empaquetado</v>
          </cell>
          <cell r="AC4542">
            <v>1.014399355877617E-4</v>
          </cell>
          <cell r="AD4542">
            <v>1.014399355877617E-4</v>
          </cell>
          <cell r="AE4542" t="str">
            <v>Con precio</v>
          </cell>
        </row>
        <row r="4543">
          <cell r="B4543" t="str">
            <v>S0005</v>
          </cell>
          <cell r="X4543" t="str">
            <v>Formulación</v>
          </cell>
          <cell r="AC4543">
            <v>1.2539999999999999E-3</v>
          </cell>
          <cell r="AD4543">
            <v>1.2539999999999999E-3</v>
          </cell>
          <cell r="AE4543" t="str">
            <v>Con precio</v>
          </cell>
        </row>
        <row r="4544">
          <cell r="B4544" t="str">
            <v>S0005</v>
          </cell>
          <cell r="X4544" t="str">
            <v>Formulación</v>
          </cell>
          <cell r="AC4544">
            <v>0.23166</v>
          </cell>
          <cell r="AD4544">
            <v>0.20520000000000002</v>
          </cell>
          <cell r="AE4544" t="str">
            <v>Con precio</v>
          </cell>
        </row>
        <row r="4545">
          <cell r="B4545" t="str">
            <v>S0005</v>
          </cell>
          <cell r="X4545" t="str">
            <v>Formulación</v>
          </cell>
          <cell r="AC4545">
            <v>2.1360000000000004E-2</v>
          </cell>
          <cell r="AD4545">
            <v>2.0692500000000003E-2</v>
          </cell>
          <cell r="AE4545" t="str">
            <v>Con precio</v>
          </cell>
        </row>
        <row r="4546">
          <cell r="B4546" t="str">
            <v>S0005</v>
          </cell>
          <cell r="X4546" t="str">
            <v>Formulación</v>
          </cell>
          <cell r="AC4546">
            <v>2.4975000000000001E-2</v>
          </cell>
          <cell r="AD4546">
            <v>2.4975000000000001E-2</v>
          </cell>
          <cell r="AE4546" t="str">
            <v>Con precio</v>
          </cell>
        </row>
        <row r="4547">
          <cell r="B4547" t="str">
            <v>S0005</v>
          </cell>
          <cell r="X4547" t="str">
            <v>Formulación</v>
          </cell>
          <cell r="AC4547">
            <v>7.8079999999999998E-3</v>
          </cell>
          <cell r="AD4547">
            <v>7.8079999999999998E-3</v>
          </cell>
          <cell r="AE4547" t="str">
            <v>Con precio</v>
          </cell>
        </row>
        <row r="4548">
          <cell r="B4548" t="str">
            <v>S0005</v>
          </cell>
          <cell r="X4548" t="str">
            <v>Formulación</v>
          </cell>
          <cell r="AC4548">
            <v>8.203125E-2</v>
          </cell>
          <cell r="AD4548">
            <v>8.203125E-2</v>
          </cell>
          <cell r="AE4548" t="str">
            <v>Con precio</v>
          </cell>
        </row>
        <row r="4549">
          <cell r="B4549" t="str">
            <v>S0005</v>
          </cell>
          <cell r="X4549" t="str">
            <v>Formulación</v>
          </cell>
          <cell r="AC4549">
            <v>1.6650000000000002E-2</v>
          </cell>
          <cell r="AD4549">
            <v>1.4866666666666667E-2</v>
          </cell>
          <cell r="AE4549" t="str">
            <v>Con precio</v>
          </cell>
        </row>
        <row r="4550">
          <cell r="B4550" t="str">
            <v>S0005</v>
          </cell>
          <cell r="X4550" t="str">
            <v>Empaquetado</v>
          </cell>
          <cell r="AC4550">
            <v>1.2991333333333337E-2</v>
          </cell>
          <cell r="AD4550">
            <v>1.2991333333333337E-2</v>
          </cell>
          <cell r="AE4550" t="str">
            <v>Con precio</v>
          </cell>
        </row>
        <row r="4551">
          <cell r="B4551" t="str">
            <v>S0005</v>
          </cell>
          <cell r="X4551" t="str">
            <v>Empaquetado</v>
          </cell>
          <cell r="AC4551">
            <v>2.5783333333333339E-2</v>
          </cell>
          <cell r="AD4551">
            <v>2.5783333333333339E-2</v>
          </cell>
          <cell r="AE4551" t="str">
            <v>Con precio</v>
          </cell>
        </row>
        <row r="4552">
          <cell r="B4552" t="str">
            <v>S0005</v>
          </cell>
          <cell r="X4552" t="str">
            <v>Empaquetado</v>
          </cell>
          <cell r="AC4552">
            <v>2.5359983896940424E-2</v>
          </cell>
          <cell r="AD4552">
            <v>2.5359983896940424E-2</v>
          </cell>
          <cell r="AE4552" t="str">
            <v>Con precio</v>
          </cell>
        </row>
        <row r="4553">
          <cell r="B4553" t="str">
            <v>S0005</v>
          </cell>
          <cell r="X4553" t="str">
            <v>Empaquetado</v>
          </cell>
          <cell r="AC4553">
            <v>3.4200000000000001E-2</v>
          </cell>
          <cell r="AD4553">
            <v>3.4200000000000001E-2</v>
          </cell>
          <cell r="AE4553" t="str">
            <v>Con precio</v>
          </cell>
        </row>
        <row r="4554">
          <cell r="B4554" t="str">
            <v>S0005</v>
          </cell>
          <cell r="X4554" t="str">
            <v>Empaquetado</v>
          </cell>
          <cell r="AC4554">
            <v>0.17399999999999999</v>
          </cell>
          <cell r="AD4554">
            <v>0.17399999999999999</v>
          </cell>
          <cell r="AE4554" t="str">
            <v>Con precio</v>
          </cell>
        </row>
        <row r="4555">
          <cell r="B4555" t="str">
            <v>S0005</v>
          </cell>
          <cell r="X4555" t="str">
            <v>Empaquetado</v>
          </cell>
          <cell r="AC4555">
            <v>3.6950017630465445E-2</v>
          </cell>
          <cell r="AD4555">
            <v>3.6950017630465445E-2</v>
          </cell>
          <cell r="AE4555" t="str">
            <v>Con precio</v>
          </cell>
        </row>
        <row r="4556">
          <cell r="B4556" t="str">
            <v>S0020</v>
          </cell>
          <cell r="X4556" t="str">
            <v>Formulación</v>
          </cell>
          <cell r="AC4556">
            <v>1.2539999999999999E-3</v>
          </cell>
          <cell r="AD4556">
            <v>1.2539999999999999E-3</v>
          </cell>
          <cell r="AE4556" t="str">
            <v>Con precio</v>
          </cell>
        </row>
        <row r="4557">
          <cell r="B4557" t="str">
            <v>S0020</v>
          </cell>
          <cell r="X4557" t="str">
            <v>Formulación</v>
          </cell>
          <cell r="AC4557">
            <v>0.23166</v>
          </cell>
          <cell r="AD4557">
            <v>0.20520000000000002</v>
          </cell>
          <cell r="AE4557" t="str">
            <v>Con precio</v>
          </cell>
        </row>
        <row r="4558">
          <cell r="B4558" t="str">
            <v>S0020</v>
          </cell>
          <cell r="X4558" t="str">
            <v>Formulación</v>
          </cell>
          <cell r="AC4558">
            <v>2.1360000000000004E-2</v>
          </cell>
          <cell r="AD4558">
            <v>2.0692500000000003E-2</v>
          </cell>
          <cell r="AE4558" t="str">
            <v>Con precio</v>
          </cell>
        </row>
        <row r="4559">
          <cell r="B4559" t="str">
            <v>S0020</v>
          </cell>
          <cell r="X4559" t="str">
            <v>Formulación</v>
          </cell>
          <cell r="AC4559">
            <v>2.4975000000000001E-2</v>
          </cell>
          <cell r="AD4559">
            <v>2.4975000000000001E-2</v>
          </cell>
          <cell r="AE4559" t="str">
            <v>Con precio</v>
          </cell>
        </row>
        <row r="4560">
          <cell r="B4560" t="str">
            <v>S0020</v>
          </cell>
          <cell r="X4560" t="str">
            <v>Formulación</v>
          </cell>
          <cell r="AC4560">
            <v>7.8079999999999998E-3</v>
          </cell>
          <cell r="AD4560">
            <v>7.8079999999999998E-3</v>
          </cell>
          <cell r="AE4560" t="str">
            <v>Con precio</v>
          </cell>
        </row>
        <row r="4561">
          <cell r="B4561" t="str">
            <v>S0020</v>
          </cell>
          <cell r="X4561" t="str">
            <v>Formulación</v>
          </cell>
          <cell r="AC4561">
            <v>8.203125E-2</v>
          </cell>
          <cell r="AD4561">
            <v>8.203125E-2</v>
          </cell>
          <cell r="AE4561" t="str">
            <v>Con precio</v>
          </cell>
        </row>
        <row r="4562">
          <cell r="B4562" t="str">
            <v>S0020</v>
          </cell>
          <cell r="X4562" t="str">
            <v>Formulación</v>
          </cell>
          <cell r="AC4562">
            <v>1.6650000000000002E-2</v>
          </cell>
          <cell r="AD4562">
            <v>1.4866666666666667E-2</v>
          </cell>
          <cell r="AE4562" t="str">
            <v>Con precio</v>
          </cell>
        </row>
        <row r="4563">
          <cell r="B4563" t="str">
            <v>S0020</v>
          </cell>
          <cell r="X4563" t="str">
            <v>Empaquetado</v>
          </cell>
          <cell r="AC4563">
            <v>7.3209374999999993E-3</v>
          </cell>
          <cell r="AD4563">
            <v>7.3209374999999993E-3</v>
          </cell>
          <cell r="AE4563" t="str">
            <v>Con precio</v>
          </cell>
        </row>
        <row r="4564">
          <cell r="B4564" t="str">
            <v>S0020</v>
          </cell>
          <cell r="X4564" t="str">
            <v>Empaquetado</v>
          </cell>
          <cell r="AC4564">
            <v>2.4171875000000002E-2</v>
          </cell>
          <cell r="AD4564">
            <v>2.4171875000000002E-2</v>
          </cell>
          <cell r="AE4564" t="str">
            <v>Con precio</v>
          </cell>
        </row>
        <row r="4565">
          <cell r="B4565" t="str">
            <v>S0020</v>
          </cell>
          <cell r="X4565" t="str">
            <v>Empaquetado</v>
          </cell>
          <cell r="AC4565">
            <v>5.0719967793880849E-3</v>
          </cell>
          <cell r="AD4565">
            <v>5.0719967793880849E-3</v>
          </cell>
          <cell r="AE4565" t="str">
            <v>Con precio</v>
          </cell>
        </row>
        <row r="4566">
          <cell r="B4566" t="str">
            <v>S0020</v>
          </cell>
          <cell r="X4566" t="str">
            <v>Empaquetado</v>
          </cell>
          <cell r="AC4566">
            <v>1.2352941176470591E-2</v>
          </cell>
          <cell r="AD4566">
            <v>1.2352941176470591E-2</v>
          </cell>
          <cell r="AE4566" t="str">
            <v>Con precio</v>
          </cell>
        </row>
        <row r="4567">
          <cell r="B4567" t="str">
            <v>S0020</v>
          </cell>
          <cell r="X4567" t="str">
            <v>Empaquetado</v>
          </cell>
          <cell r="AC4567">
            <v>0.18266505681818179</v>
          </cell>
          <cell r="AD4567">
            <v>0.18266505681818179</v>
          </cell>
          <cell r="AE4567" t="str">
            <v>Con precio</v>
          </cell>
        </row>
        <row r="4568">
          <cell r="B4568" t="str">
            <v>S0200</v>
          </cell>
          <cell r="X4568" t="str">
            <v>Formulación</v>
          </cell>
          <cell r="AC4568">
            <v>1.2539999999999999E-3</v>
          </cell>
          <cell r="AD4568">
            <v>1.2539999999999999E-3</v>
          </cell>
          <cell r="AE4568" t="str">
            <v>Con precio</v>
          </cell>
        </row>
        <row r="4569">
          <cell r="B4569" t="str">
            <v>S0200</v>
          </cell>
          <cell r="X4569" t="str">
            <v>Formulación</v>
          </cell>
          <cell r="AC4569">
            <v>0.23166</v>
          </cell>
          <cell r="AD4569">
            <v>0.20520000000000002</v>
          </cell>
          <cell r="AE4569" t="str">
            <v>Con precio</v>
          </cell>
        </row>
        <row r="4570">
          <cell r="B4570" t="str">
            <v>S0200</v>
          </cell>
          <cell r="X4570" t="str">
            <v>Formulación</v>
          </cell>
          <cell r="AC4570">
            <v>2.1360000000000004E-2</v>
          </cell>
          <cell r="AD4570">
            <v>2.0692500000000003E-2</v>
          </cell>
          <cell r="AE4570" t="str">
            <v>Con precio</v>
          </cell>
        </row>
        <row r="4571">
          <cell r="B4571" t="str">
            <v>S0200</v>
          </cell>
          <cell r="X4571" t="str">
            <v>Formulación</v>
          </cell>
          <cell r="AC4571">
            <v>2.4975000000000001E-2</v>
          </cell>
          <cell r="AD4571">
            <v>2.4975000000000001E-2</v>
          </cell>
          <cell r="AE4571" t="str">
            <v>Con precio</v>
          </cell>
        </row>
        <row r="4572">
          <cell r="B4572" t="str">
            <v>S0200</v>
          </cell>
          <cell r="X4572" t="str">
            <v>Formulación</v>
          </cell>
          <cell r="AC4572">
            <v>7.8079999999999998E-3</v>
          </cell>
          <cell r="AD4572">
            <v>7.8079999999999998E-3</v>
          </cell>
          <cell r="AE4572" t="str">
            <v>Con precio</v>
          </cell>
        </row>
        <row r="4573">
          <cell r="B4573" t="str">
            <v>S0200</v>
          </cell>
          <cell r="X4573" t="str">
            <v>Formulación</v>
          </cell>
          <cell r="AC4573">
            <v>8.203125E-2</v>
          </cell>
          <cell r="AD4573">
            <v>8.203125E-2</v>
          </cell>
          <cell r="AE4573" t="str">
            <v>Con precio</v>
          </cell>
        </row>
        <row r="4574">
          <cell r="B4574" t="str">
            <v>S0200</v>
          </cell>
          <cell r="X4574" t="str">
            <v>Formulación</v>
          </cell>
          <cell r="AC4574">
            <v>1.6650000000000002E-2</v>
          </cell>
          <cell r="AD4574">
            <v>1.4866666666666667E-2</v>
          </cell>
          <cell r="AE4574" t="str">
            <v>Con precio</v>
          </cell>
        </row>
        <row r="4575">
          <cell r="B4575" t="str">
            <v>S0200</v>
          </cell>
          <cell r="X4575" t="str">
            <v>Empaquetado</v>
          </cell>
          <cell r="AC4575">
            <v>5.0719967793880845E-4</v>
          </cell>
          <cell r="AD4575">
            <v>5.0719967793880845E-4</v>
          </cell>
          <cell r="AE4575" t="str">
            <v>Con precio</v>
          </cell>
        </row>
        <row r="4576">
          <cell r="B4576" t="str">
            <v>S0200</v>
          </cell>
          <cell r="X4576" t="str">
            <v>Empaquetado</v>
          </cell>
          <cell r="AC4576">
            <v>2.1875000000000002E-3</v>
          </cell>
          <cell r="AD4576">
            <v>2.1875000000000002E-3</v>
          </cell>
          <cell r="AE4576" t="str">
            <v>Con precio</v>
          </cell>
        </row>
        <row r="4577">
          <cell r="B4577" t="str">
            <v>S0200</v>
          </cell>
          <cell r="X4577" t="str">
            <v>Empaquetado</v>
          </cell>
          <cell r="AC4577">
            <v>0.16730511363636363</v>
          </cell>
          <cell r="AD4577">
            <v>0.16730511363636363</v>
          </cell>
          <cell r="AE4577" t="str">
            <v>Con precio</v>
          </cell>
        </row>
        <row r="4578">
          <cell r="B4578" t="str">
            <v>S0200</v>
          </cell>
          <cell r="X4578" t="str">
            <v>Empaquetado</v>
          </cell>
          <cell r="AC4578">
            <v>1.9337500000000001E-2</v>
          </cell>
          <cell r="AD4578">
            <v>1.9337500000000001E-2</v>
          </cell>
          <cell r="AE4578" t="str">
            <v>Con precio</v>
          </cell>
        </row>
        <row r="4579">
          <cell r="B4579" t="str">
            <v>S0200</v>
          </cell>
          <cell r="X4579" t="str">
            <v>Empaquetado</v>
          </cell>
          <cell r="AC4579">
            <v>3.4999999999999996E-3</v>
          </cell>
          <cell r="AD4579">
            <v>3.4999999999999996E-3</v>
          </cell>
          <cell r="AE4579" t="str">
            <v>Con precio</v>
          </cell>
        </row>
        <row r="4580">
          <cell r="B4580" t="str">
            <v>S0200</v>
          </cell>
          <cell r="X4580" t="str">
            <v>Empaquetado</v>
          </cell>
          <cell r="AC4580">
            <v>2.2500000000000003E-3</v>
          </cell>
          <cell r="AD4580">
            <v>2.2500000000000003E-3</v>
          </cell>
          <cell r="AE4580" t="str">
            <v>Con precio</v>
          </cell>
        </row>
        <row r="4581">
          <cell r="B4581" t="str">
            <v>S1000</v>
          </cell>
          <cell r="X4581" t="str">
            <v>Formulación</v>
          </cell>
          <cell r="AC4581">
            <v>1.2539999999999999E-3</v>
          </cell>
          <cell r="AD4581">
            <v>1.2539999999999999E-3</v>
          </cell>
          <cell r="AE4581" t="str">
            <v>Con precio</v>
          </cell>
        </row>
        <row r="4582">
          <cell r="B4582" t="str">
            <v>S1000</v>
          </cell>
          <cell r="X4582" t="str">
            <v>Formulación</v>
          </cell>
          <cell r="AC4582">
            <v>0.23166</v>
          </cell>
          <cell r="AD4582">
            <v>0.20520000000000002</v>
          </cell>
          <cell r="AE4582" t="str">
            <v>Con precio</v>
          </cell>
        </row>
        <row r="4583">
          <cell r="B4583" t="str">
            <v>S1000</v>
          </cell>
          <cell r="X4583" t="str">
            <v>Formulación</v>
          </cell>
          <cell r="AC4583">
            <v>2.1360000000000004E-2</v>
          </cell>
          <cell r="AD4583">
            <v>2.0692500000000003E-2</v>
          </cell>
          <cell r="AE4583" t="str">
            <v>Con precio</v>
          </cell>
        </row>
        <row r="4584">
          <cell r="B4584" t="str">
            <v>S1000</v>
          </cell>
          <cell r="X4584" t="str">
            <v>Formulación</v>
          </cell>
          <cell r="AC4584">
            <v>2.4975000000000001E-2</v>
          </cell>
          <cell r="AD4584">
            <v>2.4975000000000001E-2</v>
          </cell>
          <cell r="AE4584" t="str">
            <v>Con precio</v>
          </cell>
        </row>
        <row r="4585">
          <cell r="B4585" t="str">
            <v>S1000</v>
          </cell>
          <cell r="X4585" t="str">
            <v>Formulación</v>
          </cell>
          <cell r="AC4585">
            <v>7.8079999999999998E-3</v>
          </cell>
          <cell r="AD4585">
            <v>7.8079999999999998E-3</v>
          </cell>
          <cell r="AE4585" t="str">
            <v>Con precio</v>
          </cell>
        </row>
        <row r="4586">
          <cell r="B4586" t="str">
            <v>S1000</v>
          </cell>
          <cell r="X4586" t="str">
            <v>Formulación</v>
          </cell>
          <cell r="AC4586">
            <v>8.203125E-2</v>
          </cell>
          <cell r="AD4586">
            <v>8.203125E-2</v>
          </cell>
          <cell r="AE4586" t="str">
            <v>Con precio</v>
          </cell>
        </row>
        <row r="4587">
          <cell r="B4587" t="str">
            <v>S1000</v>
          </cell>
          <cell r="X4587" t="str">
            <v>Formulación</v>
          </cell>
          <cell r="AC4587">
            <v>1.6650000000000002E-2</v>
          </cell>
          <cell r="AD4587">
            <v>1.4866666666666667E-2</v>
          </cell>
          <cell r="AE4587" t="str">
            <v>Con precio</v>
          </cell>
        </row>
        <row r="4588">
          <cell r="B4588" t="str">
            <v>S1000</v>
          </cell>
          <cell r="X4588" t="str">
            <v>Empaquetado</v>
          </cell>
          <cell r="AC4588">
            <v>0.11700000000000001</v>
          </cell>
          <cell r="AD4588">
            <v>0.11700000000000001</v>
          </cell>
          <cell r="AE4588" t="str">
            <v>Con precio</v>
          </cell>
        </row>
        <row r="4589">
          <cell r="B4589" t="str">
            <v>S1000</v>
          </cell>
          <cell r="X4589" t="str">
            <v>Empaquetado</v>
          </cell>
          <cell r="AC4589">
            <v>1.014399355877617E-4</v>
          </cell>
          <cell r="AD4589">
            <v>1.014399355877617E-4</v>
          </cell>
          <cell r="AE4589" t="str">
            <v>Con precio</v>
          </cell>
        </row>
        <row r="4590">
          <cell r="B4590" t="str">
            <v>SPAR0001SA</v>
          </cell>
          <cell r="X4590" t="str">
            <v>Formulación</v>
          </cell>
          <cell r="AC4590">
            <v>0.74643800000000005</v>
          </cell>
          <cell r="AD4590">
            <v>0.67712590000000006</v>
          </cell>
          <cell r="AE4590" t="str">
            <v>Con precio</v>
          </cell>
        </row>
        <row r="4591">
          <cell r="B4591" t="str">
            <v>SPAR0001SA</v>
          </cell>
          <cell r="X4591" t="str">
            <v>Formulación</v>
          </cell>
          <cell r="AC4591">
            <v>3.0539499999999999</v>
          </cell>
          <cell r="AD4591">
            <v>3.0539499999999999</v>
          </cell>
          <cell r="AE4591" t="str">
            <v>Con precio</v>
          </cell>
        </row>
        <row r="4592">
          <cell r="B4592" t="str">
            <v>SPAR0001SA</v>
          </cell>
          <cell r="X4592" t="str">
            <v>Empaquetado</v>
          </cell>
          <cell r="AC4592">
            <v>3.0303030303030299E-5</v>
          </cell>
          <cell r="AD4592">
            <v>3.0303030303030299E-5</v>
          </cell>
          <cell r="AE4592" t="str">
            <v>Con precio</v>
          </cell>
        </row>
        <row r="4593">
          <cell r="B4593" t="str">
            <v>SPAR0001SA</v>
          </cell>
          <cell r="X4593" t="str">
            <v>Empaquetado</v>
          </cell>
          <cell r="AC4593">
            <v>2.3439393939393937E-2</v>
          </cell>
          <cell r="AD4593">
            <v>2.3439393939393937E-2</v>
          </cell>
          <cell r="AE4593" t="str">
            <v>Con precio</v>
          </cell>
        </row>
        <row r="4594">
          <cell r="B4594" t="str">
            <v>SPAR0001SA</v>
          </cell>
          <cell r="X4594" t="str">
            <v>Empaquetado</v>
          </cell>
          <cell r="AC4594">
            <v>7.1917518745739595E-2</v>
          </cell>
          <cell r="AD4594">
            <v>7.1917518745739595E-2</v>
          </cell>
          <cell r="AE4594" t="str">
            <v>Con precio</v>
          </cell>
        </row>
        <row r="4595">
          <cell r="B4595" t="str">
            <v>SPAR0001SA</v>
          </cell>
          <cell r="X4595" t="str">
            <v>Empaquetado</v>
          </cell>
          <cell r="AC4595">
            <v>0.11874999999999999</v>
          </cell>
          <cell r="AD4595">
            <v>0.11874999999999999</v>
          </cell>
          <cell r="AE4595" t="str">
            <v>Con precio</v>
          </cell>
        </row>
        <row r="4596">
          <cell r="B4596" t="str">
            <v>SPAR0001SA</v>
          </cell>
          <cell r="X4596" t="str">
            <v>Empaquetado</v>
          </cell>
          <cell r="AC4596">
            <v>9.6080774456521717E-2</v>
          </cell>
          <cell r="AD4596">
            <v>9.6080774456521717E-2</v>
          </cell>
          <cell r="AE4596" t="str">
            <v>Con precio</v>
          </cell>
        </row>
        <row r="4597">
          <cell r="B4597" t="str">
            <v>SPAR0001SA</v>
          </cell>
          <cell r="X4597" t="str">
            <v>Empaquetado</v>
          </cell>
          <cell r="AC4597">
            <v>0.59068001033057849</v>
          </cell>
          <cell r="AD4597">
            <v>0.59068001033057849</v>
          </cell>
          <cell r="AE4597" t="str">
            <v>Con precio</v>
          </cell>
        </row>
        <row r="4598">
          <cell r="B4598" t="str">
            <v>SPCE0001CR</v>
          </cell>
          <cell r="X4598" t="str">
            <v>Formulación</v>
          </cell>
          <cell r="AC4598">
            <v>5.0057999999999998</v>
          </cell>
          <cell r="AD4598">
            <v>5.0057999999999998</v>
          </cell>
          <cell r="AE4598" t="str">
            <v>Con precio</v>
          </cell>
        </row>
        <row r="4599">
          <cell r="B4599" t="str">
            <v>SPCE0001CR</v>
          </cell>
          <cell r="X4599" t="str">
            <v>Formulación</v>
          </cell>
          <cell r="AC4599">
            <v>0.26179999999999998</v>
          </cell>
          <cell r="AD4599">
            <v>0.20504</v>
          </cell>
          <cell r="AE4599" t="str">
            <v>Con precio</v>
          </cell>
        </row>
        <row r="4600">
          <cell r="B4600" t="str">
            <v>SPCE0001CR</v>
          </cell>
          <cell r="X4600" t="str">
            <v>Formulación</v>
          </cell>
          <cell r="AC4600">
            <v>6.8899999999999989E-2</v>
          </cell>
          <cell r="AD4600">
            <v>6.8899999999999989E-2</v>
          </cell>
          <cell r="AE4600" t="str">
            <v>Con precio</v>
          </cell>
        </row>
        <row r="4601">
          <cell r="B4601" t="str">
            <v>SPCE0001CR</v>
          </cell>
          <cell r="X4601" t="str">
            <v>Empaquetado</v>
          </cell>
          <cell r="AC4601">
            <v>3.0303030303030299E-5</v>
          </cell>
          <cell r="AD4601">
            <v>3.0303030303030299E-5</v>
          </cell>
          <cell r="AE4601" t="str">
            <v>Con precio</v>
          </cell>
        </row>
        <row r="4602">
          <cell r="B4602" t="str">
            <v>SPCE0001CR</v>
          </cell>
          <cell r="X4602" t="str">
            <v>Empaquetado</v>
          </cell>
          <cell r="AC4602">
            <v>2.3439393939393937E-2</v>
          </cell>
          <cell r="AD4602">
            <v>2.3439393939393937E-2</v>
          </cell>
          <cell r="AE4602" t="str">
            <v>Con precio</v>
          </cell>
        </row>
        <row r="4603">
          <cell r="B4603" t="str">
            <v>SPCE0001CR</v>
          </cell>
          <cell r="X4603" t="str">
            <v>Empaquetado</v>
          </cell>
          <cell r="AC4603">
            <v>7.1917518745739595E-2</v>
          </cell>
          <cell r="AD4603">
            <v>7.1917518745739595E-2</v>
          </cell>
          <cell r="AE4603" t="str">
            <v>Con precio</v>
          </cell>
        </row>
        <row r="4604">
          <cell r="B4604" t="str">
            <v>SPCE0001CR</v>
          </cell>
          <cell r="X4604" t="str">
            <v>Empaquetado</v>
          </cell>
          <cell r="AC4604">
            <v>0.11874999999999999</v>
          </cell>
          <cell r="AD4604">
            <v>0.11874999999999999</v>
          </cell>
          <cell r="AE4604" t="str">
            <v>Con precio</v>
          </cell>
        </row>
        <row r="4605">
          <cell r="B4605" t="str">
            <v>SPCE0001CR</v>
          </cell>
          <cell r="X4605" t="str">
            <v>Empaquetado</v>
          </cell>
          <cell r="AC4605">
            <v>9.6080774456521717E-2</v>
          </cell>
          <cell r="AD4605">
            <v>9.6080774456521717E-2</v>
          </cell>
          <cell r="AE4605" t="str">
            <v>Con precio</v>
          </cell>
        </row>
        <row r="4606">
          <cell r="B4606" t="str">
            <v>SPCE0001CR</v>
          </cell>
          <cell r="X4606" t="str">
            <v>Empaquetado</v>
          </cell>
          <cell r="AC4606">
            <v>0.59068001033057849</v>
          </cell>
          <cell r="AD4606">
            <v>0.59068001033057849</v>
          </cell>
          <cell r="AE4606" t="str">
            <v>Con precio</v>
          </cell>
        </row>
        <row r="4607">
          <cell r="B4607" t="str">
            <v>SPCE0001RO</v>
          </cell>
          <cell r="X4607" t="str">
            <v>Formulación</v>
          </cell>
          <cell r="AC4607">
            <v>5.0057999999999998</v>
          </cell>
          <cell r="AD4607">
            <v>5.0057999999999998</v>
          </cell>
          <cell r="AE4607" t="str">
            <v>Con precio</v>
          </cell>
        </row>
        <row r="4608">
          <cell r="B4608" t="str">
            <v>SPCE0001RO</v>
          </cell>
          <cell r="X4608" t="str">
            <v>Formulación</v>
          </cell>
          <cell r="AC4608">
            <v>0.26179999999999998</v>
          </cell>
          <cell r="AD4608">
            <v>0.20504</v>
          </cell>
          <cell r="AE4608" t="str">
            <v>Con precio</v>
          </cell>
        </row>
        <row r="4609">
          <cell r="B4609" t="str">
            <v>SPCE0001RO</v>
          </cell>
          <cell r="X4609" t="str">
            <v>Formulación</v>
          </cell>
          <cell r="AC4609">
            <v>6.8899999999999989E-2</v>
          </cell>
          <cell r="AD4609">
            <v>6.8899999999999989E-2</v>
          </cell>
          <cell r="AE4609" t="str">
            <v>Con precio</v>
          </cell>
        </row>
        <row r="4610">
          <cell r="B4610" t="str">
            <v>SPCE0001RO</v>
          </cell>
          <cell r="X4610" t="str">
            <v>Empaquetado</v>
          </cell>
          <cell r="AC4610">
            <v>3.0303030303030299E-5</v>
          </cell>
          <cell r="AD4610">
            <v>3.0303030303030299E-5</v>
          </cell>
          <cell r="AE4610" t="str">
            <v>Con precio</v>
          </cell>
        </row>
        <row r="4611">
          <cell r="B4611" t="str">
            <v>SPCE0001RO</v>
          </cell>
          <cell r="X4611" t="str">
            <v>Empaquetado</v>
          </cell>
          <cell r="AC4611">
            <v>2.3439393939393937E-2</v>
          </cell>
          <cell r="AD4611">
            <v>2.3439393939393937E-2</v>
          </cell>
          <cell r="AE4611" t="str">
            <v>Con precio</v>
          </cell>
        </row>
        <row r="4612">
          <cell r="B4612" t="str">
            <v>SPCE0001RO</v>
          </cell>
          <cell r="X4612" t="str">
            <v>Empaquetado</v>
          </cell>
          <cell r="AC4612">
            <v>7.1917518745739595E-2</v>
          </cell>
          <cell r="AD4612">
            <v>7.1917518745739595E-2</v>
          </cell>
          <cell r="AE4612" t="str">
            <v>Con precio</v>
          </cell>
        </row>
        <row r="4613">
          <cell r="B4613" t="str">
            <v>SPCE0001RO</v>
          </cell>
          <cell r="X4613" t="str">
            <v>Empaquetado</v>
          </cell>
          <cell r="AC4613">
            <v>0.11874999999999999</v>
          </cell>
          <cell r="AD4613">
            <v>0.11874999999999999</v>
          </cell>
          <cell r="AE4613" t="str">
            <v>Con precio</v>
          </cell>
        </row>
        <row r="4614">
          <cell r="B4614" t="str">
            <v>SPCE0001RO</v>
          </cell>
          <cell r="X4614" t="str">
            <v>Empaquetado</v>
          </cell>
          <cell r="AC4614">
            <v>9.6080774456521717E-2</v>
          </cell>
          <cell r="AD4614">
            <v>9.6080774456521717E-2</v>
          </cell>
          <cell r="AE4614" t="str">
            <v>Con precio</v>
          </cell>
        </row>
        <row r="4615">
          <cell r="B4615" t="str">
            <v>SPCE0001RO</v>
          </cell>
          <cell r="X4615" t="str">
            <v>Empaquetado</v>
          </cell>
          <cell r="AC4615">
            <v>0.59068001033057849</v>
          </cell>
          <cell r="AD4615">
            <v>0.59068001033057849</v>
          </cell>
          <cell r="AE4615" t="str">
            <v>Con precio</v>
          </cell>
        </row>
        <row r="4616">
          <cell r="B4616" t="str">
            <v>SPCE0005CR</v>
          </cell>
          <cell r="X4616" t="str">
            <v>Formulación</v>
          </cell>
          <cell r="AC4616">
            <v>5.0057999999999998</v>
          </cell>
          <cell r="AD4616">
            <v>5.0057999999999998</v>
          </cell>
          <cell r="AE4616" t="str">
            <v>Con precio</v>
          </cell>
        </row>
        <row r="4617">
          <cell r="B4617" t="str">
            <v>SPCE0005CR</v>
          </cell>
          <cell r="X4617" t="str">
            <v>Formulación</v>
          </cell>
          <cell r="AC4617">
            <v>0.26179999999999998</v>
          </cell>
          <cell r="AD4617">
            <v>0.20504</v>
          </cell>
          <cell r="AE4617" t="str">
            <v>Con precio</v>
          </cell>
        </row>
        <row r="4618">
          <cell r="B4618" t="str">
            <v>SPCE0005CR</v>
          </cell>
          <cell r="X4618" t="str">
            <v>Formulación</v>
          </cell>
          <cell r="AC4618">
            <v>6.8899999999999989E-2</v>
          </cell>
          <cell r="AD4618">
            <v>6.8899999999999989E-2</v>
          </cell>
          <cell r="AE4618" t="str">
            <v>Con precio</v>
          </cell>
        </row>
        <row r="4619">
          <cell r="B4619" t="str">
            <v>SPCE0005CR</v>
          </cell>
          <cell r="X4619" t="str">
            <v>Empaquetado</v>
          </cell>
          <cell r="AC4619">
            <v>1.2991333333333337E-2</v>
          </cell>
          <cell r="AD4619">
            <v>1.2991333333333337E-2</v>
          </cell>
          <cell r="AE4619" t="str">
            <v>Con precio</v>
          </cell>
        </row>
        <row r="4620">
          <cell r="B4620" t="str">
            <v>SPCE0005CR</v>
          </cell>
          <cell r="X4620" t="str">
            <v>Empaquetado</v>
          </cell>
          <cell r="AC4620">
            <v>2.5783333333333339E-2</v>
          </cell>
          <cell r="AD4620">
            <v>2.5783333333333339E-2</v>
          </cell>
          <cell r="AE4620" t="str">
            <v>Con precio</v>
          </cell>
        </row>
        <row r="4621">
          <cell r="B4621" t="str">
            <v>SPCE0005CR</v>
          </cell>
          <cell r="X4621" t="str">
            <v>Empaquetado</v>
          </cell>
          <cell r="AC4621">
            <v>2.5359983896940424E-2</v>
          </cell>
          <cell r="AD4621">
            <v>2.5359983896940424E-2</v>
          </cell>
          <cell r="AE4621" t="str">
            <v>Con precio</v>
          </cell>
        </row>
        <row r="4622">
          <cell r="B4622" t="str">
            <v>SPCE0005CR</v>
          </cell>
          <cell r="X4622" t="str">
            <v>Empaquetado</v>
          </cell>
          <cell r="AC4622">
            <v>0.17399999999999999</v>
          </cell>
          <cell r="AD4622">
            <v>0.17399999999999999</v>
          </cell>
          <cell r="AE4622" t="str">
            <v>Con precio</v>
          </cell>
        </row>
        <row r="4623">
          <cell r="B4623" t="str">
            <v>SPCE0005CR</v>
          </cell>
          <cell r="X4623" t="str">
            <v>Empaquetado</v>
          </cell>
          <cell r="AC4623">
            <v>5.7799999999999997E-2</v>
          </cell>
          <cell r="AD4623">
            <v>5.7799999999999997E-2</v>
          </cell>
          <cell r="AE4623" t="str">
            <v>Con precio</v>
          </cell>
        </row>
        <row r="4624">
          <cell r="B4624" t="str">
            <v>SPCE0005CR</v>
          </cell>
          <cell r="X4624" t="str">
            <v>Empaquetado</v>
          </cell>
          <cell r="AC4624">
            <v>3.6950017630465445E-2</v>
          </cell>
          <cell r="AD4624">
            <v>3.6950017630465445E-2</v>
          </cell>
          <cell r="AE4624" t="str">
            <v>Con precio</v>
          </cell>
        </row>
        <row r="4625">
          <cell r="B4625" t="str">
            <v>SPCE0020CR</v>
          </cell>
          <cell r="X4625" t="str">
            <v>Formulación</v>
          </cell>
          <cell r="AC4625">
            <v>5.0057999999999998</v>
          </cell>
          <cell r="AD4625">
            <v>5.0057999999999998</v>
          </cell>
          <cell r="AE4625" t="str">
            <v>Con precio</v>
          </cell>
        </row>
        <row r="4626">
          <cell r="B4626" t="str">
            <v>SPCE0020CR</v>
          </cell>
          <cell r="X4626" t="str">
            <v>Formulación</v>
          </cell>
          <cell r="AC4626">
            <v>0.26179999999999998</v>
          </cell>
          <cell r="AD4626">
            <v>0.20504</v>
          </cell>
          <cell r="AE4626" t="str">
            <v>Con precio</v>
          </cell>
        </row>
        <row r="4627">
          <cell r="B4627" t="str">
            <v>SPCE0020CR</v>
          </cell>
          <cell r="X4627" t="str">
            <v>Formulación</v>
          </cell>
          <cell r="AC4627">
            <v>6.8899999999999989E-2</v>
          </cell>
          <cell r="AD4627">
            <v>6.8899999999999989E-2</v>
          </cell>
          <cell r="AE4627" t="str">
            <v>Con precio</v>
          </cell>
        </row>
        <row r="4628">
          <cell r="B4628" t="str">
            <v>SPCE0020CR</v>
          </cell>
          <cell r="X4628" t="str">
            <v>Empaquetado</v>
          </cell>
          <cell r="AC4628">
            <v>7.3209374999999993E-3</v>
          </cell>
          <cell r="AD4628">
            <v>7.3209374999999993E-3</v>
          </cell>
          <cell r="AE4628" t="str">
            <v>Con precio</v>
          </cell>
        </row>
        <row r="4629">
          <cell r="B4629" t="str">
            <v>SPCE0020CR</v>
          </cell>
          <cell r="X4629" t="str">
            <v>Empaquetado</v>
          </cell>
          <cell r="AC4629">
            <v>2.4171875000000002E-2</v>
          </cell>
          <cell r="AD4629">
            <v>2.4171875000000002E-2</v>
          </cell>
          <cell r="AE4629" t="str">
            <v>Con precio</v>
          </cell>
        </row>
        <row r="4630">
          <cell r="B4630" t="str">
            <v>SPCE0020CR</v>
          </cell>
          <cell r="X4630" t="str">
            <v>Empaquetado</v>
          </cell>
          <cell r="AC4630">
            <v>0.18266505681818179</v>
          </cell>
          <cell r="AD4630">
            <v>0.18266505681818179</v>
          </cell>
          <cell r="AE4630" t="str">
            <v>Con precio</v>
          </cell>
        </row>
        <row r="4631">
          <cell r="B4631" t="str">
            <v>SPCE0020CR</v>
          </cell>
          <cell r="X4631" t="str">
            <v>Empaquetado</v>
          </cell>
          <cell r="AC4631">
            <v>5.0719967793880849E-3</v>
          </cell>
          <cell r="AD4631">
            <v>5.0719967793880849E-3</v>
          </cell>
          <cell r="AE4631" t="str">
            <v>Con precio</v>
          </cell>
        </row>
        <row r="4632">
          <cell r="B4632" t="str">
            <v>SPCE0020CR</v>
          </cell>
          <cell r="X4632" t="str">
            <v>Empaquetado</v>
          </cell>
          <cell r="AC4632">
            <v>2.4035031847133761E-2</v>
          </cell>
          <cell r="AD4632">
            <v>2.4035031847133761E-2</v>
          </cell>
          <cell r="AE4632" t="str">
            <v>Con precio</v>
          </cell>
        </row>
        <row r="4633">
          <cell r="B4633" t="str">
            <v>SPCE0020RO</v>
          </cell>
          <cell r="X4633" t="str">
            <v>Formulación</v>
          </cell>
          <cell r="AC4633">
            <v>5.0057999999999998</v>
          </cell>
          <cell r="AD4633">
            <v>5.0057999999999998</v>
          </cell>
          <cell r="AE4633" t="str">
            <v>Con precio</v>
          </cell>
        </row>
        <row r="4634">
          <cell r="B4634" t="str">
            <v>SPCE0020RO</v>
          </cell>
          <cell r="X4634" t="str">
            <v>Formulación</v>
          </cell>
          <cell r="AC4634">
            <v>0.26179999999999998</v>
          </cell>
          <cell r="AD4634">
            <v>0.20504</v>
          </cell>
          <cell r="AE4634" t="str">
            <v>Con precio</v>
          </cell>
        </row>
        <row r="4635">
          <cell r="B4635" t="str">
            <v>SPCE0020RO</v>
          </cell>
          <cell r="X4635" t="str">
            <v>Formulación</v>
          </cell>
          <cell r="AC4635">
            <v>6.8899999999999989E-2</v>
          </cell>
          <cell r="AD4635">
            <v>6.8899999999999989E-2</v>
          </cell>
          <cell r="AE4635" t="str">
            <v>Con precio</v>
          </cell>
        </row>
        <row r="4636">
          <cell r="B4636" t="str">
            <v>SPCE0020RO</v>
          </cell>
          <cell r="X4636" t="str">
            <v>Empaquetado</v>
          </cell>
          <cell r="AC4636">
            <v>7.3209374999999993E-3</v>
          </cell>
          <cell r="AD4636">
            <v>7.3209374999999993E-3</v>
          </cell>
          <cell r="AE4636" t="str">
            <v>Con precio</v>
          </cell>
        </row>
        <row r="4637">
          <cell r="B4637" t="str">
            <v>SPCE0020RO</v>
          </cell>
          <cell r="X4637" t="str">
            <v>Empaquetado</v>
          </cell>
          <cell r="AC4637">
            <v>2.4171875000000002E-2</v>
          </cell>
          <cell r="AD4637">
            <v>2.4171875000000002E-2</v>
          </cell>
          <cell r="AE4637" t="str">
            <v>Con precio</v>
          </cell>
        </row>
        <row r="4638">
          <cell r="B4638" t="str">
            <v>SPCE0020RO</v>
          </cell>
          <cell r="X4638" t="str">
            <v>Empaquetado</v>
          </cell>
          <cell r="AC4638">
            <v>0.18266505681818179</v>
          </cell>
          <cell r="AD4638">
            <v>0.18266505681818179</v>
          </cell>
          <cell r="AE4638" t="str">
            <v>Con precio</v>
          </cell>
        </row>
        <row r="4639">
          <cell r="B4639" t="str">
            <v>SPCE0020RO</v>
          </cell>
          <cell r="X4639" t="str">
            <v>Empaquetado</v>
          </cell>
          <cell r="AC4639">
            <v>5.0719967793880849E-3</v>
          </cell>
          <cell r="AD4639">
            <v>5.0719967793880849E-3</v>
          </cell>
          <cell r="AE4639" t="str">
            <v>Con precio</v>
          </cell>
        </row>
        <row r="4640">
          <cell r="B4640" t="str">
            <v>SPCE0020RO</v>
          </cell>
          <cell r="X4640" t="str">
            <v>Empaquetado</v>
          </cell>
          <cell r="AC4640">
            <v>2.4035031847133761E-2</v>
          </cell>
          <cell r="AD4640">
            <v>2.4035031847133761E-2</v>
          </cell>
          <cell r="AE4640" t="str">
            <v>Con precio</v>
          </cell>
        </row>
        <row r="4641">
          <cell r="B4641" t="str">
            <v>SPCE0200RO</v>
          </cell>
          <cell r="X4641" t="str">
            <v>Formulación</v>
          </cell>
          <cell r="AC4641">
            <v>5.0057999999999998</v>
          </cell>
          <cell r="AD4641">
            <v>5.0057999999999998</v>
          </cell>
          <cell r="AE4641" t="str">
            <v>Con precio</v>
          </cell>
        </row>
        <row r="4642">
          <cell r="B4642" t="str">
            <v>SPCE0200RO</v>
          </cell>
          <cell r="X4642" t="str">
            <v>Formulación</v>
          </cell>
          <cell r="AC4642">
            <v>0.26179999999999998</v>
          </cell>
          <cell r="AD4642">
            <v>0.20504</v>
          </cell>
          <cell r="AE4642" t="str">
            <v>Con precio</v>
          </cell>
        </row>
        <row r="4643">
          <cell r="B4643" t="str">
            <v>SPCE0200RO</v>
          </cell>
          <cell r="X4643" t="str">
            <v>Formulación</v>
          </cell>
          <cell r="AC4643">
            <v>6.8899999999999989E-2</v>
          </cell>
          <cell r="AD4643">
            <v>6.8899999999999989E-2</v>
          </cell>
          <cell r="AE4643" t="str">
            <v>Con precio</v>
          </cell>
        </row>
        <row r="4644">
          <cell r="B4644" t="str">
            <v>SPCE0200RO</v>
          </cell>
          <cell r="X4644" t="str">
            <v>Empaquetado</v>
          </cell>
          <cell r="AC4644">
            <v>5.0719967793880845E-4</v>
          </cell>
          <cell r="AD4644">
            <v>5.0719967793880845E-4</v>
          </cell>
          <cell r="AE4644" t="str">
            <v>Con precio</v>
          </cell>
        </row>
        <row r="4645">
          <cell r="B4645" t="str">
            <v>SPCE0200RO</v>
          </cell>
          <cell r="X4645" t="str">
            <v>Empaquetado</v>
          </cell>
          <cell r="AC4645">
            <v>2.1875000000000002E-3</v>
          </cell>
          <cell r="AD4645">
            <v>2.1875000000000002E-3</v>
          </cell>
          <cell r="AE4645" t="str">
            <v>Con precio</v>
          </cell>
        </row>
        <row r="4646">
          <cell r="B4646" t="str">
            <v>SPCE0200RO</v>
          </cell>
          <cell r="X4646" t="str">
            <v>Empaquetado</v>
          </cell>
          <cell r="AC4646">
            <v>0.16730511363636363</v>
          </cell>
          <cell r="AD4646">
            <v>0.16730511363636363</v>
          </cell>
          <cell r="AE4646" t="str">
            <v>Con precio</v>
          </cell>
        </row>
        <row r="4647">
          <cell r="B4647" t="str">
            <v>SPCE0200RO</v>
          </cell>
          <cell r="X4647" t="str">
            <v>Empaquetado</v>
          </cell>
          <cell r="AC4647">
            <v>1.9337500000000001E-2</v>
          </cell>
          <cell r="AD4647">
            <v>1.9337500000000001E-2</v>
          </cell>
          <cell r="AE4647" t="str">
            <v>Con precio</v>
          </cell>
        </row>
        <row r="4648">
          <cell r="B4648" t="str">
            <v>SPCE0200RO</v>
          </cell>
          <cell r="X4648" t="str">
            <v>Empaquetado</v>
          </cell>
          <cell r="AC4648">
            <v>3.4999999999999996E-3</v>
          </cell>
          <cell r="AD4648">
            <v>3.4999999999999996E-3</v>
          </cell>
          <cell r="AE4648" t="str">
            <v>Con precio</v>
          </cell>
        </row>
        <row r="4649">
          <cell r="B4649" t="str">
            <v>SPCE0200RO</v>
          </cell>
          <cell r="X4649" t="str">
            <v>Empaquetado</v>
          </cell>
          <cell r="AC4649">
            <v>2.2500000000000003E-3</v>
          </cell>
          <cell r="AD4649">
            <v>2.2500000000000003E-3</v>
          </cell>
          <cell r="AE4649" t="str">
            <v>Con precio</v>
          </cell>
        </row>
        <row r="4650">
          <cell r="B4650" t="str">
            <v>SPCE1000RO</v>
          </cell>
          <cell r="X4650" t="str">
            <v>Formulación</v>
          </cell>
          <cell r="AC4650">
            <v>5.0057999999999998</v>
          </cell>
          <cell r="AD4650">
            <v>5.0057999999999998</v>
          </cell>
          <cell r="AE4650" t="str">
            <v>Con precio</v>
          </cell>
        </row>
        <row r="4651">
          <cell r="B4651" t="str">
            <v>SPCE1000RO</v>
          </cell>
          <cell r="X4651" t="str">
            <v>Formulación</v>
          </cell>
          <cell r="AC4651">
            <v>0.26179999999999998</v>
          </cell>
          <cell r="AD4651">
            <v>0.20504</v>
          </cell>
          <cell r="AE4651" t="str">
            <v>Con precio</v>
          </cell>
        </row>
        <row r="4652">
          <cell r="B4652" t="str">
            <v>SPCE1000RO</v>
          </cell>
          <cell r="X4652" t="str">
            <v>Formulación</v>
          </cell>
          <cell r="AC4652">
            <v>6.8899999999999989E-2</v>
          </cell>
          <cell r="AD4652">
            <v>6.8899999999999989E-2</v>
          </cell>
          <cell r="AE4652" t="str">
            <v>Con precio</v>
          </cell>
        </row>
        <row r="4653">
          <cell r="B4653" t="str">
            <v>SPCE1000RO</v>
          </cell>
          <cell r="X4653" t="str">
            <v>Empaquetado</v>
          </cell>
          <cell r="AC4653">
            <v>6.9846153846153836E-2</v>
          </cell>
          <cell r="AD4653">
            <v>6.9846153846153836E-2</v>
          </cell>
          <cell r="AE4653" t="str">
            <v>Con precio</v>
          </cell>
        </row>
        <row r="4654">
          <cell r="B4654" t="str">
            <v>SPCE1000RO</v>
          </cell>
          <cell r="X4654" t="str">
            <v>Empaquetado</v>
          </cell>
          <cell r="AC4654">
            <v>8.8689945652173921E-5</v>
          </cell>
          <cell r="AD4654">
            <v>8.8689945652173921E-5</v>
          </cell>
          <cell r="AE4654" t="str">
            <v>Con precio</v>
          </cell>
        </row>
        <row r="4655">
          <cell r="B4655" t="str">
            <v>SPCE2B0001</v>
          </cell>
          <cell r="X4655" t="str">
            <v>Formulación</v>
          </cell>
          <cell r="AC4655">
            <v>0.29710799999999998</v>
          </cell>
          <cell r="AD4655">
            <v>0.26951940000000002</v>
          </cell>
          <cell r="AE4655" t="str">
            <v>Con precio</v>
          </cell>
        </row>
        <row r="4656">
          <cell r="B4656" t="str">
            <v>SPCE2B0001</v>
          </cell>
          <cell r="X4656" t="str">
            <v>Formulación</v>
          </cell>
          <cell r="AC4656">
            <v>4.3157000000000005</v>
          </cell>
          <cell r="AD4656">
            <v>4.3157000000000005</v>
          </cell>
          <cell r="AE4656" t="str">
            <v>Con precio</v>
          </cell>
        </row>
        <row r="4657">
          <cell r="B4657" t="str">
            <v>SPCE2B0001</v>
          </cell>
          <cell r="X4657" t="str">
            <v>Empaquetado</v>
          </cell>
          <cell r="AC4657">
            <v>3.0303030303030299E-5</v>
          </cell>
          <cell r="AD4657">
            <v>3.0303030303030299E-5</v>
          </cell>
          <cell r="AE4657" t="str">
            <v>Con precio</v>
          </cell>
        </row>
        <row r="4658">
          <cell r="B4658" t="str">
            <v>SPCE2B0001</v>
          </cell>
          <cell r="X4658" t="str">
            <v>Empaquetado</v>
          </cell>
          <cell r="AC4658">
            <v>2.3439393939393937E-2</v>
          </cell>
          <cell r="AD4658">
            <v>2.3439393939393937E-2</v>
          </cell>
          <cell r="AE4658" t="str">
            <v>Con precio</v>
          </cell>
        </row>
        <row r="4659">
          <cell r="B4659" t="str">
            <v>SPCE2B0001</v>
          </cell>
          <cell r="X4659" t="str">
            <v>Empaquetado</v>
          </cell>
          <cell r="AC4659">
            <v>7.1917518745739595E-2</v>
          </cell>
          <cell r="AD4659">
            <v>7.1917518745739595E-2</v>
          </cell>
          <cell r="AE4659" t="str">
            <v>Con precio</v>
          </cell>
        </row>
        <row r="4660">
          <cell r="B4660" t="str">
            <v>SPCE2B0001</v>
          </cell>
          <cell r="X4660" t="str">
            <v>Empaquetado</v>
          </cell>
          <cell r="AC4660">
            <v>0.11874999999999999</v>
          </cell>
          <cell r="AD4660">
            <v>0.11874999999999999</v>
          </cell>
          <cell r="AE4660" t="str">
            <v>Con precio</v>
          </cell>
        </row>
        <row r="4661">
          <cell r="B4661" t="str">
            <v>SPCE2B0001</v>
          </cell>
          <cell r="X4661" t="str">
            <v>Empaquetado</v>
          </cell>
          <cell r="AC4661">
            <v>9.6080774456521717E-2</v>
          </cell>
          <cell r="AD4661">
            <v>9.6080774456521717E-2</v>
          </cell>
          <cell r="AE4661" t="str">
            <v>Con precio</v>
          </cell>
        </row>
        <row r="4662">
          <cell r="B4662" t="str">
            <v>SPCE2B0001</v>
          </cell>
          <cell r="X4662" t="str">
            <v>Empaquetado</v>
          </cell>
          <cell r="AC4662">
            <v>0.59068001033057849</v>
          </cell>
          <cell r="AD4662">
            <v>0.59068001033057849</v>
          </cell>
          <cell r="AE4662" t="str">
            <v>Con precio</v>
          </cell>
        </row>
        <row r="4663">
          <cell r="B4663" t="str">
            <v>SPCE2B0001DO</v>
          </cell>
          <cell r="X4663" t="str">
            <v>Formulación</v>
          </cell>
          <cell r="AC4663">
            <v>0.29710799999999998</v>
          </cell>
          <cell r="AD4663">
            <v>0.26951940000000002</v>
          </cell>
          <cell r="AE4663" t="str">
            <v>Con precio</v>
          </cell>
        </row>
        <row r="4664">
          <cell r="B4664" t="str">
            <v>SPCE2B0001DO</v>
          </cell>
          <cell r="X4664" t="str">
            <v>Formulación</v>
          </cell>
          <cell r="AC4664">
            <v>4.3157000000000005</v>
          </cell>
          <cell r="AD4664">
            <v>4.3157000000000005</v>
          </cell>
          <cell r="AE4664" t="str">
            <v>Con precio</v>
          </cell>
        </row>
        <row r="4665">
          <cell r="B4665" t="str">
            <v>SPCE2B0001DO</v>
          </cell>
          <cell r="X4665" t="str">
            <v>Empaquetado</v>
          </cell>
          <cell r="AC4665">
            <v>3.0303030303030299E-5</v>
          </cell>
          <cell r="AD4665">
            <v>3.0303030303030299E-5</v>
          </cell>
          <cell r="AE4665" t="str">
            <v>Con precio</v>
          </cell>
        </row>
        <row r="4666">
          <cell r="B4666" t="str">
            <v>SPCE2B0001DO</v>
          </cell>
          <cell r="X4666" t="str">
            <v>Empaquetado</v>
          </cell>
          <cell r="AC4666">
            <v>2.3439393939393937E-2</v>
          </cell>
          <cell r="AD4666">
            <v>2.3439393939393937E-2</v>
          </cell>
          <cell r="AE4666" t="str">
            <v>Con precio</v>
          </cell>
        </row>
        <row r="4667">
          <cell r="B4667" t="str">
            <v>SPCE2B0001DO</v>
          </cell>
          <cell r="X4667" t="str">
            <v>Empaquetado</v>
          </cell>
          <cell r="AC4667">
            <v>7.1917518745739595E-2</v>
          </cell>
          <cell r="AD4667">
            <v>7.1917518745739595E-2</v>
          </cell>
          <cell r="AE4667" t="str">
            <v>Con precio</v>
          </cell>
        </row>
        <row r="4668">
          <cell r="B4668" t="str">
            <v>SPCE2B0001DO</v>
          </cell>
          <cell r="X4668" t="str">
            <v>Empaquetado</v>
          </cell>
          <cell r="AC4668">
            <v>0.11874999999999999</v>
          </cell>
          <cell r="AD4668">
            <v>0.11874999999999999</v>
          </cell>
          <cell r="AE4668" t="str">
            <v>Con precio</v>
          </cell>
        </row>
        <row r="4669">
          <cell r="B4669" t="str">
            <v>SPCE2B0001DO</v>
          </cell>
          <cell r="X4669" t="str">
            <v>Empaquetado</v>
          </cell>
          <cell r="AC4669">
            <v>9.6080774456521717E-2</v>
          </cell>
          <cell r="AD4669">
            <v>9.6080774456521717E-2</v>
          </cell>
          <cell r="AE4669" t="str">
            <v>Con precio</v>
          </cell>
        </row>
        <row r="4670">
          <cell r="B4670" t="str">
            <v>SPCE2B0001DO</v>
          </cell>
          <cell r="X4670" t="str">
            <v>Empaquetado</v>
          </cell>
          <cell r="AC4670">
            <v>0.59068001033057849</v>
          </cell>
          <cell r="AD4670">
            <v>0.59068001033057849</v>
          </cell>
          <cell r="AE4670" t="str">
            <v>Con precio</v>
          </cell>
        </row>
        <row r="4671">
          <cell r="B4671" t="str">
            <v>SPCE2B0001EG</v>
          </cell>
          <cell r="X4671" t="str">
            <v>Formulación</v>
          </cell>
          <cell r="AC4671">
            <v>0.29710799999999998</v>
          </cell>
          <cell r="AD4671">
            <v>0.26951940000000002</v>
          </cell>
          <cell r="AE4671" t="str">
            <v>Con precio</v>
          </cell>
        </row>
        <row r="4672">
          <cell r="B4672" t="str">
            <v>SPCE2B0001EG</v>
          </cell>
          <cell r="X4672" t="str">
            <v>Formulación</v>
          </cell>
          <cell r="AC4672">
            <v>4.3157000000000005</v>
          </cell>
          <cell r="AD4672">
            <v>4.3157000000000005</v>
          </cell>
          <cell r="AE4672" t="str">
            <v>Con precio</v>
          </cell>
        </row>
        <row r="4673">
          <cell r="B4673" t="str">
            <v>SPCE2B0001EG</v>
          </cell>
          <cell r="X4673" t="str">
            <v>Empaquetado</v>
          </cell>
          <cell r="AC4673">
            <v>3.0303030303030299E-5</v>
          </cell>
          <cell r="AD4673">
            <v>3.0303030303030299E-5</v>
          </cell>
          <cell r="AE4673" t="str">
            <v>Con precio</v>
          </cell>
        </row>
        <row r="4674">
          <cell r="B4674" t="str">
            <v>SPCE2B0001EG</v>
          </cell>
          <cell r="X4674" t="str">
            <v>Empaquetado</v>
          </cell>
          <cell r="AC4674">
            <v>2.3439393939393937E-2</v>
          </cell>
          <cell r="AD4674">
            <v>2.3439393939393937E-2</v>
          </cell>
          <cell r="AE4674" t="str">
            <v>Con precio</v>
          </cell>
        </row>
        <row r="4675">
          <cell r="B4675" t="str">
            <v>SPCE2B0001EG</v>
          </cell>
          <cell r="X4675" t="str">
            <v>Empaquetado</v>
          </cell>
          <cell r="AC4675">
            <v>7.1917518745739595E-2</v>
          </cell>
          <cell r="AD4675">
            <v>7.1917518745739595E-2</v>
          </cell>
          <cell r="AE4675" t="str">
            <v>Con precio</v>
          </cell>
        </row>
        <row r="4676">
          <cell r="B4676" t="str">
            <v>SPCE2B0001EG</v>
          </cell>
          <cell r="X4676" t="str">
            <v>Empaquetado</v>
          </cell>
          <cell r="AC4676">
            <v>0.11874999999999999</v>
          </cell>
          <cell r="AD4676">
            <v>0.11874999999999999</v>
          </cell>
          <cell r="AE4676" t="str">
            <v>Con precio</v>
          </cell>
        </row>
        <row r="4677">
          <cell r="B4677" t="str">
            <v>SPCE2B0001EG</v>
          </cell>
          <cell r="X4677" t="str">
            <v>Empaquetado</v>
          </cell>
          <cell r="AC4677">
            <v>9.6080774456521717E-2</v>
          </cell>
          <cell r="AD4677">
            <v>9.6080774456521717E-2</v>
          </cell>
          <cell r="AE4677" t="str">
            <v>Con precio</v>
          </cell>
        </row>
        <row r="4678">
          <cell r="B4678" t="str">
            <v>SPCE2B0001EG</v>
          </cell>
          <cell r="X4678" t="str">
            <v>Empaquetado</v>
          </cell>
          <cell r="AC4678">
            <v>0.59068001033057849</v>
          </cell>
          <cell r="AD4678">
            <v>0.59068001033057849</v>
          </cell>
          <cell r="AE4678" t="str">
            <v>Con precio</v>
          </cell>
        </row>
        <row r="4679">
          <cell r="B4679" t="str">
            <v>SPCE2B0001MA</v>
          </cell>
          <cell r="X4679" t="str">
            <v>Formulación</v>
          </cell>
          <cell r="AC4679">
            <v>0.29710799999999998</v>
          </cell>
          <cell r="AD4679">
            <v>0.26951940000000002</v>
          </cell>
          <cell r="AE4679" t="str">
            <v>Con precio</v>
          </cell>
        </row>
        <row r="4680">
          <cell r="B4680" t="str">
            <v>SPCE2B0001MA</v>
          </cell>
          <cell r="X4680" t="str">
            <v>Formulación</v>
          </cell>
          <cell r="AC4680">
            <v>4.3157000000000005</v>
          </cell>
          <cell r="AD4680">
            <v>4.3157000000000005</v>
          </cell>
          <cell r="AE4680" t="str">
            <v>Con precio</v>
          </cell>
        </row>
        <row r="4681">
          <cell r="B4681" t="str">
            <v>SPCE2B0001MA</v>
          </cell>
          <cell r="X4681" t="str">
            <v>Empaquetado</v>
          </cell>
          <cell r="AC4681">
            <v>3.0303030303030299E-5</v>
          </cell>
          <cell r="AD4681">
            <v>3.0303030303030299E-5</v>
          </cell>
          <cell r="AE4681" t="str">
            <v>Con precio</v>
          </cell>
        </row>
        <row r="4682">
          <cell r="B4682" t="str">
            <v>SPCE2B0001MA</v>
          </cell>
          <cell r="X4682" t="str">
            <v>Empaquetado</v>
          </cell>
          <cell r="AC4682">
            <v>2.3439393939393937E-2</v>
          </cell>
          <cell r="AD4682">
            <v>2.3439393939393937E-2</v>
          </cell>
          <cell r="AE4682" t="str">
            <v>Con precio</v>
          </cell>
        </row>
        <row r="4683">
          <cell r="B4683" t="str">
            <v>SPCE2B0001MA</v>
          </cell>
          <cell r="X4683" t="str">
            <v>Empaquetado</v>
          </cell>
          <cell r="AC4683">
            <v>7.1917518745739595E-2</v>
          </cell>
          <cell r="AD4683">
            <v>7.1917518745739595E-2</v>
          </cell>
          <cell r="AE4683" t="str">
            <v>Con precio</v>
          </cell>
        </row>
        <row r="4684">
          <cell r="B4684" t="str">
            <v>SPCE2B0001MA</v>
          </cell>
          <cell r="X4684" t="str">
            <v>Empaquetado</v>
          </cell>
          <cell r="AC4684">
            <v>0.11874999999999999</v>
          </cell>
          <cell r="AD4684">
            <v>0.11874999999999999</v>
          </cell>
          <cell r="AE4684" t="str">
            <v>Con precio</v>
          </cell>
        </row>
        <row r="4685">
          <cell r="B4685" t="str">
            <v>SPCE2B0001MA</v>
          </cell>
          <cell r="X4685" t="str">
            <v>Empaquetado</v>
          </cell>
          <cell r="AC4685">
            <v>9.6080774456521717E-2</v>
          </cell>
          <cell r="AD4685">
            <v>9.6080774456521717E-2</v>
          </cell>
          <cell r="AE4685" t="str">
            <v>Con precio</v>
          </cell>
        </row>
        <row r="4686">
          <cell r="B4686" t="str">
            <v>SPCE2B0001MA</v>
          </cell>
          <cell r="X4686" t="str">
            <v>Empaquetado</v>
          </cell>
          <cell r="AC4686">
            <v>0.59068001033057849</v>
          </cell>
          <cell r="AD4686">
            <v>0.59068001033057849</v>
          </cell>
          <cell r="AE4686" t="str">
            <v>Con precio</v>
          </cell>
        </row>
        <row r="4687">
          <cell r="B4687" t="str">
            <v>SPCE2B0005</v>
          </cell>
          <cell r="X4687" t="str">
            <v>Formulación</v>
          </cell>
          <cell r="AC4687">
            <v>0.29710799999999998</v>
          </cell>
          <cell r="AD4687">
            <v>0.26951940000000002</v>
          </cell>
          <cell r="AE4687" t="str">
            <v>Con precio</v>
          </cell>
        </row>
        <row r="4688">
          <cell r="B4688" t="str">
            <v>SPCE2B0005</v>
          </cell>
          <cell r="X4688" t="str">
            <v>Formulación</v>
          </cell>
          <cell r="AC4688">
            <v>4.3157000000000005</v>
          </cell>
          <cell r="AD4688">
            <v>4.3157000000000005</v>
          </cell>
          <cell r="AE4688" t="str">
            <v>Con precio</v>
          </cell>
        </row>
        <row r="4689">
          <cell r="B4689" t="str">
            <v>SPCE2B0005</v>
          </cell>
          <cell r="X4689" t="str">
            <v>Empaquetado</v>
          </cell>
          <cell r="AC4689">
            <v>1.2991333333333337E-2</v>
          </cell>
          <cell r="AD4689">
            <v>1.2991333333333337E-2</v>
          </cell>
          <cell r="AE4689" t="str">
            <v>Con precio</v>
          </cell>
        </row>
        <row r="4690">
          <cell r="B4690" t="str">
            <v>SPCE2B0005</v>
          </cell>
          <cell r="X4690" t="str">
            <v>Empaquetado</v>
          </cell>
          <cell r="AC4690">
            <v>2.5783333333333339E-2</v>
          </cell>
          <cell r="AD4690">
            <v>2.5783333333333339E-2</v>
          </cell>
          <cell r="AE4690" t="str">
            <v>Con precio</v>
          </cell>
        </row>
        <row r="4691">
          <cell r="B4691" t="str">
            <v>SPCE2B0005</v>
          </cell>
          <cell r="X4691" t="str">
            <v>Empaquetado</v>
          </cell>
          <cell r="AC4691">
            <v>2.5359983896940424E-2</v>
          </cell>
          <cell r="AD4691">
            <v>2.5359983896940424E-2</v>
          </cell>
          <cell r="AE4691" t="str">
            <v>Con precio</v>
          </cell>
        </row>
        <row r="4692">
          <cell r="B4692" t="str">
            <v>SPCE2B0005</v>
          </cell>
          <cell r="X4692" t="str">
            <v>Empaquetado</v>
          </cell>
          <cell r="AC4692">
            <v>0.17399999999999999</v>
          </cell>
          <cell r="AD4692">
            <v>0.17399999999999999</v>
          </cell>
          <cell r="AE4692" t="str">
            <v>Con precio</v>
          </cell>
        </row>
        <row r="4693">
          <cell r="B4693" t="str">
            <v>SPCE2B0005</v>
          </cell>
          <cell r="X4693" t="str">
            <v>Empaquetado</v>
          </cell>
          <cell r="AC4693">
            <v>5.7799999999999997E-2</v>
          </cell>
          <cell r="AD4693">
            <v>5.7799999999999997E-2</v>
          </cell>
          <cell r="AE4693" t="str">
            <v>Con precio</v>
          </cell>
        </row>
        <row r="4694">
          <cell r="B4694" t="str">
            <v>SPCE2B0005</v>
          </cell>
          <cell r="X4694" t="str">
            <v>Empaquetado</v>
          </cell>
          <cell r="AC4694">
            <v>3.6950017630465445E-2</v>
          </cell>
          <cell r="AD4694">
            <v>3.6950017630465445E-2</v>
          </cell>
          <cell r="AE4694" t="str">
            <v>Con precio</v>
          </cell>
        </row>
        <row r="4695">
          <cell r="B4695" t="str">
            <v>SPCE2B0020</v>
          </cell>
          <cell r="X4695" t="str">
            <v>Formulación</v>
          </cell>
          <cell r="AC4695">
            <v>0.29710799999999998</v>
          </cell>
          <cell r="AD4695">
            <v>0.26951940000000002</v>
          </cell>
          <cell r="AE4695" t="str">
            <v>Con precio</v>
          </cell>
        </row>
        <row r="4696">
          <cell r="B4696" t="str">
            <v>SPCE2B0020</v>
          </cell>
          <cell r="X4696" t="str">
            <v>Formulación</v>
          </cell>
          <cell r="AC4696">
            <v>4.3157000000000005</v>
          </cell>
          <cell r="AD4696">
            <v>4.3157000000000005</v>
          </cell>
          <cell r="AE4696" t="str">
            <v>Con precio</v>
          </cell>
        </row>
        <row r="4697">
          <cell r="B4697" t="str">
            <v>SPCE2B0020</v>
          </cell>
          <cell r="X4697" t="str">
            <v>Empaquetado</v>
          </cell>
          <cell r="AC4697">
            <v>7.3209374999999993E-3</v>
          </cell>
          <cell r="AD4697">
            <v>7.3209374999999993E-3</v>
          </cell>
          <cell r="AE4697" t="str">
            <v>Con precio</v>
          </cell>
        </row>
        <row r="4698">
          <cell r="B4698" t="str">
            <v>SPCE2B0020</v>
          </cell>
          <cell r="X4698" t="str">
            <v>Empaquetado</v>
          </cell>
          <cell r="AC4698">
            <v>2.4171875000000002E-2</v>
          </cell>
          <cell r="AD4698">
            <v>2.4171875000000002E-2</v>
          </cell>
          <cell r="AE4698" t="str">
            <v>Con precio</v>
          </cell>
        </row>
        <row r="4699">
          <cell r="B4699" t="str">
            <v>SPCE2B0020</v>
          </cell>
          <cell r="X4699" t="str">
            <v>Empaquetado</v>
          </cell>
          <cell r="AC4699">
            <v>5.0719967793880849E-3</v>
          </cell>
          <cell r="AD4699">
            <v>5.0719967793880849E-3</v>
          </cell>
          <cell r="AE4699" t="str">
            <v>Con precio</v>
          </cell>
        </row>
        <row r="4700">
          <cell r="B4700" t="str">
            <v>SPCE2B0020</v>
          </cell>
          <cell r="X4700" t="str">
            <v>Empaquetado</v>
          </cell>
          <cell r="AC4700">
            <v>2.4035031847133761E-2</v>
          </cell>
          <cell r="AD4700">
            <v>2.4035031847133761E-2</v>
          </cell>
          <cell r="AE4700" t="str">
            <v>Con precio</v>
          </cell>
        </row>
        <row r="4701">
          <cell r="B4701" t="str">
            <v>SPCE2B0020</v>
          </cell>
          <cell r="X4701" t="str">
            <v>Empaquetado</v>
          </cell>
          <cell r="AC4701">
            <v>0.18266505681818179</v>
          </cell>
          <cell r="AD4701">
            <v>0.18266505681818179</v>
          </cell>
          <cell r="AE4701" t="str">
            <v>Con precio</v>
          </cell>
        </row>
        <row r="4702">
          <cell r="B4702" t="str">
            <v>SPCE2B0020MA</v>
          </cell>
          <cell r="X4702" t="str">
            <v>Formulación</v>
          </cell>
          <cell r="AC4702">
            <v>0.29710799999999998</v>
          </cell>
          <cell r="AD4702">
            <v>0.26951940000000002</v>
          </cell>
          <cell r="AE4702" t="str">
            <v>Con precio</v>
          </cell>
        </row>
        <row r="4703">
          <cell r="B4703" t="str">
            <v>SPCE2B0020MA</v>
          </cell>
          <cell r="X4703" t="str">
            <v>Formulación</v>
          </cell>
          <cell r="AC4703">
            <v>4.3157000000000005</v>
          </cell>
          <cell r="AD4703">
            <v>4.3157000000000005</v>
          </cell>
          <cell r="AE4703" t="str">
            <v>Con precio</v>
          </cell>
        </row>
        <row r="4704">
          <cell r="B4704" t="str">
            <v>SPCE2B0020MA</v>
          </cell>
          <cell r="X4704" t="str">
            <v>Empaquetado</v>
          </cell>
          <cell r="AC4704">
            <v>7.3209374999999993E-3</v>
          </cell>
          <cell r="AD4704">
            <v>7.3209374999999993E-3</v>
          </cell>
          <cell r="AE4704" t="str">
            <v>Con precio</v>
          </cell>
        </row>
        <row r="4705">
          <cell r="B4705" t="str">
            <v>SPCE2B0020MA</v>
          </cell>
          <cell r="X4705" t="str">
            <v>Empaquetado</v>
          </cell>
          <cell r="AC4705">
            <v>2.4171875000000002E-2</v>
          </cell>
          <cell r="AD4705">
            <v>2.4171875000000002E-2</v>
          </cell>
          <cell r="AE4705" t="str">
            <v>Con precio</v>
          </cell>
        </row>
        <row r="4706">
          <cell r="B4706" t="str">
            <v>SPCE2B0020MA</v>
          </cell>
          <cell r="X4706" t="str">
            <v>Empaquetado</v>
          </cell>
          <cell r="AC4706">
            <v>5.0719967793880849E-3</v>
          </cell>
          <cell r="AD4706">
            <v>5.0719967793880849E-3</v>
          </cell>
          <cell r="AE4706" t="str">
            <v>Con precio</v>
          </cell>
        </row>
        <row r="4707">
          <cell r="B4707" t="str">
            <v>SPCE2B0020MA</v>
          </cell>
          <cell r="X4707" t="str">
            <v>Empaquetado</v>
          </cell>
          <cell r="AC4707">
            <v>2.4035031847133761E-2</v>
          </cell>
          <cell r="AD4707">
            <v>2.4035031847133761E-2</v>
          </cell>
          <cell r="AE4707" t="str">
            <v>Con precio</v>
          </cell>
        </row>
        <row r="4708">
          <cell r="B4708" t="str">
            <v>SPCE2B0020MA</v>
          </cell>
          <cell r="X4708" t="str">
            <v>Empaquetado</v>
          </cell>
          <cell r="AC4708">
            <v>0.18266505681818179</v>
          </cell>
          <cell r="AD4708">
            <v>0.18266505681818179</v>
          </cell>
          <cell r="AE4708" t="str">
            <v>Con precio</v>
          </cell>
        </row>
        <row r="4709">
          <cell r="B4709" t="str">
            <v>SS0001CR</v>
          </cell>
          <cell r="X4709" t="str">
            <v>Formulación</v>
          </cell>
          <cell r="AC4709">
            <v>6.1620000000000001E-2</v>
          </cell>
          <cell r="AD4709">
            <v>5.1265499999999999E-2</v>
          </cell>
          <cell r="AE4709" t="str">
            <v>Con precio</v>
          </cell>
        </row>
        <row r="4710">
          <cell r="B4710" t="str">
            <v>SS0001CR</v>
          </cell>
          <cell r="X4710" t="str">
            <v>Formulación</v>
          </cell>
          <cell r="AC4710">
            <v>0.25186000000000003</v>
          </cell>
          <cell r="AD4710">
            <v>0.25186000000000003</v>
          </cell>
          <cell r="AE4710" t="str">
            <v>Con precio</v>
          </cell>
        </row>
        <row r="4711">
          <cell r="B4711" t="str">
            <v>SS0001CR</v>
          </cell>
          <cell r="X4711" t="str">
            <v>Formulación</v>
          </cell>
          <cell r="AC4711">
            <v>0.62100000000000011</v>
          </cell>
          <cell r="AD4711">
            <v>0.42122857142857145</v>
          </cell>
          <cell r="AE4711" t="str">
            <v>Con precio</v>
          </cell>
        </row>
        <row r="4712">
          <cell r="B4712" t="str">
            <v>SS0001CR</v>
          </cell>
          <cell r="X4712" t="str">
            <v>Formulación</v>
          </cell>
          <cell r="AC4712">
            <v>7.1760000000000004E-2</v>
          </cell>
          <cell r="AD4712">
            <v>6.9419999999999996E-2</v>
          </cell>
          <cell r="AE4712" t="str">
            <v>Con precio</v>
          </cell>
        </row>
        <row r="4713">
          <cell r="B4713" t="str">
            <v>SS0001CR</v>
          </cell>
          <cell r="X4713" t="str">
            <v>Formulación</v>
          </cell>
          <cell r="AC4713">
            <v>2.6039999999999997E-2</v>
          </cell>
          <cell r="AD4713">
            <v>2.6039999999999997E-2</v>
          </cell>
          <cell r="AE4713" t="str">
            <v>Con precio</v>
          </cell>
        </row>
        <row r="4714">
          <cell r="B4714" t="str">
            <v>SS0001CR</v>
          </cell>
          <cell r="X4714" t="str">
            <v>Formulación</v>
          </cell>
          <cell r="AC4714">
            <v>7.2135000000000005E-2</v>
          </cell>
          <cell r="AD4714">
            <v>5.4053999999999991E-2</v>
          </cell>
          <cell r="AE4714" t="str">
            <v>Con precio</v>
          </cell>
        </row>
        <row r="4715">
          <cell r="B4715" t="str">
            <v>SS0001CR</v>
          </cell>
          <cell r="X4715" t="str">
            <v>Empaquetado</v>
          </cell>
          <cell r="AC4715">
            <v>5.5067768758800617E-7</v>
          </cell>
          <cell r="AD4715">
            <v>5.5067768758800617E-7</v>
          </cell>
          <cell r="AE4715" t="str">
            <v>Con precio</v>
          </cell>
        </row>
        <row r="4716">
          <cell r="B4716" t="str">
            <v>SS0001CR</v>
          </cell>
          <cell r="X4716" t="str">
            <v>Empaquetado</v>
          </cell>
          <cell r="AC4716">
            <v>1.8939393939393939E-5</v>
          </cell>
          <cell r="AD4716">
            <v>1.8939393939393939E-5</v>
          </cell>
          <cell r="AE4716" t="str">
            <v>Con precio</v>
          </cell>
        </row>
        <row r="4717">
          <cell r="B4717" t="str">
            <v>SS0001CR</v>
          </cell>
          <cell r="X4717" t="str">
            <v>Empaquetado</v>
          </cell>
          <cell r="AC4717">
            <v>1.4649621212121213E-2</v>
          </cell>
          <cell r="AD4717">
            <v>1.4649621212121213E-2</v>
          </cell>
          <cell r="AE4717" t="str">
            <v>Con precio</v>
          </cell>
        </row>
        <row r="4718">
          <cell r="B4718" t="str">
            <v>SS0001CR</v>
          </cell>
          <cell r="X4718" t="str">
            <v>Empaquetado</v>
          </cell>
          <cell r="AC4718">
            <v>5.3938139059304703E-2</v>
          </cell>
          <cell r="AD4718">
            <v>5.3938139059304703E-2</v>
          </cell>
          <cell r="AE4718" t="str">
            <v>Con precio</v>
          </cell>
        </row>
        <row r="4719">
          <cell r="B4719" t="str">
            <v>SS0001CR</v>
          </cell>
          <cell r="X4719" t="str">
            <v>Empaquetado</v>
          </cell>
          <cell r="AC4719">
            <v>3.9889583333333332E-2</v>
          </cell>
          <cell r="AD4719">
            <v>3.9889583333333332E-2</v>
          </cell>
          <cell r="AE4719" t="str">
            <v>Con precio</v>
          </cell>
        </row>
        <row r="4720">
          <cell r="B4720" t="str">
            <v>SS0001CR</v>
          </cell>
          <cell r="X4720" t="str">
            <v>Empaquetado</v>
          </cell>
          <cell r="AC4720">
            <v>6.3339962121212137E-2</v>
          </cell>
          <cell r="AD4720">
            <v>6.3339962121212137E-2</v>
          </cell>
          <cell r="AE4720" t="str">
            <v>Con precio</v>
          </cell>
        </row>
        <row r="4721">
          <cell r="B4721" t="str">
            <v>SS0001DO</v>
          </cell>
          <cell r="X4721" t="str">
            <v>Formulación</v>
          </cell>
          <cell r="AC4721">
            <v>6.1620000000000001E-2</v>
          </cell>
          <cell r="AD4721">
            <v>5.1265499999999999E-2</v>
          </cell>
          <cell r="AE4721" t="str">
            <v>Con precio</v>
          </cell>
        </row>
        <row r="4722">
          <cell r="B4722" t="str">
            <v>SS0001DO</v>
          </cell>
          <cell r="X4722" t="str">
            <v>Formulación</v>
          </cell>
          <cell r="AC4722">
            <v>0.25186000000000003</v>
          </cell>
          <cell r="AD4722">
            <v>0.25186000000000003</v>
          </cell>
          <cell r="AE4722" t="str">
            <v>Con precio</v>
          </cell>
        </row>
        <row r="4723">
          <cell r="B4723" t="str">
            <v>SS0001DO</v>
          </cell>
          <cell r="X4723" t="str">
            <v>Formulación</v>
          </cell>
          <cell r="AC4723">
            <v>0.62100000000000011</v>
          </cell>
          <cell r="AD4723">
            <v>0.42122857142857145</v>
          </cell>
          <cell r="AE4723" t="str">
            <v>Con precio</v>
          </cell>
        </row>
        <row r="4724">
          <cell r="B4724" t="str">
            <v>SS0001DO</v>
          </cell>
          <cell r="X4724" t="str">
            <v>Formulación</v>
          </cell>
          <cell r="AC4724">
            <v>7.1760000000000004E-2</v>
          </cell>
          <cell r="AD4724">
            <v>6.9419999999999996E-2</v>
          </cell>
          <cell r="AE4724" t="str">
            <v>Con precio</v>
          </cell>
        </row>
        <row r="4725">
          <cell r="B4725" t="str">
            <v>SS0001DO</v>
          </cell>
          <cell r="X4725" t="str">
            <v>Formulación</v>
          </cell>
          <cell r="AC4725">
            <v>2.6039999999999997E-2</v>
          </cell>
          <cell r="AD4725">
            <v>2.6039999999999997E-2</v>
          </cell>
          <cell r="AE4725" t="str">
            <v>Con precio</v>
          </cell>
        </row>
        <row r="4726">
          <cell r="B4726" t="str">
            <v>SS0001DO</v>
          </cell>
          <cell r="X4726" t="str">
            <v>Formulación</v>
          </cell>
          <cell r="AC4726">
            <v>7.2135000000000005E-2</v>
          </cell>
          <cell r="AD4726">
            <v>5.4053999999999991E-2</v>
          </cell>
          <cell r="AE4726" t="str">
            <v>Con precio</v>
          </cell>
        </row>
        <row r="4727">
          <cell r="B4727" t="str">
            <v>SS0001DO</v>
          </cell>
          <cell r="X4727" t="str">
            <v>Empaquetado</v>
          </cell>
          <cell r="AC4727">
            <v>5.5067768758800617E-7</v>
          </cell>
          <cell r="AD4727">
            <v>5.5067768758800617E-7</v>
          </cell>
          <cell r="AE4727" t="str">
            <v>Con precio</v>
          </cell>
        </row>
        <row r="4728">
          <cell r="B4728" t="str">
            <v>SS0001DO</v>
          </cell>
          <cell r="X4728" t="str">
            <v>Empaquetado</v>
          </cell>
          <cell r="AC4728">
            <v>1.8939393939393939E-5</v>
          </cell>
          <cell r="AD4728">
            <v>1.8939393939393939E-5</v>
          </cell>
          <cell r="AE4728" t="str">
            <v>Con precio</v>
          </cell>
        </row>
        <row r="4729">
          <cell r="B4729" t="str">
            <v>SS0001DO</v>
          </cell>
          <cell r="X4729" t="str">
            <v>Empaquetado</v>
          </cell>
          <cell r="AC4729">
            <v>1.4649621212121213E-2</v>
          </cell>
          <cell r="AD4729">
            <v>1.4649621212121213E-2</v>
          </cell>
          <cell r="AE4729" t="str">
            <v>Con precio</v>
          </cell>
        </row>
        <row r="4730">
          <cell r="B4730" t="str">
            <v>SS0001DO</v>
          </cell>
          <cell r="X4730" t="str">
            <v>Empaquetado</v>
          </cell>
          <cell r="AC4730">
            <v>5.3938139059304703E-2</v>
          </cell>
          <cell r="AD4730">
            <v>5.3938139059304703E-2</v>
          </cell>
          <cell r="AE4730" t="str">
            <v>Con precio</v>
          </cell>
        </row>
        <row r="4731">
          <cell r="B4731" t="str">
            <v>SS0001DO</v>
          </cell>
          <cell r="X4731" t="str">
            <v>Empaquetado</v>
          </cell>
          <cell r="AC4731">
            <v>3.9889583333333332E-2</v>
          </cell>
          <cell r="AD4731">
            <v>3.9889583333333332E-2</v>
          </cell>
          <cell r="AE4731" t="str">
            <v>Con precio</v>
          </cell>
        </row>
        <row r="4732">
          <cell r="B4732" t="str">
            <v>SS0001DO</v>
          </cell>
          <cell r="X4732" t="str">
            <v>Empaquetado</v>
          </cell>
          <cell r="AC4732">
            <v>6.3339962121212137E-2</v>
          </cell>
          <cell r="AD4732">
            <v>6.3339962121212137E-2</v>
          </cell>
          <cell r="AE4732" t="str">
            <v>Con precio</v>
          </cell>
        </row>
        <row r="4733">
          <cell r="B4733" t="str">
            <v>SS0001PA</v>
          </cell>
          <cell r="X4733" t="str">
            <v>Formulación</v>
          </cell>
          <cell r="AC4733">
            <v>6.1620000000000001E-2</v>
          </cell>
          <cell r="AD4733">
            <v>5.1265499999999999E-2</v>
          </cell>
          <cell r="AE4733" t="str">
            <v>Con precio</v>
          </cell>
        </row>
        <row r="4734">
          <cell r="B4734" t="str">
            <v>SS0001PA</v>
          </cell>
          <cell r="X4734" t="str">
            <v>Formulación</v>
          </cell>
          <cell r="AC4734">
            <v>0.25186000000000003</v>
          </cell>
          <cell r="AD4734">
            <v>0.25186000000000003</v>
          </cell>
          <cell r="AE4734" t="str">
            <v>Con precio</v>
          </cell>
        </row>
        <row r="4735">
          <cell r="B4735" t="str">
            <v>SS0001PA</v>
          </cell>
          <cell r="X4735" t="str">
            <v>Formulación</v>
          </cell>
          <cell r="AC4735">
            <v>0.62100000000000011</v>
          </cell>
          <cell r="AD4735">
            <v>0.42122857142857145</v>
          </cell>
          <cell r="AE4735" t="str">
            <v>Con precio</v>
          </cell>
        </row>
        <row r="4736">
          <cell r="B4736" t="str">
            <v>SS0001PA</v>
          </cell>
          <cell r="X4736" t="str">
            <v>Formulación</v>
          </cell>
          <cell r="AC4736">
            <v>7.1760000000000004E-2</v>
          </cell>
          <cell r="AD4736">
            <v>6.9419999999999996E-2</v>
          </cell>
          <cell r="AE4736" t="str">
            <v>Con precio</v>
          </cell>
        </row>
        <row r="4737">
          <cell r="B4737" t="str">
            <v>SS0001PA</v>
          </cell>
          <cell r="X4737" t="str">
            <v>Formulación</v>
          </cell>
          <cell r="AC4737">
            <v>2.6039999999999997E-2</v>
          </cell>
          <cell r="AD4737">
            <v>2.6039999999999997E-2</v>
          </cell>
          <cell r="AE4737" t="str">
            <v>Con precio</v>
          </cell>
        </row>
        <row r="4738">
          <cell r="B4738" t="str">
            <v>SS0001PA</v>
          </cell>
          <cell r="X4738" t="str">
            <v>Formulación</v>
          </cell>
          <cell r="AC4738">
            <v>7.2135000000000005E-2</v>
          </cell>
          <cell r="AD4738">
            <v>5.4053999999999991E-2</v>
          </cell>
          <cell r="AE4738" t="str">
            <v>Con precio</v>
          </cell>
        </row>
        <row r="4739">
          <cell r="B4739" t="str">
            <v>SS0001PA</v>
          </cell>
          <cell r="X4739" t="str">
            <v>Empaquetado</v>
          </cell>
          <cell r="AC4739">
            <v>5.5067768758800617E-7</v>
          </cell>
          <cell r="AD4739">
            <v>5.5067768758800617E-7</v>
          </cell>
          <cell r="AE4739" t="str">
            <v>Con precio</v>
          </cell>
        </row>
        <row r="4740">
          <cell r="B4740" t="str">
            <v>SS0001PA</v>
          </cell>
          <cell r="X4740" t="str">
            <v>Empaquetado</v>
          </cell>
          <cell r="AC4740">
            <v>1.8939393939393939E-5</v>
          </cell>
          <cell r="AD4740">
            <v>1.8939393939393939E-5</v>
          </cell>
          <cell r="AE4740" t="str">
            <v>Con precio</v>
          </cell>
        </row>
        <row r="4741">
          <cell r="B4741" t="str">
            <v>SS0001PA</v>
          </cell>
          <cell r="X4741" t="str">
            <v>Empaquetado</v>
          </cell>
          <cell r="AC4741">
            <v>1.4649621212121213E-2</v>
          </cell>
          <cell r="AD4741">
            <v>1.4649621212121213E-2</v>
          </cell>
          <cell r="AE4741" t="str">
            <v>Con precio</v>
          </cell>
        </row>
        <row r="4742">
          <cell r="B4742" t="str">
            <v>SS0001PA</v>
          </cell>
          <cell r="X4742" t="str">
            <v>Empaquetado</v>
          </cell>
          <cell r="AC4742">
            <v>5.3938139059304703E-2</v>
          </cell>
          <cell r="AD4742">
            <v>5.3938139059304703E-2</v>
          </cell>
          <cell r="AE4742" t="str">
            <v>Con precio</v>
          </cell>
        </row>
        <row r="4743">
          <cell r="B4743" t="str">
            <v>SS0001PA</v>
          </cell>
          <cell r="X4743" t="str">
            <v>Empaquetado</v>
          </cell>
          <cell r="AC4743">
            <v>3.9889583333333332E-2</v>
          </cell>
          <cell r="AD4743">
            <v>3.9889583333333332E-2</v>
          </cell>
          <cell r="AE4743" t="str">
            <v>Con precio</v>
          </cell>
        </row>
        <row r="4744">
          <cell r="B4744" t="str">
            <v>SS0001PA</v>
          </cell>
          <cell r="X4744" t="str">
            <v>Empaquetado</v>
          </cell>
          <cell r="AC4744">
            <v>6.3339962121212137E-2</v>
          </cell>
          <cell r="AD4744">
            <v>6.3339962121212137E-2</v>
          </cell>
          <cell r="AE4744" t="str">
            <v>Con precio</v>
          </cell>
        </row>
        <row r="4745">
          <cell r="B4745" t="str">
            <v>SS0001RO</v>
          </cell>
          <cell r="X4745" t="str">
            <v>Formulación</v>
          </cell>
          <cell r="AC4745">
            <v>6.1620000000000001E-2</v>
          </cell>
          <cell r="AD4745">
            <v>5.1265499999999999E-2</v>
          </cell>
          <cell r="AE4745" t="str">
            <v>Con precio</v>
          </cell>
        </row>
        <row r="4746">
          <cell r="B4746" t="str">
            <v>SS0001RO</v>
          </cell>
          <cell r="X4746" t="str">
            <v>Formulación</v>
          </cell>
          <cell r="AC4746">
            <v>0.25186000000000003</v>
          </cell>
          <cell r="AD4746">
            <v>0.25186000000000003</v>
          </cell>
          <cell r="AE4746" t="str">
            <v>Con precio</v>
          </cell>
        </row>
        <row r="4747">
          <cell r="B4747" t="str">
            <v>SS0001RO</v>
          </cell>
          <cell r="X4747" t="str">
            <v>Formulación</v>
          </cell>
          <cell r="AC4747">
            <v>0.62100000000000011</v>
          </cell>
          <cell r="AD4747">
            <v>0.42122857142857145</v>
          </cell>
          <cell r="AE4747" t="str">
            <v>Con precio</v>
          </cell>
        </row>
        <row r="4748">
          <cell r="B4748" t="str">
            <v>SS0001RO</v>
          </cell>
          <cell r="X4748" t="str">
            <v>Formulación</v>
          </cell>
          <cell r="AC4748">
            <v>7.1760000000000004E-2</v>
          </cell>
          <cell r="AD4748">
            <v>6.9419999999999996E-2</v>
          </cell>
          <cell r="AE4748" t="str">
            <v>Con precio</v>
          </cell>
        </row>
        <row r="4749">
          <cell r="B4749" t="str">
            <v>SS0001RO</v>
          </cell>
          <cell r="X4749" t="str">
            <v>Formulación</v>
          </cell>
          <cell r="AC4749">
            <v>2.6039999999999997E-2</v>
          </cell>
          <cell r="AD4749">
            <v>2.6039999999999997E-2</v>
          </cell>
          <cell r="AE4749" t="str">
            <v>Con precio</v>
          </cell>
        </row>
        <row r="4750">
          <cell r="B4750" t="str">
            <v>SS0001RO</v>
          </cell>
          <cell r="X4750" t="str">
            <v>Formulación</v>
          </cell>
          <cell r="AC4750">
            <v>7.2135000000000005E-2</v>
          </cell>
          <cell r="AD4750">
            <v>5.4053999999999991E-2</v>
          </cell>
          <cell r="AE4750" t="str">
            <v>Con precio</v>
          </cell>
        </row>
        <row r="4751">
          <cell r="B4751" t="str">
            <v>SS0001RO</v>
          </cell>
          <cell r="X4751" t="str">
            <v>Empaquetado</v>
          </cell>
          <cell r="AC4751">
            <v>5.5067768758800617E-7</v>
          </cell>
          <cell r="AD4751">
            <v>5.5067768758800617E-7</v>
          </cell>
          <cell r="AE4751" t="str">
            <v>Con precio</v>
          </cell>
        </row>
        <row r="4752">
          <cell r="B4752" t="str">
            <v>SS0001RO</v>
          </cell>
          <cell r="X4752" t="str">
            <v>Empaquetado</v>
          </cell>
          <cell r="AC4752">
            <v>1.8939393939393939E-5</v>
          </cell>
          <cell r="AD4752">
            <v>1.8939393939393939E-5</v>
          </cell>
          <cell r="AE4752" t="str">
            <v>Con precio</v>
          </cell>
        </row>
        <row r="4753">
          <cell r="B4753" t="str">
            <v>SS0001RO</v>
          </cell>
          <cell r="X4753" t="str">
            <v>Empaquetado</v>
          </cell>
          <cell r="AC4753">
            <v>1.4649621212121213E-2</v>
          </cell>
          <cell r="AD4753">
            <v>1.4649621212121213E-2</v>
          </cell>
          <cell r="AE4753" t="str">
            <v>Con precio</v>
          </cell>
        </row>
        <row r="4754">
          <cell r="B4754" t="str">
            <v>SS0001RO</v>
          </cell>
          <cell r="X4754" t="str">
            <v>Empaquetado</v>
          </cell>
          <cell r="AC4754">
            <v>5.3938139059304703E-2</v>
          </cell>
          <cell r="AD4754">
            <v>5.3938139059304703E-2</v>
          </cell>
          <cell r="AE4754" t="str">
            <v>Con precio</v>
          </cell>
        </row>
        <row r="4755">
          <cell r="B4755" t="str">
            <v>SS0001RO</v>
          </cell>
          <cell r="X4755" t="str">
            <v>Empaquetado</v>
          </cell>
          <cell r="AC4755">
            <v>3.9889583333333332E-2</v>
          </cell>
          <cell r="AD4755">
            <v>3.9889583333333332E-2</v>
          </cell>
          <cell r="AE4755" t="str">
            <v>Con precio</v>
          </cell>
        </row>
        <row r="4756">
          <cell r="B4756" t="str">
            <v>SS0001RO</v>
          </cell>
          <cell r="X4756" t="str">
            <v>Empaquetado</v>
          </cell>
          <cell r="AC4756">
            <v>6.3339962121212137E-2</v>
          </cell>
          <cell r="AD4756">
            <v>6.3339962121212137E-2</v>
          </cell>
          <cell r="AE4756" t="str">
            <v>Con precio</v>
          </cell>
        </row>
        <row r="4757">
          <cell r="B4757" t="str">
            <v>SS0005</v>
          </cell>
          <cell r="X4757" t="str">
            <v>Formulación</v>
          </cell>
          <cell r="AC4757">
            <v>6.1620000000000001E-2</v>
          </cell>
          <cell r="AD4757">
            <v>5.1265499999999999E-2</v>
          </cell>
          <cell r="AE4757" t="str">
            <v>Con precio</v>
          </cell>
        </row>
        <row r="4758">
          <cell r="B4758" t="str">
            <v>SS0005</v>
          </cell>
          <cell r="X4758" t="str">
            <v>Formulación</v>
          </cell>
          <cell r="AC4758">
            <v>0.25186000000000003</v>
          </cell>
          <cell r="AD4758">
            <v>0.25186000000000003</v>
          </cell>
          <cell r="AE4758" t="str">
            <v>Con precio</v>
          </cell>
        </row>
        <row r="4759">
          <cell r="B4759" t="str">
            <v>SS0005</v>
          </cell>
          <cell r="X4759" t="str">
            <v>Formulación</v>
          </cell>
          <cell r="AC4759">
            <v>0.62100000000000011</v>
          </cell>
          <cell r="AD4759">
            <v>0.42122857142857145</v>
          </cell>
          <cell r="AE4759" t="str">
            <v>Con precio</v>
          </cell>
        </row>
        <row r="4760">
          <cell r="B4760" t="str">
            <v>SS0005</v>
          </cell>
          <cell r="X4760" t="str">
            <v>Formulación</v>
          </cell>
          <cell r="AC4760">
            <v>7.1760000000000004E-2</v>
          </cell>
          <cell r="AD4760">
            <v>6.9419999999999996E-2</v>
          </cell>
          <cell r="AE4760" t="str">
            <v>Con precio</v>
          </cell>
        </row>
        <row r="4761">
          <cell r="B4761" t="str">
            <v>SS0005</v>
          </cell>
          <cell r="X4761" t="str">
            <v>Formulación</v>
          </cell>
          <cell r="AC4761">
            <v>2.6039999999999997E-2</v>
          </cell>
          <cell r="AD4761">
            <v>2.6039999999999997E-2</v>
          </cell>
          <cell r="AE4761" t="str">
            <v>Con precio</v>
          </cell>
        </row>
        <row r="4762">
          <cell r="B4762" t="str">
            <v>SS0005</v>
          </cell>
          <cell r="X4762" t="str">
            <v>Formulación</v>
          </cell>
          <cell r="AC4762">
            <v>7.2135000000000005E-2</v>
          </cell>
          <cell r="AD4762">
            <v>5.4053999999999991E-2</v>
          </cell>
          <cell r="AE4762" t="str">
            <v>Con precio</v>
          </cell>
        </row>
        <row r="4763">
          <cell r="B4763" t="str">
            <v>SS0005</v>
          </cell>
          <cell r="X4763" t="str">
            <v>Empaquetado</v>
          </cell>
          <cell r="AC4763">
            <v>1.0393066666666666E-2</v>
          </cell>
          <cell r="AD4763">
            <v>1.0393066666666666E-2</v>
          </cell>
          <cell r="AE4763" t="str">
            <v>Con precio</v>
          </cell>
        </row>
        <row r="4764">
          <cell r="B4764" t="str">
            <v>SS0005</v>
          </cell>
          <cell r="X4764" t="str">
            <v>Empaquetado</v>
          </cell>
          <cell r="AC4764">
            <v>2.0626666666666665E-2</v>
          </cell>
          <cell r="AD4764">
            <v>2.0626666666666665E-2</v>
          </cell>
          <cell r="AE4764" t="str">
            <v>Con precio</v>
          </cell>
        </row>
        <row r="4765">
          <cell r="B4765" t="str">
            <v>SS0005</v>
          </cell>
          <cell r="X4765" t="str">
            <v>Empaquetado</v>
          </cell>
          <cell r="AC4765">
            <v>2.1285586956521739E-2</v>
          </cell>
          <cell r="AD4765">
            <v>2.1285586956521739E-2</v>
          </cell>
          <cell r="AE4765" t="str">
            <v>Con precio</v>
          </cell>
        </row>
        <row r="4766">
          <cell r="B4766" t="str">
            <v>SS0005</v>
          </cell>
          <cell r="X4766" t="str">
            <v>Empaquetado</v>
          </cell>
          <cell r="AC4766">
            <v>2.9560014104372354E-2</v>
          </cell>
          <cell r="AD4766">
            <v>2.9560014104372354E-2</v>
          </cell>
          <cell r="AE4766" t="str">
            <v>Con precio</v>
          </cell>
        </row>
        <row r="4767">
          <cell r="B4767" t="str">
            <v>SS0005</v>
          </cell>
          <cell r="X4767" t="str">
            <v>Empaquetado</v>
          </cell>
          <cell r="AC4767">
            <v>2.1682000000000003E-2</v>
          </cell>
          <cell r="AD4767">
            <v>2.1682000000000003E-2</v>
          </cell>
          <cell r="AE4767" t="str">
            <v>Con precio</v>
          </cell>
        </row>
        <row r="4768">
          <cell r="B4768" t="str">
            <v>SS0005CR</v>
          </cell>
          <cell r="X4768" t="str">
            <v>Formulación</v>
          </cell>
          <cell r="AC4768">
            <v>6.1620000000000001E-2</v>
          </cell>
          <cell r="AD4768">
            <v>5.1265499999999999E-2</v>
          </cell>
          <cell r="AE4768" t="str">
            <v>Con precio</v>
          </cell>
        </row>
        <row r="4769">
          <cell r="B4769" t="str">
            <v>SS0005CR</v>
          </cell>
          <cell r="X4769" t="str">
            <v>Formulación</v>
          </cell>
          <cell r="AC4769">
            <v>0.25186000000000003</v>
          </cell>
          <cell r="AD4769">
            <v>0.25186000000000003</v>
          </cell>
          <cell r="AE4769" t="str">
            <v>Con precio</v>
          </cell>
        </row>
        <row r="4770">
          <cell r="B4770" t="str">
            <v>SS0005CR</v>
          </cell>
          <cell r="X4770" t="str">
            <v>Formulación</v>
          </cell>
          <cell r="AC4770">
            <v>0.62100000000000011</v>
          </cell>
          <cell r="AD4770">
            <v>0.42122857142857145</v>
          </cell>
          <cell r="AE4770" t="str">
            <v>Con precio</v>
          </cell>
        </row>
        <row r="4771">
          <cell r="B4771" t="str">
            <v>SS0005CR</v>
          </cell>
          <cell r="X4771" t="str">
            <v>Formulación</v>
          </cell>
          <cell r="AC4771">
            <v>7.1760000000000004E-2</v>
          </cell>
          <cell r="AD4771">
            <v>6.9419999999999996E-2</v>
          </cell>
          <cell r="AE4771" t="str">
            <v>Con precio</v>
          </cell>
        </row>
        <row r="4772">
          <cell r="B4772" t="str">
            <v>SS0005CR</v>
          </cell>
          <cell r="X4772" t="str">
            <v>Formulación</v>
          </cell>
          <cell r="AC4772">
            <v>2.6039999999999997E-2</v>
          </cell>
          <cell r="AD4772">
            <v>2.6039999999999997E-2</v>
          </cell>
          <cell r="AE4772" t="str">
            <v>Con precio</v>
          </cell>
        </row>
        <row r="4773">
          <cell r="B4773" t="str">
            <v>SS0005CR</v>
          </cell>
          <cell r="X4773" t="str">
            <v>Formulación</v>
          </cell>
          <cell r="AC4773">
            <v>7.2135000000000005E-2</v>
          </cell>
          <cell r="AD4773">
            <v>5.4053999999999991E-2</v>
          </cell>
          <cell r="AE4773" t="str">
            <v>Con precio</v>
          </cell>
        </row>
        <row r="4774">
          <cell r="B4774" t="str">
            <v>SS0005CR</v>
          </cell>
          <cell r="X4774" t="str">
            <v>Empaquetado</v>
          </cell>
          <cell r="AC4774">
            <v>1.0393066666666666E-2</v>
          </cell>
          <cell r="AD4774">
            <v>1.0393066666666666E-2</v>
          </cell>
          <cell r="AE4774" t="str">
            <v>Con precio</v>
          </cell>
        </row>
        <row r="4775">
          <cell r="B4775" t="str">
            <v>SS0005CR</v>
          </cell>
          <cell r="X4775" t="str">
            <v>Empaquetado</v>
          </cell>
          <cell r="AC4775">
            <v>2.0626666666666665E-2</v>
          </cell>
          <cell r="AD4775">
            <v>2.0626666666666665E-2</v>
          </cell>
          <cell r="AE4775" t="str">
            <v>Con precio</v>
          </cell>
        </row>
        <row r="4776">
          <cell r="B4776" t="str">
            <v>SS0005CR</v>
          </cell>
          <cell r="X4776" t="str">
            <v>Empaquetado</v>
          </cell>
          <cell r="AC4776">
            <v>2.1285586956521739E-2</v>
          </cell>
          <cell r="AD4776">
            <v>2.1285586956521739E-2</v>
          </cell>
          <cell r="AE4776" t="str">
            <v>Con precio</v>
          </cell>
        </row>
        <row r="4777">
          <cell r="B4777" t="str">
            <v>SS0005CR</v>
          </cell>
          <cell r="X4777" t="str">
            <v>Empaquetado</v>
          </cell>
          <cell r="AC4777">
            <v>2.9560014104372354E-2</v>
          </cell>
          <cell r="AD4777">
            <v>2.9560014104372354E-2</v>
          </cell>
          <cell r="AE4777" t="str">
            <v>Con precio</v>
          </cell>
        </row>
        <row r="4778">
          <cell r="B4778" t="str">
            <v>SS0005CR</v>
          </cell>
          <cell r="X4778" t="str">
            <v>Empaquetado</v>
          </cell>
          <cell r="AC4778">
            <v>2.1682000000000003E-2</v>
          </cell>
          <cell r="AD4778">
            <v>2.1682000000000003E-2</v>
          </cell>
          <cell r="AE4778" t="str">
            <v>Con precio</v>
          </cell>
        </row>
        <row r="4779">
          <cell r="B4779" t="str">
            <v>SS0005MA</v>
          </cell>
          <cell r="X4779" t="str">
            <v>Formulación</v>
          </cell>
          <cell r="AC4779">
            <v>6.1620000000000001E-2</v>
          </cell>
          <cell r="AD4779">
            <v>5.1265499999999999E-2</v>
          </cell>
          <cell r="AE4779" t="str">
            <v>Con precio</v>
          </cell>
        </row>
        <row r="4780">
          <cell r="B4780" t="str">
            <v>SS0005MA</v>
          </cell>
          <cell r="X4780" t="str">
            <v>Formulación</v>
          </cell>
          <cell r="AC4780">
            <v>0.25186000000000003</v>
          </cell>
          <cell r="AD4780">
            <v>0.25186000000000003</v>
          </cell>
          <cell r="AE4780" t="str">
            <v>Con precio</v>
          </cell>
        </row>
        <row r="4781">
          <cell r="B4781" t="str">
            <v>SS0005MA</v>
          </cell>
          <cell r="X4781" t="str">
            <v>Formulación</v>
          </cell>
          <cell r="AC4781">
            <v>0.62100000000000011</v>
          </cell>
          <cell r="AD4781">
            <v>0.42122857142857145</v>
          </cell>
          <cell r="AE4781" t="str">
            <v>Con precio</v>
          </cell>
        </row>
        <row r="4782">
          <cell r="B4782" t="str">
            <v>SS0005MA</v>
          </cell>
          <cell r="X4782" t="str">
            <v>Formulación</v>
          </cell>
          <cell r="AC4782">
            <v>7.1760000000000004E-2</v>
          </cell>
          <cell r="AD4782">
            <v>6.9419999999999996E-2</v>
          </cell>
          <cell r="AE4782" t="str">
            <v>Con precio</v>
          </cell>
        </row>
        <row r="4783">
          <cell r="B4783" t="str">
            <v>SS0005MA</v>
          </cell>
          <cell r="X4783" t="str">
            <v>Formulación</v>
          </cell>
          <cell r="AC4783">
            <v>2.6039999999999997E-2</v>
          </cell>
          <cell r="AD4783">
            <v>2.6039999999999997E-2</v>
          </cell>
          <cell r="AE4783" t="str">
            <v>Con precio</v>
          </cell>
        </row>
        <row r="4784">
          <cell r="B4784" t="str">
            <v>SS0005MA</v>
          </cell>
          <cell r="X4784" t="str">
            <v>Formulación</v>
          </cell>
          <cell r="AC4784">
            <v>7.2135000000000005E-2</v>
          </cell>
          <cell r="AD4784">
            <v>5.4053999999999991E-2</v>
          </cell>
          <cell r="AE4784" t="str">
            <v>Con precio</v>
          </cell>
        </row>
        <row r="4785">
          <cell r="B4785" t="str">
            <v>SS0005MA</v>
          </cell>
          <cell r="X4785" t="str">
            <v>Empaquetado</v>
          </cell>
          <cell r="AC4785">
            <v>1.0393066666666666E-2</v>
          </cell>
          <cell r="AD4785">
            <v>1.0393066666666666E-2</v>
          </cell>
          <cell r="AE4785" t="str">
            <v>Con precio</v>
          </cell>
        </row>
        <row r="4786">
          <cell r="B4786" t="str">
            <v>SS0005MA</v>
          </cell>
          <cell r="X4786" t="str">
            <v>Empaquetado</v>
          </cell>
          <cell r="AC4786">
            <v>2.0626666666666665E-2</v>
          </cell>
          <cell r="AD4786">
            <v>2.0626666666666665E-2</v>
          </cell>
          <cell r="AE4786" t="str">
            <v>Con precio</v>
          </cell>
        </row>
        <row r="4787">
          <cell r="B4787" t="str">
            <v>SS0005MA</v>
          </cell>
          <cell r="X4787" t="str">
            <v>Empaquetado</v>
          </cell>
          <cell r="AC4787">
            <v>2.1285586956521739E-2</v>
          </cell>
          <cell r="AD4787">
            <v>2.1285586956521739E-2</v>
          </cell>
          <cell r="AE4787" t="str">
            <v>Con precio</v>
          </cell>
        </row>
        <row r="4788">
          <cell r="B4788" t="str">
            <v>SS0005MA</v>
          </cell>
          <cell r="X4788" t="str">
            <v>Empaquetado</v>
          </cell>
          <cell r="AC4788">
            <v>2.9560014104372354E-2</v>
          </cell>
          <cell r="AD4788">
            <v>2.9560014104372354E-2</v>
          </cell>
          <cell r="AE4788" t="str">
            <v>Con precio</v>
          </cell>
        </row>
        <row r="4789">
          <cell r="B4789" t="str">
            <v>SS0005MA</v>
          </cell>
          <cell r="X4789" t="str">
            <v>Empaquetado</v>
          </cell>
          <cell r="AC4789">
            <v>2.1682000000000003E-2</v>
          </cell>
          <cell r="AD4789">
            <v>2.1682000000000003E-2</v>
          </cell>
          <cell r="AE4789" t="str">
            <v>Con precio</v>
          </cell>
        </row>
        <row r="4790">
          <cell r="B4790" t="str">
            <v>SS0005MX</v>
          </cell>
          <cell r="X4790" t="str">
            <v>Formulación</v>
          </cell>
          <cell r="AC4790">
            <v>6.1620000000000001E-2</v>
          </cell>
          <cell r="AD4790">
            <v>5.1265499999999999E-2</v>
          </cell>
          <cell r="AE4790" t="str">
            <v>Con precio</v>
          </cell>
        </row>
        <row r="4791">
          <cell r="B4791" t="str">
            <v>SS0005MX</v>
          </cell>
          <cell r="X4791" t="str">
            <v>Formulación</v>
          </cell>
          <cell r="AC4791">
            <v>0.25186000000000003</v>
          </cell>
          <cell r="AD4791">
            <v>0.25186000000000003</v>
          </cell>
          <cell r="AE4791" t="str">
            <v>Con precio</v>
          </cell>
        </row>
        <row r="4792">
          <cell r="B4792" t="str">
            <v>SS0005MX</v>
          </cell>
          <cell r="X4792" t="str">
            <v>Formulación</v>
          </cell>
          <cell r="AC4792">
            <v>0.62100000000000011</v>
          </cell>
          <cell r="AD4792">
            <v>0.42122857142857145</v>
          </cell>
          <cell r="AE4792" t="str">
            <v>Con precio</v>
          </cell>
        </row>
        <row r="4793">
          <cell r="B4793" t="str">
            <v>SS0005MX</v>
          </cell>
          <cell r="X4793" t="str">
            <v>Formulación</v>
          </cell>
          <cell r="AC4793">
            <v>7.1760000000000004E-2</v>
          </cell>
          <cell r="AD4793">
            <v>6.9419999999999996E-2</v>
          </cell>
          <cell r="AE4793" t="str">
            <v>Con precio</v>
          </cell>
        </row>
        <row r="4794">
          <cell r="B4794" t="str">
            <v>SS0005MX</v>
          </cell>
          <cell r="X4794" t="str">
            <v>Formulación</v>
          </cell>
          <cell r="AC4794">
            <v>2.6039999999999997E-2</v>
          </cell>
          <cell r="AD4794">
            <v>2.6039999999999997E-2</v>
          </cell>
          <cell r="AE4794" t="str">
            <v>Con precio</v>
          </cell>
        </row>
        <row r="4795">
          <cell r="B4795" t="str">
            <v>SS0005MX</v>
          </cell>
          <cell r="X4795" t="str">
            <v>Formulación</v>
          </cell>
          <cell r="AC4795">
            <v>7.2135000000000005E-2</v>
          </cell>
          <cell r="AD4795">
            <v>5.4053999999999991E-2</v>
          </cell>
          <cell r="AE4795" t="str">
            <v>Con precio</v>
          </cell>
        </row>
        <row r="4796">
          <cell r="B4796" t="str">
            <v>SS0005MX</v>
          </cell>
          <cell r="X4796" t="str">
            <v>Empaquetado</v>
          </cell>
          <cell r="AC4796">
            <v>1.0393066666666666E-2</v>
          </cell>
          <cell r="AD4796">
            <v>1.0393066666666666E-2</v>
          </cell>
          <cell r="AE4796" t="str">
            <v>Con precio</v>
          </cell>
        </row>
        <row r="4797">
          <cell r="B4797" t="str">
            <v>SS0005MX</v>
          </cell>
          <cell r="X4797" t="str">
            <v>Empaquetado</v>
          </cell>
          <cell r="AC4797">
            <v>2.0626666666666665E-2</v>
          </cell>
          <cell r="AD4797">
            <v>2.0626666666666665E-2</v>
          </cell>
          <cell r="AE4797" t="str">
            <v>Con precio</v>
          </cell>
        </row>
        <row r="4798">
          <cell r="B4798" t="str">
            <v>SS0005MX</v>
          </cell>
          <cell r="X4798" t="str">
            <v>Empaquetado</v>
          </cell>
          <cell r="AC4798">
            <v>2.1285586956521739E-2</v>
          </cell>
          <cell r="AD4798">
            <v>2.1285586956521739E-2</v>
          </cell>
          <cell r="AE4798" t="str">
            <v>Con precio</v>
          </cell>
        </row>
        <row r="4799">
          <cell r="B4799" t="str">
            <v>SS0005MX</v>
          </cell>
          <cell r="X4799" t="str">
            <v>Empaquetado</v>
          </cell>
          <cell r="AC4799">
            <v>2.9560014104372354E-2</v>
          </cell>
          <cell r="AD4799">
            <v>2.9560014104372354E-2</v>
          </cell>
          <cell r="AE4799" t="str">
            <v>Con precio</v>
          </cell>
        </row>
        <row r="4800">
          <cell r="B4800" t="str">
            <v>SS0005MX</v>
          </cell>
          <cell r="X4800" t="str">
            <v>Empaquetado</v>
          </cell>
          <cell r="AC4800">
            <v>2.1682000000000003E-2</v>
          </cell>
          <cell r="AD4800">
            <v>2.1682000000000003E-2</v>
          </cell>
          <cell r="AE4800" t="str">
            <v>Con precio</v>
          </cell>
        </row>
        <row r="4801">
          <cell r="B4801" t="str">
            <v>SS0020</v>
          </cell>
          <cell r="X4801" t="str">
            <v>Formulación</v>
          </cell>
          <cell r="AC4801">
            <v>6.1620000000000001E-2</v>
          </cell>
          <cell r="AD4801">
            <v>5.1265499999999999E-2</v>
          </cell>
          <cell r="AE4801" t="str">
            <v>Con precio</v>
          </cell>
        </row>
        <row r="4802">
          <cell r="B4802" t="str">
            <v>SS0020</v>
          </cell>
          <cell r="X4802" t="str">
            <v>Formulación</v>
          </cell>
          <cell r="AC4802">
            <v>0.25186000000000003</v>
          </cell>
          <cell r="AD4802">
            <v>0.25186000000000003</v>
          </cell>
          <cell r="AE4802" t="str">
            <v>Con precio</v>
          </cell>
        </row>
        <row r="4803">
          <cell r="B4803" t="str">
            <v>SS0020</v>
          </cell>
          <cell r="X4803" t="str">
            <v>Formulación</v>
          </cell>
          <cell r="AC4803">
            <v>0.62100000000000011</v>
          </cell>
          <cell r="AD4803">
            <v>0.42122857142857145</v>
          </cell>
          <cell r="AE4803" t="str">
            <v>Con precio</v>
          </cell>
        </row>
        <row r="4804">
          <cell r="B4804" t="str">
            <v>SS0020</v>
          </cell>
          <cell r="X4804" t="str">
            <v>Formulación</v>
          </cell>
          <cell r="AC4804">
            <v>7.1760000000000004E-2</v>
          </cell>
          <cell r="AD4804">
            <v>6.9419999999999996E-2</v>
          </cell>
          <cell r="AE4804" t="str">
            <v>Con precio</v>
          </cell>
        </row>
        <row r="4805">
          <cell r="B4805" t="str">
            <v>SS0020</v>
          </cell>
          <cell r="X4805" t="str">
            <v>Formulación</v>
          </cell>
          <cell r="AC4805">
            <v>2.6039999999999997E-2</v>
          </cell>
          <cell r="AD4805">
            <v>2.6039999999999997E-2</v>
          </cell>
          <cell r="AE4805" t="str">
            <v>Con precio</v>
          </cell>
        </row>
        <row r="4806">
          <cell r="B4806" t="str">
            <v>SS0020</v>
          </cell>
          <cell r="X4806" t="str">
            <v>Formulación</v>
          </cell>
          <cell r="AC4806">
            <v>7.2135000000000005E-2</v>
          </cell>
          <cell r="AD4806">
            <v>5.4053999999999991E-2</v>
          </cell>
          <cell r="AE4806" t="str">
            <v>Con precio</v>
          </cell>
        </row>
        <row r="4807">
          <cell r="B4807" t="str">
            <v>SS0020</v>
          </cell>
          <cell r="X4807" t="str">
            <v>Empaquetado</v>
          </cell>
          <cell r="AC4807">
            <v>6.8894999999999998E-3</v>
          </cell>
          <cell r="AD4807">
            <v>6.8894999999999998E-3</v>
          </cell>
          <cell r="AE4807" t="str">
            <v>Con precio</v>
          </cell>
        </row>
        <row r="4808">
          <cell r="B4808" t="str">
            <v>SS0020</v>
          </cell>
          <cell r="X4808" t="str">
            <v>Empaquetado</v>
          </cell>
          <cell r="AC4808">
            <v>1.9337500000000001E-2</v>
          </cell>
          <cell r="AD4808">
            <v>1.9337500000000001E-2</v>
          </cell>
          <cell r="AE4808" t="str">
            <v>Con precio</v>
          </cell>
        </row>
        <row r="4809">
          <cell r="B4809" t="str">
            <v>SS0020</v>
          </cell>
          <cell r="X4809" t="str">
            <v>Empaquetado</v>
          </cell>
          <cell r="AC4809">
            <v>1.6625000000000001E-2</v>
          </cell>
          <cell r="AD4809">
            <v>1.6625000000000001E-2</v>
          </cell>
          <cell r="AE4809" t="str">
            <v>Con precio</v>
          </cell>
        </row>
        <row r="4810">
          <cell r="B4810" t="str">
            <v>SS0020</v>
          </cell>
          <cell r="X4810" t="str">
            <v>Empaquetado</v>
          </cell>
          <cell r="AC4810">
            <v>4.4344972826086959E-3</v>
          </cell>
          <cell r="AD4810">
            <v>4.4344972826086959E-3</v>
          </cell>
          <cell r="AE4810" t="str">
            <v>Con precio</v>
          </cell>
        </row>
        <row r="4811">
          <cell r="B4811" t="str">
            <v>SS0020</v>
          </cell>
          <cell r="X4811" t="str">
            <v>Empaquetado</v>
          </cell>
          <cell r="AC4811">
            <v>3.6950017630465445E-2</v>
          </cell>
          <cell r="AD4811">
            <v>3.6950017630465445E-2</v>
          </cell>
          <cell r="AE4811" t="str">
            <v>Con precio</v>
          </cell>
        </row>
        <row r="4812">
          <cell r="B4812" t="str">
            <v>SS0020AZ</v>
          </cell>
          <cell r="X4812" t="str">
            <v>Formulación</v>
          </cell>
          <cell r="AC4812">
            <v>6.1620000000000001E-2</v>
          </cell>
          <cell r="AD4812">
            <v>5.1265499999999999E-2</v>
          </cell>
          <cell r="AE4812" t="str">
            <v>Con precio</v>
          </cell>
        </row>
        <row r="4813">
          <cell r="B4813" t="str">
            <v>SS0020AZ</v>
          </cell>
          <cell r="X4813" t="str">
            <v>Formulación</v>
          </cell>
          <cell r="AC4813">
            <v>0.25186000000000003</v>
          </cell>
          <cell r="AD4813">
            <v>0.25186000000000003</v>
          </cell>
          <cell r="AE4813" t="str">
            <v>Con precio</v>
          </cell>
        </row>
        <row r="4814">
          <cell r="B4814" t="str">
            <v>SS0020AZ</v>
          </cell>
          <cell r="X4814" t="str">
            <v>Formulación</v>
          </cell>
          <cell r="AC4814">
            <v>0.62100000000000011</v>
          </cell>
          <cell r="AD4814">
            <v>0.42122857142857145</v>
          </cell>
          <cell r="AE4814" t="str">
            <v>Con precio</v>
          </cell>
        </row>
        <row r="4815">
          <cell r="B4815" t="str">
            <v>SS0020AZ</v>
          </cell>
          <cell r="X4815" t="str">
            <v>Formulación</v>
          </cell>
          <cell r="AC4815">
            <v>7.1760000000000004E-2</v>
          </cell>
          <cell r="AD4815">
            <v>6.9419999999999996E-2</v>
          </cell>
          <cell r="AE4815" t="str">
            <v>Con precio</v>
          </cell>
        </row>
        <row r="4816">
          <cell r="B4816" t="str">
            <v>SS0020AZ</v>
          </cell>
          <cell r="X4816" t="str">
            <v>Formulación</v>
          </cell>
          <cell r="AC4816">
            <v>2.6039999999999997E-2</v>
          </cell>
          <cell r="AD4816">
            <v>2.6039999999999997E-2</v>
          </cell>
          <cell r="AE4816" t="str">
            <v>Con precio</v>
          </cell>
        </row>
        <row r="4817">
          <cell r="B4817" t="str">
            <v>SS0020AZ</v>
          </cell>
          <cell r="X4817" t="str">
            <v>Formulación</v>
          </cell>
          <cell r="AC4817">
            <v>7.2135000000000005E-2</v>
          </cell>
          <cell r="AD4817">
            <v>5.4053999999999991E-2</v>
          </cell>
          <cell r="AE4817" t="str">
            <v>Con precio</v>
          </cell>
        </row>
        <row r="4818">
          <cell r="B4818" t="str">
            <v>SS0020AZ</v>
          </cell>
          <cell r="X4818" t="str">
            <v>Empaquetado</v>
          </cell>
          <cell r="AC4818">
            <v>6.8894999999999998E-3</v>
          </cell>
          <cell r="AD4818">
            <v>6.8894999999999998E-3</v>
          </cell>
          <cell r="AE4818" t="str">
            <v>Con precio</v>
          </cell>
        </row>
        <row r="4819">
          <cell r="B4819" t="str">
            <v>SS0020AZ</v>
          </cell>
          <cell r="X4819" t="str">
            <v>Empaquetado</v>
          </cell>
          <cell r="AC4819">
            <v>1.9337500000000001E-2</v>
          </cell>
          <cell r="AD4819">
            <v>1.9337500000000001E-2</v>
          </cell>
          <cell r="AE4819" t="str">
            <v>Con precio</v>
          </cell>
        </row>
        <row r="4820">
          <cell r="B4820" t="str">
            <v>SS0020AZ</v>
          </cell>
          <cell r="X4820" t="str">
            <v>Empaquetado</v>
          </cell>
          <cell r="AC4820">
            <v>1.6625000000000001E-2</v>
          </cell>
          <cell r="AD4820">
            <v>1.6625000000000001E-2</v>
          </cell>
          <cell r="AE4820" t="str">
            <v>Con precio</v>
          </cell>
        </row>
        <row r="4821">
          <cell r="B4821" t="str">
            <v>SS0020AZ</v>
          </cell>
          <cell r="X4821" t="str">
            <v>Empaquetado</v>
          </cell>
          <cell r="AC4821">
            <v>4.4344972826086959E-3</v>
          </cell>
          <cell r="AD4821">
            <v>4.4344972826086959E-3</v>
          </cell>
          <cell r="AE4821" t="str">
            <v>Con precio</v>
          </cell>
        </row>
        <row r="4822">
          <cell r="B4822" t="str">
            <v>SS0020AZ</v>
          </cell>
          <cell r="X4822" t="str">
            <v>Empaquetado</v>
          </cell>
          <cell r="AC4822">
            <v>3.6950017630465445E-2</v>
          </cell>
          <cell r="AD4822">
            <v>3.6950017630465445E-2</v>
          </cell>
          <cell r="AE4822" t="str">
            <v>Con precio</v>
          </cell>
        </row>
        <row r="4823">
          <cell r="B4823" t="str">
            <v>SS0020CR</v>
          </cell>
          <cell r="X4823" t="str">
            <v>Formulación</v>
          </cell>
          <cell r="AC4823">
            <v>6.1620000000000001E-2</v>
          </cell>
          <cell r="AD4823">
            <v>5.1265499999999999E-2</v>
          </cell>
          <cell r="AE4823" t="str">
            <v>Con precio</v>
          </cell>
        </row>
        <row r="4824">
          <cell r="B4824" t="str">
            <v>SS0020CR</v>
          </cell>
          <cell r="X4824" t="str">
            <v>Formulación</v>
          </cell>
          <cell r="AC4824">
            <v>0.25186000000000003</v>
          </cell>
          <cell r="AD4824">
            <v>0.25186000000000003</v>
          </cell>
          <cell r="AE4824" t="str">
            <v>Con precio</v>
          </cell>
        </row>
        <row r="4825">
          <cell r="B4825" t="str">
            <v>SS0020CR</v>
          </cell>
          <cell r="X4825" t="str">
            <v>Formulación</v>
          </cell>
          <cell r="AC4825">
            <v>0.62100000000000011</v>
          </cell>
          <cell r="AD4825">
            <v>0.42122857142857145</v>
          </cell>
          <cell r="AE4825" t="str">
            <v>Con precio</v>
          </cell>
        </row>
        <row r="4826">
          <cell r="B4826" t="str">
            <v>SS0020CR</v>
          </cell>
          <cell r="X4826" t="str">
            <v>Formulación</v>
          </cell>
          <cell r="AC4826">
            <v>7.1760000000000004E-2</v>
          </cell>
          <cell r="AD4826">
            <v>6.9419999999999996E-2</v>
          </cell>
          <cell r="AE4826" t="str">
            <v>Con precio</v>
          </cell>
        </row>
        <row r="4827">
          <cell r="B4827" t="str">
            <v>SS0020CR</v>
          </cell>
          <cell r="X4827" t="str">
            <v>Formulación</v>
          </cell>
          <cell r="AC4827">
            <v>2.6039999999999997E-2</v>
          </cell>
          <cell r="AD4827">
            <v>2.6039999999999997E-2</v>
          </cell>
          <cell r="AE4827" t="str">
            <v>Con precio</v>
          </cell>
        </row>
        <row r="4828">
          <cell r="B4828" t="str">
            <v>SS0020CR</v>
          </cell>
          <cell r="X4828" t="str">
            <v>Formulación</v>
          </cell>
          <cell r="AC4828">
            <v>7.2135000000000005E-2</v>
          </cell>
          <cell r="AD4828">
            <v>5.4053999999999991E-2</v>
          </cell>
          <cell r="AE4828" t="str">
            <v>Con precio</v>
          </cell>
        </row>
        <row r="4829">
          <cell r="B4829" t="str">
            <v>SS0020CR</v>
          </cell>
          <cell r="X4829" t="str">
            <v>Empaquetado</v>
          </cell>
          <cell r="AC4829">
            <v>6.8894999999999998E-3</v>
          </cell>
          <cell r="AD4829">
            <v>6.8894999999999998E-3</v>
          </cell>
          <cell r="AE4829" t="str">
            <v>Con precio</v>
          </cell>
        </row>
        <row r="4830">
          <cell r="B4830" t="str">
            <v>SS0020CR</v>
          </cell>
          <cell r="X4830" t="str">
            <v>Empaquetado</v>
          </cell>
          <cell r="AC4830">
            <v>1.9337500000000001E-2</v>
          </cell>
          <cell r="AD4830">
            <v>1.9337500000000001E-2</v>
          </cell>
          <cell r="AE4830" t="str">
            <v>Con precio</v>
          </cell>
        </row>
        <row r="4831">
          <cell r="B4831" t="str">
            <v>SS0020CR</v>
          </cell>
          <cell r="X4831" t="str">
            <v>Empaquetado</v>
          </cell>
          <cell r="AC4831">
            <v>1.6625000000000001E-2</v>
          </cell>
          <cell r="AD4831">
            <v>1.6625000000000001E-2</v>
          </cell>
          <cell r="AE4831" t="str">
            <v>Con precio</v>
          </cell>
        </row>
        <row r="4832">
          <cell r="B4832" t="str">
            <v>SS0020CR</v>
          </cell>
          <cell r="X4832" t="str">
            <v>Empaquetado</v>
          </cell>
          <cell r="AC4832">
            <v>4.4344972826086959E-3</v>
          </cell>
          <cell r="AD4832">
            <v>4.4344972826086959E-3</v>
          </cell>
          <cell r="AE4832" t="str">
            <v>Con precio</v>
          </cell>
        </row>
        <row r="4833">
          <cell r="B4833" t="str">
            <v>SS0020CR</v>
          </cell>
          <cell r="X4833" t="str">
            <v>Empaquetado</v>
          </cell>
          <cell r="AC4833">
            <v>3.6950017630465445E-2</v>
          </cell>
          <cell r="AD4833">
            <v>3.6950017630465445E-2</v>
          </cell>
          <cell r="AE4833" t="str">
            <v>Con precio</v>
          </cell>
        </row>
        <row r="4834">
          <cell r="B4834" t="str">
            <v>SS0020MA</v>
          </cell>
          <cell r="X4834" t="str">
            <v>Formulación</v>
          </cell>
          <cell r="AC4834">
            <v>6.1620000000000001E-2</v>
          </cell>
          <cell r="AD4834">
            <v>5.1265499999999999E-2</v>
          </cell>
          <cell r="AE4834" t="str">
            <v>Con precio</v>
          </cell>
        </row>
        <row r="4835">
          <cell r="B4835" t="str">
            <v>SS0020MA</v>
          </cell>
          <cell r="X4835" t="str">
            <v>Formulación</v>
          </cell>
          <cell r="AC4835">
            <v>0.25186000000000003</v>
          </cell>
          <cell r="AD4835">
            <v>0.25186000000000003</v>
          </cell>
          <cell r="AE4835" t="str">
            <v>Con precio</v>
          </cell>
        </row>
        <row r="4836">
          <cell r="B4836" t="str">
            <v>SS0020MA</v>
          </cell>
          <cell r="X4836" t="str">
            <v>Formulación</v>
          </cell>
          <cell r="AC4836">
            <v>0.62100000000000011</v>
          </cell>
          <cell r="AD4836">
            <v>0.42122857142857145</v>
          </cell>
          <cell r="AE4836" t="str">
            <v>Con precio</v>
          </cell>
        </row>
        <row r="4837">
          <cell r="B4837" t="str">
            <v>SS0020MA</v>
          </cell>
          <cell r="X4837" t="str">
            <v>Formulación</v>
          </cell>
          <cell r="AC4837">
            <v>7.1760000000000004E-2</v>
          </cell>
          <cell r="AD4837">
            <v>6.9419999999999996E-2</v>
          </cell>
          <cell r="AE4837" t="str">
            <v>Con precio</v>
          </cell>
        </row>
        <row r="4838">
          <cell r="B4838" t="str">
            <v>SS0020MA</v>
          </cell>
          <cell r="X4838" t="str">
            <v>Formulación</v>
          </cell>
          <cell r="AC4838">
            <v>2.6039999999999997E-2</v>
          </cell>
          <cell r="AD4838">
            <v>2.6039999999999997E-2</v>
          </cell>
          <cell r="AE4838" t="str">
            <v>Con precio</v>
          </cell>
        </row>
        <row r="4839">
          <cell r="B4839" t="str">
            <v>SS0020MA</v>
          </cell>
          <cell r="X4839" t="str">
            <v>Formulación</v>
          </cell>
          <cell r="AC4839">
            <v>7.2135000000000005E-2</v>
          </cell>
          <cell r="AD4839">
            <v>5.4053999999999991E-2</v>
          </cell>
          <cell r="AE4839" t="str">
            <v>Con precio</v>
          </cell>
        </row>
        <row r="4840">
          <cell r="B4840" t="str">
            <v>SS0020MA</v>
          </cell>
          <cell r="X4840" t="str">
            <v>Empaquetado</v>
          </cell>
          <cell r="AC4840">
            <v>6.8894999999999998E-3</v>
          </cell>
          <cell r="AD4840">
            <v>6.8894999999999998E-3</v>
          </cell>
          <cell r="AE4840" t="str">
            <v>Con precio</v>
          </cell>
        </row>
        <row r="4841">
          <cell r="B4841" t="str">
            <v>SS0020MA</v>
          </cell>
          <cell r="X4841" t="str">
            <v>Empaquetado</v>
          </cell>
          <cell r="AC4841">
            <v>1.9337500000000001E-2</v>
          </cell>
          <cell r="AD4841">
            <v>1.9337500000000001E-2</v>
          </cell>
          <cell r="AE4841" t="str">
            <v>Con precio</v>
          </cell>
        </row>
        <row r="4842">
          <cell r="B4842" t="str">
            <v>SS0020MA</v>
          </cell>
          <cell r="X4842" t="str">
            <v>Empaquetado</v>
          </cell>
          <cell r="AC4842">
            <v>1.6625000000000001E-2</v>
          </cell>
          <cell r="AD4842">
            <v>1.6625000000000001E-2</v>
          </cell>
          <cell r="AE4842" t="str">
            <v>Con precio</v>
          </cell>
        </row>
        <row r="4843">
          <cell r="B4843" t="str">
            <v>SS0020MA</v>
          </cell>
          <cell r="X4843" t="str">
            <v>Empaquetado</v>
          </cell>
          <cell r="AC4843">
            <v>4.4344972826086959E-3</v>
          </cell>
          <cell r="AD4843">
            <v>4.4344972826086959E-3</v>
          </cell>
          <cell r="AE4843" t="str">
            <v>Con precio</v>
          </cell>
        </row>
        <row r="4844">
          <cell r="B4844" t="str">
            <v>SS0020MA</v>
          </cell>
          <cell r="X4844" t="str">
            <v>Empaquetado</v>
          </cell>
          <cell r="AC4844">
            <v>3.6950017630465445E-2</v>
          </cell>
          <cell r="AD4844">
            <v>3.6950017630465445E-2</v>
          </cell>
          <cell r="AE4844" t="str">
            <v>Con precio</v>
          </cell>
        </row>
        <row r="4845">
          <cell r="B4845" t="str">
            <v>SS0020RO</v>
          </cell>
          <cell r="X4845" t="str">
            <v>Formulación</v>
          </cell>
          <cell r="AC4845">
            <v>6.1620000000000001E-2</v>
          </cell>
          <cell r="AD4845">
            <v>5.1265499999999999E-2</v>
          </cell>
          <cell r="AE4845" t="str">
            <v>Con precio</v>
          </cell>
        </row>
        <row r="4846">
          <cell r="B4846" t="str">
            <v>SS0020RO</v>
          </cell>
          <cell r="X4846" t="str">
            <v>Formulación</v>
          </cell>
          <cell r="AC4846">
            <v>0.25186000000000003</v>
          </cell>
          <cell r="AD4846">
            <v>0.25186000000000003</v>
          </cell>
          <cell r="AE4846" t="str">
            <v>Con precio</v>
          </cell>
        </row>
        <row r="4847">
          <cell r="B4847" t="str">
            <v>SS0020RO</v>
          </cell>
          <cell r="X4847" t="str">
            <v>Formulación</v>
          </cell>
          <cell r="AC4847">
            <v>0.62100000000000011</v>
          </cell>
          <cell r="AD4847">
            <v>0.42122857142857145</v>
          </cell>
          <cell r="AE4847" t="str">
            <v>Con precio</v>
          </cell>
        </row>
        <row r="4848">
          <cell r="B4848" t="str">
            <v>SS0020RO</v>
          </cell>
          <cell r="X4848" t="str">
            <v>Formulación</v>
          </cell>
          <cell r="AC4848">
            <v>7.1760000000000004E-2</v>
          </cell>
          <cell r="AD4848">
            <v>6.9419999999999996E-2</v>
          </cell>
          <cell r="AE4848" t="str">
            <v>Con precio</v>
          </cell>
        </row>
        <row r="4849">
          <cell r="B4849" t="str">
            <v>SS0020RO</v>
          </cell>
          <cell r="X4849" t="str">
            <v>Formulación</v>
          </cell>
          <cell r="AC4849">
            <v>2.6039999999999997E-2</v>
          </cell>
          <cell r="AD4849">
            <v>2.6039999999999997E-2</v>
          </cell>
          <cell r="AE4849" t="str">
            <v>Con precio</v>
          </cell>
        </row>
        <row r="4850">
          <cell r="B4850" t="str">
            <v>SS0020RO</v>
          </cell>
          <cell r="X4850" t="str">
            <v>Formulación</v>
          </cell>
          <cell r="AC4850">
            <v>7.2135000000000005E-2</v>
          </cell>
          <cell r="AD4850">
            <v>5.4053999999999991E-2</v>
          </cell>
          <cell r="AE4850" t="str">
            <v>Con precio</v>
          </cell>
        </row>
        <row r="4851">
          <cell r="B4851" t="str">
            <v>SS0020RO</v>
          </cell>
          <cell r="X4851" t="str">
            <v>Empaquetado</v>
          </cell>
          <cell r="AC4851">
            <v>6.8894999999999998E-3</v>
          </cell>
          <cell r="AD4851">
            <v>6.8894999999999998E-3</v>
          </cell>
          <cell r="AE4851" t="str">
            <v>Con precio</v>
          </cell>
        </row>
        <row r="4852">
          <cell r="B4852" t="str">
            <v>SS0020RO</v>
          </cell>
          <cell r="X4852" t="str">
            <v>Empaquetado</v>
          </cell>
          <cell r="AC4852">
            <v>1.9337500000000001E-2</v>
          </cell>
          <cell r="AD4852">
            <v>1.9337500000000001E-2</v>
          </cell>
          <cell r="AE4852" t="str">
            <v>Con precio</v>
          </cell>
        </row>
        <row r="4853">
          <cell r="B4853" t="str">
            <v>SS0020RO</v>
          </cell>
          <cell r="X4853" t="str">
            <v>Empaquetado</v>
          </cell>
          <cell r="AC4853">
            <v>1.6625000000000001E-2</v>
          </cell>
          <cell r="AD4853">
            <v>1.6625000000000001E-2</v>
          </cell>
          <cell r="AE4853" t="str">
            <v>Con precio</v>
          </cell>
        </row>
        <row r="4854">
          <cell r="B4854" t="str">
            <v>SS0020RO</v>
          </cell>
          <cell r="X4854" t="str">
            <v>Empaquetado</v>
          </cell>
          <cell r="AC4854">
            <v>4.4344972826086959E-3</v>
          </cell>
          <cell r="AD4854">
            <v>4.4344972826086959E-3</v>
          </cell>
          <cell r="AE4854" t="str">
            <v>Con precio</v>
          </cell>
        </row>
        <row r="4855">
          <cell r="B4855" t="str">
            <v>SS0020RO</v>
          </cell>
          <cell r="X4855" t="str">
            <v>Empaquetado</v>
          </cell>
          <cell r="AC4855">
            <v>3.6950017630465445E-2</v>
          </cell>
          <cell r="AD4855">
            <v>3.6950017630465445E-2</v>
          </cell>
          <cell r="AE4855" t="str">
            <v>Con precio</v>
          </cell>
        </row>
        <row r="4856">
          <cell r="B4856" t="str">
            <v>SSAE0005</v>
          </cell>
          <cell r="X4856" t="str">
            <v>Formulación</v>
          </cell>
          <cell r="AC4856">
            <v>4.3250000000000004E-2</v>
          </cell>
          <cell r="AD4856">
            <v>3.6375000000000005E-2</v>
          </cell>
          <cell r="AE4856" t="str">
            <v>Con precio</v>
          </cell>
        </row>
        <row r="4857">
          <cell r="B4857" t="str">
            <v>SSAE0005</v>
          </cell>
          <cell r="X4857" t="str">
            <v>Formulación</v>
          </cell>
          <cell r="AC4857">
            <v>3.0960000000000001E-2</v>
          </cell>
          <cell r="AD4857">
            <v>3.0960000000000001E-2</v>
          </cell>
          <cell r="AE4857" t="str">
            <v>Con precio</v>
          </cell>
        </row>
        <row r="4858">
          <cell r="B4858" t="str">
            <v>SSAE0005</v>
          </cell>
          <cell r="X4858" t="str">
            <v>Formulación</v>
          </cell>
          <cell r="AC4858">
            <v>4.4200000000000003E-3</v>
          </cell>
          <cell r="AD4858">
            <v>4.4200000000000003E-3</v>
          </cell>
          <cell r="AE4858" t="str">
            <v>Con precio</v>
          </cell>
        </row>
        <row r="4859">
          <cell r="B4859" t="str">
            <v>SSAE0005</v>
          </cell>
          <cell r="X4859" t="str">
            <v>Formulación</v>
          </cell>
          <cell r="AC4859">
            <v>0.81918000000000002</v>
          </cell>
          <cell r="AD4859">
            <v>0.60023250000000006</v>
          </cell>
          <cell r="AE4859" t="str">
            <v>Con precio</v>
          </cell>
        </row>
        <row r="4860">
          <cell r="B4860" t="str">
            <v>SSAE0005</v>
          </cell>
          <cell r="X4860" t="str">
            <v>Formulación</v>
          </cell>
          <cell r="AC4860">
            <v>0.9909</v>
          </cell>
          <cell r="AD4860">
            <v>0.67213428571428568</v>
          </cell>
          <cell r="AE4860" t="str">
            <v>Con precio</v>
          </cell>
        </row>
        <row r="4861">
          <cell r="B4861" t="str">
            <v>SSAE0005</v>
          </cell>
          <cell r="X4861" t="str">
            <v>Empaquetado</v>
          </cell>
          <cell r="AC4861">
            <v>1.0393066666666666E-2</v>
          </cell>
          <cell r="AD4861">
            <v>1.0393066666666666E-2</v>
          </cell>
          <cell r="AE4861" t="str">
            <v>Con precio</v>
          </cell>
        </row>
        <row r="4862">
          <cell r="B4862" t="str">
            <v>SSAE0005</v>
          </cell>
          <cell r="X4862" t="str">
            <v>Empaquetado</v>
          </cell>
          <cell r="AC4862">
            <v>2.0626666666666665E-2</v>
          </cell>
          <cell r="AD4862">
            <v>2.0626666666666665E-2</v>
          </cell>
          <cell r="AE4862" t="str">
            <v>Con precio</v>
          </cell>
        </row>
        <row r="4863">
          <cell r="B4863" t="str">
            <v>SSAE0005</v>
          </cell>
          <cell r="X4863" t="str">
            <v>Empaquetado</v>
          </cell>
          <cell r="AC4863">
            <v>2.1285586956521739E-2</v>
          </cell>
          <cell r="AD4863">
            <v>2.1285586956521739E-2</v>
          </cell>
          <cell r="AE4863" t="str">
            <v>Con precio</v>
          </cell>
        </row>
        <row r="4864">
          <cell r="B4864" t="str">
            <v>SSAE0005</v>
          </cell>
          <cell r="X4864" t="str">
            <v>Empaquetado</v>
          </cell>
          <cell r="AC4864">
            <v>2.9560014104372354E-2</v>
          </cell>
          <cell r="AD4864">
            <v>2.9560014104372354E-2</v>
          </cell>
          <cell r="AE4864" t="str">
            <v>Con precio</v>
          </cell>
        </row>
        <row r="4865">
          <cell r="B4865" t="str">
            <v>SSAE0005</v>
          </cell>
          <cell r="X4865" t="str">
            <v>Empaquetado</v>
          </cell>
          <cell r="AC4865">
            <v>2.1682000000000003E-2</v>
          </cell>
          <cell r="AD4865">
            <v>2.1682000000000003E-2</v>
          </cell>
          <cell r="AE4865" t="str">
            <v>Con precio</v>
          </cell>
        </row>
        <row r="4866">
          <cell r="B4866" t="str">
            <v>SSAE0005RO</v>
          </cell>
          <cell r="X4866" t="str">
            <v>Formulación</v>
          </cell>
          <cell r="AC4866">
            <v>4.3250000000000004E-2</v>
          </cell>
          <cell r="AD4866">
            <v>3.6375000000000005E-2</v>
          </cell>
          <cell r="AE4866" t="str">
            <v>Con precio</v>
          </cell>
        </row>
        <row r="4867">
          <cell r="B4867" t="str">
            <v>SSAE0005RO</v>
          </cell>
          <cell r="X4867" t="str">
            <v>Formulación</v>
          </cell>
          <cell r="AC4867">
            <v>3.0960000000000001E-2</v>
          </cell>
          <cell r="AD4867">
            <v>3.0960000000000001E-2</v>
          </cell>
          <cell r="AE4867" t="str">
            <v>Con precio</v>
          </cell>
        </row>
        <row r="4868">
          <cell r="B4868" t="str">
            <v>SSAE0005RO</v>
          </cell>
          <cell r="X4868" t="str">
            <v>Formulación</v>
          </cell>
          <cell r="AC4868">
            <v>4.4200000000000003E-3</v>
          </cell>
          <cell r="AD4868">
            <v>4.4200000000000003E-3</v>
          </cell>
          <cell r="AE4868" t="str">
            <v>Con precio</v>
          </cell>
        </row>
        <row r="4869">
          <cell r="B4869" t="str">
            <v>SSAE0005RO</v>
          </cell>
          <cell r="X4869" t="str">
            <v>Formulación</v>
          </cell>
          <cell r="AC4869">
            <v>0.81918000000000002</v>
          </cell>
          <cell r="AD4869">
            <v>0.60023250000000006</v>
          </cell>
          <cell r="AE4869" t="str">
            <v>Con precio</v>
          </cell>
        </row>
        <row r="4870">
          <cell r="B4870" t="str">
            <v>SSAE0005RO</v>
          </cell>
          <cell r="X4870" t="str">
            <v>Formulación</v>
          </cell>
          <cell r="AC4870">
            <v>0.9909</v>
          </cell>
          <cell r="AD4870">
            <v>0.67213428571428568</v>
          </cell>
          <cell r="AE4870" t="str">
            <v>Con precio</v>
          </cell>
        </row>
        <row r="4871">
          <cell r="B4871" t="str">
            <v>SSAE0005RO</v>
          </cell>
          <cell r="X4871" t="str">
            <v>Empaquetado</v>
          </cell>
          <cell r="AC4871">
            <v>1.0393066666666666E-2</v>
          </cell>
          <cell r="AD4871">
            <v>1.0393066666666666E-2</v>
          </cell>
          <cell r="AE4871" t="str">
            <v>Con precio</v>
          </cell>
        </row>
        <row r="4872">
          <cell r="B4872" t="str">
            <v>SSAE0005RO</v>
          </cell>
          <cell r="X4872" t="str">
            <v>Empaquetado</v>
          </cell>
          <cell r="AC4872">
            <v>2.0626666666666665E-2</v>
          </cell>
          <cell r="AD4872">
            <v>2.0626666666666665E-2</v>
          </cell>
          <cell r="AE4872" t="str">
            <v>Con precio</v>
          </cell>
        </row>
        <row r="4873">
          <cell r="B4873" t="str">
            <v>SSAE0005RO</v>
          </cell>
          <cell r="X4873" t="str">
            <v>Empaquetado</v>
          </cell>
          <cell r="AC4873">
            <v>2.1285586956521739E-2</v>
          </cell>
          <cell r="AD4873">
            <v>2.1285586956521739E-2</v>
          </cell>
          <cell r="AE4873" t="str">
            <v>Con precio</v>
          </cell>
        </row>
        <row r="4874">
          <cell r="B4874" t="str">
            <v>SSAE0005RO</v>
          </cell>
          <cell r="X4874" t="str">
            <v>Empaquetado</v>
          </cell>
          <cell r="AC4874">
            <v>2.9560014104372354E-2</v>
          </cell>
          <cell r="AD4874">
            <v>2.9560014104372354E-2</v>
          </cell>
          <cell r="AE4874" t="str">
            <v>Con precio</v>
          </cell>
        </row>
        <row r="4875">
          <cell r="B4875" t="str">
            <v>SSAE0005RO</v>
          </cell>
          <cell r="X4875" t="str">
            <v>Empaquetado</v>
          </cell>
          <cell r="AC4875">
            <v>2.1682000000000003E-2</v>
          </cell>
          <cell r="AD4875">
            <v>2.1682000000000003E-2</v>
          </cell>
          <cell r="AE4875" t="str">
            <v>Con precio</v>
          </cell>
        </row>
        <row r="4876">
          <cell r="B4876" t="str">
            <v>SSEG0001CO</v>
          </cell>
          <cell r="X4876" t="str">
            <v>Formulación</v>
          </cell>
          <cell r="AC4876">
            <v>0.36259999999999998</v>
          </cell>
          <cell r="AD4876">
            <v>0.36259999999999998</v>
          </cell>
          <cell r="AE4876" t="str">
            <v>Con precio</v>
          </cell>
        </row>
        <row r="4877">
          <cell r="B4877" t="str">
            <v>SSEG0001CO</v>
          </cell>
          <cell r="X4877" t="str">
            <v>Formulación</v>
          </cell>
          <cell r="AC4877">
            <v>0.86130000000000007</v>
          </cell>
          <cell r="AD4877">
            <v>0.58422571428571424</v>
          </cell>
          <cell r="AE4877" t="str">
            <v>Con precio</v>
          </cell>
        </row>
        <row r="4878">
          <cell r="B4878" t="str">
            <v>SSEG0001CO</v>
          </cell>
          <cell r="X4878" t="str">
            <v>Formulación</v>
          </cell>
          <cell r="AC4878">
            <v>6.8080000000000002E-2</v>
          </cell>
          <cell r="AD4878">
            <v>6.5860000000000002E-2</v>
          </cell>
          <cell r="AE4878" t="str">
            <v>Con precio</v>
          </cell>
        </row>
        <row r="4879">
          <cell r="B4879" t="str">
            <v>SSEG0001CO</v>
          </cell>
          <cell r="X4879" t="str">
            <v>Formulación</v>
          </cell>
          <cell r="AC4879">
            <v>3.288E-2</v>
          </cell>
          <cell r="AD4879">
            <v>3.288E-2</v>
          </cell>
          <cell r="AE4879" t="str">
            <v>Con precio</v>
          </cell>
        </row>
        <row r="4880">
          <cell r="B4880" t="str">
            <v>SSEG0001CO</v>
          </cell>
          <cell r="X4880" t="str">
            <v>Empaquetado</v>
          </cell>
          <cell r="AC4880">
            <v>1.8939393939393939E-5</v>
          </cell>
          <cell r="AD4880">
            <v>1.8939393939393939E-5</v>
          </cell>
          <cell r="AE4880" t="str">
            <v>Con precio</v>
          </cell>
        </row>
        <row r="4881">
          <cell r="B4881" t="str">
            <v>SSEG0001CO</v>
          </cell>
          <cell r="X4881" t="str">
            <v>Empaquetado</v>
          </cell>
          <cell r="AC4881">
            <v>1.4649621212121213E-2</v>
          </cell>
          <cell r="AD4881">
            <v>1.4649621212121213E-2</v>
          </cell>
          <cell r="AE4881" t="str">
            <v>Con precio</v>
          </cell>
        </row>
        <row r="4882">
          <cell r="B4882" t="str">
            <v>SSEG0001CO</v>
          </cell>
          <cell r="X4882" t="str">
            <v>Empaquetado</v>
          </cell>
          <cell r="AC4882">
            <v>5.3938139059304703E-2</v>
          </cell>
          <cell r="AD4882">
            <v>5.3938139059304703E-2</v>
          </cell>
          <cell r="AE4882" t="str">
            <v>Con precio</v>
          </cell>
        </row>
        <row r="4883">
          <cell r="B4883" t="str">
            <v>SSEG0001CO</v>
          </cell>
          <cell r="X4883" t="str">
            <v>Empaquetado</v>
          </cell>
          <cell r="AC4883">
            <v>5.5431216032608699E-3</v>
          </cell>
          <cell r="AD4883">
            <v>5.5431216032608699E-3</v>
          </cell>
          <cell r="AE4883" t="str">
            <v>Con precio</v>
          </cell>
        </row>
        <row r="4884">
          <cell r="B4884" t="str">
            <v>SSEG0001CO</v>
          </cell>
          <cell r="X4884" t="str">
            <v>Empaquetado</v>
          </cell>
          <cell r="AC4884">
            <v>6.3339962121212137E-2</v>
          </cell>
          <cell r="AD4884">
            <v>6.3339962121212137E-2</v>
          </cell>
          <cell r="AE4884" t="str">
            <v>Con precio</v>
          </cell>
        </row>
        <row r="4885">
          <cell r="B4885" t="str">
            <v>SSEG0001CO</v>
          </cell>
          <cell r="X4885" t="str">
            <v>Empaquetado</v>
          </cell>
          <cell r="AC4885">
            <v>3.9889583333333332E-2</v>
          </cell>
          <cell r="AD4885">
            <v>3.9889583333333332E-2</v>
          </cell>
          <cell r="AE4885" t="str">
            <v>Con precio</v>
          </cell>
        </row>
        <row r="4886">
          <cell r="B4886" t="str">
            <v>SSEG0005CO</v>
          </cell>
          <cell r="X4886" t="str">
            <v>Formulación</v>
          </cell>
          <cell r="AC4886">
            <v>0.36259999999999998</v>
          </cell>
          <cell r="AD4886">
            <v>0.36259999999999998</v>
          </cell>
          <cell r="AE4886" t="str">
            <v>Con precio</v>
          </cell>
        </row>
        <row r="4887">
          <cell r="B4887" t="str">
            <v>SSEG0005CO</v>
          </cell>
          <cell r="X4887" t="str">
            <v>Formulación</v>
          </cell>
          <cell r="AC4887">
            <v>0.86130000000000007</v>
          </cell>
          <cell r="AD4887">
            <v>0.58422571428571424</v>
          </cell>
          <cell r="AE4887" t="str">
            <v>Con precio</v>
          </cell>
        </row>
        <row r="4888">
          <cell r="B4888" t="str">
            <v>SSEG0005CO</v>
          </cell>
          <cell r="X4888" t="str">
            <v>Formulación</v>
          </cell>
          <cell r="AC4888">
            <v>6.8080000000000002E-2</v>
          </cell>
          <cell r="AD4888">
            <v>6.5860000000000002E-2</v>
          </cell>
          <cell r="AE4888" t="str">
            <v>Con precio</v>
          </cell>
        </row>
        <row r="4889">
          <cell r="B4889" t="str">
            <v>SSEG0005CO</v>
          </cell>
          <cell r="X4889" t="str">
            <v>Formulación</v>
          </cell>
          <cell r="AC4889">
            <v>3.288E-2</v>
          </cell>
          <cell r="AD4889">
            <v>3.288E-2</v>
          </cell>
          <cell r="AE4889" t="str">
            <v>Con precio</v>
          </cell>
        </row>
        <row r="4890">
          <cell r="B4890" t="str">
            <v>SSEG0005CO</v>
          </cell>
          <cell r="X4890" t="str">
            <v>Empaquetado</v>
          </cell>
          <cell r="AC4890">
            <v>1.5470000000000001E-2</v>
          </cell>
          <cell r="AD4890">
            <v>1.5470000000000001E-2</v>
          </cell>
          <cell r="AE4890" t="str">
            <v>Con precio</v>
          </cell>
        </row>
        <row r="4891">
          <cell r="B4891" t="str">
            <v>SSEG0005CO</v>
          </cell>
          <cell r="X4891" t="str">
            <v>Empaquetado</v>
          </cell>
          <cell r="AC4891">
            <v>7.7948000000000002E-3</v>
          </cell>
          <cell r="AD4891">
            <v>7.7948000000000002E-3</v>
          </cell>
          <cell r="AE4891" t="str">
            <v>Con precio</v>
          </cell>
        </row>
        <row r="4892">
          <cell r="B4892" t="str">
            <v>SSEG0005CO</v>
          </cell>
          <cell r="X4892" t="str">
            <v>Empaquetado</v>
          </cell>
          <cell r="AC4892">
            <v>1.26336E-2</v>
          </cell>
          <cell r="AD4892">
            <v>1.26336E-2</v>
          </cell>
          <cell r="AE4892" t="str">
            <v>Con precio</v>
          </cell>
        </row>
        <row r="4893">
          <cell r="B4893" t="str">
            <v>SSEG0005CO</v>
          </cell>
          <cell r="X4893" t="str">
            <v>Empaquetado</v>
          </cell>
          <cell r="AC4893">
            <v>2.9560014104372354E-2</v>
          </cell>
          <cell r="AD4893">
            <v>2.9560014104372354E-2</v>
          </cell>
          <cell r="AE4893" t="str">
            <v>Con precio</v>
          </cell>
        </row>
        <row r="4894">
          <cell r="B4894" t="str">
            <v>SSEG0005CO</v>
          </cell>
          <cell r="X4894" t="str">
            <v>Empaquetado</v>
          </cell>
          <cell r="AC4894">
            <v>2.1682000000000003E-2</v>
          </cell>
          <cell r="AD4894">
            <v>2.1682000000000003E-2</v>
          </cell>
          <cell r="AE4894" t="str">
            <v>Con precio</v>
          </cell>
        </row>
        <row r="4895">
          <cell r="B4895" t="str">
            <v>SSEG0005EG</v>
          </cell>
          <cell r="X4895" t="str">
            <v>Formulación</v>
          </cell>
          <cell r="AC4895">
            <v>0.36259999999999998</v>
          </cell>
          <cell r="AD4895">
            <v>0.36259999999999998</v>
          </cell>
          <cell r="AE4895" t="str">
            <v>Con precio</v>
          </cell>
        </row>
        <row r="4896">
          <cell r="B4896" t="str">
            <v>SSEG0005EG</v>
          </cell>
          <cell r="X4896" t="str">
            <v>Formulación</v>
          </cell>
          <cell r="AC4896">
            <v>0.86130000000000007</v>
          </cell>
          <cell r="AD4896">
            <v>0.58422571428571424</v>
          </cell>
          <cell r="AE4896" t="str">
            <v>Con precio</v>
          </cell>
        </row>
        <row r="4897">
          <cell r="B4897" t="str">
            <v>SSEG0005EG</v>
          </cell>
          <cell r="X4897" t="str">
            <v>Formulación</v>
          </cell>
          <cell r="AC4897">
            <v>6.8080000000000002E-2</v>
          </cell>
          <cell r="AD4897">
            <v>6.5860000000000002E-2</v>
          </cell>
          <cell r="AE4897" t="str">
            <v>Con precio</v>
          </cell>
        </row>
        <row r="4898">
          <cell r="B4898" t="str">
            <v>SSEG0005EG</v>
          </cell>
          <cell r="X4898" t="str">
            <v>Formulación</v>
          </cell>
          <cell r="AC4898">
            <v>3.288E-2</v>
          </cell>
          <cell r="AD4898">
            <v>3.288E-2</v>
          </cell>
          <cell r="AE4898" t="str">
            <v>Con precio</v>
          </cell>
        </row>
        <row r="4899">
          <cell r="B4899" t="str">
            <v>SSEG0005EG</v>
          </cell>
          <cell r="X4899" t="str">
            <v>Empaquetado</v>
          </cell>
          <cell r="AC4899">
            <v>1.5470000000000001E-2</v>
          </cell>
          <cell r="AD4899">
            <v>1.5470000000000001E-2</v>
          </cell>
          <cell r="AE4899" t="str">
            <v>Con precio</v>
          </cell>
        </row>
        <row r="4900">
          <cell r="B4900" t="str">
            <v>SSEG0005EG</v>
          </cell>
          <cell r="X4900" t="str">
            <v>Empaquetado</v>
          </cell>
          <cell r="AC4900">
            <v>7.7948000000000002E-3</v>
          </cell>
          <cell r="AD4900">
            <v>7.7948000000000002E-3</v>
          </cell>
          <cell r="AE4900" t="str">
            <v>Con precio</v>
          </cell>
        </row>
        <row r="4901">
          <cell r="B4901" t="str">
            <v>SSEG0005EG</v>
          </cell>
          <cell r="X4901" t="str">
            <v>Empaquetado</v>
          </cell>
          <cell r="AC4901">
            <v>1.26336E-2</v>
          </cell>
          <cell r="AD4901">
            <v>1.26336E-2</v>
          </cell>
          <cell r="AE4901" t="str">
            <v>Con precio</v>
          </cell>
        </row>
        <row r="4902">
          <cell r="B4902" t="str">
            <v>SSEG0005EG</v>
          </cell>
          <cell r="X4902" t="str">
            <v>Empaquetado</v>
          </cell>
          <cell r="AC4902">
            <v>2.9560014104372354E-2</v>
          </cell>
          <cell r="AD4902">
            <v>2.9560014104372354E-2</v>
          </cell>
          <cell r="AE4902" t="str">
            <v>Con precio</v>
          </cell>
        </row>
        <row r="4903">
          <cell r="B4903" t="str">
            <v>SSEG0005EG</v>
          </cell>
          <cell r="X4903" t="str">
            <v>Empaquetado</v>
          </cell>
          <cell r="AC4903">
            <v>2.1682000000000003E-2</v>
          </cell>
          <cell r="AD4903">
            <v>2.1682000000000003E-2</v>
          </cell>
          <cell r="AE4903" t="str">
            <v>Con precio</v>
          </cell>
        </row>
        <row r="4904">
          <cell r="B4904" t="str">
            <v>SSEG0005SA</v>
          </cell>
          <cell r="X4904" t="str">
            <v>Formulación</v>
          </cell>
          <cell r="AC4904">
            <v>0.36259999999999998</v>
          </cell>
          <cell r="AD4904">
            <v>0.36259999999999998</v>
          </cell>
          <cell r="AE4904" t="str">
            <v>Con precio</v>
          </cell>
        </row>
        <row r="4905">
          <cell r="B4905" t="str">
            <v>SSEG0005SA</v>
          </cell>
          <cell r="X4905" t="str">
            <v>Formulación</v>
          </cell>
          <cell r="AC4905">
            <v>0.86130000000000007</v>
          </cell>
          <cell r="AD4905">
            <v>0.58422571428571424</v>
          </cell>
          <cell r="AE4905" t="str">
            <v>Con precio</v>
          </cell>
        </row>
        <row r="4906">
          <cell r="B4906" t="str">
            <v>SSEG0005SA</v>
          </cell>
          <cell r="X4906" t="str">
            <v>Formulación</v>
          </cell>
          <cell r="AC4906">
            <v>6.8080000000000002E-2</v>
          </cell>
          <cell r="AD4906">
            <v>6.5860000000000002E-2</v>
          </cell>
          <cell r="AE4906" t="str">
            <v>Con precio</v>
          </cell>
        </row>
        <row r="4907">
          <cell r="B4907" t="str">
            <v>SSEG0005SA</v>
          </cell>
          <cell r="X4907" t="str">
            <v>Formulación</v>
          </cell>
          <cell r="AC4907">
            <v>3.288E-2</v>
          </cell>
          <cell r="AD4907">
            <v>3.288E-2</v>
          </cell>
          <cell r="AE4907" t="str">
            <v>Con precio</v>
          </cell>
        </row>
        <row r="4908">
          <cell r="B4908" t="str">
            <v>SSEG0005SA</v>
          </cell>
          <cell r="X4908" t="str">
            <v>Empaquetado</v>
          </cell>
          <cell r="AC4908">
            <v>1.5470000000000001E-2</v>
          </cell>
          <cell r="AD4908">
            <v>1.5470000000000001E-2</v>
          </cell>
          <cell r="AE4908" t="str">
            <v>Con precio</v>
          </cell>
        </row>
        <row r="4909">
          <cell r="B4909" t="str">
            <v>SSEG0005SA</v>
          </cell>
          <cell r="X4909" t="str">
            <v>Empaquetado</v>
          </cell>
          <cell r="AC4909">
            <v>7.7948000000000002E-3</v>
          </cell>
          <cell r="AD4909">
            <v>7.7948000000000002E-3</v>
          </cell>
          <cell r="AE4909" t="str">
            <v>Con precio</v>
          </cell>
        </row>
        <row r="4910">
          <cell r="B4910" t="str">
            <v>SSEG0005SA</v>
          </cell>
          <cell r="X4910" t="str">
            <v>Empaquetado</v>
          </cell>
          <cell r="AC4910">
            <v>1.26336E-2</v>
          </cell>
          <cell r="AD4910">
            <v>1.26336E-2</v>
          </cell>
          <cell r="AE4910" t="str">
            <v>Con precio</v>
          </cell>
        </row>
        <row r="4911">
          <cell r="B4911" t="str">
            <v>SSEG0005SA</v>
          </cell>
          <cell r="X4911" t="str">
            <v>Empaquetado</v>
          </cell>
          <cell r="AC4911">
            <v>2.9560014104372354E-2</v>
          </cell>
          <cell r="AD4911">
            <v>2.9560014104372354E-2</v>
          </cell>
          <cell r="AE4911" t="str">
            <v>Con precio</v>
          </cell>
        </row>
        <row r="4912">
          <cell r="B4912" t="str">
            <v>SSEG0005SA</v>
          </cell>
          <cell r="X4912" t="str">
            <v>Empaquetado</v>
          </cell>
          <cell r="AC4912">
            <v>2.1682000000000003E-2</v>
          </cell>
          <cell r="AD4912">
            <v>2.1682000000000003E-2</v>
          </cell>
          <cell r="AE4912" t="str">
            <v>Con precio</v>
          </cell>
        </row>
        <row r="4913">
          <cell r="B4913" t="str">
            <v>SSEG0020EG</v>
          </cell>
          <cell r="X4913" t="str">
            <v>Formulación</v>
          </cell>
          <cell r="AC4913">
            <v>0.36259999999999998</v>
          </cell>
          <cell r="AD4913">
            <v>0.36259999999999998</v>
          </cell>
          <cell r="AE4913" t="str">
            <v>Con precio</v>
          </cell>
        </row>
        <row r="4914">
          <cell r="B4914" t="str">
            <v>SSEG0020EG</v>
          </cell>
          <cell r="X4914" t="str">
            <v>Formulación</v>
          </cell>
          <cell r="AC4914">
            <v>0.86130000000000007</v>
          </cell>
          <cell r="AD4914">
            <v>0.58422571428571424</v>
          </cell>
          <cell r="AE4914" t="str">
            <v>Con precio</v>
          </cell>
        </row>
        <row r="4915">
          <cell r="B4915" t="str">
            <v>SSEG0020EG</v>
          </cell>
          <cell r="X4915" t="str">
            <v>Formulación</v>
          </cell>
          <cell r="AC4915">
            <v>6.8080000000000002E-2</v>
          </cell>
          <cell r="AD4915">
            <v>6.5860000000000002E-2</v>
          </cell>
          <cell r="AE4915" t="str">
            <v>Con precio</v>
          </cell>
        </row>
        <row r="4916">
          <cell r="B4916" t="str">
            <v>SSEG0020EG</v>
          </cell>
          <cell r="X4916" t="str">
            <v>Formulación</v>
          </cell>
          <cell r="AC4916">
            <v>3.288E-2</v>
          </cell>
          <cell r="AD4916">
            <v>3.288E-2</v>
          </cell>
          <cell r="AE4916" t="str">
            <v>Con precio</v>
          </cell>
        </row>
        <row r="4917">
          <cell r="B4917" t="str">
            <v>SSEG0020EG</v>
          </cell>
          <cell r="X4917" t="str">
            <v>Empaquetado</v>
          </cell>
          <cell r="AC4917">
            <v>1.5470000000000001E-2</v>
          </cell>
          <cell r="AD4917">
            <v>1.5470000000000001E-2</v>
          </cell>
          <cell r="AE4917" t="str">
            <v>Con precio</v>
          </cell>
        </row>
        <row r="4918">
          <cell r="B4918" t="str">
            <v>SSEG0020EG</v>
          </cell>
          <cell r="X4918" t="str">
            <v>Empaquetado</v>
          </cell>
          <cell r="AC4918">
            <v>5.5115999999999993E-3</v>
          </cell>
          <cell r="AD4918">
            <v>5.5115999999999993E-3</v>
          </cell>
          <cell r="AE4918" t="str">
            <v>Con precio</v>
          </cell>
        </row>
        <row r="4919">
          <cell r="B4919" t="str">
            <v>SSEG0020EG</v>
          </cell>
          <cell r="X4919" t="str">
            <v>Empaquetado</v>
          </cell>
          <cell r="AC4919">
            <v>5.2640000000000004E-3</v>
          </cell>
          <cell r="AD4919">
            <v>5.2640000000000004E-3</v>
          </cell>
          <cell r="AE4919" t="str">
            <v>Con precio</v>
          </cell>
        </row>
        <row r="4920">
          <cell r="B4920" t="str">
            <v>SSEG0020EG</v>
          </cell>
          <cell r="X4920" t="str">
            <v>Empaquetado</v>
          </cell>
          <cell r="AC4920">
            <v>1.6625000000000001E-2</v>
          </cell>
          <cell r="AD4920">
            <v>1.6625000000000001E-2</v>
          </cell>
          <cell r="AE4920" t="str">
            <v>Con precio</v>
          </cell>
        </row>
        <row r="4921">
          <cell r="B4921" t="str">
            <v>SSEG0020EG</v>
          </cell>
          <cell r="X4921" t="str">
            <v>Empaquetado</v>
          </cell>
          <cell r="AC4921">
            <v>3.6950017630465445E-2</v>
          </cell>
          <cell r="AD4921">
            <v>3.6950017630465445E-2</v>
          </cell>
          <cell r="AE4921" t="str">
            <v>Con precio</v>
          </cell>
        </row>
        <row r="4922">
          <cell r="B4922" t="str">
            <v>START20001DO</v>
          </cell>
          <cell r="X4922" t="str">
            <v>Formulación</v>
          </cell>
          <cell r="AC4922">
            <v>2.2800000000000001E-2</v>
          </cell>
          <cell r="AD4922">
            <v>2.2800000000000001E-2</v>
          </cell>
          <cell r="AE4922" t="str">
            <v>Con precio</v>
          </cell>
        </row>
        <row r="4923">
          <cell r="B4923" t="str">
            <v>START20001DO</v>
          </cell>
          <cell r="X4923" t="str">
            <v>Formulación</v>
          </cell>
          <cell r="AC4923">
            <v>0.16275000000000001</v>
          </cell>
          <cell r="AD4923">
            <v>0.16275000000000001</v>
          </cell>
          <cell r="AE4923" t="str">
            <v>Con precio</v>
          </cell>
        </row>
        <row r="4924">
          <cell r="B4924" t="str">
            <v>START20001DO</v>
          </cell>
          <cell r="X4924" t="str">
            <v>Formulación</v>
          </cell>
          <cell r="AC4924">
            <v>6.4606060606060611E-2</v>
          </cell>
          <cell r="AD4924">
            <v>6.4606060606060611E-2</v>
          </cell>
          <cell r="AE4924" t="str">
            <v>Con precio</v>
          </cell>
        </row>
        <row r="4925">
          <cell r="B4925" t="str">
            <v>START20001DO</v>
          </cell>
          <cell r="X4925" t="str">
            <v>Formulación</v>
          </cell>
          <cell r="AC4925">
            <v>0.78320000000000001</v>
          </cell>
          <cell r="AD4925">
            <v>0.78320000000000001</v>
          </cell>
          <cell r="AE4925" t="str">
            <v>Con precio</v>
          </cell>
        </row>
        <row r="4926">
          <cell r="B4926" t="str">
            <v>START20001DO</v>
          </cell>
          <cell r="X4926" t="str">
            <v>Formulación</v>
          </cell>
          <cell r="AC4926">
            <v>0.40110000000000001</v>
          </cell>
          <cell r="AD4926">
            <v>0.28302379999999999</v>
          </cell>
          <cell r="AE4926" t="str">
            <v>Con precio</v>
          </cell>
        </row>
        <row r="4927">
          <cell r="B4927" t="str">
            <v>START20001DO</v>
          </cell>
          <cell r="X4927" t="str">
            <v>Formulación</v>
          </cell>
          <cell r="AC4927">
            <v>9.7599999999999996E-3</v>
          </cell>
          <cell r="AD4927">
            <v>9.7599999999999996E-3</v>
          </cell>
          <cell r="AE4927" t="str">
            <v>Con precio</v>
          </cell>
        </row>
        <row r="4928">
          <cell r="B4928" t="str">
            <v>START20001DO</v>
          </cell>
          <cell r="X4928" t="str">
            <v>Empaquetado</v>
          </cell>
          <cell r="AC4928">
            <v>3.0303030303030299E-5</v>
          </cell>
          <cell r="AD4928">
            <v>3.0303030303030299E-5</v>
          </cell>
          <cell r="AE4928" t="str">
            <v>Con precio</v>
          </cell>
        </row>
        <row r="4929">
          <cell r="B4929" t="str">
            <v>START20001DO</v>
          </cell>
          <cell r="X4929" t="str">
            <v>Empaquetado</v>
          </cell>
          <cell r="AC4929">
            <v>2.3439393939393937E-2</v>
          </cell>
          <cell r="AD4929">
            <v>2.3439393939393937E-2</v>
          </cell>
          <cell r="AE4929" t="str">
            <v>Con precio</v>
          </cell>
        </row>
        <row r="4930">
          <cell r="B4930" t="str">
            <v>START20001DO</v>
          </cell>
          <cell r="X4930" t="str">
            <v>Empaquetado</v>
          </cell>
          <cell r="AC4930">
            <v>7.1917518745739595E-2</v>
          </cell>
          <cell r="AD4930">
            <v>7.1917518745739595E-2</v>
          </cell>
          <cell r="AE4930" t="str">
            <v>Con precio</v>
          </cell>
        </row>
        <row r="4931">
          <cell r="B4931" t="str">
            <v>START20001DO</v>
          </cell>
          <cell r="X4931" t="str">
            <v>Empaquetado</v>
          </cell>
          <cell r="AC4931">
            <v>0.44322992424242419</v>
          </cell>
          <cell r="AD4931">
            <v>0.44322992424242419</v>
          </cell>
          <cell r="AE4931" t="str">
            <v>Con precio</v>
          </cell>
        </row>
        <row r="4932">
          <cell r="B4932" t="str">
            <v>START20001DO</v>
          </cell>
          <cell r="X4932" t="str">
            <v>Empaquetado</v>
          </cell>
          <cell r="AC4932">
            <v>0.11874999999999999</v>
          </cell>
          <cell r="AD4932">
            <v>0.11874999999999999</v>
          </cell>
          <cell r="AE4932" t="str">
            <v>Con precio</v>
          </cell>
        </row>
        <row r="4933">
          <cell r="B4933" t="str">
            <v>START20001DO</v>
          </cell>
          <cell r="X4933" t="str">
            <v>Empaquetado</v>
          </cell>
          <cell r="AC4933">
            <v>9.6080774456521717E-2</v>
          </cell>
          <cell r="AD4933">
            <v>9.6080774456521717E-2</v>
          </cell>
          <cell r="AE4933" t="str">
            <v>Con precio</v>
          </cell>
        </row>
        <row r="4934">
          <cell r="B4934" t="str">
            <v>START20005</v>
          </cell>
          <cell r="X4934" t="str">
            <v>Formulación</v>
          </cell>
          <cell r="AC4934">
            <v>2.2800000000000001E-2</v>
          </cell>
          <cell r="AD4934">
            <v>2.2800000000000001E-2</v>
          </cell>
          <cell r="AE4934" t="str">
            <v>Con precio</v>
          </cell>
        </row>
        <row r="4935">
          <cell r="B4935" t="str">
            <v>START20005</v>
          </cell>
          <cell r="X4935" t="str">
            <v>Formulación</v>
          </cell>
          <cell r="AC4935">
            <v>0.16275000000000001</v>
          </cell>
          <cell r="AD4935">
            <v>0.16275000000000001</v>
          </cell>
          <cell r="AE4935" t="str">
            <v>Con precio</v>
          </cell>
        </row>
        <row r="4936">
          <cell r="B4936" t="str">
            <v>START20005</v>
          </cell>
          <cell r="X4936" t="str">
            <v>Formulación</v>
          </cell>
          <cell r="AC4936">
            <v>6.4606060606060611E-2</v>
          </cell>
          <cell r="AD4936">
            <v>6.4606060606060611E-2</v>
          </cell>
          <cell r="AE4936" t="str">
            <v>Con precio</v>
          </cell>
        </row>
        <row r="4937">
          <cell r="B4937" t="str">
            <v>START20005</v>
          </cell>
          <cell r="X4937" t="str">
            <v>Formulación</v>
          </cell>
          <cell r="AC4937">
            <v>0.78320000000000001</v>
          </cell>
          <cell r="AD4937">
            <v>0.78320000000000001</v>
          </cell>
          <cell r="AE4937" t="str">
            <v>Con precio</v>
          </cell>
        </row>
        <row r="4938">
          <cell r="B4938" t="str">
            <v>START20005</v>
          </cell>
          <cell r="X4938" t="str">
            <v>Formulación</v>
          </cell>
          <cell r="AC4938">
            <v>0.40110000000000001</v>
          </cell>
          <cell r="AD4938">
            <v>0.28302379999999999</v>
          </cell>
          <cell r="AE4938" t="str">
            <v>Con precio</v>
          </cell>
        </row>
        <row r="4939">
          <cell r="B4939" t="str">
            <v>START20005</v>
          </cell>
          <cell r="X4939" t="str">
            <v>Formulación</v>
          </cell>
          <cell r="AC4939">
            <v>9.7599999999999996E-3</v>
          </cell>
          <cell r="AD4939">
            <v>9.7599999999999996E-3</v>
          </cell>
          <cell r="AE4939" t="str">
            <v>Con precio</v>
          </cell>
        </row>
        <row r="4940">
          <cell r="B4940" t="str">
            <v>START20005</v>
          </cell>
          <cell r="X4940" t="str">
            <v>Empaquetado</v>
          </cell>
          <cell r="AC4940">
            <v>1.2991333333333337E-2</v>
          </cell>
          <cell r="AD4940">
            <v>1.2991333333333337E-2</v>
          </cell>
          <cell r="AE4940" t="str">
            <v>Con precio</v>
          </cell>
        </row>
        <row r="4941">
          <cell r="B4941" t="str">
            <v>START20005</v>
          </cell>
          <cell r="X4941" t="str">
            <v>Empaquetado</v>
          </cell>
          <cell r="AC4941">
            <v>2.5783333333333339E-2</v>
          </cell>
          <cell r="AD4941">
            <v>2.5783333333333339E-2</v>
          </cell>
          <cell r="AE4941" t="str">
            <v>Con precio</v>
          </cell>
        </row>
        <row r="4942">
          <cell r="B4942" t="str">
            <v>START20005</v>
          </cell>
          <cell r="X4942" t="str">
            <v>Empaquetado</v>
          </cell>
          <cell r="AC4942">
            <v>2.5359983896940424E-2</v>
          </cell>
          <cell r="AD4942">
            <v>2.5359983896940424E-2</v>
          </cell>
          <cell r="AE4942" t="str">
            <v>Con precio</v>
          </cell>
        </row>
        <row r="4943">
          <cell r="B4943" t="str">
            <v>START20005</v>
          </cell>
          <cell r="X4943" t="str">
            <v>Empaquetado</v>
          </cell>
          <cell r="AC4943">
            <v>0.17399999999999999</v>
          </cell>
          <cell r="AD4943">
            <v>0.17399999999999999</v>
          </cell>
          <cell r="AE4943" t="str">
            <v>Con precio</v>
          </cell>
        </row>
        <row r="4944">
          <cell r="B4944" t="str">
            <v>START20005</v>
          </cell>
          <cell r="X4944" t="str">
            <v>Empaquetado</v>
          </cell>
          <cell r="AC4944">
            <v>5.7799999999999997E-2</v>
          </cell>
          <cell r="AD4944">
            <v>5.7799999999999997E-2</v>
          </cell>
          <cell r="AE4944" t="str">
            <v>Con precio</v>
          </cell>
        </row>
        <row r="4945">
          <cell r="B4945" t="str">
            <v>START20005</v>
          </cell>
          <cell r="X4945" t="str">
            <v>Empaquetado</v>
          </cell>
          <cell r="AC4945">
            <v>3.6950017630465445E-2</v>
          </cell>
          <cell r="AD4945">
            <v>3.6950017630465445E-2</v>
          </cell>
          <cell r="AE4945" t="str">
            <v>Con precio</v>
          </cell>
        </row>
        <row r="4946">
          <cell r="B4946" t="str">
            <v>TRI0001</v>
          </cell>
          <cell r="X4946" t="str">
            <v>Formulación</v>
          </cell>
          <cell r="AC4946">
            <v>1.204E-2</v>
          </cell>
          <cell r="AD4946">
            <v>9.0019999999999996E-3</v>
          </cell>
          <cell r="AE4946" t="str">
            <v>Con precio</v>
          </cell>
        </row>
        <row r="4947">
          <cell r="B4947" t="str">
            <v>TRI0001</v>
          </cell>
          <cell r="X4947" t="str">
            <v>Formulación</v>
          </cell>
          <cell r="AC4947">
            <v>0.16757999999999998</v>
          </cell>
          <cell r="AD4947">
            <v>0.154056</v>
          </cell>
          <cell r="AE4947" t="str">
            <v>Con precio</v>
          </cell>
        </row>
        <row r="4948">
          <cell r="B4948" t="str">
            <v>TRI0001</v>
          </cell>
          <cell r="X4948" t="str">
            <v>Formulación</v>
          </cell>
          <cell r="AC4948">
            <v>0.86729999999999996</v>
          </cell>
          <cell r="AD4948">
            <v>0.86729999999999996</v>
          </cell>
          <cell r="AE4948" t="str">
            <v>Con precio</v>
          </cell>
        </row>
        <row r="4949">
          <cell r="B4949" t="str">
            <v>TRI0001</v>
          </cell>
          <cell r="X4949" t="str">
            <v>Formulación</v>
          </cell>
          <cell r="AC4949">
            <v>0.37800000000000006</v>
          </cell>
          <cell r="AD4949">
            <v>0.25640000000000002</v>
          </cell>
          <cell r="AE4949" t="str">
            <v>Con precio</v>
          </cell>
        </row>
        <row r="4950">
          <cell r="B4950" t="str">
            <v>TRI0001</v>
          </cell>
          <cell r="X4950" t="str">
            <v>Empaquetado</v>
          </cell>
          <cell r="AC4950">
            <v>3.0303030303030299E-5</v>
          </cell>
          <cell r="AD4950">
            <v>3.0303030303030299E-5</v>
          </cell>
          <cell r="AE4950" t="str">
            <v>Con precio</v>
          </cell>
        </row>
        <row r="4951">
          <cell r="B4951" t="str">
            <v>TRI0001</v>
          </cell>
          <cell r="X4951" t="str">
            <v>Empaquetado</v>
          </cell>
          <cell r="AC4951">
            <v>2.3439393939393937E-2</v>
          </cell>
          <cell r="AD4951">
            <v>2.3439393939393937E-2</v>
          </cell>
          <cell r="AE4951" t="str">
            <v>Con precio</v>
          </cell>
        </row>
        <row r="4952">
          <cell r="B4952" t="str">
            <v>TRI0001</v>
          </cell>
          <cell r="X4952" t="str">
            <v>Empaquetado</v>
          </cell>
          <cell r="AC4952">
            <v>7.1917518745739595E-2</v>
          </cell>
          <cell r="AD4952">
            <v>7.1917518745739595E-2</v>
          </cell>
          <cell r="AE4952" t="str">
            <v>Con precio</v>
          </cell>
        </row>
        <row r="4953">
          <cell r="B4953" t="str">
            <v>TRI0001</v>
          </cell>
          <cell r="X4953" t="str">
            <v>Empaquetado</v>
          </cell>
          <cell r="AC4953">
            <v>0.11874999999999999</v>
          </cell>
          <cell r="AD4953">
            <v>0.11874999999999999</v>
          </cell>
          <cell r="AE4953" t="str">
            <v>Con precio</v>
          </cell>
        </row>
        <row r="4954">
          <cell r="B4954" t="str">
            <v>TRI0001</v>
          </cell>
          <cell r="X4954" t="str">
            <v>Empaquetado</v>
          </cell>
          <cell r="AC4954">
            <v>9.6080774456521717E-2</v>
          </cell>
          <cell r="AD4954">
            <v>9.6080774456521717E-2</v>
          </cell>
          <cell r="AE4954" t="str">
            <v>Con precio</v>
          </cell>
        </row>
        <row r="4955">
          <cell r="B4955" t="str">
            <v>TRI0001</v>
          </cell>
          <cell r="X4955" t="str">
            <v>Empaquetado</v>
          </cell>
          <cell r="AC4955">
            <v>0.59068001033057849</v>
          </cell>
          <cell r="AD4955">
            <v>0.59068001033057849</v>
          </cell>
          <cell r="AE4955" t="str">
            <v>Con precio</v>
          </cell>
        </row>
        <row r="4956">
          <cell r="B4956" t="str">
            <v>TRI0001EC</v>
          </cell>
          <cell r="X4956" t="str">
            <v>Formulación</v>
          </cell>
          <cell r="AC4956">
            <v>1.204E-2</v>
          </cell>
          <cell r="AD4956">
            <v>9.0019999999999996E-3</v>
          </cell>
          <cell r="AE4956" t="str">
            <v>Con precio</v>
          </cell>
        </row>
        <row r="4957">
          <cell r="B4957" t="str">
            <v>TRI0001EC</v>
          </cell>
          <cell r="X4957" t="str">
            <v>Formulación</v>
          </cell>
          <cell r="AC4957">
            <v>0.16757999999999998</v>
          </cell>
          <cell r="AD4957">
            <v>0.154056</v>
          </cell>
          <cell r="AE4957" t="str">
            <v>Con precio</v>
          </cell>
        </row>
        <row r="4958">
          <cell r="B4958" t="str">
            <v>TRI0001EC</v>
          </cell>
          <cell r="X4958" t="str">
            <v>Formulación</v>
          </cell>
          <cell r="AC4958">
            <v>0.86729999999999996</v>
          </cell>
          <cell r="AD4958">
            <v>0.86729999999999996</v>
          </cell>
          <cell r="AE4958" t="str">
            <v>Con precio</v>
          </cell>
        </row>
        <row r="4959">
          <cell r="B4959" t="str">
            <v>TRI0001EC</v>
          </cell>
          <cell r="X4959" t="str">
            <v>Formulación</v>
          </cell>
          <cell r="AC4959">
            <v>0.37800000000000006</v>
          </cell>
          <cell r="AD4959">
            <v>0.25640000000000002</v>
          </cell>
          <cell r="AE4959" t="str">
            <v>Con precio</v>
          </cell>
        </row>
        <row r="4960">
          <cell r="B4960" t="str">
            <v>TRI0001EC</v>
          </cell>
          <cell r="X4960" t="str">
            <v>Empaquetado</v>
          </cell>
          <cell r="AC4960">
            <v>3.0303030303030299E-5</v>
          </cell>
          <cell r="AD4960">
            <v>3.0303030303030299E-5</v>
          </cell>
          <cell r="AE4960" t="str">
            <v>Con precio</v>
          </cell>
        </row>
        <row r="4961">
          <cell r="B4961" t="str">
            <v>TRI0001EC</v>
          </cell>
          <cell r="X4961" t="str">
            <v>Empaquetado</v>
          </cell>
          <cell r="AC4961">
            <v>2.3439393939393937E-2</v>
          </cell>
          <cell r="AD4961">
            <v>2.3439393939393937E-2</v>
          </cell>
          <cell r="AE4961" t="str">
            <v>Con precio</v>
          </cell>
        </row>
        <row r="4962">
          <cell r="B4962" t="str">
            <v>TRI0001EC</v>
          </cell>
          <cell r="X4962" t="str">
            <v>Empaquetado</v>
          </cell>
          <cell r="AC4962">
            <v>7.1917518745739595E-2</v>
          </cell>
          <cell r="AD4962">
            <v>7.1917518745739595E-2</v>
          </cell>
          <cell r="AE4962" t="str">
            <v>Con precio</v>
          </cell>
        </row>
        <row r="4963">
          <cell r="B4963" t="str">
            <v>TRI0001EC</v>
          </cell>
          <cell r="X4963" t="str">
            <v>Empaquetado</v>
          </cell>
          <cell r="AC4963">
            <v>0.11874999999999999</v>
          </cell>
          <cell r="AD4963">
            <v>0.11874999999999999</v>
          </cell>
          <cell r="AE4963" t="str">
            <v>Con precio</v>
          </cell>
        </row>
        <row r="4964">
          <cell r="B4964" t="str">
            <v>TRI0001EC</v>
          </cell>
          <cell r="X4964" t="str">
            <v>Empaquetado</v>
          </cell>
          <cell r="AC4964">
            <v>9.6080774456521717E-2</v>
          </cell>
          <cell r="AD4964">
            <v>9.6080774456521717E-2</v>
          </cell>
          <cell r="AE4964" t="str">
            <v>Con precio</v>
          </cell>
        </row>
        <row r="4965">
          <cell r="B4965" t="str">
            <v>TRI0001EC</v>
          </cell>
          <cell r="X4965" t="str">
            <v>Empaquetado</v>
          </cell>
          <cell r="AC4965">
            <v>0.59068001033057849</v>
          </cell>
          <cell r="AD4965">
            <v>0.59068001033057849</v>
          </cell>
          <cell r="AE4965" t="str">
            <v>Con precio</v>
          </cell>
        </row>
        <row r="4966">
          <cell r="B4966" t="str">
            <v>TRI0005</v>
          </cell>
          <cell r="X4966" t="str">
            <v>Formulación</v>
          </cell>
          <cell r="AC4966">
            <v>1.204E-2</v>
          </cell>
          <cell r="AD4966">
            <v>9.0019999999999996E-3</v>
          </cell>
          <cell r="AE4966" t="str">
            <v>Con precio</v>
          </cell>
        </row>
        <row r="4967">
          <cell r="B4967" t="str">
            <v>TRI0005</v>
          </cell>
          <cell r="X4967" t="str">
            <v>Formulación</v>
          </cell>
          <cell r="AC4967">
            <v>0.16757999999999998</v>
          </cell>
          <cell r="AD4967">
            <v>0.154056</v>
          </cell>
          <cell r="AE4967" t="str">
            <v>Con precio</v>
          </cell>
        </row>
        <row r="4968">
          <cell r="B4968" t="str">
            <v>TRI0005</v>
          </cell>
          <cell r="X4968" t="str">
            <v>Formulación</v>
          </cell>
          <cell r="AC4968">
            <v>0.86729999999999996</v>
          </cell>
          <cell r="AD4968">
            <v>0.86729999999999996</v>
          </cell>
          <cell r="AE4968" t="str">
            <v>Con precio</v>
          </cell>
        </row>
        <row r="4969">
          <cell r="B4969" t="str">
            <v>TRI0005</v>
          </cell>
          <cell r="X4969" t="str">
            <v>Formulación</v>
          </cell>
          <cell r="AC4969">
            <v>0.37800000000000006</v>
          </cell>
          <cell r="AD4969">
            <v>0.25640000000000002</v>
          </cell>
          <cell r="AE4969" t="str">
            <v>Con precio</v>
          </cell>
        </row>
        <row r="4970">
          <cell r="B4970" t="str">
            <v>TRI0005</v>
          </cell>
          <cell r="X4970" t="str">
            <v>Empaquetado</v>
          </cell>
          <cell r="AC4970">
            <v>1.2991333333333337E-2</v>
          </cell>
          <cell r="AD4970">
            <v>1.2991333333333337E-2</v>
          </cell>
          <cell r="AE4970" t="str">
            <v>Con precio</v>
          </cell>
        </row>
        <row r="4971">
          <cell r="B4971" t="str">
            <v>TRI0005</v>
          </cell>
          <cell r="X4971" t="str">
            <v>Empaquetado</v>
          </cell>
          <cell r="AC4971">
            <v>2.5783333333333339E-2</v>
          </cell>
          <cell r="AD4971">
            <v>2.5783333333333339E-2</v>
          </cell>
          <cell r="AE4971" t="str">
            <v>Con precio</v>
          </cell>
        </row>
        <row r="4972">
          <cell r="B4972" t="str">
            <v>TRI0005</v>
          </cell>
          <cell r="X4972" t="str">
            <v>Empaquetado</v>
          </cell>
          <cell r="AC4972">
            <v>2.5359983896940424E-2</v>
          </cell>
          <cell r="AD4972">
            <v>2.5359983896940424E-2</v>
          </cell>
          <cell r="AE4972" t="str">
            <v>Con precio</v>
          </cell>
        </row>
        <row r="4973">
          <cell r="B4973" t="str">
            <v>TRI0005</v>
          </cell>
          <cell r="X4973" t="str">
            <v>Empaquetado</v>
          </cell>
          <cell r="AC4973">
            <v>0.17399999999999999</v>
          </cell>
          <cell r="AD4973">
            <v>0.17399999999999999</v>
          </cell>
          <cell r="AE4973" t="str">
            <v>Con precio</v>
          </cell>
        </row>
        <row r="4974">
          <cell r="B4974" t="str">
            <v>TRI0005</v>
          </cell>
          <cell r="X4974" t="str">
            <v>Empaquetado</v>
          </cell>
          <cell r="AC4974">
            <v>5.7799999999999997E-2</v>
          </cell>
          <cell r="AD4974">
            <v>5.7799999999999997E-2</v>
          </cell>
          <cell r="AE4974" t="str">
            <v>Con precio</v>
          </cell>
        </row>
        <row r="4975">
          <cell r="B4975" t="str">
            <v>TRI0005</v>
          </cell>
          <cell r="X4975" t="str">
            <v>Empaquetado</v>
          </cell>
          <cell r="AC4975">
            <v>3.6950017630465445E-2</v>
          </cell>
          <cell r="AD4975">
            <v>3.6950017630465445E-2</v>
          </cell>
          <cell r="AE4975" t="str">
            <v>Con precio</v>
          </cell>
        </row>
        <row r="4976">
          <cell r="B4976" t="str">
            <v>VITA0001GR</v>
          </cell>
          <cell r="X4976" t="str">
            <v>Formulación</v>
          </cell>
          <cell r="AC4976">
            <v>1.8339999999999999E-2</v>
          </cell>
          <cell r="AD4976">
            <v>1.6637000000000002E-2</v>
          </cell>
          <cell r="AE4976" t="str">
            <v>Con precio</v>
          </cell>
        </row>
        <row r="4977">
          <cell r="B4977" t="str">
            <v>VITA0001GR</v>
          </cell>
          <cell r="X4977" t="str">
            <v>Formulación</v>
          </cell>
          <cell r="AC4977">
            <v>5.9295E-2</v>
          </cell>
          <cell r="AD4977">
            <v>5.9295E-2</v>
          </cell>
          <cell r="AE4977" t="str">
            <v>Con precio</v>
          </cell>
        </row>
        <row r="4978">
          <cell r="B4978" t="str">
            <v>VITA0001GR</v>
          </cell>
          <cell r="X4978" t="str">
            <v>Formulación</v>
          </cell>
          <cell r="AC4978">
            <v>0.09</v>
          </cell>
          <cell r="AD4978">
            <v>8.1250000000000003E-2</v>
          </cell>
          <cell r="AE4978" t="str">
            <v>Con precio</v>
          </cell>
        </row>
        <row r="4979">
          <cell r="B4979" t="str">
            <v>VITA0001GR</v>
          </cell>
          <cell r="X4979" t="str">
            <v>Formulación</v>
          </cell>
          <cell r="AC4979">
            <v>5.6400000000000006E-2</v>
          </cell>
          <cell r="AD4979">
            <v>4.5983999999999997E-2</v>
          </cell>
          <cell r="AE4979" t="str">
            <v>Con precio</v>
          </cell>
        </row>
        <row r="4980">
          <cell r="B4980" t="str">
            <v>VITA0001GR</v>
          </cell>
          <cell r="X4980" t="str">
            <v>Formulación</v>
          </cell>
          <cell r="AC4980">
            <v>7.3200000000000001E-3</v>
          </cell>
          <cell r="AD4980">
            <v>7.3200000000000001E-3</v>
          </cell>
          <cell r="AE4980" t="str">
            <v>Con precio</v>
          </cell>
        </row>
        <row r="4981">
          <cell r="B4981" t="str">
            <v>VITA0001GR</v>
          </cell>
          <cell r="X4981" t="str">
            <v>Formulación</v>
          </cell>
          <cell r="AC4981">
            <v>0.10973999999999999</v>
          </cell>
          <cell r="AD4981">
            <v>0.10973999999999999</v>
          </cell>
          <cell r="AE4981" t="str">
            <v>Con precio</v>
          </cell>
        </row>
        <row r="4982">
          <cell r="B4982" t="str">
            <v>VITA0001GR</v>
          </cell>
          <cell r="X4982" t="str">
            <v>Formulación</v>
          </cell>
          <cell r="AC4982">
            <v>0.70400000000000007</v>
          </cell>
          <cell r="AD4982">
            <v>0.70400000000000007</v>
          </cell>
          <cell r="AE4982" t="str">
            <v>Con precio</v>
          </cell>
        </row>
        <row r="4983">
          <cell r="B4983" t="str">
            <v>VITA0001GR</v>
          </cell>
          <cell r="X4983" t="str">
            <v>Formulación</v>
          </cell>
          <cell r="AC4983">
            <v>4.1279999999999997E-2</v>
          </cell>
          <cell r="AD4983">
            <v>3.0864000000000003E-2</v>
          </cell>
          <cell r="AE4983" t="str">
            <v>Con precio</v>
          </cell>
        </row>
        <row r="4984">
          <cell r="B4984" t="str">
            <v>VITA0001GR</v>
          </cell>
          <cell r="X4984" t="str">
            <v>Formulación</v>
          </cell>
          <cell r="AC4984">
            <v>7.6950000000000005E-2</v>
          </cell>
          <cell r="AD4984">
            <v>7.0740000000000011E-2</v>
          </cell>
          <cell r="AE4984" t="str">
            <v>Con precio</v>
          </cell>
        </row>
        <row r="4985">
          <cell r="B4985" t="str">
            <v>VITA0001GR</v>
          </cell>
          <cell r="X4985" t="str">
            <v>Formulación</v>
          </cell>
          <cell r="AC4985">
            <v>9.672E-2</v>
          </cell>
          <cell r="AD4985">
            <v>8.8902666666666672E-2</v>
          </cell>
          <cell r="AE4985" t="str">
            <v>Con precio</v>
          </cell>
        </row>
        <row r="4986">
          <cell r="B4986" t="str">
            <v>VITA0001GR</v>
          </cell>
          <cell r="X4986" t="str">
            <v>Formulación</v>
          </cell>
          <cell r="AC4986">
            <v>0.26230999999999999</v>
          </cell>
          <cell r="AD4986">
            <v>0.18219142857142862</v>
          </cell>
          <cell r="AE4986" t="str">
            <v>Con precio</v>
          </cell>
        </row>
        <row r="4987">
          <cell r="B4987" t="str">
            <v>VITA0001GR</v>
          </cell>
          <cell r="X4987" t="str">
            <v>Formulación</v>
          </cell>
          <cell r="AC4987">
            <v>0.55650000000000011</v>
          </cell>
          <cell r="AD4987">
            <v>0.50217500000000004</v>
          </cell>
          <cell r="AE4987" t="str">
            <v>Con precio</v>
          </cell>
        </row>
        <row r="4988">
          <cell r="B4988" t="str">
            <v>VITA0001GR</v>
          </cell>
          <cell r="X4988" t="str">
            <v>Empaquetado</v>
          </cell>
          <cell r="AC4988">
            <v>2.5252525252525259E-5</v>
          </cell>
          <cell r="AD4988">
            <v>2.5252525252525259E-5</v>
          </cell>
          <cell r="AE4988" t="str">
            <v>Con precio</v>
          </cell>
        </row>
        <row r="4989">
          <cell r="B4989" t="str">
            <v>VITA0001GR</v>
          </cell>
          <cell r="X4989" t="str">
            <v>Empaquetado</v>
          </cell>
          <cell r="AC4989">
            <v>1.9532828282828287E-2</v>
          </cell>
          <cell r="AD4989">
            <v>1.9532828282828287E-2</v>
          </cell>
          <cell r="AE4989" t="str">
            <v>Con precio</v>
          </cell>
        </row>
        <row r="4990">
          <cell r="B4990" t="str">
            <v>VITA0001GR</v>
          </cell>
          <cell r="X4990" t="str">
            <v>Empaquetado</v>
          </cell>
          <cell r="AC4990">
            <v>7.1917518745739595E-2</v>
          </cell>
          <cell r="AD4990">
            <v>7.1917518745739595E-2</v>
          </cell>
          <cell r="AE4990" t="str">
            <v>Con precio</v>
          </cell>
        </row>
        <row r="4991">
          <cell r="B4991" t="str">
            <v>VITA0001GR</v>
          </cell>
          <cell r="X4991" t="str">
            <v>Empaquetado</v>
          </cell>
          <cell r="AC4991">
            <v>0.45124999999999998</v>
          </cell>
          <cell r="AD4991">
            <v>0.32061666666666666</v>
          </cell>
          <cell r="AE4991" t="str">
            <v>Con precio</v>
          </cell>
        </row>
        <row r="4992">
          <cell r="B4992" t="str">
            <v>VITA0001GR</v>
          </cell>
          <cell r="X4992" t="str">
            <v>Empaquetado</v>
          </cell>
          <cell r="AC4992">
            <v>0.44322992424242419</v>
          </cell>
          <cell r="AD4992">
            <v>0.44322992424242419</v>
          </cell>
          <cell r="AE4992" t="str">
            <v>Con precio</v>
          </cell>
        </row>
        <row r="4993">
          <cell r="B4993" t="str">
            <v>VITA0001GR</v>
          </cell>
          <cell r="X4993" t="str">
            <v>Empaquetado</v>
          </cell>
          <cell r="AC4993">
            <v>9.6080774456521717E-2</v>
          </cell>
          <cell r="AD4993">
            <v>9.6080774456521717E-2</v>
          </cell>
          <cell r="AE4993" t="str">
            <v>Con precio</v>
          </cell>
        </row>
        <row r="4994">
          <cell r="B4994" t="str">
            <v>VITA0005GR</v>
          </cell>
          <cell r="X4994" t="str">
            <v>Formulación</v>
          </cell>
          <cell r="AC4994">
            <v>1.8339999999999999E-2</v>
          </cell>
          <cell r="AD4994">
            <v>1.6637000000000002E-2</v>
          </cell>
          <cell r="AE4994" t="str">
            <v>Con precio</v>
          </cell>
        </row>
        <row r="4995">
          <cell r="B4995" t="str">
            <v>VITA0005GR</v>
          </cell>
          <cell r="X4995" t="str">
            <v>Formulación</v>
          </cell>
          <cell r="AC4995">
            <v>5.9295E-2</v>
          </cell>
          <cell r="AD4995">
            <v>5.9295E-2</v>
          </cell>
          <cell r="AE4995" t="str">
            <v>Con precio</v>
          </cell>
        </row>
        <row r="4996">
          <cell r="B4996" t="str">
            <v>VITA0005GR</v>
          </cell>
          <cell r="X4996" t="str">
            <v>Formulación</v>
          </cell>
          <cell r="AC4996">
            <v>0.09</v>
          </cell>
          <cell r="AD4996">
            <v>8.1250000000000003E-2</v>
          </cell>
          <cell r="AE4996" t="str">
            <v>Con precio</v>
          </cell>
        </row>
        <row r="4997">
          <cell r="B4997" t="str">
            <v>VITA0005GR</v>
          </cell>
          <cell r="X4997" t="str">
            <v>Formulación</v>
          </cell>
          <cell r="AC4997">
            <v>5.6400000000000006E-2</v>
          </cell>
          <cell r="AD4997">
            <v>4.5983999999999997E-2</v>
          </cell>
          <cell r="AE4997" t="str">
            <v>Con precio</v>
          </cell>
        </row>
        <row r="4998">
          <cell r="B4998" t="str">
            <v>VITA0005GR</v>
          </cell>
          <cell r="X4998" t="str">
            <v>Formulación</v>
          </cell>
          <cell r="AC4998">
            <v>7.3200000000000001E-3</v>
          </cell>
          <cell r="AD4998">
            <v>7.3200000000000001E-3</v>
          </cell>
          <cell r="AE4998" t="str">
            <v>Con precio</v>
          </cell>
        </row>
        <row r="4999">
          <cell r="B4999" t="str">
            <v>VITA0005GR</v>
          </cell>
          <cell r="X4999" t="str">
            <v>Formulación</v>
          </cell>
          <cell r="AC4999">
            <v>0.10973999999999999</v>
          </cell>
          <cell r="AD4999">
            <v>0.10973999999999999</v>
          </cell>
          <cell r="AE4999" t="str">
            <v>Con precio</v>
          </cell>
        </row>
        <row r="5000">
          <cell r="B5000" t="str">
            <v>VITA0005GR</v>
          </cell>
          <cell r="X5000" t="str">
            <v>Formulación</v>
          </cell>
          <cell r="AC5000">
            <v>0.70400000000000007</v>
          </cell>
          <cell r="AD5000">
            <v>0.70400000000000007</v>
          </cell>
          <cell r="AE5000" t="str">
            <v>Con precio</v>
          </cell>
        </row>
        <row r="5001">
          <cell r="B5001" t="str">
            <v>VITA0005GR</v>
          </cell>
          <cell r="X5001" t="str">
            <v>Formulación</v>
          </cell>
          <cell r="AC5001">
            <v>4.1279999999999997E-2</v>
          </cell>
          <cell r="AD5001">
            <v>3.0864000000000003E-2</v>
          </cell>
          <cell r="AE5001" t="str">
            <v>Con precio</v>
          </cell>
        </row>
        <row r="5002">
          <cell r="B5002" t="str">
            <v>VITA0005GR</v>
          </cell>
          <cell r="X5002" t="str">
            <v>Formulación</v>
          </cell>
          <cell r="AC5002">
            <v>7.6950000000000005E-2</v>
          </cell>
          <cell r="AD5002">
            <v>7.0740000000000011E-2</v>
          </cell>
          <cell r="AE5002" t="str">
            <v>Con precio</v>
          </cell>
        </row>
        <row r="5003">
          <cell r="B5003" t="str">
            <v>VITA0005GR</v>
          </cell>
          <cell r="X5003" t="str">
            <v>Formulación</v>
          </cell>
          <cell r="AC5003">
            <v>9.672E-2</v>
          </cell>
          <cell r="AD5003">
            <v>8.8902666666666672E-2</v>
          </cell>
          <cell r="AE5003" t="str">
            <v>Con precio</v>
          </cell>
        </row>
        <row r="5004">
          <cell r="B5004" t="str">
            <v>VITA0005GR</v>
          </cell>
          <cell r="X5004" t="str">
            <v>Formulación</v>
          </cell>
          <cell r="AC5004">
            <v>0.26230999999999999</v>
          </cell>
          <cell r="AD5004">
            <v>0.18219142857142862</v>
          </cell>
          <cell r="AE5004" t="str">
            <v>Con precio</v>
          </cell>
        </row>
        <row r="5005">
          <cell r="B5005" t="str">
            <v>VITA0005GR</v>
          </cell>
          <cell r="X5005" t="str">
            <v>Formulación</v>
          </cell>
          <cell r="AC5005">
            <v>0.55650000000000011</v>
          </cell>
          <cell r="AD5005">
            <v>0.50217500000000004</v>
          </cell>
          <cell r="AE5005" t="str">
            <v>Con precio</v>
          </cell>
        </row>
        <row r="5006">
          <cell r="B5006" t="str">
            <v>VITA0005GR</v>
          </cell>
          <cell r="X5006" t="str">
            <v>Empaquetado</v>
          </cell>
          <cell r="AC5006">
            <v>9.7435000000000004E-3</v>
          </cell>
          <cell r="AD5006">
            <v>9.7435000000000004E-3</v>
          </cell>
          <cell r="AE5006" t="str">
            <v>Con precio</v>
          </cell>
        </row>
        <row r="5007">
          <cell r="B5007" t="str">
            <v>VITA0005GR</v>
          </cell>
          <cell r="X5007" t="str">
            <v>Empaquetado</v>
          </cell>
          <cell r="AC5007">
            <v>1.9337500000000001E-2</v>
          </cell>
          <cell r="AD5007">
            <v>1.9337500000000001E-2</v>
          </cell>
          <cell r="AE5007" t="str">
            <v>Con precio</v>
          </cell>
        </row>
        <row r="5008">
          <cell r="B5008" t="str">
            <v>VITA0005GR</v>
          </cell>
          <cell r="X5008" t="str">
            <v>Empaquetado</v>
          </cell>
          <cell r="AC5008">
            <v>2.5359983896940424E-2</v>
          </cell>
          <cell r="AD5008">
            <v>2.5359983896940424E-2</v>
          </cell>
          <cell r="AE5008" t="str">
            <v>Con precio</v>
          </cell>
        </row>
        <row r="5009">
          <cell r="B5009" t="str">
            <v>VITA0005GR</v>
          </cell>
          <cell r="X5009" t="str">
            <v>Empaquetado</v>
          </cell>
          <cell r="AC5009">
            <v>0.17399999999999999</v>
          </cell>
          <cell r="AD5009">
            <v>0.17399999999999999</v>
          </cell>
          <cell r="AE5009" t="str">
            <v>Con precio</v>
          </cell>
        </row>
        <row r="5010">
          <cell r="B5010" t="str">
            <v>VITA0005GR</v>
          </cell>
          <cell r="X5010" t="str">
            <v>Empaquetado</v>
          </cell>
          <cell r="AC5010">
            <v>3.6950017630465445E-2</v>
          </cell>
          <cell r="AD5010">
            <v>3.6950017630465445E-2</v>
          </cell>
          <cell r="AE5010" t="str">
            <v>Con precio</v>
          </cell>
        </row>
        <row r="5011">
          <cell r="B5011" t="str">
            <v>VITA0005GR</v>
          </cell>
          <cell r="X5011" t="str">
            <v>Empaquetado</v>
          </cell>
          <cell r="AC5011">
            <v>4.0000000000000008E-2</v>
          </cell>
          <cell r="AD5011">
            <v>4.0000000000000008E-2</v>
          </cell>
          <cell r="AE5011" t="str">
            <v>Con precio</v>
          </cell>
        </row>
        <row r="5012">
          <cell r="B5012" t="str">
            <v>W330020CL</v>
          </cell>
          <cell r="X5012" t="str">
            <v>Formulación</v>
          </cell>
          <cell r="AC5012">
            <v>1.4067900000000003E-2</v>
          </cell>
          <cell r="AD5012">
            <v>1.4067900000000003E-2</v>
          </cell>
          <cell r="AE5012" t="str">
            <v>Con precio</v>
          </cell>
        </row>
        <row r="5013">
          <cell r="B5013" t="str">
            <v>W330020CL</v>
          </cell>
          <cell r="X5013" t="str">
            <v>Formulación</v>
          </cell>
          <cell r="AC5013">
            <v>0</v>
          </cell>
          <cell r="AD5013">
            <v>0</v>
          </cell>
          <cell r="AE5013" t="str">
            <v>Con precio</v>
          </cell>
        </row>
        <row r="5014">
          <cell r="B5014" t="str">
            <v>W330020CL</v>
          </cell>
          <cell r="X5014" t="str">
            <v>Formulación</v>
          </cell>
          <cell r="AC5014">
            <v>0.14751082499999998</v>
          </cell>
          <cell r="AD5014">
            <v>0.14751082499999998</v>
          </cell>
          <cell r="AE5014" t="str">
            <v>Con precio</v>
          </cell>
        </row>
        <row r="5015">
          <cell r="B5015" t="str">
            <v>W330020CL</v>
          </cell>
          <cell r="X5015" t="str">
            <v>Formulación</v>
          </cell>
          <cell r="AC5015">
            <v>1.8999749999999999E-2</v>
          </cell>
          <cell r="AD5015">
            <v>1.8999749999999999E-2</v>
          </cell>
          <cell r="AE5015" t="str">
            <v>Con precio</v>
          </cell>
        </row>
        <row r="5016">
          <cell r="B5016" t="str">
            <v>W330020CL</v>
          </cell>
          <cell r="X5016" t="str">
            <v>Formulación</v>
          </cell>
          <cell r="AC5016">
            <v>2.358125E-3</v>
          </cell>
          <cell r="AD5016">
            <v>2.358125E-3</v>
          </cell>
          <cell r="AE5016" t="str">
            <v>Con precio</v>
          </cell>
        </row>
        <row r="5017">
          <cell r="B5017" t="str">
            <v>W330020CL</v>
          </cell>
          <cell r="X5017" t="str">
            <v>Formulación</v>
          </cell>
          <cell r="AC5017">
            <v>5.8455E-2</v>
          </cell>
          <cell r="AD5017">
            <v>5.8455E-2</v>
          </cell>
          <cell r="AE5017" t="str">
            <v>Con precio</v>
          </cell>
        </row>
        <row r="5018">
          <cell r="B5018" t="str">
            <v>W330020CL</v>
          </cell>
          <cell r="X5018" t="str">
            <v>Formulación</v>
          </cell>
          <cell r="AC5018">
            <v>7.6800000000000002E-3</v>
          </cell>
          <cell r="AD5018">
            <v>7.6800000000000002E-3</v>
          </cell>
          <cell r="AE5018" t="str">
            <v>Con precio</v>
          </cell>
        </row>
        <row r="5019">
          <cell r="B5019" t="str">
            <v>W330020CL</v>
          </cell>
          <cell r="X5019" t="str">
            <v>Formulación</v>
          </cell>
          <cell r="AC5019">
            <v>4.1519999999999994E-3</v>
          </cell>
          <cell r="AD5019">
            <v>3.4919999999999999E-3</v>
          </cell>
          <cell r="AE5019" t="str">
            <v>Con precio</v>
          </cell>
        </row>
        <row r="5020">
          <cell r="B5020" t="str">
            <v>W330020CL</v>
          </cell>
          <cell r="X5020" t="str">
            <v>Empaquetado</v>
          </cell>
          <cell r="AC5020">
            <v>1.5470000000000001E-2</v>
          </cell>
          <cell r="AD5020">
            <v>1.5470000000000001E-2</v>
          </cell>
          <cell r="AE5020" t="str">
            <v>Con precio</v>
          </cell>
        </row>
        <row r="5021">
          <cell r="B5021" t="str">
            <v>W330020CL</v>
          </cell>
          <cell r="X5021" t="str">
            <v>Empaquetado</v>
          </cell>
          <cell r="AC5021">
            <v>5.2896000000000002E-3</v>
          </cell>
          <cell r="AD5021">
            <v>5.2896000000000002E-3</v>
          </cell>
          <cell r="AE5021" t="str">
            <v>Con precio</v>
          </cell>
        </row>
        <row r="5022">
          <cell r="B5022" t="str">
            <v>W330020CL</v>
          </cell>
          <cell r="X5022" t="str">
            <v>Empaquetado</v>
          </cell>
          <cell r="AC5022">
            <v>8.9999999999999993E-3</v>
          </cell>
          <cell r="AD5022">
            <v>8.9999999999999993E-3</v>
          </cell>
          <cell r="AE5022" t="str">
            <v>Con precio</v>
          </cell>
        </row>
        <row r="5023">
          <cell r="B5023" t="str">
            <v>W330020CL</v>
          </cell>
          <cell r="X5023" t="str">
            <v>Empaquetado</v>
          </cell>
          <cell r="AC5023">
            <v>4.3500000000000004E-2</v>
          </cell>
          <cell r="AD5023">
            <v>4.3500000000000004E-2</v>
          </cell>
          <cell r="AE5023" t="str">
            <v>Con precio</v>
          </cell>
        </row>
        <row r="5024">
          <cell r="B5024" t="str">
            <v>W330020CL</v>
          </cell>
          <cell r="X5024" t="str">
            <v>Empaquetado</v>
          </cell>
          <cell r="AC5024">
            <v>3.1449999999999999E-2</v>
          </cell>
          <cell r="AD5024">
            <v>3.1449999999999999E-2</v>
          </cell>
          <cell r="AE5024" t="str">
            <v>Con precio</v>
          </cell>
        </row>
        <row r="5025">
          <cell r="B5025" t="str">
            <v>WHITE0005GE</v>
          </cell>
          <cell r="X5025" t="str">
            <v>Formulación</v>
          </cell>
          <cell r="AC5025">
            <v>1.5411117857142857E-2</v>
          </cell>
          <cell r="AD5025">
            <v>1.5411117857142857E-2</v>
          </cell>
          <cell r="AE5025" t="str">
            <v>Con precio</v>
          </cell>
        </row>
        <row r="5026">
          <cell r="B5026" t="str">
            <v>WHITE0005GE</v>
          </cell>
          <cell r="X5026" t="str">
            <v>Formulación</v>
          </cell>
          <cell r="AC5026">
            <v>0</v>
          </cell>
          <cell r="AD5026">
            <v>0</v>
          </cell>
          <cell r="AE5026" t="str">
            <v>Con precio</v>
          </cell>
        </row>
        <row r="5027">
          <cell r="B5027" t="str">
            <v>WHITE0005GE</v>
          </cell>
          <cell r="X5027" t="str">
            <v>Formulación</v>
          </cell>
          <cell r="AC5027">
            <v>0.1615953133928571</v>
          </cell>
          <cell r="AD5027">
            <v>0.1615953133928571</v>
          </cell>
          <cell r="AE5027" t="str">
            <v>Con precio</v>
          </cell>
        </row>
        <row r="5028">
          <cell r="B5028" t="str">
            <v>WHITE0005GE</v>
          </cell>
          <cell r="X5028" t="str">
            <v>Formulación</v>
          </cell>
          <cell r="AC5028">
            <v>2.0813866071428568E-2</v>
          </cell>
          <cell r="AD5028">
            <v>2.0813866071428568E-2</v>
          </cell>
          <cell r="AE5028" t="str">
            <v>Con precio</v>
          </cell>
        </row>
        <row r="5029">
          <cell r="B5029" t="str">
            <v>WHITE0005GE</v>
          </cell>
          <cell r="X5029" t="str">
            <v>Formulación</v>
          </cell>
          <cell r="AC5029">
            <v>2.5832812499999996E-3</v>
          </cell>
          <cell r="AD5029">
            <v>2.5832812499999996E-3</v>
          </cell>
          <cell r="AE5029" t="str">
            <v>Con precio</v>
          </cell>
        </row>
        <row r="5030">
          <cell r="B5030" t="str">
            <v>WHITE0005GE</v>
          </cell>
          <cell r="X5030" t="str">
            <v>Formulación</v>
          </cell>
          <cell r="AC5030">
            <v>0</v>
          </cell>
          <cell r="AD5030">
            <v>0</v>
          </cell>
          <cell r="AE5030" t="str">
            <v>Con precio</v>
          </cell>
        </row>
        <row r="5031">
          <cell r="B5031" t="str">
            <v>WHITE0005GE</v>
          </cell>
          <cell r="X5031" t="str">
            <v>Formulación</v>
          </cell>
          <cell r="AC5031">
            <v>6.5258999999999998E-2</v>
          </cell>
          <cell r="AD5031">
            <v>6.5258999999999998E-2</v>
          </cell>
          <cell r="AE5031" t="str">
            <v>Con precio</v>
          </cell>
        </row>
        <row r="5032">
          <cell r="B5032" t="str">
            <v>WHITE0005GE</v>
          </cell>
          <cell r="X5032" t="str">
            <v>Formulación</v>
          </cell>
          <cell r="AC5032">
            <v>5.7435999999999997E-3</v>
          </cell>
          <cell r="AD5032">
            <v>4.8306E-3</v>
          </cell>
          <cell r="AE5032" t="str">
            <v>Con precio</v>
          </cell>
        </row>
        <row r="5033">
          <cell r="B5033" t="str">
            <v>WHITE0005GE</v>
          </cell>
          <cell r="X5033" t="str">
            <v>Empaquetado</v>
          </cell>
          <cell r="AC5033">
            <v>7.376999999999999E-3</v>
          </cell>
          <cell r="AD5033">
            <v>7.376999999999999E-3</v>
          </cell>
          <cell r="AE5033" t="str">
            <v>Con precio</v>
          </cell>
        </row>
        <row r="5034">
          <cell r="B5034" t="str">
            <v>WHITE0005GE</v>
          </cell>
          <cell r="X5034" t="str">
            <v>Empaquetado</v>
          </cell>
          <cell r="AC5034">
            <v>1.4063636363636365E-2</v>
          </cell>
          <cell r="AD5034">
            <v>1.4063636363636365E-2</v>
          </cell>
          <cell r="AE5034" t="str">
            <v>Con precio</v>
          </cell>
        </row>
        <row r="5035">
          <cell r="B5035" t="str">
            <v>WHITE0005GE</v>
          </cell>
          <cell r="X5035" t="str">
            <v>Empaquetado</v>
          </cell>
          <cell r="AC5035">
            <v>1.7737989130434784E-2</v>
          </cell>
          <cell r="AD5035">
            <v>1.7737989130434784E-2</v>
          </cell>
          <cell r="AE5035" t="str">
            <v>Con precio</v>
          </cell>
        </row>
        <row r="5036">
          <cell r="B5036" t="str">
            <v>WHITE0005GE</v>
          </cell>
          <cell r="X5036" t="str">
            <v>Empaquetado</v>
          </cell>
          <cell r="AC5036">
            <v>0.12</v>
          </cell>
          <cell r="AD5036">
            <v>0.12</v>
          </cell>
          <cell r="AE5036" t="str">
            <v>Con precio</v>
          </cell>
        </row>
        <row r="5037">
          <cell r="B5037" t="str">
            <v>WHITE0005GE</v>
          </cell>
          <cell r="X5037" t="str">
            <v>Empaquetado</v>
          </cell>
          <cell r="AC5037">
            <v>4.4344972826086959E-3</v>
          </cell>
          <cell r="AD5037">
            <v>4.4344972826086959E-3</v>
          </cell>
          <cell r="AE5037" t="str">
            <v>Con precio</v>
          </cell>
        </row>
        <row r="5038">
          <cell r="B5038" t="str">
            <v>WHITE0005GE</v>
          </cell>
          <cell r="X5038" t="str">
            <v>Empaquetado</v>
          </cell>
          <cell r="AC5038">
            <v>3.1449999999999999E-2</v>
          </cell>
          <cell r="AD5038">
            <v>3.1449999999999999E-2</v>
          </cell>
          <cell r="AE5038" t="str">
            <v>Con precio</v>
          </cell>
        </row>
        <row r="5039">
          <cell r="B5039" t="str">
            <v>WHITE0005RO</v>
          </cell>
          <cell r="X5039" t="str">
            <v>Formulación</v>
          </cell>
          <cell r="AC5039">
            <v>1.5411117857142857E-2</v>
          </cell>
          <cell r="AD5039">
            <v>1.5411117857142857E-2</v>
          </cell>
          <cell r="AE5039" t="str">
            <v>Con precio</v>
          </cell>
        </row>
        <row r="5040">
          <cell r="B5040" t="str">
            <v>WHITE0005RO</v>
          </cell>
          <cell r="X5040" t="str">
            <v>Formulación</v>
          </cell>
          <cell r="AC5040">
            <v>0</v>
          </cell>
          <cell r="AD5040">
            <v>0</v>
          </cell>
          <cell r="AE5040" t="str">
            <v>Con precio</v>
          </cell>
        </row>
        <row r="5041">
          <cell r="B5041" t="str">
            <v>WHITE0005RO</v>
          </cell>
          <cell r="X5041" t="str">
            <v>Formulación</v>
          </cell>
          <cell r="AC5041">
            <v>0.1615953133928571</v>
          </cell>
          <cell r="AD5041">
            <v>0.1615953133928571</v>
          </cell>
          <cell r="AE5041" t="str">
            <v>Con precio</v>
          </cell>
        </row>
        <row r="5042">
          <cell r="B5042" t="str">
            <v>WHITE0005RO</v>
          </cell>
          <cell r="X5042" t="str">
            <v>Formulación</v>
          </cell>
          <cell r="AC5042">
            <v>2.0813866071428568E-2</v>
          </cell>
          <cell r="AD5042">
            <v>2.0813866071428568E-2</v>
          </cell>
          <cell r="AE5042" t="str">
            <v>Con precio</v>
          </cell>
        </row>
        <row r="5043">
          <cell r="B5043" t="str">
            <v>WHITE0005RO</v>
          </cell>
          <cell r="X5043" t="str">
            <v>Formulación</v>
          </cell>
          <cell r="AC5043">
            <v>2.5832812499999996E-3</v>
          </cell>
          <cell r="AD5043">
            <v>2.5832812499999996E-3</v>
          </cell>
          <cell r="AE5043" t="str">
            <v>Con precio</v>
          </cell>
        </row>
        <row r="5044">
          <cell r="B5044" t="str">
            <v>WHITE0005RO</v>
          </cell>
          <cell r="X5044" t="str">
            <v>Formulación</v>
          </cell>
          <cell r="AC5044">
            <v>0</v>
          </cell>
          <cell r="AD5044">
            <v>0</v>
          </cell>
          <cell r="AE5044" t="str">
            <v>Con precio</v>
          </cell>
        </row>
        <row r="5045">
          <cell r="B5045" t="str">
            <v>WHITE0005RO</v>
          </cell>
          <cell r="X5045" t="str">
            <v>Formulación</v>
          </cell>
          <cell r="AC5045">
            <v>6.5258999999999998E-2</v>
          </cell>
          <cell r="AD5045">
            <v>6.5258999999999998E-2</v>
          </cell>
          <cell r="AE5045" t="str">
            <v>Con precio</v>
          </cell>
        </row>
        <row r="5046">
          <cell r="B5046" t="str">
            <v>WHITE0005RO</v>
          </cell>
          <cell r="X5046" t="str">
            <v>Formulación</v>
          </cell>
          <cell r="AC5046">
            <v>5.7435999999999997E-3</v>
          </cell>
          <cell r="AD5046">
            <v>4.8306E-3</v>
          </cell>
          <cell r="AE5046" t="str">
            <v>Con precio</v>
          </cell>
        </row>
        <row r="5047">
          <cell r="B5047" t="str">
            <v>WHITE0005RO</v>
          </cell>
          <cell r="X5047" t="str">
            <v>Empaquetado</v>
          </cell>
          <cell r="AC5047">
            <v>7.376999999999999E-3</v>
          </cell>
          <cell r="AD5047">
            <v>7.376999999999999E-3</v>
          </cell>
          <cell r="AE5047" t="str">
            <v>Con precio</v>
          </cell>
        </row>
        <row r="5048">
          <cell r="B5048" t="str">
            <v>WHITE0005RO</v>
          </cell>
          <cell r="X5048" t="str">
            <v>Empaquetado</v>
          </cell>
          <cell r="AC5048">
            <v>1.4063636363636365E-2</v>
          </cell>
          <cell r="AD5048">
            <v>1.4063636363636365E-2</v>
          </cell>
          <cell r="AE5048" t="str">
            <v>Con precio</v>
          </cell>
        </row>
        <row r="5049">
          <cell r="B5049" t="str">
            <v>WHITE0005RO</v>
          </cell>
          <cell r="X5049" t="str">
            <v>Empaquetado</v>
          </cell>
          <cell r="AC5049">
            <v>1.7737989130434784E-2</v>
          </cell>
          <cell r="AD5049">
            <v>1.7737989130434784E-2</v>
          </cell>
          <cell r="AE5049" t="str">
            <v>Con precio</v>
          </cell>
        </row>
        <row r="5050">
          <cell r="B5050" t="str">
            <v>WHITE0005RO</v>
          </cell>
          <cell r="X5050" t="str">
            <v>Empaquetado</v>
          </cell>
          <cell r="AC5050">
            <v>0.12</v>
          </cell>
          <cell r="AD5050">
            <v>0.12</v>
          </cell>
          <cell r="AE5050" t="str">
            <v>Con precio</v>
          </cell>
        </row>
        <row r="5051">
          <cell r="B5051" t="str">
            <v>WHITE0005RO</v>
          </cell>
          <cell r="X5051" t="str">
            <v>Empaquetado</v>
          </cell>
          <cell r="AC5051">
            <v>4.4344972826086959E-3</v>
          </cell>
          <cell r="AD5051">
            <v>4.4344972826086959E-3</v>
          </cell>
          <cell r="AE5051" t="str">
            <v>Con precio</v>
          </cell>
        </row>
        <row r="5052">
          <cell r="B5052" t="str">
            <v>WHITE0005RO</v>
          </cell>
          <cell r="X5052" t="str">
            <v>Empaquetado</v>
          </cell>
          <cell r="AC5052">
            <v>3.1449999999999999E-2</v>
          </cell>
          <cell r="AD5052">
            <v>3.1449999999999999E-2</v>
          </cell>
          <cell r="AE5052" t="str">
            <v>Con precio</v>
          </cell>
        </row>
        <row r="5053">
          <cell r="B5053" t="str">
            <v>WHITE0005TR</v>
          </cell>
          <cell r="X5053" t="str">
            <v>Formulación</v>
          </cell>
          <cell r="AC5053">
            <v>1.5411117857142857E-2</v>
          </cell>
          <cell r="AD5053">
            <v>1.5411117857142857E-2</v>
          </cell>
          <cell r="AE5053" t="str">
            <v>Con precio</v>
          </cell>
        </row>
        <row r="5054">
          <cell r="B5054" t="str">
            <v>WHITE0005TR</v>
          </cell>
          <cell r="X5054" t="str">
            <v>Formulación</v>
          </cell>
          <cell r="AC5054">
            <v>0</v>
          </cell>
          <cell r="AD5054">
            <v>0</v>
          </cell>
          <cell r="AE5054" t="str">
            <v>Con precio</v>
          </cell>
        </row>
        <row r="5055">
          <cell r="B5055" t="str">
            <v>WHITE0005TR</v>
          </cell>
          <cell r="X5055" t="str">
            <v>Formulación</v>
          </cell>
          <cell r="AC5055">
            <v>0.1615953133928571</v>
          </cell>
          <cell r="AD5055">
            <v>0.1615953133928571</v>
          </cell>
          <cell r="AE5055" t="str">
            <v>Con precio</v>
          </cell>
        </row>
        <row r="5056">
          <cell r="B5056" t="str">
            <v>WHITE0005TR</v>
          </cell>
          <cell r="X5056" t="str">
            <v>Formulación</v>
          </cell>
          <cell r="AC5056">
            <v>2.0813866071428568E-2</v>
          </cell>
          <cell r="AD5056">
            <v>2.0813866071428568E-2</v>
          </cell>
          <cell r="AE5056" t="str">
            <v>Con precio</v>
          </cell>
        </row>
        <row r="5057">
          <cell r="B5057" t="str">
            <v>WHITE0005TR</v>
          </cell>
          <cell r="X5057" t="str">
            <v>Formulación</v>
          </cell>
          <cell r="AC5057">
            <v>2.5832812499999996E-3</v>
          </cell>
          <cell r="AD5057">
            <v>2.5832812499999996E-3</v>
          </cell>
          <cell r="AE5057" t="str">
            <v>Con precio</v>
          </cell>
        </row>
        <row r="5058">
          <cell r="B5058" t="str">
            <v>WHITE0005TR</v>
          </cell>
          <cell r="X5058" t="str">
            <v>Formulación</v>
          </cell>
          <cell r="AC5058">
            <v>0</v>
          </cell>
          <cell r="AD5058">
            <v>0</v>
          </cell>
          <cell r="AE5058" t="str">
            <v>Con precio</v>
          </cell>
        </row>
        <row r="5059">
          <cell r="B5059" t="str">
            <v>WHITE0005TR</v>
          </cell>
          <cell r="X5059" t="str">
            <v>Formulación</v>
          </cell>
          <cell r="AC5059">
            <v>6.5258999999999998E-2</v>
          </cell>
          <cell r="AD5059">
            <v>6.5258999999999998E-2</v>
          </cell>
          <cell r="AE5059" t="str">
            <v>Con precio</v>
          </cell>
        </row>
        <row r="5060">
          <cell r="B5060" t="str">
            <v>WHITE0005TR</v>
          </cell>
          <cell r="X5060" t="str">
            <v>Formulación</v>
          </cell>
          <cell r="AC5060">
            <v>5.7435999999999997E-3</v>
          </cell>
          <cell r="AD5060">
            <v>4.8306E-3</v>
          </cell>
          <cell r="AE5060" t="str">
            <v>Con precio</v>
          </cell>
        </row>
        <row r="5061">
          <cell r="B5061" t="str">
            <v>WHITE0005TR</v>
          </cell>
          <cell r="X5061" t="str">
            <v>Empaquetado</v>
          </cell>
          <cell r="AC5061">
            <v>7.376999999999999E-3</v>
          </cell>
          <cell r="AD5061">
            <v>7.376999999999999E-3</v>
          </cell>
          <cell r="AE5061" t="str">
            <v>Con precio</v>
          </cell>
        </row>
        <row r="5062">
          <cell r="B5062" t="str">
            <v>WHITE0005TR</v>
          </cell>
          <cell r="X5062" t="str">
            <v>Empaquetado</v>
          </cell>
          <cell r="AC5062">
            <v>1.4063636363636365E-2</v>
          </cell>
          <cell r="AD5062">
            <v>1.4063636363636365E-2</v>
          </cell>
          <cell r="AE5062" t="str">
            <v>Con precio</v>
          </cell>
        </row>
        <row r="5063">
          <cell r="B5063" t="str">
            <v>WHITE0005TR</v>
          </cell>
          <cell r="X5063" t="str">
            <v>Empaquetado</v>
          </cell>
          <cell r="AC5063">
            <v>1.7737989130434784E-2</v>
          </cell>
          <cell r="AD5063">
            <v>1.7737989130434784E-2</v>
          </cell>
          <cell r="AE5063" t="str">
            <v>Con precio</v>
          </cell>
        </row>
        <row r="5064">
          <cell r="B5064" t="str">
            <v>WHITE0005TR</v>
          </cell>
          <cell r="X5064" t="str">
            <v>Empaquetado</v>
          </cell>
          <cell r="AC5064">
            <v>0.12</v>
          </cell>
          <cell r="AD5064">
            <v>0.12</v>
          </cell>
          <cell r="AE5064" t="str">
            <v>Con precio</v>
          </cell>
        </row>
        <row r="5065">
          <cell r="B5065" t="str">
            <v>WHITE0005TR</v>
          </cell>
          <cell r="X5065" t="str">
            <v>Empaquetado</v>
          </cell>
          <cell r="AC5065">
            <v>4.4344972826086959E-3</v>
          </cell>
          <cell r="AD5065">
            <v>4.4344972826086959E-3</v>
          </cell>
          <cell r="AE5065" t="str">
            <v>Con precio</v>
          </cell>
        </row>
        <row r="5066">
          <cell r="B5066" t="str">
            <v>WHITE0005TR</v>
          </cell>
          <cell r="X5066" t="str">
            <v>Empaquetado</v>
          </cell>
          <cell r="AC5066">
            <v>3.1449999999999999E-2</v>
          </cell>
          <cell r="AD5066">
            <v>3.1449999999999999E-2</v>
          </cell>
          <cell r="AE5066" t="str">
            <v>Con precio</v>
          </cell>
        </row>
        <row r="5067">
          <cell r="B5067" t="str">
            <v>WHITE0020</v>
          </cell>
          <cell r="X5067" t="str">
            <v>Formulación</v>
          </cell>
          <cell r="AC5067">
            <v>1.5411117857142857E-2</v>
          </cell>
          <cell r="AD5067">
            <v>1.5411117857142857E-2</v>
          </cell>
          <cell r="AE5067" t="str">
            <v>Con precio</v>
          </cell>
        </row>
        <row r="5068">
          <cell r="B5068" t="str">
            <v>WHITE0020</v>
          </cell>
          <cell r="X5068" t="str">
            <v>Formulación</v>
          </cell>
          <cell r="AC5068">
            <v>0</v>
          </cell>
          <cell r="AD5068">
            <v>0</v>
          </cell>
          <cell r="AE5068" t="str">
            <v>Con precio</v>
          </cell>
        </row>
        <row r="5069">
          <cell r="B5069" t="str">
            <v>WHITE0020</v>
          </cell>
          <cell r="X5069" t="str">
            <v>Formulación</v>
          </cell>
          <cell r="AC5069">
            <v>0.1615953133928571</v>
          </cell>
          <cell r="AD5069">
            <v>0.1615953133928571</v>
          </cell>
          <cell r="AE5069" t="str">
            <v>Con precio</v>
          </cell>
        </row>
        <row r="5070">
          <cell r="B5070" t="str">
            <v>WHITE0020</v>
          </cell>
          <cell r="X5070" t="str">
            <v>Formulación</v>
          </cell>
          <cell r="AC5070">
            <v>2.0813866071428568E-2</v>
          </cell>
          <cell r="AD5070">
            <v>2.0813866071428568E-2</v>
          </cell>
          <cell r="AE5070" t="str">
            <v>Con precio</v>
          </cell>
        </row>
        <row r="5071">
          <cell r="B5071" t="str">
            <v>WHITE0020</v>
          </cell>
          <cell r="X5071" t="str">
            <v>Formulación</v>
          </cell>
          <cell r="AC5071">
            <v>2.5832812499999996E-3</v>
          </cell>
          <cell r="AD5071">
            <v>2.5832812499999996E-3</v>
          </cell>
          <cell r="AE5071" t="str">
            <v>Con precio</v>
          </cell>
        </row>
        <row r="5072">
          <cell r="B5072" t="str">
            <v>WHITE0020</v>
          </cell>
          <cell r="X5072" t="str">
            <v>Formulación</v>
          </cell>
          <cell r="AC5072">
            <v>0</v>
          </cell>
          <cell r="AD5072">
            <v>0</v>
          </cell>
          <cell r="AE5072" t="str">
            <v>Con precio</v>
          </cell>
        </row>
        <row r="5073">
          <cell r="B5073" t="str">
            <v>WHITE0020</v>
          </cell>
          <cell r="X5073" t="str">
            <v>Formulación</v>
          </cell>
          <cell r="AC5073">
            <v>6.5258999999999998E-2</v>
          </cell>
          <cell r="AD5073">
            <v>6.5258999999999998E-2</v>
          </cell>
          <cell r="AE5073" t="str">
            <v>Con precio</v>
          </cell>
        </row>
        <row r="5074">
          <cell r="B5074" t="str">
            <v>WHITE0020</v>
          </cell>
          <cell r="X5074" t="str">
            <v>Formulación</v>
          </cell>
          <cell r="AC5074">
            <v>5.7435999999999997E-3</v>
          </cell>
          <cell r="AD5074">
            <v>4.8306E-3</v>
          </cell>
          <cell r="AE5074" t="str">
            <v>Con precio</v>
          </cell>
        </row>
        <row r="5075">
          <cell r="B5075" t="str">
            <v>WHITE0020</v>
          </cell>
          <cell r="X5075" t="str">
            <v>Empaquetado</v>
          </cell>
          <cell r="AC5075">
            <v>4.8087272727272727E-3</v>
          </cell>
          <cell r="AD5075">
            <v>4.8087272727272727E-3</v>
          </cell>
          <cell r="AE5075" t="str">
            <v>Con precio</v>
          </cell>
        </row>
        <row r="5076">
          <cell r="B5076" t="str">
            <v>WHITE0020</v>
          </cell>
          <cell r="X5076" t="str">
            <v>Empaquetado</v>
          </cell>
          <cell r="AC5076">
            <v>1.4063636363636365E-2</v>
          </cell>
          <cell r="AD5076">
            <v>1.4063636363636365E-2</v>
          </cell>
          <cell r="AE5076" t="str">
            <v>Con precio</v>
          </cell>
        </row>
        <row r="5077">
          <cell r="B5077" t="str">
            <v>WHITE0020</v>
          </cell>
          <cell r="X5077" t="str">
            <v>Empaquetado</v>
          </cell>
          <cell r="AC5077">
            <v>8.8689945652173918E-3</v>
          </cell>
          <cell r="AD5077">
            <v>8.8689945652173918E-3</v>
          </cell>
          <cell r="AE5077" t="str">
            <v>Con precio</v>
          </cell>
        </row>
        <row r="5078">
          <cell r="B5078" t="str">
            <v>WHITE0020</v>
          </cell>
          <cell r="X5078" t="str">
            <v>Empaquetado</v>
          </cell>
          <cell r="AC5078">
            <v>4.3500000000000004E-2</v>
          </cell>
          <cell r="AD5078">
            <v>4.3500000000000004E-2</v>
          </cell>
          <cell r="AE5078" t="str">
            <v>Con precio</v>
          </cell>
        </row>
        <row r="5079">
          <cell r="B5079" t="str">
            <v>WHITE0020</v>
          </cell>
          <cell r="X5079" t="str">
            <v>Empaquetado</v>
          </cell>
          <cell r="AC5079">
            <v>3.1449999999999999E-2</v>
          </cell>
          <cell r="AD5079">
            <v>3.1449999999999999E-2</v>
          </cell>
          <cell r="AE5079" t="str">
            <v>Con precio</v>
          </cell>
        </row>
        <row r="5080">
          <cell r="B5080" t="str">
            <v>WHITE0020GE</v>
          </cell>
          <cell r="X5080" t="str">
            <v>Formulación</v>
          </cell>
          <cell r="AC5080">
            <v>1.5411117857142857E-2</v>
          </cell>
          <cell r="AD5080">
            <v>1.5411117857142857E-2</v>
          </cell>
          <cell r="AE5080" t="str">
            <v>Con precio</v>
          </cell>
        </row>
        <row r="5081">
          <cell r="B5081" t="str">
            <v>WHITE0020GE</v>
          </cell>
          <cell r="X5081" t="str">
            <v>Formulación</v>
          </cell>
          <cell r="AC5081">
            <v>0</v>
          </cell>
          <cell r="AD5081">
            <v>0</v>
          </cell>
          <cell r="AE5081" t="str">
            <v>Con precio</v>
          </cell>
        </row>
        <row r="5082">
          <cell r="B5082" t="str">
            <v>WHITE0020GE</v>
          </cell>
          <cell r="X5082" t="str">
            <v>Formulación</v>
          </cell>
          <cell r="AC5082">
            <v>0.1615953133928571</v>
          </cell>
          <cell r="AD5082">
            <v>0.1615953133928571</v>
          </cell>
          <cell r="AE5082" t="str">
            <v>Con precio</v>
          </cell>
        </row>
        <row r="5083">
          <cell r="B5083" t="str">
            <v>WHITE0020GE</v>
          </cell>
          <cell r="X5083" t="str">
            <v>Formulación</v>
          </cell>
          <cell r="AC5083">
            <v>2.0813866071428568E-2</v>
          </cell>
          <cell r="AD5083">
            <v>2.0813866071428568E-2</v>
          </cell>
          <cell r="AE5083" t="str">
            <v>Con precio</v>
          </cell>
        </row>
        <row r="5084">
          <cell r="B5084" t="str">
            <v>WHITE0020GE</v>
          </cell>
          <cell r="X5084" t="str">
            <v>Formulación</v>
          </cell>
          <cell r="AC5084">
            <v>2.5832812499999996E-3</v>
          </cell>
          <cell r="AD5084">
            <v>2.5832812499999996E-3</v>
          </cell>
          <cell r="AE5084" t="str">
            <v>Con precio</v>
          </cell>
        </row>
        <row r="5085">
          <cell r="B5085" t="str">
            <v>WHITE0020GE</v>
          </cell>
          <cell r="X5085" t="str">
            <v>Formulación</v>
          </cell>
          <cell r="AC5085">
            <v>0</v>
          </cell>
          <cell r="AD5085">
            <v>0</v>
          </cell>
          <cell r="AE5085" t="str">
            <v>Con precio</v>
          </cell>
        </row>
        <row r="5086">
          <cell r="B5086" t="str">
            <v>WHITE0020GE</v>
          </cell>
          <cell r="X5086" t="str">
            <v>Formulación</v>
          </cell>
          <cell r="AC5086">
            <v>6.5258999999999998E-2</v>
          </cell>
          <cell r="AD5086">
            <v>6.5258999999999998E-2</v>
          </cell>
          <cell r="AE5086" t="str">
            <v>Con precio</v>
          </cell>
        </row>
        <row r="5087">
          <cell r="B5087" t="str">
            <v>WHITE0020GE</v>
          </cell>
          <cell r="X5087" t="str">
            <v>Formulación</v>
          </cell>
          <cell r="AC5087">
            <v>5.7435999999999997E-3</v>
          </cell>
          <cell r="AD5087">
            <v>4.8306E-3</v>
          </cell>
          <cell r="AE5087" t="str">
            <v>Con precio</v>
          </cell>
        </row>
        <row r="5088">
          <cell r="B5088" t="str">
            <v>WHITE0020GE</v>
          </cell>
          <cell r="X5088" t="str">
            <v>Empaquetado</v>
          </cell>
          <cell r="AC5088">
            <v>4.8087272727272727E-3</v>
          </cell>
          <cell r="AD5088">
            <v>4.8087272727272727E-3</v>
          </cell>
          <cell r="AE5088" t="str">
            <v>Con precio</v>
          </cell>
        </row>
        <row r="5089">
          <cell r="B5089" t="str">
            <v>WHITE0020GE</v>
          </cell>
          <cell r="X5089" t="str">
            <v>Empaquetado</v>
          </cell>
          <cell r="AC5089">
            <v>1.4063636363636365E-2</v>
          </cell>
          <cell r="AD5089">
            <v>1.4063636363636365E-2</v>
          </cell>
          <cell r="AE5089" t="str">
            <v>Con precio</v>
          </cell>
        </row>
        <row r="5090">
          <cell r="B5090" t="str">
            <v>WHITE0020GE</v>
          </cell>
          <cell r="X5090" t="str">
            <v>Empaquetado</v>
          </cell>
          <cell r="AC5090">
            <v>8.8689945652173918E-3</v>
          </cell>
          <cell r="AD5090">
            <v>8.8689945652173918E-3</v>
          </cell>
          <cell r="AE5090" t="str">
            <v>Con precio</v>
          </cell>
        </row>
        <row r="5091">
          <cell r="B5091" t="str">
            <v>WHITE0020GE</v>
          </cell>
          <cell r="X5091" t="str">
            <v>Empaquetado</v>
          </cell>
          <cell r="AC5091">
            <v>4.3500000000000004E-2</v>
          </cell>
          <cell r="AD5091">
            <v>4.3500000000000004E-2</v>
          </cell>
          <cell r="AE5091" t="str">
            <v>Con precio</v>
          </cell>
        </row>
        <row r="5092">
          <cell r="B5092" t="str">
            <v>WHITE0020GE</v>
          </cell>
          <cell r="X5092" t="str">
            <v>Empaquetado</v>
          </cell>
          <cell r="AC5092">
            <v>3.1449999999999999E-2</v>
          </cell>
          <cell r="AD5092">
            <v>3.1449999999999999E-2</v>
          </cell>
          <cell r="AE5092" t="str">
            <v>Con precio</v>
          </cell>
        </row>
        <row r="5093">
          <cell r="B5093" t="str">
            <v>WHITE0020MA</v>
          </cell>
          <cell r="X5093" t="str">
            <v>Formulación</v>
          </cell>
          <cell r="AC5093">
            <v>1.5411117857142857E-2</v>
          </cell>
          <cell r="AD5093">
            <v>1.5411117857142857E-2</v>
          </cell>
          <cell r="AE5093" t="str">
            <v>Con precio</v>
          </cell>
        </row>
        <row r="5094">
          <cell r="B5094" t="str">
            <v>WHITE0020MA</v>
          </cell>
          <cell r="X5094" t="str">
            <v>Formulación</v>
          </cell>
          <cell r="AC5094">
            <v>0</v>
          </cell>
          <cell r="AD5094">
            <v>0</v>
          </cell>
          <cell r="AE5094" t="str">
            <v>Con precio</v>
          </cell>
        </row>
        <row r="5095">
          <cell r="B5095" t="str">
            <v>WHITE0020MA</v>
          </cell>
          <cell r="X5095" t="str">
            <v>Formulación</v>
          </cell>
          <cell r="AC5095">
            <v>0.1615953133928571</v>
          </cell>
          <cell r="AD5095">
            <v>0.1615953133928571</v>
          </cell>
          <cell r="AE5095" t="str">
            <v>Con precio</v>
          </cell>
        </row>
        <row r="5096">
          <cell r="B5096" t="str">
            <v>WHITE0020MA</v>
          </cell>
          <cell r="X5096" t="str">
            <v>Formulación</v>
          </cell>
          <cell r="AC5096">
            <v>2.0813866071428568E-2</v>
          </cell>
          <cell r="AD5096">
            <v>2.0813866071428568E-2</v>
          </cell>
          <cell r="AE5096" t="str">
            <v>Con precio</v>
          </cell>
        </row>
        <row r="5097">
          <cell r="B5097" t="str">
            <v>WHITE0020MA</v>
          </cell>
          <cell r="X5097" t="str">
            <v>Formulación</v>
          </cell>
          <cell r="AC5097">
            <v>2.5832812499999996E-3</v>
          </cell>
          <cell r="AD5097">
            <v>2.5832812499999996E-3</v>
          </cell>
          <cell r="AE5097" t="str">
            <v>Con precio</v>
          </cell>
        </row>
        <row r="5098">
          <cell r="B5098" t="str">
            <v>WHITE0020MA</v>
          </cell>
          <cell r="X5098" t="str">
            <v>Formulación</v>
          </cell>
          <cell r="AC5098">
            <v>0</v>
          </cell>
          <cell r="AD5098">
            <v>0</v>
          </cell>
          <cell r="AE5098" t="str">
            <v>Con precio</v>
          </cell>
        </row>
        <row r="5099">
          <cell r="B5099" t="str">
            <v>WHITE0020MA</v>
          </cell>
          <cell r="X5099" t="str">
            <v>Formulación</v>
          </cell>
          <cell r="AC5099">
            <v>6.5258999999999998E-2</v>
          </cell>
          <cell r="AD5099">
            <v>6.5258999999999998E-2</v>
          </cell>
          <cell r="AE5099" t="str">
            <v>Con precio</v>
          </cell>
        </row>
        <row r="5100">
          <cell r="B5100" t="str">
            <v>WHITE0020MA</v>
          </cell>
          <cell r="X5100" t="str">
            <v>Formulación</v>
          </cell>
          <cell r="AC5100">
            <v>5.7435999999999997E-3</v>
          </cell>
          <cell r="AD5100">
            <v>4.8306E-3</v>
          </cell>
          <cell r="AE5100" t="str">
            <v>Con precio</v>
          </cell>
        </row>
        <row r="5101">
          <cell r="B5101" t="str">
            <v>WHITE0020MA</v>
          </cell>
          <cell r="X5101" t="str">
            <v>Empaquetado</v>
          </cell>
          <cell r="AC5101">
            <v>4.8087272727272727E-3</v>
          </cell>
          <cell r="AD5101">
            <v>4.8087272727272727E-3</v>
          </cell>
          <cell r="AE5101" t="str">
            <v>Con precio</v>
          </cell>
        </row>
        <row r="5102">
          <cell r="B5102" t="str">
            <v>WHITE0020MA</v>
          </cell>
          <cell r="X5102" t="str">
            <v>Empaquetado</v>
          </cell>
          <cell r="AC5102">
            <v>1.4063636363636365E-2</v>
          </cell>
          <cell r="AD5102">
            <v>1.4063636363636365E-2</v>
          </cell>
          <cell r="AE5102" t="str">
            <v>Con precio</v>
          </cell>
        </row>
        <row r="5103">
          <cell r="B5103" t="str">
            <v>WHITE0020MA</v>
          </cell>
          <cell r="X5103" t="str">
            <v>Empaquetado</v>
          </cell>
          <cell r="AC5103">
            <v>8.8689945652173918E-3</v>
          </cell>
          <cell r="AD5103">
            <v>8.8689945652173918E-3</v>
          </cell>
          <cell r="AE5103" t="str">
            <v>Con precio</v>
          </cell>
        </row>
        <row r="5104">
          <cell r="B5104" t="str">
            <v>WHITE0020MA</v>
          </cell>
          <cell r="X5104" t="str">
            <v>Empaquetado</v>
          </cell>
          <cell r="AC5104">
            <v>4.3500000000000004E-2</v>
          </cell>
          <cell r="AD5104">
            <v>4.3500000000000004E-2</v>
          </cell>
          <cell r="AE5104" t="str">
            <v>Con precio</v>
          </cell>
        </row>
        <row r="5105">
          <cell r="B5105" t="str">
            <v>WHITE0020MA</v>
          </cell>
          <cell r="X5105" t="str">
            <v>Empaquetado</v>
          </cell>
          <cell r="AC5105">
            <v>3.1449999999999999E-2</v>
          </cell>
          <cell r="AD5105">
            <v>3.1449999999999999E-2</v>
          </cell>
          <cell r="AE5105" t="str">
            <v>Con precio</v>
          </cell>
        </row>
        <row r="5106">
          <cell r="B5106" t="str">
            <v>WHITE0020RO</v>
          </cell>
          <cell r="X5106" t="str">
            <v>Formulación</v>
          </cell>
          <cell r="AC5106">
            <v>1.5411117857142857E-2</v>
          </cell>
          <cell r="AD5106">
            <v>1.5411117857142857E-2</v>
          </cell>
          <cell r="AE5106" t="str">
            <v>Con precio</v>
          </cell>
        </row>
        <row r="5107">
          <cell r="B5107" t="str">
            <v>WHITE0020RO</v>
          </cell>
          <cell r="X5107" t="str">
            <v>Formulación</v>
          </cell>
          <cell r="AC5107">
            <v>0</v>
          </cell>
          <cell r="AD5107">
            <v>0</v>
          </cell>
          <cell r="AE5107" t="str">
            <v>Con precio</v>
          </cell>
        </row>
        <row r="5108">
          <cell r="B5108" t="str">
            <v>WHITE0020RO</v>
          </cell>
          <cell r="X5108" t="str">
            <v>Formulación</v>
          </cell>
          <cell r="AC5108">
            <v>0.1615953133928571</v>
          </cell>
          <cell r="AD5108">
            <v>0.1615953133928571</v>
          </cell>
          <cell r="AE5108" t="str">
            <v>Con precio</v>
          </cell>
        </row>
        <row r="5109">
          <cell r="B5109" t="str">
            <v>WHITE0020RO</v>
          </cell>
          <cell r="X5109" t="str">
            <v>Formulación</v>
          </cell>
          <cell r="AC5109">
            <v>2.0813866071428568E-2</v>
          </cell>
          <cell r="AD5109">
            <v>2.0813866071428568E-2</v>
          </cell>
          <cell r="AE5109" t="str">
            <v>Con precio</v>
          </cell>
        </row>
        <row r="5110">
          <cell r="B5110" t="str">
            <v>WHITE0020RO</v>
          </cell>
          <cell r="X5110" t="str">
            <v>Formulación</v>
          </cell>
          <cell r="AC5110">
            <v>2.5832812499999996E-3</v>
          </cell>
          <cell r="AD5110">
            <v>2.5832812499999996E-3</v>
          </cell>
          <cell r="AE5110" t="str">
            <v>Con precio</v>
          </cell>
        </row>
        <row r="5111">
          <cell r="B5111" t="str">
            <v>WHITE0020RO</v>
          </cell>
          <cell r="X5111" t="str">
            <v>Formulación</v>
          </cell>
          <cell r="AC5111">
            <v>0</v>
          </cell>
          <cell r="AD5111">
            <v>0</v>
          </cell>
          <cell r="AE5111" t="str">
            <v>Con precio</v>
          </cell>
        </row>
        <row r="5112">
          <cell r="B5112" t="str">
            <v>WHITE0020RO</v>
          </cell>
          <cell r="X5112" t="str">
            <v>Formulación</v>
          </cell>
          <cell r="AC5112">
            <v>6.5258999999999998E-2</v>
          </cell>
          <cell r="AD5112">
            <v>6.5258999999999998E-2</v>
          </cell>
          <cell r="AE5112" t="str">
            <v>Con precio</v>
          </cell>
        </row>
        <row r="5113">
          <cell r="B5113" t="str">
            <v>WHITE0020RO</v>
          </cell>
          <cell r="X5113" t="str">
            <v>Formulación</v>
          </cell>
          <cell r="AC5113">
            <v>5.7435999999999997E-3</v>
          </cell>
          <cell r="AD5113">
            <v>4.8306E-3</v>
          </cell>
          <cell r="AE5113" t="str">
            <v>Con precio</v>
          </cell>
        </row>
        <row r="5114">
          <cell r="B5114" t="str">
            <v>WHITE0020RO</v>
          </cell>
          <cell r="X5114" t="str">
            <v>Empaquetado</v>
          </cell>
          <cell r="AC5114">
            <v>4.8087272727272727E-3</v>
          </cell>
          <cell r="AD5114">
            <v>4.8087272727272727E-3</v>
          </cell>
          <cell r="AE5114" t="str">
            <v>Con precio</v>
          </cell>
        </row>
        <row r="5115">
          <cell r="B5115" t="str">
            <v>WHITE0020RO</v>
          </cell>
          <cell r="X5115" t="str">
            <v>Empaquetado</v>
          </cell>
          <cell r="AC5115">
            <v>1.4063636363636365E-2</v>
          </cell>
          <cell r="AD5115">
            <v>1.4063636363636365E-2</v>
          </cell>
          <cell r="AE5115" t="str">
            <v>Con precio</v>
          </cell>
        </row>
        <row r="5116">
          <cell r="B5116" t="str">
            <v>WHITE0020RO</v>
          </cell>
          <cell r="X5116" t="str">
            <v>Empaquetado</v>
          </cell>
          <cell r="AC5116">
            <v>8.8689945652173918E-3</v>
          </cell>
          <cell r="AD5116">
            <v>8.8689945652173918E-3</v>
          </cell>
          <cell r="AE5116" t="str">
            <v>Con precio</v>
          </cell>
        </row>
        <row r="5117">
          <cell r="B5117" t="str">
            <v>WHITE0020RO</v>
          </cell>
          <cell r="X5117" t="str">
            <v>Empaquetado</v>
          </cell>
          <cell r="AC5117">
            <v>4.3500000000000004E-2</v>
          </cell>
          <cell r="AD5117">
            <v>4.3500000000000004E-2</v>
          </cell>
          <cell r="AE5117" t="str">
            <v>Con precio</v>
          </cell>
        </row>
        <row r="5118">
          <cell r="B5118" t="str">
            <v>WHITE0020RO</v>
          </cell>
          <cell r="X5118" t="str">
            <v>Empaquetado</v>
          </cell>
          <cell r="AC5118">
            <v>3.1449999999999999E-2</v>
          </cell>
          <cell r="AD5118">
            <v>3.1449999999999999E-2</v>
          </cell>
          <cell r="AE5118" t="str">
            <v>Con precio</v>
          </cell>
        </row>
        <row r="5119">
          <cell r="B5119" t="str">
            <v>BPLUS0005</v>
          </cell>
          <cell r="X5119" t="str">
            <v>Formulación</v>
          </cell>
          <cell r="AC5119">
            <v>2.3400000000000001E-2</v>
          </cell>
          <cell r="AD5119">
            <v>2.3400000000000001E-2</v>
          </cell>
          <cell r="AE5119" t="str">
            <v>Con precio</v>
          </cell>
        </row>
        <row r="5120">
          <cell r="B5120" t="str">
            <v>BPLUS0005</v>
          </cell>
          <cell r="X5120" t="str">
            <v>Formulación</v>
          </cell>
          <cell r="AC5120">
            <v>4.4850000000000001E-2</v>
          </cell>
          <cell r="AD5120">
            <v>4.073333333333333E-2</v>
          </cell>
          <cell r="AE5120" t="str">
            <v>Con precio</v>
          </cell>
        </row>
        <row r="5121">
          <cell r="B5121" t="str">
            <v>BPLUS0005</v>
          </cell>
          <cell r="X5121" t="str">
            <v>Formulación</v>
          </cell>
          <cell r="AC5121">
            <v>5.2499999999999998E-2</v>
          </cell>
          <cell r="AD5121">
            <v>4.9099999999999998E-2</v>
          </cell>
          <cell r="AE5121" t="str">
            <v>Con precio</v>
          </cell>
        </row>
        <row r="5122">
          <cell r="B5122" t="str">
            <v>BPLUS0005</v>
          </cell>
          <cell r="X5122" t="str">
            <v>Formulación</v>
          </cell>
          <cell r="AC5122">
            <v>1.917</v>
          </cell>
          <cell r="AD5122">
            <v>1.3003142857142855</v>
          </cell>
          <cell r="AE5122" t="str">
            <v>Con precio</v>
          </cell>
        </row>
        <row r="5123">
          <cell r="B5123" t="str">
            <v>BPLUS0005</v>
          </cell>
          <cell r="X5123" t="str">
            <v>Empaquetado</v>
          </cell>
          <cell r="AC5123">
            <v>7.7948000000000002E-3</v>
          </cell>
          <cell r="AD5123">
            <v>7.7948000000000002E-3</v>
          </cell>
          <cell r="AE5123" t="str">
            <v>Con precio</v>
          </cell>
        </row>
        <row r="5124">
          <cell r="B5124" t="str">
            <v>BPLUS0005</v>
          </cell>
          <cell r="X5124" t="str">
            <v>Empaquetado</v>
          </cell>
          <cell r="AC5124">
            <v>7.9779166666666661E-3</v>
          </cell>
          <cell r="AD5124">
            <v>7.9779166666666661E-3</v>
          </cell>
          <cell r="AE5124" t="str">
            <v>Con precio</v>
          </cell>
        </row>
        <row r="5125">
          <cell r="B5125" t="str">
            <v>BPLUS0005</v>
          </cell>
          <cell r="X5125" t="str">
            <v>Empaquetado</v>
          </cell>
          <cell r="AC5125">
            <v>3.5475978260869566E-3</v>
          </cell>
          <cell r="AD5125">
            <v>3.5475978260869566E-3</v>
          </cell>
          <cell r="AE5125" t="str">
            <v>Con precio</v>
          </cell>
        </row>
        <row r="5126">
          <cell r="B5126" t="str">
            <v>BPLUS0005</v>
          </cell>
          <cell r="X5126" t="str">
            <v>Empaquetado</v>
          </cell>
          <cell r="AC5126">
            <v>2.1682000000000003E-2</v>
          </cell>
          <cell r="AD5126">
            <v>2.1682000000000003E-2</v>
          </cell>
          <cell r="AE5126" t="str">
            <v>Con precio</v>
          </cell>
        </row>
        <row r="5127">
          <cell r="B5127" t="str">
            <v>BPLUS0005</v>
          </cell>
          <cell r="X5127" t="str">
            <v>Empaquetado</v>
          </cell>
          <cell r="AC5127">
            <v>2.9560014104372354E-2</v>
          </cell>
          <cell r="AD5127">
            <v>2.9560014104372354E-2</v>
          </cell>
          <cell r="AE5127" t="str">
            <v>Con precio</v>
          </cell>
        </row>
        <row r="5128">
          <cell r="B5128" t="str">
            <v>BPLUS0005</v>
          </cell>
          <cell r="X5128" t="str">
            <v>Empaquetado</v>
          </cell>
          <cell r="AC5128">
            <v>3.0940000000000002E-2</v>
          </cell>
          <cell r="AD5128">
            <v>3.0940000000000002E-2</v>
          </cell>
          <cell r="AE5128" t="str">
            <v>Con precio</v>
          </cell>
        </row>
      </sheetData>
      <sheetData sheetId="2">
        <row r="7">
          <cell r="D7" t="str">
            <v>Tarifa manual</v>
          </cell>
        </row>
        <row r="8">
          <cell r="D8" t="str">
            <v>Compra 1</v>
          </cell>
        </row>
        <row r="9">
          <cell r="D9" t="str">
            <v>Compra 1</v>
          </cell>
        </row>
        <row r="10">
          <cell r="D10" t="str">
            <v>Compra 1</v>
          </cell>
        </row>
        <row r="11">
          <cell r="D11" t="str">
            <v>Agua a cero</v>
          </cell>
        </row>
        <row r="12">
          <cell r="D12" t="str">
            <v>Compra 1</v>
          </cell>
        </row>
        <row r="13">
          <cell r="D13" t="str">
            <v>Compra 1</v>
          </cell>
        </row>
        <row r="14">
          <cell r="D14" t="str">
            <v>Compra 1</v>
          </cell>
        </row>
        <row r="15">
          <cell r="D15" t="str">
            <v>Compra 1</v>
          </cell>
        </row>
        <row r="16">
          <cell r="D16" t="str">
            <v>Compra 1</v>
          </cell>
        </row>
        <row r="17">
          <cell r="D17" t="str">
            <v>Compra 1</v>
          </cell>
        </row>
        <row r="18">
          <cell r="D18" t="str">
            <v>Compra 2</v>
          </cell>
        </row>
        <row r="19">
          <cell r="D19" t="str">
            <v>Compra 2</v>
          </cell>
        </row>
        <row r="20">
          <cell r="D20" t="str">
            <v>Compra 2</v>
          </cell>
        </row>
        <row r="21">
          <cell r="D21" t="str">
            <v>Compra 2</v>
          </cell>
        </row>
        <row r="22">
          <cell r="D22" t="str">
            <v>Compra 2</v>
          </cell>
        </row>
        <row r="23">
          <cell r="D23" t="str">
            <v>Tarifa manual</v>
          </cell>
        </row>
        <row r="24">
          <cell r="D24" t="str">
            <v>Compra 1</v>
          </cell>
        </row>
        <row r="25">
          <cell r="D25" t="str">
            <v>Compra 1</v>
          </cell>
        </row>
        <row r="26">
          <cell r="D26" t="str">
            <v>Compra 1</v>
          </cell>
        </row>
        <row r="27">
          <cell r="D27" t="str">
            <v>Compra 1</v>
          </cell>
        </row>
        <row r="28">
          <cell r="D28" t="str">
            <v>Compra 1</v>
          </cell>
        </row>
        <row r="29">
          <cell r="D29" t="str">
            <v>Compra 1</v>
          </cell>
        </row>
        <row r="30">
          <cell r="D30" t="str">
            <v>Compra 2</v>
          </cell>
        </row>
        <row r="31">
          <cell r="D31" t="str">
            <v>Compra 2</v>
          </cell>
        </row>
        <row r="32">
          <cell r="D32" t="str">
            <v>Compra 2</v>
          </cell>
        </row>
        <row r="33">
          <cell r="D33" t="str">
            <v>Compra 2</v>
          </cell>
        </row>
        <row r="34">
          <cell r="D34" t="str">
            <v>Compra 2</v>
          </cell>
        </row>
        <row r="35">
          <cell r="D35" t="str">
            <v>Compra 1</v>
          </cell>
        </row>
        <row r="36">
          <cell r="D36" t="str">
            <v>Compra 2</v>
          </cell>
        </row>
        <row r="37">
          <cell r="D37" t="str">
            <v>Compra 2</v>
          </cell>
        </row>
        <row r="38">
          <cell r="D38" t="str">
            <v>Compra 2</v>
          </cell>
        </row>
        <row r="39">
          <cell r="D39" t="str">
            <v>Compra 1</v>
          </cell>
        </row>
        <row r="40">
          <cell r="D40" t="str">
            <v>Compra 1</v>
          </cell>
        </row>
        <row r="41">
          <cell r="D41" t="str">
            <v>Compra 1</v>
          </cell>
        </row>
        <row r="42">
          <cell r="D42" t="str">
            <v>Compra 1</v>
          </cell>
        </row>
        <row r="43">
          <cell r="D43" t="str">
            <v>Compra 1</v>
          </cell>
        </row>
        <row r="44">
          <cell r="D44" t="str">
            <v>Tarifa manual</v>
          </cell>
        </row>
        <row r="45">
          <cell r="D45" t="str">
            <v>Compra 1</v>
          </cell>
        </row>
        <row r="46">
          <cell r="D46" t="str">
            <v>Compra 1</v>
          </cell>
        </row>
        <row r="47">
          <cell r="D47" t="str">
            <v>Tarifa manual</v>
          </cell>
        </row>
        <row r="48">
          <cell r="D48" t="str">
            <v>Tarifa manual</v>
          </cell>
        </row>
        <row r="49">
          <cell r="D49" t="str">
            <v>Compra 2</v>
          </cell>
        </row>
        <row r="50">
          <cell r="D50" t="str">
            <v>Compra 1</v>
          </cell>
        </row>
        <row r="51">
          <cell r="D51" t="str">
            <v>Compra 1</v>
          </cell>
        </row>
        <row r="52">
          <cell r="D52" t="str">
            <v>Compra 1</v>
          </cell>
        </row>
        <row r="53">
          <cell r="D53" t="str">
            <v>Compra 1</v>
          </cell>
        </row>
        <row r="54">
          <cell r="D54" t="str">
            <v>Compra 1</v>
          </cell>
        </row>
        <row r="55">
          <cell r="D55" t="str">
            <v>Compra 1</v>
          </cell>
        </row>
        <row r="56">
          <cell r="D56" t="str">
            <v>Compra 1</v>
          </cell>
        </row>
        <row r="57">
          <cell r="D57" t="str">
            <v>Compra 1</v>
          </cell>
        </row>
        <row r="58">
          <cell r="D58" t="str">
            <v>Compra 1</v>
          </cell>
        </row>
        <row r="59">
          <cell r="D59" t="str">
            <v>Compra 2</v>
          </cell>
        </row>
        <row r="60">
          <cell r="D60" t="str">
            <v>Compra 2</v>
          </cell>
        </row>
        <row r="61">
          <cell r="D61" t="str">
            <v>Compra 2</v>
          </cell>
        </row>
        <row r="62">
          <cell r="D62" t="str">
            <v>Compra 1</v>
          </cell>
        </row>
        <row r="63">
          <cell r="D63" t="str">
            <v>Compra 2</v>
          </cell>
        </row>
        <row r="64">
          <cell r="D64" t="str">
            <v>Tarifa manual</v>
          </cell>
        </row>
        <row r="65">
          <cell r="D65" t="str">
            <v>Compra 2</v>
          </cell>
        </row>
        <row r="66">
          <cell r="D66" t="str">
            <v>Tarifa manual</v>
          </cell>
        </row>
        <row r="67">
          <cell r="D67" t="str">
            <v>Compra 2</v>
          </cell>
        </row>
        <row r="68">
          <cell r="D68" t="str">
            <v>Compra 2</v>
          </cell>
        </row>
        <row r="69">
          <cell r="D69" t="str">
            <v>Compra 2</v>
          </cell>
        </row>
        <row r="70">
          <cell r="D70" t="str">
            <v>Compra 2</v>
          </cell>
        </row>
        <row r="71">
          <cell r="D71" t="str">
            <v>Tarifa manual</v>
          </cell>
        </row>
        <row r="72">
          <cell r="D72" t="str">
            <v>Compra 1</v>
          </cell>
        </row>
        <row r="73">
          <cell r="D73" t="str">
            <v>Compra 1</v>
          </cell>
        </row>
        <row r="74">
          <cell r="D74" t="str">
            <v>Compra 1</v>
          </cell>
        </row>
        <row r="75">
          <cell r="D75" t="str">
            <v>Compra 1</v>
          </cell>
        </row>
        <row r="76">
          <cell r="D76" t="str">
            <v>Compra 1</v>
          </cell>
        </row>
        <row r="77">
          <cell r="D77" t="str">
            <v>Compra 1</v>
          </cell>
        </row>
        <row r="78">
          <cell r="D78" t="str">
            <v>Compra 1</v>
          </cell>
        </row>
        <row r="79">
          <cell r="D79" t="str">
            <v>Compra 1</v>
          </cell>
        </row>
        <row r="80">
          <cell r="D80" t="str">
            <v>Compra 1</v>
          </cell>
        </row>
        <row r="81">
          <cell r="D81" t="str">
            <v>Compra 1</v>
          </cell>
        </row>
        <row r="82">
          <cell r="D82" t="str">
            <v>Compra 1</v>
          </cell>
        </row>
        <row r="83">
          <cell r="D83" t="str">
            <v>Compra 1</v>
          </cell>
        </row>
        <row r="84">
          <cell r="D84" t="str">
            <v>Compra 1</v>
          </cell>
        </row>
        <row r="85">
          <cell r="D85" t="str">
            <v>Compra 1</v>
          </cell>
        </row>
        <row r="86">
          <cell r="D86" t="str">
            <v>Compra 1</v>
          </cell>
        </row>
        <row r="87">
          <cell r="D87" t="str">
            <v>Compra 1</v>
          </cell>
        </row>
        <row r="88">
          <cell r="D88" t="str">
            <v>Compra 1</v>
          </cell>
        </row>
        <row r="89">
          <cell r="D89" t="str">
            <v>Compra 1</v>
          </cell>
        </row>
        <row r="90">
          <cell r="D90" t="str">
            <v>Compra 1</v>
          </cell>
        </row>
        <row r="91">
          <cell r="D91" t="str">
            <v>Tarifa manual</v>
          </cell>
        </row>
        <row r="92">
          <cell r="D92" t="str">
            <v>Compra 1</v>
          </cell>
        </row>
        <row r="93">
          <cell r="D93" t="str">
            <v>Compra 2</v>
          </cell>
        </row>
        <row r="94">
          <cell r="D94" t="str">
            <v>Compra 2</v>
          </cell>
        </row>
        <row r="95">
          <cell r="D95" t="str">
            <v>Compra 2</v>
          </cell>
        </row>
        <row r="96">
          <cell r="D96" t="str">
            <v>Compra 1</v>
          </cell>
        </row>
        <row r="97">
          <cell r="D97" t="str">
            <v>Tarifa manual</v>
          </cell>
        </row>
        <row r="98">
          <cell r="D98" t="str">
            <v>Compra 2</v>
          </cell>
        </row>
        <row r="99">
          <cell r="D99" t="str">
            <v>Tarifa manual</v>
          </cell>
        </row>
        <row r="100">
          <cell r="D100" t="str">
            <v>Tarifa manual</v>
          </cell>
        </row>
        <row r="101">
          <cell r="D101" t="str">
            <v>Tarifa manual</v>
          </cell>
        </row>
        <row r="102">
          <cell r="D102" t="str">
            <v>Tarifa manual</v>
          </cell>
        </row>
        <row r="103">
          <cell r="D103" t="str">
            <v>Compra 1</v>
          </cell>
        </row>
        <row r="104">
          <cell r="D104" t="str">
            <v>Compra 1</v>
          </cell>
        </row>
        <row r="105">
          <cell r="D105" t="str">
            <v>Compra 1</v>
          </cell>
        </row>
        <row r="106">
          <cell r="D106" t="str">
            <v>Compra 1</v>
          </cell>
        </row>
        <row r="107">
          <cell r="D107" t="str">
            <v>Compra 1</v>
          </cell>
        </row>
        <row r="108">
          <cell r="D108" t="str">
            <v>Compra 1</v>
          </cell>
        </row>
        <row r="109">
          <cell r="D109" t="str">
            <v>Compra 1</v>
          </cell>
        </row>
        <row r="110">
          <cell r="D110" t="str">
            <v>Compra 1</v>
          </cell>
        </row>
        <row r="111">
          <cell r="D111" t="str">
            <v>Compra 1</v>
          </cell>
        </row>
        <row r="112">
          <cell r="D112" t="str">
            <v>Compra 1</v>
          </cell>
        </row>
        <row r="113">
          <cell r="D113" t="str">
            <v>Compra 2</v>
          </cell>
        </row>
        <row r="114">
          <cell r="D114" t="str">
            <v>Compra 2</v>
          </cell>
        </row>
        <row r="115">
          <cell r="D115" t="str">
            <v>Compra 2</v>
          </cell>
        </row>
        <row r="116">
          <cell r="D116" t="str">
            <v>Tarifa manual</v>
          </cell>
        </row>
        <row r="117">
          <cell r="D117" t="str">
            <v>Compra 1</v>
          </cell>
        </row>
        <row r="118">
          <cell r="D118" t="str">
            <v>Compra 2</v>
          </cell>
        </row>
        <row r="119">
          <cell r="D119" t="str">
            <v>Compra 2</v>
          </cell>
        </row>
        <row r="120">
          <cell r="D120" t="str">
            <v>Tarifa manual</v>
          </cell>
        </row>
        <row r="121">
          <cell r="D121" t="str">
            <v>Compra 2</v>
          </cell>
        </row>
        <row r="122">
          <cell r="D122" t="str">
            <v>Tarifa manual</v>
          </cell>
        </row>
        <row r="123">
          <cell r="D123" t="str">
            <v>Compra 2</v>
          </cell>
        </row>
        <row r="124">
          <cell r="D124" t="str">
            <v>Compra 2</v>
          </cell>
        </row>
        <row r="125">
          <cell r="D125" t="str">
            <v>Tarifa manual</v>
          </cell>
        </row>
        <row r="126">
          <cell r="D126" t="str">
            <v>Compra 2</v>
          </cell>
        </row>
        <row r="127">
          <cell r="D127" t="str">
            <v>Compra 1</v>
          </cell>
        </row>
        <row r="128">
          <cell r="D128" t="str">
            <v>Compra 2</v>
          </cell>
        </row>
        <row r="129">
          <cell r="D129" t="str">
            <v>Compra 2</v>
          </cell>
        </row>
        <row r="130">
          <cell r="D130" t="str">
            <v>Compra 2</v>
          </cell>
        </row>
        <row r="131">
          <cell r="D131" t="str">
            <v>Compra 2</v>
          </cell>
        </row>
        <row r="132">
          <cell r="D132" t="str">
            <v>Compra 2</v>
          </cell>
        </row>
        <row r="133">
          <cell r="D133" t="str">
            <v>Compra 2</v>
          </cell>
        </row>
        <row r="134">
          <cell r="D134" t="str">
            <v>Tarifa manual</v>
          </cell>
        </row>
        <row r="135">
          <cell r="D135" t="str">
            <v>Tarifa manual</v>
          </cell>
        </row>
        <row r="136">
          <cell r="D136" t="str">
            <v>Tarifa manual</v>
          </cell>
        </row>
        <row r="137">
          <cell r="D137" t="str">
            <v>Tarifa manual</v>
          </cell>
        </row>
        <row r="138">
          <cell r="D138" t="str">
            <v>Tarifa manual</v>
          </cell>
        </row>
        <row r="139">
          <cell r="D139" t="str">
            <v>Tarifa manual</v>
          </cell>
        </row>
        <row r="140">
          <cell r="D140" t="str">
            <v>Compra 2</v>
          </cell>
        </row>
        <row r="141">
          <cell r="D141" t="str">
            <v>Compra 2</v>
          </cell>
        </row>
        <row r="142">
          <cell r="D142" t="str">
            <v>Tarifa manual</v>
          </cell>
        </row>
        <row r="143">
          <cell r="D143" t="str">
            <v>Compra 2</v>
          </cell>
        </row>
        <row r="144">
          <cell r="D144" t="str">
            <v>Compra 2</v>
          </cell>
        </row>
        <row r="145">
          <cell r="D145" t="str">
            <v>Compra 1</v>
          </cell>
        </row>
        <row r="146">
          <cell r="D146" t="str">
            <v>Compra 2</v>
          </cell>
        </row>
        <row r="147">
          <cell r="D147" t="str">
            <v>Compra 2</v>
          </cell>
        </row>
        <row r="148">
          <cell r="D148" t="str">
            <v>Compra 2</v>
          </cell>
        </row>
        <row r="149">
          <cell r="D149" t="str">
            <v>Compra 2</v>
          </cell>
        </row>
        <row r="150">
          <cell r="D150" t="str">
            <v>Tarifa manual</v>
          </cell>
        </row>
        <row r="151">
          <cell r="D151" t="str">
            <v>Compra 2</v>
          </cell>
        </row>
        <row r="152">
          <cell r="D152" t="str">
            <v>Compra 2</v>
          </cell>
        </row>
        <row r="153">
          <cell r="D153" t="str">
            <v>Compra 2</v>
          </cell>
        </row>
        <row r="154">
          <cell r="D154" t="str">
            <v>Tarifa manual</v>
          </cell>
        </row>
        <row r="155">
          <cell r="D155" t="str">
            <v>Compra 2</v>
          </cell>
        </row>
        <row r="156">
          <cell r="D156" t="str">
            <v>Tarifa manual</v>
          </cell>
        </row>
        <row r="157">
          <cell r="D157" t="str">
            <v>Compra 1</v>
          </cell>
        </row>
        <row r="158">
          <cell r="D158" t="str">
            <v>Compra 2</v>
          </cell>
        </row>
      </sheetData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E095A-8004-44AE-B01A-B92B9A0F6391}" name="CostesSKU3" displayName="CostesSKU3" ref="A4:L444" totalsRowShown="0">
  <autoFilter ref="A4:L444" xr:uid="{00000000-0009-0000-0100-000001000000}"/>
  <tableColumns count="12">
    <tableColumn id="1" xr3:uid="{82836617-895F-4192-8248-F5B164ADC630}" name="SKU"/>
    <tableColumn id="2" xr3:uid="{6F1DEBAB-94F9-4036-9704-FD7E5EA4331A}" name="Familia SKU"/>
    <tableColumn id="3" xr3:uid="{2CB1DFE3-6031-4985-8EC4-04281514955C}" name="País"/>
    <tableColumn id="4" xr3:uid="{5632A718-9662-4A04-8A77-4ADBE8E92ED8}" name="Formulación máximo"/>
    <tableColumn id="5" xr3:uid="{13C07D51-C122-4654-A072-62432B464D84}" name="Empaquetado máximo"/>
    <tableColumn id="6" xr3:uid="{039B916A-2013-44BD-BB77-58C088C40284}" name="Total máximo"/>
    <tableColumn id="7" xr3:uid="{A4F5A85D-3CEB-4D85-AEB5-F2051A7694B6}" name="Formulación media"/>
    <tableColumn id="8" xr3:uid="{3CFE5FE3-138A-4615-86B6-3AF8C58EB078}" name="Empaquetado media"/>
    <tableColumn id="9" xr3:uid="{E29E6931-5EC1-4C94-9006-1C59DDF5AF97}" name="Total medio"/>
    <tableColumn id="10" xr3:uid="{4962734A-5777-4E45-85F4-1F7374440731}" name="Estado">
      <calculatedColumnFormula>IF(K5=0,"Completo","Pendiente")</calculatedColumnFormula>
    </tableColumn>
    <tableColumn id="11" xr3:uid="{4C912FAB-0D23-4EFA-9E73-02FF8701F2BB}" name="Líneas sin precio"/>
    <tableColumn id="12" xr3:uid="{8E0AE938-274B-45FD-A84E-393CF343384B}" name="Códigos sin pre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C752-69FF-42EB-8506-0436CA275AF0}">
  <sheetPr>
    <tabColor rgb="FF203D61"/>
  </sheetPr>
  <dimension ref="A1:L44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3" sqref="A3"/>
    </sheetView>
  </sheetViews>
  <sheetFormatPr baseColWidth="10" defaultColWidth="8.6640625" defaultRowHeight="14"/>
  <cols>
    <col min="1" max="1" width="26" customWidth="1"/>
    <col min="2" max="2" width="13" customWidth="1"/>
    <col min="3" max="3" width="27" customWidth="1"/>
    <col min="4" max="4" width="17" customWidth="1"/>
    <col min="5" max="5" width="18" customWidth="1"/>
    <col min="6" max="7" width="17" customWidth="1"/>
    <col min="8" max="8" width="18" customWidth="1"/>
    <col min="9" max="10" width="17" customWidth="1"/>
    <col min="11" max="11" width="15" customWidth="1"/>
    <col min="12" max="12" width="40" customWidth="1"/>
  </cols>
  <sheetData>
    <row r="1" spans="1:12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6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2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ht="22" customHeight="1">
      <c r="A5" s="1" t="s">
        <v>13</v>
      </c>
      <c r="B5" s="1" t="s">
        <v>14</v>
      </c>
      <c r="C5" s="1" t="s">
        <v>15</v>
      </c>
      <c r="D5" s="4">
        <f>IF(COUNTIFS([1]Desglose_BOM_Componentes!$B$141:$B$143,$A5,[1]Desglose_BOM_Componentes!$AE$141:$AE$143,"Sin precio",[1]Desglose_BOM_Componentes!$X$141:$X$143,"Formulación")&gt;0,"n.d.",SUMIFS([1]Desglose_BOM_Componentes!$AC$141:$AC$143,[1]Desglose_BOM_Componentes!$B$141:$B$143,$A5,[1]Desglose_BOM_Componentes!$X$141:$X$143,"Formulación"))</f>
        <v>1.7890000000000004</v>
      </c>
      <c r="E5" s="5">
        <v>0.01</v>
      </c>
      <c r="F5" s="6">
        <f>IF(K5&gt;0,"n.d.",SUM(D5:E5))</f>
        <v>1.7990000000000004</v>
      </c>
      <c r="G5" s="4">
        <f>IF(COUNTIFS([1]Desglose_BOM_Componentes!$B$141:$B$143,$A5,[1]Desglose_BOM_Componentes!$AE$141:$AE$143,"Sin precio",[1]Desglose_BOM_Componentes!$X$141:$X$143,"Formulación")&gt;0,"n.d.",SUMIFS([1]Desglose_BOM_Componentes!$AD$141:$AD$143,[1]Desglose_BOM_Componentes!$B$141:$B$143,$A5,[1]Desglose_BOM_Componentes!$X$141:$X$143,"Formulación"))</f>
        <v>1.6945000000000001</v>
      </c>
      <c r="H5" s="5">
        <v>0.01</v>
      </c>
      <c r="I5" s="6">
        <f>IF(K5&gt;0,"n.d.",SUM(G5:H5))</f>
        <v>1.7045000000000001</v>
      </c>
      <c r="J5" s="1" t="str">
        <f t="shared" ref="J5:J68" si="0">IF(K5=0,"Completo","Pendiente")</f>
        <v>Completo</v>
      </c>
      <c r="K5" s="1">
        <f>COUNTIFS([1]Desglose_BOM_Componentes!$B$141:$B$143,$A5,[1]Desglose_BOM_Componentes!$AE$141:$AE$143,"Sin precio")</f>
        <v>0</v>
      </c>
      <c r="L5" s="1" t="str">
        <f>IF('[1]Precios componentes'!D80="Sin precio","GLI; ","")&amp;IF('[1]Precios componentes'!D73="Sin precio","FMP; ","")&amp;IF('[1]Precios componentes'!D113="Sin precio","NPO; ","")</f>
        <v/>
      </c>
    </row>
    <row r="6" spans="1:12" ht="22" customHeight="1">
      <c r="A6" s="1" t="s">
        <v>16</v>
      </c>
      <c r="B6" s="1" t="s">
        <v>14</v>
      </c>
      <c r="C6" s="1" t="s">
        <v>15</v>
      </c>
      <c r="D6" s="4">
        <f>IF(COUNTIFS([1]Desglose_BOM_Componentes!$B$138:$B$140,$A6,[1]Desglose_BOM_Componentes!$AE$138:$AE$140,"Sin precio",[1]Desglose_BOM_Componentes!$X$138:$X$140,"Formulación")&gt;0,"n.d.",SUMIFS([1]Desglose_BOM_Componentes!$AC$138:$AC$140,[1]Desglose_BOM_Componentes!$B$138:$B$140,$A6,[1]Desglose_BOM_Componentes!$X$138:$X$140,"Formulación"))</f>
        <v>1.7890000000000004</v>
      </c>
      <c r="E6" s="5">
        <v>0.01</v>
      </c>
      <c r="F6" s="6">
        <f>IF(K6&gt;0,"n.d.",SUM(D6:E6))</f>
        <v>1.7990000000000004</v>
      </c>
      <c r="G6" s="4">
        <f>IF(COUNTIFS([1]Desglose_BOM_Componentes!$B$138:$B$140,$A6,[1]Desglose_BOM_Componentes!$AE$138:$AE$140,"Sin precio",[1]Desglose_BOM_Componentes!$X$138:$X$140,"Formulación")&gt;0,"n.d.",SUMIFS([1]Desglose_BOM_Componentes!$AD$138:$AD$140,[1]Desglose_BOM_Componentes!$B$138:$B$140,$A6,[1]Desglose_BOM_Componentes!$X$138:$X$140,"Formulación"))</f>
        <v>1.6945000000000001</v>
      </c>
      <c r="H6" s="5">
        <v>0.01</v>
      </c>
      <c r="I6" s="6">
        <f>IF(K6&gt;0,"n.d.",SUM(G6:H6))</f>
        <v>1.7045000000000001</v>
      </c>
      <c r="J6" s="1" t="str">
        <f t="shared" si="0"/>
        <v>Completo</v>
      </c>
      <c r="K6" s="1">
        <f>COUNTIFS([1]Desglose_BOM_Componentes!$B$138:$B$140,$A6,[1]Desglose_BOM_Componentes!$AE$138:$AE$140,"Sin precio")</f>
        <v>0</v>
      </c>
      <c r="L6" s="1" t="str">
        <f>IF('[1]Precios componentes'!D80="Sin precio","GLI; ","")&amp;IF('[1]Precios componentes'!D73="Sin precio","FMP; ","")&amp;IF('[1]Precios componentes'!D113="Sin precio","NPO; ","")</f>
        <v/>
      </c>
    </row>
    <row r="7" spans="1:12" ht="22" customHeight="1">
      <c r="A7" s="1" t="s">
        <v>17</v>
      </c>
      <c r="B7" s="1" t="s">
        <v>18</v>
      </c>
      <c r="C7" s="1" t="s">
        <v>19</v>
      </c>
      <c r="D7" s="4">
        <f>IF(COUNTIFS([1]Desglose_BOM_Componentes!$B$540:$B$551,$A7,[1]Desglose_BOM_Componentes!$AE$540:$AE$551,"Sin precio",[1]Desglose_BOM_Componentes!$X$540:$X$551,"Formulación")&gt;0,"n.d.",SUMIFS([1]Desglose_BOM_Componentes!$AC$540:$AC$551,[1]Desglose_BOM_Componentes!$B$540:$B$551,$A7,[1]Desglose_BOM_Componentes!$X$540:$X$551,"Formulación"))</f>
        <v>0.80712000000000006</v>
      </c>
      <c r="E7" s="4">
        <f>IF(COUNTIFS([1]Desglose_BOM_Componentes!$B$540:$B$551,$A7,[1]Desglose_BOM_Componentes!$AE$540:$AE$551,"Sin precio",[1]Desglose_BOM_Componentes!$X$540:$X$551,"Empaquetado")&gt;0,"n.d.",SUMIFS([1]Desglose_BOM_Componentes!$AC$540:$AC$551,[1]Desglose_BOM_Componentes!$B$540:$B$551,$A7,[1]Desglose_BOM_Componentes!$X$540:$X$551,"Empaquetado"))</f>
        <v>0.19508731331430246</v>
      </c>
      <c r="F7" s="6">
        <f t="shared" ref="F7:F34" si="1">IF(K7&gt;0,"n.d.",SUM(D7:E7)+0.0042)</f>
        <v>1.0064073133143026</v>
      </c>
      <c r="G7" s="4">
        <f>IF(COUNTIFS([1]Desglose_BOM_Componentes!$B$540:$B$551,$A7,[1]Desglose_BOM_Componentes!$AE$540:$AE$551,"Sin precio",[1]Desglose_BOM_Componentes!$X$540:$X$551,"Formulación")&gt;0,"n.d.",SUMIFS([1]Desglose_BOM_Componentes!$AD$540:$AD$551,[1]Desglose_BOM_Componentes!$B$540:$B$551,$A7,[1]Desglose_BOM_Componentes!$X$540:$X$551,"Formulación"))</f>
        <v>0.71800700000000006</v>
      </c>
      <c r="H7" s="4">
        <f>IF(COUNTIFS([1]Desglose_BOM_Componentes!$B$540:$B$551,$A7,[1]Desglose_BOM_Componentes!$AE$540:$AE$551,"Sin precio",[1]Desglose_BOM_Componentes!$X$540:$X$551,"Empaquetado")&gt;0,"n.d.",SUMIFS([1]Desglose_BOM_Componentes!$AD$540:$AD$551,[1]Desglose_BOM_Componentes!$B$540:$B$551,$A7,[1]Desglose_BOM_Componentes!$X$540:$X$551,"Empaquetado"))</f>
        <v>0.19508731331430246</v>
      </c>
      <c r="I7" s="6">
        <f t="shared" ref="I7:I34" si="2">IF(K7&gt;0,"n.d.",SUM(G7:H7)+0.0042)</f>
        <v>0.91729431331430256</v>
      </c>
      <c r="J7" s="1" t="str">
        <f t="shared" si="0"/>
        <v>Completo</v>
      </c>
      <c r="K7" s="1">
        <f>COUNTIFS([1]Desglose_BOM_Componentes!$B$540:$B$551,$A7,[1]Desglose_BOM_Componentes!$AE$540:$AE$551,"Sin precio")</f>
        <v>0</v>
      </c>
      <c r="L7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8" spans="1:12" ht="22" customHeight="1">
      <c r="A8" s="1" t="s">
        <v>20</v>
      </c>
      <c r="B8" s="1" t="s">
        <v>18</v>
      </c>
      <c r="C8" s="1" t="s">
        <v>21</v>
      </c>
      <c r="D8" s="4">
        <f>IF(COUNTIFS([1]Desglose_BOM_Componentes!$B$552:$B$559,$A8,[1]Desglose_BOM_Componentes!$AE$552:$AE$559,"Sin precio",[1]Desglose_BOM_Componentes!$X$552:$X$559,"Formulación")&gt;0,"n.d.",SUMIFS([1]Desglose_BOM_Componentes!$AC$552:$AC$559,[1]Desglose_BOM_Componentes!$B$552:$B$559,$A8,[1]Desglose_BOM_Componentes!$X$552:$X$559,"Formulación"))</f>
        <v>0.80712000000000006</v>
      </c>
      <c r="E8" s="4">
        <f>IF(COUNTIFS([1]Desglose_BOM_Componentes!$B$552:$B$559,$A8,[1]Desglose_BOM_Componentes!$AE$552:$AE$559,"Sin precio",[1]Desglose_BOM_Componentes!$X$552:$X$559,"Empaquetado")&gt;0,"n.d.",SUMIFS([1]Desglose_BOM_Componentes!$AC$552:$AC$559,[1]Desglose_BOM_Componentes!$B$552:$B$559,$A8,[1]Desglose_BOM_Componentes!$X$552:$X$559,"Empaquetado"))</f>
        <v>6.994759378174159E-2</v>
      </c>
      <c r="F8" s="6">
        <f t="shared" si="1"/>
        <v>0.88126759378174158</v>
      </c>
      <c r="G8" s="4">
        <f>IF(COUNTIFS([1]Desglose_BOM_Componentes!$B$552:$B$559,$A8,[1]Desglose_BOM_Componentes!$AE$552:$AE$559,"Sin precio",[1]Desglose_BOM_Componentes!$X$552:$X$559,"Formulación")&gt;0,"n.d.",SUMIFS([1]Desglose_BOM_Componentes!$AD$552:$AD$559,[1]Desglose_BOM_Componentes!$B$552:$B$559,$A8,[1]Desglose_BOM_Componentes!$X$552:$X$559,"Formulación"))</f>
        <v>0.71800700000000006</v>
      </c>
      <c r="H8" s="4">
        <f>IF(COUNTIFS([1]Desglose_BOM_Componentes!$B$552:$B$559,$A8,[1]Desglose_BOM_Componentes!$AE$552:$AE$559,"Sin precio",[1]Desglose_BOM_Componentes!$X$552:$X$559,"Empaquetado")&gt;0,"n.d.",SUMIFS([1]Desglose_BOM_Componentes!$AD$552:$AD$559,[1]Desglose_BOM_Componentes!$B$552:$B$559,$A8,[1]Desglose_BOM_Componentes!$X$552:$X$559,"Empaquetado"))</f>
        <v>6.994759378174159E-2</v>
      </c>
      <c r="I8" s="6">
        <f t="shared" si="2"/>
        <v>0.79215459378174158</v>
      </c>
      <c r="J8" s="1" t="str">
        <f t="shared" si="0"/>
        <v>Completo</v>
      </c>
      <c r="K8" s="1">
        <f>COUNTIFS([1]Desglose_BOM_Componentes!$B$552:$B$559,$A8,[1]Desglose_BOM_Componentes!$AE$552:$AE$559,"Sin precio")</f>
        <v>0</v>
      </c>
      <c r="L8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componentes'!D31="Sin precio","C1000R; ","")&amp;IF('[1]Precios componentes'!D95="Sin precio","KIA250; ","")</f>
        <v/>
      </c>
    </row>
    <row r="9" spans="1:12" ht="22" customHeight="1">
      <c r="A9" s="1" t="s">
        <v>22</v>
      </c>
      <c r="B9" s="1" t="s">
        <v>18</v>
      </c>
      <c r="C9" s="1" t="s">
        <v>19</v>
      </c>
      <c r="D9" s="4">
        <f>IF(COUNTIFS([1]Desglose_BOM_Componentes!$B$560:$B$567,$A9,[1]Desglose_BOM_Componentes!$AE$560:$AE$567,"Sin precio",[1]Desglose_BOM_Componentes!$X$560:$X$567,"Formulación")&gt;0,"n.d.",SUMIFS([1]Desglose_BOM_Componentes!$AC$560:$AC$567,[1]Desglose_BOM_Componentes!$B$560:$B$567,$A9,[1]Desglose_BOM_Componentes!$X$560:$X$567,"Formulación"))</f>
        <v>0.80712000000000006</v>
      </c>
      <c r="E9" s="4">
        <f>IF(COUNTIFS([1]Desglose_BOM_Componentes!$B$560:$B$567,$A9,[1]Desglose_BOM_Componentes!$AE$560:$AE$567,"Sin precio",[1]Desglose_BOM_Componentes!$X$560:$X$567,"Empaquetado")&gt;0,"n.d.",SUMIFS([1]Desglose_BOM_Componentes!$AC$560:$AC$567,[1]Desglose_BOM_Componentes!$B$560:$B$567,$A9,[1]Desglose_BOM_Componentes!$X$560:$X$567,"Empaquetado"))</f>
        <v>6.994759378174159E-2</v>
      </c>
      <c r="F9" s="6">
        <f t="shared" si="1"/>
        <v>0.88126759378174158</v>
      </c>
      <c r="G9" s="4">
        <f>IF(COUNTIFS([1]Desglose_BOM_Componentes!$B$560:$B$567,$A9,[1]Desglose_BOM_Componentes!$AE$560:$AE$567,"Sin precio",[1]Desglose_BOM_Componentes!$X$560:$X$567,"Formulación")&gt;0,"n.d.",SUMIFS([1]Desglose_BOM_Componentes!$AD$560:$AD$567,[1]Desglose_BOM_Componentes!$B$560:$B$567,$A9,[1]Desglose_BOM_Componentes!$X$560:$X$567,"Formulación"))</f>
        <v>0.71800700000000006</v>
      </c>
      <c r="H9" s="4">
        <f>IF(COUNTIFS([1]Desglose_BOM_Componentes!$B$560:$B$567,$A9,[1]Desglose_BOM_Componentes!$AE$560:$AE$567,"Sin precio",[1]Desglose_BOM_Componentes!$X$560:$X$567,"Empaquetado")&gt;0,"n.d.",SUMIFS([1]Desglose_BOM_Componentes!$AD$560:$AD$567,[1]Desglose_BOM_Componentes!$B$560:$B$567,$A9,[1]Desglose_BOM_Componentes!$X$560:$X$567,"Empaquetado"))</f>
        <v>6.994759378174159E-2</v>
      </c>
      <c r="I9" s="6">
        <f t="shared" si="2"/>
        <v>0.79215459378174158</v>
      </c>
      <c r="J9" s="1" t="str">
        <f t="shared" si="0"/>
        <v>Completo</v>
      </c>
      <c r="K9" s="1">
        <f>COUNTIFS([1]Desglose_BOM_Componentes!$B$560:$B$567,$A9,[1]Desglose_BOM_Componentes!$AE$560:$AE$567,"Sin precio")</f>
        <v>0</v>
      </c>
      <c r="L9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componentes'!D31="Sin precio","C1000R; ","")&amp;IF('[1]Precios componentes'!D95="Sin precio","KIA250; ","")</f>
        <v/>
      </c>
    </row>
    <row r="10" spans="1:12" ht="22" customHeight="1">
      <c r="A10" s="1" t="s">
        <v>23</v>
      </c>
      <c r="B10" s="1" t="s">
        <v>18</v>
      </c>
      <c r="C10" s="1" t="s">
        <v>24</v>
      </c>
      <c r="D10" s="4">
        <f>IF(COUNTIFS([1]Desglose_BOM_Componentes!$B$720:$B$732,$A10,[1]Desglose_BOM_Componentes!$AE$720:$AE$732,"Sin precio",[1]Desglose_BOM_Componentes!$X$720:$X$732,"Formulación")&gt;0,"n.d.",SUMIFS([1]Desglose_BOM_Componentes!$AC$720:$AC$732,[1]Desglose_BOM_Componentes!$B$720:$B$732,$A10,[1]Desglose_BOM_Componentes!$X$720:$X$732,"Formulación"))</f>
        <v>0.81652000000000002</v>
      </c>
      <c r="E10" s="4">
        <f>IF(COUNTIFS([1]Desglose_BOM_Componentes!$B$720:$B$732,$A10,[1]Desglose_BOM_Componentes!$AE$720:$AE$732,"Sin precio",[1]Desglose_BOM_Componentes!$X$720:$X$732,"Empaquetado")&gt;0,"n.d.",SUMIFS([1]Desglose_BOM_Componentes!$AC$720:$AC$732,[1]Desglose_BOM_Componentes!$B$720:$B$732,$A10,[1]Desglose_BOM_Componentes!$X$720:$X$732,"Empaquetado"))</f>
        <v>0.19508731331430246</v>
      </c>
      <c r="F10" s="6">
        <f t="shared" si="1"/>
        <v>1.0158073133143024</v>
      </c>
      <c r="G10" s="4">
        <f>IF(COUNTIFS([1]Desglose_BOM_Componentes!$B$720:$B$732,$A10,[1]Desglose_BOM_Componentes!$AE$720:$AE$732,"Sin precio",[1]Desglose_BOM_Componentes!$X$720:$X$732,"Formulación")&gt;0,"n.d.",SUMIFS([1]Desglose_BOM_Componentes!$AD$720:$AD$732,[1]Desglose_BOM_Componentes!$B$720:$B$732,$A10,[1]Desglose_BOM_Componentes!$X$720:$X$732,"Formulación"))</f>
        <v>0.76639100000000004</v>
      </c>
      <c r="H10" s="4">
        <f>IF(COUNTIFS([1]Desglose_BOM_Componentes!$B$720:$B$732,$A10,[1]Desglose_BOM_Componentes!$AE$720:$AE$732,"Sin precio",[1]Desglose_BOM_Componentes!$X$720:$X$732,"Empaquetado")&gt;0,"n.d.",SUMIFS([1]Desglose_BOM_Componentes!$AD$720:$AD$732,[1]Desglose_BOM_Componentes!$B$720:$B$732,$A10,[1]Desglose_BOM_Componentes!$X$720:$X$732,"Empaquetado"))</f>
        <v>0.19508731331430246</v>
      </c>
      <c r="I10" s="6">
        <f t="shared" si="2"/>
        <v>0.96567831331430254</v>
      </c>
      <c r="J10" s="1" t="str">
        <f t="shared" si="0"/>
        <v>Completo</v>
      </c>
      <c r="K10" s="1">
        <f>COUNTIFS([1]Desglose_BOM_Componentes!$B$720:$B$732,$A10,[1]Desglose_BOM_Componentes!$AE$720:$AE$732,"Sin precio")</f>
        <v>0</v>
      </c>
      <c r="L10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11" spans="1:12" ht="22" customHeight="1">
      <c r="A11" s="1" t="s">
        <v>25</v>
      </c>
      <c r="B11" s="1" t="s">
        <v>18</v>
      </c>
      <c r="C11" s="1" t="s">
        <v>26</v>
      </c>
      <c r="D11" s="4">
        <f>IF(COUNTIFS([1]Desglose_BOM_Componentes!$B$733:$B$745,$A11,[1]Desglose_BOM_Componentes!$AE$733:$AE$745,"Sin precio",[1]Desglose_BOM_Componentes!$X$733:$X$745,"Formulación")&gt;0,"n.d.",SUMIFS([1]Desglose_BOM_Componentes!$AC$733:$AC$745,[1]Desglose_BOM_Componentes!$B$733:$B$745,$A11,[1]Desglose_BOM_Componentes!$X$733:$X$745,"Formulación"))</f>
        <v>0.81652000000000002</v>
      </c>
      <c r="E11" s="4">
        <f>IF(COUNTIFS([1]Desglose_BOM_Componentes!$B$733:$B$745,$A11,[1]Desglose_BOM_Componentes!$AE$733:$AE$745,"Sin precio",[1]Desglose_BOM_Componentes!$X$733:$X$745,"Empaquetado")&gt;0,"n.d.",SUMIFS([1]Desglose_BOM_Componentes!$AC$733:$AC$745,[1]Desglose_BOM_Componentes!$B$733:$B$745,$A11,[1]Desglose_BOM_Componentes!$X$733:$X$745,"Empaquetado"))</f>
        <v>0.19508731331430246</v>
      </c>
      <c r="F11" s="6">
        <f t="shared" si="1"/>
        <v>1.0158073133143024</v>
      </c>
      <c r="G11" s="4">
        <f>IF(COUNTIFS([1]Desglose_BOM_Componentes!$B$733:$B$745,$A11,[1]Desglose_BOM_Componentes!$AE$733:$AE$745,"Sin precio",[1]Desglose_BOM_Componentes!$X$733:$X$745,"Formulación")&gt;0,"n.d.",SUMIFS([1]Desglose_BOM_Componentes!$AD$733:$AD$745,[1]Desglose_BOM_Componentes!$B$733:$B$745,$A11,[1]Desglose_BOM_Componentes!$X$733:$X$745,"Formulación"))</f>
        <v>0.76639100000000004</v>
      </c>
      <c r="H11" s="4">
        <f>IF(COUNTIFS([1]Desglose_BOM_Componentes!$B$733:$B$745,$A11,[1]Desglose_BOM_Componentes!$AE$733:$AE$745,"Sin precio",[1]Desglose_BOM_Componentes!$X$733:$X$745,"Empaquetado")&gt;0,"n.d.",SUMIFS([1]Desglose_BOM_Componentes!$AD$733:$AD$745,[1]Desglose_BOM_Componentes!$B$733:$B$745,$A11,[1]Desglose_BOM_Componentes!$X$733:$X$745,"Empaquetado"))</f>
        <v>0.19508731331430246</v>
      </c>
      <c r="I11" s="6">
        <f t="shared" si="2"/>
        <v>0.96567831331430254</v>
      </c>
      <c r="J11" s="1" t="str">
        <f t="shared" si="0"/>
        <v>Completo</v>
      </c>
      <c r="K11" s="1">
        <f>COUNTIFS([1]Desglose_BOM_Componentes!$B$733:$B$745,$A11,[1]Desglose_BOM_Componentes!$AE$733:$AE$745,"Sin precio")</f>
        <v>0</v>
      </c>
      <c r="L11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12" spans="1:12" ht="22" customHeight="1">
      <c r="A12" s="1" t="s">
        <v>27</v>
      </c>
      <c r="B12" s="1" t="s">
        <v>18</v>
      </c>
      <c r="C12" s="1" t="s">
        <v>24</v>
      </c>
      <c r="D12" s="4">
        <f>IF(COUNTIFS([1]Desglose_BOM_Componentes!$B$746:$B$754,$A12,[1]Desglose_BOM_Componentes!$AE$746:$AE$754,"Sin precio",[1]Desglose_BOM_Componentes!$X$746:$X$754,"Formulación")&gt;0,"n.d.",SUMIFS([1]Desglose_BOM_Componentes!$AC$746:$AC$754,[1]Desglose_BOM_Componentes!$B$746:$B$754,$A12,[1]Desglose_BOM_Componentes!$X$746:$X$754,"Formulación"))</f>
        <v>0.81652000000000002</v>
      </c>
      <c r="E12" s="4">
        <f>IF(COUNTIFS([1]Desglose_BOM_Componentes!$B$746:$B$754,$A12,[1]Desglose_BOM_Componentes!$AE$746:$AE$754,"Sin precio",[1]Desglose_BOM_Componentes!$X$746:$X$754,"Empaquetado")&gt;0,"n.d.",SUMIFS([1]Desglose_BOM_Componentes!$AC$746:$AC$754,[1]Desglose_BOM_Componentes!$B$746:$B$754,$A12,[1]Desglose_BOM_Componentes!$X$746:$X$754,"Empaquetado"))</f>
        <v>0.11710143993558776</v>
      </c>
      <c r="F12" s="6">
        <f t="shared" si="1"/>
        <v>0.93782143993558775</v>
      </c>
      <c r="G12" s="4">
        <f>IF(COUNTIFS([1]Desglose_BOM_Componentes!$B$746:$B$754,$A12,[1]Desglose_BOM_Componentes!$AE$746:$AE$754,"Sin precio",[1]Desglose_BOM_Componentes!$X$746:$X$754,"Formulación")&gt;0,"n.d.",SUMIFS([1]Desglose_BOM_Componentes!$AD$746:$AD$754,[1]Desglose_BOM_Componentes!$B$746:$B$754,$A12,[1]Desglose_BOM_Componentes!$X$746:$X$754,"Formulación"))</f>
        <v>0.76639100000000004</v>
      </c>
      <c r="H12" s="4">
        <f>IF(COUNTIFS([1]Desglose_BOM_Componentes!$B$746:$B$754,$A12,[1]Desglose_BOM_Componentes!$AE$746:$AE$754,"Sin precio",[1]Desglose_BOM_Componentes!$X$746:$X$754,"Empaquetado")&gt;0,"n.d.",SUMIFS([1]Desglose_BOM_Componentes!$AD$746:$AD$754,[1]Desglose_BOM_Componentes!$B$746:$B$754,$A12,[1]Desglose_BOM_Componentes!$X$746:$X$754,"Empaquetado"))</f>
        <v>0.11710143993558776</v>
      </c>
      <c r="I12" s="6">
        <f t="shared" si="2"/>
        <v>0.88769243993558777</v>
      </c>
      <c r="J12" s="1" t="str">
        <f t="shared" si="0"/>
        <v>Completo</v>
      </c>
      <c r="K12" s="1">
        <f>COUNTIFS([1]Desglose_BOM_Componentes!$B$746:$B$754,$A12,[1]Desglose_BOM_Componentes!$AE$746:$AE$754,"Sin precio")</f>
        <v>0</v>
      </c>
      <c r="L12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componentes'!D30="Sin precio","C1000; ","")&amp;IF('[1]Precios componentes'!D95="Sin precio","KIA250; ","")</f>
        <v/>
      </c>
    </row>
    <row r="13" spans="1:12" ht="22" customHeight="1">
      <c r="A13" s="1" t="s">
        <v>28</v>
      </c>
      <c r="B13" s="1" t="s">
        <v>18</v>
      </c>
      <c r="C13" s="1" t="s">
        <v>24</v>
      </c>
      <c r="D13" s="4">
        <f>IF(COUNTIFS([1]Desglose_BOM_Componentes!$B$780:$B$788,$A13,[1]Desglose_BOM_Componentes!$AE$780:$AE$788,"Sin precio",[1]Desglose_BOM_Componentes!$X$780:$X$788,"Formulación")&gt;0,"n.d.",SUMIFS([1]Desglose_BOM_Componentes!$AC$780:$AC$788,[1]Desglose_BOM_Componentes!$B$780:$B$788,$A13,[1]Desglose_BOM_Componentes!$X$780:$X$788,"Formulación"))</f>
        <v>0.81652000000000002</v>
      </c>
      <c r="E13" s="4">
        <f>IF(COUNTIFS([1]Desglose_BOM_Componentes!$B$780:$B$788,$A13,[1]Desglose_BOM_Componentes!$AE$780:$AE$788,"Sin precio",[1]Desglose_BOM_Componentes!$X$780:$X$788,"Empaquetado")&gt;0,"n.d.",SUMIFS([1]Desglose_BOM_Componentes!$AC$780:$AC$788,[1]Desglose_BOM_Componentes!$B$780:$B$788,$A13,[1]Desglose_BOM_Componentes!$X$780:$X$788,"Empaquetado"))</f>
        <v>6.994759378174159E-2</v>
      </c>
      <c r="F13" s="6">
        <f t="shared" si="1"/>
        <v>0.89066759378174165</v>
      </c>
      <c r="G13" s="4">
        <f>IF(COUNTIFS([1]Desglose_BOM_Componentes!$B$780:$B$788,$A13,[1]Desglose_BOM_Componentes!$AE$780:$AE$788,"Sin precio",[1]Desglose_BOM_Componentes!$X$780:$X$788,"Formulación")&gt;0,"n.d.",SUMIFS([1]Desglose_BOM_Componentes!$AD$780:$AD$788,[1]Desglose_BOM_Componentes!$B$780:$B$788,$A13,[1]Desglose_BOM_Componentes!$X$780:$X$788,"Formulación"))</f>
        <v>0.76639100000000004</v>
      </c>
      <c r="H13" s="4">
        <f>IF(COUNTIFS([1]Desglose_BOM_Componentes!$B$780:$B$788,$A13,[1]Desglose_BOM_Componentes!$AE$780:$AE$788,"Sin precio",[1]Desglose_BOM_Componentes!$X$780:$X$788,"Empaquetado")&gt;0,"n.d.",SUMIFS([1]Desglose_BOM_Componentes!$AD$780:$AD$788,[1]Desglose_BOM_Componentes!$B$780:$B$788,$A13,[1]Desglose_BOM_Componentes!$X$780:$X$788,"Empaquetado"))</f>
        <v>6.994759378174159E-2</v>
      </c>
      <c r="I13" s="6">
        <f t="shared" si="2"/>
        <v>0.84053859378174156</v>
      </c>
      <c r="J13" s="1" t="str">
        <f t="shared" si="0"/>
        <v>Completo</v>
      </c>
      <c r="K13" s="1">
        <f>COUNTIFS([1]Desglose_BOM_Componentes!$B$780:$B$788,$A13,[1]Desglose_BOM_Componentes!$AE$780:$AE$788,"Sin precio")</f>
        <v>0</v>
      </c>
      <c r="L13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componentes'!D31="Sin precio","C1000R; ","")&amp;IF('[1]Precios componentes'!D95="Sin precio","KIA250; ","")</f>
        <v/>
      </c>
    </row>
    <row r="14" spans="1:12" ht="22" customHeight="1">
      <c r="A14" s="1" t="s">
        <v>29</v>
      </c>
      <c r="B14" s="1" t="s">
        <v>18</v>
      </c>
      <c r="C14" s="1" t="s">
        <v>24</v>
      </c>
      <c r="D14" s="4">
        <f>IF(COUNTIFS([1]Desglose_BOM_Componentes!$B$825:$B$836,$A14,[1]Desglose_BOM_Componentes!$AE$825:$AE$836,"Sin precio",[1]Desglose_BOM_Componentes!$X$825:$X$836,"Formulación")&gt;0,"n.d.",SUMIFS([1]Desglose_BOM_Componentes!$AC$825:$AC$836,[1]Desglose_BOM_Componentes!$B$825:$B$836,$A14,[1]Desglose_BOM_Componentes!$X$825:$X$836,"Formulación"))</f>
        <v>0.95321200000000017</v>
      </c>
      <c r="E14" s="4">
        <f>IF(COUNTIFS([1]Desglose_BOM_Componentes!$B$825:$B$836,$A14,[1]Desglose_BOM_Componentes!$AE$825:$AE$836,"Sin precio",[1]Desglose_BOM_Componentes!$X$825:$X$836,"Empaquetado")&gt;0,"n.d.",SUMIFS([1]Desglose_BOM_Componentes!$AC$825:$AC$836,[1]Desglose_BOM_Componentes!$B$825:$B$836,$A14,[1]Desglose_BOM_Componentes!$X$825:$X$836,"Empaquetado"))</f>
        <v>0.19508731331430246</v>
      </c>
      <c r="F14" s="6">
        <f t="shared" si="1"/>
        <v>1.1524993133143027</v>
      </c>
      <c r="G14" s="4">
        <f>IF(COUNTIFS([1]Desglose_BOM_Componentes!$B$825:$B$836,$A14,[1]Desglose_BOM_Componentes!$AE$825:$AE$836,"Sin precio",[1]Desglose_BOM_Componentes!$X$825:$X$836,"Formulación")&gt;0,"n.d.",SUMIFS([1]Desglose_BOM_Componentes!$AD$825:$AD$836,[1]Desglose_BOM_Componentes!$B$825:$B$836,$A14,[1]Desglose_BOM_Componentes!$X$825:$X$836,"Formulación"))</f>
        <v>0.88584299999999994</v>
      </c>
      <c r="H14" s="4">
        <f>IF(COUNTIFS([1]Desglose_BOM_Componentes!$B$825:$B$836,$A14,[1]Desglose_BOM_Componentes!$AE$825:$AE$836,"Sin precio",[1]Desglose_BOM_Componentes!$X$825:$X$836,"Empaquetado")&gt;0,"n.d.",SUMIFS([1]Desglose_BOM_Componentes!$AD$825:$AD$836,[1]Desglose_BOM_Componentes!$B$825:$B$836,$A14,[1]Desglose_BOM_Componentes!$X$825:$X$836,"Empaquetado"))</f>
        <v>0.19508731331430246</v>
      </c>
      <c r="I14" s="6">
        <f t="shared" si="2"/>
        <v>1.0851303133143024</v>
      </c>
      <c r="J14" s="1" t="str">
        <f t="shared" si="0"/>
        <v>Completo</v>
      </c>
      <c r="K14" s="1">
        <f>COUNTIFS([1]Desglose_BOM_Componentes!$B$825:$B$836,$A14,[1]Desglose_BOM_Componentes!$AE$825:$AE$836,"Sin precio")</f>
        <v>0</v>
      </c>
      <c r="L14" s="1" t="str">
        <f>IF('[1]Precios componentes'!D77="Sin precio","FOP; ","")&amp;IF('[1]Precios componentes'!D73="Sin precio","FMP; ","")&amp;IF('[1]Precios componentes'!D80="Sin precio","GLI; ","")&amp;IF('[1]Precios componentes'!D54="Sin precio","EDT; ","")&amp;IF('[1]Precios componentes'!D93="Sin precio","KF78; ","")&amp;IF('[1]Precios componentes'!D24="Sin precio","BET;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15" spans="1:12" ht="22" customHeight="1">
      <c r="A15" s="1" t="s">
        <v>30</v>
      </c>
      <c r="B15" s="1" t="s">
        <v>18</v>
      </c>
      <c r="C15" s="1" t="s">
        <v>24</v>
      </c>
      <c r="D15" s="4">
        <f>IF(COUNTIFS([1]Desglose_BOM_Componentes!$B$837:$B$844,$A15,[1]Desglose_BOM_Componentes!$AE$837:$AE$844,"Sin precio",[1]Desglose_BOM_Componentes!$X$837:$X$844,"Formulación")&gt;0,"n.d.",SUMIFS([1]Desglose_BOM_Componentes!$AC$837:$AC$844,[1]Desglose_BOM_Componentes!$B$837:$B$844,$A15,[1]Desglose_BOM_Componentes!$X$837:$X$844,"Formulación"))</f>
        <v>0.95321200000000017</v>
      </c>
      <c r="E15" s="4">
        <f>IF(COUNTIFS([1]Desglose_BOM_Componentes!$B$837:$B$844,$A15,[1]Desglose_BOM_Componentes!$AE$837:$AE$844,"Sin precio",[1]Desglose_BOM_Componentes!$X$837:$X$844,"Empaquetado")&gt;0,"n.d.",SUMIFS([1]Desglose_BOM_Componentes!$AC$837:$AC$844,[1]Desglose_BOM_Componentes!$B$837:$B$844,$A15,[1]Desglose_BOM_Componentes!$X$837:$X$844,"Empaquetado"))</f>
        <v>0.11710143993558776</v>
      </c>
      <c r="F15" s="6">
        <f t="shared" si="1"/>
        <v>1.074513439935588</v>
      </c>
      <c r="G15" s="4">
        <f>IF(COUNTIFS([1]Desglose_BOM_Componentes!$B$837:$B$844,$A15,[1]Desglose_BOM_Componentes!$AE$837:$AE$844,"Sin precio",[1]Desglose_BOM_Componentes!$X$837:$X$844,"Formulación")&gt;0,"n.d.",SUMIFS([1]Desglose_BOM_Componentes!$AD$837:$AD$844,[1]Desglose_BOM_Componentes!$B$837:$B$844,$A15,[1]Desglose_BOM_Componentes!$X$837:$X$844,"Formulación"))</f>
        <v>0.88584299999999994</v>
      </c>
      <c r="H15" s="4">
        <f>IF(COUNTIFS([1]Desglose_BOM_Componentes!$B$837:$B$844,$A15,[1]Desglose_BOM_Componentes!$AE$837:$AE$844,"Sin precio",[1]Desglose_BOM_Componentes!$X$837:$X$844,"Empaquetado")&gt;0,"n.d.",SUMIFS([1]Desglose_BOM_Componentes!$AD$837:$AD$844,[1]Desglose_BOM_Componentes!$B$837:$B$844,$A15,[1]Desglose_BOM_Componentes!$X$837:$X$844,"Empaquetado"))</f>
        <v>0.11710143993558776</v>
      </c>
      <c r="I15" s="6">
        <f t="shared" si="2"/>
        <v>1.0071444399355878</v>
      </c>
      <c r="J15" s="1" t="str">
        <f t="shared" si="0"/>
        <v>Completo</v>
      </c>
      <c r="K15" s="1">
        <f>COUNTIFS([1]Desglose_BOM_Componentes!$B$837:$B$844,$A15,[1]Desglose_BOM_Componentes!$AE$837:$AE$844,"Sin precio")</f>
        <v>0</v>
      </c>
      <c r="L15" s="1" t="str">
        <f>IF('[1]Precios componentes'!D77="Sin precio","FOP; ","")&amp;IF('[1]Precios componentes'!D73="Sin precio","FMP; ","")&amp;IF('[1]Precios componentes'!D80="Sin precio","GLI; ","")&amp;IF('[1]Precios componentes'!D54="Sin precio","EDT; ","")&amp;IF('[1]Precios componentes'!D93="Sin precio","KF78; ","")&amp;IF('[1]Precios componentes'!D24="Sin precio","BET; ","")&amp;IF('[1]Precios componentes'!D30="Sin precio","C1000; ","")&amp;IF('[1]Precios componentes'!D95="Sin precio","KIA250; ","")</f>
        <v/>
      </c>
    </row>
    <row r="16" spans="1:12" ht="22" customHeight="1">
      <c r="A16" s="1" t="s">
        <v>31</v>
      </c>
      <c r="B16" s="1" t="s">
        <v>14</v>
      </c>
      <c r="C16" s="1" t="s">
        <v>32</v>
      </c>
      <c r="D16" s="4">
        <f>IF(COUNTIFS([1]Desglose_BOM_Componentes!$B$1174:$B$1181,$A16,[1]Desglose_BOM_Componentes!$AE$1174:$AE$1181,"Sin precio",[1]Desglose_BOM_Componentes!$X$1174:$X$1181,"Formulación")&gt;0,"n.d.",SUMIFS([1]Desglose_BOM_Componentes!$AC$1174:$AC$1181,[1]Desglose_BOM_Componentes!$B$1174:$B$1181,$A16,[1]Desglose_BOM_Componentes!$X$1174:$X$1181,"Formulación"))</f>
        <v>0.24833001968503943</v>
      </c>
      <c r="E16" s="4">
        <f>IF(COUNTIFS([1]Desglose_BOM_Componentes!$B$1174:$B$1181,$A16,[1]Desglose_BOM_Componentes!$AE$1174:$AE$1181,"Sin precio",[1]Desglose_BOM_Componentes!$X$1174:$X$1181,"Empaquetado")&gt;0,"n.d.",SUMIFS([1]Desglose_BOM_Componentes!$AC$1174:$AC$1181,[1]Desglose_BOM_Componentes!$B$1174:$B$1181,$A16,[1]Desglose_BOM_Componentes!$X$1174:$X$1181,"Empaquetado"))</f>
        <v>5.6231876873529048E-2</v>
      </c>
      <c r="F16" s="6">
        <f t="shared" si="1"/>
        <v>0.30876189655856845</v>
      </c>
      <c r="G16" s="4">
        <f>IF(COUNTIFS([1]Desglose_BOM_Componentes!$B$1174:$B$1181,$A16,[1]Desglose_BOM_Componentes!$AE$1174:$AE$1181,"Sin precio",[1]Desglose_BOM_Componentes!$X$1174:$X$1181,"Formulación")&gt;0,"n.d.",SUMIFS([1]Desglose_BOM_Componentes!$AD$1174:$AD$1181,[1]Desglose_BOM_Componentes!$B$1174:$B$1181,$A16,[1]Desglose_BOM_Componentes!$X$1174:$X$1181,"Formulación"))</f>
        <v>0.24833001968503943</v>
      </c>
      <c r="H16" s="4">
        <f>IF(COUNTIFS([1]Desglose_BOM_Componentes!$B$1174:$B$1181,$A16,[1]Desglose_BOM_Componentes!$AE$1174:$AE$1181,"Sin precio",[1]Desglose_BOM_Componentes!$X$1174:$X$1181,"Empaquetado")&gt;0,"n.d.",SUMIFS([1]Desglose_BOM_Componentes!$AD$1174:$AD$1181,[1]Desglose_BOM_Componentes!$B$1174:$B$1181,$A16,[1]Desglose_BOM_Componentes!$X$1174:$X$1181,"Empaquetado"))</f>
        <v>5.6231876873529048E-2</v>
      </c>
      <c r="I16" s="6">
        <f t="shared" si="2"/>
        <v>0.30876189655856845</v>
      </c>
      <c r="J16" s="1" t="str">
        <f t="shared" si="0"/>
        <v>Completo</v>
      </c>
      <c r="K16" s="1">
        <f>COUNTIFS([1]Desglose_BOM_Componentes!$B$1174:$B$1181,$A16,[1]Desglose_BOM_Componentes!$AE$1174:$AE$1181,"Sin precio")</f>
        <v>0</v>
      </c>
      <c r="L16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componentes'!D95="Sin precio","KIA250; ","")&amp;IF('[1]Precios componentes'!D32="Sin precio","C1000R3P; ","")</f>
        <v/>
      </c>
    </row>
    <row r="17" spans="1:12" ht="22" customHeight="1">
      <c r="A17" s="1" t="s">
        <v>33</v>
      </c>
      <c r="B17" s="1" t="s">
        <v>18</v>
      </c>
      <c r="C17" s="1" t="s">
        <v>24</v>
      </c>
      <c r="D17" s="4">
        <f>IF(COUNTIFS([1]Desglose_BOM_Componentes!$B$1448:$B$1465,$A17,[1]Desglose_BOM_Componentes!$AE$1448:$AE$1465,"Sin precio",[1]Desglose_BOM_Componentes!$X$1448:$X$1465,"Formulación")&gt;0,"n.d.",SUMIFS([1]Desglose_BOM_Componentes!$AC$1448:$AC$1465,[1]Desglose_BOM_Componentes!$B$1448:$B$1465,$A17,[1]Desglose_BOM_Componentes!$X$1448:$X$1465,"Formulación"))</f>
        <v>2.0788550000000003</v>
      </c>
      <c r="E17" s="4">
        <f>IF(COUNTIFS([1]Desglose_BOM_Componentes!$B$1448:$B$1465,$A17,[1]Desglose_BOM_Componentes!$AE$1448:$AE$1465,"Sin precio",[1]Desglose_BOM_Componentes!$X$1448:$X$1465,"Empaquetado")&gt;0,"n.d.",SUMIFS([1]Desglose_BOM_Componentes!$AC$1448:$AC$1465,[1]Desglose_BOM_Componentes!$B$1448:$B$1465,$A17,[1]Desglose_BOM_Componentes!$X$1448:$X$1465,"Empaquetado"))</f>
        <v>0.19508731331430246</v>
      </c>
      <c r="F17" s="6">
        <f t="shared" si="1"/>
        <v>2.2781423133143028</v>
      </c>
      <c r="G17" s="4">
        <f>IF(COUNTIFS([1]Desglose_BOM_Componentes!$B$1448:$B$1465,$A17,[1]Desglose_BOM_Componentes!$AE$1448:$AE$1465,"Sin precio",[1]Desglose_BOM_Componentes!$X$1448:$X$1465,"Formulación")&gt;0,"n.d.",SUMIFS([1]Desglose_BOM_Componentes!$AD$1448:$AD$1465,[1]Desglose_BOM_Componentes!$B$1448:$B$1465,$A17,[1]Desglose_BOM_Componentes!$X$1448:$X$1465,"Formulación"))</f>
        <v>1.8990990952380953</v>
      </c>
      <c r="H17" s="4">
        <f>IF(COUNTIFS([1]Desglose_BOM_Componentes!$B$1448:$B$1465,$A17,[1]Desglose_BOM_Componentes!$AE$1448:$AE$1465,"Sin precio",[1]Desglose_BOM_Componentes!$X$1448:$X$1465,"Empaquetado")&gt;0,"n.d.",SUMIFS([1]Desglose_BOM_Componentes!$AD$1448:$AD$1465,[1]Desglose_BOM_Componentes!$B$1448:$B$1465,$A17,[1]Desglose_BOM_Componentes!$X$1448:$X$1465,"Empaquetado"))</f>
        <v>0.19508731331430246</v>
      </c>
      <c r="I17" s="6">
        <f t="shared" si="2"/>
        <v>2.0983864085523978</v>
      </c>
      <c r="J17" s="1" t="str">
        <f t="shared" si="0"/>
        <v>Completo</v>
      </c>
      <c r="K17" s="1">
        <f>COUNTIFS([1]Desglose_BOM_Componentes!$B$1448:$B$1465,$A17,[1]Desglose_BOM_Componentes!$AE$1448:$AE$1465,"Sin precio")</f>
        <v>0</v>
      </c>
      <c r="L17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18" spans="1:12" ht="22" customHeight="1">
      <c r="A18" s="1" t="s">
        <v>34</v>
      </c>
      <c r="B18" s="1" t="s">
        <v>18</v>
      </c>
      <c r="C18" s="1" t="s">
        <v>19</v>
      </c>
      <c r="D18" s="4">
        <f>IF(COUNTIFS([1]Desglose_BOM_Componentes!$B$1466:$B$1483,$A18,[1]Desglose_BOM_Componentes!$AE$1466:$AE$1483,"Sin precio",[1]Desglose_BOM_Componentes!$X$1466:$X$1483,"Formulación")&gt;0,"n.d.",SUMIFS([1]Desglose_BOM_Componentes!$AC$1466:$AC$1483,[1]Desglose_BOM_Componentes!$B$1466:$B$1483,$A18,[1]Desglose_BOM_Componentes!$X$1466:$X$1483,"Formulación"))</f>
        <v>2.0788550000000003</v>
      </c>
      <c r="E18" s="4">
        <f>IF(COUNTIFS([1]Desglose_BOM_Componentes!$B$1466:$B$1483,$A18,[1]Desglose_BOM_Componentes!$AE$1466:$AE$1483,"Sin precio",[1]Desglose_BOM_Componentes!$X$1466:$X$1483,"Empaquetado")&gt;0,"n.d.",SUMIFS([1]Desglose_BOM_Componentes!$AC$1466:$AC$1483,[1]Desglose_BOM_Componentes!$B$1466:$B$1483,$A18,[1]Desglose_BOM_Componentes!$X$1466:$X$1483,"Empaquetado"))</f>
        <v>0.19508731331430246</v>
      </c>
      <c r="F18" s="6">
        <f t="shared" si="1"/>
        <v>2.2781423133143028</v>
      </c>
      <c r="G18" s="4">
        <f>IF(COUNTIFS([1]Desglose_BOM_Componentes!$B$1466:$B$1483,$A18,[1]Desglose_BOM_Componentes!$AE$1466:$AE$1483,"Sin precio",[1]Desglose_BOM_Componentes!$X$1466:$X$1483,"Formulación")&gt;0,"n.d.",SUMIFS([1]Desglose_BOM_Componentes!$AD$1466:$AD$1483,[1]Desglose_BOM_Componentes!$B$1466:$B$1483,$A18,[1]Desglose_BOM_Componentes!$X$1466:$X$1483,"Formulación"))</f>
        <v>1.8990990952380953</v>
      </c>
      <c r="H18" s="4">
        <f>IF(COUNTIFS([1]Desglose_BOM_Componentes!$B$1466:$B$1483,$A18,[1]Desglose_BOM_Componentes!$AE$1466:$AE$1483,"Sin precio",[1]Desglose_BOM_Componentes!$X$1466:$X$1483,"Empaquetado")&gt;0,"n.d.",SUMIFS([1]Desglose_BOM_Componentes!$AD$1466:$AD$1483,[1]Desglose_BOM_Componentes!$B$1466:$B$1483,$A18,[1]Desglose_BOM_Componentes!$X$1466:$X$1483,"Empaquetado"))</f>
        <v>0.19508731331430246</v>
      </c>
      <c r="I18" s="6">
        <f t="shared" si="2"/>
        <v>2.0983864085523978</v>
      </c>
      <c r="J18" s="1" t="str">
        <f t="shared" si="0"/>
        <v>Completo</v>
      </c>
      <c r="K18" s="1">
        <f>COUNTIFS([1]Desglose_BOM_Componentes!$B$1466:$B$1483,$A18,[1]Desglose_BOM_Componentes!$AE$1466:$AE$1483,"Sin precio")</f>
        <v>0</v>
      </c>
      <c r="L18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19" spans="1:12" ht="22" customHeight="1">
      <c r="A19" s="1" t="s">
        <v>35</v>
      </c>
      <c r="B19" s="1" t="s">
        <v>18</v>
      </c>
      <c r="C19" s="1" t="s">
        <v>24</v>
      </c>
      <c r="D19" s="4">
        <f>IF(COUNTIFS([1]Desglose_BOM_Componentes!$B$1484:$B$1497,$A19,[1]Desglose_BOM_Componentes!$AE$1484:$AE$1497,"Sin precio",[1]Desglose_BOM_Componentes!$X$1484:$X$1497,"Formulación")&gt;0,"n.d.",SUMIFS([1]Desglose_BOM_Componentes!$AC$1484:$AC$1497,[1]Desglose_BOM_Componentes!$B$1484:$B$1497,$A19,[1]Desglose_BOM_Componentes!$X$1484:$X$1497,"Formulación"))</f>
        <v>2.0788550000000003</v>
      </c>
      <c r="E19" s="4">
        <f>IF(COUNTIFS([1]Desglose_BOM_Componentes!$B$1484:$B$1497,$A19,[1]Desglose_BOM_Componentes!$AE$1484:$AE$1497,"Sin precio",[1]Desglose_BOM_Componentes!$X$1484:$X$1497,"Empaquetado")&gt;0,"n.d.",SUMIFS([1]Desglose_BOM_Componentes!$AC$1484:$AC$1497,[1]Desglose_BOM_Componentes!$B$1484:$B$1497,$A19,[1]Desglose_BOM_Componentes!$X$1484:$X$1497,"Empaquetado"))</f>
        <v>6.994759378174159E-2</v>
      </c>
      <c r="F19" s="6">
        <f t="shared" si="1"/>
        <v>2.1530025937817419</v>
      </c>
      <c r="G19" s="4">
        <f>IF(COUNTIFS([1]Desglose_BOM_Componentes!$B$1484:$B$1497,$A19,[1]Desglose_BOM_Componentes!$AE$1484:$AE$1497,"Sin precio",[1]Desglose_BOM_Componentes!$X$1484:$X$1497,"Formulación")&gt;0,"n.d.",SUMIFS([1]Desglose_BOM_Componentes!$AD$1484:$AD$1497,[1]Desglose_BOM_Componentes!$B$1484:$B$1497,$A19,[1]Desglose_BOM_Componentes!$X$1484:$X$1497,"Formulación"))</f>
        <v>1.8990990952380953</v>
      </c>
      <c r="H19" s="4">
        <f>IF(COUNTIFS([1]Desglose_BOM_Componentes!$B$1484:$B$1497,$A19,[1]Desglose_BOM_Componentes!$AE$1484:$AE$1497,"Sin precio",[1]Desglose_BOM_Componentes!$X$1484:$X$1497,"Empaquetado")&gt;0,"n.d.",SUMIFS([1]Desglose_BOM_Componentes!$AD$1484:$AD$1497,[1]Desglose_BOM_Componentes!$B$1484:$B$1497,$A19,[1]Desglose_BOM_Componentes!$X$1484:$X$1497,"Empaquetado"))</f>
        <v>6.994759378174159E-2</v>
      </c>
      <c r="I19" s="6">
        <f t="shared" si="2"/>
        <v>1.9732466890198368</v>
      </c>
      <c r="J19" s="1" t="str">
        <f t="shared" si="0"/>
        <v>Completo</v>
      </c>
      <c r="K19" s="1">
        <f>COUNTIFS([1]Desglose_BOM_Componentes!$B$1484:$B$1497,$A19,[1]Desglose_BOM_Componentes!$AE$1484:$AE$1497,"Sin precio")</f>
        <v>0</v>
      </c>
      <c r="L19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componentes'!D31="Sin precio","C1000R; ","")&amp;IF('[1]Precios componentes'!D95="Sin precio","KIA250; ","")</f>
        <v/>
      </c>
    </row>
    <row r="20" spans="1:12" ht="22" customHeight="1">
      <c r="A20" s="1" t="s">
        <v>36</v>
      </c>
      <c r="B20" s="1" t="s">
        <v>18</v>
      </c>
      <c r="C20" s="1" t="s">
        <v>24</v>
      </c>
      <c r="D20" s="4">
        <f>IF(COUNTIFS([1]Desglose_BOM_Componentes!$B$1598:$B$1614,$A20,[1]Desglose_BOM_Componentes!$AE$1598:$AE$1614,"Sin precio",[1]Desglose_BOM_Componentes!$X$1598:$X$1614,"Formulación")&gt;0,"n.d.",SUMIFS([1]Desglose_BOM_Componentes!$AC$1598:$AC$1614,[1]Desglose_BOM_Componentes!$B$1598:$B$1614,$A20,[1]Desglose_BOM_Componentes!$X$1598:$X$1614,"Formulación"))</f>
        <v>0.73112799999999989</v>
      </c>
      <c r="E20" s="4">
        <f>IF(COUNTIFS([1]Desglose_BOM_Componentes!$B$1598:$B$1614,$A20,[1]Desglose_BOM_Componentes!$AE$1598:$AE$1614,"Sin precio",[1]Desglose_BOM_Componentes!$X$1598:$X$1614,"Empaquetado")&gt;0,"n.d.",SUMIFS([1]Desglose_BOM_Componentes!$AC$1598:$AC$1614,[1]Desglose_BOM_Componentes!$B$1598:$B$1614,$A20,[1]Desglose_BOM_Componentes!$X$1598:$X$1614,"Empaquetado"))</f>
        <v>0.19508731331430246</v>
      </c>
      <c r="F20" s="6">
        <f t="shared" si="1"/>
        <v>0.93041531331430227</v>
      </c>
      <c r="G20" s="4">
        <f>IF(COUNTIFS([1]Desglose_BOM_Componentes!$B$1598:$B$1614,$A20,[1]Desglose_BOM_Componentes!$AE$1598:$AE$1614,"Sin precio",[1]Desglose_BOM_Componentes!$X$1598:$X$1614,"Formulación")&gt;0,"n.d.",SUMIFS([1]Desglose_BOM_Componentes!$AD$1598:$AD$1614,[1]Desglose_BOM_Componentes!$B$1598:$B$1614,$A20,[1]Desglose_BOM_Componentes!$X$1598:$X$1614,"Formulación"))</f>
        <v>0.6407341666666666</v>
      </c>
      <c r="H20" s="4">
        <f>IF(COUNTIFS([1]Desglose_BOM_Componentes!$B$1598:$B$1614,$A20,[1]Desglose_BOM_Componentes!$AE$1598:$AE$1614,"Sin precio",[1]Desglose_BOM_Componentes!$X$1598:$X$1614,"Empaquetado")&gt;0,"n.d.",SUMIFS([1]Desglose_BOM_Componentes!$AD$1598:$AD$1614,[1]Desglose_BOM_Componentes!$B$1598:$B$1614,$A20,[1]Desglose_BOM_Componentes!$X$1598:$X$1614,"Empaquetado"))</f>
        <v>0.19508731331430246</v>
      </c>
      <c r="I20" s="6">
        <f t="shared" si="2"/>
        <v>0.8400214799809691</v>
      </c>
      <c r="J20" s="1" t="str">
        <f t="shared" si="0"/>
        <v>Completo</v>
      </c>
      <c r="K20" s="1">
        <f>COUNTIFS([1]Desglose_BOM_Componentes!$B$1598:$B$1614,$A20,[1]Desglose_BOM_Componentes!$AE$1598:$AE$1614,"Sin precio")</f>
        <v>0</v>
      </c>
      <c r="L20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21" spans="1:12" ht="22" customHeight="1">
      <c r="A21" s="1" t="s">
        <v>37</v>
      </c>
      <c r="B21" s="1" t="s">
        <v>18</v>
      </c>
      <c r="C21" s="1" t="s">
        <v>19</v>
      </c>
      <c r="D21" s="4">
        <f>IF(COUNTIFS([1]Desglose_BOM_Componentes!$B$1615:$B$1631,$A21,[1]Desglose_BOM_Componentes!$AE$1615:$AE$1631,"Sin precio",[1]Desglose_BOM_Componentes!$X$1615:$X$1631,"Formulación")&gt;0,"n.d.",SUMIFS([1]Desglose_BOM_Componentes!$AC$1615:$AC$1631,[1]Desglose_BOM_Componentes!$B$1615:$B$1631,$A21,[1]Desglose_BOM_Componentes!$X$1615:$X$1631,"Formulación"))</f>
        <v>0.73112799999999989</v>
      </c>
      <c r="E21" s="4">
        <f>IF(COUNTIFS([1]Desglose_BOM_Componentes!$B$1615:$B$1631,$A21,[1]Desglose_BOM_Componentes!$AE$1615:$AE$1631,"Sin precio",[1]Desglose_BOM_Componentes!$X$1615:$X$1631,"Empaquetado")&gt;0,"n.d.",SUMIFS([1]Desglose_BOM_Componentes!$AC$1615:$AC$1631,[1]Desglose_BOM_Componentes!$B$1615:$B$1631,$A21,[1]Desglose_BOM_Componentes!$X$1615:$X$1631,"Empaquetado"))</f>
        <v>0.19508731331430246</v>
      </c>
      <c r="F21" s="6">
        <f t="shared" si="1"/>
        <v>0.93041531331430227</v>
      </c>
      <c r="G21" s="4">
        <f>IF(COUNTIFS([1]Desglose_BOM_Componentes!$B$1615:$B$1631,$A21,[1]Desglose_BOM_Componentes!$AE$1615:$AE$1631,"Sin precio",[1]Desglose_BOM_Componentes!$X$1615:$X$1631,"Formulación")&gt;0,"n.d.",SUMIFS([1]Desglose_BOM_Componentes!$AD$1615:$AD$1631,[1]Desglose_BOM_Componentes!$B$1615:$B$1631,$A21,[1]Desglose_BOM_Componentes!$X$1615:$X$1631,"Formulación"))</f>
        <v>0.6407341666666666</v>
      </c>
      <c r="H21" s="4">
        <f>IF(COUNTIFS([1]Desglose_BOM_Componentes!$B$1615:$B$1631,$A21,[1]Desglose_BOM_Componentes!$AE$1615:$AE$1631,"Sin precio",[1]Desglose_BOM_Componentes!$X$1615:$X$1631,"Empaquetado")&gt;0,"n.d.",SUMIFS([1]Desglose_BOM_Componentes!$AD$1615:$AD$1631,[1]Desglose_BOM_Componentes!$B$1615:$B$1631,$A21,[1]Desglose_BOM_Componentes!$X$1615:$X$1631,"Empaquetado"))</f>
        <v>0.19508731331430246</v>
      </c>
      <c r="I21" s="6">
        <f t="shared" si="2"/>
        <v>0.8400214799809691</v>
      </c>
      <c r="J21" s="1" t="str">
        <f t="shared" si="0"/>
        <v>Completo</v>
      </c>
      <c r="K21" s="1">
        <f>COUNTIFS([1]Desglose_BOM_Componentes!$B$1615:$B$1631,$A21,[1]Desglose_BOM_Componentes!$AE$1615:$AE$1631,"Sin precio")</f>
        <v>0</v>
      </c>
      <c r="L21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22" spans="1:12" ht="22" customHeight="1">
      <c r="A22" s="1" t="s">
        <v>38</v>
      </c>
      <c r="B22" s="1" t="s">
        <v>18</v>
      </c>
      <c r="C22" s="1" t="s">
        <v>24</v>
      </c>
      <c r="D22" s="4">
        <f>IF(COUNTIFS([1]Desglose_BOM_Componentes!$B$1632:$B$1644,$A22,[1]Desglose_BOM_Componentes!$AE$1632:$AE$1644,"Sin precio",[1]Desglose_BOM_Componentes!$X$1632:$X$1644,"Formulación")&gt;0,"n.d.",SUMIFS([1]Desglose_BOM_Componentes!$AC$1632:$AC$1644,[1]Desglose_BOM_Componentes!$B$1632:$B$1644,$A22,[1]Desglose_BOM_Componentes!$X$1632:$X$1644,"Formulación"))</f>
        <v>0.73112799999999989</v>
      </c>
      <c r="E22" s="4">
        <f>IF(COUNTIFS([1]Desglose_BOM_Componentes!$B$1632:$B$1644,$A22,[1]Desglose_BOM_Componentes!$AE$1632:$AE$1644,"Sin precio",[1]Desglose_BOM_Componentes!$X$1632:$X$1644,"Empaquetado")&gt;0,"n.d.",SUMIFS([1]Desglose_BOM_Componentes!$AC$1632:$AC$1644,[1]Desglose_BOM_Componentes!$B$1632:$B$1644,$A22,[1]Desglose_BOM_Componentes!$X$1632:$X$1644,"Empaquetado"))</f>
        <v>0.11710143993558776</v>
      </c>
      <c r="F22" s="6">
        <f t="shared" si="1"/>
        <v>0.85242943993558762</v>
      </c>
      <c r="G22" s="4">
        <f>IF(COUNTIFS([1]Desglose_BOM_Componentes!$B$1632:$B$1644,$A22,[1]Desglose_BOM_Componentes!$AE$1632:$AE$1644,"Sin precio",[1]Desglose_BOM_Componentes!$X$1632:$X$1644,"Formulación")&gt;0,"n.d.",SUMIFS([1]Desglose_BOM_Componentes!$AD$1632:$AD$1644,[1]Desglose_BOM_Componentes!$B$1632:$B$1644,$A22,[1]Desglose_BOM_Componentes!$X$1632:$X$1644,"Formulación"))</f>
        <v>0.6407341666666666</v>
      </c>
      <c r="H22" s="4">
        <f>IF(COUNTIFS([1]Desglose_BOM_Componentes!$B$1632:$B$1644,$A22,[1]Desglose_BOM_Componentes!$AE$1632:$AE$1644,"Sin precio",[1]Desglose_BOM_Componentes!$X$1632:$X$1644,"Empaquetado")&gt;0,"n.d.",SUMIFS([1]Desglose_BOM_Componentes!$AD$1632:$AD$1644,[1]Desglose_BOM_Componentes!$B$1632:$B$1644,$A22,[1]Desglose_BOM_Componentes!$X$1632:$X$1644,"Empaquetado"))</f>
        <v>0.11710143993558776</v>
      </c>
      <c r="I22" s="6">
        <f t="shared" si="2"/>
        <v>0.76203560660225433</v>
      </c>
      <c r="J22" s="1" t="str">
        <f t="shared" si="0"/>
        <v>Completo</v>
      </c>
      <c r="K22" s="1">
        <f>COUNTIFS([1]Desglose_BOM_Componentes!$B$1632:$B$1644,$A22,[1]Desglose_BOM_Componentes!$AE$1632:$AE$1644,"Sin precio")</f>
        <v>0</v>
      </c>
      <c r="L22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componentes'!D30="Sin precio","C1000; ","")&amp;IF('[1]Precios componentes'!D95="Sin precio","KIA250; ","")</f>
        <v/>
      </c>
    </row>
    <row r="23" spans="1:12" ht="22" customHeight="1">
      <c r="A23" s="1" t="s">
        <v>39</v>
      </c>
      <c r="B23" s="1" t="s">
        <v>18</v>
      </c>
      <c r="C23" s="1" t="s">
        <v>21</v>
      </c>
      <c r="D23" s="4">
        <f>IF(COUNTIFS([1]Desglose_BOM_Componentes!$B$1645:$B$1657,$A23,[1]Desglose_BOM_Componentes!$AE$1645:$AE$1657,"Sin precio",[1]Desglose_BOM_Componentes!$X$1645:$X$1657,"Formulación")&gt;0,"n.d.",SUMIFS([1]Desglose_BOM_Componentes!$AC$1645:$AC$1657,[1]Desglose_BOM_Componentes!$B$1645:$B$1657,$A23,[1]Desglose_BOM_Componentes!$X$1645:$X$1657,"Formulación"))</f>
        <v>0.73112799999999989</v>
      </c>
      <c r="E23" s="4">
        <f>IF(COUNTIFS([1]Desglose_BOM_Componentes!$B$1645:$B$1657,$A23,[1]Desglose_BOM_Componentes!$AE$1645:$AE$1657,"Sin precio",[1]Desglose_BOM_Componentes!$X$1645:$X$1657,"Empaquetado")&gt;0,"n.d.",SUMIFS([1]Desglose_BOM_Componentes!$AC$1645:$AC$1657,[1]Desglose_BOM_Componentes!$B$1645:$B$1657,$A23,[1]Desglose_BOM_Componentes!$X$1645:$X$1657,"Empaquetado"))</f>
        <v>0.11710143993558776</v>
      </c>
      <c r="F23" s="6">
        <f t="shared" si="1"/>
        <v>0.85242943993558762</v>
      </c>
      <c r="G23" s="4">
        <f>IF(COUNTIFS([1]Desglose_BOM_Componentes!$B$1645:$B$1657,$A23,[1]Desglose_BOM_Componentes!$AE$1645:$AE$1657,"Sin precio",[1]Desglose_BOM_Componentes!$X$1645:$X$1657,"Formulación")&gt;0,"n.d.",SUMIFS([1]Desglose_BOM_Componentes!$AD$1645:$AD$1657,[1]Desglose_BOM_Componentes!$B$1645:$B$1657,$A23,[1]Desglose_BOM_Componentes!$X$1645:$X$1657,"Formulación"))</f>
        <v>0.6407341666666666</v>
      </c>
      <c r="H23" s="4">
        <f>IF(COUNTIFS([1]Desglose_BOM_Componentes!$B$1645:$B$1657,$A23,[1]Desglose_BOM_Componentes!$AE$1645:$AE$1657,"Sin precio",[1]Desglose_BOM_Componentes!$X$1645:$X$1657,"Empaquetado")&gt;0,"n.d.",SUMIFS([1]Desglose_BOM_Componentes!$AD$1645:$AD$1657,[1]Desglose_BOM_Componentes!$B$1645:$B$1657,$A23,[1]Desglose_BOM_Componentes!$X$1645:$X$1657,"Empaquetado"))</f>
        <v>0.11710143993558776</v>
      </c>
      <c r="I23" s="6">
        <f t="shared" si="2"/>
        <v>0.76203560660225433</v>
      </c>
      <c r="J23" s="1" t="str">
        <f t="shared" si="0"/>
        <v>Completo</v>
      </c>
      <c r="K23" s="1">
        <f>COUNTIFS([1]Desglose_BOM_Componentes!$B$1645:$B$1657,$A23,[1]Desglose_BOM_Componentes!$AE$1645:$AE$1657,"Sin precio")</f>
        <v>0</v>
      </c>
      <c r="L23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componentes'!D30="Sin precio","C1000; ","")&amp;IF('[1]Precios componentes'!D95="Sin precio","KIA250; ","")</f>
        <v/>
      </c>
    </row>
    <row r="24" spans="1:12" ht="22" customHeight="1">
      <c r="A24" s="1" t="s">
        <v>40</v>
      </c>
      <c r="B24" s="1" t="s">
        <v>18</v>
      </c>
      <c r="C24" s="1" t="s">
        <v>19</v>
      </c>
      <c r="D24" s="4">
        <f>IF(COUNTIFS([1]Desglose_BOM_Componentes!$B$1658:$B$1670,$A24,[1]Desglose_BOM_Componentes!$AE$1658:$AE$1670,"Sin precio",[1]Desglose_BOM_Componentes!$X$1658:$X$1670,"Formulación")&gt;0,"n.d.",SUMIFS([1]Desglose_BOM_Componentes!$AC$1658:$AC$1670,[1]Desglose_BOM_Componentes!$B$1658:$B$1670,$A24,[1]Desglose_BOM_Componentes!$X$1658:$X$1670,"Formulación"))</f>
        <v>0.73112799999999989</v>
      </c>
      <c r="E24" s="4">
        <f>IF(COUNTIFS([1]Desglose_BOM_Componentes!$B$1658:$B$1670,$A24,[1]Desglose_BOM_Componentes!$AE$1658:$AE$1670,"Sin precio",[1]Desglose_BOM_Componentes!$X$1658:$X$1670,"Empaquetado")&gt;0,"n.d.",SUMIFS([1]Desglose_BOM_Componentes!$AC$1658:$AC$1670,[1]Desglose_BOM_Componentes!$B$1658:$B$1670,$A24,[1]Desglose_BOM_Componentes!$X$1658:$X$1670,"Empaquetado"))</f>
        <v>0.11710143993558776</v>
      </c>
      <c r="F24" s="6">
        <f t="shared" si="1"/>
        <v>0.85242943993558762</v>
      </c>
      <c r="G24" s="4">
        <f>IF(COUNTIFS([1]Desglose_BOM_Componentes!$B$1658:$B$1670,$A24,[1]Desglose_BOM_Componentes!$AE$1658:$AE$1670,"Sin precio",[1]Desglose_BOM_Componentes!$X$1658:$X$1670,"Formulación")&gt;0,"n.d.",SUMIFS([1]Desglose_BOM_Componentes!$AD$1658:$AD$1670,[1]Desglose_BOM_Componentes!$B$1658:$B$1670,$A24,[1]Desglose_BOM_Componentes!$X$1658:$X$1670,"Formulación"))</f>
        <v>0.6407341666666666</v>
      </c>
      <c r="H24" s="4">
        <f>IF(COUNTIFS([1]Desglose_BOM_Componentes!$B$1658:$B$1670,$A24,[1]Desglose_BOM_Componentes!$AE$1658:$AE$1670,"Sin precio",[1]Desglose_BOM_Componentes!$X$1658:$X$1670,"Empaquetado")&gt;0,"n.d.",SUMIFS([1]Desglose_BOM_Componentes!$AD$1658:$AD$1670,[1]Desglose_BOM_Componentes!$B$1658:$B$1670,$A24,[1]Desglose_BOM_Componentes!$X$1658:$X$1670,"Empaquetado"))</f>
        <v>0.11710143993558776</v>
      </c>
      <c r="I24" s="6">
        <f t="shared" si="2"/>
        <v>0.76203560660225433</v>
      </c>
      <c r="J24" s="1" t="str">
        <f t="shared" si="0"/>
        <v>Completo</v>
      </c>
      <c r="K24" s="1">
        <f>COUNTIFS([1]Desglose_BOM_Componentes!$B$1658:$B$1670,$A24,[1]Desglose_BOM_Componentes!$AE$1658:$AE$1670,"Sin precio")</f>
        <v>0</v>
      </c>
      <c r="L24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componentes'!D30="Sin precio","C1000; ","")&amp;IF('[1]Precios componentes'!D95="Sin precio","KIA250; ","")</f>
        <v/>
      </c>
    </row>
    <row r="25" spans="1:12" ht="22" customHeight="1">
      <c r="A25" s="1" t="s">
        <v>41</v>
      </c>
      <c r="B25" s="1" t="s">
        <v>18</v>
      </c>
      <c r="C25" s="1" t="s">
        <v>24</v>
      </c>
      <c r="D25" s="4">
        <f>IF(COUNTIFS([1]Desglose_BOM_Componentes!$B$1984:$B$1997,$A25,[1]Desglose_BOM_Componentes!$AE$1984:$AE$1997,"Sin precio",[1]Desglose_BOM_Componentes!$X$1984:$X$1997,"Formulación")&gt;0,"n.d.",SUMIFS([1]Desglose_BOM_Componentes!$AC$1984:$AC$1997,[1]Desglose_BOM_Componentes!$B$1984:$B$1997,$A25,[1]Desglose_BOM_Componentes!$X$1984:$X$1997,"Formulación"))</f>
        <v>0.6833972727272728</v>
      </c>
      <c r="E25" s="4">
        <f>IF(COUNTIFS([1]Desglose_BOM_Componentes!$B$1984:$B$1997,$A25,[1]Desglose_BOM_Componentes!$AE$1984:$AE$1997,"Sin precio",[1]Desglose_BOM_Componentes!$X$1984:$X$1997,"Empaquetado")&gt;0,"n.d.",SUMIFS([1]Desglose_BOM_Componentes!$AC$1984:$AC$1997,[1]Desglose_BOM_Componentes!$B$1984:$B$1997,$A25,[1]Desglose_BOM_Componentes!$X$1984:$X$1997,"Empaquetado"))</f>
        <v>0.19328731331430246</v>
      </c>
      <c r="F25" s="6">
        <f t="shared" si="1"/>
        <v>0.88088458604157527</v>
      </c>
      <c r="G25" s="4">
        <f>IF(COUNTIFS([1]Desglose_BOM_Componentes!$B$1984:$B$1997,$A25,[1]Desglose_BOM_Componentes!$AE$1984:$AE$1997,"Sin precio",[1]Desglose_BOM_Componentes!$X$1984:$X$1997,"Formulación")&gt;0,"n.d.",SUMIFS([1]Desglose_BOM_Componentes!$AD$1984:$AD$1997,[1]Desglose_BOM_Componentes!$B$1984:$B$1997,$A25,[1]Desglose_BOM_Componentes!$X$1984:$X$1997,"Formulación"))</f>
        <v>0.58563708225108235</v>
      </c>
      <c r="H25" s="4">
        <f>IF(COUNTIFS([1]Desglose_BOM_Componentes!$B$1984:$B$1997,$A25,[1]Desglose_BOM_Componentes!$AE$1984:$AE$1997,"Sin precio",[1]Desglose_BOM_Componentes!$X$1984:$X$1997,"Empaquetado")&gt;0,"n.d.",SUMIFS([1]Desglose_BOM_Componentes!$AD$1984:$AD$1997,[1]Desglose_BOM_Componentes!$B$1984:$B$1997,$A25,[1]Desglose_BOM_Componentes!$X$1984:$X$1997,"Empaquetado"))</f>
        <v>0.19328731331430246</v>
      </c>
      <c r="I25" s="6">
        <f t="shared" si="2"/>
        <v>0.78312439556538482</v>
      </c>
      <c r="J25" s="1" t="str">
        <f t="shared" si="0"/>
        <v>Completo</v>
      </c>
      <c r="K25" s="1">
        <f>COUNTIFS([1]Desglose_BOM_Componentes!$B$1984:$B$1997,$A25,[1]Desglose_BOM_Componentes!$AE$1984:$AE$1997,"Sin precio")</f>
        <v>0</v>
      </c>
      <c r="L25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26" spans="1:12" ht="22" customHeight="1">
      <c r="A26" s="1" t="s">
        <v>42</v>
      </c>
      <c r="B26" s="1" t="s">
        <v>18</v>
      </c>
      <c r="C26" s="1" t="s">
        <v>26</v>
      </c>
      <c r="D26" s="4">
        <f>IF(COUNTIFS([1]Desglose_BOM_Componentes!$B$1998:$B$2011,$A26,[1]Desglose_BOM_Componentes!$AE$1998:$AE$2011,"Sin precio",[1]Desglose_BOM_Componentes!$X$1998:$X$2011,"Formulación")&gt;0,"n.d.",SUMIFS([1]Desglose_BOM_Componentes!$AC$1998:$AC$2011,[1]Desglose_BOM_Componentes!$B$1998:$B$2011,$A26,[1]Desglose_BOM_Componentes!$X$1998:$X$2011,"Formulación"))</f>
        <v>0.6833972727272728</v>
      </c>
      <c r="E26" s="4">
        <f>IF(COUNTIFS([1]Desglose_BOM_Componentes!$B$1998:$B$2011,$A26,[1]Desglose_BOM_Componentes!$AE$1998:$AE$2011,"Sin precio",[1]Desglose_BOM_Componentes!$X$1998:$X$2011,"Empaquetado")&gt;0,"n.d.",SUMIFS([1]Desglose_BOM_Componentes!$AC$1998:$AC$2011,[1]Desglose_BOM_Componentes!$B$1998:$B$2011,$A26,[1]Desglose_BOM_Componentes!$X$1998:$X$2011,"Empaquetado"))</f>
        <v>0.19328731331430246</v>
      </c>
      <c r="F26" s="6">
        <f t="shared" si="1"/>
        <v>0.88088458604157527</v>
      </c>
      <c r="G26" s="4">
        <f>IF(COUNTIFS([1]Desglose_BOM_Componentes!$B$1998:$B$2011,$A26,[1]Desglose_BOM_Componentes!$AE$1998:$AE$2011,"Sin precio",[1]Desglose_BOM_Componentes!$X$1998:$X$2011,"Formulación")&gt;0,"n.d.",SUMIFS([1]Desglose_BOM_Componentes!$AD$1998:$AD$2011,[1]Desglose_BOM_Componentes!$B$1998:$B$2011,$A26,[1]Desglose_BOM_Componentes!$X$1998:$X$2011,"Formulación"))</f>
        <v>0.58563708225108235</v>
      </c>
      <c r="H26" s="4">
        <f>IF(COUNTIFS([1]Desglose_BOM_Componentes!$B$1998:$B$2011,$A26,[1]Desglose_BOM_Componentes!$AE$1998:$AE$2011,"Sin precio",[1]Desglose_BOM_Componentes!$X$1998:$X$2011,"Empaquetado")&gt;0,"n.d.",SUMIFS([1]Desglose_BOM_Componentes!$AD$1998:$AD$2011,[1]Desglose_BOM_Componentes!$B$1998:$B$2011,$A26,[1]Desglose_BOM_Componentes!$X$1998:$X$2011,"Empaquetado"))</f>
        <v>0.19328731331430246</v>
      </c>
      <c r="I26" s="6">
        <f t="shared" si="2"/>
        <v>0.78312439556538482</v>
      </c>
      <c r="J26" s="1" t="str">
        <f t="shared" si="0"/>
        <v>Completo</v>
      </c>
      <c r="K26" s="1">
        <f>COUNTIFS([1]Desglose_BOM_Componentes!$B$1998:$B$2011,$A26,[1]Desglose_BOM_Componentes!$AE$1998:$AE$2011,"Sin precio")</f>
        <v>0</v>
      </c>
      <c r="L26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27" spans="1:12" ht="22" customHeight="1">
      <c r="A27" s="1" t="s">
        <v>43</v>
      </c>
      <c r="B27" s="1" t="s">
        <v>18</v>
      </c>
      <c r="C27" s="1" t="s">
        <v>24</v>
      </c>
      <c r="D27" s="4">
        <f>IF(COUNTIFS([1]Desglose_BOM_Componentes!$B$2012:$B$2021,$A27,[1]Desglose_BOM_Componentes!$AE$2012:$AE$2021,"Sin precio",[1]Desglose_BOM_Componentes!$X$2012:$X$2021,"Formulación")&gt;0,"n.d.",SUMIFS([1]Desglose_BOM_Componentes!$AC$2012:$AC$2021,[1]Desglose_BOM_Componentes!$B$2012:$B$2021,$A27,[1]Desglose_BOM_Componentes!$X$2012:$X$2021,"Formulación"))</f>
        <v>0.6833972727272728</v>
      </c>
      <c r="E27" s="4">
        <f>IF(COUNTIFS([1]Desglose_BOM_Componentes!$B$2012:$B$2021,$A27,[1]Desglose_BOM_Componentes!$AE$2012:$AE$2021,"Sin precio",[1]Desglose_BOM_Componentes!$X$2012:$X$2021,"Empaquetado")&gt;0,"n.d.",SUMIFS([1]Desglose_BOM_Componentes!$AC$2012:$AC$2021,[1]Desglose_BOM_Componentes!$B$2012:$B$2021,$A27,[1]Desglose_BOM_Componentes!$X$2012:$X$2021,"Empaquetado"))</f>
        <v>0.11710143993558776</v>
      </c>
      <c r="F27" s="6">
        <f t="shared" si="1"/>
        <v>0.80469871266286053</v>
      </c>
      <c r="G27" s="4">
        <f>IF(COUNTIFS([1]Desglose_BOM_Componentes!$B$2012:$B$2021,$A27,[1]Desglose_BOM_Componentes!$AE$2012:$AE$2021,"Sin precio",[1]Desglose_BOM_Componentes!$X$2012:$X$2021,"Formulación")&gt;0,"n.d.",SUMIFS([1]Desglose_BOM_Componentes!$AD$2012:$AD$2021,[1]Desglose_BOM_Componentes!$B$2012:$B$2021,$A27,[1]Desglose_BOM_Componentes!$X$2012:$X$2021,"Formulación"))</f>
        <v>0.58563708225108235</v>
      </c>
      <c r="H27" s="4">
        <f>IF(COUNTIFS([1]Desglose_BOM_Componentes!$B$2012:$B$2021,$A27,[1]Desglose_BOM_Componentes!$AE$2012:$AE$2021,"Sin precio",[1]Desglose_BOM_Componentes!$X$2012:$X$2021,"Empaquetado")&gt;0,"n.d.",SUMIFS([1]Desglose_BOM_Componentes!$AD$2012:$AD$2021,[1]Desglose_BOM_Componentes!$B$2012:$B$2021,$A27,[1]Desglose_BOM_Componentes!$X$2012:$X$2021,"Empaquetado"))</f>
        <v>0.11710143993558776</v>
      </c>
      <c r="I27" s="6">
        <f t="shared" si="2"/>
        <v>0.70693852218667008</v>
      </c>
      <c r="J27" s="1" t="str">
        <f t="shared" si="0"/>
        <v>Completo</v>
      </c>
      <c r="K27" s="1">
        <f>COUNTIFS([1]Desglose_BOM_Componentes!$B$2012:$B$2021,$A27,[1]Desglose_BOM_Componentes!$AE$2012:$AE$2021,"Sin precio")</f>
        <v>0</v>
      </c>
      <c r="L27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componentes'!D30="Sin precio","C1000; ","")&amp;IF('[1]Precios componentes'!D95="Sin precio","KIA250; ","")</f>
        <v/>
      </c>
    </row>
    <row r="28" spans="1:12" ht="22" customHeight="1">
      <c r="A28" s="1" t="s">
        <v>44</v>
      </c>
      <c r="B28" s="1" t="s">
        <v>18</v>
      </c>
      <c r="C28" s="1" t="s">
        <v>15</v>
      </c>
      <c r="D28" s="4">
        <f>IF(COUNTIFS([1]Desglose_BOM_Componentes!$B$2022:$B$2031,$A28,[1]Desglose_BOM_Componentes!$AE$2022:$AE$2031,"Sin precio",[1]Desglose_BOM_Componentes!$X$2022:$X$2031,"Formulación")&gt;0,"n.d.",SUMIFS([1]Desglose_BOM_Componentes!$AC$2022:$AC$2031,[1]Desglose_BOM_Componentes!$B$2022:$B$2031,$A28,[1]Desglose_BOM_Componentes!$X$2022:$X$2031,"Formulación"))</f>
        <v>0.6833972727272728</v>
      </c>
      <c r="E28" s="4">
        <f>IF(COUNTIFS([1]Desglose_BOM_Componentes!$B$2022:$B$2031,$A28,[1]Desglose_BOM_Componentes!$AE$2022:$AE$2031,"Sin precio",[1]Desglose_BOM_Componentes!$X$2022:$X$2031,"Empaquetado")&gt;0,"n.d.",SUMIFS([1]Desglose_BOM_Componentes!$AC$2022:$AC$2031,[1]Desglose_BOM_Componentes!$B$2022:$B$2031,$A28,[1]Desglose_BOM_Componentes!$X$2022:$X$2031,"Empaquetado"))</f>
        <v>0.11710143993558776</v>
      </c>
      <c r="F28" s="6">
        <f t="shared" si="1"/>
        <v>0.80469871266286053</v>
      </c>
      <c r="G28" s="4">
        <f>IF(COUNTIFS([1]Desglose_BOM_Componentes!$B$2022:$B$2031,$A28,[1]Desglose_BOM_Componentes!$AE$2022:$AE$2031,"Sin precio",[1]Desglose_BOM_Componentes!$X$2022:$X$2031,"Formulación")&gt;0,"n.d.",SUMIFS([1]Desglose_BOM_Componentes!$AD$2022:$AD$2031,[1]Desglose_BOM_Componentes!$B$2022:$B$2031,$A28,[1]Desglose_BOM_Componentes!$X$2022:$X$2031,"Formulación"))</f>
        <v>0.58563708225108235</v>
      </c>
      <c r="H28" s="4">
        <f>IF(COUNTIFS([1]Desglose_BOM_Componentes!$B$2022:$B$2031,$A28,[1]Desglose_BOM_Componentes!$AE$2022:$AE$2031,"Sin precio",[1]Desglose_BOM_Componentes!$X$2022:$X$2031,"Empaquetado")&gt;0,"n.d.",SUMIFS([1]Desglose_BOM_Componentes!$AD$2022:$AD$2031,[1]Desglose_BOM_Componentes!$B$2022:$B$2031,$A28,[1]Desglose_BOM_Componentes!$X$2022:$X$2031,"Empaquetado"))</f>
        <v>0.11710143993558776</v>
      </c>
      <c r="I28" s="6">
        <f t="shared" si="2"/>
        <v>0.70693852218667008</v>
      </c>
      <c r="J28" s="1" t="str">
        <f t="shared" si="0"/>
        <v>Completo</v>
      </c>
      <c r="K28" s="1">
        <f>COUNTIFS([1]Desglose_BOM_Componentes!$B$2022:$B$2031,$A28,[1]Desglose_BOM_Componentes!$AE$2022:$AE$2031,"Sin precio")</f>
        <v>0</v>
      </c>
      <c r="L28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componentes'!D30="Sin precio","C1000; ","")&amp;IF('[1]Precios componentes'!D95="Sin precio","KIA250; ","")</f>
        <v/>
      </c>
    </row>
    <row r="29" spans="1:12" ht="22" customHeight="1">
      <c r="A29" s="1" t="s">
        <v>45</v>
      </c>
      <c r="B29" s="1" t="s">
        <v>18</v>
      </c>
      <c r="C29" s="1" t="s">
        <v>24</v>
      </c>
      <c r="D29" s="4">
        <f>IF(COUNTIFS([1]Desglose_BOM_Componentes!$B$2366:$B$2372,$A29,[1]Desglose_BOM_Componentes!$AE$2366:$AE$2372,"Sin precio",[1]Desglose_BOM_Componentes!$X$2366:$X$2372,"Formulación")&gt;0,"n.d.",SUMIFS([1]Desglose_BOM_Componentes!$AC$2366:$AC$2372,[1]Desglose_BOM_Componentes!$B$2366:$B$2372,$A29,[1]Desglose_BOM_Componentes!$X$2366:$X$2372,"Formulación"))</f>
        <v>1.5829</v>
      </c>
      <c r="E29" s="4">
        <f>IF(COUNTIFS([1]Desglose_BOM_Componentes!$B$2366:$B$2372,$A29,[1]Desglose_BOM_Componentes!$AE$2366:$AE$2372,"Sin precio",[1]Desglose_BOM_Componentes!$X$2366:$X$2372,"Empaquetado")&gt;0,"n.d.",SUMIFS([1]Desglose_BOM_Componentes!$AC$2366:$AC$2372,[1]Desglose_BOM_Componentes!$B$2366:$B$2372,$A29,[1]Desglose_BOM_Componentes!$X$2366:$X$2372,"Empaquetado"))</f>
        <v>0.11720287987117553</v>
      </c>
      <c r="F29" s="6">
        <f t="shared" si="1"/>
        <v>1.7043028798711755</v>
      </c>
      <c r="G29" s="4">
        <f>IF(COUNTIFS([1]Desglose_BOM_Componentes!$B$2366:$B$2372,$A29,[1]Desglose_BOM_Componentes!$AE$2366:$AE$2372,"Sin precio",[1]Desglose_BOM_Componentes!$X$2366:$X$2372,"Formulación")&gt;0,"n.d.",SUMIFS([1]Desglose_BOM_Componentes!$AD$2366:$AD$2372,[1]Desglose_BOM_Componentes!$B$2366:$B$2372,$A29,[1]Desglose_BOM_Componentes!$X$2366:$X$2372,"Formulación"))</f>
        <v>1.4738942857142858</v>
      </c>
      <c r="H29" s="4">
        <f>IF(COUNTIFS([1]Desglose_BOM_Componentes!$B$2366:$B$2372,$A29,[1]Desglose_BOM_Componentes!$AE$2366:$AE$2372,"Sin precio",[1]Desglose_BOM_Componentes!$X$2366:$X$2372,"Empaquetado")&gt;0,"n.d.",SUMIFS([1]Desglose_BOM_Componentes!$AD$2366:$AD$2372,[1]Desglose_BOM_Componentes!$B$2366:$B$2372,$A29,[1]Desglose_BOM_Componentes!$X$2366:$X$2372,"Empaquetado"))</f>
        <v>0.11720287987117553</v>
      </c>
      <c r="I29" s="6">
        <f t="shared" si="2"/>
        <v>1.5952971655854613</v>
      </c>
      <c r="J29" s="1" t="str">
        <f t="shared" si="0"/>
        <v>Completo</v>
      </c>
      <c r="K29" s="1">
        <f>COUNTIFS([1]Desglose_BOM_Componentes!$B$2366:$B$2372,$A29,[1]Desglose_BOM_Componentes!$AE$2366:$AE$2372,"Sin precio")</f>
        <v>0</v>
      </c>
      <c r="L29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componentes'!D30="Sin precio","C1000; ","")&amp;IF('[1]Precios componentes'!D95="Sin precio","KIA250; ","")</f>
        <v/>
      </c>
    </row>
    <row r="30" spans="1:12" ht="22" customHeight="1">
      <c r="A30" s="1" t="s">
        <v>46</v>
      </c>
      <c r="B30" s="1" t="s">
        <v>18</v>
      </c>
      <c r="C30" s="1" t="s">
        <v>21</v>
      </c>
      <c r="D30" s="4">
        <f>IF(COUNTIFS([1]Desglose_BOM_Componentes!$B$2373:$B$2379,$A30,[1]Desglose_BOM_Componentes!$AE$2373:$AE$2379,"Sin precio",[1]Desglose_BOM_Componentes!$X$2373:$X$2379,"Formulación")&gt;0,"n.d.",SUMIFS([1]Desglose_BOM_Componentes!$AC$2373:$AC$2379,[1]Desglose_BOM_Componentes!$B$2373:$B$2379,$A30,[1]Desglose_BOM_Componentes!$X$2373:$X$2379,"Formulación"))</f>
        <v>1.5829</v>
      </c>
      <c r="E30" s="4">
        <f>IF(COUNTIFS([1]Desglose_BOM_Componentes!$B$2373:$B$2379,$A30,[1]Desglose_BOM_Componentes!$AE$2373:$AE$2379,"Sin precio",[1]Desglose_BOM_Componentes!$X$2373:$X$2379,"Empaquetado")&gt;0,"n.d.",SUMIFS([1]Desglose_BOM_Componentes!$AC$2373:$AC$2379,[1]Desglose_BOM_Componentes!$B$2373:$B$2379,$A30,[1]Desglose_BOM_Componentes!$X$2373:$X$2379,"Empaquetado"))</f>
        <v>0.11720287987117553</v>
      </c>
      <c r="F30" s="6">
        <f t="shared" si="1"/>
        <v>1.7043028798711755</v>
      </c>
      <c r="G30" s="4">
        <f>IF(COUNTIFS([1]Desglose_BOM_Componentes!$B$2373:$B$2379,$A30,[1]Desglose_BOM_Componentes!$AE$2373:$AE$2379,"Sin precio",[1]Desglose_BOM_Componentes!$X$2373:$X$2379,"Formulación")&gt;0,"n.d.",SUMIFS([1]Desglose_BOM_Componentes!$AD$2373:$AD$2379,[1]Desglose_BOM_Componentes!$B$2373:$B$2379,$A30,[1]Desglose_BOM_Componentes!$X$2373:$X$2379,"Formulación"))</f>
        <v>1.4738942857142858</v>
      </c>
      <c r="H30" s="4">
        <f>IF(COUNTIFS([1]Desglose_BOM_Componentes!$B$2373:$B$2379,$A30,[1]Desglose_BOM_Componentes!$AE$2373:$AE$2379,"Sin precio",[1]Desglose_BOM_Componentes!$X$2373:$X$2379,"Empaquetado")&gt;0,"n.d.",SUMIFS([1]Desglose_BOM_Componentes!$AD$2373:$AD$2379,[1]Desglose_BOM_Componentes!$B$2373:$B$2379,$A30,[1]Desglose_BOM_Componentes!$X$2373:$X$2379,"Empaquetado"))</f>
        <v>0.11720287987117553</v>
      </c>
      <c r="I30" s="6">
        <f t="shared" si="2"/>
        <v>1.5952971655854613</v>
      </c>
      <c r="J30" s="1" t="str">
        <f t="shared" si="0"/>
        <v>Completo</v>
      </c>
      <c r="K30" s="1">
        <f>COUNTIFS([1]Desglose_BOM_Componentes!$B$2373:$B$2379,$A30,[1]Desglose_BOM_Componentes!$AE$2373:$AE$2379,"Sin precio")</f>
        <v>0</v>
      </c>
      <c r="L30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componentes'!D30="Sin precio","C1000; ","")&amp;IF('[1]Precios componentes'!D95="Sin precio","KIA250; ","")</f>
        <v/>
      </c>
    </row>
    <row r="31" spans="1:12" ht="22" customHeight="1">
      <c r="A31" s="1" t="s">
        <v>47</v>
      </c>
      <c r="B31" s="1" t="s">
        <v>18</v>
      </c>
      <c r="C31" s="1" t="s">
        <v>15</v>
      </c>
      <c r="D31" s="4">
        <f>IF(COUNTIFS([1]Desglose_BOM_Componentes!$B$2380:$B$2386,$A31,[1]Desglose_BOM_Componentes!$AE$2380:$AE$2386,"Sin precio",[1]Desglose_BOM_Componentes!$X$2380:$X$2386,"Formulación")&gt;0,"n.d.",SUMIFS([1]Desglose_BOM_Componentes!$AC$2380:$AC$2386,[1]Desglose_BOM_Componentes!$B$2380:$B$2386,$A31,[1]Desglose_BOM_Componentes!$X$2380:$X$2386,"Formulación"))</f>
        <v>1.5829</v>
      </c>
      <c r="E31" s="4">
        <f>IF(COUNTIFS([1]Desglose_BOM_Componentes!$B$2380:$B$2386,$A31,[1]Desglose_BOM_Componentes!$AE$2380:$AE$2386,"Sin precio",[1]Desglose_BOM_Componentes!$X$2380:$X$2386,"Empaquetado")&gt;0,"n.d.",SUMIFS([1]Desglose_BOM_Componentes!$AC$2380:$AC$2386,[1]Desglose_BOM_Componentes!$B$2380:$B$2386,$A31,[1]Desglose_BOM_Componentes!$X$2380:$X$2386,"Empaquetado"))</f>
        <v>0.11720287987117553</v>
      </c>
      <c r="F31" s="6">
        <f t="shared" si="1"/>
        <v>1.7043028798711755</v>
      </c>
      <c r="G31" s="4">
        <f>IF(COUNTIFS([1]Desglose_BOM_Componentes!$B$2380:$B$2386,$A31,[1]Desglose_BOM_Componentes!$AE$2380:$AE$2386,"Sin precio",[1]Desglose_BOM_Componentes!$X$2380:$X$2386,"Formulación")&gt;0,"n.d.",SUMIFS([1]Desglose_BOM_Componentes!$AD$2380:$AD$2386,[1]Desglose_BOM_Componentes!$B$2380:$B$2386,$A31,[1]Desglose_BOM_Componentes!$X$2380:$X$2386,"Formulación"))</f>
        <v>1.4738942857142858</v>
      </c>
      <c r="H31" s="4">
        <f>IF(COUNTIFS([1]Desglose_BOM_Componentes!$B$2380:$B$2386,$A31,[1]Desglose_BOM_Componentes!$AE$2380:$AE$2386,"Sin precio",[1]Desglose_BOM_Componentes!$X$2380:$X$2386,"Empaquetado")&gt;0,"n.d.",SUMIFS([1]Desglose_BOM_Componentes!$AD$2380:$AD$2386,[1]Desglose_BOM_Componentes!$B$2380:$B$2386,$A31,[1]Desglose_BOM_Componentes!$X$2380:$X$2386,"Empaquetado"))</f>
        <v>0.11720287987117553</v>
      </c>
      <c r="I31" s="6">
        <f t="shared" si="2"/>
        <v>1.5952971655854613</v>
      </c>
      <c r="J31" s="1" t="str">
        <f t="shared" si="0"/>
        <v>Completo</v>
      </c>
      <c r="K31" s="1">
        <f>COUNTIFS([1]Desglose_BOM_Componentes!$B$2380:$B$2386,$A31,[1]Desglose_BOM_Componentes!$AE$2380:$AE$2386,"Sin precio")</f>
        <v>0</v>
      </c>
      <c r="L31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componentes'!D30="Sin precio","C1000; ","")&amp;IF('[1]Precios componentes'!D95="Sin precio","KIA250; ","")</f>
        <v/>
      </c>
    </row>
    <row r="32" spans="1:12" ht="22" customHeight="1">
      <c r="A32" s="1" t="s">
        <v>48</v>
      </c>
      <c r="B32" s="1" t="s">
        <v>18</v>
      </c>
      <c r="C32" s="1" t="s">
        <v>24</v>
      </c>
      <c r="D32" s="4">
        <f>IF(COUNTIFS([1]Desglose_BOM_Componentes!$B$2856:$B$2871,$A32,[1]Desglose_BOM_Componentes!$AE$2856:$AE$2871,"Sin precio",[1]Desglose_BOM_Componentes!$X$2856:$X$2871,"Formulación")&gt;0,"n.d.",SUMIFS([1]Desglose_BOM_Componentes!$AC$2856:$AC$2871,[1]Desglose_BOM_Componentes!$B$2856:$B$2871,$A32,[1]Desglose_BOM_Componentes!$X$2856:$X$2871,"Formulación"))</f>
        <v>0.69894999999999996</v>
      </c>
      <c r="E32" s="4">
        <f>IF(COUNTIFS([1]Desglose_BOM_Componentes!$B$2856:$B$2871,$A32,[1]Desglose_BOM_Componentes!$AE$2856:$AE$2871,"Sin precio",[1]Desglose_BOM_Componentes!$X$2856:$X$2871,"Empaquetado")&gt;0,"n.d.",SUMIFS([1]Desglose_BOM_Componentes!$AC$2856:$AC$2871,[1]Desglose_BOM_Componentes!$B$2856:$B$2871,$A32,[1]Desglose_BOM_Componentes!$X$2856:$X$2871,"Empaquetado"))</f>
        <v>0.19508731331430246</v>
      </c>
      <c r="F32" s="6">
        <f t="shared" si="1"/>
        <v>0.89823731331430245</v>
      </c>
      <c r="G32" s="4">
        <f>IF(COUNTIFS([1]Desglose_BOM_Componentes!$B$2856:$B$2871,$A32,[1]Desglose_BOM_Componentes!$AE$2856:$AE$2871,"Sin precio",[1]Desglose_BOM_Componentes!$X$2856:$X$2871,"Formulación")&gt;0,"n.d.",SUMIFS([1]Desglose_BOM_Componentes!$AD$2856:$AD$2871,[1]Desglose_BOM_Componentes!$B$2856:$B$2871,$A32,[1]Desglose_BOM_Componentes!$X$2856:$X$2871,"Formulación"))</f>
        <v>0.60428216666666668</v>
      </c>
      <c r="H32" s="4">
        <f>IF(COUNTIFS([1]Desglose_BOM_Componentes!$B$2856:$B$2871,$A32,[1]Desglose_BOM_Componentes!$AE$2856:$AE$2871,"Sin precio",[1]Desglose_BOM_Componentes!$X$2856:$X$2871,"Empaquetado")&gt;0,"n.d.",SUMIFS([1]Desglose_BOM_Componentes!$AD$2856:$AD$2871,[1]Desglose_BOM_Componentes!$B$2856:$B$2871,$A32,[1]Desglose_BOM_Componentes!$X$2856:$X$2871,"Empaquetado"))</f>
        <v>0.19508731331430246</v>
      </c>
      <c r="I32" s="6">
        <f t="shared" si="2"/>
        <v>0.80356947998096917</v>
      </c>
      <c r="J32" s="1" t="str">
        <f t="shared" si="0"/>
        <v>Completo</v>
      </c>
      <c r="K32" s="1">
        <f>COUNTIFS([1]Desglose_BOM_Componentes!$B$2856:$B$2871,$A32,[1]Desglose_BOM_Componentes!$AE$2856:$AE$2871,"Sin precio")</f>
        <v>0</v>
      </c>
      <c r="L32" s="1" t="str">
        <f>IF('[1]Precios componentes'!D111="Sin precio","NCAL; ","")&amp;IF('[1]Precios componentes'!D112="Sin precio","NMGL; ","")&amp;IF('[1]Precios componentes'!D51="Sin precio","D55; ","")&amp;IF('[1]Precios componentes'!D106="Sin precio","MEA; ","")&amp;IF('[1]Precios componentes'!D80="Sin precio","GLI; ","")&amp;IF('[1]Precios componentes'!D110="Sin precio","NCA; ","")&amp;IF('[1]Precios componentes'!D27="Sin precio","BOR; ","")&amp;IF('[1]Precios componentes'!D93="Sin precio","KF78; ","")&amp;IF('[1]Precios componentes'!D14="Sin precio","ANTI; ","")&amp;IF('[1]Precios componentes'!D124="Sin precio","SAC;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33" spans="1:12" ht="22" customHeight="1">
      <c r="A33" s="1" t="s">
        <v>49</v>
      </c>
      <c r="B33" s="1" t="s">
        <v>18</v>
      </c>
      <c r="C33" s="1" t="s">
        <v>24</v>
      </c>
      <c r="D33" s="4">
        <f>IF(COUNTIFS([1]Desglose_BOM_Componentes!$B$2872:$B$2883,$A33,[1]Desglose_BOM_Componentes!$AE$2872:$AE$2883,"Sin precio",[1]Desglose_BOM_Componentes!$X$2872:$X$2883,"Formulación")&gt;0,"n.d.",SUMIFS([1]Desglose_BOM_Componentes!$AC$2872:$AC$2883,[1]Desglose_BOM_Componentes!$B$2872:$B$2883,$A33,[1]Desglose_BOM_Componentes!$X$2872:$X$2883,"Formulación"))</f>
        <v>0.69894999999999996</v>
      </c>
      <c r="E33" s="4">
        <f>IF(COUNTIFS([1]Desglose_BOM_Componentes!$B$2872:$B$2883,$A33,[1]Desglose_BOM_Componentes!$AE$2872:$AE$2883,"Sin precio",[1]Desglose_BOM_Componentes!$X$2872:$X$2883,"Empaquetado")&gt;0,"n.d.",SUMIFS([1]Desglose_BOM_Componentes!$AC$2872:$AC$2883,[1]Desglose_BOM_Componentes!$B$2872:$B$2883,$A33,[1]Desglose_BOM_Componentes!$X$2872:$X$2883,"Empaquetado"))</f>
        <v>0.11710143993558776</v>
      </c>
      <c r="F33" s="6">
        <f t="shared" si="1"/>
        <v>0.82025143993558769</v>
      </c>
      <c r="G33" s="4">
        <f>IF(COUNTIFS([1]Desglose_BOM_Componentes!$B$2872:$B$2883,$A33,[1]Desglose_BOM_Componentes!$AE$2872:$AE$2883,"Sin precio",[1]Desglose_BOM_Componentes!$X$2872:$X$2883,"Formulación")&gt;0,"n.d.",SUMIFS([1]Desglose_BOM_Componentes!$AD$2872:$AD$2883,[1]Desglose_BOM_Componentes!$B$2872:$B$2883,$A33,[1]Desglose_BOM_Componentes!$X$2872:$X$2883,"Formulación"))</f>
        <v>0.60428216666666668</v>
      </c>
      <c r="H33" s="4">
        <f>IF(COUNTIFS([1]Desglose_BOM_Componentes!$B$2872:$B$2883,$A33,[1]Desglose_BOM_Componentes!$AE$2872:$AE$2883,"Sin precio",[1]Desglose_BOM_Componentes!$X$2872:$X$2883,"Empaquetado")&gt;0,"n.d.",SUMIFS([1]Desglose_BOM_Componentes!$AD$2872:$AD$2883,[1]Desglose_BOM_Componentes!$B$2872:$B$2883,$A33,[1]Desglose_BOM_Componentes!$X$2872:$X$2883,"Empaquetado"))</f>
        <v>0.11710143993558776</v>
      </c>
      <c r="I33" s="6">
        <f t="shared" si="2"/>
        <v>0.72558360660225441</v>
      </c>
      <c r="J33" s="1" t="str">
        <f t="shared" si="0"/>
        <v>Completo</v>
      </c>
      <c r="K33" s="1">
        <f>COUNTIFS([1]Desglose_BOM_Componentes!$B$2872:$B$2883,$A33,[1]Desglose_BOM_Componentes!$AE$2872:$AE$2883,"Sin precio")</f>
        <v>0</v>
      </c>
      <c r="L33" s="1" t="str">
        <f>IF('[1]Precios componentes'!D111="Sin precio","NCAL; ","")&amp;IF('[1]Precios componentes'!D112="Sin precio","NMGL; ","")&amp;IF('[1]Precios componentes'!D51="Sin precio","D55; ","")&amp;IF('[1]Precios componentes'!D106="Sin precio","MEA; ","")&amp;IF('[1]Precios componentes'!D80="Sin precio","GLI; ","")&amp;IF('[1]Precios componentes'!D110="Sin precio","NCA; ","")&amp;IF('[1]Precios componentes'!D27="Sin precio","BOR; ","")&amp;IF('[1]Precios componentes'!D93="Sin precio","KF78; ","")&amp;IF('[1]Precios componentes'!D14="Sin precio","ANTI; ","")&amp;IF('[1]Precios componentes'!D124="Sin precio","SAC; ","")&amp;IF('[1]Precios componentes'!D30="Sin precio","C1000; ","")&amp;IF('[1]Precios componentes'!D95="Sin precio","KIA250; ","")</f>
        <v/>
      </c>
    </row>
    <row r="34" spans="1:12" ht="22" customHeight="1">
      <c r="A34" s="1" t="s">
        <v>50</v>
      </c>
      <c r="B34" s="1" t="s">
        <v>18</v>
      </c>
      <c r="C34" s="1" t="s">
        <v>51</v>
      </c>
      <c r="D34" s="4">
        <f>IF(COUNTIFS([1]Desglose_BOM_Componentes!$B$2911:$B$2913,$A34,[1]Desglose_BOM_Componentes!$AE$2911:$AE$2913,"Sin precio",[1]Desglose_BOM_Componentes!$X$2911:$X$2913,"Formulación")&gt;0,"n.d.",SUMIFS([1]Desglose_BOM_Componentes!$AC$2911:$AC$2913,[1]Desglose_BOM_Componentes!$B$2911:$B$2913,$A34,[1]Desglose_BOM_Componentes!$X$2911:$X$2913,"Formulación"))</f>
        <v>1.1475</v>
      </c>
      <c r="E34" s="4">
        <f>IF(COUNTIFS([1]Desglose_BOM_Componentes!$B$2911:$B$2913,$A34,[1]Desglose_BOM_Componentes!$AE$2911:$AE$2913,"Sin precio",[1]Desglose_BOM_Componentes!$X$2911:$X$2913,"Empaquetado")&gt;0,"n.d.",SUMIFS([1]Desglose_BOM_Componentes!$AC$2911:$AC$2913,[1]Desglose_BOM_Componentes!$B$2911:$B$2913,$A34,[1]Desglose_BOM_Componentes!$X$2911:$X$2913,"Empaquetado"))</f>
        <v>6.994759378174159E-2</v>
      </c>
      <c r="F34" s="6">
        <f t="shared" si="1"/>
        <v>1.2216475937817415</v>
      </c>
      <c r="G34" s="4">
        <f>IF(COUNTIFS([1]Desglose_BOM_Componentes!$B$2911:$B$2913,$A34,[1]Desglose_BOM_Componentes!$AE$2911:$AE$2913,"Sin precio",[1]Desglose_BOM_Componentes!$X$2911:$X$2913,"Formulación")&gt;0,"n.d.",SUMIFS([1]Desglose_BOM_Componentes!$AD$2911:$AD$2913,[1]Desglose_BOM_Componentes!$B$2911:$B$2913,$A34,[1]Desglose_BOM_Componentes!$X$2911:$X$2913,"Formulación"))</f>
        <v>1.1475</v>
      </c>
      <c r="H34" s="4">
        <f>IF(COUNTIFS([1]Desglose_BOM_Componentes!$B$2911:$B$2913,$A34,[1]Desglose_BOM_Componentes!$AE$2911:$AE$2913,"Sin precio",[1]Desglose_BOM_Componentes!$X$2911:$X$2913,"Empaquetado")&gt;0,"n.d.",SUMIFS([1]Desglose_BOM_Componentes!$AD$2911:$AD$2913,[1]Desglose_BOM_Componentes!$B$2911:$B$2913,$A34,[1]Desglose_BOM_Componentes!$X$2911:$X$2913,"Empaquetado"))</f>
        <v>6.994759378174159E-2</v>
      </c>
      <c r="I34" s="6">
        <f t="shared" si="2"/>
        <v>1.2216475937817415</v>
      </c>
      <c r="J34" s="1" t="str">
        <f t="shared" si="0"/>
        <v>Completo</v>
      </c>
      <c r="K34" s="1">
        <f>COUNTIFS([1]Desglose_BOM_Componentes!$B$2911:$B$2913,$A34,[1]Desglose_BOM_Componentes!$AE$2911:$AE$2913,"Sin precio")</f>
        <v>0</v>
      </c>
      <c r="L34" s="1" t="str">
        <f>IF('[1]Precios componentes'!D132="Sin precio","SILK; ","")&amp;IF('[1]Precios componentes'!D31="Sin precio","C1000R; ","")&amp;IF('[1]Precios componentes'!D95="Sin precio","KIA250; ","")</f>
        <v/>
      </c>
    </row>
    <row r="35" spans="1:12" ht="22" customHeight="1">
      <c r="A35" s="1" t="s">
        <v>52</v>
      </c>
      <c r="B35" s="1" t="s">
        <v>14</v>
      </c>
      <c r="C35" s="1" t="s">
        <v>15</v>
      </c>
      <c r="D35" s="4">
        <f>IF(COUNTIFS([1]Desglose_BOM_Componentes!$B$2964:$B$2966,$A35,[1]Desglose_BOM_Componentes!$AE$2964:$AE$2966,"Sin precio",[1]Desglose_BOM_Componentes!$X$2964:$X$2966,"Formulación")&gt;0,"n.d.",SUMIFS([1]Desglose_BOM_Componentes!$AC$2964:$AC$2966,[1]Desglose_BOM_Componentes!$B$2964:$B$2966,$A35,[1]Desglose_BOM_Componentes!$X$2964:$X$2966,"Formulación"))</f>
        <v>1.5719800000000002</v>
      </c>
      <c r="E35" s="5">
        <v>0.01</v>
      </c>
      <c r="F35" s="6">
        <f>IF(K35&gt;0,"n.d.",SUM(D35:E35))</f>
        <v>1.5819800000000002</v>
      </c>
      <c r="G35" s="4">
        <f>IF(COUNTIFS([1]Desglose_BOM_Componentes!$B$2964:$B$2966,$A35,[1]Desglose_BOM_Componentes!$AE$2964:$AE$2966,"Sin precio",[1]Desglose_BOM_Componentes!$X$2964:$X$2966,"Formulación")&gt;0,"n.d.",SUMIFS([1]Desglose_BOM_Componentes!$AD$2964:$AD$2966,[1]Desglose_BOM_Componentes!$B$2964:$B$2966,$A35,[1]Desglose_BOM_Componentes!$X$2964:$X$2966,"Formulación"))</f>
        <v>1.5719800000000002</v>
      </c>
      <c r="H35" s="5">
        <v>0.01</v>
      </c>
      <c r="I35" s="6">
        <f>IF(K35&gt;0,"n.d.",SUM(G35:H35))</f>
        <v>1.5819800000000002</v>
      </c>
      <c r="J35" s="1" t="str">
        <f t="shared" si="0"/>
        <v>Completo</v>
      </c>
      <c r="K35" s="1">
        <f>COUNTIFS([1]Desglose_BOM_Componentes!$B$2964:$B$2966,$A35,[1]Desglose_BOM_Componentes!$AE$2964:$AE$2966,"Sin precio")</f>
        <v>0</v>
      </c>
      <c r="L35" s="1" t="str">
        <f>IF('[1]Precios componentes'!D114="Sin precio","OZN; ","")&amp;IF('[1]Precios componentes'!D133="Sin precio","SMN; ","")&amp;IF('[1]Precios componentes'!D141="Sin precio","SZMO; ","")</f>
        <v/>
      </c>
    </row>
    <row r="36" spans="1:12" ht="22" customHeight="1">
      <c r="A36" s="1" t="s">
        <v>53</v>
      </c>
      <c r="B36" s="1" t="s">
        <v>18</v>
      </c>
      <c r="C36" s="1" t="s">
        <v>21</v>
      </c>
      <c r="D36" s="4">
        <f>IF(COUNTIFS([1]Desglose_BOM_Componentes!$B$3018:$B$3022,$A36,[1]Desglose_BOM_Componentes!$AE$3018:$AE$3022,"Sin precio",[1]Desglose_BOM_Componentes!$X$3018:$X$3022,"Formulación")&gt;0,"n.d.",SUMIFS([1]Desglose_BOM_Componentes!$AC$3018:$AC$3022,[1]Desglose_BOM_Componentes!$B$3018:$B$3022,$A36,[1]Desglose_BOM_Componentes!$X$3018:$X$3022,"Formulación"))</f>
        <v>3.21007</v>
      </c>
      <c r="E36" s="4">
        <f>IF(COUNTIFS([1]Desglose_BOM_Componentes!$B$3018:$B$3022,$A36,[1]Desglose_BOM_Componentes!$AE$3018:$AE$3022,"Sin precio",[1]Desglose_BOM_Componentes!$X$3018:$X$3022,"Empaquetado")&gt;0,"n.d.",SUMIFS([1]Desglose_BOM_Componentes!$AC$3018:$AC$3022,[1]Desglose_BOM_Componentes!$B$3018:$B$3022,$A36,[1]Desglose_BOM_Componentes!$X$3018:$X$3022,"Empaquetado"))</f>
        <v>6.994759378174159E-2</v>
      </c>
      <c r="F36" s="6">
        <f t="shared" ref="F36:F49" si="3">IF(K36&gt;0,"n.d.",SUM(D36:E36)+0.0042)</f>
        <v>3.2842175937817415</v>
      </c>
      <c r="G36" s="4">
        <f>IF(COUNTIFS([1]Desglose_BOM_Componentes!$B$3018:$B$3022,$A36,[1]Desglose_BOM_Componentes!$AE$3018:$AE$3022,"Sin precio",[1]Desglose_BOM_Componentes!$X$3018:$X$3022,"Formulación")&gt;0,"n.d.",SUMIFS([1]Desglose_BOM_Componentes!$AD$3018:$AD$3022,[1]Desglose_BOM_Componentes!$B$3018:$B$3022,$A36,[1]Desglose_BOM_Componentes!$X$3018:$X$3022,"Formulación"))</f>
        <v>1.780494</v>
      </c>
      <c r="H36" s="4">
        <f>IF(COUNTIFS([1]Desglose_BOM_Componentes!$B$3018:$B$3022,$A36,[1]Desglose_BOM_Componentes!$AE$3018:$AE$3022,"Sin precio",[1]Desglose_BOM_Componentes!$X$3018:$X$3022,"Empaquetado")&gt;0,"n.d.",SUMIFS([1]Desglose_BOM_Componentes!$AD$3018:$AD$3022,[1]Desglose_BOM_Componentes!$B$3018:$B$3022,$A36,[1]Desglose_BOM_Componentes!$X$3018:$X$3022,"Empaquetado"))</f>
        <v>6.994759378174159E-2</v>
      </c>
      <c r="I36" s="6">
        <f t="shared" ref="I36:I49" si="4">IF(K36&gt;0,"n.d.",SUM(G36:H36)+0.0042)</f>
        <v>1.8546415937817415</v>
      </c>
      <c r="J36" s="1" t="str">
        <f t="shared" si="0"/>
        <v>Completo</v>
      </c>
      <c r="K36" s="1">
        <f>COUNTIFS([1]Desglose_BOM_Componentes!$B$3018:$B$3022,$A36,[1]Desglose_BOM_Componentes!$AE$3018:$AE$3022,"Sin precio")</f>
        <v>0</v>
      </c>
      <c r="L36" s="1" t="str">
        <f>IF('[1]Precios componentes'!D11="Sin precio","AGUA; ","")&amp;IF('[1]Precios componentes'!D75="Sin precio","FOF; ","")&amp;IF('[1]Precios componentes'!D90="Sin precio","HPOL; ","")&amp;IF('[1]Precios componentes'!D31="Sin precio","C1000R; ","")&amp;IF('[1]Precios componentes'!D95="Sin precio","KIA250; ","")</f>
        <v/>
      </c>
    </row>
    <row r="37" spans="1:12" ht="22" customHeight="1">
      <c r="A37" s="1" t="s">
        <v>54</v>
      </c>
      <c r="B37" s="1" t="s">
        <v>18</v>
      </c>
      <c r="C37" s="1" t="s">
        <v>21</v>
      </c>
      <c r="D37" s="4">
        <f>IF(COUNTIFS([1]Desglose_BOM_Componentes!$B$3218:$B$3226,$A37,[1]Desglose_BOM_Componentes!$AE$3218:$AE$3226,"Sin precio",[1]Desglose_BOM_Componentes!$X$3218:$X$3226,"Formulación")&gt;0,"n.d.",SUMIFS([1]Desglose_BOM_Componentes!$AC$3218:$AC$3226,[1]Desglose_BOM_Componentes!$B$3218:$B$3226,$A37,[1]Desglose_BOM_Componentes!$X$3218:$X$3226,"Formulación"))</f>
        <v>0.47524100000000002</v>
      </c>
      <c r="E37" s="4">
        <f>IF(COUNTIFS([1]Desglose_BOM_Componentes!$B$3218:$B$3226,$A37,[1]Desglose_BOM_Componentes!$AE$3218:$AE$3226,"Sin precio",[1]Desglose_BOM_Componentes!$X$3218:$X$3226,"Empaquetado")&gt;0,"n.d.",SUMIFS([1]Desglose_BOM_Componentes!$AC$3218:$AC$3226,[1]Desglose_BOM_Componentes!$B$3218:$B$3226,$A37,[1]Desglose_BOM_Componentes!$X$3218:$X$3226,"Empaquetado"))</f>
        <v>0.11710143993558776</v>
      </c>
      <c r="F37" s="6">
        <f t="shared" si="3"/>
        <v>0.59654243993558775</v>
      </c>
      <c r="G37" s="4">
        <f>IF(COUNTIFS([1]Desglose_BOM_Componentes!$B$3218:$B$3226,$A37,[1]Desglose_BOM_Componentes!$AE$3218:$AE$3226,"Sin precio",[1]Desglose_BOM_Componentes!$X$3218:$X$3226,"Formulación")&gt;0,"n.d.",SUMIFS([1]Desglose_BOM_Componentes!$AD$3218:$AD$3226,[1]Desglose_BOM_Componentes!$B$3218:$B$3226,$A37,[1]Desglose_BOM_Componentes!$X$3218:$X$3226,"Formulación"))</f>
        <v>0.44839396666666664</v>
      </c>
      <c r="H37" s="4">
        <f>IF(COUNTIFS([1]Desglose_BOM_Componentes!$B$3218:$B$3226,$A37,[1]Desglose_BOM_Componentes!$AE$3218:$AE$3226,"Sin precio",[1]Desglose_BOM_Componentes!$X$3218:$X$3226,"Empaquetado")&gt;0,"n.d.",SUMIFS([1]Desglose_BOM_Componentes!$AD$3218:$AD$3226,[1]Desglose_BOM_Componentes!$B$3218:$B$3226,$A37,[1]Desglose_BOM_Componentes!$X$3218:$X$3226,"Empaquetado"))</f>
        <v>0.11710143993558776</v>
      </c>
      <c r="I37" s="6">
        <f t="shared" si="4"/>
        <v>0.56969540660225437</v>
      </c>
      <c r="J37" s="1" t="str">
        <f t="shared" si="0"/>
        <v>Completo</v>
      </c>
      <c r="K37" s="1">
        <f>COUNTIFS([1]Desglose_BOM_Componentes!$B$3218:$B$3226,$A37,[1]Desglose_BOM_Componentes!$AE$3218:$AE$3226,"Sin precio")</f>
        <v>0</v>
      </c>
      <c r="L37" s="1" t="str">
        <f>IF('[1]Precios componentes'!D28="Sin precio","BORL; ","")&amp;IF('[1]Precios componentes'!D121="Sin precio","RAD; ","")&amp;IF('[1]Precios componentes'!D80="Sin precio","GLI; ","")&amp;IF('[1]Precios componentes'!D8="Sin precio","ACE; ","")&amp;IF('[1]Precios componentes'!D79="Sin precio","GLBE; ","")&amp;IF('[1]Precios componentes'!D39="Sin precio","CCA2; ","")&amp;IF('[1]Precios componentes'!D111="Sin precio","NCAL; ","")&amp;IF('[1]Precios componentes'!D30="Sin precio","C1000; ","")&amp;IF('[1]Precios componentes'!D95="Sin precio","KIA250; ","")</f>
        <v/>
      </c>
    </row>
    <row r="38" spans="1:12" ht="22" customHeight="1">
      <c r="A38" s="1" t="s">
        <v>55</v>
      </c>
      <c r="B38" s="1" t="s">
        <v>18</v>
      </c>
      <c r="C38" s="1" t="s">
        <v>15</v>
      </c>
      <c r="D38" s="4">
        <f>IF(COUNTIFS([1]Desglose_BOM_Componentes!$B$3503:$B$3513,$A38,[1]Desglose_BOM_Componentes!$AE$3503:$AE$3513,"Sin precio",[1]Desglose_BOM_Componentes!$X$3503:$X$3513,"Formulación")&gt;0,"n.d.",SUMIFS([1]Desglose_BOM_Componentes!$AC$3503:$AC$3513,[1]Desglose_BOM_Componentes!$B$3503:$B$3513,$A38,[1]Desglose_BOM_Componentes!$X$3503:$X$3513,"Formulación"))</f>
        <v>0.95393499999999998</v>
      </c>
      <c r="E38" s="4">
        <f>IF(COUNTIFS([1]Desglose_BOM_Componentes!$B$3503:$B$3513,$A38,[1]Desglose_BOM_Componentes!$AE$3503:$AE$3513,"Sin precio",[1]Desglose_BOM_Componentes!$X$3503:$X$3513,"Empaquetado")&gt;0,"n.d.",SUMIFS([1]Desglose_BOM_Componentes!$AC$3503:$AC$3513,[1]Desglose_BOM_Componentes!$B$3503:$B$3513,$A38,[1]Desglose_BOM_Componentes!$X$3503:$X$3513,"Empaquetado"))</f>
        <v>6.9934843791806006E-2</v>
      </c>
      <c r="F38" s="6">
        <f t="shared" si="3"/>
        <v>1.0280698437918059</v>
      </c>
      <c r="G38" s="4">
        <f>IF(COUNTIFS([1]Desglose_BOM_Componentes!$B$3503:$B$3513,$A38,[1]Desglose_BOM_Componentes!$AE$3503:$AE$3513,"Sin precio",[1]Desglose_BOM_Componentes!$X$3503:$X$3513,"Formulación")&gt;0,"n.d.",SUMIFS([1]Desglose_BOM_Componentes!$AD$3503:$AD$3513,[1]Desglose_BOM_Componentes!$B$3503:$B$3513,$A38,[1]Desglose_BOM_Componentes!$X$3503:$X$3513,"Formulación"))</f>
        <v>0.84562219999999999</v>
      </c>
      <c r="H38" s="4">
        <f>IF(COUNTIFS([1]Desglose_BOM_Componentes!$B$3503:$B$3513,$A38,[1]Desglose_BOM_Componentes!$AE$3503:$AE$3513,"Sin precio",[1]Desglose_BOM_Componentes!$X$3503:$X$3513,"Empaquetado")&gt;0,"n.d.",SUMIFS([1]Desglose_BOM_Componentes!$AD$3503:$AD$3513,[1]Desglose_BOM_Componentes!$B$3503:$B$3513,$A38,[1]Desglose_BOM_Componentes!$X$3503:$X$3513,"Empaquetado"))</f>
        <v>6.9934843791806006E-2</v>
      </c>
      <c r="I38" s="6">
        <f t="shared" si="4"/>
        <v>0.91975704379180601</v>
      </c>
      <c r="J38" s="1" t="str">
        <f t="shared" si="0"/>
        <v>Completo</v>
      </c>
      <c r="K38" s="1">
        <f>COUNTIFS([1]Desglose_BOM_Componentes!$B$3503:$B$3513,$A38,[1]Desglose_BOM_Componentes!$AE$3503:$AE$3513,"Sin precio")</f>
        <v>0</v>
      </c>
      <c r="L38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componentes'!D31="Sin precio","C1000R; ","")&amp;IF('[1]Precios componentes'!D94="Sin precio","KIA220; ","")</f>
        <v/>
      </c>
    </row>
    <row r="39" spans="1:12" ht="22" customHeight="1">
      <c r="A39" s="1" t="s">
        <v>56</v>
      </c>
      <c r="B39" s="1" t="s">
        <v>18</v>
      </c>
      <c r="C39" s="1" t="s">
        <v>24</v>
      </c>
      <c r="D39" s="4">
        <f>IF(COUNTIFS([1]Desglose_BOM_Componentes!$B$3691:$B$3705,$A39,[1]Desglose_BOM_Componentes!$AE$3691:$AE$3705,"Sin precio",[1]Desglose_BOM_Componentes!$X$3691:$X$3705,"Formulación")&gt;0,"n.d.",SUMIFS([1]Desglose_BOM_Componentes!$AC$3691:$AC$3705,[1]Desglose_BOM_Componentes!$B$3691:$B$3705,$A39,[1]Desglose_BOM_Componentes!$X$3691:$X$3705,"Formulación"))</f>
        <v>1.9736554545454543</v>
      </c>
      <c r="E39" s="4">
        <f>IF(COUNTIFS([1]Desglose_BOM_Componentes!$B$3691:$B$3705,$A39,[1]Desglose_BOM_Componentes!$AE$3691:$AE$3705,"Sin precio",[1]Desglose_BOM_Componentes!$X$3691:$X$3705,"Empaquetado")&gt;0,"n.d.",SUMIFS([1]Desglose_BOM_Componentes!$AC$3691:$AC$3705,[1]Desglose_BOM_Componentes!$B$3691:$B$3705,$A39,[1]Desglose_BOM_Componentes!$X$3691:$X$3705,"Empaquetado"))</f>
        <v>0.19508731331430246</v>
      </c>
      <c r="F39" s="6">
        <f t="shared" si="3"/>
        <v>2.1729427678597566</v>
      </c>
      <c r="G39" s="4">
        <f>IF(COUNTIFS([1]Desglose_BOM_Componentes!$B$3691:$B$3705,$A39,[1]Desglose_BOM_Componentes!$AE$3691:$AE$3705,"Sin precio",[1]Desglose_BOM_Componentes!$X$3691:$X$3705,"Formulación")&gt;0,"n.d.",SUMIFS([1]Desglose_BOM_Componentes!$AD$3691:$AD$3705,[1]Desglose_BOM_Componentes!$B$3691:$B$3705,$A39,[1]Desglose_BOM_Componentes!$X$3691:$X$3705,"Formulación"))</f>
        <v>1.7732949545454544</v>
      </c>
      <c r="H39" s="4">
        <f>IF(COUNTIFS([1]Desglose_BOM_Componentes!$B$3691:$B$3705,$A39,[1]Desglose_BOM_Componentes!$AE$3691:$AE$3705,"Sin precio",[1]Desglose_BOM_Componentes!$X$3691:$X$3705,"Empaquetado")&gt;0,"n.d.",SUMIFS([1]Desglose_BOM_Componentes!$AD$3691:$AD$3705,[1]Desglose_BOM_Componentes!$B$3691:$B$3705,$A39,[1]Desglose_BOM_Componentes!$X$3691:$X$3705,"Empaquetado"))</f>
        <v>0.19508731331430246</v>
      </c>
      <c r="I39" s="6">
        <f t="shared" si="4"/>
        <v>1.9725822678597569</v>
      </c>
      <c r="J39" s="1" t="str">
        <f t="shared" si="0"/>
        <v>Completo</v>
      </c>
      <c r="K39" s="1">
        <f>COUNTIFS([1]Desglose_BOM_Componentes!$B$3691:$B$3705,$A39,[1]Desglose_BOM_Componentes!$AE$3691:$AE$3705,"Sin precio")</f>
        <v>0</v>
      </c>
      <c r="L39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40" spans="1:12" ht="22" customHeight="1">
      <c r="A40" s="1" t="s">
        <v>57</v>
      </c>
      <c r="B40" s="1" t="s">
        <v>18</v>
      </c>
      <c r="C40" s="1" t="s">
        <v>24</v>
      </c>
      <c r="D40" s="4">
        <f>IF(COUNTIFS([1]Desglose_BOM_Componentes!$B$3955:$B$3967,$A40,[1]Desglose_BOM_Componentes!$AE$3955:$AE$3967,"Sin precio",[1]Desglose_BOM_Componentes!$X$3955:$X$3967,"Formulación")&gt;0,"n.d.",SUMIFS([1]Desglose_BOM_Componentes!$AC$3955:$AC$3967,[1]Desglose_BOM_Componentes!$B$3955:$B$3967,$A40,[1]Desglose_BOM_Componentes!$X$3955:$X$3967,"Formulación"))</f>
        <v>0.72608099999999998</v>
      </c>
      <c r="E40" s="4">
        <f>IF(COUNTIFS([1]Desglose_BOM_Componentes!$B$3955:$B$3967,$A40,[1]Desglose_BOM_Componentes!$AE$3955:$AE$3967,"Sin precio",[1]Desglose_BOM_Componentes!$X$3955:$X$3967,"Empaquetado")&gt;0,"n.d.",SUMIFS([1]Desglose_BOM_Componentes!$AC$3955:$AC$3967,[1]Desglose_BOM_Componentes!$B$3955:$B$3967,$A40,[1]Desglose_BOM_Componentes!$X$3955:$X$3967,"Empaquetado"))</f>
        <v>0.19508731331430246</v>
      </c>
      <c r="F40" s="6">
        <f t="shared" si="3"/>
        <v>0.92536831331430247</v>
      </c>
      <c r="G40" s="4">
        <f>IF(COUNTIFS([1]Desglose_BOM_Componentes!$B$3955:$B$3967,$A40,[1]Desglose_BOM_Componentes!$AE$3955:$AE$3967,"Sin precio",[1]Desglose_BOM_Componentes!$X$3955:$X$3967,"Formulación")&gt;0,"n.d.",SUMIFS([1]Desglose_BOM_Componentes!$AD$3955:$AD$3967,[1]Desglose_BOM_Componentes!$B$3955:$B$3967,$A40,[1]Desglose_BOM_Componentes!$X$3955:$X$3967,"Formulación"))</f>
        <v>0.64231933333333324</v>
      </c>
      <c r="H40" s="4">
        <f>IF(COUNTIFS([1]Desglose_BOM_Componentes!$B$3955:$B$3967,$A40,[1]Desglose_BOM_Componentes!$AE$3955:$AE$3967,"Sin precio",[1]Desglose_BOM_Componentes!$X$3955:$X$3967,"Empaquetado")&gt;0,"n.d.",SUMIFS([1]Desglose_BOM_Componentes!$AD$3955:$AD$3967,[1]Desglose_BOM_Componentes!$B$3955:$B$3967,$A40,[1]Desglose_BOM_Componentes!$X$3955:$X$3967,"Empaquetado"))</f>
        <v>0.19508731331430246</v>
      </c>
      <c r="I40" s="6">
        <f t="shared" si="4"/>
        <v>0.84160664664763574</v>
      </c>
      <c r="J40" s="1" t="str">
        <f t="shared" si="0"/>
        <v>Completo</v>
      </c>
      <c r="K40" s="1">
        <f>COUNTIFS([1]Desglose_BOM_Componentes!$B$3955:$B$3967,$A40,[1]Desglose_BOM_Componentes!$AE$3955:$AE$3967,"Sin precio")</f>
        <v>0</v>
      </c>
      <c r="L40" s="1" t="str">
        <f>IF('[1]Precios componentes'!D80="Sin precio","GLI; ","")&amp;IF('[1]Precios componentes'!D112="Sin precio","NMGL; ","")&amp;IF('[1]Precios componentes'!D51="Sin precio","D55; ","")&amp;IF('[1]Precios componentes'!D155="Sin precio","UREL; ","")&amp;IF('[1]Precios componentes'!D110="Sin precio","NCA; ","")&amp;IF('[1]Precios componentes'!D93="Sin precio","KF78; ","")&amp;IF('[1]Precios componentes'!D111="Sin precio","NCAL;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41" spans="1:12" ht="22" customHeight="1">
      <c r="A41" s="1" t="s">
        <v>58</v>
      </c>
      <c r="B41" s="1" t="s">
        <v>18</v>
      </c>
      <c r="C41" s="1" t="s">
        <v>21</v>
      </c>
      <c r="D41" s="4">
        <f>IF(COUNTIFS([1]Desglose_BOM_Componentes!$B$3968:$B$3975,$A41,[1]Desglose_BOM_Componentes!$AE$3968:$AE$3975,"Sin precio",[1]Desglose_BOM_Componentes!$X$3968:$X$3975,"Formulación")&gt;0,"n.d.",SUMIFS([1]Desglose_BOM_Componentes!$AC$3968:$AC$3975,[1]Desglose_BOM_Componentes!$B$3968:$B$3975,$A41,[1]Desglose_BOM_Componentes!$X$3968:$X$3975,"Formulación"))</f>
        <v>3.6463199999999998</v>
      </c>
      <c r="E41" s="4">
        <f>IF(COUNTIFS([1]Desglose_BOM_Componentes!$B$3968:$B$3975,$A41,[1]Desglose_BOM_Componentes!$AE$3968:$AE$3975,"Sin precio",[1]Desglose_BOM_Componentes!$X$3968:$X$3975,"Empaquetado")&gt;0,"n.d.",SUMIFS([1]Desglose_BOM_Componentes!$AC$3968:$AC$3975,[1]Desglose_BOM_Componentes!$B$3968:$B$3975,$A41,[1]Desglose_BOM_Componentes!$X$3968:$X$3975,"Empaquetado"))</f>
        <v>0.11710143993558776</v>
      </c>
      <c r="F41" s="6">
        <f t="shared" si="3"/>
        <v>3.7676214399355876</v>
      </c>
      <c r="G41" s="4">
        <f>IF(COUNTIFS([1]Desglose_BOM_Componentes!$B$3968:$B$3975,$A41,[1]Desglose_BOM_Componentes!$AE$3968:$AE$3975,"Sin precio",[1]Desglose_BOM_Componentes!$X$3968:$X$3975,"Formulación")&gt;0,"n.d.",SUMIFS([1]Desglose_BOM_Componentes!$AD$3968:$AD$3975,[1]Desglose_BOM_Componentes!$B$3968:$B$3975,$A41,[1]Desglose_BOM_Componentes!$X$3968:$X$3975,"Formulación"))</f>
        <v>2.7582937857142862</v>
      </c>
      <c r="H41" s="4">
        <f>IF(COUNTIFS([1]Desglose_BOM_Componentes!$B$3968:$B$3975,$A41,[1]Desglose_BOM_Componentes!$AE$3968:$AE$3975,"Sin precio",[1]Desglose_BOM_Componentes!$X$3968:$X$3975,"Empaquetado")&gt;0,"n.d.",SUMIFS([1]Desglose_BOM_Componentes!$AD$3968:$AD$3975,[1]Desglose_BOM_Componentes!$B$3968:$B$3975,$A41,[1]Desglose_BOM_Componentes!$X$3968:$X$3975,"Empaquetado"))</f>
        <v>0.11710143993558776</v>
      </c>
      <c r="I41" s="6">
        <f t="shared" si="4"/>
        <v>2.879595225649874</v>
      </c>
      <c r="J41" s="1" t="str">
        <f t="shared" si="0"/>
        <v>Completo</v>
      </c>
      <c r="K41" s="1">
        <f>COUNTIFS([1]Desglose_BOM_Componentes!$B$3968:$B$3975,$A41,[1]Desglose_BOM_Componentes!$AE$3968:$AE$3975,"Sin precio")</f>
        <v>0</v>
      </c>
      <c r="L41" s="1" t="str">
        <f>IF('[1]Precios componentes'!D54="Sin precio","EDT; ","")&amp;IF('[1]Precios componentes'!D108="Sin precio","MOSO; ","")&amp;IF('[1]Precios componentes'!D80="Sin precio","GLI; ","")&amp;IF('[1]Precios componentes'!D106="Sin precio","MEA; ","")&amp;IF('[1]Precios componentes'!D27="Sin precio","BOR; ","")&amp;IF('[1]Precios componentes'!D76="Sin precio","FOI; ","")&amp;IF('[1]Precios componentes'!D30="Sin precio","C1000; ","")&amp;IF('[1]Precios componentes'!D95="Sin precio","KIA250; ","")</f>
        <v/>
      </c>
    </row>
    <row r="42" spans="1:12" ht="22" customHeight="1">
      <c r="A42" s="1" t="s">
        <v>59</v>
      </c>
      <c r="B42" s="1" t="s">
        <v>18</v>
      </c>
      <c r="C42" s="1" t="s">
        <v>24</v>
      </c>
      <c r="D42" s="4">
        <f>IF(COUNTIFS([1]Desglose_BOM_Componentes!$B$4018:$B$4026,$A42,[1]Desglose_BOM_Componentes!$AE$4018:$AE$4026,"Sin precio",[1]Desglose_BOM_Componentes!$X$4018:$X$4026,"Formulación")&gt;0,"n.d.",SUMIFS([1]Desglose_BOM_Componentes!$AC$4018:$AC$4026,[1]Desglose_BOM_Componentes!$B$4018:$B$4026,$A42,[1]Desglose_BOM_Componentes!$X$4018:$X$4026,"Formulación"))</f>
        <v>0.68412500000000009</v>
      </c>
      <c r="E42" s="4">
        <f>IF(COUNTIFS([1]Desglose_BOM_Componentes!$B$4018:$B$4026,$A42,[1]Desglose_BOM_Componentes!$AE$4018:$AE$4026,"Sin precio",[1]Desglose_BOM_Componentes!$X$4018:$X$4026,"Empaquetado")&gt;0,"n.d.",SUMIFS([1]Desglose_BOM_Componentes!$AC$4018:$AC$4026,[1]Desglose_BOM_Componentes!$B$4018:$B$4026,$A42,[1]Desglose_BOM_Componentes!$X$4018:$X$4026,"Empaquetado"))</f>
        <v>1.014399355877617E-4</v>
      </c>
      <c r="F42" s="6">
        <f t="shared" si="3"/>
        <v>0.68842643993558783</v>
      </c>
      <c r="G42" s="4">
        <f>IF(COUNTIFS([1]Desglose_BOM_Componentes!$B$4018:$B$4026,$A42,[1]Desglose_BOM_Componentes!$AE$4018:$AE$4026,"Sin precio",[1]Desglose_BOM_Componentes!$X$4018:$X$4026,"Formulación")&gt;0,"n.d.",SUMIFS([1]Desglose_BOM_Componentes!$AD$4018:$AD$4026,[1]Desglose_BOM_Componentes!$B$4018:$B$4026,$A42,[1]Desglose_BOM_Componentes!$X$4018:$X$4026,"Formulación"))</f>
        <v>0.60060809523809522</v>
      </c>
      <c r="H42" s="4">
        <f>IF(COUNTIFS([1]Desglose_BOM_Componentes!$B$4018:$B$4026,$A42,[1]Desglose_BOM_Componentes!$AE$4018:$AE$4026,"Sin precio",[1]Desglose_BOM_Componentes!$X$4018:$X$4026,"Empaquetado")&gt;0,"n.d.",SUMIFS([1]Desglose_BOM_Componentes!$AD$4018:$AD$4026,[1]Desglose_BOM_Componentes!$B$4018:$B$4026,$A42,[1]Desglose_BOM_Componentes!$X$4018:$X$4026,"Empaquetado"))</f>
        <v>1.014399355877617E-4</v>
      </c>
      <c r="I42" s="6">
        <f t="shared" si="4"/>
        <v>0.60490953517368296</v>
      </c>
      <c r="J42" s="1" t="str">
        <f t="shared" si="0"/>
        <v>Completo</v>
      </c>
      <c r="K42" s="1">
        <f>COUNTIFS([1]Desglose_BOM_Componentes!$B$4018:$B$4026,$A42,[1]Desglose_BOM_Componentes!$AE$4018:$AE$4026,"Sin precio")</f>
        <v>0</v>
      </c>
      <c r="L42" s="1" t="str">
        <f>IF('[1]Precios componentes'!D93="Sin precio","KF78; ","")&amp;IF('[1]Precios componentes'!D13="Sin precio","AMO; ","")&amp;IF('[1]Precios componentes'!D104="Sin precio","MAL; ","")&amp;IF('[1]Precios componentes'!D80="Sin precio","GLI; ","")&amp;IF('[1]Precios componentes'!D79="Sin precio","GLBE; ","")&amp;IF('[1]Precios componentes'!D130="Sin precio","SFEL; ","")&amp;IF('[1]Precios componentes'!D121="Sin precio","RAD; ","")&amp;IF('[1]Precios componentes'!D84="Sin precio","GLUSO; ","")&amp;IF('[1]Precios componentes'!D95="Sin precio","KIA250; ","")</f>
        <v/>
      </c>
    </row>
    <row r="43" spans="1:12" ht="22" customHeight="1">
      <c r="A43" s="1" t="s">
        <v>60</v>
      </c>
      <c r="B43" s="1" t="s">
        <v>18</v>
      </c>
      <c r="C43" s="1" t="s">
        <v>24</v>
      </c>
      <c r="D43" s="4">
        <f>IF(COUNTIFS([1]Desglose_BOM_Componentes!$B$4048:$B$4054,$A43,[1]Desglose_BOM_Componentes!$AE$4048:$AE$4054,"Sin precio",[1]Desglose_BOM_Componentes!$X$4048:$X$4054,"Formulación")&gt;0,"n.d.",SUMIFS([1]Desglose_BOM_Componentes!$AC$4048:$AC$4054,[1]Desglose_BOM_Componentes!$B$4048:$B$4054,$A43,[1]Desglose_BOM_Componentes!$X$4048:$X$4054,"Formulación"))</f>
        <v>0.38912000000000002</v>
      </c>
      <c r="E43" s="4">
        <f>IF(COUNTIFS([1]Desglose_BOM_Componentes!$B$4048:$B$4054,$A43,[1]Desglose_BOM_Componentes!$AE$4048:$AE$4054,"Sin precio",[1]Desglose_BOM_Componentes!$X$4048:$X$4054,"Empaquetado")&gt;0,"n.d.",SUMIFS([1]Desglose_BOM_Componentes!$AC$4048:$AC$4054,[1]Desglose_BOM_Componentes!$B$4048:$B$4054,$A43,[1]Desglose_BOM_Componentes!$X$4048:$X$4054,"Empaquetado"))</f>
        <v>6.994759378174159E-2</v>
      </c>
      <c r="F43" s="6">
        <f t="shared" si="3"/>
        <v>0.46326759378174159</v>
      </c>
      <c r="G43" s="4">
        <f>IF(COUNTIFS([1]Desglose_BOM_Componentes!$B$4048:$B$4054,$A43,[1]Desglose_BOM_Componentes!$AE$4048:$AE$4054,"Sin precio",[1]Desglose_BOM_Componentes!$X$4048:$X$4054,"Formulación")&gt;0,"n.d.",SUMIFS([1]Desglose_BOM_Componentes!$AD$4048:$AD$4054,[1]Desglose_BOM_Componentes!$B$4048:$B$4054,$A43,[1]Desglose_BOM_Componentes!$X$4048:$X$4054,"Formulación"))</f>
        <v>0.38798000000000005</v>
      </c>
      <c r="H43" s="4">
        <f>IF(COUNTIFS([1]Desglose_BOM_Componentes!$B$4048:$B$4054,$A43,[1]Desglose_BOM_Componentes!$AE$4048:$AE$4054,"Sin precio",[1]Desglose_BOM_Componentes!$X$4048:$X$4054,"Empaquetado")&gt;0,"n.d.",SUMIFS([1]Desglose_BOM_Componentes!$AD$4048:$AD$4054,[1]Desglose_BOM_Componentes!$B$4048:$B$4054,$A43,[1]Desglose_BOM_Componentes!$X$4048:$X$4054,"Empaquetado"))</f>
        <v>6.994759378174159E-2</v>
      </c>
      <c r="I43" s="6">
        <f t="shared" si="4"/>
        <v>0.46212759378174162</v>
      </c>
      <c r="J43" s="1" t="str">
        <f t="shared" si="0"/>
        <v>Completo</v>
      </c>
      <c r="K43" s="1">
        <f>COUNTIFS([1]Desglose_BOM_Componentes!$B$4048:$B$4054,$A43,[1]Desglose_BOM_Componentes!$AE$4048:$AE$4054,"Sin precio")</f>
        <v>0</v>
      </c>
      <c r="L43" s="1" t="str">
        <f>IF('[1]Precios componentes'!D103="Sin precio","LIGNOAM; ","")&amp;IF('[1]Precios componentes'!D133="Sin precio","SMN; ","")&amp;IF('[1]Precios componentes'!D80="Sin precio","GLI; ","")&amp;IF('[1]Precios componentes'!D141="Sin precio","SZMO; ","")&amp;IF('[1]Precios componentes'!D93="Sin precio","KF78; ","")&amp;IF('[1]Precios componentes'!D95="Sin precio","KIA250; ","")&amp;IF('[1]Precios componentes'!D31="Sin precio","C1000R; ","")</f>
        <v/>
      </c>
    </row>
    <row r="44" spans="1:12" ht="22" customHeight="1">
      <c r="A44" s="1" t="s">
        <v>61</v>
      </c>
      <c r="B44" s="1" t="s">
        <v>18</v>
      </c>
      <c r="C44" s="1" t="s">
        <v>24</v>
      </c>
      <c r="D44" s="4">
        <f>IF(COUNTIFS([1]Desglose_BOM_Componentes!$B$4150:$B$4162,$A44,[1]Desglose_BOM_Componentes!$AE$4150:$AE$4162,"Sin precio",[1]Desglose_BOM_Componentes!$X$4150:$X$4162,"Formulación")&gt;0,"n.d.",SUMIFS([1]Desglose_BOM_Componentes!$AC$4150:$AC$4162,[1]Desglose_BOM_Componentes!$B$4150:$B$4162,$A44,[1]Desglose_BOM_Componentes!$X$4150:$X$4162,"Formulación"))</f>
        <v>0.56299700000000008</v>
      </c>
      <c r="E44" s="4">
        <f>IF(COUNTIFS([1]Desglose_BOM_Componentes!$B$4150:$B$4162,$A44,[1]Desglose_BOM_Componentes!$AE$4150:$AE$4162,"Sin precio",[1]Desglose_BOM_Componentes!$X$4150:$X$4162,"Empaquetado")&gt;0,"n.d.",SUMIFS([1]Desglose_BOM_Componentes!$AC$4150:$AC$4162,[1]Desglose_BOM_Componentes!$B$4150:$B$4162,$A44,[1]Desglose_BOM_Componentes!$X$4150:$X$4162,"Empaquetado"))</f>
        <v>0.19508731331430246</v>
      </c>
      <c r="F44" s="6">
        <f t="shared" si="3"/>
        <v>0.76228431331430246</v>
      </c>
      <c r="G44" s="4">
        <f>IF(COUNTIFS([1]Desglose_BOM_Componentes!$B$4150:$B$4162,$A44,[1]Desglose_BOM_Componentes!$AE$4150:$AE$4162,"Sin precio",[1]Desglose_BOM_Componentes!$X$4150:$X$4162,"Formulación")&gt;0,"n.d.",SUMIFS([1]Desglose_BOM_Componentes!$AD$4150:$AD$4162,[1]Desglose_BOM_Componentes!$B$4150:$B$4162,$A44,[1]Desglose_BOM_Componentes!$X$4150:$X$4162,"Formulación"))</f>
        <v>0.4902806666666667</v>
      </c>
      <c r="H44" s="4">
        <f>IF(COUNTIFS([1]Desglose_BOM_Componentes!$B$4150:$B$4162,$A44,[1]Desglose_BOM_Componentes!$AE$4150:$AE$4162,"Sin precio",[1]Desglose_BOM_Componentes!$X$4150:$X$4162,"Empaquetado")&gt;0,"n.d.",SUMIFS([1]Desglose_BOM_Componentes!$AD$4150:$AD$4162,[1]Desglose_BOM_Componentes!$B$4150:$B$4162,$A44,[1]Desglose_BOM_Componentes!$X$4150:$X$4162,"Empaquetado"))</f>
        <v>0.19508731331430246</v>
      </c>
      <c r="I44" s="6">
        <f t="shared" si="4"/>
        <v>0.68956797998096908</v>
      </c>
      <c r="J44" s="1" t="str">
        <f t="shared" si="0"/>
        <v>Completo</v>
      </c>
      <c r="K44" s="1">
        <f>COUNTIFS([1]Desglose_BOM_Componentes!$B$4150:$B$4162,$A44,[1]Desglose_BOM_Componentes!$AE$4150:$AE$4162,"Sin precio")</f>
        <v>0</v>
      </c>
      <c r="L44" s="1" t="str">
        <f>IF('[1]Precios componentes'!D80="Sin precio","GLI; ","")&amp;IF('[1]Precios componentes'!D72="Sin precio","FMA; ","")&amp;IF('[1]Precios componentes'!D109="Sin precio","NAM; ","")&amp;IF('[1]Precios componentes'!D103="Sin precio","LIGNOAM; ","")&amp;IF('[1]Precios componentes'!D93="Sin precio","KF78; ","")&amp;IF('[1]Precios componentes'!D155="Sin precio","UREL; ","")&amp;IF('[1]Precios componentes'!D76="Sin precio","FOI;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45" spans="1:12" ht="22" customHeight="1">
      <c r="A45" s="1" t="s">
        <v>62</v>
      </c>
      <c r="B45" s="1" t="s">
        <v>18</v>
      </c>
      <c r="C45" s="1" t="s">
        <v>15</v>
      </c>
      <c r="D45" s="4">
        <f>IF(COUNTIFS([1]Desglose_BOM_Componentes!$B$4533:$B$4542,$A45,[1]Desglose_BOM_Componentes!$AE$4533:$AE$4542,"Sin precio",[1]Desglose_BOM_Componentes!$X$4533:$X$4542,"Formulación")&gt;0,"n.d.",SUMIFS([1]Desglose_BOM_Componentes!$AC$4533:$AC$4542,[1]Desglose_BOM_Componentes!$B$4533:$B$4542,$A45,[1]Desglose_BOM_Componentes!$X$4533:$X$4542,"Formulación"))</f>
        <v>3.7584557377049181</v>
      </c>
      <c r="E45" s="4">
        <f>IF(COUNTIFS([1]Desglose_BOM_Componentes!$B$4533:$B$4542,$A45,[1]Desglose_BOM_Componentes!$AE$4533:$AE$4542,"Sin precio",[1]Desglose_BOM_Componentes!$X$4533:$X$4542,"Empaquetado")&gt;0,"n.d.",SUMIFS([1]Desglose_BOM_Componentes!$AC$4533:$AC$4542,[1]Desglose_BOM_Componentes!$B$4533:$B$4542,$A45,[1]Desglose_BOM_Componentes!$X$4533:$X$4542,"Empaquetado"))</f>
        <v>6.994759378174159E-2</v>
      </c>
      <c r="F45" s="6">
        <f t="shared" si="3"/>
        <v>3.8326033314866597</v>
      </c>
      <c r="G45" s="4">
        <f>IF(COUNTIFS([1]Desglose_BOM_Componentes!$B$4533:$B$4542,$A45,[1]Desglose_BOM_Componentes!$AE$4533:$AE$4542,"Sin precio",[1]Desglose_BOM_Componentes!$X$4533:$X$4542,"Formulación")&gt;0,"n.d.",SUMIFS([1]Desglose_BOM_Componentes!$AD$4533:$AD$4542,[1]Desglose_BOM_Componentes!$B$4533:$B$4542,$A45,[1]Desglose_BOM_Componentes!$X$4533:$X$4542,"Formulación"))</f>
        <v>3.6891497377049176</v>
      </c>
      <c r="H45" s="4">
        <f>IF(COUNTIFS([1]Desglose_BOM_Componentes!$B$4533:$B$4542,$A45,[1]Desglose_BOM_Componentes!$AE$4533:$AE$4542,"Sin precio",[1]Desglose_BOM_Componentes!$X$4533:$X$4542,"Empaquetado")&gt;0,"n.d.",SUMIFS([1]Desglose_BOM_Componentes!$AD$4533:$AD$4542,[1]Desglose_BOM_Componentes!$B$4533:$B$4542,$A45,[1]Desglose_BOM_Componentes!$X$4533:$X$4542,"Empaquetado"))</f>
        <v>6.994759378174159E-2</v>
      </c>
      <c r="I45" s="6">
        <f t="shared" si="4"/>
        <v>3.7632973314866591</v>
      </c>
      <c r="J45" s="1" t="str">
        <f t="shared" si="0"/>
        <v>Completo</v>
      </c>
      <c r="K45" s="1">
        <f>COUNTIFS([1]Desglose_BOM_Componentes!$B$4533:$B$4542,$A45,[1]Desglose_BOM_Componentes!$AE$4533:$AE$4542,"Sin precio")</f>
        <v>0</v>
      </c>
      <c r="L45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componentes'!D31="Sin precio","C1000R; ","")&amp;IF('[1]Precios componentes'!D95="Sin precio","KIA250; ","")</f>
        <v/>
      </c>
    </row>
    <row r="46" spans="1:12" ht="22" customHeight="1">
      <c r="A46" s="1" t="s">
        <v>63</v>
      </c>
      <c r="B46" s="1" t="s">
        <v>18</v>
      </c>
      <c r="C46" s="1" t="s">
        <v>24</v>
      </c>
      <c r="D46" s="4">
        <f>IF(COUNTIFS([1]Desglose_BOM_Componentes!$B$4568:$B$4580,$A46,[1]Desglose_BOM_Componentes!$AE$4568:$AE$4580,"Sin precio",[1]Desglose_BOM_Componentes!$X$4568:$X$4580,"Formulación")&gt;0,"n.d.",SUMIFS([1]Desglose_BOM_Componentes!$AC$4568:$AC$4580,[1]Desglose_BOM_Componentes!$B$4568:$B$4580,$A46,[1]Desglose_BOM_Componentes!$X$4568:$X$4580,"Formulación"))</f>
        <v>0.38573825</v>
      </c>
      <c r="E46" s="4">
        <f>IF(COUNTIFS([1]Desglose_BOM_Componentes!$B$4568:$B$4580,$A46,[1]Desglose_BOM_Componentes!$AE$4568:$AE$4580,"Sin precio",[1]Desglose_BOM_Componentes!$X$4568:$X$4580,"Empaquetado")&gt;0,"n.d.",SUMIFS([1]Desglose_BOM_Componentes!$AC$4568:$AC$4580,[1]Desglose_BOM_Componentes!$B$4568:$B$4580,$A46,[1]Desglose_BOM_Componentes!$X$4568:$X$4580,"Empaquetado"))</f>
        <v>0.19508731331430246</v>
      </c>
      <c r="F46" s="6">
        <f t="shared" si="3"/>
        <v>0.58502556331430244</v>
      </c>
      <c r="G46" s="4">
        <f>IF(COUNTIFS([1]Desglose_BOM_Componentes!$B$4568:$B$4580,$A46,[1]Desglose_BOM_Componentes!$AE$4568:$AE$4580,"Sin precio",[1]Desglose_BOM_Componentes!$X$4568:$X$4580,"Formulación")&gt;0,"n.d.",SUMIFS([1]Desglose_BOM_Componentes!$AD$4568:$AD$4580,[1]Desglose_BOM_Componentes!$B$4568:$B$4580,$A46,[1]Desglose_BOM_Componentes!$X$4568:$X$4580,"Formulación"))</f>
        <v>0.35682741666666673</v>
      </c>
      <c r="H46" s="4">
        <f>IF(COUNTIFS([1]Desglose_BOM_Componentes!$B$4568:$B$4580,$A46,[1]Desglose_BOM_Componentes!$AE$4568:$AE$4580,"Sin precio",[1]Desglose_BOM_Componentes!$X$4568:$X$4580,"Empaquetado")&gt;0,"n.d.",SUMIFS([1]Desglose_BOM_Componentes!$AD$4568:$AD$4580,[1]Desglose_BOM_Componentes!$B$4568:$B$4580,$A46,[1]Desglose_BOM_Componentes!$X$4568:$X$4580,"Empaquetado"))</f>
        <v>0.19508731331430246</v>
      </c>
      <c r="I46" s="6">
        <f t="shared" si="4"/>
        <v>0.55611472998096922</v>
      </c>
      <c r="J46" s="1" t="str">
        <f t="shared" si="0"/>
        <v>Completo</v>
      </c>
      <c r="K46" s="1">
        <f>COUNTIFS([1]Desglose_BOM_Componentes!$B$4568:$B$4580,$A46,[1]Desglose_BOM_Componentes!$AE$4568:$AE$4580,"Sin precio")</f>
        <v>0</v>
      </c>
      <c r="L46" s="1" t="str">
        <f>IF('[1]Precios componentes'!D13="Sin precio","AMO; ","")&amp;IF('[1]Precios componentes'!D111="Sin precio","NCAL; ","")&amp;IF('[1]Precios componentes'!D26="Sin precio","BOCAL; ","")&amp;IF('[1]Precios componentes'!D112="Sin precio","NMGL; ","")&amp;IF('[1]Precios componentes'!D93="Sin precio","KF78; ","")&amp;IF('[1]Precios componentes'!D121="Sin precio","RAD; ","")&amp;IF('[1]Precios componentes'!D79="Sin precio","GLBE;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47" spans="1:12" ht="22" customHeight="1">
      <c r="A47" s="1" t="s">
        <v>64</v>
      </c>
      <c r="B47" s="1" t="s">
        <v>18</v>
      </c>
      <c r="C47" s="1" t="s">
        <v>24</v>
      </c>
      <c r="D47" s="4">
        <f>IF(COUNTIFS([1]Desglose_BOM_Componentes!$B$4581:$B$4589,$A47,[1]Desglose_BOM_Componentes!$AE$4581:$AE$4589,"Sin precio",[1]Desglose_BOM_Componentes!$X$4581:$X$4589,"Formulación")&gt;0,"n.d.",SUMIFS([1]Desglose_BOM_Componentes!$AC$4581:$AC$4589,[1]Desglose_BOM_Componentes!$B$4581:$B$4589,$A47,[1]Desglose_BOM_Componentes!$X$4581:$X$4589,"Formulación"))</f>
        <v>0.38573825</v>
      </c>
      <c r="E47" s="4">
        <f>IF(COUNTIFS([1]Desglose_BOM_Componentes!$B$4581:$B$4589,$A47,[1]Desglose_BOM_Componentes!$AE$4581:$AE$4589,"Sin precio",[1]Desglose_BOM_Componentes!$X$4581:$X$4589,"Empaquetado")&gt;0,"n.d.",SUMIFS([1]Desglose_BOM_Componentes!$AC$4581:$AC$4589,[1]Desglose_BOM_Componentes!$B$4581:$B$4589,$A47,[1]Desglose_BOM_Componentes!$X$4581:$X$4589,"Empaquetado"))</f>
        <v>0.11710143993558776</v>
      </c>
      <c r="F47" s="6">
        <f t="shared" si="3"/>
        <v>0.50703968993558779</v>
      </c>
      <c r="G47" s="4">
        <f>IF(COUNTIFS([1]Desglose_BOM_Componentes!$B$4581:$B$4589,$A47,[1]Desglose_BOM_Componentes!$AE$4581:$AE$4589,"Sin precio",[1]Desglose_BOM_Componentes!$X$4581:$X$4589,"Formulación")&gt;0,"n.d.",SUMIFS([1]Desglose_BOM_Componentes!$AD$4581:$AD$4589,[1]Desglose_BOM_Componentes!$B$4581:$B$4589,$A47,[1]Desglose_BOM_Componentes!$X$4581:$X$4589,"Formulación"))</f>
        <v>0.35682741666666673</v>
      </c>
      <c r="H47" s="4">
        <f>IF(COUNTIFS([1]Desglose_BOM_Componentes!$B$4581:$B$4589,$A47,[1]Desglose_BOM_Componentes!$AE$4581:$AE$4589,"Sin precio",[1]Desglose_BOM_Componentes!$X$4581:$X$4589,"Empaquetado")&gt;0,"n.d.",SUMIFS([1]Desglose_BOM_Componentes!$AD$4581:$AD$4589,[1]Desglose_BOM_Componentes!$B$4581:$B$4589,$A47,[1]Desglose_BOM_Componentes!$X$4581:$X$4589,"Empaquetado"))</f>
        <v>0.11710143993558776</v>
      </c>
      <c r="I47" s="6">
        <f t="shared" si="4"/>
        <v>0.47812885660225446</v>
      </c>
      <c r="J47" s="1" t="str">
        <f t="shared" si="0"/>
        <v>Completo</v>
      </c>
      <c r="K47" s="1">
        <f>COUNTIFS([1]Desglose_BOM_Componentes!$B$4581:$B$4589,$A47,[1]Desglose_BOM_Componentes!$AE$4581:$AE$4589,"Sin precio")</f>
        <v>0</v>
      </c>
      <c r="L47" s="1" t="str">
        <f>IF('[1]Precios componentes'!D13="Sin precio","AMO; ","")&amp;IF('[1]Precios componentes'!D111="Sin precio","NCAL; ","")&amp;IF('[1]Precios componentes'!D26="Sin precio","BOCAL; ","")&amp;IF('[1]Precios componentes'!D112="Sin precio","NMGL; ","")&amp;IF('[1]Precios componentes'!D93="Sin precio","KF78; ","")&amp;IF('[1]Precios componentes'!D121="Sin precio","RAD; ","")&amp;IF('[1]Precios componentes'!D79="Sin precio","GLBE; ","")&amp;IF('[1]Precios componentes'!D30="Sin precio","C1000; ","")&amp;IF('[1]Precios componentes'!D95="Sin precio","KIA250; ","")</f>
        <v/>
      </c>
    </row>
    <row r="48" spans="1:12" ht="22" customHeight="1">
      <c r="A48" s="1" t="s">
        <v>65</v>
      </c>
      <c r="B48" s="1" t="s">
        <v>18</v>
      </c>
      <c r="C48" s="1" t="s">
        <v>19</v>
      </c>
      <c r="D48" s="4">
        <f>IF(COUNTIFS([1]Desglose_BOM_Componentes!$B$4641:$B$4649,$A48,[1]Desglose_BOM_Componentes!$AE$4641:$AE$4649,"Sin precio",[1]Desglose_BOM_Componentes!$X$4641:$X$4649,"Formulación")&gt;0,"n.d.",SUMIFS([1]Desglose_BOM_Componentes!$AC$4641:$AC$4649,[1]Desglose_BOM_Componentes!$B$4641:$B$4649,$A48,[1]Desglose_BOM_Componentes!$X$4641:$X$4649,"Formulación"))</f>
        <v>5.3365</v>
      </c>
      <c r="E48" s="4">
        <f>IF(COUNTIFS([1]Desglose_BOM_Componentes!$B$4641:$B$4649,$A48,[1]Desglose_BOM_Componentes!$AE$4641:$AE$4649,"Sin precio",[1]Desglose_BOM_Componentes!$X$4641:$X$4649,"Empaquetado")&gt;0,"n.d.",SUMIFS([1]Desglose_BOM_Componentes!$AC$4641:$AC$4649,[1]Desglose_BOM_Componentes!$B$4641:$B$4649,$A48,[1]Desglose_BOM_Componentes!$X$4641:$X$4649,"Empaquetado"))</f>
        <v>0.19508731331430246</v>
      </c>
      <c r="F48" s="6">
        <f t="shared" si="3"/>
        <v>5.5357873133143025</v>
      </c>
      <c r="G48" s="4">
        <f>IF(COUNTIFS([1]Desglose_BOM_Componentes!$B$4641:$B$4649,$A48,[1]Desglose_BOM_Componentes!$AE$4641:$AE$4649,"Sin precio",[1]Desglose_BOM_Componentes!$X$4641:$X$4649,"Formulación")&gt;0,"n.d.",SUMIFS([1]Desglose_BOM_Componentes!$AD$4641:$AD$4649,[1]Desglose_BOM_Componentes!$B$4641:$B$4649,$A48,[1]Desglose_BOM_Componentes!$X$4641:$X$4649,"Formulación"))</f>
        <v>5.2797400000000003</v>
      </c>
      <c r="H48" s="4">
        <f>IF(COUNTIFS([1]Desglose_BOM_Componentes!$B$4641:$B$4649,$A48,[1]Desglose_BOM_Componentes!$AE$4641:$AE$4649,"Sin precio",[1]Desglose_BOM_Componentes!$X$4641:$X$4649,"Empaquetado")&gt;0,"n.d.",SUMIFS([1]Desglose_BOM_Componentes!$AD$4641:$AD$4649,[1]Desglose_BOM_Componentes!$B$4641:$B$4649,$A48,[1]Desglose_BOM_Componentes!$X$4641:$X$4649,"Empaquetado"))</f>
        <v>0.19508731331430246</v>
      </c>
      <c r="I48" s="6">
        <f t="shared" si="4"/>
        <v>5.4790273133143028</v>
      </c>
      <c r="J48" s="1" t="str">
        <f t="shared" si="0"/>
        <v>Completo</v>
      </c>
      <c r="K48" s="1">
        <f>COUNTIFS([1]Desglose_BOM_Componentes!$B$4641:$B$4649,$A48,[1]Desglose_BOM_Componentes!$AE$4641:$AE$4649,"Sin precio")</f>
        <v>0</v>
      </c>
      <c r="L48" s="1" t="str">
        <f>IF('[1]Precios componentes'!D140="Sin precio","SPR; ","")&amp;IF('[1]Precios componentes'!D46="Sin precio","CMN; ","")&amp;IF('[1]Precios componentes'!D50="Sin precio","CZN;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49" spans="1:12" ht="22" customHeight="1">
      <c r="A49" s="1" t="s">
        <v>66</v>
      </c>
      <c r="B49" s="1" t="s">
        <v>18</v>
      </c>
      <c r="C49" s="1" t="s">
        <v>19</v>
      </c>
      <c r="D49" s="4">
        <f>IF(COUNTIFS([1]Desglose_BOM_Componentes!$B$4650:$B$4654,$A49,[1]Desglose_BOM_Componentes!$AE$4650:$AE$4654,"Sin precio",[1]Desglose_BOM_Componentes!$X$4650:$X$4654,"Formulación")&gt;0,"n.d.",SUMIFS([1]Desglose_BOM_Componentes!$AC$4650:$AC$4654,[1]Desglose_BOM_Componentes!$B$4650:$B$4654,$A49,[1]Desglose_BOM_Componentes!$X$4650:$X$4654,"Formulación"))</f>
        <v>5.3365</v>
      </c>
      <c r="E49" s="4">
        <f>IF(COUNTIFS([1]Desglose_BOM_Componentes!$B$4650:$B$4654,$A49,[1]Desglose_BOM_Componentes!$AE$4650:$AE$4654,"Sin precio",[1]Desglose_BOM_Componentes!$X$4650:$X$4654,"Empaquetado")&gt;0,"n.d.",SUMIFS([1]Desglose_BOM_Componentes!$AC$4650:$AC$4654,[1]Desglose_BOM_Componentes!$B$4650:$B$4654,$A49,[1]Desglose_BOM_Componentes!$X$4650:$X$4654,"Empaquetado"))</f>
        <v>6.9934843791806006E-2</v>
      </c>
      <c r="F49" s="6">
        <f t="shared" si="3"/>
        <v>5.4106348437918061</v>
      </c>
      <c r="G49" s="4">
        <f>IF(COUNTIFS([1]Desglose_BOM_Componentes!$B$4650:$B$4654,$A49,[1]Desglose_BOM_Componentes!$AE$4650:$AE$4654,"Sin precio",[1]Desglose_BOM_Componentes!$X$4650:$X$4654,"Formulación")&gt;0,"n.d.",SUMIFS([1]Desglose_BOM_Componentes!$AD$4650:$AD$4654,[1]Desglose_BOM_Componentes!$B$4650:$B$4654,$A49,[1]Desglose_BOM_Componentes!$X$4650:$X$4654,"Formulación"))</f>
        <v>5.2797400000000003</v>
      </c>
      <c r="H49" s="4">
        <f>IF(COUNTIFS([1]Desglose_BOM_Componentes!$B$4650:$B$4654,$A49,[1]Desglose_BOM_Componentes!$AE$4650:$AE$4654,"Sin precio",[1]Desglose_BOM_Componentes!$X$4650:$X$4654,"Empaquetado")&gt;0,"n.d.",SUMIFS([1]Desglose_BOM_Componentes!$AD$4650:$AD$4654,[1]Desglose_BOM_Componentes!$B$4650:$B$4654,$A49,[1]Desglose_BOM_Componentes!$X$4650:$X$4654,"Empaquetado"))</f>
        <v>6.9934843791806006E-2</v>
      </c>
      <c r="I49" s="6">
        <f t="shared" si="4"/>
        <v>5.3538748437918064</v>
      </c>
      <c r="J49" s="1" t="str">
        <f t="shared" si="0"/>
        <v>Completo</v>
      </c>
      <c r="K49" s="1">
        <f>COUNTIFS([1]Desglose_BOM_Componentes!$B$4650:$B$4654,$A49,[1]Desglose_BOM_Componentes!$AE$4650:$AE$4654,"Sin precio")</f>
        <v>0</v>
      </c>
      <c r="L49" s="1" t="str">
        <f>IF('[1]Precios componentes'!D140="Sin precio","SPR; ","")&amp;IF('[1]Precios componentes'!D46="Sin precio","CMN; ","")&amp;IF('[1]Precios componentes'!D50="Sin precio","CZN; ","")&amp;IF('[1]Precios componentes'!D31="Sin precio","C1000R; ","")&amp;IF('[1]Precios componentes'!D94="Sin precio","KIA220; ","")</f>
        <v/>
      </c>
    </row>
    <row r="50" spans="1:12" ht="22" customHeight="1">
      <c r="A50" s="1" t="s">
        <v>67</v>
      </c>
      <c r="B50" s="1" t="s">
        <v>68</v>
      </c>
      <c r="C50" s="1" t="s">
        <v>69</v>
      </c>
      <c r="D50" s="4">
        <f>IF(COUNTIFS([1]Desglose_BOM_Componentes!$B$2:$B$11,$A50,[1]Desglose_BOM_Componentes!$AE$2:$AE$11,"Sin precio",[1]Desglose_BOM_Componentes!$X$2:$X$11,"Formulación")&gt;0,"n.d.",SUMIFS([1]Desglose_BOM_Componentes!$AC$2:$AC$11,[1]Desglose_BOM_Componentes!$B$2:$B$11,$A50,[1]Desglose_BOM_Componentes!$X$2:$X$11,"Formulación"))</f>
        <v>1.7330000000000003</v>
      </c>
      <c r="E50" s="4">
        <f>IF(COUNTIFS([1]Desglose_BOM_Componentes!$B$2:$B$11,$A50,[1]Desglose_BOM_Componentes!$AE$2:$AE$11,"Sin precio",[1]Desglose_BOM_Componentes!$X$2:$X$11,"Empaquetado")&gt;0,"n.d.",SUMIFS([1]Desglose_BOM_Componentes!$AC$2:$AC$11,[1]Desglose_BOM_Componentes!$B$2:$B$11,$A50,[1]Desglose_BOM_Componentes!$X$2:$X$11,"Empaquetado"))</f>
        <v>0.11447974551105042</v>
      </c>
      <c r="F50" s="6">
        <f t="shared" ref="F50:F67" si="5">IF(K50&gt;0,"n.d.",SUM(D50:E50))</f>
        <v>1.8474797455110508</v>
      </c>
      <c r="G50" s="4">
        <f>IF(COUNTIFS([1]Desglose_BOM_Componentes!$B$2:$B$11,$A50,[1]Desglose_BOM_Componentes!$AE$2:$AE$11,"Sin precio",[1]Desglose_BOM_Componentes!$X$2:$X$11,"Formulación")&gt;0,"n.d.",SUMIFS([1]Desglose_BOM_Componentes!$AD$2:$AD$11,[1]Desglose_BOM_Componentes!$B$2:$B$11,$A50,[1]Desglose_BOM_Componentes!$X$2:$X$11,"Formulación"))</f>
        <v>1.62809</v>
      </c>
      <c r="H50" s="4">
        <f>IF(COUNTIFS([1]Desglose_BOM_Componentes!$B$2:$B$11,$A50,[1]Desglose_BOM_Componentes!$AE$2:$AE$11,"Sin precio",[1]Desglose_BOM_Componentes!$X$2:$X$11,"Empaquetado")&gt;0,"n.d.",SUMIFS([1]Desglose_BOM_Componentes!$AD$2:$AD$11,[1]Desglose_BOM_Componentes!$B$2:$B$11,$A50,[1]Desglose_BOM_Componentes!$X$2:$X$11,"Empaquetado"))</f>
        <v>0.11447974551105042</v>
      </c>
      <c r="I50" s="6">
        <f t="shared" ref="I50:I67" si="6">IF(K50&gt;0,"n.d.",SUM(G50:H50))</f>
        <v>1.7425697455110505</v>
      </c>
      <c r="J50" s="1" t="str">
        <f t="shared" si="0"/>
        <v>Completo</v>
      </c>
      <c r="K50" s="1">
        <f>COUNTIFS([1]Desglose_BOM_Componentes!$B$2:$B$11,$A50,[1]Desglose_BOM_Componentes!$AE$2:$AE$11,"Sin precio")</f>
        <v>0</v>
      </c>
      <c r="L50" s="1" t="str">
        <f>IF('[1]Precios componentes'!D80="Sin precio","GLI; ","")&amp;IF('[1]Precios componentes'!D73="Sin precio","FMP; ","")&amp;IF('[1]Precios componentes'!D113="Sin precio","NPO; ","")&amp;IF('[1]Precios componentes'!D72="Sin precio","FMA; ","")&amp;IF('[1]Precios componentes'!D33="Sin precio","C1L; ","")&amp;IF('[1]Precios componentes'!D94="Sin precio","KIA220; ","")&amp;IF('[1]Precios componentes'!D70="Sin precio","ETQVP165; ","")&amp;IF('[1]Precios componentes'!D115="Sin precio","PAL; ","")&amp;IF('[1]Precios componentes'!D134="Sin precio","SOBRE 1L; ","")&amp;IF('[1]Precios componentes'!D129="Sin precio","SEP; ","")</f>
        <v/>
      </c>
    </row>
    <row r="51" spans="1:12" ht="22" customHeight="1">
      <c r="A51" s="1" t="s">
        <v>70</v>
      </c>
      <c r="B51" s="1" t="s">
        <v>68</v>
      </c>
      <c r="C51" s="1" t="s">
        <v>71</v>
      </c>
      <c r="D51" s="4">
        <f>IF(COUNTIFS([1]Desglose_BOM_Componentes!$B$12:$B$21,$A51,[1]Desglose_BOM_Componentes!$AE$12:$AE$21,"Sin precio",[1]Desglose_BOM_Componentes!$X$12:$X$21,"Formulación")&gt;0,"n.d.",SUMIFS([1]Desglose_BOM_Componentes!$AC$12:$AC$21,[1]Desglose_BOM_Componentes!$B$12:$B$21,$A51,[1]Desglose_BOM_Componentes!$X$12:$X$21,"Formulación"))</f>
        <v>1.7330000000000003</v>
      </c>
      <c r="E51" s="4">
        <f>IF(COUNTIFS([1]Desglose_BOM_Componentes!$B$12:$B$21,$A51,[1]Desglose_BOM_Componentes!$AE$12:$AE$21,"Sin precio",[1]Desglose_BOM_Componentes!$X$12:$X$21,"Empaquetado")&gt;0,"n.d.",SUMIFS([1]Desglose_BOM_Componentes!$AC$12:$AC$21,[1]Desglose_BOM_Componentes!$B$12:$B$21,$A51,[1]Desglose_BOM_Componentes!$X$12:$X$21,"Empaquetado"))</f>
        <v>0.11447974551105042</v>
      </c>
      <c r="F51" s="6">
        <f t="shared" si="5"/>
        <v>1.8474797455110508</v>
      </c>
      <c r="G51" s="4">
        <f>IF(COUNTIFS([1]Desglose_BOM_Componentes!$B$12:$B$21,$A51,[1]Desglose_BOM_Componentes!$AE$12:$AE$21,"Sin precio",[1]Desglose_BOM_Componentes!$X$12:$X$21,"Formulación")&gt;0,"n.d.",SUMIFS([1]Desglose_BOM_Componentes!$AD$12:$AD$21,[1]Desglose_BOM_Componentes!$B$12:$B$21,$A51,[1]Desglose_BOM_Componentes!$X$12:$X$21,"Formulación"))</f>
        <v>1.62809</v>
      </c>
      <c r="H51" s="4">
        <f>IF(COUNTIFS([1]Desglose_BOM_Componentes!$B$12:$B$21,$A51,[1]Desglose_BOM_Componentes!$AE$12:$AE$21,"Sin precio",[1]Desglose_BOM_Componentes!$X$12:$X$21,"Empaquetado")&gt;0,"n.d.",SUMIFS([1]Desglose_BOM_Componentes!$AD$12:$AD$21,[1]Desglose_BOM_Componentes!$B$12:$B$21,$A51,[1]Desglose_BOM_Componentes!$X$12:$X$21,"Empaquetado"))</f>
        <v>0.11447974551105042</v>
      </c>
      <c r="I51" s="6">
        <f t="shared" si="6"/>
        <v>1.7425697455110505</v>
      </c>
      <c r="J51" s="1" t="str">
        <f t="shared" si="0"/>
        <v>Completo</v>
      </c>
      <c r="K51" s="1">
        <f>COUNTIFS([1]Desglose_BOM_Componentes!$B$12:$B$21,$A51,[1]Desglose_BOM_Componentes!$AE$12:$AE$21,"Sin precio")</f>
        <v>0</v>
      </c>
      <c r="L51" s="1" t="str">
        <f>IF('[1]Precios componentes'!D80="Sin precio","GLI; ","")&amp;IF('[1]Precios componentes'!D73="Sin precio","FMP; ","")&amp;IF('[1]Precios componentes'!D113="Sin precio","NPO; ","")&amp;IF('[1]Precios componentes'!D72="Sin precio","FMA; ","")&amp;IF('[1]Precios componentes'!D33="Sin precio","C1L; ","")&amp;IF('[1]Precios componentes'!D94="Sin precio","KIA220; ","")&amp;IF('[1]Precios componentes'!D70="Sin precio","ETQVP165; ","")&amp;IF('[1]Precios componentes'!D115="Sin precio","PAL; ","")&amp;IF('[1]Precios componentes'!D134="Sin precio","SOBRE 1L; ","")&amp;IF('[1]Precios componentes'!D129="Sin precio","SEP; ","")</f>
        <v/>
      </c>
    </row>
    <row r="52" spans="1:12" ht="22" customHeight="1">
      <c r="A52" s="1" t="s">
        <v>72</v>
      </c>
      <c r="B52" s="1" t="s">
        <v>68</v>
      </c>
      <c r="C52" s="1" t="s">
        <v>24</v>
      </c>
      <c r="D52" s="4">
        <f>IF(COUNTIFS([1]Desglose_BOM_Componentes!$B$22:$B$31,$A52,[1]Desglose_BOM_Componentes!$AE$22:$AE$31,"Sin precio",[1]Desglose_BOM_Componentes!$X$22:$X$31,"Formulación")&gt;0,"n.d.",SUMIFS([1]Desglose_BOM_Componentes!$AC$22:$AC$31,[1]Desglose_BOM_Componentes!$B$22:$B$31,$A52,[1]Desglose_BOM_Componentes!$X$22:$X$31,"Formulación"))</f>
        <v>1.7330000000000003</v>
      </c>
      <c r="E52" s="4">
        <f>IF(COUNTIFS([1]Desglose_BOM_Componentes!$B$22:$B$31,$A52,[1]Desglose_BOM_Componentes!$AE$22:$AE$31,"Sin precio",[1]Desglose_BOM_Componentes!$X$22:$X$31,"Empaquetado")&gt;0,"n.d.",SUMIFS([1]Desglose_BOM_Componentes!$AC$22:$AC$31,[1]Desglose_BOM_Componentes!$B$22:$B$31,$A52,[1]Desglose_BOM_Componentes!$X$22:$X$31,"Empaquetado"))</f>
        <v>0.10098533439422742</v>
      </c>
      <c r="F52" s="6">
        <f t="shared" si="5"/>
        <v>1.8339853343942278</v>
      </c>
      <c r="G52" s="4">
        <f>IF(COUNTIFS([1]Desglose_BOM_Componentes!$B$22:$B$31,$A52,[1]Desglose_BOM_Componentes!$AE$22:$AE$31,"Sin precio",[1]Desglose_BOM_Componentes!$X$22:$X$31,"Formulación")&gt;0,"n.d.",SUMIFS([1]Desglose_BOM_Componentes!$AD$22:$AD$31,[1]Desglose_BOM_Componentes!$B$22:$B$31,$A52,[1]Desglose_BOM_Componentes!$X$22:$X$31,"Formulación"))</f>
        <v>1.62809</v>
      </c>
      <c r="H52" s="4">
        <f>IF(COUNTIFS([1]Desglose_BOM_Componentes!$B$22:$B$31,$A52,[1]Desglose_BOM_Componentes!$AE$22:$AE$31,"Sin precio",[1]Desglose_BOM_Componentes!$X$22:$X$31,"Empaquetado")&gt;0,"n.d.",SUMIFS([1]Desglose_BOM_Componentes!$AD$22:$AD$31,[1]Desglose_BOM_Componentes!$B$22:$B$31,$A52,[1]Desglose_BOM_Componentes!$X$22:$X$31,"Empaquetado"))</f>
        <v>0.10098533439422742</v>
      </c>
      <c r="I52" s="6">
        <f t="shared" si="6"/>
        <v>1.7290753343942276</v>
      </c>
      <c r="J52" s="1" t="str">
        <f t="shared" si="0"/>
        <v>Completo</v>
      </c>
      <c r="K52" s="1">
        <f>COUNTIFS([1]Desglose_BOM_Componentes!$B$22:$B$31,$A52,[1]Desglose_BOM_Componentes!$AE$22:$AE$31,"Sin precio")</f>
        <v>0</v>
      </c>
      <c r="L52" s="1" t="str">
        <f>IF('[1]Precios componentes'!D80="Sin precio","GLI; ","")&amp;IF('[1]Precios componentes'!D73="Sin precio","FMP; ","")&amp;IF('[1]Precios componentes'!D113="Sin precio","NPO; ","")&amp;IF('[1]Precios componentes'!D72="Sin precio","FMA; ","")&amp;IF('[1]Precios componentes'!D129="Sin precio","SEP; ","")&amp;IF('[1]Precios componentes'!D115="Sin precio","PAL; ","")&amp;IF('[1]Precios componentes'!D137="Sin precio","SOBRE 5L; ","")&amp;IF('[1]Precios componentes'!D100="Sin precio","LAMLOT2; ","")&amp;IF('[1]Precios componentes'!D94="Sin precio","KIA220; ","")&amp;IF('[1]Precios componentes'!D34="Sin precio","CAG; ","")</f>
        <v/>
      </c>
    </row>
    <row r="53" spans="1:12" ht="22" customHeight="1">
      <c r="A53" s="1" t="s">
        <v>73</v>
      </c>
      <c r="B53" s="1" t="s">
        <v>68</v>
      </c>
      <c r="C53" s="1" t="s">
        <v>26</v>
      </c>
      <c r="D53" s="4">
        <f>IF(COUNTIFS([1]Desglose_BOM_Componentes!$B$32:$B$41,$A53,[1]Desglose_BOM_Componentes!$AE$32:$AE$41,"Sin precio",[1]Desglose_BOM_Componentes!$X$32:$X$41,"Formulación")&gt;0,"n.d.",SUMIFS([1]Desglose_BOM_Componentes!$AC$32:$AC$41,[1]Desglose_BOM_Componentes!$B$32:$B$41,$A53,[1]Desglose_BOM_Componentes!$X$32:$X$41,"Formulación"))</f>
        <v>1.7330000000000003</v>
      </c>
      <c r="E53" s="4">
        <f>IF(COUNTIFS([1]Desglose_BOM_Componentes!$B$32:$B$41,$A53,[1]Desglose_BOM_Componentes!$AE$32:$AE$41,"Sin precio",[1]Desglose_BOM_Componentes!$X$32:$X$41,"Empaquetado")&gt;0,"n.d.",SUMIFS([1]Desglose_BOM_Componentes!$AC$32:$AC$41,[1]Desglose_BOM_Componentes!$B$32:$B$41,$A53,[1]Desglose_BOM_Componentes!$X$32:$X$41,"Empaquetado"))</f>
        <v>0.10098533439422742</v>
      </c>
      <c r="F53" s="6">
        <f t="shared" si="5"/>
        <v>1.8339853343942278</v>
      </c>
      <c r="G53" s="4">
        <f>IF(COUNTIFS([1]Desglose_BOM_Componentes!$B$32:$B$41,$A53,[1]Desglose_BOM_Componentes!$AE$32:$AE$41,"Sin precio",[1]Desglose_BOM_Componentes!$X$32:$X$41,"Formulación")&gt;0,"n.d.",SUMIFS([1]Desglose_BOM_Componentes!$AD$32:$AD$41,[1]Desglose_BOM_Componentes!$B$32:$B$41,$A53,[1]Desglose_BOM_Componentes!$X$32:$X$41,"Formulación"))</f>
        <v>1.62809</v>
      </c>
      <c r="H53" s="4">
        <f>IF(COUNTIFS([1]Desglose_BOM_Componentes!$B$32:$B$41,$A53,[1]Desglose_BOM_Componentes!$AE$32:$AE$41,"Sin precio",[1]Desglose_BOM_Componentes!$X$32:$X$41,"Empaquetado")&gt;0,"n.d.",SUMIFS([1]Desglose_BOM_Componentes!$AD$32:$AD$41,[1]Desglose_BOM_Componentes!$B$32:$B$41,$A53,[1]Desglose_BOM_Componentes!$X$32:$X$41,"Empaquetado"))</f>
        <v>0.10098533439422742</v>
      </c>
      <c r="I53" s="6">
        <f t="shared" si="6"/>
        <v>1.7290753343942276</v>
      </c>
      <c r="J53" s="1" t="str">
        <f t="shared" si="0"/>
        <v>Completo</v>
      </c>
      <c r="K53" s="1">
        <f>COUNTIFS([1]Desglose_BOM_Componentes!$B$32:$B$41,$A53,[1]Desglose_BOM_Componentes!$AE$32:$AE$41,"Sin precio")</f>
        <v>0</v>
      </c>
      <c r="L53" s="1" t="str">
        <f>IF('[1]Precios componentes'!D80="Sin precio","GLI; ","")&amp;IF('[1]Precios componentes'!D73="Sin precio","FMP; ","")&amp;IF('[1]Precios componentes'!D113="Sin precio","NPO; ","")&amp;IF('[1]Precios componentes'!D72="Sin precio","FMA; ","")&amp;IF('[1]Precios componentes'!D129="Sin precio","SEP; ","")&amp;IF('[1]Precios componentes'!D115="Sin precio","PAL; ","")&amp;IF('[1]Precios componentes'!D137="Sin precio","SOBRE 5L; ","")&amp;IF('[1]Precios componentes'!D100="Sin precio","LAMLOT2; ","")&amp;IF('[1]Precios componentes'!D94="Sin precio","KIA220; ","")&amp;IF('[1]Precios componentes'!D34="Sin precio","CAG; ","")</f>
        <v/>
      </c>
    </row>
    <row r="54" spans="1:12" ht="22" customHeight="1">
      <c r="A54" s="1" t="s">
        <v>74</v>
      </c>
      <c r="B54" s="1" t="s">
        <v>68</v>
      </c>
      <c r="C54" s="1" t="s">
        <v>24</v>
      </c>
      <c r="D54" s="4">
        <f>IF(COUNTIFS([1]Desglose_BOM_Componentes!$B$42:$B$51,$A54,[1]Desglose_BOM_Componentes!$AE$42:$AE$51,"Sin precio",[1]Desglose_BOM_Componentes!$X$42:$X$51,"Formulación")&gt;0,"n.d.",SUMIFS([1]Desglose_BOM_Componentes!$AC$42:$AC$51,[1]Desglose_BOM_Componentes!$B$42:$B$51,$A54,[1]Desglose_BOM_Componentes!$X$42:$X$51,"Formulación"))</f>
        <v>1.7330000000000003</v>
      </c>
      <c r="E54" s="4">
        <f>IF(COUNTIFS([1]Desglose_BOM_Componentes!$B$42:$B$51,$A54,[1]Desglose_BOM_Componentes!$AE$42:$AE$51,"Sin precio",[1]Desglose_BOM_Componentes!$X$42:$X$51,"Empaquetado")&gt;0,"n.d.",SUMIFS([1]Desglose_BOM_Componentes!$AC$42:$AC$51,[1]Desglose_BOM_Componentes!$B$42:$B$51,$A54,[1]Desglose_BOM_Componentes!$X$42:$X$51,"Empaquetado"))</f>
        <v>8.925226219568283E-2</v>
      </c>
      <c r="F54" s="6">
        <f t="shared" si="5"/>
        <v>1.8222522621956831</v>
      </c>
      <c r="G54" s="4">
        <f>IF(COUNTIFS([1]Desglose_BOM_Componentes!$B$42:$B$51,$A54,[1]Desglose_BOM_Componentes!$AE$42:$AE$51,"Sin precio",[1]Desglose_BOM_Componentes!$X$42:$X$51,"Formulación")&gt;0,"n.d.",SUMIFS([1]Desglose_BOM_Componentes!$AD$42:$AD$51,[1]Desglose_BOM_Componentes!$B$42:$B$51,$A54,[1]Desglose_BOM_Componentes!$X$42:$X$51,"Formulación"))</f>
        <v>1.62809</v>
      </c>
      <c r="H54" s="4">
        <f>IF(COUNTIFS([1]Desglose_BOM_Componentes!$B$42:$B$51,$A54,[1]Desglose_BOM_Componentes!$AE$42:$AE$51,"Sin precio",[1]Desglose_BOM_Componentes!$X$42:$X$51,"Empaquetado")&gt;0,"n.d.",SUMIFS([1]Desglose_BOM_Componentes!$AD$42:$AD$51,[1]Desglose_BOM_Componentes!$B$42:$B$51,$A54,[1]Desglose_BOM_Componentes!$X$42:$X$51,"Empaquetado"))</f>
        <v>8.925226219568283E-2</v>
      </c>
      <c r="I54" s="6">
        <f t="shared" si="6"/>
        <v>1.7173422621956829</v>
      </c>
      <c r="J54" s="1" t="str">
        <f t="shared" si="0"/>
        <v>Completo</v>
      </c>
      <c r="K54" s="1">
        <f>COUNTIFS([1]Desglose_BOM_Componentes!$B$42:$B$51,$A54,[1]Desglose_BOM_Componentes!$AE$42:$AE$51,"Sin precio")</f>
        <v>0</v>
      </c>
      <c r="L54" s="1" t="str">
        <f>IF('[1]Precios componentes'!D80="Sin precio","GLI; ","")&amp;IF('[1]Precios componentes'!D73="Sin precio","FMP; ","")&amp;IF('[1]Precios componentes'!D113="Sin precio","NPO; ","")&amp;IF('[1]Precios componentes'!D72="Sin precio","FMA; ","")&amp;IF('[1]Precios componentes'!D135="Sin precio","SOBRE 20 K; ","")&amp;IF('[1]Precios componentes'!D101="Sin precio","LAMLOT3; ","")&amp;IF('[1]Precios componentes'!D94="Sin precio","KIA220; ","")&amp;IF('[1]Precios componentes'!D115="Sin precio","PAL; ","")&amp;IF('[1]Precios componentes'!D129="Sin precio","SEP; ","")&amp;IF('[1]Precios componentes'!D34="Sin precio","CAG; ","")</f>
        <v/>
      </c>
    </row>
    <row r="55" spans="1:12" ht="22" customHeight="1">
      <c r="A55" s="1" t="s">
        <v>75</v>
      </c>
      <c r="B55" s="1" t="s">
        <v>68</v>
      </c>
      <c r="C55" s="1" t="s">
        <v>26</v>
      </c>
      <c r="D55" s="4">
        <f>IF(COUNTIFS([1]Desglose_BOM_Componentes!$B$52:$B$61,$A55,[1]Desglose_BOM_Componentes!$AE$52:$AE$61,"Sin precio",[1]Desglose_BOM_Componentes!$X$52:$X$61,"Formulación")&gt;0,"n.d.",SUMIFS([1]Desglose_BOM_Componentes!$AC$52:$AC$61,[1]Desglose_BOM_Componentes!$B$52:$B$61,$A55,[1]Desglose_BOM_Componentes!$X$52:$X$61,"Formulación"))</f>
        <v>1.7330000000000003</v>
      </c>
      <c r="E55" s="4">
        <f>IF(COUNTIFS([1]Desglose_BOM_Componentes!$B$52:$B$61,$A55,[1]Desglose_BOM_Componentes!$AE$52:$AE$61,"Sin precio",[1]Desglose_BOM_Componentes!$X$52:$X$61,"Empaquetado")&gt;0,"n.d.",SUMIFS([1]Desglose_BOM_Componentes!$AC$52:$AC$61,[1]Desglose_BOM_Componentes!$B$52:$B$61,$A55,[1]Desglose_BOM_Componentes!$X$52:$X$61,"Empaquetado"))</f>
        <v>8.925226219568283E-2</v>
      </c>
      <c r="F55" s="6">
        <f t="shared" si="5"/>
        <v>1.8222522621956831</v>
      </c>
      <c r="G55" s="4">
        <f>IF(COUNTIFS([1]Desglose_BOM_Componentes!$B$52:$B$61,$A55,[1]Desglose_BOM_Componentes!$AE$52:$AE$61,"Sin precio",[1]Desglose_BOM_Componentes!$X$52:$X$61,"Formulación")&gt;0,"n.d.",SUMIFS([1]Desglose_BOM_Componentes!$AD$52:$AD$61,[1]Desglose_BOM_Componentes!$B$52:$B$61,$A55,[1]Desglose_BOM_Componentes!$X$52:$X$61,"Formulación"))</f>
        <v>1.62809</v>
      </c>
      <c r="H55" s="4">
        <f>IF(COUNTIFS([1]Desglose_BOM_Componentes!$B$52:$B$61,$A55,[1]Desglose_BOM_Componentes!$AE$52:$AE$61,"Sin precio",[1]Desglose_BOM_Componentes!$X$52:$X$61,"Empaquetado")&gt;0,"n.d.",SUMIFS([1]Desglose_BOM_Componentes!$AD$52:$AD$61,[1]Desglose_BOM_Componentes!$B$52:$B$61,$A55,[1]Desglose_BOM_Componentes!$X$52:$X$61,"Empaquetado"))</f>
        <v>8.925226219568283E-2</v>
      </c>
      <c r="I55" s="6">
        <f t="shared" si="6"/>
        <v>1.7173422621956829</v>
      </c>
      <c r="J55" s="1" t="str">
        <f t="shared" si="0"/>
        <v>Completo</v>
      </c>
      <c r="K55" s="1">
        <f>COUNTIFS([1]Desglose_BOM_Componentes!$B$52:$B$61,$A55,[1]Desglose_BOM_Componentes!$AE$52:$AE$61,"Sin precio")</f>
        <v>0</v>
      </c>
      <c r="L55" s="1" t="str">
        <f>IF('[1]Precios componentes'!D80="Sin precio","GLI; ","")&amp;IF('[1]Precios componentes'!D73="Sin precio","FMP; ","")&amp;IF('[1]Precios componentes'!D113="Sin precio","NPO; ","")&amp;IF('[1]Precios componentes'!D72="Sin precio","FMA; ","")&amp;IF('[1]Precios componentes'!D135="Sin precio","SOBRE 20 K; ","")&amp;IF('[1]Precios componentes'!D101="Sin precio","LAMLOT3; ","")&amp;IF('[1]Precios componentes'!D94="Sin precio","KIA220; ","")&amp;IF('[1]Precios componentes'!D115="Sin precio","PAL; ","")&amp;IF('[1]Precios componentes'!D129="Sin precio","SEP; ","")&amp;IF('[1]Precios componentes'!D34="Sin precio","CAG; ","")</f>
        <v/>
      </c>
    </row>
    <row r="56" spans="1:12" ht="22" customHeight="1">
      <c r="A56" s="1" t="s">
        <v>76</v>
      </c>
      <c r="B56" s="1" t="s">
        <v>68</v>
      </c>
      <c r="C56" s="1" t="s">
        <v>32</v>
      </c>
      <c r="D56" s="4">
        <f>IF(COUNTIFS([1]Desglose_BOM_Componentes!$B$144:$B$155,$A56,[1]Desglose_BOM_Componentes!$AE$144:$AE$155,"Sin precio",[1]Desglose_BOM_Componentes!$X$144:$X$155,"Formulación")&gt;0,"n.d.",SUMIFS([1]Desglose_BOM_Componentes!$AC$144:$AC$155,[1]Desglose_BOM_Componentes!$B$144:$B$155,$A56,[1]Desglose_BOM_Componentes!$X$144:$X$155,"Formulación"))</f>
        <v>1.8633000000000002</v>
      </c>
      <c r="E56" s="4">
        <f>IF(COUNTIFS([1]Desglose_BOM_Componentes!$B$144:$B$155,$A56,[1]Desglose_BOM_Componentes!$AE$144:$AE$155,"Sin precio",[1]Desglose_BOM_Componentes!$X$144:$X$155,"Empaquetado")&gt;0,"n.d.",SUMIFS([1]Desglose_BOM_Componentes!$AC$144:$AC$155,[1]Desglose_BOM_Componentes!$B$144:$B$155,$A56,[1]Desglose_BOM_Componentes!$X$144:$X$155,"Empaquetado"))</f>
        <v>0.18743969231515709</v>
      </c>
      <c r="F56" s="6">
        <f t="shared" si="5"/>
        <v>2.0507396923151573</v>
      </c>
      <c r="G56" s="4">
        <f>IF(COUNTIFS([1]Desglose_BOM_Componentes!$B$144:$B$155,$A56,[1]Desglose_BOM_Componentes!$AE$144:$AE$155,"Sin precio",[1]Desglose_BOM_Componentes!$X$144:$X$155,"Formulación")&gt;0,"n.d.",SUMIFS([1]Desglose_BOM_Componentes!$AD$144:$AD$155,[1]Desglose_BOM_Componentes!$B$144:$B$155,$A56,[1]Desglose_BOM_Componentes!$X$144:$X$155,"Formulación"))</f>
        <v>1.6750985714285715</v>
      </c>
      <c r="H56" s="4">
        <f>IF(COUNTIFS([1]Desglose_BOM_Componentes!$B$144:$B$155,$A56,[1]Desglose_BOM_Componentes!$AE$144:$AE$155,"Sin precio",[1]Desglose_BOM_Componentes!$X$144:$X$155,"Empaquetado")&gt;0,"n.d.",SUMIFS([1]Desglose_BOM_Componentes!$AD$144:$AD$155,[1]Desglose_BOM_Componentes!$B$144:$B$155,$A56,[1]Desglose_BOM_Componentes!$X$144:$X$155,"Empaquetado"))</f>
        <v>0.18743969231515709</v>
      </c>
      <c r="I56" s="6">
        <f t="shared" si="6"/>
        <v>1.8625382637437287</v>
      </c>
      <c r="J56" s="1" t="str">
        <f t="shared" si="0"/>
        <v>Completo</v>
      </c>
      <c r="K56" s="1">
        <f>COUNTIFS([1]Desglose_BOM_Componentes!$B$144:$B$155,$A56,[1]Desglose_BOM_Componentes!$AE$144:$AE$155,"Sin precio")</f>
        <v>0</v>
      </c>
      <c r="L56" s="1" t="str">
        <f>IF('[1]Precios componentes'!D80="Sin precio","GLI; ","")&amp;IF('[1]Precios componentes'!D73="Sin precio","FMP; ","")&amp;IF('[1]Precios componentes'!D113="Sin precio","NPO; ","")&amp;IF('[1]Precios componentes'!D83="Sin precio","GLUMO; ","")&amp;IF('[1]Precios componentes'!D84="Sin precio","GLUSO; ","")&amp;IF('[1]Precios componentes'!D72="Sin precio","FMA;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componentes'!D68="Sin precio","ETQEG; ","")&amp;IF('[1]Precios componentes'!D97="Sin precio","LAM1; ","")</f>
        <v/>
      </c>
    </row>
    <row r="57" spans="1:12" ht="22" customHeight="1">
      <c r="A57" s="1" t="s">
        <v>77</v>
      </c>
      <c r="B57" s="1" t="s">
        <v>68</v>
      </c>
      <c r="C57" s="1" t="s">
        <v>24</v>
      </c>
      <c r="D57" s="4">
        <f>IF(COUNTIFS([1]Desglose_BOM_Componentes!$B$62:$B$70,$A57,[1]Desglose_BOM_Componentes!$AE$62:$AE$70,"Sin precio",[1]Desglose_BOM_Componentes!$X$62:$X$70,"Formulación")&gt;0,"n.d.",SUMIFS([1]Desglose_BOM_Componentes!$AC$62:$AC$70,[1]Desglose_BOM_Componentes!$B$62:$B$70,$A57,[1]Desglose_BOM_Componentes!$X$62:$X$70,"Formulación"))</f>
        <v>1.7890000000000004</v>
      </c>
      <c r="E57" s="4">
        <f>IF(COUNTIFS([1]Desglose_BOM_Componentes!$B$62:$B$70,$A57,[1]Desglose_BOM_Componentes!$AE$62:$AE$70,"Sin precio",[1]Desglose_BOM_Componentes!$X$62:$X$70,"Empaquetado")&gt;0,"n.d.",SUMIFS([1]Desglose_BOM_Componentes!$AC$62:$AC$70,[1]Desglose_BOM_Componentes!$B$62:$B$70,$A57,[1]Desglose_BOM_Componentes!$X$62:$X$70,"Empaquetado"))</f>
        <v>0.17737936672317164</v>
      </c>
      <c r="F57" s="6">
        <f t="shared" si="5"/>
        <v>1.9663793667231719</v>
      </c>
      <c r="G57" s="4">
        <f>IF(COUNTIFS([1]Desglose_BOM_Componentes!$B$62:$B$70,$A57,[1]Desglose_BOM_Componentes!$AE$62:$AE$70,"Sin precio",[1]Desglose_BOM_Componentes!$X$62:$X$70,"Formulación")&gt;0,"n.d.",SUMIFS([1]Desglose_BOM_Componentes!$AD$62:$AD$70,[1]Desglose_BOM_Componentes!$B$62:$B$70,$A57,[1]Desglose_BOM_Componentes!$X$62:$X$70,"Formulación"))</f>
        <v>1.6945000000000001</v>
      </c>
      <c r="H57" s="4">
        <f>IF(COUNTIFS([1]Desglose_BOM_Componentes!$B$62:$B$70,$A57,[1]Desglose_BOM_Componentes!$AE$62:$AE$70,"Sin precio",[1]Desglose_BOM_Componentes!$X$62:$X$70,"Empaquetado")&gt;0,"n.d.",SUMIFS([1]Desglose_BOM_Componentes!$AD$62:$AD$70,[1]Desglose_BOM_Componentes!$B$62:$B$70,$A57,[1]Desglose_BOM_Componentes!$X$62:$X$70,"Empaquetado"))</f>
        <v>0.17737936672317164</v>
      </c>
      <c r="I57" s="6">
        <f t="shared" si="6"/>
        <v>1.8718793667231717</v>
      </c>
      <c r="J57" s="1" t="str">
        <f t="shared" si="0"/>
        <v>Completo</v>
      </c>
      <c r="K57" s="1">
        <f>COUNTIFS([1]Desglose_BOM_Componentes!$B$62:$B$70,$A57,[1]Desglose_BOM_Componentes!$AE$62:$AE$70,"Sin precio")</f>
        <v>0</v>
      </c>
      <c r="L57" s="1" t="str">
        <f>IF('[1]Precios componentes'!D80="Sin precio","GLI; ","")&amp;IF('[1]Precios componentes'!D73="Sin precio","FMP; ","")&amp;IF('[1]Precios componentes'!D113="Sin precio","NPO;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componentes'!D97="Sin precio","LAM1; ","")&amp;IF('[1]Precios componentes'!D70="Sin precio","ETQVP165; ","")</f>
        <v/>
      </c>
    </row>
    <row r="58" spans="1:12" ht="22" customHeight="1">
      <c r="A58" s="1" t="s">
        <v>78</v>
      </c>
      <c r="B58" s="1" t="s">
        <v>68</v>
      </c>
      <c r="C58" s="1" t="s">
        <v>79</v>
      </c>
      <c r="D58" s="4">
        <f>IF(COUNTIFS([1]Desglose_BOM_Componentes!$B$71:$B$79,$A58,[1]Desglose_BOM_Componentes!$AE$71:$AE$79,"Sin precio",[1]Desglose_BOM_Componentes!$X$71:$X$79,"Formulación")&gt;0,"n.d.",SUMIFS([1]Desglose_BOM_Componentes!$AC$71:$AC$79,[1]Desglose_BOM_Componentes!$B$71:$B$79,$A58,[1]Desglose_BOM_Componentes!$X$71:$X$79,"Formulación"))</f>
        <v>1.7890000000000004</v>
      </c>
      <c r="E58" s="4">
        <f>IF(COUNTIFS([1]Desglose_BOM_Componentes!$B$71:$B$79,$A58,[1]Desglose_BOM_Componentes!$AE$71:$AE$79,"Sin precio",[1]Desglose_BOM_Componentes!$X$71:$X$79,"Empaquetado")&gt;0,"n.d.",SUMIFS([1]Desglose_BOM_Componentes!$AC$71:$AC$79,[1]Desglose_BOM_Componentes!$B$71:$B$79,$A58,[1]Desglose_BOM_Componentes!$X$71:$X$79,"Empaquetado"))</f>
        <v>0.17737936672317164</v>
      </c>
      <c r="F58" s="6">
        <f t="shared" si="5"/>
        <v>1.9663793667231719</v>
      </c>
      <c r="G58" s="4">
        <f>IF(COUNTIFS([1]Desglose_BOM_Componentes!$B$71:$B$79,$A58,[1]Desglose_BOM_Componentes!$AE$71:$AE$79,"Sin precio",[1]Desglose_BOM_Componentes!$X$71:$X$79,"Formulación")&gt;0,"n.d.",SUMIFS([1]Desglose_BOM_Componentes!$AD$71:$AD$79,[1]Desglose_BOM_Componentes!$B$71:$B$79,$A58,[1]Desglose_BOM_Componentes!$X$71:$X$79,"Formulación"))</f>
        <v>1.6945000000000001</v>
      </c>
      <c r="H58" s="4">
        <f>IF(COUNTIFS([1]Desglose_BOM_Componentes!$B$71:$B$79,$A58,[1]Desglose_BOM_Componentes!$AE$71:$AE$79,"Sin precio",[1]Desglose_BOM_Componentes!$X$71:$X$79,"Empaquetado")&gt;0,"n.d.",SUMIFS([1]Desglose_BOM_Componentes!$AD$71:$AD$79,[1]Desglose_BOM_Componentes!$B$71:$B$79,$A58,[1]Desglose_BOM_Componentes!$X$71:$X$79,"Empaquetado"))</f>
        <v>0.17737936672317164</v>
      </c>
      <c r="I58" s="6">
        <f t="shared" si="6"/>
        <v>1.8718793667231717</v>
      </c>
      <c r="J58" s="1" t="str">
        <f t="shared" si="0"/>
        <v>Completo</v>
      </c>
      <c r="K58" s="1">
        <f>COUNTIFS([1]Desglose_BOM_Componentes!$B$71:$B$79,$A58,[1]Desglose_BOM_Componentes!$AE$71:$AE$79,"Sin precio")</f>
        <v>0</v>
      </c>
      <c r="L58" s="1" t="str">
        <f>IF('[1]Precios componentes'!D80="Sin precio","GLI; ","")&amp;IF('[1]Precios componentes'!D73="Sin precio","FMP; ","")&amp;IF('[1]Precios componentes'!D113="Sin precio","NPO;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componentes'!D97="Sin precio","LAM1; ","")&amp;IF('[1]Precios componentes'!D70="Sin precio","ETQVP165; ","")</f>
        <v/>
      </c>
    </row>
    <row r="59" spans="1:12" ht="22" customHeight="1">
      <c r="A59" s="1" t="s">
        <v>80</v>
      </c>
      <c r="B59" s="1" t="s">
        <v>68</v>
      </c>
      <c r="C59" s="1" t="s">
        <v>81</v>
      </c>
      <c r="D59" s="4">
        <f>IF(COUNTIFS([1]Desglose_BOM_Componentes!$B$80:$B$88,$A59,[1]Desglose_BOM_Componentes!$AE$80:$AE$88,"Sin precio",[1]Desglose_BOM_Componentes!$X$80:$X$88,"Formulación")&gt;0,"n.d.",SUMIFS([1]Desglose_BOM_Componentes!$AC$80:$AC$88,[1]Desglose_BOM_Componentes!$B$80:$B$88,$A59,[1]Desglose_BOM_Componentes!$X$80:$X$88,"Formulación"))</f>
        <v>1.7890000000000004</v>
      </c>
      <c r="E59" s="4">
        <f>IF(COUNTIFS([1]Desglose_BOM_Componentes!$B$80:$B$88,$A59,[1]Desglose_BOM_Componentes!$AE$80:$AE$88,"Sin precio",[1]Desglose_BOM_Componentes!$X$80:$X$88,"Empaquetado")&gt;0,"n.d.",SUMIFS([1]Desglose_BOM_Componentes!$AC$80:$AC$88,[1]Desglose_BOM_Componentes!$B$80:$B$88,$A59,[1]Desglose_BOM_Componentes!$X$80:$X$88,"Empaquetado"))</f>
        <v>0.17737936672317164</v>
      </c>
      <c r="F59" s="6">
        <f t="shared" si="5"/>
        <v>1.9663793667231719</v>
      </c>
      <c r="G59" s="4">
        <f>IF(COUNTIFS([1]Desglose_BOM_Componentes!$B$80:$B$88,$A59,[1]Desglose_BOM_Componentes!$AE$80:$AE$88,"Sin precio",[1]Desglose_BOM_Componentes!$X$80:$X$88,"Formulación")&gt;0,"n.d.",SUMIFS([1]Desglose_BOM_Componentes!$AD$80:$AD$88,[1]Desglose_BOM_Componentes!$B$80:$B$88,$A59,[1]Desglose_BOM_Componentes!$X$80:$X$88,"Formulación"))</f>
        <v>1.6945000000000001</v>
      </c>
      <c r="H59" s="4">
        <f>IF(COUNTIFS([1]Desglose_BOM_Componentes!$B$80:$B$88,$A59,[1]Desglose_BOM_Componentes!$AE$80:$AE$88,"Sin precio",[1]Desglose_BOM_Componentes!$X$80:$X$88,"Empaquetado")&gt;0,"n.d.",SUMIFS([1]Desglose_BOM_Componentes!$AD$80:$AD$88,[1]Desglose_BOM_Componentes!$B$80:$B$88,$A59,[1]Desglose_BOM_Componentes!$X$80:$X$88,"Empaquetado"))</f>
        <v>0.17737936672317164</v>
      </c>
      <c r="I59" s="6">
        <f t="shared" si="6"/>
        <v>1.8718793667231717</v>
      </c>
      <c r="J59" s="1" t="str">
        <f t="shared" si="0"/>
        <v>Completo</v>
      </c>
      <c r="K59" s="1">
        <f>COUNTIFS([1]Desglose_BOM_Componentes!$B$80:$B$88,$A59,[1]Desglose_BOM_Componentes!$AE$80:$AE$88,"Sin precio")</f>
        <v>0</v>
      </c>
      <c r="L59" s="1" t="str">
        <f>IF('[1]Precios componentes'!D80="Sin precio","GLI; ","")&amp;IF('[1]Precios componentes'!D73="Sin precio","FMP; ","")&amp;IF('[1]Precios componentes'!D113="Sin precio","NPO;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componentes'!D97="Sin precio","LAM1; ","")&amp;IF('[1]Precios componentes'!D70="Sin precio","ETQVP165; ","")</f>
        <v/>
      </c>
    </row>
    <row r="60" spans="1:12" ht="22" customHeight="1">
      <c r="A60" s="1" t="s">
        <v>82</v>
      </c>
      <c r="B60" s="1" t="s">
        <v>68</v>
      </c>
      <c r="C60" s="1" t="s">
        <v>19</v>
      </c>
      <c r="D60" s="4">
        <f>IF(COUNTIFS([1]Desglose_BOM_Componentes!$B$89:$B$97,$A60,[1]Desglose_BOM_Componentes!$AE$89:$AE$97,"Sin precio",[1]Desglose_BOM_Componentes!$X$89:$X$97,"Formulación")&gt;0,"n.d.",SUMIFS([1]Desglose_BOM_Componentes!$AC$89:$AC$97,[1]Desglose_BOM_Componentes!$B$89:$B$97,$A60,[1]Desglose_BOM_Componentes!$X$89:$X$97,"Formulación"))</f>
        <v>1.7890000000000004</v>
      </c>
      <c r="E60" s="4">
        <f>IF(COUNTIFS([1]Desglose_BOM_Componentes!$B$89:$B$97,$A60,[1]Desglose_BOM_Componentes!$AE$89:$AE$97,"Sin precio",[1]Desglose_BOM_Componentes!$X$89:$X$97,"Empaquetado")&gt;0,"n.d.",SUMIFS([1]Desglose_BOM_Componentes!$AC$89:$AC$97,[1]Desglose_BOM_Componentes!$B$89:$B$97,$A60,[1]Desglose_BOM_Componentes!$X$89:$X$97,"Empaquetado"))</f>
        <v>0.17737936672317164</v>
      </c>
      <c r="F60" s="6">
        <f t="shared" si="5"/>
        <v>1.9663793667231719</v>
      </c>
      <c r="G60" s="4">
        <f>IF(COUNTIFS([1]Desglose_BOM_Componentes!$B$89:$B$97,$A60,[1]Desglose_BOM_Componentes!$AE$89:$AE$97,"Sin precio",[1]Desglose_BOM_Componentes!$X$89:$X$97,"Formulación")&gt;0,"n.d.",SUMIFS([1]Desglose_BOM_Componentes!$AD$89:$AD$97,[1]Desglose_BOM_Componentes!$B$89:$B$97,$A60,[1]Desglose_BOM_Componentes!$X$89:$X$97,"Formulación"))</f>
        <v>1.6945000000000001</v>
      </c>
      <c r="H60" s="4">
        <f>IF(COUNTIFS([1]Desglose_BOM_Componentes!$B$89:$B$97,$A60,[1]Desglose_BOM_Componentes!$AE$89:$AE$97,"Sin precio",[1]Desglose_BOM_Componentes!$X$89:$X$97,"Empaquetado")&gt;0,"n.d.",SUMIFS([1]Desglose_BOM_Componentes!$AD$89:$AD$97,[1]Desglose_BOM_Componentes!$B$89:$B$97,$A60,[1]Desglose_BOM_Componentes!$X$89:$X$97,"Empaquetado"))</f>
        <v>0.17737936672317164</v>
      </c>
      <c r="I60" s="6">
        <f t="shared" si="6"/>
        <v>1.8718793667231717</v>
      </c>
      <c r="J60" s="1" t="str">
        <f t="shared" si="0"/>
        <v>Completo</v>
      </c>
      <c r="K60" s="1">
        <f>COUNTIFS([1]Desglose_BOM_Componentes!$B$89:$B$97,$A60,[1]Desglose_BOM_Componentes!$AE$89:$AE$97,"Sin precio")</f>
        <v>0</v>
      </c>
      <c r="L60" s="1" t="str">
        <f>IF('[1]Precios componentes'!D80="Sin precio","GLI; ","")&amp;IF('[1]Precios componentes'!D73="Sin precio","FMP; ","")&amp;IF('[1]Precios componentes'!D113="Sin precio","NPO;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componentes'!D97="Sin precio","LAM1; ","")&amp;IF('[1]Precios componentes'!D70="Sin precio","ETQVP165; ","")</f>
        <v/>
      </c>
    </row>
    <row r="61" spans="1:12" ht="22" customHeight="1">
      <c r="A61" s="1" t="s">
        <v>83</v>
      </c>
      <c r="B61" s="1" t="s">
        <v>68</v>
      </c>
      <c r="C61" s="1" t="s">
        <v>84</v>
      </c>
      <c r="D61" s="4">
        <f>IF(COUNTIFS([1]Desglose_BOM_Componentes!$B$98:$B$105,$A61,[1]Desglose_BOM_Componentes!$AE$98:$AE$105,"Sin precio",[1]Desglose_BOM_Componentes!$X$98:$X$105,"Formulación")&gt;0,"n.d.",SUMIFS([1]Desglose_BOM_Componentes!$AC$98:$AC$105,[1]Desglose_BOM_Componentes!$B$98:$B$105,$A61,[1]Desglose_BOM_Componentes!$X$98:$X$105,"Formulación"))</f>
        <v>1.7890000000000004</v>
      </c>
      <c r="E61" s="4">
        <f>IF(COUNTIFS([1]Desglose_BOM_Componentes!$B$98:$B$105,$A61,[1]Desglose_BOM_Componentes!$AE$98:$AE$105,"Sin precio",[1]Desglose_BOM_Componentes!$X$98:$X$105,"Empaquetado")&gt;0,"n.d.",SUMIFS([1]Desglose_BOM_Componentes!$AC$98:$AC$105,[1]Desglose_BOM_Componentes!$B$98:$B$105,$A61,[1]Desglose_BOM_Componentes!$X$98:$X$105,"Empaquetado"))</f>
        <v>0.10354733439422743</v>
      </c>
      <c r="F61" s="6">
        <f t="shared" si="5"/>
        <v>1.8925473343942278</v>
      </c>
      <c r="G61" s="4">
        <f>IF(COUNTIFS([1]Desglose_BOM_Componentes!$B$98:$B$105,$A61,[1]Desglose_BOM_Componentes!$AE$98:$AE$105,"Sin precio",[1]Desglose_BOM_Componentes!$X$98:$X$105,"Formulación")&gt;0,"n.d.",SUMIFS([1]Desglose_BOM_Componentes!$AD$98:$AD$105,[1]Desglose_BOM_Componentes!$B$98:$B$105,$A61,[1]Desglose_BOM_Componentes!$X$98:$X$105,"Formulación"))</f>
        <v>1.6945000000000001</v>
      </c>
      <c r="H61" s="4">
        <f>IF(COUNTIFS([1]Desglose_BOM_Componentes!$B$98:$B$105,$A61,[1]Desglose_BOM_Componentes!$AE$98:$AE$105,"Sin precio",[1]Desglose_BOM_Componentes!$X$98:$X$105,"Empaquetado")&gt;0,"n.d.",SUMIFS([1]Desglose_BOM_Componentes!$AD$98:$AD$105,[1]Desglose_BOM_Componentes!$B$98:$B$105,$A61,[1]Desglose_BOM_Componentes!$X$98:$X$105,"Empaquetado"))</f>
        <v>0.10354733439422743</v>
      </c>
      <c r="I61" s="6">
        <f t="shared" si="6"/>
        <v>1.7980473343942276</v>
      </c>
      <c r="J61" s="1" t="str">
        <f t="shared" si="0"/>
        <v>Completo</v>
      </c>
      <c r="K61" s="1">
        <f>COUNTIFS([1]Desglose_BOM_Componentes!$B$98:$B$105,$A61,[1]Desglose_BOM_Componentes!$AE$98:$AE$105,"Sin precio")</f>
        <v>0</v>
      </c>
      <c r="L61" s="1" t="str">
        <f>IF('[1]Precios componentes'!D80="Sin precio","GLI; ","")&amp;IF('[1]Precios componentes'!D73="Sin precio","FMP; ","")&amp;IF('[1]Precios componentes'!D113="Sin precio","NPO;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62" spans="1:12" ht="22" customHeight="1">
      <c r="A62" s="1" t="s">
        <v>85</v>
      </c>
      <c r="B62" s="1" t="s">
        <v>68</v>
      </c>
      <c r="C62" s="1" t="s">
        <v>21</v>
      </c>
      <c r="D62" s="4">
        <f>IF(COUNTIFS([1]Desglose_BOM_Componentes!$B$106:$B$113,$A62,[1]Desglose_BOM_Componentes!$AE$106:$AE$113,"Sin precio",[1]Desglose_BOM_Componentes!$X$106:$X$113,"Formulación")&gt;0,"n.d.",SUMIFS([1]Desglose_BOM_Componentes!$AC$106:$AC$113,[1]Desglose_BOM_Componentes!$B$106:$B$113,$A62,[1]Desglose_BOM_Componentes!$X$106:$X$113,"Formulación"))</f>
        <v>1.7890000000000004</v>
      </c>
      <c r="E62" s="4">
        <f>IF(COUNTIFS([1]Desglose_BOM_Componentes!$B$106:$B$113,$A62,[1]Desglose_BOM_Componentes!$AE$106:$AE$113,"Sin precio",[1]Desglose_BOM_Componentes!$X$106:$X$113,"Empaquetado")&gt;0,"n.d.",SUMIFS([1]Desglose_BOM_Componentes!$AC$106:$AC$113,[1]Desglose_BOM_Componentes!$B$106:$B$113,$A62,[1]Desglose_BOM_Componentes!$X$106:$X$113,"Empaquetado"))</f>
        <v>0.10354733439422743</v>
      </c>
      <c r="F62" s="6">
        <f t="shared" si="5"/>
        <v>1.8925473343942278</v>
      </c>
      <c r="G62" s="4">
        <f>IF(COUNTIFS([1]Desglose_BOM_Componentes!$B$106:$B$113,$A62,[1]Desglose_BOM_Componentes!$AE$106:$AE$113,"Sin precio",[1]Desglose_BOM_Componentes!$X$106:$X$113,"Formulación")&gt;0,"n.d.",SUMIFS([1]Desglose_BOM_Componentes!$AD$106:$AD$113,[1]Desglose_BOM_Componentes!$B$106:$B$113,$A62,[1]Desglose_BOM_Componentes!$X$106:$X$113,"Formulación"))</f>
        <v>1.6945000000000001</v>
      </c>
      <c r="H62" s="4">
        <f>IF(COUNTIFS([1]Desglose_BOM_Componentes!$B$106:$B$113,$A62,[1]Desglose_BOM_Componentes!$AE$106:$AE$113,"Sin precio",[1]Desglose_BOM_Componentes!$X$106:$X$113,"Empaquetado")&gt;0,"n.d.",SUMIFS([1]Desglose_BOM_Componentes!$AD$106:$AD$113,[1]Desglose_BOM_Componentes!$B$106:$B$113,$A62,[1]Desglose_BOM_Componentes!$X$106:$X$113,"Empaquetado"))</f>
        <v>0.10354733439422743</v>
      </c>
      <c r="I62" s="6">
        <f t="shared" si="6"/>
        <v>1.7980473343942276</v>
      </c>
      <c r="J62" s="1" t="str">
        <f t="shared" si="0"/>
        <v>Completo</v>
      </c>
      <c r="K62" s="1">
        <f>COUNTIFS([1]Desglose_BOM_Componentes!$B$106:$B$113,$A62,[1]Desglose_BOM_Componentes!$AE$106:$AE$113,"Sin precio")</f>
        <v>0</v>
      </c>
      <c r="L62" s="1" t="str">
        <f>IF('[1]Precios componentes'!D80="Sin precio","GLI; ","")&amp;IF('[1]Precios componentes'!D73="Sin precio","FMP; ","")&amp;IF('[1]Precios componentes'!D113="Sin precio","NPO;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63" spans="1:12" ht="22" customHeight="1">
      <c r="A63" s="1" t="s">
        <v>86</v>
      </c>
      <c r="B63" s="1" t="s">
        <v>68</v>
      </c>
      <c r="C63" s="1" t="s">
        <v>79</v>
      </c>
      <c r="D63" s="4">
        <f>IF(COUNTIFS([1]Desglose_BOM_Componentes!$B$114:$B$121,$A63,[1]Desglose_BOM_Componentes!$AE$114:$AE$121,"Sin precio",[1]Desglose_BOM_Componentes!$X$114:$X$121,"Formulación")&gt;0,"n.d.",SUMIFS([1]Desglose_BOM_Componentes!$AC$114:$AC$121,[1]Desglose_BOM_Componentes!$B$114:$B$121,$A63,[1]Desglose_BOM_Componentes!$X$114:$X$121,"Formulación"))</f>
        <v>1.7890000000000004</v>
      </c>
      <c r="E63" s="4">
        <f>IF(COUNTIFS([1]Desglose_BOM_Componentes!$B$114:$B$121,$A63,[1]Desglose_BOM_Componentes!$AE$114:$AE$121,"Sin precio",[1]Desglose_BOM_Componentes!$X$114:$X$121,"Empaquetado")&gt;0,"n.d.",SUMIFS([1]Desglose_BOM_Componentes!$AC$114:$AC$121,[1]Desglose_BOM_Componentes!$B$114:$B$121,$A63,[1]Desglose_BOM_Componentes!$X$114:$X$121,"Empaquetado"))</f>
        <v>0.10354733439422743</v>
      </c>
      <c r="F63" s="6">
        <f t="shared" si="5"/>
        <v>1.8925473343942278</v>
      </c>
      <c r="G63" s="4">
        <f>IF(COUNTIFS([1]Desglose_BOM_Componentes!$B$114:$B$121,$A63,[1]Desglose_BOM_Componentes!$AE$114:$AE$121,"Sin precio",[1]Desglose_BOM_Componentes!$X$114:$X$121,"Formulación")&gt;0,"n.d.",SUMIFS([1]Desglose_BOM_Componentes!$AD$114:$AD$121,[1]Desglose_BOM_Componentes!$B$114:$B$121,$A63,[1]Desglose_BOM_Componentes!$X$114:$X$121,"Formulación"))</f>
        <v>1.6945000000000001</v>
      </c>
      <c r="H63" s="4">
        <f>IF(COUNTIFS([1]Desglose_BOM_Componentes!$B$114:$B$121,$A63,[1]Desglose_BOM_Componentes!$AE$114:$AE$121,"Sin precio",[1]Desglose_BOM_Componentes!$X$114:$X$121,"Empaquetado")&gt;0,"n.d.",SUMIFS([1]Desglose_BOM_Componentes!$AD$114:$AD$121,[1]Desglose_BOM_Componentes!$B$114:$B$121,$A63,[1]Desglose_BOM_Componentes!$X$114:$X$121,"Empaquetado"))</f>
        <v>0.10354733439422743</v>
      </c>
      <c r="I63" s="6">
        <f t="shared" si="6"/>
        <v>1.7980473343942276</v>
      </c>
      <c r="J63" s="1" t="str">
        <f t="shared" si="0"/>
        <v>Completo</v>
      </c>
      <c r="K63" s="1">
        <f>COUNTIFS([1]Desglose_BOM_Componentes!$B$114:$B$121,$A63,[1]Desglose_BOM_Componentes!$AE$114:$AE$121,"Sin precio")</f>
        <v>0</v>
      </c>
      <c r="L63" s="1" t="str">
        <f>IF('[1]Precios componentes'!D80="Sin precio","GLI; ","")&amp;IF('[1]Precios componentes'!D73="Sin precio","FMP; ","")&amp;IF('[1]Precios componentes'!D113="Sin precio","NPO;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64" spans="1:12" ht="22" customHeight="1">
      <c r="A64" s="1" t="s">
        <v>87</v>
      </c>
      <c r="B64" s="1" t="s">
        <v>68</v>
      </c>
      <c r="C64" s="1" t="s">
        <v>21</v>
      </c>
      <c r="D64" s="4">
        <f>IF(COUNTIFS([1]Desglose_BOM_Componentes!$B$122:$B$129,$A64,[1]Desglose_BOM_Componentes!$AE$122:$AE$129,"Sin precio",[1]Desglose_BOM_Componentes!$X$122:$X$129,"Formulación")&gt;0,"n.d.",SUMIFS([1]Desglose_BOM_Componentes!$AC$122:$AC$129,[1]Desglose_BOM_Componentes!$B$122:$B$129,$A64,[1]Desglose_BOM_Componentes!$X$122:$X$129,"Formulación"))</f>
        <v>1.7890000000000004</v>
      </c>
      <c r="E64" s="4">
        <f>IF(COUNTIFS([1]Desglose_BOM_Componentes!$B$122:$B$129,$A64,[1]Desglose_BOM_Componentes!$AE$122:$AE$129,"Sin precio",[1]Desglose_BOM_Componentes!$X$122:$X$129,"Empaquetado")&gt;0,"n.d.",SUMIFS([1]Desglose_BOM_Componentes!$AC$122:$AC$129,[1]Desglose_BOM_Componentes!$B$122:$B$129,$A64,[1]Desglose_BOM_Componentes!$X$122:$X$129,"Empaquetado"))</f>
        <v>8.8671012195682838E-2</v>
      </c>
      <c r="F64" s="6">
        <f t="shared" si="5"/>
        <v>1.8776710121956832</v>
      </c>
      <c r="G64" s="4">
        <f>IF(COUNTIFS([1]Desglose_BOM_Componentes!$B$122:$B$129,$A64,[1]Desglose_BOM_Componentes!$AE$122:$AE$129,"Sin precio",[1]Desglose_BOM_Componentes!$X$122:$X$129,"Formulación")&gt;0,"n.d.",SUMIFS([1]Desglose_BOM_Componentes!$AD$122:$AD$129,[1]Desglose_BOM_Componentes!$B$122:$B$129,$A64,[1]Desglose_BOM_Componentes!$X$122:$X$129,"Formulación"))</f>
        <v>1.6945000000000001</v>
      </c>
      <c r="H64" s="4">
        <f>IF(COUNTIFS([1]Desglose_BOM_Componentes!$B$122:$B$129,$A64,[1]Desglose_BOM_Componentes!$AE$122:$AE$129,"Sin precio",[1]Desglose_BOM_Componentes!$X$122:$X$129,"Empaquetado")&gt;0,"n.d.",SUMIFS([1]Desglose_BOM_Componentes!$AD$122:$AD$129,[1]Desglose_BOM_Componentes!$B$122:$B$129,$A64,[1]Desglose_BOM_Componentes!$X$122:$X$129,"Empaquetado"))</f>
        <v>8.8671012195682838E-2</v>
      </c>
      <c r="I64" s="6">
        <f t="shared" si="6"/>
        <v>1.783171012195683</v>
      </c>
      <c r="J64" s="1" t="str">
        <f t="shared" si="0"/>
        <v>Completo</v>
      </c>
      <c r="K64" s="1">
        <f>COUNTIFS([1]Desglose_BOM_Componentes!$B$122:$B$129,$A64,[1]Desglose_BOM_Componentes!$AE$122:$AE$129,"Sin precio")</f>
        <v>0</v>
      </c>
      <c r="L64" s="1" t="str">
        <f>IF('[1]Precios componentes'!D80="Sin precio","GLI; ","")&amp;IF('[1]Precios componentes'!D73="Sin precio","FMP; ","")&amp;IF('[1]Precios componentes'!D113="Sin precio","NPO; ","")&amp;IF('[1]Precios componentes'!D135="Sin precio","SOBRE 20 K; ","")&amp;IF('[1]Precios componentes'!D94="Sin precio","KIA220; ","")&amp;IF('[1]Precios componentes'!D99="Sin precio","LAM3; ","")&amp;IF('[1]Precios componentes'!D115="Sin precio","PAL; ","")&amp;IF('[1]Precios componentes'!D34="Sin precio","CAG; ","")</f>
        <v/>
      </c>
    </row>
    <row r="65" spans="1:12" ht="22" customHeight="1">
      <c r="A65" s="1" t="s">
        <v>88</v>
      </c>
      <c r="B65" s="1" t="s">
        <v>68</v>
      </c>
      <c r="C65" s="1" t="s">
        <v>19</v>
      </c>
      <c r="D65" s="4">
        <f>IF(COUNTIFS([1]Desglose_BOM_Componentes!$B$130:$B$137,$A65,[1]Desglose_BOM_Componentes!$AE$130:$AE$137,"Sin precio",[1]Desglose_BOM_Componentes!$X$130:$X$137,"Formulación")&gt;0,"n.d.",SUMIFS([1]Desglose_BOM_Componentes!$AC$130:$AC$137,[1]Desglose_BOM_Componentes!$B$130:$B$137,$A65,[1]Desglose_BOM_Componentes!$X$130:$X$137,"Formulación"))</f>
        <v>1.7890000000000004</v>
      </c>
      <c r="E65" s="4">
        <f>IF(COUNTIFS([1]Desglose_BOM_Componentes!$B$130:$B$137,$A65,[1]Desglose_BOM_Componentes!$AE$130:$AE$137,"Sin precio",[1]Desglose_BOM_Componentes!$X$130:$X$137,"Empaquetado")&gt;0,"n.d.",SUMIFS([1]Desglose_BOM_Componentes!$AC$130:$AC$137,[1]Desglose_BOM_Componentes!$B$130:$B$137,$A65,[1]Desglose_BOM_Componentes!$X$130:$X$137,"Empaquetado"))</f>
        <v>8.8671012195682838E-2</v>
      </c>
      <c r="F65" s="6">
        <f t="shared" si="5"/>
        <v>1.8776710121956832</v>
      </c>
      <c r="G65" s="4">
        <f>IF(COUNTIFS([1]Desglose_BOM_Componentes!$B$130:$B$137,$A65,[1]Desglose_BOM_Componentes!$AE$130:$AE$137,"Sin precio",[1]Desglose_BOM_Componentes!$X$130:$X$137,"Formulación")&gt;0,"n.d.",SUMIFS([1]Desglose_BOM_Componentes!$AD$130:$AD$137,[1]Desglose_BOM_Componentes!$B$130:$B$137,$A65,[1]Desglose_BOM_Componentes!$X$130:$X$137,"Formulación"))</f>
        <v>1.6945000000000001</v>
      </c>
      <c r="H65" s="4">
        <f>IF(COUNTIFS([1]Desglose_BOM_Componentes!$B$130:$B$137,$A65,[1]Desglose_BOM_Componentes!$AE$130:$AE$137,"Sin precio",[1]Desglose_BOM_Componentes!$X$130:$X$137,"Empaquetado")&gt;0,"n.d.",SUMIFS([1]Desglose_BOM_Componentes!$AD$130:$AD$137,[1]Desglose_BOM_Componentes!$B$130:$B$137,$A65,[1]Desglose_BOM_Componentes!$X$130:$X$137,"Empaquetado"))</f>
        <v>8.8671012195682838E-2</v>
      </c>
      <c r="I65" s="6">
        <f t="shared" si="6"/>
        <v>1.783171012195683</v>
      </c>
      <c r="J65" s="1" t="str">
        <f t="shared" si="0"/>
        <v>Completo</v>
      </c>
      <c r="K65" s="1">
        <f>COUNTIFS([1]Desglose_BOM_Componentes!$B$130:$B$137,$A65,[1]Desglose_BOM_Componentes!$AE$130:$AE$137,"Sin precio")</f>
        <v>0</v>
      </c>
      <c r="L65" s="1" t="str">
        <f>IF('[1]Precios componentes'!D80="Sin precio","GLI; ","")&amp;IF('[1]Precios componentes'!D73="Sin precio","FMP; ","")&amp;IF('[1]Precios componentes'!D113="Sin precio","NPO; ","")&amp;IF('[1]Precios componentes'!D135="Sin precio","SOBRE 20 K; ","")&amp;IF('[1]Precios componentes'!D94="Sin precio","KIA220; ","")&amp;IF('[1]Precios componentes'!D99="Sin precio","LAM3; ","")&amp;IF('[1]Precios componentes'!D115="Sin precio","PAL; ","")&amp;IF('[1]Precios componentes'!D34="Sin precio","CAG; ","")</f>
        <v/>
      </c>
    </row>
    <row r="66" spans="1:12" ht="22" customHeight="1">
      <c r="A66" s="1" t="s">
        <v>89</v>
      </c>
      <c r="B66" s="1" t="s">
        <v>68</v>
      </c>
      <c r="C66" s="1" t="s">
        <v>24</v>
      </c>
      <c r="D66" s="4">
        <f>IF(COUNTIFS([1]Desglose_BOM_Componentes!$B$156:$B$163,$A66,[1]Desglose_BOM_Componentes!$AE$156:$AE$163,"Sin precio",[1]Desglose_BOM_Componentes!$X$156:$X$163,"Formulación")&gt;0,"n.d.",SUMIFS([1]Desglose_BOM_Componentes!$AC$156:$AC$163,[1]Desglose_BOM_Componentes!$B$156:$B$163,$A66,[1]Desglose_BOM_Componentes!$X$156:$X$163,"Formulación"))</f>
        <v>3.69</v>
      </c>
      <c r="E66" s="4">
        <f>IF(COUNTIFS([1]Desglose_BOM_Componentes!$B$156:$B$163,$A66,[1]Desglose_BOM_Componentes!$AE$156:$AE$163,"Sin precio",[1]Desglose_BOM_Componentes!$X$156:$X$163,"Empaquetado")&gt;0,"n.d.",SUMIFS([1]Desglose_BOM_Componentes!$AC$156:$AC$163,[1]Desglose_BOM_Componentes!$B$156:$B$163,$A66,[1]Desglose_BOM_Componentes!$X$156:$X$163,"Empaquetado"))</f>
        <v>0.26153092079456342</v>
      </c>
      <c r="F66" s="6">
        <f t="shared" si="5"/>
        <v>3.9515309207945633</v>
      </c>
      <c r="G66" s="4">
        <f>IF(COUNTIFS([1]Desglose_BOM_Componentes!$B$156:$B$163,$A66,[1]Desglose_BOM_Componentes!$AE$156:$AE$163,"Sin precio",[1]Desglose_BOM_Componentes!$X$156:$X$163,"Formulación")&gt;0,"n.d.",SUMIFS([1]Desglose_BOM_Componentes!$AD$156:$AD$163,[1]Desglose_BOM_Componentes!$B$156:$B$163,$A66,[1]Desglose_BOM_Componentes!$X$156:$X$163,"Formulación"))</f>
        <v>3.69</v>
      </c>
      <c r="H66" s="4">
        <f>IF(COUNTIFS([1]Desglose_BOM_Componentes!$B$156:$B$163,$A66,[1]Desglose_BOM_Componentes!$AE$156:$AE$163,"Sin precio",[1]Desglose_BOM_Componentes!$X$156:$X$163,"Empaquetado")&gt;0,"n.d.",SUMIFS([1]Desglose_BOM_Componentes!$AD$156:$AD$163,[1]Desglose_BOM_Componentes!$B$156:$B$163,$A66,[1]Desglose_BOM_Componentes!$X$156:$X$163,"Empaquetado"))</f>
        <v>0.26153092079456342</v>
      </c>
      <c r="I66" s="6">
        <f t="shared" si="6"/>
        <v>3.9515309207945633</v>
      </c>
      <c r="J66" s="1" t="str">
        <f t="shared" si="0"/>
        <v>Completo</v>
      </c>
      <c r="K66" s="1">
        <f>COUNTIFS([1]Desglose_BOM_Componentes!$B$156:$B$163,$A66,[1]Desglose_BOM_Componentes!$AE$156:$AE$163,"Sin precio")</f>
        <v>0</v>
      </c>
      <c r="L66" s="1" t="str">
        <f>IF('[1]Precios componentes'!D86="Sin precio","HGA-FE; ","")&amp;IF('[1]Precios componentes'!D134="Sin precio","SOBRE 1L; ","")&amp;IF('[1]Precios componentes'!D94="Sin precio","KIA220; ","")&amp;IF('[1]Precios componentes'!D34="Sin precio","CAG; ","")&amp;IF('[1]Precios componentes'!D33="Sin precio","C1L; ","")&amp;IF('[1]Precios componentes'!D97="Sin precio","LAM1; ","")&amp;IF('[1]Precios componentes'!D115="Sin precio","PAL; ","")&amp;IF('[1]Precios componentes'!D70="Sin precio","ETQVP165; ","")</f>
        <v/>
      </c>
    </row>
    <row r="67" spans="1:12" ht="22" customHeight="1">
      <c r="A67" s="1" t="s">
        <v>90</v>
      </c>
      <c r="B67" s="1" t="s">
        <v>68</v>
      </c>
      <c r="C67" s="1" t="s">
        <v>19</v>
      </c>
      <c r="D67" s="4">
        <f>IF(COUNTIFS([1]Desglose_BOM_Componentes!$B$164:$B$171,$A67,[1]Desglose_BOM_Componentes!$AE$164:$AE$171,"Sin precio",[1]Desglose_BOM_Componentes!$X$164:$X$171,"Formulación")&gt;0,"n.d.",SUMIFS([1]Desglose_BOM_Componentes!$AC$164:$AC$171,[1]Desglose_BOM_Componentes!$B$164:$B$171,$A67,[1]Desglose_BOM_Componentes!$X$164:$X$171,"Formulación"))</f>
        <v>3.69</v>
      </c>
      <c r="E67" s="4">
        <f>IF(COUNTIFS([1]Desglose_BOM_Componentes!$B$164:$B$171,$A67,[1]Desglose_BOM_Componentes!$AE$164:$AE$171,"Sin precio",[1]Desglose_BOM_Componentes!$X$164:$X$171,"Empaquetado")&gt;0,"n.d.",SUMIFS([1]Desglose_BOM_Componentes!$AC$164:$AC$171,[1]Desglose_BOM_Componentes!$B$164:$B$171,$A67,[1]Desglose_BOM_Componentes!$X$164:$X$171,"Empaquetado"))</f>
        <v>0.26153092079456342</v>
      </c>
      <c r="F67" s="6">
        <f t="shared" si="5"/>
        <v>3.9515309207945633</v>
      </c>
      <c r="G67" s="4">
        <f>IF(COUNTIFS([1]Desglose_BOM_Componentes!$B$164:$B$171,$A67,[1]Desglose_BOM_Componentes!$AE$164:$AE$171,"Sin precio",[1]Desglose_BOM_Componentes!$X$164:$X$171,"Formulación")&gt;0,"n.d.",SUMIFS([1]Desglose_BOM_Componentes!$AD$164:$AD$171,[1]Desglose_BOM_Componentes!$B$164:$B$171,$A67,[1]Desglose_BOM_Componentes!$X$164:$X$171,"Formulación"))</f>
        <v>3.69</v>
      </c>
      <c r="H67" s="4">
        <f>IF(COUNTIFS([1]Desglose_BOM_Componentes!$B$164:$B$171,$A67,[1]Desglose_BOM_Componentes!$AE$164:$AE$171,"Sin precio",[1]Desglose_BOM_Componentes!$X$164:$X$171,"Empaquetado")&gt;0,"n.d.",SUMIFS([1]Desglose_BOM_Componentes!$AD$164:$AD$171,[1]Desglose_BOM_Componentes!$B$164:$B$171,$A67,[1]Desglose_BOM_Componentes!$X$164:$X$171,"Empaquetado"))</f>
        <v>0.26153092079456342</v>
      </c>
      <c r="I67" s="6">
        <f t="shared" si="6"/>
        <v>3.9515309207945633</v>
      </c>
      <c r="J67" s="1" t="str">
        <f t="shared" si="0"/>
        <v>Completo</v>
      </c>
      <c r="K67" s="1">
        <f>COUNTIFS([1]Desglose_BOM_Componentes!$B$164:$B$171,$A67,[1]Desglose_BOM_Componentes!$AE$164:$AE$171,"Sin precio")</f>
        <v>0</v>
      </c>
      <c r="L67" s="1" t="str">
        <f>IF('[1]Precios componentes'!D86="Sin precio","HGA-FE; ","")&amp;IF('[1]Precios componentes'!D134="Sin precio","SOBRE 1L; ","")&amp;IF('[1]Precios componentes'!D94="Sin precio","KIA220; ","")&amp;IF('[1]Precios componentes'!D34="Sin precio","CAG; ","")&amp;IF('[1]Precios componentes'!D33="Sin precio","C1L; ","")&amp;IF('[1]Precios componentes'!D97="Sin precio","LAM1; ","")&amp;IF('[1]Precios componentes'!D115="Sin precio","PAL; ","")&amp;IF('[1]Precios componentes'!D70="Sin precio","ETQVP165; ","")</f>
        <v/>
      </c>
    </row>
    <row r="68" spans="1:12" ht="22" customHeight="1">
      <c r="A68" s="1" t="s">
        <v>91</v>
      </c>
      <c r="B68" s="1" t="s">
        <v>18</v>
      </c>
      <c r="C68" s="1" t="s">
        <v>24</v>
      </c>
      <c r="D68" s="4">
        <f>IF(COUNTIFS([1]Desglose_BOM_Componentes!$B$172:$B$178,$A68,[1]Desglose_BOM_Componentes!$AE$172:$AE$178,"Sin precio",[1]Desglose_BOM_Componentes!$X$172:$X$178,"Formulación")&gt;0,"n.d.",SUMIFS([1]Desglose_BOM_Componentes!$AC$172:$AC$178,[1]Desglose_BOM_Componentes!$B$172:$B$178,$A68,[1]Desglose_BOM_Componentes!$X$172:$X$178,"Formulación"))</f>
        <v>1.4375</v>
      </c>
      <c r="E68" s="4">
        <f>IF(COUNTIFS([1]Desglose_BOM_Componentes!$B$172:$B$178,$A68,[1]Desglose_BOM_Componentes!$AE$172:$AE$178,"Sin precio",[1]Desglose_BOM_Componentes!$X$172:$X$178,"Empaquetado")&gt;0,"n.d.",SUMIFS([1]Desglose_BOM_Componentes!$AC$172:$AC$178,[1]Desglose_BOM_Componentes!$B$172:$B$178,$A68,[1]Desglose_BOM_Componentes!$X$172:$X$178,"Empaquetado"))</f>
        <v>0.91471048959942358</v>
      </c>
      <c r="F68" s="6">
        <f>IF(K68&gt;0,"n.d.",SUM(D68:E68)+0.0042)</f>
        <v>2.3564104895994236</v>
      </c>
      <c r="G68" s="4">
        <f>IF(COUNTIFS([1]Desglose_BOM_Componentes!$B$172:$B$178,$A68,[1]Desglose_BOM_Componentes!$AE$172:$AE$178,"Sin precio",[1]Desglose_BOM_Componentes!$X$172:$X$178,"Formulación")&gt;0,"n.d.",SUMIFS([1]Desglose_BOM_Componentes!$AD$172:$AD$178,[1]Desglose_BOM_Componentes!$B$172:$B$178,$A68,[1]Desglose_BOM_Componentes!$X$172:$X$178,"Formulación"))</f>
        <v>1.4375</v>
      </c>
      <c r="H68" s="4">
        <f>IF(COUNTIFS([1]Desglose_BOM_Componentes!$B$172:$B$178,$A68,[1]Desglose_BOM_Componentes!$AE$172:$AE$178,"Sin precio",[1]Desglose_BOM_Componentes!$X$172:$X$178,"Empaquetado")&gt;0,"n.d.",SUMIFS([1]Desglose_BOM_Componentes!$AD$172:$AD$178,[1]Desglose_BOM_Componentes!$B$172:$B$178,$A68,[1]Desglose_BOM_Componentes!$X$172:$X$178,"Empaquetado"))</f>
        <v>0.91471048959942358</v>
      </c>
      <c r="I68" s="6">
        <f>IF(K68&gt;0,"n.d.",SUM(G68:H68)+0.0042)</f>
        <v>2.3564104895994236</v>
      </c>
      <c r="J68" s="1" t="str">
        <f t="shared" si="0"/>
        <v>Completo</v>
      </c>
      <c r="K68" s="1">
        <f>COUNTIFS([1]Desglose_BOM_Componentes!$B$172:$B$178,$A68,[1]Desglose_BOM_Componentes!$AE$172:$AE$178,"Sin precio")</f>
        <v>0</v>
      </c>
      <c r="L68" s="1" t="str">
        <f>IF('[1]Precios componentes'!D87="Sin precio","HGA-FEL;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componentes'!D95="Sin precio","KIA250; ","")&amp;IF('[1]Precios componentes'!D59="Sin precio","ENV1C; ","")</f>
        <v/>
      </c>
    </row>
    <row r="69" spans="1:12" ht="22" customHeight="1">
      <c r="A69" s="1" t="s">
        <v>92</v>
      </c>
      <c r="B69" s="1" t="s">
        <v>18</v>
      </c>
      <c r="C69" s="1" t="s">
        <v>19</v>
      </c>
      <c r="D69" s="4">
        <f>IF(COUNTIFS([1]Desglose_BOM_Componentes!$B$179:$B$185,$A69,[1]Desglose_BOM_Componentes!$AE$179:$AE$185,"Sin precio",[1]Desglose_BOM_Componentes!$X$179:$X$185,"Formulación")&gt;0,"n.d.",SUMIFS([1]Desglose_BOM_Componentes!$AC$179:$AC$185,[1]Desglose_BOM_Componentes!$B$179:$B$185,$A69,[1]Desglose_BOM_Componentes!$X$179:$X$185,"Formulación"))</f>
        <v>1.4375</v>
      </c>
      <c r="E69" s="4">
        <f>IF(COUNTIFS([1]Desglose_BOM_Componentes!$B$179:$B$185,$A69,[1]Desglose_BOM_Componentes!$AE$179:$AE$185,"Sin precio",[1]Desglose_BOM_Componentes!$X$179:$X$185,"Empaquetado")&gt;0,"n.d.",SUMIFS([1]Desglose_BOM_Componentes!$AC$179:$AC$185,[1]Desglose_BOM_Componentes!$B$179:$B$185,$A69,[1]Desglose_BOM_Componentes!$X$179:$X$185,"Empaquetado"))</f>
        <v>0.91471048959942358</v>
      </c>
      <c r="F69" s="6">
        <f>IF(K69&gt;0,"n.d.",SUM(D69:E69)+0.0042)</f>
        <v>2.3564104895994236</v>
      </c>
      <c r="G69" s="4">
        <f>IF(COUNTIFS([1]Desglose_BOM_Componentes!$B$179:$B$185,$A69,[1]Desglose_BOM_Componentes!$AE$179:$AE$185,"Sin precio",[1]Desglose_BOM_Componentes!$X$179:$X$185,"Formulación")&gt;0,"n.d.",SUMIFS([1]Desglose_BOM_Componentes!$AD$179:$AD$185,[1]Desglose_BOM_Componentes!$B$179:$B$185,$A69,[1]Desglose_BOM_Componentes!$X$179:$X$185,"Formulación"))</f>
        <v>1.4375</v>
      </c>
      <c r="H69" s="4">
        <f>IF(COUNTIFS([1]Desglose_BOM_Componentes!$B$179:$B$185,$A69,[1]Desglose_BOM_Componentes!$AE$179:$AE$185,"Sin precio",[1]Desglose_BOM_Componentes!$X$179:$X$185,"Empaquetado")&gt;0,"n.d.",SUMIFS([1]Desglose_BOM_Componentes!$AD$179:$AD$185,[1]Desglose_BOM_Componentes!$B$179:$B$185,$A69,[1]Desglose_BOM_Componentes!$X$179:$X$185,"Empaquetado"))</f>
        <v>0.91471048959942358</v>
      </c>
      <c r="I69" s="6">
        <f>IF(K69&gt;0,"n.d.",SUM(G69:H69)+0.0042)</f>
        <v>2.3564104895994236</v>
      </c>
      <c r="J69" s="1" t="str">
        <f t="shared" ref="J69:J132" si="7">IF(K69=0,"Completo","Pendiente")</f>
        <v>Completo</v>
      </c>
      <c r="K69" s="1">
        <f>COUNTIFS([1]Desglose_BOM_Componentes!$B$179:$B$185,$A69,[1]Desglose_BOM_Componentes!$AE$179:$AE$185,"Sin precio")</f>
        <v>0</v>
      </c>
      <c r="L69" s="1" t="str">
        <f>IF('[1]Precios componentes'!D87="Sin precio","HGA-FEL;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componentes'!D95="Sin precio","KIA250; ","")&amp;IF('[1]Precios componentes'!D59="Sin precio","ENV1C; ","")</f>
        <v/>
      </c>
    </row>
    <row r="70" spans="1:12" ht="22" customHeight="1">
      <c r="A70" s="1" t="s">
        <v>93</v>
      </c>
      <c r="B70" s="1" t="s">
        <v>18</v>
      </c>
      <c r="C70" s="1" t="s">
        <v>24</v>
      </c>
      <c r="D70" s="4">
        <f>IF(COUNTIFS([1]Desglose_BOM_Componentes!$B$186:$B$192,$A70,[1]Desglose_BOM_Componentes!$AE$186:$AE$192,"Sin precio",[1]Desglose_BOM_Componentes!$X$186:$X$192,"Formulación")&gt;0,"n.d.",SUMIFS([1]Desglose_BOM_Componentes!$AC$186:$AC$192,[1]Desglose_BOM_Componentes!$B$186:$B$192,$A70,[1]Desglose_BOM_Componentes!$X$186:$X$192,"Formulación"))</f>
        <v>1.4375</v>
      </c>
      <c r="E70" s="4">
        <f>IF(COUNTIFS([1]Desglose_BOM_Componentes!$B$186:$B$192,$A70,[1]Desglose_BOM_Componentes!$AE$186:$AE$192,"Sin precio",[1]Desglose_BOM_Componentes!$X$186:$X$192,"Empaquetado")&gt;0,"n.d.",SUMIFS([1]Desglose_BOM_Componentes!$AC$186:$AC$192,[1]Desglose_BOM_Componentes!$B$186:$B$192,$A70,[1]Desglose_BOM_Componentes!$X$186:$X$192,"Empaquetado"))</f>
        <v>0.33288466819407259</v>
      </c>
      <c r="F70" s="6">
        <f>IF(K70&gt;0,"n.d.",SUM(D70:E70)+0.0042)</f>
        <v>1.7745846681940725</v>
      </c>
      <c r="G70" s="4">
        <f>IF(COUNTIFS([1]Desglose_BOM_Componentes!$B$186:$B$192,$A70,[1]Desglose_BOM_Componentes!$AE$186:$AE$192,"Sin precio",[1]Desglose_BOM_Componentes!$X$186:$X$192,"Formulación")&gt;0,"n.d.",SUMIFS([1]Desglose_BOM_Componentes!$AD$186:$AD$192,[1]Desglose_BOM_Componentes!$B$186:$B$192,$A70,[1]Desglose_BOM_Componentes!$X$186:$X$192,"Formulación"))</f>
        <v>1.4375</v>
      </c>
      <c r="H70" s="4">
        <f>IF(COUNTIFS([1]Desglose_BOM_Componentes!$B$186:$B$192,$A70,[1]Desglose_BOM_Componentes!$AE$186:$AE$192,"Sin precio",[1]Desglose_BOM_Componentes!$X$186:$X$192,"Empaquetado")&gt;0,"n.d.",SUMIFS([1]Desglose_BOM_Componentes!$AD$186:$AD$192,[1]Desglose_BOM_Componentes!$B$186:$B$192,$A70,[1]Desglose_BOM_Componentes!$X$186:$X$192,"Empaquetado"))</f>
        <v>0.33288466819407259</v>
      </c>
      <c r="I70" s="6">
        <f>IF(K70&gt;0,"n.d.",SUM(G70:H70)+0.0042)</f>
        <v>1.7745846681940725</v>
      </c>
      <c r="J70" s="1" t="str">
        <f t="shared" si="7"/>
        <v>Completo</v>
      </c>
      <c r="K70" s="1">
        <f>COUNTIFS([1]Desglose_BOM_Componentes!$B$186:$B$192,$A70,[1]Desglose_BOM_Componentes!$AE$186:$AE$192,"Sin precio")</f>
        <v>0</v>
      </c>
      <c r="L70" s="1" t="str">
        <f>IF('[1]Precios componentes'!D87="Sin precio","HGA-FEL;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71" spans="1:12" ht="22" customHeight="1">
      <c r="A71" s="1" t="s">
        <v>94</v>
      </c>
      <c r="B71" s="1" t="s">
        <v>68</v>
      </c>
      <c r="C71" s="1" t="s">
        <v>95</v>
      </c>
      <c r="D71" s="4">
        <f>IF(COUNTIFS([1]Desglose_BOM_Componentes!$B$193:$B$201,$A71,[1]Desglose_BOM_Componentes!$AE$193:$AE$201,"Sin precio",[1]Desglose_BOM_Componentes!$X$193:$X$201,"Formulación")&gt;0,"n.d.",SUMIFS([1]Desglose_BOM_Componentes!$AC$193:$AC$201,[1]Desglose_BOM_Componentes!$B$193:$B$201,$A71,[1]Desglose_BOM_Componentes!$X$193:$X$201,"Formulación"))</f>
        <v>2.2197455000000001</v>
      </c>
      <c r="E71" s="4">
        <f>IF(COUNTIFS([1]Desglose_BOM_Componentes!$B$193:$B$201,$A71,[1]Desglose_BOM_Componentes!$AE$193:$AE$201,"Sin precio",[1]Desglose_BOM_Componentes!$X$193:$X$201,"Empaquetado")&gt;0,"n.d.",SUMIFS([1]Desglose_BOM_Componentes!$AC$193:$AC$201,[1]Desglose_BOM_Componentes!$B$193:$B$201,$A71,[1]Desglose_BOM_Componentes!$X$193:$X$201,"Empaquetado"))</f>
        <v>0.17737936672317167</v>
      </c>
      <c r="F71" s="6">
        <f>IF(K71&gt;0,"n.d.",SUM(D71:E71))</f>
        <v>2.3971248667231717</v>
      </c>
      <c r="G71" s="4">
        <f>IF(COUNTIFS([1]Desglose_BOM_Componentes!$B$193:$B$201,$A71,[1]Desglose_BOM_Componentes!$AE$193:$AE$201,"Sin precio",[1]Desglose_BOM_Componentes!$X$193:$X$201,"Formulación")&gt;0,"n.d.",SUMIFS([1]Desglose_BOM_Componentes!$AD$193:$AD$201,[1]Desglose_BOM_Componentes!$B$193:$B$201,$A71,[1]Desglose_BOM_Componentes!$X$193:$X$201,"Formulación"))</f>
        <v>1.5870513714285717</v>
      </c>
      <c r="H71" s="4">
        <f>IF(COUNTIFS([1]Desglose_BOM_Componentes!$B$193:$B$201,$A71,[1]Desglose_BOM_Componentes!$AE$193:$AE$201,"Sin precio",[1]Desglose_BOM_Componentes!$X$193:$X$201,"Empaquetado")&gt;0,"n.d.",SUMIFS([1]Desglose_BOM_Componentes!$AD$193:$AD$201,[1]Desglose_BOM_Componentes!$B$193:$B$201,$A71,[1]Desglose_BOM_Componentes!$X$193:$X$201,"Empaquetado"))</f>
        <v>0.17737936672317167</v>
      </c>
      <c r="I71" s="6">
        <f>IF(K71&gt;0,"n.d.",SUM(G71:H71))</f>
        <v>1.7644307381517432</v>
      </c>
      <c r="J71" s="1" t="str">
        <f t="shared" si="7"/>
        <v>Completo</v>
      </c>
      <c r="K71" s="1">
        <f>COUNTIFS([1]Desglose_BOM_Componentes!$B$193:$B$201,$A71,[1]Desglose_BOM_Componentes!$AE$193:$AE$201,"Sin precio")</f>
        <v>0</v>
      </c>
      <c r="L71" s="1" t="str">
        <f>IF('[1]Precios componentes'!D104="Sin precio","MAL; ","")&amp;IF('[1]Precios componentes'!D107="Sin precio","MGO;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72" spans="1:12" ht="22" customHeight="1">
      <c r="A72" s="1" t="s">
        <v>96</v>
      </c>
      <c r="B72" s="1" t="s">
        <v>68</v>
      </c>
      <c r="C72" s="1" t="s">
        <v>19</v>
      </c>
      <c r="D72" s="4">
        <f>IF(COUNTIFS([1]Desglose_BOM_Componentes!$B$202:$B$210,$A72,[1]Desglose_BOM_Componentes!$AE$202:$AE$210,"Sin precio",[1]Desglose_BOM_Componentes!$X$202:$X$210,"Formulación")&gt;0,"n.d.",SUMIFS([1]Desglose_BOM_Componentes!$AC$202:$AC$210,[1]Desglose_BOM_Componentes!$B$202:$B$210,$A72,[1]Desglose_BOM_Componentes!$X$202:$X$210,"Formulación"))</f>
        <v>2.2197455000000001</v>
      </c>
      <c r="E72" s="4">
        <f>IF(COUNTIFS([1]Desglose_BOM_Componentes!$B$202:$B$210,$A72,[1]Desglose_BOM_Componentes!$AE$202:$AE$210,"Sin precio",[1]Desglose_BOM_Componentes!$X$202:$X$210,"Empaquetado")&gt;0,"n.d.",SUMIFS([1]Desglose_BOM_Componentes!$AC$202:$AC$210,[1]Desglose_BOM_Componentes!$B$202:$B$210,$A72,[1]Desglose_BOM_Componentes!$X$202:$X$210,"Empaquetado"))</f>
        <v>0.17737936672317167</v>
      </c>
      <c r="F72" s="6">
        <f>IF(K72&gt;0,"n.d.",SUM(D72:E72))</f>
        <v>2.3971248667231717</v>
      </c>
      <c r="G72" s="4">
        <f>IF(COUNTIFS([1]Desglose_BOM_Componentes!$B$202:$B$210,$A72,[1]Desglose_BOM_Componentes!$AE$202:$AE$210,"Sin precio",[1]Desglose_BOM_Componentes!$X$202:$X$210,"Formulación")&gt;0,"n.d.",SUMIFS([1]Desglose_BOM_Componentes!$AD$202:$AD$210,[1]Desglose_BOM_Componentes!$B$202:$B$210,$A72,[1]Desglose_BOM_Componentes!$X$202:$X$210,"Formulación"))</f>
        <v>1.5870513714285717</v>
      </c>
      <c r="H72" s="4">
        <f>IF(COUNTIFS([1]Desglose_BOM_Componentes!$B$202:$B$210,$A72,[1]Desglose_BOM_Componentes!$AE$202:$AE$210,"Sin precio",[1]Desglose_BOM_Componentes!$X$202:$X$210,"Empaquetado")&gt;0,"n.d.",SUMIFS([1]Desglose_BOM_Componentes!$AD$202:$AD$210,[1]Desglose_BOM_Componentes!$B$202:$B$210,$A72,[1]Desglose_BOM_Componentes!$X$202:$X$210,"Empaquetado"))</f>
        <v>0.17737936672317167</v>
      </c>
      <c r="I72" s="6">
        <f>IF(K72&gt;0,"n.d.",SUM(G72:H72))</f>
        <v>1.7644307381517432</v>
      </c>
      <c r="J72" s="1" t="str">
        <f t="shared" si="7"/>
        <v>Completo</v>
      </c>
      <c r="K72" s="1">
        <f>COUNTIFS([1]Desglose_BOM_Componentes!$B$202:$B$210,$A72,[1]Desglose_BOM_Componentes!$AE$202:$AE$210,"Sin precio")</f>
        <v>0</v>
      </c>
      <c r="L72" s="1" t="str">
        <f>IF('[1]Precios componentes'!D104="Sin precio","MAL; ","")&amp;IF('[1]Precios componentes'!D107="Sin precio","MGO;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73" spans="1:12" ht="22" customHeight="1">
      <c r="A73" s="1" t="s">
        <v>97</v>
      </c>
      <c r="B73" s="1" t="s">
        <v>68</v>
      </c>
      <c r="C73" s="1" t="s">
        <v>21</v>
      </c>
      <c r="D73" s="4">
        <f>IF(COUNTIFS([1]Desglose_BOM_Componentes!$B$211:$B$218,$A73,[1]Desglose_BOM_Componentes!$AE$211:$AE$218,"Sin precio",[1]Desglose_BOM_Componentes!$X$211:$X$218,"Formulación")&gt;0,"n.d.",SUMIFS([1]Desglose_BOM_Componentes!$AC$211:$AC$218,[1]Desglose_BOM_Componentes!$B$211:$B$218,$A73,[1]Desglose_BOM_Componentes!$X$211:$X$218,"Formulación"))</f>
        <v>2.2197455000000001</v>
      </c>
      <c r="E73" s="4">
        <f>IF(COUNTIFS([1]Desglose_BOM_Componentes!$B$211:$B$218,$A73,[1]Desglose_BOM_Componentes!$AE$211:$AE$218,"Sin precio",[1]Desglose_BOM_Componentes!$X$211:$X$218,"Empaquetado")&gt;0,"n.d.",SUMIFS([1]Desglose_BOM_Componentes!$AC$211:$AC$218,[1]Desglose_BOM_Componentes!$B$211:$B$218,$A73,[1]Desglose_BOM_Componentes!$X$211:$X$218,"Empaquetado"))</f>
        <v>0.10354733439422743</v>
      </c>
      <c r="F73" s="6">
        <f>IF(K73&gt;0,"n.d.",SUM(D73:E73))</f>
        <v>2.3232928343942274</v>
      </c>
      <c r="G73" s="4">
        <f>IF(COUNTIFS([1]Desglose_BOM_Componentes!$B$211:$B$218,$A73,[1]Desglose_BOM_Componentes!$AE$211:$AE$218,"Sin precio",[1]Desglose_BOM_Componentes!$X$211:$X$218,"Formulación")&gt;0,"n.d.",SUMIFS([1]Desglose_BOM_Componentes!$AD$211:$AD$218,[1]Desglose_BOM_Componentes!$B$211:$B$218,$A73,[1]Desglose_BOM_Componentes!$X$211:$X$218,"Formulación"))</f>
        <v>1.5870513714285717</v>
      </c>
      <c r="H73" s="4">
        <f>IF(COUNTIFS([1]Desglose_BOM_Componentes!$B$211:$B$218,$A73,[1]Desglose_BOM_Componentes!$AE$211:$AE$218,"Sin precio",[1]Desglose_BOM_Componentes!$X$211:$X$218,"Empaquetado")&gt;0,"n.d.",SUMIFS([1]Desglose_BOM_Componentes!$AD$211:$AD$218,[1]Desglose_BOM_Componentes!$B$211:$B$218,$A73,[1]Desglose_BOM_Componentes!$X$211:$X$218,"Empaquetado"))</f>
        <v>0.10354733439422743</v>
      </c>
      <c r="I73" s="6">
        <f>IF(K73&gt;0,"n.d.",SUM(G73:H73))</f>
        <v>1.6905987058227991</v>
      </c>
      <c r="J73" s="1" t="str">
        <f t="shared" si="7"/>
        <v>Completo</v>
      </c>
      <c r="K73" s="1">
        <f>COUNTIFS([1]Desglose_BOM_Componentes!$B$211:$B$218,$A73,[1]Desglose_BOM_Componentes!$AE$211:$AE$218,"Sin precio")</f>
        <v>0</v>
      </c>
      <c r="L73" s="1" t="str">
        <f>IF('[1]Precios componentes'!D104="Sin precio","MAL; ","")&amp;IF('[1]Precios componentes'!D107="Sin precio","MGO; ","")&amp;IF('[1]Precios componentes'!D84="Sin precio","GLUSO;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74" spans="1:12" ht="22" customHeight="1">
      <c r="A74" s="1" t="s">
        <v>98</v>
      </c>
      <c r="B74" s="1" t="s">
        <v>68</v>
      </c>
      <c r="C74" s="1" t="s">
        <v>99</v>
      </c>
      <c r="D74" s="4">
        <f>IF(COUNTIFS([1]Desglose_BOM_Componentes!$B$219:$B$226,$A74,[1]Desglose_BOM_Componentes!$AE$219:$AE$226,"Sin precio",[1]Desglose_BOM_Componentes!$X$219:$X$226,"Formulación")&gt;0,"n.d.",SUMIFS([1]Desglose_BOM_Componentes!$AC$219:$AC$226,[1]Desglose_BOM_Componentes!$B$219:$B$226,$A74,[1]Desglose_BOM_Componentes!$X$219:$X$226,"Formulación"))</f>
        <v>2.2197455000000001</v>
      </c>
      <c r="E74" s="4">
        <f>IF(COUNTIFS([1]Desglose_BOM_Componentes!$B$219:$B$226,$A74,[1]Desglose_BOM_Componentes!$AE$219:$AE$226,"Sin precio",[1]Desglose_BOM_Componentes!$X$219:$X$226,"Empaquetado")&gt;0,"n.d.",SUMIFS([1]Desglose_BOM_Componentes!$AC$219:$AC$226,[1]Desglose_BOM_Componentes!$B$219:$B$226,$A74,[1]Desglose_BOM_Componentes!$X$219:$X$226,"Empaquetado"))</f>
        <v>0.10354733439422743</v>
      </c>
      <c r="F74" s="6">
        <f>IF(K74&gt;0,"n.d.",SUM(D74:E74))</f>
        <v>2.3232928343942274</v>
      </c>
      <c r="G74" s="4">
        <f>IF(COUNTIFS([1]Desglose_BOM_Componentes!$B$219:$B$226,$A74,[1]Desglose_BOM_Componentes!$AE$219:$AE$226,"Sin precio",[1]Desglose_BOM_Componentes!$X$219:$X$226,"Formulación")&gt;0,"n.d.",SUMIFS([1]Desglose_BOM_Componentes!$AD$219:$AD$226,[1]Desglose_BOM_Componentes!$B$219:$B$226,$A74,[1]Desglose_BOM_Componentes!$X$219:$X$226,"Formulación"))</f>
        <v>1.5870513714285717</v>
      </c>
      <c r="H74" s="4">
        <f>IF(COUNTIFS([1]Desglose_BOM_Componentes!$B$219:$B$226,$A74,[1]Desglose_BOM_Componentes!$AE$219:$AE$226,"Sin precio",[1]Desglose_BOM_Componentes!$X$219:$X$226,"Empaquetado")&gt;0,"n.d.",SUMIFS([1]Desglose_BOM_Componentes!$AD$219:$AD$226,[1]Desglose_BOM_Componentes!$B$219:$B$226,$A74,[1]Desglose_BOM_Componentes!$X$219:$X$226,"Empaquetado"))</f>
        <v>0.10354733439422743</v>
      </c>
      <c r="I74" s="6">
        <f>IF(K74&gt;0,"n.d.",SUM(G74:H74))</f>
        <v>1.6905987058227991</v>
      </c>
      <c r="J74" s="1" t="str">
        <f t="shared" si="7"/>
        <v>Completo</v>
      </c>
      <c r="K74" s="1">
        <f>COUNTIFS([1]Desglose_BOM_Componentes!$B$219:$B$226,$A74,[1]Desglose_BOM_Componentes!$AE$219:$AE$226,"Sin precio")</f>
        <v>0</v>
      </c>
      <c r="L74" s="1" t="str">
        <f>IF('[1]Precios componentes'!D104="Sin precio","MAL; ","")&amp;IF('[1]Precios componentes'!D107="Sin precio","MGO; ","")&amp;IF('[1]Precios componentes'!D84="Sin precio","GLUSO;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75" spans="1:12" ht="22" customHeight="1">
      <c r="A75" s="1" t="s">
        <v>100</v>
      </c>
      <c r="B75" s="1" t="s">
        <v>68</v>
      </c>
      <c r="C75" s="1" t="s">
        <v>21</v>
      </c>
      <c r="D75" s="4">
        <f>IF(COUNTIFS([1]Desglose_BOM_Componentes!$B$227:$B$234,$A75,[1]Desglose_BOM_Componentes!$AE$227:$AE$234,"Sin precio",[1]Desglose_BOM_Componentes!$X$227:$X$234,"Formulación")&gt;0,"n.d.",SUMIFS([1]Desglose_BOM_Componentes!$AC$227:$AC$234,[1]Desglose_BOM_Componentes!$B$227:$B$234,$A75,[1]Desglose_BOM_Componentes!$X$227:$X$234,"Formulación"))</f>
        <v>2.2197455000000001</v>
      </c>
      <c r="E75" s="4">
        <f>IF(COUNTIFS([1]Desglose_BOM_Componentes!$B$227:$B$234,$A75,[1]Desglose_BOM_Componentes!$AE$227:$AE$234,"Sin precio",[1]Desglose_BOM_Componentes!$X$227:$X$234,"Empaquetado")&gt;0,"n.d.",SUMIFS([1]Desglose_BOM_Componentes!$AC$227:$AC$234,[1]Desglose_BOM_Componentes!$B$227:$B$234,$A75,[1]Desglose_BOM_Componentes!$X$227:$X$234,"Empaquetado"))</f>
        <v>8.3425612195682841E-2</v>
      </c>
      <c r="F75" s="6">
        <f>IF(K75&gt;0,"n.d.",SUM(D75:E75))</f>
        <v>2.3031711121956828</v>
      </c>
      <c r="G75" s="4">
        <f>IF(COUNTIFS([1]Desglose_BOM_Componentes!$B$227:$B$234,$A75,[1]Desglose_BOM_Componentes!$AE$227:$AE$234,"Sin precio",[1]Desglose_BOM_Componentes!$X$227:$X$234,"Formulación")&gt;0,"n.d.",SUMIFS([1]Desglose_BOM_Componentes!$AD$227:$AD$234,[1]Desglose_BOM_Componentes!$B$227:$B$234,$A75,[1]Desglose_BOM_Componentes!$X$227:$X$234,"Formulación"))</f>
        <v>1.5870513714285717</v>
      </c>
      <c r="H75" s="4">
        <f>IF(COUNTIFS([1]Desglose_BOM_Componentes!$B$227:$B$234,$A75,[1]Desglose_BOM_Componentes!$AE$227:$AE$234,"Sin precio",[1]Desglose_BOM_Componentes!$X$227:$X$234,"Empaquetado")&gt;0,"n.d.",SUMIFS([1]Desglose_BOM_Componentes!$AD$227:$AD$234,[1]Desglose_BOM_Componentes!$B$227:$B$234,$A75,[1]Desglose_BOM_Componentes!$X$227:$X$234,"Empaquetado"))</f>
        <v>8.3425612195682841E-2</v>
      </c>
      <c r="I75" s="6">
        <f>IF(K75&gt;0,"n.d.",SUM(G75:H75))</f>
        <v>1.6704769836242546</v>
      </c>
      <c r="J75" s="1" t="str">
        <f t="shared" si="7"/>
        <v>Completo</v>
      </c>
      <c r="K75" s="1">
        <f>COUNTIFS([1]Desglose_BOM_Componentes!$B$227:$B$234,$A75,[1]Desglose_BOM_Componentes!$AE$227:$AE$234,"Sin precio")</f>
        <v>0</v>
      </c>
      <c r="L75" s="1" t="str">
        <f>IF('[1]Precios componentes'!D104="Sin precio","MAL; ","")&amp;IF('[1]Precios componentes'!D107="Sin precio","MGO; ","")&amp;IF('[1]Precios componentes'!D84="Sin precio","GLUSO; ","")&amp;IF('[1]Precios componentes'!D115="Sin precio","PAL; ","")&amp;IF('[1]Precios componentes'!D135="Sin precio","SOBRE 20 K; ","")&amp;IF('[1]Precios componentes'!D94="Sin precio","KIA220; ","")&amp;IF('[1]Precios componentes'!D99="Sin precio","LAM3; ","")&amp;IF('[1]Precios componentes'!D34="Sin precio","CAG; ","")</f>
        <v/>
      </c>
    </row>
    <row r="76" spans="1:12" ht="22" customHeight="1">
      <c r="A76" s="1" t="s">
        <v>101</v>
      </c>
      <c r="B76" s="1" t="s">
        <v>18</v>
      </c>
      <c r="C76" s="1" t="s">
        <v>24</v>
      </c>
      <c r="D76" s="4">
        <f>IF(COUNTIFS([1]Desglose_BOM_Componentes!$B$235:$B$241,$A76,[1]Desglose_BOM_Componentes!$AE$235:$AE$241,"Sin precio",[1]Desglose_BOM_Componentes!$X$235:$X$241,"Formulación")&gt;0,"n.d.",SUMIFS([1]Desglose_BOM_Componentes!$AC$235:$AC$241,[1]Desglose_BOM_Componentes!$B$235:$B$241,$A76,[1]Desglose_BOM_Componentes!$X$235:$X$241,"Formulación"))</f>
        <v>1.8375499999999998</v>
      </c>
      <c r="E76" s="4">
        <f>IF(COUNTIFS([1]Desglose_BOM_Componentes!$B$235:$B$241,$A76,[1]Desglose_BOM_Componentes!$AE$235:$AE$241,"Sin precio",[1]Desglose_BOM_Componentes!$X$235:$X$241,"Empaquetado")&gt;0,"n.d.",SUMIFS([1]Desglose_BOM_Componentes!$AC$235:$AC$241,[1]Desglose_BOM_Componentes!$B$235:$B$241,$A76,[1]Desglose_BOM_Componentes!$X$235:$X$241,"Empaquetado"))</f>
        <v>0.30928466819407258</v>
      </c>
      <c r="F76" s="6">
        <f>IF(K76&gt;0,"n.d.",SUM(D76:E76)+0.0042)</f>
        <v>2.1510346681940722</v>
      </c>
      <c r="G76" s="4">
        <f>IF(COUNTIFS([1]Desglose_BOM_Componentes!$B$235:$B$241,$A76,[1]Desglose_BOM_Componentes!$AE$235:$AE$241,"Sin precio",[1]Desglose_BOM_Componentes!$X$235:$X$241,"Formulación")&gt;0,"n.d.",SUMIFS([1]Desglose_BOM_Componentes!$AD$235:$AD$241,[1]Desglose_BOM_Componentes!$B$235:$B$241,$A76,[1]Desglose_BOM_Componentes!$X$235:$X$241,"Formulación"))</f>
        <v>1.8375499999999998</v>
      </c>
      <c r="H76" s="4">
        <f>IF(COUNTIFS([1]Desglose_BOM_Componentes!$B$235:$B$241,$A76,[1]Desglose_BOM_Componentes!$AE$235:$AE$241,"Sin precio",[1]Desglose_BOM_Componentes!$X$235:$X$241,"Empaquetado")&gt;0,"n.d.",SUMIFS([1]Desglose_BOM_Componentes!$AD$235:$AD$241,[1]Desglose_BOM_Componentes!$B$235:$B$241,$A76,[1]Desglose_BOM_Componentes!$X$235:$X$241,"Empaquetado"))</f>
        <v>0.30928466819407258</v>
      </c>
      <c r="I76" s="6">
        <f>IF(K76&gt;0,"n.d.",SUM(G76:H76)+0.0042)</f>
        <v>2.1510346681940722</v>
      </c>
      <c r="J76" s="1" t="str">
        <f t="shared" si="7"/>
        <v>Completo</v>
      </c>
      <c r="K76" s="1">
        <f>COUNTIFS([1]Desglose_BOM_Componentes!$B$235:$B$241,$A76,[1]Desglose_BOM_Componentes!$AE$235:$AE$241,"Sin precio")</f>
        <v>0</v>
      </c>
      <c r="L76" s="1" t="str">
        <f>IF('[1]Precios componentes'!D88="Sin precio","HGA-MGL; ","")&amp;IF('[1]Precios componentes'!D137="Sin precio","SOBRE 5L; ","")&amp;IF('[1]Precios componentes'!D115="Sin precio","PAL; ","")&amp;IF('[1]Precios componentes'!D34="Sin precio","CAG; ","")&amp;IF('[1]Precios componentes'!D63="Sin precio","ENV5220G; ","")&amp;IF('[1]Precios componentes'!D149="Sin precio","TPD63I; ","")&amp;IF('[1]Precios componentes'!D95="Sin precio","KIA250; ","")</f>
        <v/>
      </c>
    </row>
    <row r="77" spans="1:12" ht="22" customHeight="1">
      <c r="A77" s="1" t="s">
        <v>102</v>
      </c>
      <c r="B77" s="1" t="s">
        <v>68</v>
      </c>
      <c r="C77" s="1" t="s">
        <v>24</v>
      </c>
      <c r="D77" s="4">
        <f>IF(COUNTIFS([1]Desglose_BOM_Componentes!$B$242:$B$249,$A77,[1]Desglose_BOM_Componentes!$AE$242:$AE$249,"Sin precio",[1]Desglose_BOM_Componentes!$X$242:$X$249,"Formulación")&gt;0,"n.d.",SUMIFS([1]Desglose_BOM_Componentes!$AC$242:$AC$249,[1]Desglose_BOM_Componentes!$B$242:$B$249,$A77,[1]Desglose_BOM_Componentes!$X$242:$X$249,"Formulación"))</f>
        <v>2.0577000000000001</v>
      </c>
      <c r="E77" s="4">
        <f>IF(COUNTIFS([1]Desglose_BOM_Componentes!$B$242:$B$249,$A77,[1]Desglose_BOM_Componentes!$AE$242:$AE$249,"Sin precio",[1]Desglose_BOM_Componentes!$X$242:$X$249,"Empaquetado")&gt;0,"n.d.",SUMIFS([1]Desglose_BOM_Componentes!$AC$242:$AC$249,[1]Desglose_BOM_Componentes!$B$242:$B$249,$A77,[1]Desglose_BOM_Componentes!$X$242:$X$249,"Empaquetado"))</f>
        <v>0.10354733439422743</v>
      </c>
      <c r="F77" s="6">
        <f>IF(K77&gt;0,"n.d.",SUM(D77:E77))</f>
        <v>2.1612473343942273</v>
      </c>
      <c r="G77" s="4">
        <f>IF(COUNTIFS([1]Desglose_BOM_Componentes!$B$242:$B$249,$A77,[1]Desglose_BOM_Componentes!$AE$242:$AE$249,"Sin precio",[1]Desglose_BOM_Componentes!$X$242:$X$249,"Formulación")&gt;0,"n.d.",SUMIFS([1]Desglose_BOM_Componentes!$AD$242:$AD$249,[1]Desglose_BOM_Componentes!$B$242:$B$249,$A77,[1]Desglose_BOM_Componentes!$X$242:$X$249,"Formulación"))</f>
        <v>1.5574714285714284</v>
      </c>
      <c r="H77" s="4">
        <f>IF(COUNTIFS([1]Desglose_BOM_Componentes!$B$242:$B$249,$A77,[1]Desglose_BOM_Componentes!$AE$242:$AE$249,"Sin precio",[1]Desglose_BOM_Componentes!$X$242:$X$249,"Empaquetado")&gt;0,"n.d.",SUMIFS([1]Desglose_BOM_Componentes!$AD$242:$AD$249,[1]Desglose_BOM_Componentes!$B$242:$B$249,$A77,[1]Desglose_BOM_Componentes!$X$242:$X$249,"Empaquetado"))</f>
        <v>0.10354733439422743</v>
      </c>
      <c r="I77" s="6">
        <f>IF(K77&gt;0,"n.d.",SUM(G77:H77))</f>
        <v>1.6610187629656559</v>
      </c>
      <c r="J77" s="1" t="str">
        <f t="shared" si="7"/>
        <v>Completo</v>
      </c>
      <c r="K77" s="1">
        <f>COUNTIFS([1]Desglose_BOM_Componentes!$B$242:$B$249,$A77,[1]Desglose_BOM_Componentes!$AE$242:$AE$249,"Sin precio")</f>
        <v>0</v>
      </c>
      <c r="L77" s="1" t="str">
        <f>IF('[1]Precios componentes'!D104="Sin precio","MAL; ","")&amp;IF('[1]Precios componentes'!D35="Sin precio","CAMN; ","")&amp;IF('[1]Precios componentes'!D84="Sin precio","GLUSO;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78" spans="1:12" ht="22" customHeight="1">
      <c r="A78" s="1" t="s">
        <v>103</v>
      </c>
      <c r="B78" s="1" t="s">
        <v>18</v>
      </c>
      <c r="C78" s="1" t="s">
        <v>24</v>
      </c>
      <c r="D78" s="4">
        <f>IF(COUNTIFS([1]Desglose_BOM_Componentes!$B$250:$B$261,$A78,[1]Desglose_BOM_Componentes!$AE$250:$AE$261,"Sin precio",[1]Desglose_BOM_Componentes!$X$250:$X$261,"Formulación")&gt;0,"n.d.",SUMIFS([1]Desglose_BOM_Componentes!$AC$250:$AC$261,[1]Desglose_BOM_Componentes!$B$250:$B$261,$A78,[1]Desglose_BOM_Componentes!$X$250:$X$261,"Formulación"))</f>
        <v>0.66451500000000008</v>
      </c>
      <c r="E78" s="4">
        <f>IF(COUNTIFS([1]Desglose_BOM_Componentes!$B$250:$B$261,$A78,[1]Desglose_BOM_Componentes!$AE$250:$AE$261,"Sin precio",[1]Desglose_BOM_Componentes!$X$250:$X$261,"Empaquetado")&gt;0,"n.d.",SUMIFS([1]Desglose_BOM_Componentes!$AC$250:$AC$261,[1]Desglose_BOM_Componentes!$B$250:$B$261,$A78,[1]Desglose_BOM_Componentes!$X$250:$X$261,"Empaquetado"))</f>
        <v>0.30928466819407258</v>
      </c>
      <c r="F78" s="6">
        <f t="shared" ref="F78:F117" si="8">IF(K78&gt;0,"n.d.",SUM(D78:E78)+0.0042)</f>
        <v>0.97799966819407258</v>
      </c>
      <c r="G78" s="4">
        <f>IF(COUNTIFS([1]Desglose_BOM_Componentes!$B$250:$B$261,$A78,[1]Desglose_BOM_Componentes!$AE$250:$AE$261,"Sin precio",[1]Desglose_BOM_Componentes!$X$250:$X$261,"Formulación")&gt;0,"n.d.",SUMIFS([1]Desglose_BOM_Componentes!$AD$250:$AD$261,[1]Desglose_BOM_Componentes!$B$250:$B$261,$A78,[1]Desglose_BOM_Componentes!$X$250:$X$261,"Formulación"))</f>
        <v>0.66362333333333345</v>
      </c>
      <c r="H78" s="4">
        <f>IF(COUNTIFS([1]Desglose_BOM_Componentes!$B$250:$B$261,$A78,[1]Desglose_BOM_Componentes!$AE$250:$AE$261,"Sin precio",[1]Desglose_BOM_Componentes!$X$250:$X$261,"Empaquetado")&gt;0,"n.d.",SUMIFS([1]Desglose_BOM_Componentes!$AD$250:$AD$261,[1]Desglose_BOM_Componentes!$B$250:$B$261,$A78,[1]Desglose_BOM_Componentes!$X$250:$X$261,"Empaquetado"))</f>
        <v>0.30928466819407258</v>
      </c>
      <c r="I78" s="6">
        <f t="shared" ref="I78:I117" si="9">IF(K78&gt;0,"n.d.",SUM(G78:H78)+0.0042)</f>
        <v>0.97710800152740607</v>
      </c>
      <c r="J78" s="1" t="str">
        <f t="shared" si="7"/>
        <v>Completo</v>
      </c>
      <c r="K78" s="1">
        <f>COUNTIFS([1]Desglose_BOM_Componentes!$B$250:$B$261,$A78,[1]Desglose_BOM_Componentes!$AE$250:$AE$261,"Sin precio")</f>
        <v>0</v>
      </c>
      <c r="L78" s="1" t="str">
        <f>IF('[1]Precios componentes'!D93="Sin precio","KF78; ","")&amp;IF('[1]Precios componentes'!D11="Sin precio","AGUA; ","")&amp;IF('[1]Precios componentes'!D13="Sin precio","AMO; ","")&amp;IF('[1]Precios componentes'!D154="Sin precio","URE; ","")&amp;IF('[1]Precios componentes'!D79="Sin precio","GLBE; ","")&amp;IF('[1]Precios componentes'!D121="Sin precio","RAD; ","")&amp;IF('[1]Precios componentes'!D137="Sin precio","SOBRE 5L; ","")&amp;IF('[1]Precios componentes'!D115="Sin precio","PAL; ","")&amp;IF('[1]Precios componentes'!D63="Sin precio","ENV5220G; ","")&amp;IF('[1]Precios componentes'!D34="Sin precio","CAG; ","")&amp;IF('[1]Precios componentes'!D149="Sin precio","TPD63I; ","")&amp;IF('[1]Precios componentes'!D95="Sin precio","KIA250; ","")</f>
        <v/>
      </c>
    </row>
    <row r="79" spans="1:12" ht="22" customHeight="1">
      <c r="A79" s="1" t="s">
        <v>104</v>
      </c>
      <c r="B79" s="1" t="s">
        <v>18</v>
      </c>
      <c r="C79" s="1" t="s">
        <v>24</v>
      </c>
      <c r="D79" s="4">
        <f>IF(COUNTIFS([1]Desglose_BOM_Componentes!$B$262:$B$272,$A79,[1]Desglose_BOM_Componentes!$AE$262:$AE$272,"Sin precio",[1]Desglose_BOM_Componentes!$X$262:$X$272,"Formulación")&gt;0,"n.d.",SUMIFS([1]Desglose_BOM_Componentes!$AC$262:$AC$272,[1]Desglose_BOM_Componentes!$B$262:$B$272,$A79,[1]Desglose_BOM_Componentes!$X$262:$X$272,"Formulación"))</f>
        <v>0.66451500000000008</v>
      </c>
      <c r="E79" s="4">
        <f>IF(COUNTIFS([1]Desglose_BOM_Componentes!$B$262:$B$272,$A79,[1]Desglose_BOM_Componentes!$AE$262:$AE$272,"Sin precio",[1]Desglose_BOM_Componentes!$X$262:$X$272,"Empaquetado")&gt;0,"n.d.",SUMIFS([1]Desglose_BOM_Componentes!$AC$262:$AC$272,[1]Desglose_BOM_Componentes!$B$262:$B$272,$A79,[1]Desglose_BOM_Componentes!$X$262:$X$272,"Empaquetado"))</f>
        <v>0.24326489794470366</v>
      </c>
      <c r="F79" s="6">
        <f t="shared" si="8"/>
        <v>0.91197989794470369</v>
      </c>
      <c r="G79" s="4">
        <f>IF(COUNTIFS([1]Desglose_BOM_Componentes!$B$262:$B$272,$A79,[1]Desglose_BOM_Componentes!$AE$262:$AE$272,"Sin precio",[1]Desglose_BOM_Componentes!$X$262:$X$272,"Formulación")&gt;0,"n.d.",SUMIFS([1]Desglose_BOM_Componentes!$AD$262:$AD$272,[1]Desglose_BOM_Componentes!$B$262:$B$272,$A79,[1]Desglose_BOM_Componentes!$X$262:$X$272,"Formulación"))</f>
        <v>0.66362333333333345</v>
      </c>
      <c r="H79" s="4">
        <f>IF(COUNTIFS([1]Desglose_BOM_Componentes!$B$262:$B$272,$A79,[1]Desglose_BOM_Componentes!$AE$262:$AE$272,"Sin precio",[1]Desglose_BOM_Componentes!$X$262:$X$272,"Empaquetado")&gt;0,"n.d.",SUMIFS([1]Desglose_BOM_Componentes!$AD$262:$AD$272,[1]Desglose_BOM_Componentes!$B$262:$B$272,$A79,[1]Desglose_BOM_Componentes!$X$262:$X$272,"Empaquetado"))</f>
        <v>0.24326489794470366</v>
      </c>
      <c r="I79" s="6">
        <f t="shared" si="9"/>
        <v>0.91108823127803706</v>
      </c>
      <c r="J79" s="1" t="str">
        <f t="shared" si="7"/>
        <v>Completo</v>
      </c>
      <c r="K79" s="1">
        <f>COUNTIFS([1]Desglose_BOM_Componentes!$B$262:$B$272,$A79,[1]Desglose_BOM_Componentes!$AE$262:$AE$272,"Sin precio")</f>
        <v>0</v>
      </c>
      <c r="L79" s="1" t="str">
        <f>IF('[1]Precios componentes'!D93="Sin precio","KF78; ","")&amp;IF('[1]Precios componentes'!D11="Sin precio","AGUA; ","")&amp;IF('[1]Precios componentes'!D13="Sin precio","AMO; ","")&amp;IF('[1]Precios componentes'!D154="Sin precio","URE; ","")&amp;IF('[1]Precios componentes'!D79="Sin precio","GLBE; ","")&amp;IF('[1]Precios componentes'!D121="Sin precio","RAD;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80" spans="1:12" ht="22" customHeight="1">
      <c r="A80" s="1" t="s">
        <v>105</v>
      </c>
      <c r="B80" s="1" t="s">
        <v>18</v>
      </c>
      <c r="C80" s="1" t="s">
        <v>19</v>
      </c>
      <c r="D80" s="4">
        <f>IF(COUNTIFS([1]Desglose_BOM_Componentes!$B$273:$B$284,$A80,[1]Desglose_BOM_Componentes!$AE$273:$AE$284,"Sin precio",[1]Desglose_BOM_Componentes!$X$273:$X$284,"Formulación")&gt;0,"n.d.",SUMIFS([1]Desglose_BOM_Componentes!$AC$273:$AC$284,[1]Desglose_BOM_Componentes!$B$273:$B$284,$A80,[1]Desglose_BOM_Componentes!$X$273:$X$284,"Formulación"))</f>
        <v>1.0178830000000001</v>
      </c>
      <c r="E80" s="4">
        <f>IF(COUNTIFS([1]Desglose_BOM_Componentes!$B$273:$B$284,$A80,[1]Desglose_BOM_Componentes!$AE$273:$AE$284,"Sin precio",[1]Desglose_BOM_Componentes!$X$273:$X$284,"Empaquetado")&gt;0,"n.d.",SUMIFS([1]Desglose_BOM_Componentes!$AC$273:$AC$284,[1]Desglose_BOM_Componentes!$B$273:$B$284,$A80,[1]Desglose_BOM_Componentes!$X$273:$X$284,"Empaquetado"))</f>
        <v>1.0859479144143824</v>
      </c>
      <c r="F80" s="6">
        <f t="shared" si="8"/>
        <v>2.1080309144143827</v>
      </c>
      <c r="G80" s="4">
        <f>IF(COUNTIFS([1]Desglose_BOM_Componentes!$B$273:$B$284,$A80,[1]Desglose_BOM_Componentes!$AE$273:$AE$284,"Sin precio",[1]Desglose_BOM_Componentes!$X$273:$X$284,"Formulación")&gt;0,"n.d.",SUMIFS([1]Desglose_BOM_Componentes!$AD$273:$AD$284,[1]Desglose_BOM_Componentes!$B$273:$B$284,$A80,[1]Desglose_BOM_Componentes!$X$273:$X$284,"Formulación"))</f>
        <v>0.81597157142857146</v>
      </c>
      <c r="H80" s="4">
        <f>IF(COUNTIFS([1]Desglose_BOM_Componentes!$B$273:$B$284,$A80,[1]Desglose_BOM_Componentes!$AE$273:$AE$284,"Sin precio",[1]Desglose_BOM_Componentes!$X$273:$X$284,"Empaquetado")&gt;0,"n.d.",SUMIFS([1]Desglose_BOM_Componentes!$AD$273:$AD$284,[1]Desglose_BOM_Componentes!$B$273:$B$284,$A80,[1]Desglose_BOM_Componentes!$X$273:$X$284,"Empaquetado"))</f>
        <v>0.95531458108104916</v>
      </c>
      <c r="I80" s="6">
        <f t="shared" si="9"/>
        <v>1.7754861525096206</v>
      </c>
      <c r="J80" s="1" t="str">
        <f t="shared" si="7"/>
        <v>Completo</v>
      </c>
      <c r="K80" s="1">
        <f>COUNTIFS([1]Desglose_BOM_Componentes!$B$273:$B$284,$A80,[1]Desglose_BOM_Componentes!$AE$273:$AE$284,"Sin precio")</f>
        <v>0</v>
      </c>
      <c r="L80" s="1" t="str">
        <f>IF('[1]Precios componentes'!D93="Sin precio","KF78; ","")&amp;IF('[1]Precios componentes'!D11="Sin precio","AGUA; ","")&amp;IF('[1]Precios componentes'!D155="Sin precio","UREL; ","")&amp;IF('[1]Precios componentes'!D79="Sin precio","GLBE; ","")&amp;IF('[1]Precios componentes'!D104="Sin precio","MAL; ","")&amp;IF('[1]Precios componentes'!D13="Sin precio","AMO;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81" spans="1:12" ht="22" customHeight="1">
      <c r="A81" s="1" t="s">
        <v>106</v>
      </c>
      <c r="B81" s="1" t="s">
        <v>18</v>
      </c>
      <c r="C81" s="1" t="s">
        <v>26</v>
      </c>
      <c r="D81" s="4">
        <f>IF(COUNTIFS([1]Desglose_BOM_Componentes!$B$285:$B$295,$A81,[1]Desglose_BOM_Componentes!$AE$285:$AE$295,"Sin precio",[1]Desglose_BOM_Componentes!$X$285:$X$295,"Formulación")&gt;0,"n.d.",SUMIFS([1]Desglose_BOM_Componentes!$AC$285:$AC$295,[1]Desglose_BOM_Componentes!$B$285:$B$295,$A81,[1]Desglose_BOM_Componentes!$X$285:$X$295,"Formulación"))</f>
        <v>1.0178830000000001</v>
      </c>
      <c r="E81" s="4">
        <f>IF(COUNTIFS([1]Desglose_BOM_Componentes!$B$285:$B$295,$A81,[1]Desglose_BOM_Componentes!$AE$285:$AE$295,"Sin precio",[1]Desglose_BOM_Componentes!$X$285:$X$295,"Empaquetado")&gt;0,"n.d.",SUMIFS([1]Desglose_BOM_Componentes!$AC$285:$AC$295,[1]Desglose_BOM_Componentes!$B$285:$B$295,$A81,[1]Desglose_BOM_Componentes!$X$285:$X$295,"Empaquetado"))</f>
        <v>0.24326489794470366</v>
      </c>
      <c r="F81" s="6">
        <f t="shared" si="8"/>
        <v>1.2653478979447037</v>
      </c>
      <c r="G81" s="4">
        <f>IF(COUNTIFS([1]Desglose_BOM_Componentes!$B$285:$B$295,$A81,[1]Desglose_BOM_Componentes!$AE$285:$AE$295,"Sin precio",[1]Desglose_BOM_Componentes!$X$285:$X$295,"Formulación")&gt;0,"n.d.",SUMIFS([1]Desglose_BOM_Componentes!$AD$285:$AD$295,[1]Desglose_BOM_Componentes!$B$285:$B$295,$A81,[1]Desglose_BOM_Componentes!$X$285:$X$295,"Formulación"))</f>
        <v>0.81597157142857146</v>
      </c>
      <c r="H81" s="4">
        <f>IF(COUNTIFS([1]Desglose_BOM_Componentes!$B$285:$B$295,$A81,[1]Desglose_BOM_Componentes!$AE$285:$AE$295,"Sin precio",[1]Desglose_BOM_Componentes!$X$285:$X$295,"Empaquetado")&gt;0,"n.d.",SUMIFS([1]Desglose_BOM_Componentes!$AD$285:$AD$295,[1]Desglose_BOM_Componentes!$B$285:$B$295,$A81,[1]Desglose_BOM_Componentes!$X$285:$X$295,"Empaquetado"))</f>
        <v>0.24326489794470366</v>
      </c>
      <c r="I81" s="6">
        <f t="shared" si="9"/>
        <v>1.0634364693732752</v>
      </c>
      <c r="J81" s="1" t="str">
        <f t="shared" si="7"/>
        <v>Completo</v>
      </c>
      <c r="K81" s="1">
        <f>COUNTIFS([1]Desglose_BOM_Componentes!$B$285:$B$295,$A81,[1]Desglose_BOM_Componentes!$AE$285:$AE$295,"Sin precio")</f>
        <v>0</v>
      </c>
      <c r="L81" s="1" t="str">
        <f>IF('[1]Precios componentes'!D93="Sin precio","KF78; ","")&amp;IF('[1]Precios componentes'!D11="Sin precio","AGUA; ","")&amp;IF('[1]Precios componentes'!D155="Sin precio","UREL; ","")&amp;IF('[1]Precios componentes'!D79="Sin precio","GLBE; ","")&amp;IF('[1]Precios componentes'!D104="Sin precio","MAL; ","")&amp;IF('[1]Precios componentes'!D13="Sin precio","AMO;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82" spans="1:12" ht="22" customHeight="1">
      <c r="A82" s="1" t="s">
        <v>107</v>
      </c>
      <c r="B82" s="1" t="s">
        <v>18</v>
      </c>
      <c r="C82" s="1" t="s">
        <v>19</v>
      </c>
      <c r="D82" s="4">
        <f>IF(COUNTIFS([1]Desglose_BOM_Componentes!$B$296:$B$306,$A82,[1]Desglose_BOM_Componentes!$AE$296:$AE$306,"Sin precio",[1]Desglose_BOM_Componentes!$X$296:$X$306,"Formulación")&gt;0,"n.d.",SUMIFS([1]Desglose_BOM_Componentes!$AC$296:$AC$306,[1]Desglose_BOM_Componentes!$B$296:$B$306,$A82,[1]Desglose_BOM_Componentes!$X$296:$X$306,"Formulación"))</f>
        <v>1.0178830000000001</v>
      </c>
      <c r="E82" s="4">
        <f>IF(COUNTIFS([1]Desglose_BOM_Componentes!$B$296:$B$306,$A82,[1]Desglose_BOM_Componentes!$AE$296:$AE$306,"Sin precio",[1]Desglose_BOM_Componentes!$X$296:$X$306,"Empaquetado")&gt;0,"n.d.",SUMIFS([1]Desglose_BOM_Componentes!$AC$296:$AC$306,[1]Desglose_BOM_Componentes!$B$296:$B$306,$A82,[1]Desglose_BOM_Componentes!$X$296:$X$306,"Empaquetado"))</f>
        <v>0.24326489794470366</v>
      </c>
      <c r="F82" s="6">
        <f t="shared" si="8"/>
        <v>1.2653478979447037</v>
      </c>
      <c r="G82" s="4">
        <f>IF(COUNTIFS([1]Desglose_BOM_Componentes!$B$296:$B$306,$A82,[1]Desglose_BOM_Componentes!$AE$296:$AE$306,"Sin precio",[1]Desglose_BOM_Componentes!$X$296:$X$306,"Formulación")&gt;0,"n.d.",SUMIFS([1]Desglose_BOM_Componentes!$AD$296:$AD$306,[1]Desglose_BOM_Componentes!$B$296:$B$306,$A82,[1]Desglose_BOM_Componentes!$X$296:$X$306,"Formulación"))</f>
        <v>0.81597157142857146</v>
      </c>
      <c r="H82" s="4">
        <f>IF(COUNTIFS([1]Desglose_BOM_Componentes!$B$296:$B$306,$A82,[1]Desglose_BOM_Componentes!$AE$296:$AE$306,"Sin precio",[1]Desglose_BOM_Componentes!$X$296:$X$306,"Empaquetado")&gt;0,"n.d.",SUMIFS([1]Desglose_BOM_Componentes!$AD$296:$AD$306,[1]Desglose_BOM_Componentes!$B$296:$B$306,$A82,[1]Desglose_BOM_Componentes!$X$296:$X$306,"Empaquetado"))</f>
        <v>0.24326489794470366</v>
      </c>
      <c r="I82" s="6">
        <f t="shared" si="9"/>
        <v>1.0634364693732752</v>
      </c>
      <c r="J82" s="1" t="str">
        <f t="shared" si="7"/>
        <v>Completo</v>
      </c>
      <c r="K82" s="1">
        <f>COUNTIFS([1]Desglose_BOM_Componentes!$B$296:$B$306,$A82,[1]Desglose_BOM_Componentes!$AE$296:$AE$306,"Sin precio")</f>
        <v>0</v>
      </c>
      <c r="L82" s="1" t="str">
        <f>IF('[1]Precios componentes'!D93="Sin precio","KF78; ","")&amp;IF('[1]Precios componentes'!D11="Sin precio","AGUA; ","")&amp;IF('[1]Precios componentes'!D155="Sin precio","UREL; ","")&amp;IF('[1]Precios componentes'!D79="Sin precio","GLBE; ","")&amp;IF('[1]Precios componentes'!D104="Sin precio","MAL; ","")&amp;IF('[1]Precios componentes'!D13="Sin precio","AMO;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83" spans="1:12" ht="22" customHeight="1">
      <c r="A83" s="1" t="s">
        <v>108</v>
      </c>
      <c r="B83" s="1" t="s">
        <v>18</v>
      </c>
      <c r="C83" s="1" t="s">
        <v>84</v>
      </c>
      <c r="D83" s="4">
        <f>IF(COUNTIFS([1]Desglose_BOM_Componentes!$B$307:$B$322,$A83,[1]Desglose_BOM_Componentes!$AE$307:$AE$322,"Sin precio",[1]Desglose_BOM_Componentes!$X$307:$X$322,"Formulación")&gt;0,"n.d.",SUMIFS([1]Desglose_BOM_Componentes!$AC$307:$AC$322,[1]Desglose_BOM_Componentes!$B$307:$B$322,$A83,[1]Desglose_BOM_Componentes!$X$307:$X$322,"Formulación"))</f>
        <v>1.0233759</v>
      </c>
      <c r="E83" s="4">
        <f>IF(COUNTIFS([1]Desglose_BOM_Componentes!$B$307:$B$322,$A83,[1]Desglose_BOM_Componentes!$AE$307:$AE$322,"Sin precio",[1]Desglose_BOM_Componentes!$X$307:$X$322,"Empaquetado")&gt;0,"n.d.",SUMIFS([1]Desglose_BOM_Componentes!$AC$307:$AC$322,[1]Desglose_BOM_Componentes!$B$307:$B$322,$A83,[1]Desglose_BOM_Componentes!$X$307:$X$322,"Empaquetado"))</f>
        <v>0.75344791441438252</v>
      </c>
      <c r="F83" s="6">
        <f t="shared" si="8"/>
        <v>1.7810238144143824</v>
      </c>
      <c r="G83" s="4">
        <f>IF(COUNTIFS([1]Desglose_BOM_Componentes!$B$307:$B$322,$A83,[1]Desglose_BOM_Componentes!$AE$307:$AE$322,"Sin precio",[1]Desglose_BOM_Componentes!$X$307:$X$322,"Formulación")&gt;0,"n.d.",SUMIFS([1]Desglose_BOM_Componentes!$AD$307:$AD$322,[1]Desglose_BOM_Componentes!$B$307:$B$322,$A83,[1]Desglose_BOM_Componentes!$X$307:$X$322,"Formulación"))</f>
        <v>0.79813841428571419</v>
      </c>
      <c r="H83" s="4">
        <f>IF(COUNTIFS([1]Desglose_BOM_Componentes!$B$307:$B$322,$A83,[1]Desglose_BOM_Componentes!$AE$307:$AE$322,"Sin precio",[1]Desglose_BOM_Componentes!$X$307:$X$322,"Empaquetado")&gt;0,"n.d.",SUMIFS([1]Desglose_BOM_Componentes!$AD$307:$AD$322,[1]Desglose_BOM_Componentes!$B$307:$B$322,$A83,[1]Desglose_BOM_Componentes!$X$307:$X$322,"Empaquetado"))</f>
        <v>0.75344791441438252</v>
      </c>
      <c r="I83" s="6">
        <f t="shared" si="9"/>
        <v>1.5557863287000968</v>
      </c>
      <c r="J83" s="1" t="str">
        <f t="shared" si="7"/>
        <v>Completo</v>
      </c>
      <c r="K83" s="1">
        <f>COUNTIFS([1]Desglose_BOM_Componentes!$B$307:$B$322,$A83,[1]Desglose_BOM_Componentes!$AE$307:$AE$322,"Sin precio")</f>
        <v>0</v>
      </c>
      <c r="L83" s="1" t="str">
        <f>IF('[1]Precios componentes'!D93="Sin precio","KF78; ","")&amp;IF('[1]Precios componentes'!D28="Sin precio","BORL; ","")&amp;IF('[1]Precios componentes'!D24="Sin precio","BET; ","")&amp;IF('[1]Precios componentes'!D104="Sin precio","MAL; ","")&amp;IF('[1]Precios componentes'!D107="Sin precio","MGO; ","")&amp;IF('[1]Precios componentes'!D13="Sin precio","AMO; ","")&amp;IF('[1]Precios componentes'!D84="Sin precio","GLUSO; ","")&amp;IF('[1]Precios componentes'!D80="Sin precio","GLI; ","")&amp;IF('[1]Precios componentes'!D156="Sin precio","VER;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84" spans="1:12" ht="22" customHeight="1">
      <c r="A84" s="1" t="s">
        <v>109</v>
      </c>
      <c r="B84" s="1" t="s">
        <v>18</v>
      </c>
      <c r="C84" s="1" t="s">
        <v>24</v>
      </c>
      <c r="D84" s="4">
        <f>IF(COUNTIFS([1]Desglose_BOM_Componentes!$B$323:$B$338,$A84,[1]Desglose_BOM_Componentes!$AE$323:$AE$338,"Sin precio",[1]Desglose_BOM_Componentes!$X$323:$X$338,"Formulación")&gt;0,"n.d.",SUMIFS([1]Desglose_BOM_Componentes!$AC$323:$AC$338,[1]Desglose_BOM_Componentes!$B$323:$B$338,$A84,[1]Desglose_BOM_Componentes!$X$323:$X$338,"Formulación"))</f>
        <v>1.0233759</v>
      </c>
      <c r="E84" s="4">
        <f>IF(COUNTIFS([1]Desglose_BOM_Componentes!$B$323:$B$338,$A84,[1]Desglose_BOM_Componentes!$AE$323:$AE$338,"Sin precio",[1]Desglose_BOM_Componentes!$X$323:$X$338,"Empaquetado")&gt;0,"n.d.",SUMIFS([1]Desglose_BOM_Componentes!$AC$323:$AC$338,[1]Desglose_BOM_Componentes!$B$323:$B$338,$A84,[1]Desglose_BOM_Componentes!$X$323:$X$338,"Empaquetado"))</f>
        <v>0.30928466819407258</v>
      </c>
      <c r="F84" s="6">
        <f t="shared" si="8"/>
        <v>1.3368605681940726</v>
      </c>
      <c r="G84" s="4">
        <f>IF(COUNTIFS([1]Desglose_BOM_Componentes!$B$323:$B$338,$A84,[1]Desglose_BOM_Componentes!$AE$323:$AE$338,"Sin precio",[1]Desglose_BOM_Componentes!$X$323:$X$338,"Formulación")&gt;0,"n.d.",SUMIFS([1]Desglose_BOM_Componentes!$AD$323:$AD$338,[1]Desglose_BOM_Componentes!$B$323:$B$338,$A84,[1]Desglose_BOM_Componentes!$X$323:$X$338,"Formulación"))</f>
        <v>0.79813841428571419</v>
      </c>
      <c r="H84" s="4">
        <f>IF(COUNTIFS([1]Desglose_BOM_Componentes!$B$323:$B$338,$A84,[1]Desglose_BOM_Componentes!$AE$323:$AE$338,"Sin precio",[1]Desglose_BOM_Componentes!$X$323:$X$338,"Empaquetado")&gt;0,"n.d.",SUMIFS([1]Desglose_BOM_Componentes!$AD$323:$AD$338,[1]Desglose_BOM_Componentes!$B$323:$B$338,$A84,[1]Desglose_BOM_Componentes!$X$323:$X$338,"Empaquetado"))</f>
        <v>0.30928466819407258</v>
      </c>
      <c r="I84" s="6">
        <f t="shared" si="9"/>
        <v>1.1116230824797868</v>
      </c>
      <c r="J84" s="1" t="str">
        <f t="shared" si="7"/>
        <v>Completo</v>
      </c>
      <c r="K84" s="1">
        <f>COUNTIFS([1]Desglose_BOM_Componentes!$B$323:$B$338,$A84,[1]Desglose_BOM_Componentes!$AE$323:$AE$338,"Sin precio")</f>
        <v>0</v>
      </c>
      <c r="L84" s="1" t="str">
        <f>IF('[1]Precios componentes'!D93="Sin precio","KF78; ","")&amp;IF('[1]Precios componentes'!D28="Sin precio","BORL; ","")&amp;IF('[1]Precios componentes'!D24="Sin precio","BET; ","")&amp;IF('[1]Precios componentes'!D104="Sin precio","MAL; ","")&amp;IF('[1]Precios componentes'!D107="Sin precio","MGO; ","")&amp;IF('[1]Precios componentes'!D13="Sin precio","AMO; ","")&amp;IF('[1]Precios componentes'!D84="Sin precio","GLUSO; ","")&amp;IF('[1]Precios componentes'!D80="Sin precio","GLI; ","")&amp;IF('[1]Precios componentes'!D156="Sin precio","VER; ","")&amp;IF('[1]Precios componentes'!D76="Sin precio","FOI; ","")&amp;IF('[1]Precios componentes'!D137="Sin precio","SOBRE 5L; ","")&amp;IF('[1]Precios componentes'!D115="Sin precio","PAL; ","")&amp;IF('[1]Precios componentes'!D149="Sin precio","TPD63I; ","")&amp;IF('[1]Precios componentes'!D63="Sin precio","ENV5220G; ","")&amp;IF('[1]Precios componentes'!D34="Sin precio","CAG; ","")&amp;IF('[1]Precios componentes'!D95="Sin precio","KIA250; ","")</f>
        <v/>
      </c>
    </row>
    <row r="85" spans="1:12" ht="22" customHeight="1">
      <c r="A85" s="1" t="s">
        <v>110</v>
      </c>
      <c r="B85" s="1" t="s">
        <v>18</v>
      </c>
      <c r="C85" s="1" t="s">
        <v>26</v>
      </c>
      <c r="D85" s="4">
        <f>IF(COUNTIFS([1]Desglose_BOM_Componentes!$B$339:$B$354,$A85,[1]Desglose_BOM_Componentes!$AE$339:$AE$354,"Sin precio",[1]Desglose_BOM_Componentes!$X$339:$X$354,"Formulación")&gt;0,"n.d.",SUMIFS([1]Desglose_BOM_Componentes!$AC$339:$AC$354,[1]Desglose_BOM_Componentes!$B$339:$B$354,$A85,[1]Desglose_BOM_Componentes!$X$339:$X$354,"Formulación"))</f>
        <v>1.0233759</v>
      </c>
      <c r="E85" s="4">
        <f>IF(COUNTIFS([1]Desglose_BOM_Componentes!$B$339:$B$354,$A85,[1]Desglose_BOM_Componentes!$AE$339:$AE$354,"Sin precio",[1]Desglose_BOM_Componentes!$X$339:$X$354,"Empaquetado")&gt;0,"n.d.",SUMIFS([1]Desglose_BOM_Componentes!$AC$339:$AC$354,[1]Desglose_BOM_Componentes!$B$339:$B$354,$A85,[1]Desglose_BOM_Componentes!$X$339:$X$354,"Empaquetado"))</f>
        <v>0.30928466819407258</v>
      </c>
      <c r="F85" s="6">
        <f t="shared" si="8"/>
        <v>1.3368605681940726</v>
      </c>
      <c r="G85" s="4">
        <f>IF(COUNTIFS([1]Desglose_BOM_Componentes!$B$339:$B$354,$A85,[1]Desglose_BOM_Componentes!$AE$339:$AE$354,"Sin precio",[1]Desglose_BOM_Componentes!$X$339:$X$354,"Formulación")&gt;0,"n.d.",SUMIFS([1]Desglose_BOM_Componentes!$AD$339:$AD$354,[1]Desglose_BOM_Componentes!$B$339:$B$354,$A85,[1]Desglose_BOM_Componentes!$X$339:$X$354,"Formulación"))</f>
        <v>0.79813841428571419</v>
      </c>
      <c r="H85" s="4">
        <f>IF(COUNTIFS([1]Desglose_BOM_Componentes!$B$339:$B$354,$A85,[1]Desglose_BOM_Componentes!$AE$339:$AE$354,"Sin precio",[1]Desglose_BOM_Componentes!$X$339:$X$354,"Empaquetado")&gt;0,"n.d.",SUMIFS([1]Desglose_BOM_Componentes!$AD$339:$AD$354,[1]Desglose_BOM_Componentes!$B$339:$B$354,$A85,[1]Desglose_BOM_Componentes!$X$339:$X$354,"Empaquetado"))</f>
        <v>0.30928466819407258</v>
      </c>
      <c r="I85" s="6">
        <f t="shared" si="9"/>
        <v>1.1116230824797868</v>
      </c>
      <c r="J85" s="1" t="str">
        <f t="shared" si="7"/>
        <v>Completo</v>
      </c>
      <c r="K85" s="1">
        <f>COUNTIFS([1]Desglose_BOM_Componentes!$B$339:$B$354,$A85,[1]Desglose_BOM_Componentes!$AE$339:$AE$354,"Sin precio")</f>
        <v>0</v>
      </c>
      <c r="L85" s="1" t="str">
        <f>IF('[1]Precios componentes'!D93="Sin precio","KF78; ","")&amp;IF('[1]Precios componentes'!D28="Sin precio","BORL; ","")&amp;IF('[1]Precios componentes'!D24="Sin precio","BET; ","")&amp;IF('[1]Precios componentes'!D104="Sin precio","MAL; ","")&amp;IF('[1]Precios componentes'!D107="Sin precio","MGO; ","")&amp;IF('[1]Precios componentes'!D13="Sin precio","AMO; ","")&amp;IF('[1]Precios componentes'!D84="Sin precio","GLUSO; ","")&amp;IF('[1]Precios componentes'!D80="Sin precio","GLI; ","")&amp;IF('[1]Precios componentes'!D156="Sin precio","VER; ","")&amp;IF('[1]Precios componentes'!D76="Sin precio","FOI; ","")&amp;IF('[1]Precios componentes'!D137="Sin precio","SOBRE 5L; ","")&amp;IF('[1]Precios componentes'!D115="Sin precio","PAL; ","")&amp;IF('[1]Precios componentes'!D149="Sin precio","TPD63I; ","")&amp;IF('[1]Precios componentes'!D63="Sin precio","ENV5220G; ","")&amp;IF('[1]Precios componentes'!D34="Sin precio","CAG; ","")&amp;IF('[1]Precios componentes'!D95="Sin precio","KIA250; ","")</f>
        <v/>
      </c>
    </row>
    <row r="86" spans="1:12" ht="22" customHeight="1">
      <c r="A86" s="1" t="s">
        <v>111</v>
      </c>
      <c r="B86" s="1" t="s">
        <v>18</v>
      </c>
      <c r="C86" s="1" t="s">
        <v>24</v>
      </c>
      <c r="D86" s="4">
        <f>IF(COUNTIFS([1]Desglose_BOM_Componentes!$B$355:$B$366,$A86,[1]Desglose_BOM_Componentes!$AE$355:$AE$366,"Sin precio",[1]Desglose_BOM_Componentes!$X$355:$X$366,"Formulación")&gt;0,"n.d.",SUMIFS([1]Desglose_BOM_Componentes!$AC$355:$AC$366,[1]Desglose_BOM_Componentes!$B$355:$B$366,$A86,[1]Desglose_BOM_Componentes!$X$355:$X$366,"Formulación"))</f>
        <v>1.0233759</v>
      </c>
      <c r="E86" s="4">
        <f>IF(COUNTIFS([1]Desglose_BOM_Componentes!$B$355:$B$366,$A86,[1]Desglose_BOM_Componentes!$AE$355:$AE$366,"Sin precio",[1]Desglose_BOM_Componentes!$X$355:$X$366,"Empaquetado")&gt;0,"n.d.",SUMIFS([1]Desglose_BOM_Componentes!$AC$355:$AC$366,[1]Desglose_BOM_Componentes!$B$355:$B$366,$A86,[1]Desglose_BOM_Componentes!$X$355:$X$366,"Empaquetado"))</f>
        <v>6.994759378174159E-2</v>
      </c>
      <c r="F86" s="6">
        <f t="shared" si="8"/>
        <v>1.0975234937817415</v>
      </c>
      <c r="G86" s="4">
        <f>IF(COUNTIFS([1]Desglose_BOM_Componentes!$B$355:$B$366,$A86,[1]Desglose_BOM_Componentes!$AE$355:$AE$366,"Sin precio",[1]Desglose_BOM_Componentes!$X$355:$X$366,"Formulación")&gt;0,"n.d.",SUMIFS([1]Desglose_BOM_Componentes!$AD$355:$AD$366,[1]Desglose_BOM_Componentes!$B$355:$B$366,$A86,[1]Desglose_BOM_Componentes!$X$355:$X$366,"Formulación"))</f>
        <v>0.79813841428571419</v>
      </c>
      <c r="H86" s="4">
        <f>IF(COUNTIFS([1]Desglose_BOM_Componentes!$B$355:$B$366,$A86,[1]Desglose_BOM_Componentes!$AE$355:$AE$366,"Sin precio",[1]Desglose_BOM_Componentes!$X$355:$X$366,"Empaquetado")&gt;0,"n.d.",SUMIFS([1]Desglose_BOM_Componentes!$AD$355:$AD$366,[1]Desglose_BOM_Componentes!$B$355:$B$366,$A86,[1]Desglose_BOM_Componentes!$X$355:$X$366,"Empaquetado"))</f>
        <v>6.994759378174159E-2</v>
      </c>
      <c r="I86" s="6">
        <f t="shared" si="9"/>
        <v>0.87228600806745571</v>
      </c>
      <c r="J86" s="1" t="str">
        <f t="shared" si="7"/>
        <v>Completo</v>
      </c>
      <c r="K86" s="1">
        <f>COUNTIFS([1]Desglose_BOM_Componentes!$B$355:$B$366,$A86,[1]Desglose_BOM_Componentes!$AE$355:$AE$366,"Sin precio")</f>
        <v>0</v>
      </c>
      <c r="L86" s="1" t="str">
        <f>IF('[1]Precios componentes'!D93="Sin precio","KF78; ","")&amp;IF('[1]Precios componentes'!D28="Sin precio","BORL; ","")&amp;IF('[1]Precios componentes'!D24="Sin precio","BET; ","")&amp;IF('[1]Precios componentes'!D104="Sin precio","MAL; ","")&amp;IF('[1]Precios componentes'!D107="Sin precio","MGO; ","")&amp;IF('[1]Precios componentes'!D13="Sin precio","AMO; ","")&amp;IF('[1]Precios componentes'!D84="Sin precio","GLUSO; ","")&amp;IF('[1]Precios componentes'!D80="Sin precio","GLI; ","")&amp;IF('[1]Precios componentes'!D156="Sin precio","VER; ","")&amp;IF('[1]Precios componentes'!D76="Sin precio","FOI; ","")&amp;IF('[1]Precios componentes'!D31="Sin precio","C1000R; ","")&amp;IF('[1]Precios componentes'!D95="Sin precio","KIA250; ","")</f>
        <v/>
      </c>
    </row>
    <row r="87" spans="1:12" ht="22" customHeight="1">
      <c r="A87" s="1" t="s">
        <v>112</v>
      </c>
      <c r="B87" s="1" t="s">
        <v>18</v>
      </c>
      <c r="C87" s="1" t="s">
        <v>32</v>
      </c>
      <c r="D87" s="4">
        <f>IF(COUNTIFS([1]Desglose_BOM_Componentes!$B$367:$B$382,$A87,[1]Desglose_BOM_Componentes!$AE$367:$AE$382,"Sin precio",[1]Desglose_BOM_Componentes!$X$367:$X$382,"Formulación")&gt;0,"n.d.",SUMIFS([1]Desglose_BOM_Componentes!$AC$367:$AC$382,[1]Desglose_BOM_Componentes!$B$367:$B$382,$A87,[1]Desglose_BOM_Componentes!$X$367:$X$382,"Formulación"))</f>
        <v>1.1114559000000002</v>
      </c>
      <c r="E87" s="4">
        <f>IF(COUNTIFS([1]Desglose_BOM_Componentes!$B$367:$B$382,$A87,[1]Desglose_BOM_Componentes!$AE$367:$AE$382,"Sin precio",[1]Desglose_BOM_Componentes!$X$367:$X$382,"Empaquetado")&gt;0,"n.d.",SUMIFS([1]Desglose_BOM_Componentes!$AC$367:$AC$382,[1]Desglose_BOM_Componentes!$B$367:$B$382,$A87,[1]Desglose_BOM_Componentes!$X$367:$X$382,"Empaquetado"))</f>
        <v>0.33288466819407253</v>
      </c>
      <c r="F87" s="6">
        <f t="shared" si="8"/>
        <v>1.4485405681940726</v>
      </c>
      <c r="G87" s="4">
        <f>IF(COUNTIFS([1]Desglose_BOM_Componentes!$B$367:$B$382,$A87,[1]Desglose_BOM_Componentes!$AE$367:$AE$382,"Sin precio",[1]Desglose_BOM_Componentes!$X$367:$X$382,"Formulación")&gt;0,"n.d.",SUMIFS([1]Desglose_BOM_Componentes!$AD$367:$AD$382,[1]Desglose_BOM_Componentes!$B$367:$B$382,$A87,[1]Desglose_BOM_Componentes!$X$367:$X$382,"Formulación"))</f>
        <v>0.86316525714285719</v>
      </c>
      <c r="H87" s="4">
        <f>IF(COUNTIFS([1]Desglose_BOM_Componentes!$B$367:$B$382,$A87,[1]Desglose_BOM_Componentes!$AE$367:$AE$382,"Sin precio",[1]Desglose_BOM_Componentes!$X$367:$X$382,"Empaquetado")&gt;0,"n.d.",SUMIFS([1]Desglose_BOM_Componentes!$AD$367:$AD$382,[1]Desglose_BOM_Componentes!$B$367:$B$382,$A87,[1]Desglose_BOM_Componentes!$X$367:$X$382,"Empaquetado"))</f>
        <v>0.33288466819407253</v>
      </c>
      <c r="I87" s="6">
        <f t="shared" si="9"/>
        <v>1.2002499253369296</v>
      </c>
      <c r="J87" s="1" t="str">
        <f t="shared" si="7"/>
        <v>Completo</v>
      </c>
      <c r="K87" s="1">
        <f>COUNTIFS([1]Desglose_BOM_Componentes!$B$367:$B$382,$A87,[1]Desglose_BOM_Componentes!$AE$367:$AE$382,"Sin precio")</f>
        <v>0</v>
      </c>
      <c r="L87" s="1" t="str">
        <f>IF('[1]Precios componentes'!D93="Sin precio","KF78; ","")&amp;IF('[1]Precios componentes'!D24="Sin precio","BET; ","")&amp;IF('[1]Precios componentes'!D104="Sin precio","MAL; ","")&amp;IF('[1]Precios componentes'!D107="Sin precio","MGO; ","")&amp;IF('[1]Precios componentes'!D106="Sin precio","MEA; ","")&amp;IF('[1]Precios componentes'!D84="Sin precio","GLUSO; ","")&amp;IF('[1]Precios componentes'!D27="Sin precio","BOR; ","")&amp;IF('[1]Precios componentes'!D80="Sin precio","GLI; ","")&amp;IF('[1]Precios componentes'!D156="Sin precio","VER; ","")&amp;IF('[1]Precios componentes'!D76="Sin precio","FOI; ","")&amp;IF('[1]Precios componentes'!D137="Sin precio","SOBRE 5L; ","")&amp;IF('[1]Precios componentes'!D115="Sin precio","PAL; ","")&amp;IF('[1]Precios componentes'!D151="Sin precio","TPD63VS; ","")&amp;IF('[1]Precios componentes'!D95="Sin precio","KIA250; ","")&amp;IF('[1]Precios componentes'!D63="Sin precio","ENV5220G; ","")&amp;IF('[1]Precios componentes'!D34="Sin precio","CAG; ","")</f>
        <v/>
      </c>
    </row>
    <row r="88" spans="1:12" ht="22" customHeight="1">
      <c r="A88" s="1" t="s">
        <v>113</v>
      </c>
      <c r="B88" s="1" t="s">
        <v>18</v>
      </c>
      <c r="C88" s="1" t="s">
        <v>24</v>
      </c>
      <c r="D88" s="4">
        <f>IF(COUNTIFS([1]Desglose_BOM_Componentes!$B$383:$B$397,$A88,[1]Desglose_BOM_Componentes!$AE$383:$AE$397,"Sin precio",[1]Desglose_BOM_Componentes!$X$383:$X$397,"Formulación")&gt;0,"n.d.",SUMIFS([1]Desglose_BOM_Componentes!$AC$383:$AC$397,[1]Desglose_BOM_Componentes!$B$383:$B$397,$A88,[1]Desglose_BOM_Componentes!$X$383:$X$397,"Formulación"))</f>
        <v>1.0233759</v>
      </c>
      <c r="E88" s="4">
        <f>IF(COUNTIFS([1]Desglose_BOM_Componentes!$B$383:$B$397,$A88,[1]Desglose_BOM_Componentes!$AE$383:$AE$397,"Sin precio",[1]Desglose_BOM_Componentes!$X$383:$X$397,"Empaquetado")&gt;0,"n.d.",SUMIFS([1]Desglose_BOM_Componentes!$AC$383:$AC$397,[1]Desglose_BOM_Componentes!$B$383:$B$397,$A88,[1]Desglose_BOM_Componentes!$X$383:$X$397,"Empaquetado"))</f>
        <v>0.23158280727404049</v>
      </c>
      <c r="F88" s="6">
        <f t="shared" si="8"/>
        <v>1.2591587072740404</v>
      </c>
      <c r="G88" s="4">
        <f>IF(COUNTIFS([1]Desglose_BOM_Componentes!$B$383:$B$397,$A88,[1]Desglose_BOM_Componentes!$AE$383:$AE$397,"Sin precio",[1]Desglose_BOM_Componentes!$X$383:$X$397,"Formulación")&gt;0,"n.d.",SUMIFS([1]Desglose_BOM_Componentes!$AD$383:$AD$397,[1]Desglose_BOM_Componentes!$B$383:$B$397,$A88,[1]Desglose_BOM_Componentes!$X$383:$X$397,"Formulación"))</f>
        <v>0.79813841428571419</v>
      </c>
      <c r="H88" s="4">
        <f>IF(COUNTIFS([1]Desglose_BOM_Componentes!$B$383:$B$397,$A88,[1]Desglose_BOM_Componentes!$AE$383:$AE$397,"Sin precio",[1]Desglose_BOM_Componentes!$X$383:$X$397,"Empaquetado")&gt;0,"n.d.",SUMIFS([1]Desglose_BOM_Componentes!$AD$383:$AD$397,[1]Desglose_BOM_Componentes!$B$383:$B$397,$A88,[1]Desglose_BOM_Componentes!$X$383:$X$397,"Empaquetado"))</f>
        <v>0.23158280727404049</v>
      </c>
      <c r="I88" s="6">
        <f t="shared" si="9"/>
        <v>1.0339212215597546</v>
      </c>
      <c r="J88" s="1" t="str">
        <f t="shared" si="7"/>
        <v>Completo</v>
      </c>
      <c r="K88" s="1">
        <f>COUNTIFS([1]Desglose_BOM_Componentes!$B$383:$B$397,$A88,[1]Desglose_BOM_Componentes!$AE$383:$AE$397,"Sin precio")</f>
        <v>0</v>
      </c>
      <c r="L88" s="1" t="str">
        <f>IF('[1]Precios componentes'!D93="Sin precio","KF78; ","")&amp;IF('[1]Precios componentes'!D28="Sin precio","BORL; ","")&amp;IF('[1]Precios componentes'!D24="Sin precio","BET; ","")&amp;IF('[1]Precios componentes'!D104="Sin precio","MAL; ","")&amp;IF('[1]Precios componentes'!D107="Sin precio","MGO; ","")&amp;IF('[1]Precios componentes'!D13="Sin precio","AMO; ","")&amp;IF('[1]Precios componentes'!D84="Sin precio","GLUSO; ","")&amp;IF('[1]Precios componentes'!D80="Sin precio","GLI; ","")&amp;IF('[1]Precios componentes'!D156="Sin precio","VER;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89" spans="1:12" ht="22" customHeight="1">
      <c r="A89" s="1" t="s">
        <v>114</v>
      </c>
      <c r="B89" s="1" t="s">
        <v>18</v>
      </c>
      <c r="C89" s="1" t="s">
        <v>26</v>
      </c>
      <c r="D89" s="4">
        <f>IF(COUNTIFS([1]Desglose_BOM_Componentes!$B$398:$B$412,$A89,[1]Desglose_BOM_Componentes!$AE$398:$AE$412,"Sin precio",[1]Desglose_BOM_Componentes!$X$398:$X$412,"Formulación")&gt;0,"n.d.",SUMIFS([1]Desglose_BOM_Componentes!$AC$398:$AC$412,[1]Desglose_BOM_Componentes!$B$398:$B$412,$A89,[1]Desglose_BOM_Componentes!$X$398:$X$412,"Formulación"))</f>
        <v>1.0233759</v>
      </c>
      <c r="E89" s="4">
        <f>IF(COUNTIFS([1]Desglose_BOM_Componentes!$B$398:$B$412,$A89,[1]Desglose_BOM_Componentes!$AE$398:$AE$412,"Sin precio",[1]Desglose_BOM_Componentes!$X$398:$X$412,"Empaquetado")&gt;0,"n.d.",SUMIFS([1]Desglose_BOM_Componentes!$AC$398:$AC$412,[1]Desglose_BOM_Componentes!$B$398:$B$412,$A89,[1]Desglose_BOM_Componentes!$X$398:$X$412,"Empaquetado"))</f>
        <v>0.23158280727404049</v>
      </c>
      <c r="F89" s="6">
        <f t="shared" si="8"/>
        <v>1.2591587072740404</v>
      </c>
      <c r="G89" s="4">
        <f>IF(COUNTIFS([1]Desglose_BOM_Componentes!$B$398:$B$412,$A89,[1]Desglose_BOM_Componentes!$AE$398:$AE$412,"Sin precio",[1]Desglose_BOM_Componentes!$X$398:$X$412,"Formulación")&gt;0,"n.d.",SUMIFS([1]Desglose_BOM_Componentes!$AD$398:$AD$412,[1]Desglose_BOM_Componentes!$B$398:$B$412,$A89,[1]Desglose_BOM_Componentes!$X$398:$X$412,"Formulación"))</f>
        <v>0.79813841428571419</v>
      </c>
      <c r="H89" s="4">
        <f>IF(COUNTIFS([1]Desglose_BOM_Componentes!$B$398:$B$412,$A89,[1]Desglose_BOM_Componentes!$AE$398:$AE$412,"Sin precio",[1]Desglose_BOM_Componentes!$X$398:$X$412,"Empaquetado")&gt;0,"n.d.",SUMIFS([1]Desglose_BOM_Componentes!$AD$398:$AD$412,[1]Desglose_BOM_Componentes!$B$398:$B$412,$A89,[1]Desglose_BOM_Componentes!$X$398:$X$412,"Empaquetado"))</f>
        <v>0.23158280727404049</v>
      </c>
      <c r="I89" s="6">
        <f t="shared" si="9"/>
        <v>1.0339212215597546</v>
      </c>
      <c r="J89" s="1" t="str">
        <f t="shared" si="7"/>
        <v>Completo</v>
      </c>
      <c r="K89" s="1">
        <f>COUNTIFS([1]Desglose_BOM_Componentes!$B$398:$B$412,$A89,[1]Desglose_BOM_Componentes!$AE$398:$AE$412,"Sin precio")</f>
        <v>0</v>
      </c>
      <c r="L89" s="1" t="str">
        <f>IF('[1]Precios componentes'!D93="Sin precio","KF78; ","")&amp;IF('[1]Precios componentes'!D28="Sin precio","BORL; ","")&amp;IF('[1]Precios componentes'!D24="Sin precio","BET; ","")&amp;IF('[1]Precios componentes'!D104="Sin precio","MAL; ","")&amp;IF('[1]Precios componentes'!D107="Sin precio","MGO; ","")&amp;IF('[1]Precios componentes'!D13="Sin precio","AMO; ","")&amp;IF('[1]Precios componentes'!D84="Sin precio","GLUSO; ","")&amp;IF('[1]Precios componentes'!D80="Sin precio","GLI; ","")&amp;IF('[1]Precios componentes'!D156="Sin precio","VER;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90" spans="1:12" ht="22" customHeight="1">
      <c r="A90" s="1" t="s">
        <v>115</v>
      </c>
      <c r="B90" s="1" t="s">
        <v>18</v>
      </c>
      <c r="C90" s="1" t="s">
        <v>116</v>
      </c>
      <c r="D90" s="4">
        <f>IF(COUNTIFS([1]Desglose_BOM_Componentes!$B$413:$B$424,$A90,[1]Desglose_BOM_Componentes!$AE$413:$AE$424,"Sin precio",[1]Desglose_BOM_Componentes!$X$413:$X$424,"Formulación")&gt;0,"n.d.",SUMIFS([1]Desglose_BOM_Componentes!$AC$413:$AC$424,[1]Desglose_BOM_Componentes!$B$413:$B$424,$A90,[1]Desglose_BOM_Componentes!$X$413:$X$424,"Formulación"))</f>
        <v>0.80712000000000006</v>
      </c>
      <c r="E90" s="4">
        <f>IF(COUNTIFS([1]Desglose_BOM_Componentes!$B$413:$B$424,$A90,[1]Desglose_BOM_Componentes!$AE$413:$AE$424,"Sin precio",[1]Desglose_BOM_Componentes!$X$413:$X$424,"Empaquetado")&gt;0,"n.d.",SUMIFS([1]Desglose_BOM_Componentes!$AC$413:$AC$424,[1]Desglose_BOM_Componentes!$B$413:$B$424,$A90,[1]Desglose_BOM_Componentes!$X$413:$X$424,"Empaquetado"))</f>
        <v>0.75344791441438252</v>
      </c>
      <c r="F90" s="6">
        <f t="shared" si="8"/>
        <v>1.5647679144143827</v>
      </c>
      <c r="G90" s="4">
        <f>IF(COUNTIFS([1]Desglose_BOM_Componentes!$B$413:$B$424,$A90,[1]Desglose_BOM_Componentes!$AE$413:$AE$424,"Sin precio",[1]Desglose_BOM_Componentes!$X$413:$X$424,"Formulación")&gt;0,"n.d.",SUMIFS([1]Desglose_BOM_Componentes!$AD$413:$AD$424,[1]Desglose_BOM_Componentes!$B$413:$B$424,$A90,[1]Desglose_BOM_Componentes!$X$413:$X$424,"Formulación"))</f>
        <v>0.71800700000000006</v>
      </c>
      <c r="H90" s="4">
        <f>IF(COUNTIFS([1]Desglose_BOM_Componentes!$B$413:$B$424,$A90,[1]Desglose_BOM_Componentes!$AE$413:$AE$424,"Sin precio",[1]Desglose_BOM_Componentes!$X$413:$X$424,"Empaquetado")&gt;0,"n.d.",SUMIFS([1]Desglose_BOM_Componentes!$AD$413:$AD$424,[1]Desglose_BOM_Componentes!$B$413:$B$424,$A90,[1]Desglose_BOM_Componentes!$X$413:$X$424,"Empaquetado"))</f>
        <v>0.75344791441438252</v>
      </c>
      <c r="I90" s="6">
        <f t="shared" si="9"/>
        <v>1.4756549144143825</v>
      </c>
      <c r="J90" s="1" t="str">
        <f t="shared" si="7"/>
        <v>Completo</v>
      </c>
      <c r="K90" s="1">
        <f>COUNTIFS([1]Desglose_BOM_Componentes!$B$413:$B$424,$A90,[1]Desglose_BOM_Componentes!$AE$413:$AE$424,"Sin precio")</f>
        <v>0</v>
      </c>
      <c r="L90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91" spans="1:12" ht="22" customHeight="1">
      <c r="A91" s="1" t="s">
        <v>117</v>
      </c>
      <c r="B91" s="1" t="s">
        <v>18</v>
      </c>
      <c r="C91" s="1" t="s">
        <v>81</v>
      </c>
      <c r="D91" s="4">
        <f>IF(COUNTIFS([1]Desglose_BOM_Componentes!$B$425:$B$436,$A91,[1]Desglose_BOM_Componentes!$AE$425:$AE$436,"Sin precio",[1]Desglose_BOM_Componentes!$X$425:$X$436,"Formulación")&gt;0,"n.d.",SUMIFS([1]Desglose_BOM_Componentes!$AC$425:$AC$436,[1]Desglose_BOM_Componentes!$B$425:$B$436,$A91,[1]Desglose_BOM_Componentes!$X$425:$X$436,"Formulación"))</f>
        <v>0.80712000000000006</v>
      </c>
      <c r="E91" s="4">
        <f>IF(COUNTIFS([1]Desglose_BOM_Componentes!$B$425:$B$436,$A91,[1]Desglose_BOM_Componentes!$AE$425:$AE$436,"Sin precio",[1]Desglose_BOM_Componentes!$X$425:$X$436,"Empaquetado")&gt;0,"n.d.",SUMIFS([1]Desglose_BOM_Componentes!$AC$425:$AC$436,[1]Desglose_BOM_Componentes!$B$425:$B$436,$A91,[1]Desglose_BOM_Componentes!$X$425:$X$436,"Empaquetado"))</f>
        <v>0.75344791441438252</v>
      </c>
      <c r="F91" s="6">
        <f t="shared" si="8"/>
        <v>1.5647679144143827</v>
      </c>
      <c r="G91" s="4">
        <f>IF(COUNTIFS([1]Desglose_BOM_Componentes!$B$425:$B$436,$A91,[1]Desglose_BOM_Componentes!$AE$425:$AE$436,"Sin precio",[1]Desglose_BOM_Componentes!$X$425:$X$436,"Formulación")&gt;0,"n.d.",SUMIFS([1]Desglose_BOM_Componentes!$AD$425:$AD$436,[1]Desglose_BOM_Componentes!$B$425:$B$436,$A91,[1]Desglose_BOM_Componentes!$X$425:$X$436,"Formulación"))</f>
        <v>0.71800700000000006</v>
      </c>
      <c r="H91" s="4">
        <f>IF(COUNTIFS([1]Desglose_BOM_Componentes!$B$425:$B$436,$A91,[1]Desglose_BOM_Componentes!$AE$425:$AE$436,"Sin precio",[1]Desglose_BOM_Componentes!$X$425:$X$436,"Empaquetado")&gt;0,"n.d.",SUMIFS([1]Desglose_BOM_Componentes!$AD$425:$AD$436,[1]Desglose_BOM_Componentes!$B$425:$B$436,$A91,[1]Desglose_BOM_Componentes!$X$425:$X$436,"Empaquetado"))</f>
        <v>0.75344791441438252</v>
      </c>
      <c r="I91" s="6">
        <f t="shared" si="9"/>
        <v>1.4756549144143825</v>
      </c>
      <c r="J91" s="1" t="str">
        <f t="shared" si="7"/>
        <v>Completo</v>
      </c>
      <c r="K91" s="1">
        <f>COUNTIFS([1]Desglose_BOM_Componentes!$B$425:$B$436,$A91,[1]Desglose_BOM_Componentes!$AE$425:$AE$436,"Sin precio")</f>
        <v>0</v>
      </c>
      <c r="L91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92" spans="1:12" ht="22" customHeight="1">
      <c r="A92" s="1" t="s">
        <v>118</v>
      </c>
      <c r="B92" s="1" t="s">
        <v>18</v>
      </c>
      <c r="C92" s="1" t="s">
        <v>19</v>
      </c>
      <c r="D92" s="4">
        <f>IF(COUNTIFS([1]Desglose_BOM_Componentes!$B$437:$B$448,$A92,[1]Desglose_BOM_Componentes!$AE$437:$AE$448,"Sin precio",[1]Desglose_BOM_Componentes!$X$437:$X$448,"Formulación")&gt;0,"n.d.",SUMIFS([1]Desglose_BOM_Componentes!$AC$437:$AC$448,[1]Desglose_BOM_Componentes!$B$437:$B$448,$A92,[1]Desglose_BOM_Componentes!$X$437:$X$448,"Formulación"))</f>
        <v>0.80712000000000006</v>
      </c>
      <c r="E92" s="4">
        <f>IF(COUNTIFS([1]Desglose_BOM_Componentes!$B$437:$B$448,$A92,[1]Desglose_BOM_Componentes!$AE$437:$AE$448,"Sin precio",[1]Desglose_BOM_Componentes!$X$437:$X$448,"Empaquetado")&gt;0,"n.d.",SUMIFS([1]Desglose_BOM_Componentes!$AC$437:$AC$448,[1]Desglose_BOM_Componentes!$B$437:$B$448,$A92,[1]Desglose_BOM_Componentes!$X$437:$X$448,"Empaquetado"))</f>
        <v>0.75344791441438252</v>
      </c>
      <c r="F92" s="6">
        <f t="shared" si="8"/>
        <v>1.5647679144143827</v>
      </c>
      <c r="G92" s="4">
        <f>IF(COUNTIFS([1]Desglose_BOM_Componentes!$B$437:$B$448,$A92,[1]Desglose_BOM_Componentes!$AE$437:$AE$448,"Sin precio",[1]Desglose_BOM_Componentes!$X$437:$X$448,"Formulación")&gt;0,"n.d.",SUMIFS([1]Desglose_BOM_Componentes!$AD$437:$AD$448,[1]Desglose_BOM_Componentes!$B$437:$B$448,$A92,[1]Desglose_BOM_Componentes!$X$437:$X$448,"Formulación"))</f>
        <v>0.71800700000000006</v>
      </c>
      <c r="H92" s="4">
        <f>IF(COUNTIFS([1]Desglose_BOM_Componentes!$B$437:$B$448,$A92,[1]Desglose_BOM_Componentes!$AE$437:$AE$448,"Sin precio",[1]Desglose_BOM_Componentes!$X$437:$X$448,"Empaquetado")&gt;0,"n.d.",SUMIFS([1]Desglose_BOM_Componentes!$AD$437:$AD$448,[1]Desglose_BOM_Componentes!$B$437:$B$448,$A92,[1]Desglose_BOM_Componentes!$X$437:$X$448,"Empaquetado"))</f>
        <v>0.75344791441438252</v>
      </c>
      <c r="I92" s="6">
        <f t="shared" si="9"/>
        <v>1.4756549144143825</v>
      </c>
      <c r="J92" s="1" t="str">
        <f t="shared" si="7"/>
        <v>Completo</v>
      </c>
      <c r="K92" s="1">
        <f>COUNTIFS([1]Desglose_BOM_Componentes!$B$437:$B$448,$A92,[1]Desglose_BOM_Componentes!$AE$437:$AE$448,"Sin precio")</f>
        <v>0</v>
      </c>
      <c r="L92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93" spans="1:12" ht="22" customHeight="1">
      <c r="A93" s="1" t="s">
        <v>119</v>
      </c>
      <c r="B93" s="1" t="s">
        <v>18</v>
      </c>
      <c r="C93" s="1" t="s">
        <v>116</v>
      </c>
      <c r="D93" s="4">
        <f>IF(COUNTIFS([1]Desglose_BOM_Componentes!$B$449:$B$460,$A93,[1]Desglose_BOM_Componentes!$AE$449:$AE$460,"Sin precio",[1]Desglose_BOM_Componentes!$X$449:$X$460,"Formulación")&gt;0,"n.d.",SUMIFS([1]Desglose_BOM_Componentes!$AC$449:$AC$460,[1]Desglose_BOM_Componentes!$B$449:$B$460,$A93,[1]Desglose_BOM_Componentes!$X$449:$X$460,"Formulación"))</f>
        <v>0.80712000000000006</v>
      </c>
      <c r="E93" s="4">
        <f>IF(COUNTIFS([1]Desglose_BOM_Componentes!$B$449:$B$460,$A93,[1]Desglose_BOM_Componentes!$AE$449:$AE$460,"Sin precio",[1]Desglose_BOM_Componentes!$X$449:$X$460,"Empaquetado")&gt;0,"n.d.",SUMIFS([1]Desglose_BOM_Componentes!$AC$449:$AC$460,[1]Desglose_BOM_Componentes!$B$449:$B$460,$A93,[1]Desglose_BOM_Componentes!$X$449:$X$460,"Empaquetado"))</f>
        <v>0.30928466819407252</v>
      </c>
      <c r="F93" s="6">
        <f t="shared" si="8"/>
        <v>1.1206046681940727</v>
      </c>
      <c r="G93" s="4">
        <f>IF(COUNTIFS([1]Desglose_BOM_Componentes!$B$449:$B$460,$A93,[1]Desglose_BOM_Componentes!$AE$449:$AE$460,"Sin precio",[1]Desglose_BOM_Componentes!$X$449:$X$460,"Formulación")&gt;0,"n.d.",SUMIFS([1]Desglose_BOM_Componentes!$AD$449:$AD$460,[1]Desglose_BOM_Componentes!$B$449:$B$460,$A93,[1]Desglose_BOM_Componentes!$X$449:$X$460,"Formulación"))</f>
        <v>0.71800700000000006</v>
      </c>
      <c r="H93" s="4">
        <f>IF(COUNTIFS([1]Desglose_BOM_Componentes!$B$449:$B$460,$A93,[1]Desglose_BOM_Componentes!$AE$449:$AE$460,"Sin precio",[1]Desglose_BOM_Componentes!$X$449:$X$460,"Empaquetado")&gt;0,"n.d.",SUMIFS([1]Desglose_BOM_Componentes!$AD$449:$AD$460,[1]Desglose_BOM_Componentes!$B$449:$B$460,$A93,[1]Desglose_BOM_Componentes!$X$449:$X$460,"Empaquetado"))</f>
        <v>0.30928466819407252</v>
      </c>
      <c r="I93" s="6">
        <f t="shared" si="9"/>
        <v>1.0314916681940725</v>
      </c>
      <c r="J93" s="1" t="str">
        <f t="shared" si="7"/>
        <v>Completo</v>
      </c>
      <c r="K93" s="1">
        <f>COUNTIFS([1]Desglose_BOM_Componentes!$B$449:$B$460,$A93,[1]Desglose_BOM_Componentes!$AE$449:$AE$460,"Sin precio")</f>
        <v>0</v>
      </c>
      <c r="L93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94" spans="1:12" ht="22" customHeight="1">
      <c r="A94" s="1" t="s">
        <v>120</v>
      </c>
      <c r="B94" s="1" t="s">
        <v>18</v>
      </c>
      <c r="C94" s="1" t="s">
        <v>81</v>
      </c>
      <c r="D94" s="4">
        <f>IF(COUNTIFS([1]Desglose_BOM_Componentes!$B$461:$B$472,$A94,[1]Desglose_BOM_Componentes!$AE$461:$AE$472,"Sin precio",[1]Desglose_BOM_Componentes!$X$461:$X$472,"Formulación")&gt;0,"n.d.",SUMIFS([1]Desglose_BOM_Componentes!$AC$461:$AC$472,[1]Desglose_BOM_Componentes!$B$461:$B$472,$A94,[1]Desglose_BOM_Componentes!$X$461:$X$472,"Formulación"))</f>
        <v>0.80712000000000006</v>
      </c>
      <c r="E94" s="4">
        <f>IF(COUNTIFS([1]Desglose_BOM_Componentes!$B$461:$B$472,$A94,[1]Desglose_BOM_Componentes!$AE$461:$AE$472,"Sin precio",[1]Desglose_BOM_Componentes!$X$461:$X$472,"Empaquetado")&gt;0,"n.d.",SUMIFS([1]Desglose_BOM_Componentes!$AC$461:$AC$472,[1]Desglose_BOM_Componentes!$B$461:$B$472,$A94,[1]Desglose_BOM_Componentes!$X$461:$X$472,"Empaquetado"))</f>
        <v>0.30928466819407252</v>
      </c>
      <c r="F94" s="6">
        <f t="shared" si="8"/>
        <v>1.1206046681940727</v>
      </c>
      <c r="G94" s="4">
        <f>IF(COUNTIFS([1]Desglose_BOM_Componentes!$B$461:$B$472,$A94,[1]Desglose_BOM_Componentes!$AE$461:$AE$472,"Sin precio",[1]Desglose_BOM_Componentes!$X$461:$X$472,"Formulación")&gt;0,"n.d.",SUMIFS([1]Desglose_BOM_Componentes!$AD$461:$AD$472,[1]Desglose_BOM_Componentes!$B$461:$B$472,$A94,[1]Desglose_BOM_Componentes!$X$461:$X$472,"Formulación"))</f>
        <v>0.71800700000000006</v>
      </c>
      <c r="H94" s="4">
        <f>IF(COUNTIFS([1]Desglose_BOM_Componentes!$B$461:$B$472,$A94,[1]Desglose_BOM_Componentes!$AE$461:$AE$472,"Sin precio",[1]Desglose_BOM_Componentes!$X$461:$X$472,"Empaquetado")&gt;0,"n.d.",SUMIFS([1]Desglose_BOM_Componentes!$AD$461:$AD$472,[1]Desglose_BOM_Componentes!$B$461:$B$472,$A94,[1]Desglose_BOM_Componentes!$X$461:$X$472,"Empaquetado"))</f>
        <v>0.30928466819407252</v>
      </c>
      <c r="I94" s="6">
        <f t="shared" si="9"/>
        <v>1.0314916681940725</v>
      </c>
      <c r="J94" s="1" t="str">
        <f t="shared" si="7"/>
        <v>Completo</v>
      </c>
      <c r="K94" s="1">
        <f>COUNTIFS([1]Desglose_BOM_Componentes!$B$461:$B$472,$A94,[1]Desglose_BOM_Componentes!$AE$461:$AE$472,"Sin precio")</f>
        <v>0</v>
      </c>
      <c r="L94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95" spans="1:12" ht="22" customHeight="1">
      <c r="A95" s="1" t="s">
        <v>121</v>
      </c>
      <c r="B95" s="1" t="s">
        <v>18</v>
      </c>
      <c r="C95" s="1" t="s">
        <v>19</v>
      </c>
      <c r="D95" s="4">
        <f>IF(COUNTIFS([1]Desglose_BOM_Componentes!$B$473:$B$484,$A95,[1]Desglose_BOM_Componentes!$AE$473:$AE$484,"Sin precio",[1]Desglose_BOM_Componentes!$X$473:$X$484,"Formulación")&gt;0,"n.d.",SUMIFS([1]Desglose_BOM_Componentes!$AC$473:$AC$484,[1]Desglose_BOM_Componentes!$B$473:$B$484,$A95,[1]Desglose_BOM_Componentes!$X$473:$X$484,"Formulación"))</f>
        <v>0.80712000000000006</v>
      </c>
      <c r="E95" s="4">
        <f>IF(COUNTIFS([1]Desglose_BOM_Componentes!$B$473:$B$484,$A95,[1]Desglose_BOM_Componentes!$AE$473:$AE$484,"Sin precio",[1]Desglose_BOM_Componentes!$X$473:$X$484,"Empaquetado")&gt;0,"n.d.",SUMIFS([1]Desglose_BOM_Componentes!$AC$473:$AC$484,[1]Desglose_BOM_Componentes!$B$473:$B$484,$A95,[1]Desglose_BOM_Componentes!$X$473:$X$484,"Empaquetado"))</f>
        <v>0.30928466819407252</v>
      </c>
      <c r="F95" s="6">
        <f t="shared" si="8"/>
        <v>1.1206046681940727</v>
      </c>
      <c r="G95" s="4">
        <f>IF(COUNTIFS([1]Desglose_BOM_Componentes!$B$473:$B$484,$A95,[1]Desglose_BOM_Componentes!$AE$473:$AE$484,"Sin precio",[1]Desglose_BOM_Componentes!$X$473:$X$484,"Formulación")&gt;0,"n.d.",SUMIFS([1]Desglose_BOM_Componentes!$AD$473:$AD$484,[1]Desglose_BOM_Componentes!$B$473:$B$484,$A95,[1]Desglose_BOM_Componentes!$X$473:$X$484,"Formulación"))</f>
        <v>0.71800700000000006</v>
      </c>
      <c r="H95" s="4">
        <f>IF(COUNTIFS([1]Desglose_BOM_Componentes!$B$473:$B$484,$A95,[1]Desglose_BOM_Componentes!$AE$473:$AE$484,"Sin precio",[1]Desglose_BOM_Componentes!$X$473:$X$484,"Empaquetado")&gt;0,"n.d.",SUMIFS([1]Desglose_BOM_Componentes!$AD$473:$AD$484,[1]Desglose_BOM_Componentes!$B$473:$B$484,$A95,[1]Desglose_BOM_Componentes!$X$473:$X$484,"Empaquetado"))</f>
        <v>0.30928466819407252</v>
      </c>
      <c r="I95" s="6">
        <f t="shared" si="9"/>
        <v>1.0314916681940725</v>
      </c>
      <c r="J95" s="1" t="str">
        <f t="shared" si="7"/>
        <v>Completo</v>
      </c>
      <c r="K95" s="1">
        <f>COUNTIFS([1]Desglose_BOM_Componentes!$B$473:$B$484,$A95,[1]Desglose_BOM_Componentes!$AE$473:$AE$484,"Sin precio")</f>
        <v>0</v>
      </c>
      <c r="L95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96" spans="1:12" ht="22" customHeight="1">
      <c r="A96" s="1" t="s">
        <v>122</v>
      </c>
      <c r="B96" s="1" t="s">
        <v>18</v>
      </c>
      <c r="C96" s="1" t="s">
        <v>24</v>
      </c>
      <c r="D96" s="4">
        <f>IF(COUNTIFS([1]Desglose_BOM_Componentes!$B$485:$B$495,$A96,[1]Desglose_BOM_Componentes!$AE$485:$AE$495,"Sin precio",[1]Desglose_BOM_Componentes!$X$485:$X$495,"Formulación")&gt;0,"n.d.",SUMIFS([1]Desglose_BOM_Componentes!$AC$485:$AC$495,[1]Desglose_BOM_Componentes!$B$485:$B$495,$A96,[1]Desglose_BOM_Componentes!$X$485:$X$495,"Formulación"))</f>
        <v>0.80712000000000006</v>
      </c>
      <c r="E96" s="4">
        <f>IF(COUNTIFS([1]Desglose_BOM_Componentes!$B$485:$B$495,$A96,[1]Desglose_BOM_Componentes!$AE$485:$AE$495,"Sin precio",[1]Desglose_BOM_Componentes!$X$485:$X$495,"Empaquetado")&gt;0,"n.d.",SUMIFS([1]Desglose_BOM_Componentes!$AC$485:$AC$495,[1]Desglose_BOM_Componentes!$B$485:$B$495,$A96,[1]Desglose_BOM_Componentes!$X$485:$X$495,"Empaquetado"))</f>
        <v>0.23235486609756989</v>
      </c>
      <c r="F96" s="6">
        <f t="shared" si="8"/>
        <v>1.0436748660975699</v>
      </c>
      <c r="G96" s="4">
        <f>IF(COUNTIFS([1]Desglose_BOM_Componentes!$B$485:$B$495,$A96,[1]Desglose_BOM_Componentes!$AE$485:$AE$495,"Sin precio",[1]Desglose_BOM_Componentes!$X$485:$X$495,"Formulación")&gt;0,"n.d.",SUMIFS([1]Desglose_BOM_Componentes!$AD$485:$AD$495,[1]Desglose_BOM_Componentes!$B$485:$B$495,$A96,[1]Desglose_BOM_Componentes!$X$485:$X$495,"Formulación"))</f>
        <v>0.71800700000000006</v>
      </c>
      <c r="H96" s="4">
        <f>IF(COUNTIFS([1]Desglose_BOM_Componentes!$B$485:$B$495,$A96,[1]Desglose_BOM_Componentes!$AE$485:$AE$495,"Sin precio",[1]Desglose_BOM_Componentes!$X$485:$X$495,"Empaquetado")&gt;0,"n.d.",SUMIFS([1]Desglose_BOM_Componentes!$AD$485:$AD$495,[1]Desglose_BOM_Componentes!$B$485:$B$495,$A96,[1]Desglose_BOM_Componentes!$X$485:$X$495,"Empaquetado"))</f>
        <v>0.23235486609756989</v>
      </c>
      <c r="I96" s="6">
        <f t="shared" si="9"/>
        <v>0.95456186609756988</v>
      </c>
      <c r="J96" s="1" t="str">
        <f t="shared" si="7"/>
        <v>Completo</v>
      </c>
      <c r="K96" s="1">
        <f>COUNTIFS([1]Desglose_BOM_Componentes!$B$485:$B$495,$A96,[1]Desglose_BOM_Componentes!$AE$485:$AE$495,"Sin precio")</f>
        <v>0</v>
      </c>
      <c r="L96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componentes'!D147="Sin precio","TPD61IV; ","")&amp;IF('[1]Precios componentes'!D61="Sin precio","ENV20; ","")</f>
        <v/>
      </c>
    </row>
    <row r="97" spans="1:12" ht="22" customHeight="1">
      <c r="A97" s="1" t="s">
        <v>123</v>
      </c>
      <c r="B97" s="1" t="s">
        <v>18</v>
      </c>
      <c r="C97" s="1" t="s">
        <v>116</v>
      </c>
      <c r="D97" s="4">
        <f>IF(COUNTIFS([1]Desglose_BOM_Componentes!$B$496:$B$506,$A97,[1]Desglose_BOM_Componentes!$AE$496:$AE$506,"Sin precio",[1]Desglose_BOM_Componentes!$X$496:$X$506,"Formulación")&gt;0,"n.d.",SUMIFS([1]Desglose_BOM_Componentes!$AC$496:$AC$506,[1]Desglose_BOM_Componentes!$B$496:$B$506,$A97,[1]Desglose_BOM_Componentes!$X$496:$X$506,"Formulación"))</f>
        <v>0.80712000000000006</v>
      </c>
      <c r="E97" s="4">
        <f>IF(COUNTIFS([1]Desglose_BOM_Componentes!$B$496:$B$506,$A97,[1]Desglose_BOM_Componentes!$AE$496:$AE$506,"Sin precio",[1]Desglose_BOM_Componentes!$X$496:$X$506,"Empaquetado")&gt;0,"n.d.",SUMIFS([1]Desglose_BOM_Componentes!$AC$496:$AC$506,[1]Desglose_BOM_Componentes!$B$496:$B$506,$A97,[1]Desglose_BOM_Componentes!$X$496:$X$506,"Empaquetado"))</f>
        <v>0.23235486609756989</v>
      </c>
      <c r="F97" s="6">
        <f t="shared" si="8"/>
        <v>1.0436748660975699</v>
      </c>
      <c r="G97" s="4">
        <f>IF(COUNTIFS([1]Desglose_BOM_Componentes!$B$496:$B$506,$A97,[1]Desglose_BOM_Componentes!$AE$496:$AE$506,"Sin precio",[1]Desglose_BOM_Componentes!$X$496:$X$506,"Formulación")&gt;0,"n.d.",SUMIFS([1]Desglose_BOM_Componentes!$AD$496:$AD$506,[1]Desglose_BOM_Componentes!$B$496:$B$506,$A97,[1]Desglose_BOM_Componentes!$X$496:$X$506,"Formulación"))</f>
        <v>0.71800700000000006</v>
      </c>
      <c r="H97" s="4">
        <f>IF(COUNTIFS([1]Desglose_BOM_Componentes!$B$496:$B$506,$A97,[1]Desglose_BOM_Componentes!$AE$496:$AE$506,"Sin precio",[1]Desglose_BOM_Componentes!$X$496:$X$506,"Empaquetado")&gt;0,"n.d.",SUMIFS([1]Desglose_BOM_Componentes!$AD$496:$AD$506,[1]Desglose_BOM_Componentes!$B$496:$B$506,$A97,[1]Desglose_BOM_Componentes!$X$496:$X$506,"Empaquetado"))</f>
        <v>0.23235486609756989</v>
      </c>
      <c r="I97" s="6">
        <f t="shared" si="9"/>
        <v>0.95456186609756988</v>
      </c>
      <c r="J97" s="1" t="str">
        <f t="shared" si="7"/>
        <v>Completo</v>
      </c>
      <c r="K97" s="1">
        <f>COUNTIFS([1]Desglose_BOM_Componentes!$B$496:$B$506,$A97,[1]Desglose_BOM_Componentes!$AE$496:$AE$506,"Sin precio")</f>
        <v>0</v>
      </c>
      <c r="L97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componentes'!D147="Sin precio","TPD61IV; ","")&amp;IF('[1]Precios componentes'!D61="Sin precio","ENV20; ","")</f>
        <v/>
      </c>
    </row>
    <row r="98" spans="1:12" ht="22" customHeight="1">
      <c r="A98" s="1" t="s">
        <v>124</v>
      </c>
      <c r="B98" s="1" t="s">
        <v>18</v>
      </c>
      <c r="C98" s="1" t="s">
        <v>99</v>
      </c>
      <c r="D98" s="4">
        <f>IF(COUNTIFS([1]Desglose_BOM_Componentes!$B$507:$B$517,$A98,[1]Desglose_BOM_Componentes!$AE$507:$AE$517,"Sin precio",[1]Desglose_BOM_Componentes!$X$507:$X$517,"Formulación")&gt;0,"n.d.",SUMIFS([1]Desglose_BOM_Componentes!$AC$507:$AC$517,[1]Desglose_BOM_Componentes!$B$507:$B$517,$A98,[1]Desglose_BOM_Componentes!$X$507:$X$517,"Formulación"))</f>
        <v>0.80712000000000006</v>
      </c>
      <c r="E98" s="4">
        <f>IF(COUNTIFS([1]Desglose_BOM_Componentes!$B$507:$B$517,$A98,[1]Desglose_BOM_Componentes!$AE$507:$AE$517,"Sin precio",[1]Desglose_BOM_Componentes!$X$507:$X$517,"Empaquetado")&gt;0,"n.d.",SUMIFS([1]Desglose_BOM_Componentes!$AC$507:$AC$517,[1]Desglose_BOM_Componentes!$B$507:$B$517,$A98,[1]Desglose_BOM_Componentes!$X$507:$X$517,"Empaquetado"))</f>
        <v>0.23235486609756989</v>
      </c>
      <c r="F98" s="6">
        <f t="shared" si="8"/>
        <v>1.0436748660975699</v>
      </c>
      <c r="G98" s="4">
        <f>IF(COUNTIFS([1]Desglose_BOM_Componentes!$B$507:$B$517,$A98,[1]Desglose_BOM_Componentes!$AE$507:$AE$517,"Sin precio",[1]Desglose_BOM_Componentes!$X$507:$X$517,"Formulación")&gt;0,"n.d.",SUMIFS([1]Desglose_BOM_Componentes!$AD$507:$AD$517,[1]Desglose_BOM_Componentes!$B$507:$B$517,$A98,[1]Desglose_BOM_Componentes!$X$507:$X$517,"Formulación"))</f>
        <v>0.71800700000000006</v>
      </c>
      <c r="H98" s="4">
        <f>IF(COUNTIFS([1]Desglose_BOM_Componentes!$B$507:$B$517,$A98,[1]Desglose_BOM_Componentes!$AE$507:$AE$517,"Sin precio",[1]Desglose_BOM_Componentes!$X$507:$X$517,"Empaquetado")&gt;0,"n.d.",SUMIFS([1]Desglose_BOM_Componentes!$AD$507:$AD$517,[1]Desglose_BOM_Componentes!$B$507:$B$517,$A98,[1]Desglose_BOM_Componentes!$X$507:$X$517,"Empaquetado"))</f>
        <v>0.23235486609756989</v>
      </c>
      <c r="I98" s="6">
        <f t="shared" si="9"/>
        <v>0.95456186609756988</v>
      </c>
      <c r="J98" s="1" t="str">
        <f t="shared" si="7"/>
        <v>Completo</v>
      </c>
      <c r="K98" s="1">
        <f>COUNTIFS([1]Desglose_BOM_Componentes!$B$507:$B$517,$A98,[1]Desglose_BOM_Componentes!$AE$507:$AE$517,"Sin precio")</f>
        <v>0</v>
      </c>
      <c r="L98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componentes'!D147="Sin precio","TPD61IV; ","")&amp;IF('[1]Precios componentes'!D61="Sin precio","ENV20; ","")</f>
        <v/>
      </c>
    </row>
    <row r="99" spans="1:12" ht="22" customHeight="1">
      <c r="A99" s="1" t="s">
        <v>125</v>
      </c>
      <c r="B99" s="1" t="s">
        <v>18</v>
      </c>
      <c r="C99" s="1" t="s">
        <v>26</v>
      </c>
      <c r="D99" s="4">
        <f>IF(COUNTIFS([1]Desglose_BOM_Componentes!$B$518:$B$528,$A99,[1]Desglose_BOM_Componentes!$AE$518:$AE$528,"Sin precio",[1]Desglose_BOM_Componentes!$X$518:$X$528,"Formulación")&gt;0,"n.d.",SUMIFS([1]Desglose_BOM_Componentes!$AC$518:$AC$528,[1]Desglose_BOM_Componentes!$B$518:$B$528,$A99,[1]Desglose_BOM_Componentes!$X$518:$X$528,"Formulación"))</f>
        <v>0.80712000000000006</v>
      </c>
      <c r="E99" s="4">
        <f>IF(COUNTIFS([1]Desglose_BOM_Componentes!$B$518:$B$528,$A99,[1]Desglose_BOM_Componentes!$AE$518:$AE$528,"Sin precio",[1]Desglose_BOM_Componentes!$X$518:$X$528,"Empaquetado")&gt;0,"n.d.",SUMIFS([1]Desglose_BOM_Componentes!$AC$518:$AC$528,[1]Desglose_BOM_Componentes!$B$518:$B$528,$A99,[1]Desglose_BOM_Componentes!$X$518:$X$528,"Empaquetado"))</f>
        <v>0.23235486609756989</v>
      </c>
      <c r="F99" s="6">
        <f t="shared" si="8"/>
        <v>1.0436748660975699</v>
      </c>
      <c r="G99" s="4">
        <f>IF(COUNTIFS([1]Desglose_BOM_Componentes!$B$518:$B$528,$A99,[1]Desglose_BOM_Componentes!$AE$518:$AE$528,"Sin precio",[1]Desglose_BOM_Componentes!$X$518:$X$528,"Formulación")&gt;0,"n.d.",SUMIFS([1]Desglose_BOM_Componentes!$AD$518:$AD$528,[1]Desglose_BOM_Componentes!$B$518:$B$528,$A99,[1]Desglose_BOM_Componentes!$X$518:$X$528,"Formulación"))</f>
        <v>0.71800700000000006</v>
      </c>
      <c r="H99" s="4">
        <f>IF(COUNTIFS([1]Desglose_BOM_Componentes!$B$518:$B$528,$A99,[1]Desglose_BOM_Componentes!$AE$518:$AE$528,"Sin precio",[1]Desglose_BOM_Componentes!$X$518:$X$528,"Empaquetado")&gt;0,"n.d.",SUMIFS([1]Desglose_BOM_Componentes!$AD$518:$AD$528,[1]Desglose_BOM_Componentes!$B$518:$B$528,$A99,[1]Desglose_BOM_Componentes!$X$518:$X$528,"Empaquetado"))</f>
        <v>0.23235486609756989</v>
      </c>
      <c r="I99" s="6">
        <f t="shared" si="9"/>
        <v>0.95456186609756988</v>
      </c>
      <c r="J99" s="1" t="str">
        <f t="shared" si="7"/>
        <v>Completo</v>
      </c>
      <c r="K99" s="1">
        <f>COUNTIFS([1]Desglose_BOM_Componentes!$B$518:$B$528,$A99,[1]Desglose_BOM_Componentes!$AE$518:$AE$528,"Sin precio")</f>
        <v>0</v>
      </c>
      <c r="L99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componentes'!D147="Sin precio","TPD61IV; ","")&amp;IF('[1]Precios componentes'!D61="Sin precio","ENV20; ","")</f>
        <v/>
      </c>
    </row>
    <row r="100" spans="1:12" ht="22" customHeight="1">
      <c r="A100" s="1" t="s">
        <v>126</v>
      </c>
      <c r="B100" s="1" t="s">
        <v>18</v>
      </c>
      <c r="C100" s="1" t="s">
        <v>19</v>
      </c>
      <c r="D100" s="4">
        <f>IF(COUNTIFS([1]Desglose_BOM_Componentes!$B$529:$B$539,$A100,[1]Desglose_BOM_Componentes!$AE$529:$AE$539,"Sin precio",[1]Desglose_BOM_Componentes!$X$529:$X$539,"Formulación")&gt;0,"n.d.",SUMIFS([1]Desglose_BOM_Componentes!$AC$529:$AC$539,[1]Desglose_BOM_Componentes!$B$529:$B$539,$A100,[1]Desglose_BOM_Componentes!$X$529:$X$539,"Formulación"))</f>
        <v>0.80712000000000006</v>
      </c>
      <c r="E100" s="4">
        <f>IF(COUNTIFS([1]Desglose_BOM_Componentes!$B$529:$B$539,$A100,[1]Desglose_BOM_Componentes!$AE$529:$AE$539,"Sin precio",[1]Desglose_BOM_Componentes!$X$529:$X$539,"Empaquetado")&gt;0,"n.d.",SUMIFS([1]Desglose_BOM_Componentes!$AC$529:$AC$539,[1]Desglose_BOM_Componentes!$B$529:$B$539,$A100,[1]Desglose_BOM_Componentes!$X$529:$X$539,"Empaquetado"))</f>
        <v>0.23235486609756989</v>
      </c>
      <c r="F100" s="6">
        <f t="shared" si="8"/>
        <v>1.0436748660975699</v>
      </c>
      <c r="G100" s="4">
        <f>IF(COUNTIFS([1]Desglose_BOM_Componentes!$B$529:$B$539,$A100,[1]Desglose_BOM_Componentes!$AE$529:$AE$539,"Sin precio",[1]Desglose_BOM_Componentes!$X$529:$X$539,"Formulación")&gt;0,"n.d.",SUMIFS([1]Desglose_BOM_Componentes!$AD$529:$AD$539,[1]Desglose_BOM_Componentes!$B$529:$B$539,$A100,[1]Desglose_BOM_Componentes!$X$529:$X$539,"Formulación"))</f>
        <v>0.71800700000000006</v>
      </c>
      <c r="H100" s="4">
        <f>IF(COUNTIFS([1]Desglose_BOM_Componentes!$B$529:$B$539,$A100,[1]Desglose_BOM_Componentes!$AE$529:$AE$539,"Sin precio",[1]Desglose_BOM_Componentes!$X$529:$X$539,"Empaquetado")&gt;0,"n.d.",SUMIFS([1]Desglose_BOM_Componentes!$AD$529:$AD$539,[1]Desglose_BOM_Componentes!$B$529:$B$539,$A100,[1]Desglose_BOM_Componentes!$X$529:$X$539,"Empaquetado"))</f>
        <v>0.23235486609756989</v>
      </c>
      <c r="I100" s="6">
        <f t="shared" si="9"/>
        <v>0.95456186609756988</v>
      </c>
      <c r="J100" s="1" t="str">
        <f t="shared" si="7"/>
        <v>Completo</v>
      </c>
      <c r="K100" s="1">
        <f>COUNTIFS([1]Desglose_BOM_Componentes!$B$529:$B$539,$A100,[1]Desglose_BOM_Componentes!$AE$529:$AE$539,"Sin precio")</f>
        <v>0</v>
      </c>
      <c r="L100" s="1" t="str">
        <f>IF('[1]Precios componentes'!D90="Sin precio","HPOL; ","")&amp;IF('[1]Precios componentes'!D77="Sin precio","FOP; ","")&amp;IF('[1]Precios componentes'!D54="Sin precio","EDT; ","")&amp;IF('[1]Precios componentes'!D157="Sin precio","XT; ","")&amp;IF('[1]Precios componentes'!D24="Sin precio","BET;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componentes'!D147="Sin precio","TPD61IV; ","")&amp;IF('[1]Precios componentes'!D61="Sin precio","ENV20; ","")</f>
        <v/>
      </c>
    </row>
    <row r="101" spans="1:12" ht="22" customHeight="1">
      <c r="A101" s="1" t="s">
        <v>127</v>
      </c>
      <c r="B101" s="1" t="s">
        <v>18</v>
      </c>
      <c r="C101" s="1" t="s">
        <v>84</v>
      </c>
      <c r="D101" s="4">
        <f>IF(COUNTIFS([1]Desglose_BOM_Componentes!$B$568:$B$580,$A101,[1]Desglose_BOM_Componentes!$AE$568:$AE$580,"Sin precio",[1]Desglose_BOM_Componentes!$X$568:$X$580,"Formulación")&gt;0,"n.d.",SUMIFS([1]Desglose_BOM_Componentes!$AC$568:$AC$580,[1]Desglose_BOM_Componentes!$B$568:$B$580,$A101,[1]Desglose_BOM_Componentes!$X$568:$X$580,"Formulación"))</f>
        <v>0.81652000000000002</v>
      </c>
      <c r="E101" s="4">
        <f>IF(COUNTIFS([1]Desglose_BOM_Componentes!$B$568:$B$580,$A101,[1]Desglose_BOM_Componentes!$AE$568:$AE$580,"Sin precio",[1]Desglose_BOM_Componentes!$X$568:$X$580,"Empaquetado")&gt;0,"n.d.",SUMIFS([1]Desglose_BOM_Componentes!$AC$568:$AC$580,[1]Desglose_BOM_Componentes!$B$568:$B$580,$A101,[1]Desglose_BOM_Componentes!$X$568:$X$580,"Empaquetado"))</f>
        <v>0.75344791441438252</v>
      </c>
      <c r="F101" s="6">
        <f t="shared" si="8"/>
        <v>1.5741679144143825</v>
      </c>
      <c r="G101" s="4">
        <f>IF(COUNTIFS([1]Desglose_BOM_Componentes!$B$568:$B$580,$A101,[1]Desglose_BOM_Componentes!$AE$568:$AE$580,"Sin precio",[1]Desglose_BOM_Componentes!$X$568:$X$580,"Formulación")&gt;0,"n.d.",SUMIFS([1]Desglose_BOM_Componentes!$AD$568:$AD$580,[1]Desglose_BOM_Componentes!$B$568:$B$580,$A101,[1]Desglose_BOM_Componentes!$X$568:$X$580,"Formulación"))</f>
        <v>0.76639100000000004</v>
      </c>
      <c r="H101" s="4">
        <f>IF(COUNTIFS([1]Desglose_BOM_Componentes!$B$568:$B$580,$A101,[1]Desglose_BOM_Componentes!$AE$568:$AE$580,"Sin precio",[1]Desglose_BOM_Componentes!$X$568:$X$580,"Empaquetado")&gt;0,"n.d.",SUMIFS([1]Desglose_BOM_Componentes!$AD$568:$AD$580,[1]Desglose_BOM_Componentes!$B$568:$B$580,$A101,[1]Desglose_BOM_Componentes!$X$568:$X$580,"Empaquetado"))</f>
        <v>0.75344791441438252</v>
      </c>
      <c r="I101" s="6">
        <f t="shared" si="9"/>
        <v>1.5240389144143824</v>
      </c>
      <c r="J101" s="1" t="str">
        <f t="shared" si="7"/>
        <v>Completo</v>
      </c>
      <c r="K101" s="1">
        <f>COUNTIFS([1]Desglose_BOM_Componentes!$B$568:$B$580,$A101,[1]Desglose_BOM_Componentes!$AE$568:$AE$580,"Sin precio")</f>
        <v>0</v>
      </c>
      <c r="L101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02" spans="1:12" ht="22" customHeight="1">
      <c r="A102" s="1" t="s">
        <v>128</v>
      </c>
      <c r="B102" s="1" t="s">
        <v>18</v>
      </c>
      <c r="C102" s="1" t="s">
        <v>69</v>
      </c>
      <c r="D102" s="4">
        <f>IF(COUNTIFS([1]Desglose_BOM_Componentes!$B$581:$B$593,$A102,[1]Desglose_BOM_Componentes!$AE$581:$AE$593,"Sin precio",[1]Desglose_BOM_Componentes!$X$581:$X$593,"Formulación")&gt;0,"n.d.",SUMIFS([1]Desglose_BOM_Componentes!$AC$581:$AC$593,[1]Desglose_BOM_Componentes!$B$581:$B$593,$A102,[1]Desglose_BOM_Componentes!$X$581:$X$593,"Formulación"))</f>
        <v>0.81652000000000002</v>
      </c>
      <c r="E102" s="4">
        <f>IF(COUNTIFS([1]Desglose_BOM_Componentes!$B$581:$B$593,$A102,[1]Desglose_BOM_Componentes!$AE$581:$AE$593,"Sin precio",[1]Desglose_BOM_Componentes!$X$581:$X$593,"Empaquetado")&gt;0,"n.d.",SUMIFS([1]Desglose_BOM_Componentes!$AC$581:$AC$593,[1]Desglose_BOM_Componentes!$B$581:$B$593,$A102,[1]Desglose_BOM_Componentes!$X$581:$X$593,"Empaquetado"))</f>
        <v>0.75344791441438252</v>
      </c>
      <c r="F102" s="6">
        <f t="shared" si="8"/>
        <v>1.5741679144143825</v>
      </c>
      <c r="G102" s="4">
        <f>IF(COUNTIFS([1]Desglose_BOM_Componentes!$B$581:$B$593,$A102,[1]Desglose_BOM_Componentes!$AE$581:$AE$593,"Sin precio",[1]Desglose_BOM_Componentes!$X$581:$X$593,"Formulación")&gt;0,"n.d.",SUMIFS([1]Desglose_BOM_Componentes!$AD$581:$AD$593,[1]Desglose_BOM_Componentes!$B$581:$B$593,$A102,[1]Desglose_BOM_Componentes!$X$581:$X$593,"Formulación"))</f>
        <v>0.76639100000000004</v>
      </c>
      <c r="H102" s="4">
        <f>IF(COUNTIFS([1]Desglose_BOM_Componentes!$B$581:$B$593,$A102,[1]Desglose_BOM_Componentes!$AE$581:$AE$593,"Sin precio",[1]Desglose_BOM_Componentes!$X$581:$X$593,"Empaquetado")&gt;0,"n.d.",SUMIFS([1]Desglose_BOM_Componentes!$AD$581:$AD$593,[1]Desglose_BOM_Componentes!$B$581:$B$593,$A102,[1]Desglose_BOM_Componentes!$X$581:$X$593,"Empaquetado"))</f>
        <v>0.75344791441438252</v>
      </c>
      <c r="I102" s="6">
        <f t="shared" si="9"/>
        <v>1.5240389144143824</v>
      </c>
      <c r="J102" s="1" t="str">
        <f t="shared" si="7"/>
        <v>Completo</v>
      </c>
      <c r="K102" s="1">
        <f>COUNTIFS([1]Desglose_BOM_Componentes!$B$581:$B$593,$A102,[1]Desglose_BOM_Componentes!$AE$581:$AE$593,"Sin precio")</f>
        <v>0</v>
      </c>
      <c r="L102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03" spans="1:12" ht="22" customHeight="1">
      <c r="A103" s="1" t="s">
        <v>129</v>
      </c>
      <c r="B103" s="1" t="s">
        <v>18</v>
      </c>
      <c r="C103" s="1" t="s">
        <v>79</v>
      </c>
      <c r="D103" s="4">
        <f>IF(COUNTIFS([1]Desglose_BOM_Componentes!$B$594:$B$606,$A103,[1]Desglose_BOM_Componentes!$AE$594:$AE$606,"Sin precio",[1]Desglose_BOM_Componentes!$X$594:$X$606,"Formulación")&gt;0,"n.d.",SUMIFS([1]Desglose_BOM_Componentes!$AC$594:$AC$606,[1]Desglose_BOM_Componentes!$B$594:$B$606,$A103,[1]Desglose_BOM_Componentes!$X$594:$X$606,"Formulación"))</f>
        <v>0.81652000000000002</v>
      </c>
      <c r="E103" s="4">
        <f>IF(COUNTIFS([1]Desglose_BOM_Componentes!$B$594:$B$606,$A103,[1]Desglose_BOM_Componentes!$AE$594:$AE$606,"Sin precio",[1]Desglose_BOM_Componentes!$X$594:$X$606,"Empaquetado")&gt;0,"n.d.",SUMIFS([1]Desglose_BOM_Componentes!$AC$594:$AC$606,[1]Desglose_BOM_Componentes!$B$594:$B$606,$A103,[1]Desglose_BOM_Componentes!$X$594:$X$606,"Empaquetado"))</f>
        <v>0.75344791441438252</v>
      </c>
      <c r="F103" s="6">
        <f t="shared" si="8"/>
        <v>1.5741679144143825</v>
      </c>
      <c r="G103" s="4">
        <f>IF(COUNTIFS([1]Desglose_BOM_Componentes!$B$594:$B$606,$A103,[1]Desglose_BOM_Componentes!$AE$594:$AE$606,"Sin precio",[1]Desglose_BOM_Componentes!$X$594:$X$606,"Formulación")&gt;0,"n.d.",SUMIFS([1]Desglose_BOM_Componentes!$AD$594:$AD$606,[1]Desglose_BOM_Componentes!$B$594:$B$606,$A103,[1]Desglose_BOM_Componentes!$X$594:$X$606,"Formulación"))</f>
        <v>0.76639100000000004</v>
      </c>
      <c r="H103" s="4">
        <f>IF(COUNTIFS([1]Desglose_BOM_Componentes!$B$594:$B$606,$A103,[1]Desglose_BOM_Componentes!$AE$594:$AE$606,"Sin precio",[1]Desglose_BOM_Componentes!$X$594:$X$606,"Empaquetado")&gt;0,"n.d.",SUMIFS([1]Desglose_BOM_Componentes!$AD$594:$AD$606,[1]Desglose_BOM_Componentes!$B$594:$B$606,$A103,[1]Desglose_BOM_Componentes!$X$594:$X$606,"Empaquetado"))</f>
        <v>0.75344791441438252</v>
      </c>
      <c r="I103" s="6">
        <f t="shared" si="9"/>
        <v>1.5240389144143824</v>
      </c>
      <c r="J103" s="1" t="str">
        <f t="shared" si="7"/>
        <v>Completo</v>
      </c>
      <c r="K103" s="1">
        <f>COUNTIFS([1]Desglose_BOM_Componentes!$B$594:$B$606,$A103,[1]Desglose_BOM_Componentes!$AE$594:$AE$606,"Sin precio")</f>
        <v>0</v>
      </c>
      <c r="L103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04" spans="1:12" ht="22" customHeight="1">
      <c r="A104" s="1" t="s">
        <v>130</v>
      </c>
      <c r="B104" s="1" t="s">
        <v>18</v>
      </c>
      <c r="C104" s="1" t="s">
        <v>24</v>
      </c>
      <c r="D104" s="4">
        <f>IF(COUNTIFS([1]Desglose_BOM_Componentes!$B$607:$B$619,$A104,[1]Desglose_BOM_Componentes!$AE$607:$AE$619,"Sin precio",[1]Desglose_BOM_Componentes!$X$607:$X$619,"Formulación")&gt;0,"n.d.",SUMIFS([1]Desglose_BOM_Componentes!$AC$607:$AC$619,[1]Desglose_BOM_Componentes!$B$607:$B$619,$A104,[1]Desglose_BOM_Componentes!$X$607:$X$619,"Formulación"))</f>
        <v>0.81652000000000002</v>
      </c>
      <c r="E104" s="4">
        <f>IF(COUNTIFS([1]Desglose_BOM_Componentes!$B$607:$B$619,$A104,[1]Desglose_BOM_Componentes!$AE$607:$AE$619,"Sin precio",[1]Desglose_BOM_Componentes!$X$607:$X$619,"Empaquetado")&gt;0,"n.d.",SUMIFS([1]Desglose_BOM_Componentes!$AC$607:$AC$619,[1]Desglose_BOM_Componentes!$B$607:$B$619,$A104,[1]Desglose_BOM_Componentes!$X$607:$X$619,"Empaquetado"))</f>
        <v>0.30928466819407258</v>
      </c>
      <c r="F104" s="6">
        <f t="shared" si="8"/>
        <v>1.1300046681940725</v>
      </c>
      <c r="G104" s="4">
        <f>IF(COUNTIFS([1]Desglose_BOM_Componentes!$B$607:$B$619,$A104,[1]Desglose_BOM_Componentes!$AE$607:$AE$619,"Sin precio",[1]Desglose_BOM_Componentes!$X$607:$X$619,"Formulación")&gt;0,"n.d.",SUMIFS([1]Desglose_BOM_Componentes!$AD$607:$AD$619,[1]Desglose_BOM_Componentes!$B$607:$B$619,$A104,[1]Desglose_BOM_Componentes!$X$607:$X$619,"Formulación"))</f>
        <v>0.76639100000000004</v>
      </c>
      <c r="H104" s="4">
        <f>IF(COUNTIFS([1]Desglose_BOM_Componentes!$B$607:$B$619,$A104,[1]Desglose_BOM_Componentes!$AE$607:$AE$619,"Sin precio",[1]Desglose_BOM_Componentes!$X$607:$X$619,"Empaquetado")&gt;0,"n.d.",SUMIFS([1]Desglose_BOM_Componentes!$AD$607:$AD$619,[1]Desglose_BOM_Componentes!$B$607:$B$619,$A104,[1]Desglose_BOM_Componentes!$X$607:$X$619,"Empaquetado"))</f>
        <v>0.30928466819407258</v>
      </c>
      <c r="I104" s="6">
        <f t="shared" si="9"/>
        <v>1.0798756681940727</v>
      </c>
      <c r="J104" s="1" t="str">
        <f t="shared" si="7"/>
        <v>Completo</v>
      </c>
      <c r="K104" s="1">
        <f>COUNTIFS([1]Desglose_BOM_Componentes!$B$607:$B$619,$A104,[1]Desglose_BOM_Componentes!$AE$607:$AE$619,"Sin precio")</f>
        <v>0</v>
      </c>
      <c r="L104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componentes'!D149="Sin precio","TPD63I; ","")&amp;IF('[1]Precios componentes'!D34="Sin precio","CAG; ","")</f>
        <v/>
      </c>
    </row>
    <row r="105" spans="1:12" ht="22" customHeight="1">
      <c r="A105" s="1" t="s">
        <v>131</v>
      </c>
      <c r="B105" s="1" t="s">
        <v>18</v>
      </c>
      <c r="C105" s="1" t="s">
        <v>84</v>
      </c>
      <c r="D105" s="4">
        <f>IF(COUNTIFS([1]Desglose_BOM_Componentes!$B$620:$B$632,$A105,[1]Desglose_BOM_Componentes!$AE$620:$AE$632,"Sin precio",[1]Desglose_BOM_Componentes!$X$620:$X$632,"Formulación")&gt;0,"n.d.",SUMIFS([1]Desglose_BOM_Componentes!$AC$620:$AC$632,[1]Desglose_BOM_Componentes!$B$620:$B$632,$A105,[1]Desglose_BOM_Componentes!$X$620:$X$632,"Formulación"))</f>
        <v>0.81652000000000002</v>
      </c>
      <c r="E105" s="4">
        <f>IF(COUNTIFS([1]Desglose_BOM_Componentes!$B$620:$B$632,$A105,[1]Desglose_BOM_Componentes!$AE$620:$AE$632,"Sin precio",[1]Desglose_BOM_Componentes!$X$620:$X$632,"Empaquetado")&gt;0,"n.d.",SUMIFS([1]Desglose_BOM_Componentes!$AC$620:$AC$632,[1]Desglose_BOM_Componentes!$B$620:$B$632,$A105,[1]Desglose_BOM_Componentes!$X$620:$X$632,"Empaquetado"))</f>
        <v>0.30928466819407258</v>
      </c>
      <c r="F105" s="6">
        <f t="shared" si="8"/>
        <v>1.1300046681940725</v>
      </c>
      <c r="G105" s="4">
        <f>IF(COUNTIFS([1]Desglose_BOM_Componentes!$B$620:$B$632,$A105,[1]Desglose_BOM_Componentes!$AE$620:$AE$632,"Sin precio",[1]Desglose_BOM_Componentes!$X$620:$X$632,"Formulación")&gt;0,"n.d.",SUMIFS([1]Desglose_BOM_Componentes!$AD$620:$AD$632,[1]Desglose_BOM_Componentes!$B$620:$B$632,$A105,[1]Desglose_BOM_Componentes!$X$620:$X$632,"Formulación"))</f>
        <v>0.76639100000000004</v>
      </c>
      <c r="H105" s="4">
        <f>IF(COUNTIFS([1]Desglose_BOM_Componentes!$B$620:$B$632,$A105,[1]Desglose_BOM_Componentes!$AE$620:$AE$632,"Sin precio",[1]Desglose_BOM_Componentes!$X$620:$X$632,"Empaquetado")&gt;0,"n.d.",SUMIFS([1]Desglose_BOM_Componentes!$AD$620:$AD$632,[1]Desglose_BOM_Componentes!$B$620:$B$632,$A105,[1]Desglose_BOM_Componentes!$X$620:$X$632,"Empaquetado"))</f>
        <v>0.30928466819407258</v>
      </c>
      <c r="I105" s="6">
        <f t="shared" si="9"/>
        <v>1.0798756681940727</v>
      </c>
      <c r="J105" s="1" t="str">
        <f t="shared" si="7"/>
        <v>Completo</v>
      </c>
      <c r="K105" s="1">
        <f>COUNTIFS([1]Desglose_BOM_Componentes!$B$620:$B$632,$A105,[1]Desglose_BOM_Componentes!$AE$620:$AE$632,"Sin precio")</f>
        <v>0</v>
      </c>
      <c r="L105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componentes'!D149="Sin precio","TPD63I; ","")&amp;IF('[1]Precios componentes'!D34="Sin precio","CAG; ","")</f>
        <v/>
      </c>
    </row>
    <row r="106" spans="1:12" ht="22" customHeight="1">
      <c r="A106" s="1" t="s">
        <v>132</v>
      </c>
      <c r="B106" s="1" t="s">
        <v>18</v>
      </c>
      <c r="C106" s="1" t="s">
        <v>32</v>
      </c>
      <c r="D106" s="4">
        <f>IF(COUNTIFS([1]Desglose_BOM_Componentes!$B$633:$B$645,$A106,[1]Desglose_BOM_Componentes!$AE$633:$AE$645,"Sin precio",[1]Desglose_BOM_Componentes!$X$633:$X$645,"Formulación")&gt;0,"n.d.",SUMIFS([1]Desglose_BOM_Componentes!$AC$633:$AC$645,[1]Desglose_BOM_Componentes!$B$633:$B$645,$A106,[1]Desglose_BOM_Componentes!$X$633:$X$645,"Formulación"))</f>
        <v>0.81652000000000002</v>
      </c>
      <c r="E106" s="4">
        <f>IF(COUNTIFS([1]Desglose_BOM_Componentes!$B$633:$B$645,$A106,[1]Desglose_BOM_Componentes!$AE$633:$AE$645,"Sin precio",[1]Desglose_BOM_Componentes!$X$633:$X$645,"Empaquetado")&gt;0,"n.d.",SUMIFS([1]Desglose_BOM_Componentes!$AC$633:$AC$645,[1]Desglose_BOM_Componentes!$B$633:$B$645,$A106,[1]Desglose_BOM_Componentes!$X$633:$X$645,"Empaquetado"))</f>
        <v>0.30928466819407258</v>
      </c>
      <c r="F106" s="6">
        <f t="shared" si="8"/>
        <v>1.1300046681940725</v>
      </c>
      <c r="G106" s="4">
        <f>IF(COUNTIFS([1]Desglose_BOM_Componentes!$B$633:$B$645,$A106,[1]Desglose_BOM_Componentes!$AE$633:$AE$645,"Sin precio",[1]Desglose_BOM_Componentes!$X$633:$X$645,"Formulación")&gt;0,"n.d.",SUMIFS([1]Desglose_BOM_Componentes!$AD$633:$AD$645,[1]Desglose_BOM_Componentes!$B$633:$B$645,$A106,[1]Desglose_BOM_Componentes!$X$633:$X$645,"Formulación"))</f>
        <v>0.76639100000000004</v>
      </c>
      <c r="H106" s="4">
        <f>IF(COUNTIFS([1]Desglose_BOM_Componentes!$B$633:$B$645,$A106,[1]Desglose_BOM_Componentes!$AE$633:$AE$645,"Sin precio",[1]Desglose_BOM_Componentes!$X$633:$X$645,"Empaquetado")&gt;0,"n.d.",SUMIFS([1]Desglose_BOM_Componentes!$AD$633:$AD$645,[1]Desglose_BOM_Componentes!$B$633:$B$645,$A106,[1]Desglose_BOM_Componentes!$X$633:$X$645,"Empaquetado"))</f>
        <v>0.30928466819407258</v>
      </c>
      <c r="I106" s="6">
        <f t="shared" si="9"/>
        <v>1.0798756681940727</v>
      </c>
      <c r="J106" s="1" t="str">
        <f t="shared" si="7"/>
        <v>Completo</v>
      </c>
      <c r="K106" s="1">
        <f>COUNTIFS([1]Desglose_BOM_Componentes!$B$633:$B$645,$A106,[1]Desglose_BOM_Componentes!$AE$633:$AE$645,"Sin precio")</f>
        <v>0</v>
      </c>
      <c r="L106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componentes'!D149="Sin precio","TPD63I; ","")&amp;IF('[1]Precios componentes'!D34="Sin precio","CAG; ","")</f>
        <v/>
      </c>
    </row>
    <row r="107" spans="1:12" ht="22" customHeight="1">
      <c r="A107" s="1" t="s">
        <v>133</v>
      </c>
      <c r="B107" s="1" t="s">
        <v>18</v>
      </c>
      <c r="C107" s="1" t="s">
        <v>79</v>
      </c>
      <c r="D107" s="4">
        <f>IF(COUNTIFS([1]Desglose_BOM_Componentes!$B$646:$B$658,$A107,[1]Desglose_BOM_Componentes!$AE$646:$AE$658,"Sin precio",[1]Desglose_BOM_Componentes!$X$646:$X$658,"Formulación")&gt;0,"n.d.",SUMIFS([1]Desglose_BOM_Componentes!$AC$646:$AC$658,[1]Desglose_BOM_Componentes!$B$646:$B$658,$A107,[1]Desglose_BOM_Componentes!$X$646:$X$658,"Formulación"))</f>
        <v>0.81652000000000002</v>
      </c>
      <c r="E107" s="4">
        <f>IF(COUNTIFS([1]Desglose_BOM_Componentes!$B$646:$B$658,$A107,[1]Desglose_BOM_Componentes!$AE$646:$AE$658,"Sin precio",[1]Desglose_BOM_Componentes!$X$646:$X$658,"Empaquetado")&gt;0,"n.d.",SUMIFS([1]Desglose_BOM_Componentes!$AC$646:$AC$658,[1]Desglose_BOM_Componentes!$B$646:$B$658,$A107,[1]Desglose_BOM_Componentes!$X$646:$X$658,"Empaquetado"))</f>
        <v>0.30928466819407258</v>
      </c>
      <c r="F107" s="6">
        <f t="shared" si="8"/>
        <v>1.1300046681940725</v>
      </c>
      <c r="G107" s="4">
        <f>IF(COUNTIFS([1]Desglose_BOM_Componentes!$B$646:$B$658,$A107,[1]Desglose_BOM_Componentes!$AE$646:$AE$658,"Sin precio",[1]Desglose_BOM_Componentes!$X$646:$X$658,"Formulación")&gt;0,"n.d.",SUMIFS([1]Desglose_BOM_Componentes!$AD$646:$AD$658,[1]Desglose_BOM_Componentes!$B$646:$B$658,$A107,[1]Desglose_BOM_Componentes!$X$646:$X$658,"Formulación"))</f>
        <v>0.76639100000000004</v>
      </c>
      <c r="H107" s="4">
        <f>IF(COUNTIFS([1]Desglose_BOM_Componentes!$B$646:$B$658,$A107,[1]Desglose_BOM_Componentes!$AE$646:$AE$658,"Sin precio",[1]Desglose_BOM_Componentes!$X$646:$X$658,"Empaquetado")&gt;0,"n.d.",SUMIFS([1]Desglose_BOM_Componentes!$AD$646:$AD$658,[1]Desglose_BOM_Componentes!$B$646:$B$658,$A107,[1]Desglose_BOM_Componentes!$X$646:$X$658,"Empaquetado"))</f>
        <v>0.30928466819407258</v>
      </c>
      <c r="I107" s="6">
        <f t="shared" si="9"/>
        <v>1.0798756681940727</v>
      </c>
      <c r="J107" s="1" t="str">
        <f t="shared" si="7"/>
        <v>Completo</v>
      </c>
      <c r="K107" s="1">
        <f>COUNTIFS([1]Desglose_BOM_Componentes!$B$646:$B$658,$A107,[1]Desglose_BOM_Componentes!$AE$646:$AE$658,"Sin precio")</f>
        <v>0</v>
      </c>
      <c r="L107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componentes'!D149="Sin precio","TPD63I; ","")&amp;IF('[1]Precios componentes'!D34="Sin precio","CAG; ","")</f>
        <v/>
      </c>
    </row>
    <row r="108" spans="1:12" ht="22" customHeight="1">
      <c r="A108" s="1" t="s">
        <v>134</v>
      </c>
      <c r="B108" s="1" t="s">
        <v>18</v>
      </c>
      <c r="C108" s="1" t="s">
        <v>135</v>
      </c>
      <c r="D108" s="4">
        <f>IF(COUNTIFS([1]Desglose_BOM_Componentes!$B$659:$B$671,$A108,[1]Desglose_BOM_Componentes!$AE$659:$AE$671,"Sin precio",[1]Desglose_BOM_Componentes!$X$659:$X$671,"Formulación")&gt;0,"n.d.",SUMIFS([1]Desglose_BOM_Componentes!$AC$659:$AC$671,[1]Desglose_BOM_Componentes!$B$659:$B$671,$A108,[1]Desglose_BOM_Componentes!$X$659:$X$671,"Formulación"))</f>
        <v>0.81652000000000002</v>
      </c>
      <c r="E108" s="4">
        <f>IF(COUNTIFS([1]Desglose_BOM_Componentes!$B$659:$B$671,$A108,[1]Desglose_BOM_Componentes!$AE$659:$AE$671,"Sin precio",[1]Desglose_BOM_Componentes!$X$659:$X$671,"Empaquetado")&gt;0,"n.d.",SUMIFS([1]Desglose_BOM_Componentes!$AC$659:$AC$671,[1]Desglose_BOM_Componentes!$B$659:$B$671,$A108,[1]Desglose_BOM_Componentes!$X$659:$X$671,"Empaquetado"))</f>
        <v>0.30928466819407258</v>
      </c>
      <c r="F108" s="6">
        <f t="shared" si="8"/>
        <v>1.1300046681940725</v>
      </c>
      <c r="G108" s="4">
        <f>IF(COUNTIFS([1]Desglose_BOM_Componentes!$B$659:$B$671,$A108,[1]Desglose_BOM_Componentes!$AE$659:$AE$671,"Sin precio",[1]Desglose_BOM_Componentes!$X$659:$X$671,"Formulación")&gt;0,"n.d.",SUMIFS([1]Desglose_BOM_Componentes!$AD$659:$AD$671,[1]Desglose_BOM_Componentes!$B$659:$B$671,$A108,[1]Desglose_BOM_Componentes!$X$659:$X$671,"Formulación"))</f>
        <v>0.76639100000000004</v>
      </c>
      <c r="H108" s="4">
        <f>IF(COUNTIFS([1]Desglose_BOM_Componentes!$B$659:$B$671,$A108,[1]Desglose_BOM_Componentes!$AE$659:$AE$671,"Sin precio",[1]Desglose_BOM_Componentes!$X$659:$X$671,"Empaquetado")&gt;0,"n.d.",SUMIFS([1]Desglose_BOM_Componentes!$AD$659:$AD$671,[1]Desglose_BOM_Componentes!$B$659:$B$671,$A108,[1]Desglose_BOM_Componentes!$X$659:$X$671,"Empaquetado"))</f>
        <v>0.30928466819407258</v>
      </c>
      <c r="I108" s="6">
        <f t="shared" si="9"/>
        <v>1.0798756681940727</v>
      </c>
      <c r="J108" s="1" t="str">
        <f t="shared" si="7"/>
        <v>Completo</v>
      </c>
      <c r="K108" s="1">
        <f>COUNTIFS([1]Desglose_BOM_Componentes!$B$659:$B$671,$A108,[1]Desglose_BOM_Componentes!$AE$659:$AE$671,"Sin precio")</f>
        <v>0</v>
      </c>
      <c r="L108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componentes'!D149="Sin precio","TPD63I; ","")&amp;IF('[1]Precios componentes'!D34="Sin precio","CAG; ","")</f>
        <v/>
      </c>
    </row>
    <row r="109" spans="1:12" ht="22" customHeight="1">
      <c r="A109" s="1" t="s">
        <v>136</v>
      </c>
      <c r="B109" s="1" t="s">
        <v>18</v>
      </c>
      <c r="C109" s="1" t="s">
        <v>24</v>
      </c>
      <c r="D109" s="4">
        <f>IF(COUNTIFS([1]Desglose_BOM_Componentes!$B$672:$B$683,$A109,[1]Desglose_BOM_Componentes!$AE$672:$AE$683,"Sin precio",[1]Desglose_BOM_Componentes!$X$672:$X$683,"Formulación")&gt;0,"n.d.",SUMIFS([1]Desglose_BOM_Componentes!$AC$672:$AC$683,[1]Desglose_BOM_Componentes!$B$672:$B$683,$A109,[1]Desglose_BOM_Componentes!$X$672:$X$683,"Formulación"))</f>
        <v>0.81652000000000002</v>
      </c>
      <c r="E109" s="4">
        <f>IF(COUNTIFS([1]Desglose_BOM_Componentes!$B$672:$B$683,$A109,[1]Desglose_BOM_Componentes!$AE$672:$AE$683,"Sin precio",[1]Desglose_BOM_Componentes!$X$672:$X$683,"Empaquetado")&gt;0,"n.d.",SUMIFS([1]Desglose_BOM_Componentes!$AC$672:$AC$683,[1]Desglose_BOM_Componentes!$B$672:$B$683,$A109,[1]Desglose_BOM_Componentes!$X$672:$X$683,"Empaquetado"))</f>
        <v>0.23158280727404049</v>
      </c>
      <c r="F109" s="6">
        <f t="shared" si="8"/>
        <v>1.0523028072740406</v>
      </c>
      <c r="G109" s="4">
        <f>IF(COUNTIFS([1]Desglose_BOM_Componentes!$B$672:$B$683,$A109,[1]Desglose_BOM_Componentes!$AE$672:$AE$683,"Sin precio",[1]Desglose_BOM_Componentes!$X$672:$X$683,"Formulación")&gt;0,"n.d.",SUMIFS([1]Desglose_BOM_Componentes!$AD$672:$AD$683,[1]Desglose_BOM_Componentes!$B$672:$B$683,$A109,[1]Desglose_BOM_Componentes!$X$672:$X$683,"Formulación"))</f>
        <v>0.76639100000000004</v>
      </c>
      <c r="H109" s="4">
        <f>IF(COUNTIFS([1]Desglose_BOM_Componentes!$B$672:$B$683,$A109,[1]Desglose_BOM_Componentes!$AE$672:$AE$683,"Sin precio",[1]Desglose_BOM_Componentes!$X$672:$X$683,"Empaquetado")&gt;0,"n.d.",SUMIFS([1]Desglose_BOM_Componentes!$AD$672:$AD$683,[1]Desglose_BOM_Componentes!$B$672:$B$683,$A109,[1]Desglose_BOM_Componentes!$X$672:$X$683,"Empaquetado"))</f>
        <v>0.23158280727404049</v>
      </c>
      <c r="I109" s="6">
        <f t="shared" si="9"/>
        <v>1.0021738072740405</v>
      </c>
      <c r="J109" s="1" t="str">
        <f t="shared" si="7"/>
        <v>Completo</v>
      </c>
      <c r="K109" s="1">
        <f>COUNTIFS([1]Desglose_BOM_Componentes!$B$672:$B$683,$A109,[1]Desglose_BOM_Componentes!$AE$672:$AE$683,"Sin precio")</f>
        <v>0</v>
      </c>
      <c r="L109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110" spans="1:12" ht="22" customHeight="1">
      <c r="A110" s="1" t="s">
        <v>137</v>
      </c>
      <c r="B110" s="1" t="s">
        <v>18</v>
      </c>
      <c r="C110" s="1" t="s">
        <v>84</v>
      </c>
      <c r="D110" s="4">
        <f>IF(COUNTIFS([1]Desglose_BOM_Componentes!$B$684:$B$695,$A110,[1]Desglose_BOM_Componentes!$AE$684:$AE$695,"Sin precio",[1]Desglose_BOM_Componentes!$X$684:$X$695,"Formulación")&gt;0,"n.d.",SUMIFS([1]Desglose_BOM_Componentes!$AC$684:$AC$695,[1]Desglose_BOM_Componentes!$B$684:$B$695,$A110,[1]Desglose_BOM_Componentes!$X$684:$X$695,"Formulación"))</f>
        <v>0.81652000000000002</v>
      </c>
      <c r="E110" s="4">
        <f>IF(COUNTIFS([1]Desglose_BOM_Componentes!$B$684:$B$695,$A110,[1]Desglose_BOM_Componentes!$AE$684:$AE$695,"Sin precio",[1]Desglose_BOM_Componentes!$X$684:$X$695,"Empaquetado")&gt;0,"n.d.",SUMIFS([1]Desglose_BOM_Componentes!$AC$684:$AC$695,[1]Desglose_BOM_Componentes!$B$684:$B$695,$A110,[1]Desglose_BOM_Componentes!$X$684:$X$695,"Empaquetado"))</f>
        <v>0.23158280727404049</v>
      </c>
      <c r="F110" s="6">
        <f t="shared" si="8"/>
        <v>1.0523028072740406</v>
      </c>
      <c r="G110" s="4">
        <f>IF(COUNTIFS([1]Desglose_BOM_Componentes!$B$684:$B$695,$A110,[1]Desglose_BOM_Componentes!$AE$684:$AE$695,"Sin precio",[1]Desglose_BOM_Componentes!$X$684:$X$695,"Formulación")&gt;0,"n.d.",SUMIFS([1]Desglose_BOM_Componentes!$AD$684:$AD$695,[1]Desglose_BOM_Componentes!$B$684:$B$695,$A110,[1]Desglose_BOM_Componentes!$X$684:$X$695,"Formulación"))</f>
        <v>0.76639100000000004</v>
      </c>
      <c r="H110" s="4">
        <f>IF(COUNTIFS([1]Desglose_BOM_Componentes!$B$684:$B$695,$A110,[1]Desglose_BOM_Componentes!$AE$684:$AE$695,"Sin precio",[1]Desglose_BOM_Componentes!$X$684:$X$695,"Empaquetado")&gt;0,"n.d.",SUMIFS([1]Desglose_BOM_Componentes!$AD$684:$AD$695,[1]Desglose_BOM_Componentes!$B$684:$B$695,$A110,[1]Desglose_BOM_Componentes!$X$684:$X$695,"Empaquetado"))</f>
        <v>0.23158280727404049</v>
      </c>
      <c r="I110" s="6">
        <f t="shared" si="9"/>
        <v>1.0021738072740405</v>
      </c>
      <c r="J110" s="1" t="str">
        <f t="shared" si="7"/>
        <v>Completo</v>
      </c>
      <c r="K110" s="1">
        <f>COUNTIFS([1]Desglose_BOM_Componentes!$B$684:$B$695,$A110,[1]Desglose_BOM_Componentes!$AE$684:$AE$695,"Sin precio")</f>
        <v>0</v>
      </c>
      <c r="L110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111" spans="1:12" ht="22" customHeight="1">
      <c r="A111" s="1" t="s">
        <v>138</v>
      </c>
      <c r="B111" s="1" t="s">
        <v>18</v>
      </c>
      <c r="C111" s="1" t="s">
        <v>26</v>
      </c>
      <c r="D111" s="4">
        <f>IF(COUNTIFS([1]Desglose_BOM_Componentes!$B$696:$B$707,$A111,[1]Desglose_BOM_Componentes!$AE$696:$AE$707,"Sin precio",[1]Desglose_BOM_Componentes!$X$696:$X$707,"Formulación")&gt;0,"n.d.",SUMIFS([1]Desglose_BOM_Componentes!$AC$696:$AC$707,[1]Desglose_BOM_Componentes!$B$696:$B$707,$A111,[1]Desglose_BOM_Componentes!$X$696:$X$707,"Formulación"))</f>
        <v>0.81652000000000002</v>
      </c>
      <c r="E111" s="4">
        <f>IF(COUNTIFS([1]Desglose_BOM_Componentes!$B$696:$B$707,$A111,[1]Desglose_BOM_Componentes!$AE$696:$AE$707,"Sin precio",[1]Desglose_BOM_Componentes!$X$696:$X$707,"Empaquetado")&gt;0,"n.d.",SUMIFS([1]Desglose_BOM_Componentes!$AC$696:$AC$707,[1]Desglose_BOM_Componentes!$B$696:$B$707,$A111,[1]Desglose_BOM_Componentes!$X$696:$X$707,"Empaquetado"))</f>
        <v>0.23158280727404049</v>
      </c>
      <c r="F111" s="6">
        <f t="shared" si="8"/>
        <v>1.0523028072740406</v>
      </c>
      <c r="G111" s="4">
        <f>IF(COUNTIFS([1]Desglose_BOM_Componentes!$B$696:$B$707,$A111,[1]Desglose_BOM_Componentes!$AE$696:$AE$707,"Sin precio",[1]Desglose_BOM_Componentes!$X$696:$X$707,"Formulación")&gt;0,"n.d.",SUMIFS([1]Desglose_BOM_Componentes!$AD$696:$AD$707,[1]Desglose_BOM_Componentes!$B$696:$B$707,$A111,[1]Desglose_BOM_Componentes!$X$696:$X$707,"Formulación"))</f>
        <v>0.76639100000000004</v>
      </c>
      <c r="H111" s="4">
        <f>IF(COUNTIFS([1]Desglose_BOM_Componentes!$B$696:$B$707,$A111,[1]Desglose_BOM_Componentes!$AE$696:$AE$707,"Sin precio",[1]Desglose_BOM_Componentes!$X$696:$X$707,"Empaquetado")&gt;0,"n.d.",SUMIFS([1]Desglose_BOM_Componentes!$AD$696:$AD$707,[1]Desglose_BOM_Componentes!$B$696:$B$707,$A111,[1]Desglose_BOM_Componentes!$X$696:$X$707,"Empaquetado"))</f>
        <v>0.23158280727404049</v>
      </c>
      <c r="I111" s="6">
        <f t="shared" si="9"/>
        <v>1.0021738072740405</v>
      </c>
      <c r="J111" s="1" t="str">
        <f t="shared" si="7"/>
        <v>Completo</v>
      </c>
      <c r="K111" s="1">
        <f>COUNTIFS([1]Desglose_BOM_Componentes!$B$696:$B$707,$A111,[1]Desglose_BOM_Componentes!$AE$696:$AE$707,"Sin precio")</f>
        <v>0</v>
      </c>
      <c r="L111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112" spans="1:12" ht="22" customHeight="1">
      <c r="A112" s="1" t="s">
        <v>139</v>
      </c>
      <c r="B112" s="1" t="s">
        <v>18</v>
      </c>
      <c r="C112" s="1" t="s">
        <v>135</v>
      </c>
      <c r="D112" s="4">
        <f>IF(COUNTIFS([1]Desglose_BOM_Componentes!$B$708:$B$719,$A112,[1]Desglose_BOM_Componentes!$AE$708:$AE$719,"Sin precio",[1]Desglose_BOM_Componentes!$X$708:$X$719,"Formulación")&gt;0,"n.d.",SUMIFS([1]Desglose_BOM_Componentes!$AC$708:$AC$719,[1]Desglose_BOM_Componentes!$B$708:$B$719,$A112,[1]Desglose_BOM_Componentes!$X$708:$X$719,"Formulación"))</f>
        <v>0.81652000000000002</v>
      </c>
      <c r="E112" s="4">
        <f>IF(COUNTIFS([1]Desglose_BOM_Componentes!$B$708:$B$719,$A112,[1]Desglose_BOM_Componentes!$AE$708:$AE$719,"Sin precio",[1]Desglose_BOM_Componentes!$X$708:$X$719,"Empaquetado")&gt;0,"n.d.",SUMIFS([1]Desglose_BOM_Componentes!$AC$708:$AC$719,[1]Desglose_BOM_Componentes!$B$708:$B$719,$A112,[1]Desglose_BOM_Componentes!$X$708:$X$719,"Empaquetado"))</f>
        <v>0.23158280727404049</v>
      </c>
      <c r="F112" s="6">
        <f t="shared" si="8"/>
        <v>1.0523028072740406</v>
      </c>
      <c r="G112" s="4">
        <f>IF(COUNTIFS([1]Desglose_BOM_Componentes!$B$708:$B$719,$A112,[1]Desglose_BOM_Componentes!$AE$708:$AE$719,"Sin precio",[1]Desglose_BOM_Componentes!$X$708:$X$719,"Formulación")&gt;0,"n.d.",SUMIFS([1]Desglose_BOM_Componentes!$AD$708:$AD$719,[1]Desglose_BOM_Componentes!$B$708:$B$719,$A112,[1]Desglose_BOM_Componentes!$X$708:$X$719,"Formulación"))</f>
        <v>0.76639100000000004</v>
      </c>
      <c r="H112" s="4">
        <f>IF(COUNTIFS([1]Desglose_BOM_Componentes!$B$708:$B$719,$A112,[1]Desglose_BOM_Componentes!$AE$708:$AE$719,"Sin precio",[1]Desglose_BOM_Componentes!$X$708:$X$719,"Empaquetado")&gt;0,"n.d.",SUMIFS([1]Desglose_BOM_Componentes!$AD$708:$AD$719,[1]Desglose_BOM_Componentes!$B$708:$B$719,$A112,[1]Desglose_BOM_Componentes!$X$708:$X$719,"Empaquetado"))</f>
        <v>0.23158280727404049</v>
      </c>
      <c r="I112" s="6">
        <f t="shared" si="9"/>
        <v>1.0021738072740405</v>
      </c>
      <c r="J112" s="1" t="str">
        <f t="shared" si="7"/>
        <v>Completo</v>
      </c>
      <c r="K112" s="1">
        <f>COUNTIFS([1]Desglose_BOM_Componentes!$B$708:$B$719,$A112,[1]Desglose_BOM_Componentes!$AE$708:$AE$719,"Sin precio")</f>
        <v>0</v>
      </c>
      <c r="L112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113" spans="1:12" ht="22" customHeight="1">
      <c r="A113" s="1" t="s">
        <v>140</v>
      </c>
      <c r="B113" s="1" t="s">
        <v>18</v>
      </c>
      <c r="C113" s="1" t="s">
        <v>19</v>
      </c>
      <c r="D113" s="4">
        <f>IF(COUNTIFS([1]Desglose_BOM_Componentes!$B$755:$B$767,$A113,[1]Desglose_BOM_Componentes!$AE$755:$AE$767,"Sin precio",[1]Desglose_BOM_Componentes!$X$755:$X$767,"Formulación")&gt;0,"n.d.",SUMIFS([1]Desglose_BOM_Componentes!$AC$755:$AC$767,[1]Desglose_BOM_Componentes!$B$755:$B$767,$A113,[1]Desglose_BOM_Componentes!$X$755:$X$767,"Formulación"))</f>
        <v>0.81652000000000002</v>
      </c>
      <c r="E113" s="4">
        <f>IF(COUNTIFS([1]Desglose_BOM_Componentes!$B$755:$B$767,$A113,[1]Desglose_BOM_Componentes!$AE$755:$AE$767,"Sin precio",[1]Desglose_BOM_Componentes!$X$755:$X$767,"Empaquetado")&gt;0,"n.d.",SUMIFS([1]Desglose_BOM_Componentes!$AC$755:$AC$767,[1]Desglose_BOM_Componentes!$B$755:$B$767,$A113,[1]Desglose_BOM_Componentes!$X$755:$X$767,"Empaquetado"))</f>
        <v>0.75344791441438252</v>
      </c>
      <c r="F113" s="6">
        <f t="shared" si="8"/>
        <v>1.5741679144143825</v>
      </c>
      <c r="G113" s="4">
        <f>IF(COUNTIFS([1]Desglose_BOM_Componentes!$B$755:$B$767,$A113,[1]Desglose_BOM_Componentes!$AE$755:$AE$767,"Sin precio",[1]Desglose_BOM_Componentes!$X$755:$X$767,"Formulación")&gt;0,"n.d.",SUMIFS([1]Desglose_BOM_Componentes!$AD$755:$AD$767,[1]Desglose_BOM_Componentes!$B$755:$B$767,$A113,[1]Desglose_BOM_Componentes!$X$755:$X$767,"Formulación"))</f>
        <v>0.76639100000000004</v>
      </c>
      <c r="H113" s="4">
        <f>IF(COUNTIFS([1]Desglose_BOM_Componentes!$B$755:$B$767,$A113,[1]Desglose_BOM_Componentes!$AE$755:$AE$767,"Sin precio",[1]Desglose_BOM_Componentes!$X$755:$X$767,"Empaquetado")&gt;0,"n.d.",SUMIFS([1]Desglose_BOM_Componentes!$AD$755:$AD$767,[1]Desglose_BOM_Componentes!$B$755:$B$767,$A113,[1]Desglose_BOM_Componentes!$X$755:$X$767,"Empaquetado"))</f>
        <v>0.75344791441438252</v>
      </c>
      <c r="I113" s="6">
        <f t="shared" si="9"/>
        <v>1.5240389144143824</v>
      </c>
      <c r="J113" s="1" t="str">
        <f t="shared" si="7"/>
        <v>Completo</v>
      </c>
      <c r="K113" s="1">
        <f>COUNTIFS([1]Desglose_BOM_Componentes!$B$755:$B$767,$A113,[1]Desglose_BOM_Componentes!$AE$755:$AE$767,"Sin precio")</f>
        <v>0</v>
      </c>
      <c r="L113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14" spans="1:12" ht="22" customHeight="1">
      <c r="A114" s="1" t="s">
        <v>141</v>
      </c>
      <c r="B114" s="1" t="s">
        <v>18</v>
      </c>
      <c r="C114" s="1" t="s">
        <v>24</v>
      </c>
      <c r="D114" s="4">
        <f>IF(COUNTIFS([1]Desglose_BOM_Componentes!$B$768:$B$779,$A114,[1]Desglose_BOM_Componentes!$AE$768:$AE$779,"Sin precio",[1]Desglose_BOM_Componentes!$X$768:$X$779,"Formulación")&gt;0,"n.d.",SUMIFS([1]Desglose_BOM_Componentes!$AC$768:$AC$779,[1]Desglose_BOM_Componentes!$B$768:$B$779,$A114,[1]Desglose_BOM_Componentes!$X$768:$X$779,"Formulación"))</f>
        <v>0.81652000000000002</v>
      </c>
      <c r="E114" s="4">
        <f>IF(COUNTIFS([1]Desglose_BOM_Componentes!$B$768:$B$779,$A114,[1]Desglose_BOM_Componentes!$AE$768:$AE$779,"Sin precio",[1]Desglose_BOM_Componentes!$X$768:$X$779,"Empaquetado")&gt;0,"n.d.",SUMIFS([1]Desglose_BOM_Componentes!$AC$768:$AC$779,[1]Desglose_BOM_Componentes!$B$768:$B$779,$A114,[1]Desglose_BOM_Componentes!$X$768:$X$779,"Empaquetado"))</f>
        <v>0.23158280727404046</v>
      </c>
      <c r="F114" s="6">
        <f t="shared" si="8"/>
        <v>1.0523028072740406</v>
      </c>
      <c r="G114" s="4">
        <f>IF(COUNTIFS([1]Desglose_BOM_Componentes!$B$768:$B$779,$A114,[1]Desglose_BOM_Componentes!$AE$768:$AE$779,"Sin precio",[1]Desglose_BOM_Componentes!$X$768:$X$779,"Formulación")&gt;0,"n.d.",SUMIFS([1]Desglose_BOM_Componentes!$AD$768:$AD$779,[1]Desglose_BOM_Componentes!$B$768:$B$779,$A114,[1]Desglose_BOM_Componentes!$X$768:$X$779,"Formulación"))</f>
        <v>0.76639100000000004</v>
      </c>
      <c r="H114" s="4">
        <f>IF(COUNTIFS([1]Desglose_BOM_Componentes!$B$768:$B$779,$A114,[1]Desglose_BOM_Componentes!$AE$768:$AE$779,"Sin precio",[1]Desglose_BOM_Componentes!$X$768:$X$779,"Empaquetado")&gt;0,"n.d.",SUMIFS([1]Desglose_BOM_Componentes!$AD$768:$AD$779,[1]Desglose_BOM_Componentes!$B$768:$B$779,$A114,[1]Desglose_BOM_Componentes!$X$768:$X$779,"Empaquetado"))</f>
        <v>0.23158280727404046</v>
      </c>
      <c r="I114" s="6">
        <f t="shared" si="9"/>
        <v>1.0021738072740405</v>
      </c>
      <c r="J114" s="1" t="str">
        <f t="shared" si="7"/>
        <v>Completo</v>
      </c>
      <c r="K114" s="1">
        <f>COUNTIFS([1]Desglose_BOM_Componentes!$B$768:$B$779,$A114,[1]Desglose_BOM_Componentes!$AE$768:$AE$779,"Sin precio")</f>
        <v>0</v>
      </c>
      <c r="L114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componentes'!D136="Sin precio","SOBRE 20L; ","")&amp;IF('[1]Precios componentes'!D115="Sin precio","PAL; ","")&amp;IF('[1]Precios componentes'!D95="Sin precio","KIA250; ","")&amp;IF('[1]Precios componentes'!D146="Sin precio","TPD61I; ","")&amp;IF('[1]Precios componentes'!D61="Sin precio","ENV20; ","")</f>
        <v/>
      </c>
    </row>
    <row r="115" spans="1:12" ht="22" customHeight="1">
      <c r="A115" s="1" t="s">
        <v>142</v>
      </c>
      <c r="B115" s="1" t="s">
        <v>18</v>
      </c>
      <c r="C115" s="1" t="s">
        <v>24</v>
      </c>
      <c r="D115" s="4">
        <f>IF(COUNTIFS([1]Desglose_BOM_Componentes!$B$789:$B$801,$A115,[1]Desglose_BOM_Componentes!$AE$789:$AE$801,"Sin precio",[1]Desglose_BOM_Componentes!$X$789:$X$801,"Formulación")&gt;0,"n.d.",SUMIFS([1]Desglose_BOM_Componentes!$AC$789:$AC$801,[1]Desglose_BOM_Componentes!$B$789:$B$801,$A115,[1]Desglose_BOM_Componentes!$X$789:$X$801,"Formulación"))</f>
        <v>0.81652000000000002</v>
      </c>
      <c r="E115" s="4">
        <f>IF(COUNTIFS([1]Desglose_BOM_Componentes!$B$789:$B$801,$A115,[1]Desglose_BOM_Componentes!$AE$789:$AE$801,"Sin precio",[1]Desglose_BOM_Componentes!$X$789:$X$801,"Empaquetado")&gt;0,"n.d.",SUMIFS([1]Desglose_BOM_Componentes!$AC$789:$AC$801,[1]Desglose_BOM_Componentes!$B$789:$B$801,$A115,[1]Desglose_BOM_Componentes!$X$789:$X$801,"Empaquetado"))</f>
        <v>0.30928466819407252</v>
      </c>
      <c r="F115" s="6">
        <f t="shared" si="8"/>
        <v>1.1300046681940725</v>
      </c>
      <c r="G115" s="4">
        <f>IF(COUNTIFS([1]Desglose_BOM_Componentes!$B$789:$B$801,$A115,[1]Desglose_BOM_Componentes!$AE$789:$AE$801,"Sin precio",[1]Desglose_BOM_Componentes!$X$789:$X$801,"Formulación")&gt;0,"n.d.",SUMIFS([1]Desglose_BOM_Componentes!$AD$789:$AD$801,[1]Desglose_BOM_Componentes!$B$789:$B$801,$A115,[1]Desglose_BOM_Componentes!$X$789:$X$801,"Formulación"))</f>
        <v>0.76639100000000004</v>
      </c>
      <c r="H115" s="4">
        <f>IF(COUNTIFS([1]Desglose_BOM_Componentes!$B$789:$B$801,$A115,[1]Desglose_BOM_Componentes!$AE$789:$AE$801,"Sin precio",[1]Desglose_BOM_Componentes!$X$789:$X$801,"Empaquetado")&gt;0,"n.d.",SUMIFS([1]Desglose_BOM_Componentes!$AD$789:$AD$801,[1]Desglose_BOM_Componentes!$B$789:$B$801,$A115,[1]Desglose_BOM_Componentes!$X$789:$X$801,"Empaquetado"))</f>
        <v>0.30928466819407252</v>
      </c>
      <c r="I115" s="6">
        <f t="shared" si="9"/>
        <v>1.0798756681940724</v>
      </c>
      <c r="J115" s="1" t="str">
        <f t="shared" si="7"/>
        <v>Completo</v>
      </c>
      <c r="K115" s="1">
        <f>COUNTIFS([1]Desglose_BOM_Componentes!$B$789:$B$801,$A115,[1]Desglose_BOM_Componentes!$AE$789:$AE$801,"Sin precio")</f>
        <v>0</v>
      </c>
      <c r="L115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16" spans="1:12" ht="22" customHeight="1">
      <c r="A116" s="1" t="s">
        <v>143</v>
      </c>
      <c r="B116" s="1" t="s">
        <v>18</v>
      </c>
      <c r="C116" s="1" t="s">
        <v>24</v>
      </c>
      <c r="D116" s="4">
        <f>IF(COUNTIFS([1]Desglose_BOM_Componentes!$B$802:$B$813,$A116,[1]Desglose_BOM_Componentes!$AE$802:$AE$813,"Sin precio",[1]Desglose_BOM_Componentes!$X$802:$X$813,"Formulación")&gt;0,"n.d.",SUMIFS([1]Desglose_BOM_Componentes!$AC$802:$AC$813,[1]Desglose_BOM_Componentes!$B$802:$B$813,$A116,[1]Desglose_BOM_Componentes!$X$802:$X$813,"Formulación"))</f>
        <v>0.81652000000000002</v>
      </c>
      <c r="E116" s="4">
        <f>IF(COUNTIFS([1]Desglose_BOM_Componentes!$B$802:$B$813,$A116,[1]Desglose_BOM_Componentes!$AE$802:$AE$813,"Sin precio",[1]Desglose_BOM_Componentes!$X$802:$X$813,"Empaquetado")&gt;0,"n.d.",SUMIFS([1]Desglose_BOM_Componentes!$AC$802:$AC$813,[1]Desglose_BOM_Componentes!$B$802:$B$813,$A116,[1]Desglose_BOM_Componentes!$X$802:$X$813,"Empaquetado"))</f>
        <v>0.23158280727404046</v>
      </c>
      <c r="F116" s="6">
        <f t="shared" si="8"/>
        <v>1.0523028072740406</v>
      </c>
      <c r="G116" s="4">
        <f>IF(COUNTIFS([1]Desglose_BOM_Componentes!$B$802:$B$813,$A116,[1]Desglose_BOM_Componentes!$AE$802:$AE$813,"Sin precio",[1]Desglose_BOM_Componentes!$X$802:$X$813,"Formulación")&gt;0,"n.d.",SUMIFS([1]Desglose_BOM_Componentes!$AD$802:$AD$813,[1]Desglose_BOM_Componentes!$B$802:$B$813,$A116,[1]Desglose_BOM_Componentes!$X$802:$X$813,"Formulación"))</f>
        <v>0.76639100000000004</v>
      </c>
      <c r="H116" s="4">
        <f>IF(COUNTIFS([1]Desglose_BOM_Componentes!$B$802:$B$813,$A116,[1]Desglose_BOM_Componentes!$AE$802:$AE$813,"Sin precio",[1]Desglose_BOM_Componentes!$X$802:$X$813,"Empaquetado")&gt;0,"n.d.",SUMIFS([1]Desglose_BOM_Componentes!$AD$802:$AD$813,[1]Desglose_BOM_Componentes!$B$802:$B$813,$A116,[1]Desglose_BOM_Componentes!$X$802:$X$813,"Empaquetado"))</f>
        <v>0.23158280727404046</v>
      </c>
      <c r="I116" s="6">
        <f t="shared" si="9"/>
        <v>1.0021738072740405</v>
      </c>
      <c r="J116" s="1" t="str">
        <f t="shared" si="7"/>
        <v>Completo</v>
      </c>
      <c r="K116" s="1">
        <f>COUNTIFS([1]Desglose_BOM_Componentes!$B$802:$B$813,$A116,[1]Desglose_BOM_Componentes!$AE$802:$AE$813,"Sin precio")</f>
        <v>0</v>
      </c>
      <c r="L116" s="1" t="str">
        <f>IF('[1]Precios componentes'!D93="Sin precio","KF78; ","")&amp;IF('[1]Precios componentes'!D90="Sin precio","HPOL; ","")&amp;IF('[1]Precios componentes'!D121="Sin precio","RAD; ","")&amp;IF('[1]Precios componentes'!D77="Sin precio","FOP; ","")&amp;IF('[1]Precios componentes'!D54="Sin precio","EDT; ","")&amp;IF('[1]Precios componentes'!D24="Sin precio","BET; ","")&amp;IF('[1]Precios componentes'!D157="Sin precio","XT; ","")&amp;IF('[1]Precios componentes'!D136="Sin precio","SOBRE 20L; ","")&amp;IF('[1]Precios componentes'!D115="Sin precio","PAL; ","")&amp;IF('[1]Precios componentes'!D95="Sin precio","KIA250; ","")&amp;IF('[1]Precios componentes'!D146="Sin precio","TPD61I; ","")&amp;IF('[1]Precios componentes'!D61="Sin precio","ENV20; ","")</f>
        <v/>
      </c>
    </row>
    <row r="117" spans="1:12" ht="22" customHeight="1">
      <c r="A117" s="1" t="s">
        <v>144</v>
      </c>
      <c r="B117" s="1" t="s">
        <v>18</v>
      </c>
      <c r="C117" s="1" t="s">
        <v>24</v>
      </c>
      <c r="D117" s="4">
        <f>IF(COUNTIFS([1]Desglose_BOM_Componentes!$B$814:$B$824,$A117,[1]Desglose_BOM_Componentes!$AE$814:$AE$824,"Sin precio",[1]Desglose_BOM_Componentes!$X$814:$X$824,"Formulación")&gt;0,"n.d.",SUMIFS([1]Desglose_BOM_Componentes!$AC$814:$AC$824,[1]Desglose_BOM_Componentes!$B$814:$B$824,$A117,[1]Desglose_BOM_Componentes!$X$814:$X$824,"Formulación"))</f>
        <v>0.95321200000000017</v>
      </c>
      <c r="E117" s="4">
        <f>IF(COUNTIFS([1]Desglose_BOM_Componentes!$B$814:$B$824,$A117,[1]Desglose_BOM_Componentes!$AE$814:$AE$824,"Sin precio",[1]Desglose_BOM_Componentes!$X$814:$X$824,"Empaquetado")&gt;0,"n.d.",SUMIFS([1]Desglose_BOM_Componentes!$AC$814:$AC$824,[1]Desglose_BOM_Componentes!$B$814:$B$824,$A117,[1]Desglose_BOM_Componentes!$X$814:$X$824,"Empaquetado"))</f>
        <v>0.23235486609756989</v>
      </c>
      <c r="F117" s="6">
        <f t="shared" si="8"/>
        <v>1.18976686609757</v>
      </c>
      <c r="G117" s="4">
        <f>IF(COUNTIFS([1]Desglose_BOM_Componentes!$B$814:$B$824,$A117,[1]Desglose_BOM_Componentes!$AE$814:$AE$824,"Sin precio",[1]Desglose_BOM_Componentes!$X$814:$X$824,"Formulación")&gt;0,"n.d.",SUMIFS([1]Desglose_BOM_Componentes!$AD$814:$AD$824,[1]Desglose_BOM_Componentes!$B$814:$B$824,$A117,[1]Desglose_BOM_Componentes!$X$814:$X$824,"Formulación"))</f>
        <v>0.88584299999999994</v>
      </c>
      <c r="H117" s="4">
        <f>IF(COUNTIFS([1]Desglose_BOM_Componentes!$B$814:$B$824,$A117,[1]Desglose_BOM_Componentes!$AE$814:$AE$824,"Sin precio",[1]Desglose_BOM_Componentes!$X$814:$X$824,"Empaquetado")&gt;0,"n.d.",SUMIFS([1]Desglose_BOM_Componentes!$AD$814:$AD$824,[1]Desglose_BOM_Componentes!$B$814:$B$824,$A117,[1]Desglose_BOM_Componentes!$X$814:$X$824,"Empaquetado"))</f>
        <v>0.23235486609756989</v>
      </c>
      <c r="I117" s="6">
        <f t="shared" si="9"/>
        <v>1.1223978660975698</v>
      </c>
      <c r="J117" s="1" t="str">
        <f t="shared" si="7"/>
        <v>Completo</v>
      </c>
      <c r="K117" s="1">
        <f>COUNTIFS([1]Desglose_BOM_Componentes!$B$814:$B$824,$A117,[1]Desglose_BOM_Componentes!$AE$814:$AE$824,"Sin precio")</f>
        <v>0</v>
      </c>
      <c r="L117" s="1" t="str">
        <f>IF('[1]Precios componentes'!D77="Sin precio","FOP; ","")&amp;IF('[1]Precios componentes'!D73="Sin precio","FMP; ","")&amp;IF('[1]Precios componentes'!D80="Sin precio","GLI; ","")&amp;IF('[1]Precios componentes'!D54="Sin precio","EDT; ","")&amp;IF('[1]Precios componentes'!D93="Sin precio","KF78; ","")&amp;IF('[1]Precios componentes'!D24="Sin precio","BET; ","")&amp;IF('[1]Precios componentes'!D136="Sin precio","SOBRE 20L; ","")&amp;IF('[1]Precios componentes'!D115="Sin precio","PAL; ","")&amp;IF('[1]Precios componentes'!D95="Sin precio","KIA250; ","")&amp;IF('[1]Precios componentes'!D147="Sin precio","TPD61IV; ","")&amp;IF('[1]Precios componentes'!D61="Sin precio","ENV20; ","")</f>
        <v/>
      </c>
    </row>
    <row r="118" spans="1:12" ht="22" customHeight="1">
      <c r="A118" s="1" t="s">
        <v>145</v>
      </c>
      <c r="B118" s="1" t="s">
        <v>68</v>
      </c>
      <c r="C118" s="1" t="s">
        <v>24</v>
      </c>
      <c r="D118" s="4">
        <f>IF(COUNTIFS([1]Desglose_BOM_Componentes!$B$845:$B$854,$A118,[1]Desglose_BOM_Componentes!$AE$845:$AE$854,"Sin precio",[1]Desglose_BOM_Componentes!$X$845:$X$854,"Formulación")&gt;0,"n.d.",SUMIFS([1]Desglose_BOM_Componentes!$AC$845:$AC$854,[1]Desglose_BOM_Componentes!$B$845:$B$854,$A118,[1]Desglose_BOM_Componentes!$X$845:$X$854,"Formulación"))</f>
        <v>2.5541400000000003</v>
      </c>
      <c r="E118" s="4">
        <f>IF(COUNTIFS([1]Desglose_BOM_Componentes!$B$845:$B$854,$A118,[1]Desglose_BOM_Componentes!$AE$845:$AE$854,"Sin precio",[1]Desglose_BOM_Componentes!$X$845:$X$854,"Empaquetado")&gt;0,"n.d.",SUMIFS([1]Desglose_BOM_Componentes!$AC$845:$AC$854,[1]Desglose_BOM_Componentes!$B$845:$B$854,$A118,[1]Desglose_BOM_Componentes!$X$845:$X$854,"Empaquetado"))</f>
        <v>0.17737936672317167</v>
      </c>
      <c r="F118" s="6">
        <f t="shared" ref="F118:F124" si="10">IF(K118&gt;0,"n.d.",SUM(D118:E118))</f>
        <v>2.7315193667231719</v>
      </c>
      <c r="G118" s="4">
        <f>IF(COUNTIFS([1]Desglose_BOM_Componentes!$B$845:$B$854,$A118,[1]Desglose_BOM_Componentes!$AE$845:$AE$854,"Sin precio",[1]Desglose_BOM_Componentes!$X$845:$X$854,"Formulación")&gt;0,"n.d.",SUMIFS([1]Desglose_BOM_Componentes!$AD$845:$AD$854,[1]Desglose_BOM_Componentes!$B$845:$B$854,$A118,[1]Desglose_BOM_Componentes!$X$845:$X$854,"Formulación"))</f>
        <v>1.9204485714285715</v>
      </c>
      <c r="H118" s="4">
        <f>IF(COUNTIFS([1]Desglose_BOM_Componentes!$B$845:$B$854,$A118,[1]Desglose_BOM_Componentes!$AE$845:$AE$854,"Sin precio",[1]Desglose_BOM_Componentes!$X$845:$X$854,"Empaquetado")&gt;0,"n.d.",SUMIFS([1]Desglose_BOM_Componentes!$AD$845:$AD$854,[1]Desglose_BOM_Componentes!$B$845:$B$854,$A118,[1]Desglose_BOM_Componentes!$X$845:$X$854,"Empaquetado"))</f>
        <v>0.17737936672317167</v>
      </c>
      <c r="I118" s="6">
        <f t="shared" ref="I118:I124" si="11">IF(K118&gt;0,"n.d.",SUM(G118:H118))</f>
        <v>2.0978279381517431</v>
      </c>
      <c r="J118" s="1" t="str">
        <f t="shared" si="7"/>
        <v>Completo</v>
      </c>
      <c r="K118" s="1">
        <f>COUNTIFS([1]Desglose_BOM_Componentes!$B$845:$B$854,$A118,[1]Desglose_BOM_Componentes!$AE$845:$AE$854,"Sin precio")</f>
        <v>0</v>
      </c>
      <c r="L118" s="1" t="str">
        <f>IF('[1]Precios componentes'!D35="Sin precio","CAMN; ","")&amp;IF('[1]Precios componentes'!D114="Sin precio","OZN;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119" spans="1:12" ht="22" customHeight="1">
      <c r="A119" s="1" t="s">
        <v>146</v>
      </c>
      <c r="B119" s="1" t="s">
        <v>68</v>
      </c>
      <c r="C119" s="1" t="s">
        <v>24</v>
      </c>
      <c r="D119" s="4">
        <f>IF(COUNTIFS([1]Desglose_BOM_Componentes!$B$855:$B$863,$A119,[1]Desglose_BOM_Componentes!$AE$855:$AE$863,"Sin precio",[1]Desglose_BOM_Componentes!$X$855:$X$863,"Formulación")&gt;0,"n.d.",SUMIFS([1]Desglose_BOM_Componentes!$AC$855:$AC$863,[1]Desglose_BOM_Componentes!$B$855:$B$863,$A119,[1]Desglose_BOM_Componentes!$X$855:$X$863,"Formulación"))</f>
        <v>2.5541400000000003</v>
      </c>
      <c r="E119" s="4">
        <f>IF(COUNTIFS([1]Desglose_BOM_Componentes!$B$855:$B$863,$A119,[1]Desglose_BOM_Componentes!$AE$855:$AE$863,"Sin precio",[1]Desglose_BOM_Componentes!$X$855:$X$863,"Empaquetado")&gt;0,"n.d.",SUMIFS([1]Desglose_BOM_Componentes!$AC$855:$AC$863,[1]Desglose_BOM_Componentes!$B$855:$B$863,$A119,[1]Desglose_BOM_Componentes!$X$855:$X$863,"Empaquetado"))</f>
        <v>0.10354733439422743</v>
      </c>
      <c r="F119" s="6">
        <f t="shared" si="10"/>
        <v>2.6576873343942276</v>
      </c>
      <c r="G119" s="4">
        <f>IF(COUNTIFS([1]Desglose_BOM_Componentes!$B$855:$B$863,$A119,[1]Desglose_BOM_Componentes!$AE$855:$AE$863,"Sin precio",[1]Desglose_BOM_Componentes!$X$855:$X$863,"Formulación")&gt;0,"n.d.",SUMIFS([1]Desglose_BOM_Componentes!$AD$855:$AD$863,[1]Desglose_BOM_Componentes!$B$855:$B$863,$A119,[1]Desglose_BOM_Componentes!$X$855:$X$863,"Formulación"))</f>
        <v>1.9204485714285715</v>
      </c>
      <c r="H119" s="4">
        <f>IF(COUNTIFS([1]Desglose_BOM_Componentes!$B$855:$B$863,$A119,[1]Desglose_BOM_Componentes!$AE$855:$AE$863,"Sin precio",[1]Desglose_BOM_Componentes!$X$855:$X$863,"Empaquetado")&gt;0,"n.d.",SUMIFS([1]Desglose_BOM_Componentes!$AD$855:$AD$863,[1]Desglose_BOM_Componentes!$B$855:$B$863,$A119,[1]Desglose_BOM_Componentes!$X$855:$X$863,"Empaquetado"))</f>
        <v>0.10354733439422743</v>
      </c>
      <c r="I119" s="6">
        <f t="shared" si="11"/>
        <v>2.0239959058227988</v>
      </c>
      <c r="J119" s="1" t="str">
        <f t="shared" si="7"/>
        <v>Completo</v>
      </c>
      <c r="K119" s="1">
        <f>COUNTIFS([1]Desglose_BOM_Componentes!$B$855:$B$863,$A119,[1]Desglose_BOM_Componentes!$AE$855:$AE$863,"Sin precio")</f>
        <v>0</v>
      </c>
      <c r="L119" s="1" t="str">
        <f>IF('[1]Precios componentes'!D35="Sin precio","CAMN; ","")&amp;IF('[1]Precios componentes'!D114="Sin precio","OZN;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120" spans="1:12" ht="22" customHeight="1">
      <c r="A120" s="1" t="s">
        <v>147</v>
      </c>
      <c r="B120" s="1" t="s">
        <v>68</v>
      </c>
      <c r="C120" s="1" t="s">
        <v>21</v>
      </c>
      <c r="D120" s="4">
        <f>IF(COUNTIFS([1]Desglose_BOM_Componentes!$B$864:$B$872,$A120,[1]Desglose_BOM_Componentes!$AE$864:$AE$872,"Sin precio",[1]Desglose_BOM_Componentes!$X$864:$X$872,"Formulación")&gt;0,"n.d.",SUMIFS([1]Desglose_BOM_Componentes!$AC$864:$AC$872,[1]Desglose_BOM_Componentes!$B$864:$B$872,$A120,[1]Desglose_BOM_Componentes!$X$864:$X$872,"Formulación"))</f>
        <v>2.7936400000000003</v>
      </c>
      <c r="E120" s="4">
        <f>IF(COUNTIFS([1]Desglose_BOM_Componentes!$B$864:$B$872,$A120,[1]Desglose_BOM_Componentes!$AE$864:$AE$872,"Sin precio",[1]Desglose_BOM_Componentes!$X$864:$X$872,"Empaquetado")&gt;0,"n.d.",SUMIFS([1]Desglose_BOM_Componentes!$AC$864:$AC$872,[1]Desglose_BOM_Componentes!$B$864:$B$872,$A120,[1]Desglose_BOM_Componentes!$X$864:$X$872,"Empaquetado"))</f>
        <v>0.17737936672317167</v>
      </c>
      <c r="F120" s="6">
        <f t="shared" si="10"/>
        <v>2.9710193667231719</v>
      </c>
      <c r="G120" s="4">
        <f>IF(COUNTIFS([1]Desglose_BOM_Componentes!$B$864:$B$872,$A120,[1]Desglose_BOM_Componentes!$AE$864:$AE$872,"Sin precio",[1]Desglose_BOM_Componentes!$X$864:$X$872,"Formulación")&gt;0,"n.d.",SUMIFS([1]Desglose_BOM_Componentes!$AD$864:$AD$872,[1]Desglose_BOM_Componentes!$B$864:$B$872,$A120,[1]Desglose_BOM_Componentes!$X$864:$X$872,"Formulación"))</f>
        <v>2.1382342857142858</v>
      </c>
      <c r="H120" s="4">
        <f>IF(COUNTIFS([1]Desglose_BOM_Componentes!$B$864:$B$872,$A120,[1]Desglose_BOM_Componentes!$AE$864:$AE$872,"Sin precio",[1]Desglose_BOM_Componentes!$X$864:$X$872,"Empaquetado")&gt;0,"n.d.",SUMIFS([1]Desglose_BOM_Componentes!$AD$864:$AD$872,[1]Desglose_BOM_Componentes!$B$864:$B$872,$A120,[1]Desglose_BOM_Componentes!$X$864:$X$872,"Empaquetado"))</f>
        <v>0.17737936672317167</v>
      </c>
      <c r="I120" s="6">
        <f t="shared" si="11"/>
        <v>2.3156136524374573</v>
      </c>
      <c r="J120" s="1" t="str">
        <f t="shared" si="7"/>
        <v>Completo</v>
      </c>
      <c r="K120" s="1">
        <f>COUNTIFS([1]Desglose_BOM_Componentes!$B$864:$B$872,$A120,[1]Desglose_BOM_Componentes!$AE$864:$AE$872,"Sin precio")</f>
        <v>0</v>
      </c>
      <c r="L120" s="1" t="str">
        <f>IF('[1]Precios componentes'!D104="Sin precio","MAL; ","")&amp;IF('[1]Precios componentes'!D114="Sin precio","OZN;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121" spans="1:12" ht="22" customHeight="1">
      <c r="A121" s="1" t="s">
        <v>148</v>
      </c>
      <c r="B121" s="1" t="s">
        <v>68</v>
      </c>
      <c r="C121" s="1" t="s">
        <v>21</v>
      </c>
      <c r="D121" s="4">
        <f>IF(COUNTIFS([1]Desglose_BOM_Componentes!$B$873:$B$880,$A121,[1]Desglose_BOM_Componentes!$AE$873:$AE$880,"Sin precio",[1]Desglose_BOM_Componentes!$X$873:$X$880,"Formulación")&gt;0,"n.d.",SUMIFS([1]Desglose_BOM_Componentes!$AC$873:$AC$880,[1]Desglose_BOM_Componentes!$B$873:$B$880,$A121,[1]Desglose_BOM_Componentes!$X$873:$X$880,"Formulación"))</f>
        <v>2.7936400000000003</v>
      </c>
      <c r="E121" s="4">
        <f>IF(COUNTIFS([1]Desglose_BOM_Componentes!$B$873:$B$880,$A121,[1]Desglose_BOM_Componentes!$AE$873:$AE$880,"Sin precio",[1]Desglose_BOM_Componentes!$X$873:$X$880,"Empaquetado")&gt;0,"n.d.",SUMIFS([1]Desglose_BOM_Componentes!$AC$873:$AC$880,[1]Desglose_BOM_Componentes!$B$873:$B$880,$A121,[1]Desglose_BOM_Componentes!$X$873:$X$880,"Empaquetado"))</f>
        <v>0.10354733439422743</v>
      </c>
      <c r="F121" s="6">
        <f t="shared" si="10"/>
        <v>2.8971873343942276</v>
      </c>
      <c r="G121" s="4">
        <f>IF(COUNTIFS([1]Desglose_BOM_Componentes!$B$873:$B$880,$A121,[1]Desglose_BOM_Componentes!$AE$873:$AE$880,"Sin precio",[1]Desglose_BOM_Componentes!$X$873:$X$880,"Formulación")&gt;0,"n.d.",SUMIFS([1]Desglose_BOM_Componentes!$AD$873:$AD$880,[1]Desglose_BOM_Componentes!$B$873:$B$880,$A121,[1]Desglose_BOM_Componentes!$X$873:$X$880,"Formulación"))</f>
        <v>2.1382342857142858</v>
      </c>
      <c r="H121" s="4">
        <f>IF(COUNTIFS([1]Desglose_BOM_Componentes!$B$873:$B$880,$A121,[1]Desglose_BOM_Componentes!$AE$873:$AE$880,"Sin precio",[1]Desglose_BOM_Componentes!$X$873:$X$880,"Empaquetado")&gt;0,"n.d.",SUMIFS([1]Desglose_BOM_Componentes!$AD$873:$AD$880,[1]Desglose_BOM_Componentes!$B$873:$B$880,$A121,[1]Desglose_BOM_Componentes!$X$873:$X$880,"Empaquetado"))</f>
        <v>0.10354733439422743</v>
      </c>
      <c r="I121" s="6">
        <f t="shared" si="11"/>
        <v>2.241781620108513</v>
      </c>
      <c r="J121" s="1" t="str">
        <f t="shared" si="7"/>
        <v>Completo</v>
      </c>
      <c r="K121" s="1">
        <f>COUNTIFS([1]Desglose_BOM_Componentes!$B$873:$B$880,$A121,[1]Desglose_BOM_Componentes!$AE$873:$AE$880,"Sin precio")</f>
        <v>0</v>
      </c>
      <c r="L121" s="1" t="str">
        <f>IF('[1]Precios componentes'!D104="Sin precio","MAL; ","")&amp;IF('[1]Precios componentes'!D114="Sin precio","OZN; ","")&amp;IF('[1]Precios componentes'!D84="Sin precio","GLUSO;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122" spans="1:12" ht="22" customHeight="1">
      <c r="A122" s="1" t="s">
        <v>149</v>
      </c>
      <c r="B122" s="1" t="s">
        <v>68</v>
      </c>
      <c r="C122" s="1" t="s">
        <v>95</v>
      </c>
      <c r="D122" s="4">
        <f>IF(COUNTIFS([1]Desglose_BOM_Componentes!$B$881:$B$889,$A122,[1]Desglose_BOM_Componentes!$AE$881:$AE$889,"Sin precio",[1]Desglose_BOM_Componentes!$X$881:$X$889,"Formulación")&gt;0,"n.d.",SUMIFS([1]Desglose_BOM_Componentes!$AC$881:$AC$889,[1]Desglose_BOM_Componentes!$B$881:$B$889,$A122,[1]Desglose_BOM_Componentes!$X$881:$X$889,"Formulación"))</f>
        <v>2.8966000000000003</v>
      </c>
      <c r="E122" s="4">
        <f>IF(COUNTIFS([1]Desglose_BOM_Componentes!$B$881:$B$889,$A122,[1]Desglose_BOM_Componentes!$AE$881:$AE$889,"Sin precio",[1]Desglose_BOM_Componentes!$X$881:$X$889,"Empaquetado")&gt;0,"n.d.",SUMIFS([1]Desglose_BOM_Componentes!$AC$881:$AC$889,[1]Desglose_BOM_Componentes!$B$881:$B$889,$A122,[1]Desglose_BOM_Componentes!$X$881:$X$889,"Empaquetado"))</f>
        <v>0.17737936672317167</v>
      </c>
      <c r="F122" s="6">
        <f t="shared" si="10"/>
        <v>3.0739793667231718</v>
      </c>
      <c r="G122" s="4">
        <f>IF(COUNTIFS([1]Desglose_BOM_Componentes!$B$881:$B$889,$A122,[1]Desglose_BOM_Componentes!$AE$881:$AE$889,"Sin precio",[1]Desglose_BOM_Componentes!$X$881:$X$889,"Formulación")&gt;0,"n.d.",SUMIFS([1]Desglose_BOM_Componentes!$AD$881:$AD$889,[1]Desglose_BOM_Componentes!$B$881:$B$889,$A122,[1]Desglose_BOM_Componentes!$X$881:$X$889,"Formulación"))</f>
        <v>2.4131714285714287</v>
      </c>
      <c r="H122" s="4">
        <f>IF(COUNTIFS([1]Desglose_BOM_Componentes!$B$881:$B$889,$A122,[1]Desglose_BOM_Componentes!$AE$881:$AE$889,"Sin precio",[1]Desglose_BOM_Componentes!$X$881:$X$889,"Empaquetado")&gt;0,"n.d.",SUMIFS([1]Desglose_BOM_Componentes!$AD$881:$AD$889,[1]Desglose_BOM_Componentes!$B$881:$B$889,$A122,[1]Desglose_BOM_Componentes!$X$881:$X$889,"Empaquetado"))</f>
        <v>0.17737936672317167</v>
      </c>
      <c r="I122" s="6">
        <f t="shared" si="11"/>
        <v>2.5905507952946003</v>
      </c>
      <c r="J122" s="1" t="str">
        <f t="shared" si="7"/>
        <v>Completo</v>
      </c>
      <c r="K122" s="1">
        <f>COUNTIFS([1]Desglose_BOM_Componentes!$B$881:$B$889,$A122,[1]Desglose_BOM_Componentes!$AE$881:$AE$889,"Sin precio")</f>
        <v>0</v>
      </c>
      <c r="L122" s="1" t="str">
        <f>IF('[1]Precios componentes'!D104="Sin precio","MAL; ","")&amp;IF('[1]Precios componentes'!D114="Sin precio","OZN;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123" spans="1:12" ht="22" customHeight="1">
      <c r="A123" s="1" t="s">
        <v>150</v>
      </c>
      <c r="B123" s="1" t="s">
        <v>68</v>
      </c>
      <c r="C123" s="1" t="s">
        <v>32</v>
      </c>
      <c r="D123" s="4">
        <f>IF(COUNTIFS([1]Desglose_BOM_Componentes!$B$890:$B$898,$A123,[1]Desglose_BOM_Componentes!$AE$890:$AE$898,"Sin precio",[1]Desglose_BOM_Componentes!$X$890:$X$898,"Formulación")&gt;0,"n.d.",SUMIFS([1]Desglose_BOM_Componentes!$AC$890:$AC$898,[1]Desglose_BOM_Componentes!$B$890:$B$898,$A123,[1]Desglose_BOM_Componentes!$X$890:$X$898,"Formulación"))</f>
        <v>2.8966000000000003</v>
      </c>
      <c r="E123" s="4">
        <f>IF(COUNTIFS([1]Desglose_BOM_Componentes!$B$890:$B$898,$A123,[1]Desglose_BOM_Componentes!$AE$890:$AE$898,"Sin precio",[1]Desglose_BOM_Componentes!$X$890:$X$898,"Empaquetado")&gt;0,"n.d.",SUMIFS([1]Desglose_BOM_Componentes!$AC$890:$AC$898,[1]Desglose_BOM_Componentes!$B$890:$B$898,$A123,[1]Desglose_BOM_Componentes!$X$890:$X$898,"Empaquetado"))</f>
        <v>0.17737936672317167</v>
      </c>
      <c r="F123" s="6">
        <f t="shared" si="10"/>
        <v>3.0739793667231718</v>
      </c>
      <c r="G123" s="4">
        <f>IF(COUNTIFS([1]Desglose_BOM_Componentes!$B$890:$B$898,$A123,[1]Desglose_BOM_Componentes!$AE$890:$AE$898,"Sin precio",[1]Desglose_BOM_Componentes!$X$890:$X$898,"Formulación")&gt;0,"n.d.",SUMIFS([1]Desglose_BOM_Componentes!$AD$890:$AD$898,[1]Desglose_BOM_Componentes!$B$890:$B$898,$A123,[1]Desglose_BOM_Componentes!$X$890:$X$898,"Formulación"))</f>
        <v>2.4131714285714287</v>
      </c>
      <c r="H123" s="4">
        <f>IF(COUNTIFS([1]Desglose_BOM_Componentes!$B$890:$B$898,$A123,[1]Desglose_BOM_Componentes!$AE$890:$AE$898,"Sin precio",[1]Desglose_BOM_Componentes!$X$890:$X$898,"Empaquetado")&gt;0,"n.d.",SUMIFS([1]Desglose_BOM_Componentes!$AD$890:$AD$898,[1]Desglose_BOM_Componentes!$B$890:$B$898,$A123,[1]Desglose_BOM_Componentes!$X$890:$X$898,"Empaquetado"))</f>
        <v>0.17737936672317167</v>
      </c>
      <c r="I123" s="6">
        <f t="shared" si="11"/>
        <v>2.5905507952946003</v>
      </c>
      <c r="J123" s="1" t="str">
        <f t="shared" si="7"/>
        <v>Completo</v>
      </c>
      <c r="K123" s="1">
        <f>COUNTIFS([1]Desglose_BOM_Componentes!$B$890:$B$898,$A123,[1]Desglose_BOM_Componentes!$AE$890:$AE$898,"Sin precio")</f>
        <v>0</v>
      </c>
      <c r="L123" s="1" t="str">
        <f>IF('[1]Precios componentes'!D104="Sin precio","MAL; ","")&amp;IF('[1]Precios componentes'!D114="Sin precio","OZN;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124" spans="1:12" ht="22" customHeight="1">
      <c r="A124" s="1" t="s">
        <v>151</v>
      </c>
      <c r="B124" s="1" t="s">
        <v>68</v>
      </c>
      <c r="C124" s="1" t="s">
        <v>24</v>
      </c>
      <c r="D124" s="4">
        <f>IF(COUNTIFS([1]Desglose_BOM_Componentes!$B$899:$B$906,$A124,[1]Desglose_BOM_Componentes!$AE$899:$AE$906,"Sin precio",[1]Desglose_BOM_Componentes!$X$899:$X$906,"Formulación")&gt;0,"n.d.",SUMIFS([1]Desglose_BOM_Componentes!$AC$899:$AC$906,[1]Desglose_BOM_Componentes!$B$899:$B$906,$A124,[1]Desglose_BOM_Componentes!$X$899:$X$906,"Formulación"))</f>
        <v>2.8966000000000003</v>
      </c>
      <c r="E124" s="4">
        <f>IF(COUNTIFS([1]Desglose_BOM_Componentes!$B$899:$B$906,$A124,[1]Desglose_BOM_Componentes!$AE$899:$AE$906,"Sin precio",[1]Desglose_BOM_Componentes!$X$899:$X$906,"Empaquetado")&gt;0,"n.d.",SUMIFS([1]Desglose_BOM_Componentes!$AC$899:$AC$906,[1]Desglose_BOM_Componentes!$B$899:$B$906,$A124,[1]Desglose_BOM_Componentes!$X$899:$X$906,"Empaquetado"))</f>
        <v>0.10354733439422743</v>
      </c>
      <c r="F124" s="6">
        <f t="shared" si="10"/>
        <v>3.0001473343942275</v>
      </c>
      <c r="G124" s="4">
        <f>IF(COUNTIFS([1]Desglose_BOM_Componentes!$B$899:$B$906,$A124,[1]Desglose_BOM_Componentes!$AE$899:$AE$906,"Sin precio",[1]Desglose_BOM_Componentes!$X$899:$X$906,"Formulación")&gt;0,"n.d.",SUMIFS([1]Desglose_BOM_Componentes!$AD$899:$AD$906,[1]Desglose_BOM_Componentes!$B$899:$B$906,$A124,[1]Desglose_BOM_Componentes!$X$899:$X$906,"Formulación"))</f>
        <v>2.4131714285714287</v>
      </c>
      <c r="H124" s="4">
        <f>IF(COUNTIFS([1]Desglose_BOM_Componentes!$B$899:$B$906,$A124,[1]Desglose_BOM_Componentes!$AE$899:$AE$906,"Sin precio",[1]Desglose_BOM_Componentes!$X$899:$X$906,"Empaquetado")&gt;0,"n.d.",SUMIFS([1]Desglose_BOM_Componentes!$AD$899:$AD$906,[1]Desglose_BOM_Componentes!$B$899:$B$906,$A124,[1]Desglose_BOM_Componentes!$X$899:$X$906,"Empaquetado"))</f>
        <v>0.10354733439422743</v>
      </c>
      <c r="I124" s="6">
        <f t="shared" si="11"/>
        <v>2.516718762965656</v>
      </c>
      <c r="J124" s="1" t="str">
        <f t="shared" si="7"/>
        <v>Completo</v>
      </c>
      <c r="K124" s="1">
        <f>COUNTIFS([1]Desglose_BOM_Componentes!$B$899:$B$906,$A124,[1]Desglose_BOM_Componentes!$AE$899:$AE$906,"Sin precio")</f>
        <v>0</v>
      </c>
      <c r="L124" s="1" t="str">
        <f>IF('[1]Precios componentes'!D104="Sin precio","MAL; ","")&amp;IF('[1]Precios componentes'!D114="Sin precio","OZN; ","")&amp;IF('[1]Precios componentes'!D84="Sin precio","GLUSO;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125" spans="1:12" ht="22" customHeight="1">
      <c r="A125" s="1" t="s">
        <v>152</v>
      </c>
      <c r="B125" s="1" t="s">
        <v>18</v>
      </c>
      <c r="C125" s="1" t="s">
        <v>84</v>
      </c>
      <c r="D125" s="4">
        <f>IF(COUNTIFS([1]Desglose_BOM_Componentes!$B$907:$B$921,$A125,[1]Desglose_BOM_Componentes!$AE$907:$AE$921,"Sin precio",[1]Desglose_BOM_Componentes!$X$907:$X$921,"Formulación")&gt;0,"n.d.",SUMIFS([1]Desglose_BOM_Componentes!$AC$907:$AC$921,[1]Desglose_BOM_Componentes!$B$907:$B$921,$A125,[1]Desglose_BOM_Componentes!$X$907:$X$921,"Formulación"))</f>
        <v>2.2089339999999997</v>
      </c>
      <c r="E125" s="4">
        <f>IF(COUNTIFS([1]Desglose_BOM_Componentes!$B$907:$B$921,$A125,[1]Desglose_BOM_Componentes!$AE$907:$AE$921,"Sin precio",[1]Desglose_BOM_Componentes!$X$907:$X$921,"Empaquetado")&gt;0,"n.d.",SUMIFS([1]Desglose_BOM_Componentes!$AC$907:$AC$921,[1]Desglose_BOM_Componentes!$B$907:$B$921,$A125,[1]Desglose_BOM_Componentes!$X$907:$X$921,"Empaquetado"))</f>
        <v>1.0859479144143824</v>
      </c>
      <c r="F125" s="6">
        <f t="shared" ref="F125:F175" si="12">IF(K125&gt;0,"n.d.",SUM(D125:E125)+0.0042)</f>
        <v>3.2990819144143821</v>
      </c>
      <c r="G125" s="4">
        <f>IF(COUNTIFS([1]Desglose_BOM_Componentes!$B$907:$B$921,$A125,[1]Desglose_BOM_Componentes!$AE$907:$AE$921,"Sin precio",[1]Desglose_BOM_Componentes!$X$907:$X$921,"Formulación")&gt;0,"n.d.",SUMIFS([1]Desglose_BOM_Componentes!$AD$907:$AD$921,[1]Desglose_BOM_Componentes!$B$907:$B$921,$A125,[1]Desglose_BOM_Componentes!$X$907:$X$921,"Formulación"))</f>
        <v>2.0874614999999999</v>
      </c>
      <c r="H125" s="4">
        <f>IF(COUNTIFS([1]Desglose_BOM_Componentes!$B$907:$B$921,$A125,[1]Desglose_BOM_Componentes!$AE$907:$AE$921,"Sin precio",[1]Desglose_BOM_Componentes!$X$907:$X$921,"Empaquetado")&gt;0,"n.d.",SUMIFS([1]Desglose_BOM_Componentes!$AD$907:$AD$921,[1]Desglose_BOM_Componentes!$B$907:$B$921,$A125,[1]Desglose_BOM_Componentes!$X$907:$X$921,"Empaquetado"))</f>
        <v>0.95531458108104916</v>
      </c>
      <c r="I125" s="6">
        <f t="shared" ref="I125:I175" si="13">IF(K125&gt;0,"n.d.",SUM(G125:H125)+0.0042)</f>
        <v>3.0469760810810489</v>
      </c>
      <c r="J125" s="1" t="str">
        <f t="shared" si="7"/>
        <v>Completo</v>
      </c>
      <c r="K125" s="1">
        <f>COUNTIFS([1]Desglose_BOM_Componentes!$B$907:$B$921,$A125,[1]Desglose_BOM_Componentes!$AE$907:$AE$921,"Sin precio")</f>
        <v>0</v>
      </c>
      <c r="L125" s="1" t="str">
        <f>IF('[1]Precios componentes'!D93="Sin precio","KF78; ","")&amp;IF('[1]Precios componentes'!D154="Sin precio","URE; ","")&amp;IF('[1]Precios componentes'!D17="Sin precio","AV24; ","")&amp;IF('[1]Precios componentes'!D83="Sin precio","GLUMO; ","")&amp;IF('[1]Precios componentes'!D157="Sin precio","XT; ","")&amp;IF('[1]Precios componentes'!D54="Sin precio","EDT; ","")&amp;IF('[1]Precios componentes'!D106="Sin precio","MEA; ","")&amp;IF('[1]Precios componentes'!D80="Sin precio","GLI;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126" spans="1:12" ht="22" customHeight="1">
      <c r="A126" s="1" t="s">
        <v>153</v>
      </c>
      <c r="B126" s="1" t="s">
        <v>18</v>
      </c>
      <c r="C126" s="1" t="s">
        <v>24</v>
      </c>
      <c r="D126" s="4">
        <f>IF(COUNTIFS([1]Desglose_BOM_Componentes!$B$922:$B$932,$A126,[1]Desglose_BOM_Componentes!$AE$922:$AE$932,"Sin precio",[1]Desglose_BOM_Componentes!$X$922:$X$932,"Formulación")&gt;0,"n.d.",SUMIFS([1]Desglose_BOM_Componentes!$AC$922:$AC$932,[1]Desglose_BOM_Componentes!$B$922:$B$932,$A126,[1]Desglose_BOM_Componentes!$X$922:$X$932,"Formulación"))</f>
        <v>0.57250800000000002</v>
      </c>
      <c r="E126" s="4">
        <f>IF(COUNTIFS([1]Desglose_BOM_Componentes!$B$922:$B$932,$A126,[1]Desglose_BOM_Componentes!$AE$922:$AE$932,"Sin precio",[1]Desglose_BOM_Componentes!$X$922:$X$932,"Empaquetado")&gt;0,"n.d.",SUMIFS([1]Desglose_BOM_Componentes!$AC$922:$AC$932,[1]Desglose_BOM_Componentes!$B$922:$B$932,$A126,[1]Desglose_BOM_Componentes!$X$922:$X$932,"Empaquetado"))</f>
        <v>0.33288466819407259</v>
      </c>
      <c r="F126" s="6">
        <f t="shared" si="12"/>
        <v>0.90959266819407258</v>
      </c>
      <c r="G126" s="4">
        <f>IF(COUNTIFS([1]Desglose_BOM_Componentes!$B$922:$B$932,$A126,[1]Desglose_BOM_Componentes!$AE$922:$AE$932,"Sin precio",[1]Desglose_BOM_Componentes!$X$922:$X$932,"Formulación")&gt;0,"n.d.",SUMIFS([1]Desglose_BOM_Componentes!$AD$922:$AD$932,[1]Desglose_BOM_Componentes!$B$922:$B$932,$A126,[1]Desglose_BOM_Componentes!$X$922:$X$932,"Formulación"))</f>
        <v>0.56794800000000001</v>
      </c>
      <c r="H126" s="4">
        <f>IF(COUNTIFS([1]Desglose_BOM_Componentes!$B$922:$B$932,$A126,[1]Desglose_BOM_Componentes!$AE$922:$AE$932,"Sin precio",[1]Desglose_BOM_Componentes!$X$922:$X$932,"Empaquetado")&gt;0,"n.d.",SUMIFS([1]Desglose_BOM_Componentes!$AD$922:$AD$932,[1]Desglose_BOM_Componentes!$B$922:$B$932,$A126,[1]Desglose_BOM_Componentes!$X$922:$X$932,"Empaquetado"))</f>
        <v>0.33288466819407259</v>
      </c>
      <c r="I126" s="6">
        <f t="shared" si="13"/>
        <v>0.90503266819407258</v>
      </c>
      <c r="J126" s="1" t="str">
        <f t="shared" si="7"/>
        <v>Completo</v>
      </c>
      <c r="K126" s="1">
        <f>COUNTIFS([1]Desglose_BOM_Componentes!$B$922:$B$932,$A126,[1]Desglose_BOM_Componentes!$AE$922:$AE$932,"Sin precio")</f>
        <v>0</v>
      </c>
      <c r="L126" s="1" t="str">
        <f>IF('[1]Precios componentes'!D93="Sin precio","KF78; ","")&amp;IF('[1]Precios componentes'!D80="Sin precio","GLI; ","")&amp;IF('[1]Precios componentes'!D103="Sin precio","LIGNOAM; ","")&amp;IF('[1]Precios componentes'!D112="Sin precio","NMGL; ","")&amp;IF('[1]Precios componentes'!D155="Sin precio","UREL;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127" spans="1:12" ht="22" customHeight="1">
      <c r="A127" s="1" t="s">
        <v>154</v>
      </c>
      <c r="B127" s="1" t="s">
        <v>18</v>
      </c>
      <c r="C127" s="1" t="s">
        <v>24</v>
      </c>
      <c r="D127" s="4">
        <f>IF(COUNTIFS([1]Desglose_BOM_Componentes!$B$933:$B$942,$A127,[1]Desglose_BOM_Componentes!$AE$933:$AE$942,"Sin precio",[1]Desglose_BOM_Componentes!$X$933:$X$942,"Formulación")&gt;0,"n.d.",SUMIFS([1]Desglose_BOM_Componentes!$AC$933:$AC$942,[1]Desglose_BOM_Componentes!$B$933:$B$942,$A127,[1]Desglose_BOM_Componentes!$X$933:$X$942,"Formulación"))</f>
        <v>0.57250800000000002</v>
      </c>
      <c r="E127" s="4">
        <f>IF(COUNTIFS([1]Desglose_BOM_Componentes!$B$933:$B$942,$A127,[1]Desglose_BOM_Componentes!$AE$933:$AE$942,"Sin precio",[1]Desglose_BOM_Componentes!$X$933:$X$942,"Empaquetado")&gt;0,"n.d.",SUMIFS([1]Desglose_BOM_Componentes!$AC$933:$AC$942,[1]Desglose_BOM_Componentes!$B$933:$B$942,$A127,[1]Desglose_BOM_Componentes!$X$933:$X$942,"Empaquetado"))</f>
        <v>0.24326489794470366</v>
      </c>
      <c r="F127" s="6">
        <f t="shared" si="12"/>
        <v>0.81997289794470363</v>
      </c>
      <c r="G127" s="4">
        <f>IF(COUNTIFS([1]Desglose_BOM_Componentes!$B$933:$B$942,$A127,[1]Desglose_BOM_Componentes!$AE$933:$AE$942,"Sin precio",[1]Desglose_BOM_Componentes!$X$933:$X$942,"Formulación")&gt;0,"n.d.",SUMIFS([1]Desglose_BOM_Componentes!$AD$933:$AD$942,[1]Desglose_BOM_Componentes!$B$933:$B$942,$A127,[1]Desglose_BOM_Componentes!$X$933:$X$942,"Formulación"))</f>
        <v>0.56794800000000001</v>
      </c>
      <c r="H127" s="4">
        <f>IF(COUNTIFS([1]Desglose_BOM_Componentes!$B$933:$B$942,$A127,[1]Desglose_BOM_Componentes!$AE$933:$AE$942,"Sin precio",[1]Desglose_BOM_Componentes!$X$933:$X$942,"Empaquetado")&gt;0,"n.d.",SUMIFS([1]Desglose_BOM_Componentes!$AD$933:$AD$942,[1]Desglose_BOM_Componentes!$B$933:$B$942,$A127,[1]Desglose_BOM_Componentes!$X$933:$X$942,"Empaquetado"))</f>
        <v>0.24326489794470366</v>
      </c>
      <c r="I127" s="6">
        <f t="shared" si="13"/>
        <v>0.81541289794470362</v>
      </c>
      <c r="J127" s="1" t="str">
        <f t="shared" si="7"/>
        <v>Completo</v>
      </c>
      <c r="K127" s="1">
        <f>COUNTIFS([1]Desglose_BOM_Componentes!$B$933:$B$942,$A127,[1]Desglose_BOM_Componentes!$AE$933:$AE$942,"Sin precio")</f>
        <v>0</v>
      </c>
      <c r="L127" s="1" t="str">
        <f>IF('[1]Precios componentes'!D93="Sin precio","KF78; ","")&amp;IF('[1]Precios componentes'!D80="Sin precio","GLI; ","")&amp;IF('[1]Precios componentes'!D103="Sin precio","LIGNOAM; ","")&amp;IF('[1]Precios componentes'!D112="Sin precio","NMGL; ","")&amp;IF('[1]Precios componentes'!D155="Sin precio","UREL;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128" spans="1:12" ht="22" customHeight="1">
      <c r="A128" s="1" t="s">
        <v>155</v>
      </c>
      <c r="B128" s="1" t="s">
        <v>14</v>
      </c>
      <c r="C128" s="1" t="s">
        <v>24</v>
      </c>
      <c r="D128" s="4">
        <f>IF(COUNTIFS([1]Desglose_BOM_Componentes!$B$943:$B$953,$A128,[1]Desglose_BOM_Componentes!$AE$943:$AE$953,"Sin precio",[1]Desglose_BOM_Componentes!$X$943:$X$953,"Formulación")&gt;0,"n.d.",SUMIFS([1]Desglose_BOM_Componentes!$AC$943:$AC$953,[1]Desglose_BOM_Componentes!$B$943:$B$953,$A128,[1]Desglose_BOM_Componentes!$X$943:$X$953,"Formulación"))</f>
        <v>0.24833001968503943</v>
      </c>
      <c r="E128" s="4">
        <f>IF(COUNTIFS([1]Desglose_BOM_Componentes!$B$943:$B$953,$A128,[1]Desglose_BOM_Componentes!$AE$943:$AE$953,"Sin precio",[1]Desglose_BOM_Componentes!$X$943:$X$953,"Empaquetado")&gt;0,"n.d.",SUMIFS([1]Desglose_BOM_Componentes!$AC$943:$AC$953,[1]Desglose_BOM_Componentes!$B$943:$B$953,$A128,[1]Desglose_BOM_Componentes!$X$943:$X$953,"Empaquetado"))</f>
        <v>0.20694113757136584</v>
      </c>
      <c r="F128" s="6">
        <f t="shared" si="12"/>
        <v>0.45947115725640525</v>
      </c>
      <c r="G128" s="4">
        <f>IF(COUNTIFS([1]Desglose_BOM_Componentes!$B$943:$B$953,$A128,[1]Desglose_BOM_Componentes!$AE$943:$AE$953,"Sin precio",[1]Desglose_BOM_Componentes!$X$943:$X$953,"Formulación")&gt;0,"n.d.",SUMIFS([1]Desglose_BOM_Componentes!$AD$943:$AD$953,[1]Desglose_BOM_Componentes!$B$943:$B$953,$A128,[1]Desglose_BOM_Componentes!$X$943:$X$953,"Formulación"))</f>
        <v>0.24833001968503943</v>
      </c>
      <c r="H128" s="4">
        <f>IF(COUNTIFS([1]Desglose_BOM_Componentes!$B$943:$B$953,$A128,[1]Desglose_BOM_Componentes!$AE$943:$AE$953,"Sin precio",[1]Desglose_BOM_Componentes!$X$943:$X$953,"Empaquetado")&gt;0,"n.d.",SUMIFS([1]Desglose_BOM_Componentes!$AD$943:$AD$953,[1]Desglose_BOM_Componentes!$B$943:$B$953,$A128,[1]Desglose_BOM_Componentes!$X$943:$X$953,"Empaquetado"))</f>
        <v>0.20694113757136584</v>
      </c>
      <c r="I128" s="6">
        <f t="shared" si="13"/>
        <v>0.45947115725640525</v>
      </c>
      <c r="J128" s="1" t="str">
        <f t="shared" si="7"/>
        <v>Completo</v>
      </c>
      <c r="K128" s="1">
        <f>COUNTIFS([1]Desglose_BOM_Componentes!$B$943:$B$953,$A128,[1]Desglose_BOM_Componentes!$AE$943:$AE$953,"Sin precio")</f>
        <v>0</v>
      </c>
      <c r="L128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29" spans="1:12" ht="22" customHeight="1">
      <c r="A129" s="1" t="s">
        <v>156</v>
      </c>
      <c r="B129" s="1" t="s">
        <v>14</v>
      </c>
      <c r="C129" s="1" t="s">
        <v>116</v>
      </c>
      <c r="D129" s="4">
        <f>IF(COUNTIFS([1]Desglose_BOM_Componentes!$B$954:$B$964,$A129,[1]Desglose_BOM_Componentes!$AE$954:$AE$964,"Sin precio",[1]Desglose_BOM_Componentes!$X$954:$X$964,"Formulación")&gt;0,"n.d.",SUMIFS([1]Desglose_BOM_Componentes!$AC$954:$AC$964,[1]Desglose_BOM_Componentes!$B$954:$B$964,$A129,[1]Desglose_BOM_Componentes!$X$954:$X$964,"Formulación"))</f>
        <v>0.24833001968503943</v>
      </c>
      <c r="E129" s="4">
        <f>IF(COUNTIFS([1]Desglose_BOM_Componentes!$B$954:$B$964,$A129,[1]Desglose_BOM_Componentes!$AE$954:$AE$964,"Sin precio",[1]Desglose_BOM_Componentes!$X$954:$X$964,"Empaquetado")&gt;0,"n.d.",SUMIFS([1]Desglose_BOM_Componentes!$AC$954:$AC$964,[1]Desglose_BOM_Componentes!$B$954:$B$964,$A129,[1]Desglose_BOM_Componentes!$X$954:$X$964,"Empaquetado"))</f>
        <v>0.20694113757136584</v>
      </c>
      <c r="F129" s="6">
        <f t="shared" si="12"/>
        <v>0.45947115725640525</v>
      </c>
      <c r="G129" s="4">
        <f>IF(COUNTIFS([1]Desglose_BOM_Componentes!$B$954:$B$964,$A129,[1]Desglose_BOM_Componentes!$AE$954:$AE$964,"Sin precio",[1]Desglose_BOM_Componentes!$X$954:$X$964,"Formulación")&gt;0,"n.d.",SUMIFS([1]Desglose_BOM_Componentes!$AD$954:$AD$964,[1]Desglose_BOM_Componentes!$B$954:$B$964,$A129,[1]Desglose_BOM_Componentes!$X$954:$X$964,"Formulación"))</f>
        <v>0.24833001968503943</v>
      </c>
      <c r="H129" s="4">
        <f>IF(COUNTIFS([1]Desglose_BOM_Componentes!$B$954:$B$964,$A129,[1]Desglose_BOM_Componentes!$AE$954:$AE$964,"Sin precio",[1]Desglose_BOM_Componentes!$X$954:$X$964,"Empaquetado")&gt;0,"n.d.",SUMIFS([1]Desglose_BOM_Componentes!$AD$954:$AD$964,[1]Desglose_BOM_Componentes!$B$954:$B$964,$A129,[1]Desglose_BOM_Componentes!$X$954:$X$964,"Empaquetado"))</f>
        <v>0.20694113757136584</v>
      </c>
      <c r="I129" s="6">
        <f t="shared" si="13"/>
        <v>0.45947115725640525</v>
      </c>
      <c r="J129" s="1" t="str">
        <f t="shared" si="7"/>
        <v>Completo</v>
      </c>
      <c r="K129" s="1">
        <f>COUNTIFS([1]Desglose_BOM_Componentes!$B$954:$B$964,$A129,[1]Desglose_BOM_Componentes!$AE$954:$AE$964,"Sin precio")</f>
        <v>0</v>
      </c>
      <c r="L129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0" spans="1:12" ht="22" customHeight="1">
      <c r="A130" s="1" t="s">
        <v>157</v>
      </c>
      <c r="B130" s="1" t="s">
        <v>14</v>
      </c>
      <c r="C130" s="1" t="s">
        <v>21</v>
      </c>
      <c r="D130" s="4">
        <f>IF(COUNTIFS([1]Desglose_BOM_Componentes!$B$965:$B$975,$A130,[1]Desglose_BOM_Componentes!$AE$965:$AE$975,"Sin precio",[1]Desglose_BOM_Componentes!$X$965:$X$975,"Formulación")&gt;0,"n.d.",SUMIFS([1]Desglose_BOM_Componentes!$AC$965:$AC$975,[1]Desglose_BOM_Componentes!$B$965:$B$975,$A130,[1]Desglose_BOM_Componentes!$X$965:$X$975,"Formulación"))</f>
        <v>0.24833001968503943</v>
      </c>
      <c r="E130" s="4">
        <f>IF(COUNTIFS([1]Desglose_BOM_Componentes!$B$965:$B$975,$A130,[1]Desglose_BOM_Componentes!$AE$965:$AE$975,"Sin precio",[1]Desglose_BOM_Componentes!$X$965:$X$975,"Empaquetado")&gt;0,"n.d.",SUMIFS([1]Desglose_BOM_Componentes!$AC$965:$AC$975,[1]Desglose_BOM_Componentes!$B$965:$B$975,$A130,[1]Desglose_BOM_Componentes!$X$965:$X$975,"Empaquetado"))</f>
        <v>0.20694113757136584</v>
      </c>
      <c r="F130" s="6">
        <f t="shared" si="12"/>
        <v>0.45947115725640525</v>
      </c>
      <c r="G130" s="4">
        <f>IF(COUNTIFS([1]Desglose_BOM_Componentes!$B$965:$B$975,$A130,[1]Desglose_BOM_Componentes!$AE$965:$AE$975,"Sin precio",[1]Desglose_BOM_Componentes!$X$965:$X$975,"Formulación")&gt;0,"n.d.",SUMIFS([1]Desglose_BOM_Componentes!$AD$965:$AD$975,[1]Desglose_BOM_Componentes!$B$965:$B$975,$A130,[1]Desglose_BOM_Componentes!$X$965:$X$975,"Formulación"))</f>
        <v>0.24833001968503943</v>
      </c>
      <c r="H130" s="4">
        <f>IF(COUNTIFS([1]Desglose_BOM_Componentes!$B$965:$B$975,$A130,[1]Desglose_BOM_Componentes!$AE$965:$AE$975,"Sin precio",[1]Desglose_BOM_Componentes!$X$965:$X$975,"Empaquetado")&gt;0,"n.d.",SUMIFS([1]Desglose_BOM_Componentes!$AD$965:$AD$975,[1]Desglose_BOM_Componentes!$B$965:$B$975,$A130,[1]Desglose_BOM_Componentes!$X$965:$X$975,"Empaquetado"))</f>
        <v>0.20694113757136584</v>
      </c>
      <c r="I130" s="6">
        <f t="shared" si="13"/>
        <v>0.45947115725640525</v>
      </c>
      <c r="J130" s="1" t="str">
        <f t="shared" si="7"/>
        <v>Completo</v>
      </c>
      <c r="K130" s="1">
        <f>COUNTIFS([1]Desglose_BOM_Componentes!$B$965:$B$975,$A130,[1]Desglose_BOM_Componentes!$AE$965:$AE$975,"Sin precio")</f>
        <v>0</v>
      </c>
      <c r="L130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1" spans="1:12" ht="22" customHeight="1">
      <c r="A131" s="1" t="s">
        <v>158</v>
      </c>
      <c r="B131" s="1" t="s">
        <v>14</v>
      </c>
      <c r="C131" s="1" t="s">
        <v>69</v>
      </c>
      <c r="D131" s="4">
        <f>IF(COUNTIFS([1]Desglose_BOM_Componentes!$B$976:$B$986,$A131,[1]Desglose_BOM_Componentes!$AE$976:$AE$986,"Sin precio",[1]Desglose_BOM_Componentes!$X$976:$X$986,"Formulación")&gt;0,"n.d.",SUMIFS([1]Desglose_BOM_Componentes!$AC$976:$AC$986,[1]Desglose_BOM_Componentes!$B$976:$B$986,$A131,[1]Desglose_BOM_Componentes!$X$976:$X$986,"Formulación"))</f>
        <v>0.24833001968503943</v>
      </c>
      <c r="E131" s="4">
        <f>IF(COUNTIFS([1]Desglose_BOM_Componentes!$B$976:$B$986,$A131,[1]Desglose_BOM_Componentes!$AE$976:$AE$986,"Sin precio",[1]Desglose_BOM_Componentes!$X$976:$X$986,"Empaquetado")&gt;0,"n.d.",SUMIFS([1]Desglose_BOM_Componentes!$AC$976:$AC$986,[1]Desglose_BOM_Componentes!$B$976:$B$986,$A131,[1]Desglose_BOM_Componentes!$X$976:$X$986,"Empaquetado"))</f>
        <v>0.20694113757136584</v>
      </c>
      <c r="F131" s="6">
        <f t="shared" si="12"/>
        <v>0.45947115725640525</v>
      </c>
      <c r="G131" s="4">
        <f>IF(COUNTIFS([1]Desglose_BOM_Componentes!$B$976:$B$986,$A131,[1]Desglose_BOM_Componentes!$AE$976:$AE$986,"Sin precio",[1]Desglose_BOM_Componentes!$X$976:$X$986,"Formulación")&gt;0,"n.d.",SUMIFS([1]Desglose_BOM_Componentes!$AD$976:$AD$986,[1]Desglose_BOM_Componentes!$B$976:$B$986,$A131,[1]Desglose_BOM_Componentes!$X$976:$X$986,"Formulación"))</f>
        <v>0.24833001968503943</v>
      </c>
      <c r="H131" s="4">
        <f>IF(COUNTIFS([1]Desglose_BOM_Componentes!$B$976:$B$986,$A131,[1]Desglose_BOM_Componentes!$AE$976:$AE$986,"Sin precio",[1]Desglose_BOM_Componentes!$X$976:$X$986,"Empaquetado")&gt;0,"n.d.",SUMIFS([1]Desglose_BOM_Componentes!$AD$976:$AD$986,[1]Desglose_BOM_Componentes!$B$976:$B$986,$A131,[1]Desglose_BOM_Componentes!$X$976:$X$986,"Empaquetado"))</f>
        <v>0.20694113757136584</v>
      </c>
      <c r="I131" s="6">
        <f t="shared" si="13"/>
        <v>0.45947115725640525</v>
      </c>
      <c r="J131" s="1" t="str">
        <f t="shared" si="7"/>
        <v>Completo</v>
      </c>
      <c r="K131" s="1">
        <f>COUNTIFS([1]Desglose_BOM_Componentes!$B$976:$B$986,$A131,[1]Desglose_BOM_Componentes!$AE$976:$AE$986,"Sin precio")</f>
        <v>0</v>
      </c>
      <c r="L131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2" spans="1:12" ht="22" customHeight="1">
      <c r="A132" s="1" t="s">
        <v>159</v>
      </c>
      <c r="B132" s="1" t="s">
        <v>14</v>
      </c>
      <c r="C132" s="1" t="s">
        <v>95</v>
      </c>
      <c r="D132" s="4">
        <f>IF(COUNTIFS([1]Desglose_BOM_Componentes!$B$987:$B$997,$A132,[1]Desglose_BOM_Componentes!$AE$987:$AE$997,"Sin precio",[1]Desglose_BOM_Componentes!$X$987:$X$997,"Formulación")&gt;0,"n.d.",SUMIFS([1]Desglose_BOM_Componentes!$AC$987:$AC$997,[1]Desglose_BOM_Componentes!$B$987:$B$997,$A132,[1]Desglose_BOM_Componentes!$X$987:$X$997,"Formulación"))</f>
        <v>0.24833001968503943</v>
      </c>
      <c r="E132" s="4">
        <f>IF(COUNTIFS([1]Desglose_BOM_Componentes!$B$987:$B$997,$A132,[1]Desglose_BOM_Componentes!$AE$987:$AE$997,"Sin precio",[1]Desglose_BOM_Componentes!$X$987:$X$997,"Empaquetado")&gt;0,"n.d.",SUMIFS([1]Desglose_BOM_Componentes!$AC$987:$AC$997,[1]Desglose_BOM_Componentes!$B$987:$B$997,$A132,[1]Desglose_BOM_Componentes!$X$987:$X$997,"Empaquetado"))</f>
        <v>0.20694113757136584</v>
      </c>
      <c r="F132" s="6">
        <f t="shared" si="12"/>
        <v>0.45947115725640525</v>
      </c>
      <c r="G132" s="4">
        <f>IF(COUNTIFS([1]Desglose_BOM_Componentes!$B$987:$B$997,$A132,[1]Desglose_BOM_Componentes!$AE$987:$AE$997,"Sin precio",[1]Desglose_BOM_Componentes!$X$987:$X$997,"Formulación")&gt;0,"n.d.",SUMIFS([1]Desglose_BOM_Componentes!$AD$987:$AD$997,[1]Desglose_BOM_Componentes!$B$987:$B$997,$A132,[1]Desglose_BOM_Componentes!$X$987:$X$997,"Formulación"))</f>
        <v>0.24833001968503943</v>
      </c>
      <c r="H132" s="4">
        <f>IF(COUNTIFS([1]Desglose_BOM_Componentes!$B$987:$B$997,$A132,[1]Desglose_BOM_Componentes!$AE$987:$AE$997,"Sin precio",[1]Desglose_BOM_Componentes!$X$987:$X$997,"Empaquetado")&gt;0,"n.d.",SUMIFS([1]Desglose_BOM_Componentes!$AD$987:$AD$997,[1]Desglose_BOM_Componentes!$B$987:$B$997,$A132,[1]Desglose_BOM_Componentes!$X$987:$X$997,"Empaquetado"))</f>
        <v>0.20694113757136584</v>
      </c>
      <c r="I132" s="6">
        <f t="shared" si="13"/>
        <v>0.45947115725640525</v>
      </c>
      <c r="J132" s="1" t="str">
        <f t="shared" si="7"/>
        <v>Completo</v>
      </c>
      <c r="K132" s="1">
        <f>COUNTIFS([1]Desglose_BOM_Componentes!$B$987:$B$997,$A132,[1]Desglose_BOM_Componentes!$AE$987:$AE$997,"Sin precio")</f>
        <v>0</v>
      </c>
      <c r="L132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3" spans="1:12" ht="22" customHeight="1">
      <c r="A133" s="1" t="s">
        <v>160</v>
      </c>
      <c r="B133" s="1" t="s">
        <v>14</v>
      </c>
      <c r="C133" s="1" t="s">
        <v>161</v>
      </c>
      <c r="D133" s="4">
        <f>IF(COUNTIFS([1]Desglose_BOM_Componentes!$B$998:$B$1008,$A133,[1]Desglose_BOM_Componentes!$AE$998:$AE$1008,"Sin precio",[1]Desglose_BOM_Componentes!$X$998:$X$1008,"Formulación")&gt;0,"n.d.",SUMIFS([1]Desglose_BOM_Componentes!$AC$998:$AC$1008,[1]Desglose_BOM_Componentes!$B$998:$B$1008,$A133,[1]Desglose_BOM_Componentes!$X$998:$X$1008,"Formulación"))</f>
        <v>0.24833001968503943</v>
      </c>
      <c r="E133" s="4">
        <f>IF(COUNTIFS([1]Desglose_BOM_Componentes!$B$998:$B$1008,$A133,[1]Desglose_BOM_Componentes!$AE$998:$AE$1008,"Sin precio",[1]Desglose_BOM_Componentes!$X$998:$X$1008,"Empaquetado")&gt;0,"n.d.",SUMIFS([1]Desglose_BOM_Componentes!$AC$998:$AC$1008,[1]Desglose_BOM_Componentes!$B$998:$B$1008,$A133,[1]Desglose_BOM_Componentes!$X$998:$X$1008,"Empaquetado"))</f>
        <v>0.20694113757136584</v>
      </c>
      <c r="F133" s="6">
        <f t="shared" si="12"/>
        <v>0.45947115725640525</v>
      </c>
      <c r="G133" s="4">
        <f>IF(COUNTIFS([1]Desglose_BOM_Componentes!$B$998:$B$1008,$A133,[1]Desglose_BOM_Componentes!$AE$998:$AE$1008,"Sin precio",[1]Desglose_BOM_Componentes!$X$998:$X$1008,"Formulación")&gt;0,"n.d.",SUMIFS([1]Desglose_BOM_Componentes!$AD$998:$AD$1008,[1]Desglose_BOM_Componentes!$B$998:$B$1008,$A133,[1]Desglose_BOM_Componentes!$X$998:$X$1008,"Formulación"))</f>
        <v>0.24833001968503943</v>
      </c>
      <c r="H133" s="4">
        <f>IF(COUNTIFS([1]Desglose_BOM_Componentes!$B$998:$B$1008,$A133,[1]Desglose_BOM_Componentes!$AE$998:$AE$1008,"Sin precio",[1]Desglose_BOM_Componentes!$X$998:$X$1008,"Empaquetado")&gt;0,"n.d.",SUMIFS([1]Desglose_BOM_Componentes!$AD$998:$AD$1008,[1]Desglose_BOM_Componentes!$B$998:$B$1008,$A133,[1]Desglose_BOM_Componentes!$X$998:$X$1008,"Empaquetado"))</f>
        <v>0.20694113757136584</v>
      </c>
      <c r="I133" s="6">
        <f t="shared" si="13"/>
        <v>0.45947115725640525</v>
      </c>
      <c r="J133" s="1" t="str">
        <f t="shared" ref="J133:J196" si="14">IF(K133=0,"Completo","Pendiente")</f>
        <v>Completo</v>
      </c>
      <c r="K133" s="1">
        <f>COUNTIFS([1]Desglose_BOM_Componentes!$B$998:$B$1008,$A133,[1]Desglose_BOM_Componentes!$AE$998:$AE$1008,"Sin precio")</f>
        <v>0</v>
      </c>
      <c r="L133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4" spans="1:12" ht="22" customHeight="1">
      <c r="A134" s="1" t="s">
        <v>162</v>
      </c>
      <c r="B134" s="1" t="s">
        <v>14</v>
      </c>
      <c r="C134" s="1" t="s">
        <v>26</v>
      </c>
      <c r="D134" s="4">
        <f>IF(COUNTIFS([1]Desglose_BOM_Componentes!$B$1009:$B$1019,$A134,[1]Desglose_BOM_Componentes!$AE$1009:$AE$1019,"Sin precio",[1]Desglose_BOM_Componentes!$X$1009:$X$1019,"Formulación")&gt;0,"n.d.",SUMIFS([1]Desglose_BOM_Componentes!$AC$1009:$AC$1019,[1]Desglose_BOM_Componentes!$B$1009:$B$1019,$A134,[1]Desglose_BOM_Componentes!$X$1009:$X$1019,"Formulación"))</f>
        <v>0.24833001968503943</v>
      </c>
      <c r="E134" s="4">
        <f>IF(COUNTIFS([1]Desglose_BOM_Componentes!$B$1009:$B$1019,$A134,[1]Desglose_BOM_Componentes!$AE$1009:$AE$1019,"Sin precio",[1]Desglose_BOM_Componentes!$X$1009:$X$1019,"Empaquetado")&gt;0,"n.d.",SUMIFS([1]Desglose_BOM_Componentes!$AC$1009:$AC$1019,[1]Desglose_BOM_Componentes!$B$1009:$B$1019,$A134,[1]Desglose_BOM_Componentes!$X$1009:$X$1019,"Empaquetado"))</f>
        <v>0.20694113757136584</v>
      </c>
      <c r="F134" s="6">
        <f t="shared" si="12"/>
        <v>0.45947115725640525</v>
      </c>
      <c r="G134" s="4">
        <f>IF(COUNTIFS([1]Desglose_BOM_Componentes!$B$1009:$B$1019,$A134,[1]Desglose_BOM_Componentes!$AE$1009:$AE$1019,"Sin precio",[1]Desglose_BOM_Componentes!$X$1009:$X$1019,"Formulación")&gt;0,"n.d.",SUMIFS([1]Desglose_BOM_Componentes!$AD$1009:$AD$1019,[1]Desglose_BOM_Componentes!$B$1009:$B$1019,$A134,[1]Desglose_BOM_Componentes!$X$1009:$X$1019,"Formulación"))</f>
        <v>0.24833001968503943</v>
      </c>
      <c r="H134" s="4">
        <f>IF(COUNTIFS([1]Desglose_BOM_Componentes!$B$1009:$B$1019,$A134,[1]Desglose_BOM_Componentes!$AE$1009:$AE$1019,"Sin precio",[1]Desglose_BOM_Componentes!$X$1009:$X$1019,"Empaquetado")&gt;0,"n.d.",SUMIFS([1]Desglose_BOM_Componentes!$AD$1009:$AD$1019,[1]Desglose_BOM_Componentes!$B$1009:$B$1019,$A134,[1]Desglose_BOM_Componentes!$X$1009:$X$1019,"Empaquetado"))</f>
        <v>0.20694113757136584</v>
      </c>
      <c r="I134" s="6">
        <f t="shared" si="13"/>
        <v>0.45947115725640525</v>
      </c>
      <c r="J134" s="1" t="str">
        <f t="shared" si="14"/>
        <v>Completo</v>
      </c>
      <c r="K134" s="1">
        <f>COUNTIFS([1]Desglose_BOM_Componentes!$B$1009:$B$1019,$A134,[1]Desglose_BOM_Componentes!$AE$1009:$AE$1019,"Sin precio")</f>
        <v>0</v>
      </c>
      <c r="L134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5" spans="1:12" ht="22" customHeight="1">
      <c r="A135" s="1" t="s">
        <v>163</v>
      </c>
      <c r="B135" s="1" t="s">
        <v>14</v>
      </c>
      <c r="C135" s="1" t="s">
        <v>81</v>
      </c>
      <c r="D135" s="4">
        <f>IF(COUNTIFS([1]Desglose_BOM_Componentes!$B$1020:$B$1030,$A135,[1]Desglose_BOM_Componentes!$AE$1020:$AE$1030,"Sin precio",[1]Desglose_BOM_Componentes!$X$1020:$X$1030,"Formulación")&gt;0,"n.d.",SUMIFS([1]Desglose_BOM_Componentes!$AC$1020:$AC$1030,[1]Desglose_BOM_Componentes!$B$1020:$B$1030,$A135,[1]Desglose_BOM_Componentes!$X$1020:$X$1030,"Formulación"))</f>
        <v>0.24833001968503943</v>
      </c>
      <c r="E135" s="4">
        <f>IF(COUNTIFS([1]Desglose_BOM_Componentes!$B$1020:$B$1030,$A135,[1]Desglose_BOM_Componentes!$AE$1020:$AE$1030,"Sin precio",[1]Desglose_BOM_Componentes!$X$1020:$X$1030,"Empaquetado")&gt;0,"n.d.",SUMIFS([1]Desglose_BOM_Componentes!$AC$1020:$AC$1030,[1]Desglose_BOM_Componentes!$B$1020:$B$1030,$A135,[1]Desglose_BOM_Componentes!$X$1020:$X$1030,"Empaquetado"))</f>
        <v>0.20694113757136584</v>
      </c>
      <c r="F135" s="6">
        <f t="shared" si="12"/>
        <v>0.45947115725640525</v>
      </c>
      <c r="G135" s="4">
        <f>IF(COUNTIFS([1]Desglose_BOM_Componentes!$B$1020:$B$1030,$A135,[1]Desglose_BOM_Componentes!$AE$1020:$AE$1030,"Sin precio",[1]Desglose_BOM_Componentes!$X$1020:$X$1030,"Formulación")&gt;0,"n.d.",SUMIFS([1]Desglose_BOM_Componentes!$AD$1020:$AD$1030,[1]Desglose_BOM_Componentes!$B$1020:$B$1030,$A135,[1]Desglose_BOM_Componentes!$X$1020:$X$1030,"Formulación"))</f>
        <v>0.24833001968503943</v>
      </c>
      <c r="H135" s="4">
        <f>IF(COUNTIFS([1]Desglose_BOM_Componentes!$B$1020:$B$1030,$A135,[1]Desglose_BOM_Componentes!$AE$1020:$AE$1030,"Sin precio",[1]Desglose_BOM_Componentes!$X$1020:$X$1030,"Empaquetado")&gt;0,"n.d.",SUMIFS([1]Desglose_BOM_Componentes!$AD$1020:$AD$1030,[1]Desglose_BOM_Componentes!$B$1020:$B$1030,$A135,[1]Desglose_BOM_Componentes!$X$1020:$X$1030,"Empaquetado"))</f>
        <v>0.20694113757136584</v>
      </c>
      <c r="I135" s="6">
        <f t="shared" si="13"/>
        <v>0.45947115725640525</v>
      </c>
      <c r="J135" s="1" t="str">
        <f t="shared" si="14"/>
        <v>Completo</v>
      </c>
      <c r="K135" s="1">
        <f>COUNTIFS([1]Desglose_BOM_Componentes!$B$1020:$B$1030,$A135,[1]Desglose_BOM_Componentes!$AE$1020:$AE$1030,"Sin precio")</f>
        <v>0</v>
      </c>
      <c r="L135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6" spans="1:12" ht="22" customHeight="1">
      <c r="A136" s="1" t="s">
        <v>164</v>
      </c>
      <c r="B136" s="1" t="s">
        <v>14</v>
      </c>
      <c r="C136" s="1" t="s">
        <v>71</v>
      </c>
      <c r="D136" s="4">
        <f>IF(COUNTIFS([1]Desglose_BOM_Componentes!$B$1031:$B$1041,$A136,[1]Desglose_BOM_Componentes!$AE$1031:$AE$1041,"Sin precio",[1]Desglose_BOM_Componentes!$X$1031:$X$1041,"Formulación")&gt;0,"n.d.",SUMIFS([1]Desglose_BOM_Componentes!$AC$1031:$AC$1041,[1]Desglose_BOM_Componentes!$B$1031:$B$1041,$A136,[1]Desglose_BOM_Componentes!$X$1031:$X$1041,"Formulación"))</f>
        <v>0.24833001968503943</v>
      </c>
      <c r="E136" s="4">
        <f>IF(COUNTIFS([1]Desglose_BOM_Componentes!$B$1031:$B$1041,$A136,[1]Desglose_BOM_Componentes!$AE$1031:$AE$1041,"Sin precio",[1]Desglose_BOM_Componentes!$X$1031:$X$1041,"Empaquetado")&gt;0,"n.d.",SUMIFS([1]Desglose_BOM_Componentes!$AC$1031:$AC$1041,[1]Desglose_BOM_Componentes!$B$1031:$B$1041,$A136,[1]Desglose_BOM_Componentes!$X$1031:$X$1041,"Empaquetado"))</f>
        <v>0.20694113757136584</v>
      </c>
      <c r="F136" s="6">
        <f t="shared" si="12"/>
        <v>0.45947115725640525</v>
      </c>
      <c r="G136" s="4">
        <f>IF(COUNTIFS([1]Desglose_BOM_Componentes!$B$1031:$B$1041,$A136,[1]Desglose_BOM_Componentes!$AE$1031:$AE$1041,"Sin precio",[1]Desglose_BOM_Componentes!$X$1031:$X$1041,"Formulación")&gt;0,"n.d.",SUMIFS([1]Desglose_BOM_Componentes!$AD$1031:$AD$1041,[1]Desglose_BOM_Componentes!$B$1031:$B$1041,$A136,[1]Desglose_BOM_Componentes!$X$1031:$X$1041,"Formulación"))</f>
        <v>0.24833001968503943</v>
      </c>
      <c r="H136" s="4">
        <f>IF(COUNTIFS([1]Desglose_BOM_Componentes!$B$1031:$B$1041,$A136,[1]Desglose_BOM_Componentes!$AE$1031:$AE$1041,"Sin precio",[1]Desglose_BOM_Componentes!$X$1031:$X$1041,"Empaquetado")&gt;0,"n.d.",SUMIFS([1]Desglose_BOM_Componentes!$AD$1031:$AD$1041,[1]Desglose_BOM_Componentes!$B$1031:$B$1041,$A136,[1]Desglose_BOM_Componentes!$X$1031:$X$1041,"Empaquetado"))</f>
        <v>0.20694113757136584</v>
      </c>
      <c r="I136" s="6">
        <f t="shared" si="13"/>
        <v>0.45947115725640525</v>
      </c>
      <c r="J136" s="1" t="str">
        <f t="shared" si="14"/>
        <v>Completo</v>
      </c>
      <c r="K136" s="1">
        <f>COUNTIFS([1]Desglose_BOM_Componentes!$B$1031:$B$1041,$A136,[1]Desglose_BOM_Componentes!$AE$1031:$AE$1041,"Sin precio")</f>
        <v>0</v>
      </c>
      <c r="L136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7" spans="1:12" ht="22" customHeight="1">
      <c r="A137" s="1" t="s">
        <v>165</v>
      </c>
      <c r="B137" s="1" t="s">
        <v>14</v>
      </c>
      <c r="C137" s="1" t="s">
        <v>15</v>
      </c>
      <c r="D137" s="4">
        <f>IF(COUNTIFS([1]Desglose_BOM_Componentes!$B$1042:$B$1052,$A137,[1]Desglose_BOM_Componentes!$AE$1042:$AE$1052,"Sin precio",[1]Desglose_BOM_Componentes!$X$1042:$X$1052,"Formulación")&gt;0,"n.d.",SUMIFS([1]Desglose_BOM_Componentes!$AC$1042:$AC$1052,[1]Desglose_BOM_Componentes!$B$1042:$B$1052,$A137,[1]Desglose_BOM_Componentes!$X$1042:$X$1052,"Formulación"))</f>
        <v>0.24833001968503943</v>
      </c>
      <c r="E137" s="4">
        <f>IF(COUNTIFS([1]Desglose_BOM_Componentes!$B$1042:$B$1052,$A137,[1]Desglose_BOM_Componentes!$AE$1042:$AE$1052,"Sin precio",[1]Desglose_BOM_Componentes!$X$1042:$X$1052,"Empaquetado")&gt;0,"n.d.",SUMIFS([1]Desglose_BOM_Componentes!$AC$1042:$AC$1052,[1]Desglose_BOM_Componentes!$B$1042:$B$1052,$A137,[1]Desglose_BOM_Componentes!$X$1042:$X$1052,"Empaquetado"))</f>
        <v>0.20694113757136584</v>
      </c>
      <c r="F137" s="6">
        <f t="shared" si="12"/>
        <v>0.45947115725640525</v>
      </c>
      <c r="G137" s="4">
        <f>IF(COUNTIFS([1]Desglose_BOM_Componentes!$B$1042:$B$1052,$A137,[1]Desglose_BOM_Componentes!$AE$1042:$AE$1052,"Sin precio",[1]Desglose_BOM_Componentes!$X$1042:$X$1052,"Formulación")&gt;0,"n.d.",SUMIFS([1]Desglose_BOM_Componentes!$AD$1042:$AD$1052,[1]Desglose_BOM_Componentes!$B$1042:$B$1052,$A137,[1]Desglose_BOM_Componentes!$X$1042:$X$1052,"Formulación"))</f>
        <v>0.24833001968503943</v>
      </c>
      <c r="H137" s="4">
        <f>IF(COUNTIFS([1]Desglose_BOM_Componentes!$B$1042:$B$1052,$A137,[1]Desglose_BOM_Componentes!$AE$1042:$AE$1052,"Sin precio",[1]Desglose_BOM_Componentes!$X$1042:$X$1052,"Empaquetado")&gt;0,"n.d.",SUMIFS([1]Desglose_BOM_Componentes!$AD$1042:$AD$1052,[1]Desglose_BOM_Componentes!$B$1042:$B$1052,$A137,[1]Desglose_BOM_Componentes!$X$1042:$X$1052,"Empaquetado"))</f>
        <v>0.20694113757136584</v>
      </c>
      <c r="I137" s="6">
        <f t="shared" si="13"/>
        <v>0.45947115725640525</v>
      </c>
      <c r="J137" s="1" t="str">
        <f t="shared" si="14"/>
        <v>Completo</v>
      </c>
      <c r="K137" s="1">
        <f>COUNTIFS([1]Desglose_BOM_Componentes!$B$1042:$B$1052,$A137,[1]Desglose_BOM_Componentes!$AE$1042:$AE$1052,"Sin precio")</f>
        <v>0</v>
      </c>
      <c r="L137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38" spans="1:12" ht="22" customHeight="1">
      <c r="A138" s="1" t="s">
        <v>166</v>
      </c>
      <c r="B138" s="1" t="s">
        <v>14</v>
      </c>
      <c r="C138" s="1" t="s">
        <v>24</v>
      </c>
      <c r="D138" s="4">
        <f>IF(COUNTIFS([1]Desglose_BOM_Componentes!$B$1053:$B$1063,$A138,[1]Desglose_BOM_Componentes!$AE$1053:$AE$1063,"Sin precio",[1]Desglose_BOM_Componentes!$X$1053:$X$1063,"Formulación")&gt;0,"n.d.",SUMIFS([1]Desglose_BOM_Componentes!$AC$1053:$AC$1063,[1]Desglose_BOM_Componentes!$B$1053:$B$1063,$A138,[1]Desglose_BOM_Componentes!$X$1053:$X$1063,"Formulación"))</f>
        <v>0.24833001968503943</v>
      </c>
      <c r="E138" s="4">
        <f>IF(COUNTIFS([1]Desglose_BOM_Componentes!$B$1053:$B$1063,$A138,[1]Desglose_BOM_Componentes!$AE$1053:$AE$1063,"Sin precio",[1]Desglose_BOM_Componentes!$X$1053:$X$1063,"Empaquetado")&gt;0,"n.d.",SUMIFS([1]Desglose_BOM_Componentes!$AC$1053:$AC$1063,[1]Desglose_BOM_Componentes!$B$1053:$B$1063,$A138,[1]Desglose_BOM_Componentes!$X$1053:$X$1063,"Empaquetado"))</f>
        <v>0.11463487571365835</v>
      </c>
      <c r="F138" s="6">
        <f t="shared" si="12"/>
        <v>0.36716489539869779</v>
      </c>
      <c r="G138" s="4">
        <f>IF(COUNTIFS([1]Desglose_BOM_Componentes!$B$1053:$B$1063,$A138,[1]Desglose_BOM_Componentes!$AE$1053:$AE$1063,"Sin precio",[1]Desglose_BOM_Componentes!$X$1053:$X$1063,"Formulación")&gt;0,"n.d.",SUMIFS([1]Desglose_BOM_Componentes!$AD$1053:$AD$1063,[1]Desglose_BOM_Componentes!$B$1053:$B$1063,$A138,[1]Desglose_BOM_Componentes!$X$1053:$X$1063,"Formulación"))</f>
        <v>0.24833001968503943</v>
      </c>
      <c r="H138" s="4">
        <f>IF(COUNTIFS([1]Desglose_BOM_Componentes!$B$1053:$B$1063,$A138,[1]Desglose_BOM_Componentes!$AE$1053:$AE$1063,"Sin precio",[1]Desglose_BOM_Componentes!$X$1053:$X$1063,"Empaquetado")&gt;0,"n.d.",SUMIFS([1]Desglose_BOM_Componentes!$AD$1053:$AD$1063,[1]Desglose_BOM_Componentes!$B$1053:$B$1063,$A138,[1]Desglose_BOM_Componentes!$X$1053:$X$1063,"Empaquetado"))</f>
        <v>0.11463487571365835</v>
      </c>
      <c r="I138" s="6">
        <f t="shared" si="13"/>
        <v>0.36716489539869779</v>
      </c>
      <c r="J138" s="1" t="str">
        <f t="shared" si="14"/>
        <v>Completo</v>
      </c>
      <c r="K138" s="1">
        <f>COUNTIFS([1]Desglose_BOM_Componentes!$B$1053:$B$1063,$A138,[1]Desglose_BOM_Componentes!$AE$1053:$AE$1063,"Sin precio")</f>
        <v>0</v>
      </c>
      <c r="L138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39" spans="1:12" ht="22" customHeight="1">
      <c r="A139" s="1" t="s">
        <v>167</v>
      </c>
      <c r="B139" s="1" t="s">
        <v>14</v>
      </c>
      <c r="C139" s="1" t="s">
        <v>84</v>
      </c>
      <c r="D139" s="4">
        <f>IF(COUNTIFS([1]Desglose_BOM_Componentes!$B$1064:$B$1074,$A139,[1]Desglose_BOM_Componentes!$AE$1064:$AE$1074,"Sin precio",[1]Desglose_BOM_Componentes!$X$1064:$X$1074,"Formulación")&gt;0,"n.d.",SUMIFS([1]Desglose_BOM_Componentes!$AC$1064:$AC$1074,[1]Desglose_BOM_Componentes!$B$1064:$B$1074,$A139,[1]Desglose_BOM_Componentes!$X$1064:$X$1074,"Formulación"))</f>
        <v>0.24833001968503943</v>
      </c>
      <c r="E139" s="4">
        <f>IF(COUNTIFS([1]Desglose_BOM_Componentes!$B$1064:$B$1074,$A139,[1]Desglose_BOM_Componentes!$AE$1064:$AE$1074,"Sin precio",[1]Desglose_BOM_Componentes!$X$1064:$X$1074,"Empaquetado")&gt;0,"n.d.",SUMIFS([1]Desglose_BOM_Componentes!$AC$1064:$AC$1074,[1]Desglose_BOM_Componentes!$B$1064:$B$1074,$A139,[1]Desglose_BOM_Componentes!$X$1064:$X$1074,"Empaquetado"))</f>
        <v>0.11463487571365835</v>
      </c>
      <c r="F139" s="6">
        <f t="shared" si="12"/>
        <v>0.36716489539869779</v>
      </c>
      <c r="G139" s="4">
        <f>IF(COUNTIFS([1]Desglose_BOM_Componentes!$B$1064:$B$1074,$A139,[1]Desglose_BOM_Componentes!$AE$1064:$AE$1074,"Sin precio",[1]Desglose_BOM_Componentes!$X$1064:$X$1074,"Formulación")&gt;0,"n.d.",SUMIFS([1]Desglose_BOM_Componentes!$AD$1064:$AD$1074,[1]Desglose_BOM_Componentes!$B$1064:$B$1074,$A139,[1]Desglose_BOM_Componentes!$X$1064:$X$1074,"Formulación"))</f>
        <v>0.24833001968503943</v>
      </c>
      <c r="H139" s="4">
        <f>IF(COUNTIFS([1]Desglose_BOM_Componentes!$B$1064:$B$1074,$A139,[1]Desglose_BOM_Componentes!$AE$1064:$AE$1074,"Sin precio",[1]Desglose_BOM_Componentes!$X$1064:$X$1074,"Empaquetado")&gt;0,"n.d.",SUMIFS([1]Desglose_BOM_Componentes!$AD$1064:$AD$1074,[1]Desglose_BOM_Componentes!$B$1064:$B$1074,$A139,[1]Desglose_BOM_Componentes!$X$1064:$X$1074,"Empaquetado"))</f>
        <v>0.11463487571365835</v>
      </c>
      <c r="I139" s="6">
        <f t="shared" si="13"/>
        <v>0.36716489539869779</v>
      </c>
      <c r="J139" s="1" t="str">
        <f t="shared" si="14"/>
        <v>Completo</v>
      </c>
      <c r="K139" s="1">
        <f>COUNTIFS([1]Desglose_BOM_Componentes!$B$1064:$B$1074,$A139,[1]Desglose_BOM_Componentes!$AE$1064:$AE$1074,"Sin precio")</f>
        <v>0</v>
      </c>
      <c r="L139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0" spans="1:12" ht="22" customHeight="1">
      <c r="A140" s="1" t="s">
        <v>168</v>
      </c>
      <c r="B140" s="1" t="s">
        <v>14</v>
      </c>
      <c r="C140" s="1" t="s">
        <v>169</v>
      </c>
      <c r="D140" s="4">
        <f>IF(COUNTIFS([1]Desglose_BOM_Componentes!$B$1075:$B$1085,$A140,[1]Desglose_BOM_Componentes!$AE$1075:$AE$1085,"Sin precio",[1]Desglose_BOM_Componentes!$X$1075:$X$1085,"Formulación")&gt;0,"n.d.",SUMIFS([1]Desglose_BOM_Componentes!$AC$1075:$AC$1085,[1]Desglose_BOM_Componentes!$B$1075:$B$1085,$A140,[1]Desglose_BOM_Componentes!$X$1075:$X$1085,"Formulación"))</f>
        <v>0.24833001968503943</v>
      </c>
      <c r="E140" s="4">
        <f>IF(COUNTIFS([1]Desglose_BOM_Componentes!$B$1075:$B$1085,$A140,[1]Desglose_BOM_Componentes!$AE$1075:$AE$1085,"Sin precio",[1]Desglose_BOM_Componentes!$X$1075:$X$1085,"Empaquetado")&gt;0,"n.d.",SUMIFS([1]Desglose_BOM_Componentes!$AC$1075:$AC$1085,[1]Desglose_BOM_Componentes!$B$1075:$B$1085,$A140,[1]Desglose_BOM_Componentes!$X$1075:$X$1085,"Empaquetado"))</f>
        <v>0.11463487571365835</v>
      </c>
      <c r="F140" s="6">
        <f t="shared" si="12"/>
        <v>0.36716489539869779</v>
      </c>
      <c r="G140" s="4">
        <f>IF(COUNTIFS([1]Desglose_BOM_Componentes!$B$1075:$B$1085,$A140,[1]Desglose_BOM_Componentes!$AE$1075:$AE$1085,"Sin precio",[1]Desglose_BOM_Componentes!$X$1075:$X$1085,"Formulación")&gt;0,"n.d.",SUMIFS([1]Desglose_BOM_Componentes!$AD$1075:$AD$1085,[1]Desglose_BOM_Componentes!$B$1075:$B$1085,$A140,[1]Desglose_BOM_Componentes!$X$1075:$X$1085,"Formulación"))</f>
        <v>0.24833001968503943</v>
      </c>
      <c r="H140" s="4">
        <f>IF(COUNTIFS([1]Desglose_BOM_Componentes!$B$1075:$B$1085,$A140,[1]Desglose_BOM_Componentes!$AE$1075:$AE$1085,"Sin precio",[1]Desglose_BOM_Componentes!$X$1075:$X$1085,"Empaquetado")&gt;0,"n.d.",SUMIFS([1]Desglose_BOM_Componentes!$AD$1075:$AD$1085,[1]Desglose_BOM_Componentes!$B$1075:$B$1085,$A140,[1]Desglose_BOM_Componentes!$X$1075:$X$1085,"Empaquetado"))</f>
        <v>0.11463487571365835</v>
      </c>
      <c r="I140" s="6">
        <f t="shared" si="13"/>
        <v>0.36716489539869779</v>
      </c>
      <c r="J140" s="1" t="str">
        <f t="shared" si="14"/>
        <v>Completo</v>
      </c>
      <c r="K140" s="1">
        <f>COUNTIFS([1]Desglose_BOM_Componentes!$B$1075:$B$1085,$A140,[1]Desglose_BOM_Componentes!$AE$1075:$AE$1085,"Sin precio")</f>
        <v>0</v>
      </c>
      <c r="L140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1" spans="1:12" ht="22" customHeight="1">
      <c r="A141" s="1" t="s">
        <v>170</v>
      </c>
      <c r="B141" s="1" t="s">
        <v>14</v>
      </c>
      <c r="C141" s="1" t="s">
        <v>116</v>
      </c>
      <c r="D141" s="4">
        <f>IF(COUNTIFS([1]Desglose_BOM_Componentes!$B$1086:$B$1096,$A141,[1]Desglose_BOM_Componentes!$AE$1086:$AE$1096,"Sin precio",[1]Desglose_BOM_Componentes!$X$1086:$X$1096,"Formulación")&gt;0,"n.d.",SUMIFS([1]Desglose_BOM_Componentes!$AC$1086:$AC$1096,[1]Desglose_BOM_Componentes!$B$1086:$B$1096,$A141,[1]Desglose_BOM_Componentes!$X$1086:$X$1096,"Formulación"))</f>
        <v>0.24833001968503943</v>
      </c>
      <c r="E141" s="4">
        <f>IF(COUNTIFS([1]Desglose_BOM_Componentes!$B$1086:$B$1096,$A141,[1]Desglose_BOM_Componentes!$AE$1086:$AE$1096,"Sin precio",[1]Desglose_BOM_Componentes!$X$1086:$X$1096,"Empaquetado")&gt;0,"n.d.",SUMIFS([1]Desglose_BOM_Componentes!$AC$1086:$AC$1096,[1]Desglose_BOM_Componentes!$B$1086:$B$1096,$A141,[1]Desglose_BOM_Componentes!$X$1086:$X$1096,"Empaquetado"))</f>
        <v>0.11463487571365835</v>
      </c>
      <c r="F141" s="6">
        <f t="shared" si="12"/>
        <v>0.36716489539869779</v>
      </c>
      <c r="G141" s="4">
        <f>IF(COUNTIFS([1]Desglose_BOM_Componentes!$B$1086:$B$1096,$A141,[1]Desglose_BOM_Componentes!$AE$1086:$AE$1096,"Sin precio",[1]Desglose_BOM_Componentes!$X$1086:$X$1096,"Formulación")&gt;0,"n.d.",SUMIFS([1]Desglose_BOM_Componentes!$AD$1086:$AD$1096,[1]Desglose_BOM_Componentes!$B$1086:$B$1096,$A141,[1]Desglose_BOM_Componentes!$X$1086:$X$1096,"Formulación"))</f>
        <v>0.24833001968503943</v>
      </c>
      <c r="H141" s="4">
        <f>IF(COUNTIFS([1]Desglose_BOM_Componentes!$B$1086:$B$1096,$A141,[1]Desglose_BOM_Componentes!$AE$1086:$AE$1096,"Sin precio",[1]Desglose_BOM_Componentes!$X$1086:$X$1096,"Empaquetado")&gt;0,"n.d.",SUMIFS([1]Desglose_BOM_Componentes!$AD$1086:$AD$1096,[1]Desglose_BOM_Componentes!$B$1086:$B$1096,$A141,[1]Desglose_BOM_Componentes!$X$1086:$X$1096,"Empaquetado"))</f>
        <v>0.11463487571365835</v>
      </c>
      <c r="I141" s="6">
        <f t="shared" si="13"/>
        <v>0.36716489539869779</v>
      </c>
      <c r="J141" s="1" t="str">
        <f t="shared" si="14"/>
        <v>Completo</v>
      </c>
      <c r="K141" s="1">
        <f>COUNTIFS([1]Desglose_BOM_Componentes!$B$1086:$B$1096,$A141,[1]Desglose_BOM_Componentes!$AE$1086:$AE$1096,"Sin precio")</f>
        <v>0</v>
      </c>
      <c r="L141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2" spans="1:12" ht="22" customHeight="1">
      <c r="A142" s="1" t="s">
        <v>171</v>
      </c>
      <c r="B142" s="1" t="s">
        <v>14</v>
      </c>
      <c r="C142" s="1" t="s">
        <v>21</v>
      </c>
      <c r="D142" s="4">
        <f>IF(COUNTIFS([1]Desglose_BOM_Componentes!$B$1097:$B$1107,$A142,[1]Desglose_BOM_Componentes!$AE$1097:$AE$1107,"Sin precio",[1]Desglose_BOM_Componentes!$X$1097:$X$1107,"Formulación")&gt;0,"n.d.",SUMIFS([1]Desglose_BOM_Componentes!$AC$1097:$AC$1107,[1]Desglose_BOM_Componentes!$B$1097:$B$1107,$A142,[1]Desglose_BOM_Componentes!$X$1097:$X$1107,"Formulación"))</f>
        <v>0.24833001968503943</v>
      </c>
      <c r="E142" s="4">
        <f>IF(COUNTIFS([1]Desglose_BOM_Componentes!$B$1097:$B$1107,$A142,[1]Desglose_BOM_Componentes!$AE$1097:$AE$1107,"Sin precio",[1]Desglose_BOM_Componentes!$X$1097:$X$1107,"Empaquetado")&gt;0,"n.d.",SUMIFS([1]Desglose_BOM_Componentes!$AC$1097:$AC$1107,[1]Desglose_BOM_Componentes!$B$1097:$B$1107,$A142,[1]Desglose_BOM_Componentes!$X$1097:$X$1107,"Empaquetado"))</f>
        <v>0.11463487571365835</v>
      </c>
      <c r="F142" s="6">
        <f t="shared" si="12"/>
        <v>0.36716489539869779</v>
      </c>
      <c r="G142" s="4">
        <f>IF(COUNTIFS([1]Desglose_BOM_Componentes!$B$1097:$B$1107,$A142,[1]Desglose_BOM_Componentes!$AE$1097:$AE$1107,"Sin precio",[1]Desglose_BOM_Componentes!$X$1097:$X$1107,"Formulación")&gt;0,"n.d.",SUMIFS([1]Desglose_BOM_Componentes!$AD$1097:$AD$1107,[1]Desglose_BOM_Componentes!$B$1097:$B$1107,$A142,[1]Desglose_BOM_Componentes!$X$1097:$X$1107,"Formulación"))</f>
        <v>0.24833001968503943</v>
      </c>
      <c r="H142" s="4">
        <f>IF(COUNTIFS([1]Desglose_BOM_Componentes!$B$1097:$B$1107,$A142,[1]Desglose_BOM_Componentes!$AE$1097:$AE$1107,"Sin precio",[1]Desglose_BOM_Componentes!$X$1097:$X$1107,"Empaquetado")&gt;0,"n.d.",SUMIFS([1]Desglose_BOM_Componentes!$AD$1097:$AD$1107,[1]Desglose_BOM_Componentes!$B$1097:$B$1107,$A142,[1]Desglose_BOM_Componentes!$X$1097:$X$1107,"Empaquetado"))</f>
        <v>0.11463487571365835</v>
      </c>
      <c r="I142" s="6">
        <f t="shared" si="13"/>
        <v>0.36716489539869779</v>
      </c>
      <c r="J142" s="1" t="str">
        <f t="shared" si="14"/>
        <v>Completo</v>
      </c>
      <c r="K142" s="1">
        <f>COUNTIFS([1]Desglose_BOM_Componentes!$B$1097:$B$1107,$A142,[1]Desglose_BOM_Componentes!$AE$1097:$AE$1107,"Sin precio")</f>
        <v>0</v>
      </c>
      <c r="L142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3" spans="1:12" ht="22" customHeight="1">
      <c r="A143" s="1" t="s">
        <v>172</v>
      </c>
      <c r="B143" s="1" t="s">
        <v>14</v>
      </c>
      <c r="C143" s="1" t="s">
        <v>95</v>
      </c>
      <c r="D143" s="4">
        <f>IF(COUNTIFS([1]Desglose_BOM_Componentes!$B$1108:$B$1118,$A143,[1]Desglose_BOM_Componentes!$AE$1108:$AE$1118,"Sin precio",[1]Desglose_BOM_Componentes!$X$1108:$X$1118,"Formulación")&gt;0,"n.d.",SUMIFS([1]Desglose_BOM_Componentes!$AC$1108:$AC$1118,[1]Desglose_BOM_Componentes!$B$1108:$B$1118,$A143,[1]Desglose_BOM_Componentes!$X$1108:$X$1118,"Formulación"))</f>
        <v>0.24833001968503943</v>
      </c>
      <c r="E143" s="4">
        <f>IF(COUNTIFS([1]Desglose_BOM_Componentes!$B$1108:$B$1118,$A143,[1]Desglose_BOM_Componentes!$AE$1108:$AE$1118,"Sin precio",[1]Desglose_BOM_Componentes!$X$1108:$X$1118,"Empaquetado")&gt;0,"n.d.",SUMIFS([1]Desglose_BOM_Componentes!$AC$1108:$AC$1118,[1]Desglose_BOM_Componentes!$B$1108:$B$1118,$A143,[1]Desglose_BOM_Componentes!$X$1108:$X$1118,"Empaquetado"))</f>
        <v>0.11463487571365835</v>
      </c>
      <c r="F143" s="6">
        <f t="shared" si="12"/>
        <v>0.36716489539869779</v>
      </c>
      <c r="G143" s="4">
        <f>IF(COUNTIFS([1]Desglose_BOM_Componentes!$B$1108:$B$1118,$A143,[1]Desglose_BOM_Componentes!$AE$1108:$AE$1118,"Sin precio",[1]Desglose_BOM_Componentes!$X$1108:$X$1118,"Formulación")&gt;0,"n.d.",SUMIFS([1]Desglose_BOM_Componentes!$AD$1108:$AD$1118,[1]Desglose_BOM_Componentes!$B$1108:$B$1118,$A143,[1]Desglose_BOM_Componentes!$X$1108:$X$1118,"Formulación"))</f>
        <v>0.24833001968503943</v>
      </c>
      <c r="H143" s="4">
        <f>IF(COUNTIFS([1]Desglose_BOM_Componentes!$B$1108:$B$1118,$A143,[1]Desglose_BOM_Componentes!$AE$1108:$AE$1118,"Sin precio",[1]Desglose_BOM_Componentes!$X$1108:$X$1118,"Empaquetado")&gt;0,"n.d.",SUMIFS([1]Desglose_BOM_Componentes!$AD$1108:$AD$1118,[1]Desglose_BOM_Componentes!$B$1108:$B$1118,$A143,[1]Desglose_BOM_Componentes!$X$1108:$X$1118,"Empaquetado"))</f>
        <v>0.11463487571365835</v>
      </c>
      <c r="I143" s="6">
        <f t="shared" si="13"/>
        <v>0.36716489539869779</v>
      </c>
      <c r="J143" s="1" t="str">
        <f t="shared" si="14"/>
        <v>Completo</v>
      </c>
      <c r="K143" s="1">
        <f>COUNTIFS([1]Desglose_BOM_Componentes!$B$1108:$B$1118,$A143,[1]Desglose_BOM_Componentes!$AE$1108:$AE$1118,"Sin precio")</f>
        <v>0</v>
      </c>
      <c r="L143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4" spans="1:12" ht="22" customHeight="1">
      <c r="A144" s="1" t="s">
        <v>173</v>
      </c>
      <c r="B144" s="1" t="s">
        <v>14</v>
      </c>
      <c r="C144" s="1" t="s">
        <v>79</v>
      </c>
      <c r="D144" s="4">
        <f>IF(COUNTIFS([1]Desglose_BOM_Componentes!$B$1119:$B$1129,$A144,[1]Desglose_BOM_Componentes!$AE$1119:$AE$1129,"Sin precio",[1]Desglose_BOM_Componentes!$X$1119:$X$1129,"Formulación")&gt;0,"n.d.",SUMIFS([1]Desglose_BOM_Componentes!$AC$1119:$AC$1129,[1]Desglose_BOM_Componentes!$B$1119:$B$1129,$A144,[1]Desglose_BOM_Componentes!$X$1119:$X$1129,"Formulación"))</f>
        <v>0.24833001968503943</v>
      </c>
      <c r="E144" s="4">
        <f>IF(COUNTIFS([1]Desglose_BOM_Componentes!$B$1119:$B$1129,$A144,[1]Desglose_BOM_Componentes!$AE$1119:$AE$1129,"Sin precio",[1]Desglose_BOM_Componentes!$X$1119:$X$1129,"Empaquetado")&gt;0,"n.d.",SUMIFS([1]Desglose_BOM_Componentes!$AC$1119:$AC$1129,[1]Desglose_BOM_Componentes!$B$1119:$B$1129,$A144,[1]Desglose_BOM_Componentes!$X$1119:$X$1129,"Empaquetado"))</f>
        <v>0.11463487571365835</v>
      </c>
      <c r="F144" s="6">
        <f t="shared" si="12"/>
        <v>0.36716489539869779</v>
      </c>
      <c r="G144" s="4">
        <f>IF(COUNTIFS([1]Desglose_BOM_Componentes!$B$1119:$B$1129,$A144,[1]Desglose_BOM_Componentes!$AE$1119:$AE$1129,"Sin precio",[1]Desglose_BOM_Componentes!$X$1119:$X$1129,"Formulación")&gt;0,"n.d.",SUMIFS([1]Desglose_BOM_Componentes!$AD$1119:$AD$1129,[1]Desglose_BOM_Componentes!$B$1119:$B$1129,$A144,[1]Desglose_BOM_Componentes!$X$1119:$X$1129,"Formulación"))</f>
        <v>0.24833001968503943</v>
      </c>
      <c r="H144" s="4">
        <f>IF(COUNTIFS([1]Desglose_BOM_Componentes!$B$1119:$B$1129,$A144,[1]Desglose_BOM_Componentes!$AE$1119:$AE$1129,"Sin precio",[1]Desglose_BOM_Componentes!$X$1119:$X$1129,"Empaquetado")&gt;0,"n.d.",SUMIFS([1]Desglose_BOM_Componentes!$AD$1119:$AD$1129,[1]Desglose_BOM_Componentes!$B$1119:$B$1129,$A144,[1]Desglose_BOM_Componentes!$X$1119:$X$1129,"Empaquetado"))</f>
        <v>0.11463487571365835</v>
      </c>
      <c r="I144" s="6">
        <f t="shared" si="13"/>
        <v>0.36716489539869779</v>
      </c>
      <c r="J144" s="1" t="str">
        <f t="shared" si="14"/>
        <v>Completo</v>
      </c>
      <c r="K144" s="1">
        <f>COUNTIFS([1]Desglose_BOM_Componentes!$B$1119:$B$1129,$A144,[1]Desglose_BOM_Componentes!$AE$1119:$AE$1129,"Sin precio")</f>
        <v>0</v>
      </c>
      <c r="L144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5" spans="1:12" ht="22" customHeight="1">
      <c r="A145" s="1" t="s">
        <v>174</v>
      </c>
      <c r="B145" s="1" t="s">
        <v>14</v>
      </c>
      <c r="C145" s="1" t="s">
        <v>99</v>
      </c>
      <c r="D145" s="4">
        <f>IF(COUNTIFS([1]Desglose_BOM_Componentes!$B$1130:$B$1140,$A145,[1]Desglose_BOM_Componentes!$AE$1130:$AE$1140,"Sin precio",[1]Desglose_BOM_Componentes!$X$1130:$X$1140,"Formulación")&gt;0,"n.d.",SUMIFS([1]Desglose_BOM_Componentes!$AC$1130:$AC$1140,[1]Desglose_BOM_Componentes!$B$1130:$B$1140,$A145,[1]Desglose_BOM_Componentes!$X$1130:$X$1140,"Formulación"))</f>
        <v>0.24833001968503943</v>
      </c>
      <c r="E145" s="4">
        <f>IF(COUNTIFS([1]Desglose_BOM_Componentes!$B$1130:$B$1140,$A145,[1]Desglose_BOM_Componentes!$AE$1130:$AE$1140,"Sin precio",[1]Desglose_BOM_Componentes!$X$1130:$X$1140,"Empaquetado")&gt;0,"n.d.",SUMIFS([1]Desglose_BOM_Componentes!$AC$1130:$AC$1140,[1]Desglose_BOM_Componentes!$B$1130:$B$1140,$A145,[1]Desglose_BOM_Componentes!$X$1130:$X$1140,"Empaquetado"))</f>
        <v>0.11463487571365835</v>
      </c>
      <c r="F145" s="6">
        <f t="shared" si="12"/>
        <v>0.36716489539869779</v>
      </c>
      <c r="G145" s="4">
        <f>IF(COUNTIFS([1]Desglose_BOM_Componentes!$B$1130:$B$1140,$A145,[1]Desglose_BOM_Componentes!$AE$1130:$AE$1140,"Sin precio",[1]Desglose_BOM_Componentes!$X$1130:$X$1140,"Formulación")&gt;0,"n.d.",SUMIFS([1]Desglose_BOM_Componentes!$AD$1130:$AD$1140,[1]Desglose_BOM_Componentes!$B$1130:$B$1140,$A145,[1]Desglose_BOM_Componentes!$X$1130:$X$1140,"Formulación"))</f>
        <v>0.24833001968503943</v>
      </c>
      <c r="H145" s="4">
        <f>IF(COUNTIFS([1]Desglose_BOM_Componentes!$B$1130:$B$1140,$A145,[1]Desglose_BOM_Componentes!$AE$1130:$AE$1140,"Sin precio",[1]Desglose_BOM_Componentes!$X$1130:$X$1140,"Empaquetado")&gt;0,"n.d.",SUMIFS([1]Desglose_BOM_Componentes!$AD$1130:$AD$1140,[1]Desglose_BOM_Componentes!$B$1130:$B$1140,$A145,[1]Desglose_BOM_Componentes!$X$1130:$X$1140,"Empaquetado"))</f>
        <v>0.11463487571365835</v>
      </c>
      <c r="I145" s="6">
        <f t="shared" si="13"/>
        <v>0.36716489539869779</v>
      </c>
      <c r="J145" s="1" t="str">
        <f t="shared" si="14"/>
        <v>Completo</v>
      </c>
      <c r="K145" s="1">
        <f>COUNTIFS([1]Desglose_BOM_Componentes!$B$1130:$B$1140,$A145,[1]Desglose_BOM_Componentes!$AE$1130:$AE$1140,"Sin precio")</f>
        <v>0</v>
      </c>
      <c r="L145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6" spans="1:12" ht="22" customHeight="1">
      <c r="A146" s="1" t="s">
        <v>175</v>
      </c>
      <c r="B146" s="1" t="s">
        <v>14</v>
      </c>
      <c r="C146" s="1" t="s">
        <v>26</v>
      </c>
      <c r="D146" s="4">
        <f>IF(COUNTIFS([1]Desglose_BOM_Componentes!$B$1141:$B$1151,$A146,[1]Desglose_BOM_Componentes!$AE$1141:$AE$1151,"Sin precio",[1]Desglose_BOM_Componentes!$X$1141:$X$1151,"Formulación")&gt;0,"n.d.",SUMIFS([1]Desglose_BOM_Componentes!$AC$1141:$AC$1151,[1]Desglose_BOM_Componentes!$B$1141:$B$1151,$A146,[1]Desglose_BOM_Componentes!$X$1141:$X$1151,"Formulación"))</f>
        <v>0.24833001968503943</v>
      </c>
      <c r="E146" s="4">
        <f>IF(COUNTIFS([1]Desglose_BOM_Componentes!$B$1141:$B$1151,$A146,[1]Desglose_BOM_Componentes!$AE$1141:$AE$1151,"Sin precio",[1]Desglose_BOM_Componentes!$X$1141:$X$1151,"Empaquetado")&gt;0,"n.d.",SUMIFS([1]Desglose_BOM_Componentes!$AC$1141:$AC$1151,[1]Desglose_BOM_Componentes!$B$1141:$B$1151,$A146,[1]Desglose_BOM_Componentes!$X$1141:$X$1151,"Empaquetado"))</f>
        <v>0.11463487571365835</v>
      </c>
      <c r="F146" s="6">
        <f t="shared" si="12"/>
        <v>0.36716489539869779</v>
      </c>
      <c r="G146" s="4">
        <f>IF(COUNTIFS([1]Desglose_BOM_Componentes!$B$1141:$B$1151,$A146,[1]Desglose_BOM_Componentes!$AE$1141:$AE$1151,"Sin precio",[1]Desglose_BOM_Componentes!$X$1141:$X$1151,"Formulación")&gt;0,"n.d.",SUMIFS([1]Desglose_BOM_Componentes!$AD$1141:$AD$1151,[1]Desglose_BOM_Componentes!$B$1141:$B$1151,$A146,[1]Desglose_BOM_Componentes!$X$1141:$X$1151,"Formulación"))</f>
        <v>0.24833001968503943</v>
      </c>
      <c r="H146" s="4">
        <f>IF(COUNTIFS([1]Desglose_BOM_Componentes!$B$1141:$B$1151,$A146,[1]Desglose_BOM_Componentes!$AE$1141:$AE$1151,"Sin precio",[1]Desglose_BOM_Componentes!$X$1141:$X$1151,"Empaquetado")&gt;0,"n.d.",SUMIFS([1]Desglose_BOM_Componentes!$AD$1141:$AD$1151,[1]Desglose_BOM_Componentes!$B$1141:$B$1151,$A146,[1]Desglose_BOM_Componentes!$X$1141:$X$1151,"Empaquetado"))</f>
        <v>0.11463487571365835</v>
      </c>
      <c r="I146" s="6">
        <f t="shared" si="13"/>
        <v>0.36716489539869779</v>
      </c>
      <c r="J146" s="1" t="str">
        <f t="shared" si="14"/>
        <v>Completo</v>
      </c>
      <c r="K146" s="1">
        <f>COUNTIFS([1]Desglose_BOM_Componentes!$B$1141:$B$1151,$A146,[1]Desglose_BOM_Componentes!$AE$1141:$AE$1151,"Sin precio")</f>
        <v>0</v>
      </c>
      <c r="L146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7" spans="1:12" ht="22" customHeight="1">
      <c r="A147" s="1" t="s">
        <v>176</v>
      </c>
      <c r="B147" s="1" t="s">
        <v>14</v>
      </c>
      <c r="C147" s="1" t="s">
        <v>51</v>
      </c>
      <c r="D147" s="4">
        <f>IF(COUNTIFS([1]Desglose_BOM_Componentes!$B$1152:$B$1162,$A147,[1]Desglose_BOM_Componentes!$AE$1152:$AE$1162,"Sin precio",[1]Desglose_BOM_Componentes!$X$1152:$X$1162,"Formulación")&gt;0,"n.d.",SUMIFS([1]Desglose_BOM_Componentes!$AC$1152:$AC$1162,[1]Desglose_BOM_Componentes!$B$1152:$B$1162,$A147,[1]Desglose_BOM_Componentes!$X$1152:$X$1162,"Formulación"))</f>
        <v>0.24833001968503943</v>
      </c>
      <c r="E147" s="4">
        <f>IF(COUNTIFS([1]Desglose_BOM_Componentes!$B$1152:$B$1162,$A147,[1]Desglose_BOM_Componentes!$AE$1152:$AE$1162,"Sin precio",[1]Desglose_BOM_Componentes!$X$1152:$X$1162,"Empaquetado")&gt;0,"n.d.",SUMIFS([1]Desglose_BOM_Componentes!$AC$1152:$AC$1162,[1]Desglose_BOM_Componentes!$B$1152:$B$1162,$A147,[1]Desglose_BOM_Componentes!$X$1152:$X$1162,"Empaquetado"))</f>
        <v>0.11463487571365835</v>
      </c>
      <c r="F147" s="6">
        <f t="shared" si="12"/>
        <v>0.36716489539869779</v>
      </c>
      <c r="G147" s="4">
        <f>IF(COUNTIFS([1]Desglose_BOM_Componentes!$B$1152:$B$1162,$A147,[1]Desglose_BOM_Componentes!$AE$1152:$AE$1162,"Sin precio",[1]Desglose_BOM_Componentes!$X$1152:$X$1162,"Formulación")&gt;0,"n.d.",SUMIFS([1]Desglose_BOM_Componentes!$AD$1152:$AD$1162,[1]Desglose_BOM_Componentes!$B$1152:$B$1162,$A147,[1]Desglose_BOM_Componentes!$X$1152:$X$1162,"Formulación"))</f>
        <v>0.24833001968503943</v>
      </c>
      <c r="H147" s="4">
        <f>IF(COUNTIFS([1]Desglose_BOM_Componentes!$B$1152:$B$1162,$A147,[1]Desglose_BOM_Componentes!$AE$1152:$AE$1162,"Sin precio",[1]Desglose_BOM_Componentes!$X$1152:$X$1162,"Empaquetado")&gt;0,"n.d.",SUMIFS([1]Desglose_BOM_Componentes!$AD$1152:$AD$1162,[1]Desglose_BOM_Componentes!$B$1152:$B$1162,$A147,[1]Desglose_BOM_Componentes!$X$1152:$X$1162,"Empaquetado"))</f>
        <v>0.11463487571365835</v>
      </c>
      <c r="I147" s="6">
        <f t="shared" si="13"/>
        <v>0.36716489539869779</v>
      </c>
      <c r="J147" s="1" t="str">
        <f t="shared" si="14"/>
        <v>Completo</v>
      </c>
      <c r="K147" s="1">
        <f>COUNTIFS([1]Desglose_BOM_Componentes!$B$1152:$B$1162,$A147,[1]Desglose_BOM_Componentes!$AE$1152:$AE$1162,"Sin precio")</f>
        <v>0</v>
      </c>
      <c r="L147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8" spans="1:12" ht="22" customHeight="1">
      <c r="A148" s="1" t="s">
        <v>177</v>
      </c>
      <c r="B148" s="1" t="s">
        <v>14</v>
      </c>
      <c r="C148" s="1" t="s">
        <v>19</v>
      </c>
      <c r="D148" s="4">
        <f>IF(COUNTIFS([1]Desglose_BOM_Componentes!$B$1163:$B$1173,$A148,[1]Desglose_BOM_Componentes!$AE$1163:$AE$1173,"Sin precio",[1]Desglose_BOM_Componentes!$X$1163:$X$1173,"Formulación")&gt;0,"n.d.",SUMIFS([1]Desglose_BOM_Componentes!$AC$1163:$AC$1173,[1]Desglose_BOM_Componentes!$B$1163:$B$1173,$A148,[1]Desglose_BOM_Componentes!$X$1163:$X$1173,"Formulación"))</f>
        <v>0.24833001968503943</v>
      </c>
      <c r="E148" s="4">
        <f>IF(COUNTIFS([1]Desglose_BOM_Componentes!$B$1163:$B$1173,$A148,[1]Desglose_BOM_Componentes!$AE$1163:$AE$1173,"Sin precio",[1]Desglose_BOM_Componentes!$X$1163:$X$1173,"Empaquetado")&gt;0,"n.d.",SUMIFS([1]Desglose_BOM_Componentes!$AC$1163:$AC$1173,[1]Desglose_BOM_Componentes!$B$1163:$B$1173,$A148,[1]Desglose_BOM_Componentes!$X$1163:$X$1173,"Empaquetado"))</f>
        <v>0.11463487571365835</v>
      </c>
      <c r="F148" s="6">
        <f t="shared" si="12"/>
        <v>0.36716489539869779</v>
      </c>
      <c r="G148" s="4">
        <f>IF(COUNTIFS([1]Desglose_BOM_Componentes!$B$1163:$B$1173,$A148,[1]Desglose_BOM_Componentes!$AE$1163:$AE$1173,"Sin precio",[1]Desglose_BOM_Componentes!$X$1163:$X$1173,"Formulación")&gt;0,"n.d.",SUMIFS([1]Desglose_BOM_Componentes!$AD$1163:$AD$1173,[1]Desglose_BOM_Componentes!$B$1163:$B$1173,$A148,[1]Desglose_BOM_Componentes!$X$1163:$X$1173,"Formulación"))</f>
        <v>0.24833001968503943</v>
      </c>
      <c r="H148" s="4">
        <f>IF(COUNTIFS([1]Desglose_BOM_Componentes!$B$1163:$B$1173,$A148,[1]Desglose_BOM_Componentes!$AE$1163:$AE$1173,"Sin precio",[1]Desglose_BOM_Componentes!$X$1163:$X$1173,"Empaquetado")&gt;0,"n.d.",SUMIFS([1]Desglose_BOM_Componentes!$AD$1163:$AD$1173,[1]Desglose_BOM_Componentes!$B$1163:$B$1173,$A148,[1]Desglose_BOM_Componentes!$X$1163:$X$1173,"Empaquetado"))</f>
        <v>0.11463487571365835</v>
      </c>
      <c r="I148" s="6">
        <f t="shared" si="13"/>
        <v>0.36716489539869779</v>
      </c>
      <c r="J148" s="1" t="str">
        <f t="shared" si="14"/>
        <v>Completo</v>
      </c>
      <c r="K148" s="1">
        <f>COUNTIFS([1]Desglose_BOM_Componentes!$B$1163:$B$1173,$A148,[1]Desglose_BOM_Componentes!$AE$1163:$AE$1173,"Sin precio")</f>
        <v>0</v>
      </c>
      <c r="L148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componentes'!D36="Sin precio","CAP; ","")&amp;IF('[1]Precios componentes'!D21="Sin precio","B20L; ","")&amp;IF('[1]Precios componentes'!D64="Sin precio","ETALC; ","")</f>
        <v/>
      </c>
    </row>
    <row r="149" spans="1:12" ht="22" customHeight="1">
      <c r="A149" s="1" t="s">
        <v>178</v>
      </c>
      <c r="B149" s="1" t="s">
        <v>14</v>
      </c>
      <c r="C149" s="1" t="s">
        <v>24</v>
      </c>
      <c r="D149" s="4">
        <f>IF(COUNTIFS([1]Desglose_BOM_Componentes!$B$1182:$B$1193,$A149,[1]Desglose_BOM_Componentes!$AE$1182:$AE$1193,"Sin precio",[1]Desglose_BOM_Componentes!$X$1182:$X$1193,"Formulación")&gt;0,"n.d.",SUMIFS([1]Desglose_BOM_Componentes!$AC$1182:$AC$1193,[1]Desglose_BOM_Componentes!$B$1182:$B$1193,$A149,[1]Desglose_BOM_Componentes!$X$1182:$X$1193,"Formulación"))</f>
        <v>0.24833001968503943</v>
      </c>
      <c r="E149" s="4">
        <f>IF(COUNTIFS([1]Desglose_BOM_Componentes!$B$1182:$B$1193,$A149,[1]Desglose_BOM_Componentes!$AE$1182:$AE$1193,"Sin precio",[1]Desglose_BOM_Componentes!$X$1182:$X$1193,"Empaquetado")&gt;0,"n.d.",SUMIFS([1]Desglose_BOM_Componentes!$AC$1182:$AC$1193,[1]Desglose_BOM_Componentes!$B$1182:$B$1193,$A149,[1]Desglose_BOM_Componentes!$X$1182:$X$1193,"Empaquetado"))</f>
        <v>0.21137563485397454</v>
      </c>
      <c r="F149" s="6">
        <f t="shared" si="12"/>
        <v>0.46390565453901395</v>
      </c>
      <c r="G149" s="4">
        <f>IF(COUNTIFS([1]Desglose_BOM_Componentes!$B$1182:$B$1193,$A149,[1]Desglose_BOM_Componentes!$AE$1182:$AE$1193,"Sin precio",[1]Desglose_BOM_Componentes!$X$1182:$X$1193,"Formulación")&gt;0,"n.d.",SUMIFS([1]Desglose_BOM_Componentes!$AD$1182:$AD$1193,[1]Desglose_BOM_Componentes!$B$1182:$B$1193,$A149,[1]Desglose_BOM_Componentes!$X$1182:$X$1193,"Formulación"))</f>
        <v>0.24833001968503943</v>
      </c>
      <c r="H149" s="4">
        <f>IF(COUNTIFS([1]Desglose_BOM_Componentes!$B$1182:$B$1193,$A149,[1]Desglose_BOM_Componentes!$AE$1182:$AE$1193,"Sin precio",[1]Desglose_BOM_Componentes!$X$1182:$X$1193,"Empaquetado")&gt;0,"n.d.",SUMIFS([1]Desglose_BOM_Componentes!$AD$1182:$AD$1193,[1]Desglose_BOM_Componentes!$B$1182:$B$1193,$A149,[1]Desglose_BOM_Componentes!$X$1182:$X$1193,"Empaquetado"))</f>
        <v>0.21137563485397454</v>
      </c>
      <c r="I149" s="6">
        <f t="shared" si="13"/>
        <v>0.46390565453901395</v>
      </c>
      <c r="J149" s="1" t="str">
        <f t="shared" si="14"/>
        <v>Completo</v>
      </c>
      <c r="K149" s="1">
        <f>COUNTIFS([1]Desglose_BOM_Componentes!$B$1182:$B$1193,$A149,[1]Desglose_BOM_Componentes!$AE$1182:$AE$1193,"Sin precio")</f>
        <v>0</v>
      </c>
      <c r="L149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componentes'!D36="Sin precio","CAP; ","")</f>
        <v/>
      </c>
    </row>
    <row r="150" spans="1:12" ht="22" customHeight="1">
      <c r="A150" s="1" t="s">
        <v>179</v>
      </c>
      <c r="B150" s="1" t="s">
        <v>14</v>
      </c>
      <c r="C150" s="1" t="s">
        <v>24</v>
      </c>
      <c r="D150" s="4">
        <f>IF(COUNTIFS([1]Desglose_BOM_Componentes!$B$1194:$B$1205,$A150,[1]Desglose_BOM_Componentes!$AE$1194:$AE$1205,"Sin precio",[1]Desglose_BOM_Componentes!$X$1194:$X$1205,"Formulación")&gt;0,"n.d.",SUMIFS([1]Desglose_BOM_Componentes!$AC$1194:$AC$1205,[1]Desglose_BOM_Componentes!$B$1194:$B$1205,$A150,[1]Desglose_BOM_Componentes!$X$1194:$X$1205,"Formulación"))</f>
        <v>0.24833001968503943</v>
      </c>
      <c r="E150" s="4">
        <f>IF(COUNTIFS([1]Desglose_BOM_Componentes!$B$1194:$B$1205,$A150,[1]Desglose_BOM_Componentes!$AE$1194:$AE$1205,"Sin precio",[1]Desglose_BOM_Componentes!$X$1194:$X$1205,"Empaquetado")&gt;0,"n.d.",SUMIFS([1]Desglose_BOM_Componentes!$AC$1194:$AC$1205,[1]Desglose_BOM_Componentes!$B$1194:$B$1205,$A150,[1]Desglose_BOM_Componentes!$X$1194:$X$1205,"Empaquetado"))</f>
        <v>0.11906937299626703</v>
      </c>
      <c r="F150" s="6">
        <f t="shared" si="12"/>
        <v>0.37159939268130643</v>
      </c>
      <c r="G150" s="4">
        <f>IF(COUNTIFS([1]Desglose_BOM_Componentes!$B$1194:$B$1205,$A150,[1]Desglose_BOM_Componentes!$AE$1194:$AE$1205,"Sin precio",[1]Desglose_BOM_Componentes!$X$1194:$X$1205,"Formulación")&gt;0,"n.d.",SUMIFS([1]Desglose_BOM_Componentes!$AD$1194:$AD$1205,[1]Desglose_BOM_Componentes!$B$1194:$B$1205,$A150,[1]Desglose_BOM_Componentes!$X$1194:$X$1205,"Formulación"))</f>
        <v>0.24833001968503943</v>
      </c>
      <c r="H150" s="4">
        <f>IF(COUNTIFS([1]Desglose_BOM_Componentes!$B$1194:$B$1205,$A150,[1]Desglose_BOM_Componentes!$AE$1194:$AE$1205,"Sin precio",[1]Desglose_BOM_Componentes!$X$1194:$X$1205,"Empaquetado")&gt;0,"n.d.",SUMIFS([1]Desglose_BOM_Componentes!$AD$1194:$AD$1205,[1]Desglose_BOM_Componentes!$B$1194:$B$1205,$A150,[1]Desglose_BOM_Componentes!$X$1194:$X$1205,"Empaquetado"))</f>
        <v>0.11906937299626703</v>
      </c>
      <c r="I150" s="6">
        <f t="shared" si="13"/>
        <v>0.37159939268130643</v>
      </c>
      <c r="J150" s="1" t="str">
        <f t="shared" si="14"/>
        <v>Completo</v>
      </c>
      <c r="K150" s="1">
        <f>COUNTIFS([1]Desglose_BOM_Componentes!$B$1194:$B$1205,$A150,[1]Desglose_BOM_Componentes!$AE$1194:$AE$1205,"Sin precio")</f>
        <v>0</v>
      </c>
      <c r="L150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componentes'!D139="Sin precio","SOBREALC20; ","")&amp;IF('[1]Precios componentes'!D115="Sin precio","PAL; ","")&amp;IF('[1]Precios componentes'!D94="Sin precio","KIA220; ","")&amp;IF('[1]Precios componentes'!D21="Sin precio","B20L; ","")&amp;IF('[1]Precios componentes'!D36="Sin precio","CAP; ","")&amp;IF('[1]Precios componentes'!D64="Sin precio","ETALC; ","")</f>
        <v/>
      </c>
    </row>
    <row r="151" spans="1:12" ht="22" customHeight="1">
      <c r="A151" s="1" t="s">
        <v>180</v>
      </c>
      <c r="B151" s="1" t="s">
        <v>14</v>
      </c>
      <c r="C151" s="1" t="s">
        <v>19</v>
      </c>
      <c r="D151" s="4">
        <f>IF(COUNTIFS([1]Desglose_BOM_Componentes!$B$1206:$B$1217,$A151,[1]Desglose_BOM_Componentes!$AE$1206:$AE$1217,"Sin precio",[1]Desglose_BOM_Componentes!$X$1206:$X$1217,"Formulación")&gt;0,"n.d.",SUMIFS([1]Desglose_BOM_Componentes!$AC$1206:$AC$1217,[1]Desglose_BOM_Componentes!$B$1206:$B$1217,$A151,[1]Desglose_BOM_Componentes!$X$1206:$X$1217,"Formulación"))</f>
        <v>0.25095741428571439</v>
      </c>
      <c r="E151" s="4">
        <f>IF(COUNTIFS([1]Desglose_BOM_Componentes!$B$1206:$B$1217,$A151,[1]Desglose_BOM_Componentes!$AE$1206:$AE$1217,"Sin precio",[1]Desglose_BOM_Componentes!$X$1206:$X$1217,"Empaquetado")&gt;0,"n.d.",SUMIFS([1]Desglose_BOM_Componentes!$AC$1206:$AC$1217,[1]Desglose_BOM_Componentes!$B$1206:$B$1217,$A151,[1]Desglose_BOM_Componentes!$X$1206:$X$1217,"Empaquetado"))</f>
        <v>0.19662162656765675</v>
      </c>
      <c r="F151" s="6">
        <f t="shared" si="12"/>
        <v>0.45177904085337112</v>
      </c>
      <c r="G151" s="4">
        <f>IF(COUNTIFS([1]Desglose_BOM_Componentes!$B$1206:$B$1217,$A151,[1]Desglose_BOM_Componentes!$AE$1206:$AE$1217,"Sin precio",[1]Desglose_BOM_Componentes!$X$1206:$X$1217,"Formulación")&gt;0,"n.d.",SUMIFS([1]Desglose_BOM_Componentes!$AD$1206:$AD$1217,[1]Desglose_BOM_Componentes!$B$1206:$B$1217,$A151,[1]Desglose_BOM_Componentes!$X$1206:$X$1217,"Formulación"))</f>
        <v>0.25095741428571439</v>
      </c>
      <c r="H151" s="4">
        <f>IF(COUNTIFS([1]Desglose_BOM_Componentes!$B$1206:$B$1217,$A151,[1]Desglose_BOM_Componentes!$AE$1206:$AE$1217,"Sin precio",[1]Desglose_BOM_Componentes!$X$1206:$X$1217,"Empaquetado")&gt;0,"n.d.",SUMIFS([1]Desglose_BOM_Componentes!$AD$1206:$AD$1217,[1]Desglose_BOM_Componentes!$B$1206:$B$1217,$A151,[1]Desglose_BOM_Componentes!$X$1206:$X$1217,"Empaquetado"))</f>
        <v>0.19662162656765675</v>
      </c>
      <c r="I151" s="6">
        <f t="shared" si="13"/>
        <v>0.45177904085337112</v>
      </c>
      <c r="J151" s="1" t="str">
        <f t="shared" si="14"/>
        <v>Completo</v>
      </c>
      <c r="K151" s="1">
        <f>COUNTIFS([1]Desglose_BOM_Componentes!$B$1206:$B$1217,$A151,[1]Desglose_BOM_Componentes!$AE$1206:$AE$1217,"Sin precio")</f>
        <v>0</v>
      </c>
      <c r="L151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componentes'!D41="Sin precio","CCB2; ","")&amp;IF('[1]Precios componentes'!D115="Sin precio","PAL; ","")&amp;IF('[1]Precios componentes'!D138="Sin precio","SOBREALC; ","")&amp;IF('[1]Precios componentes'!D70="Sin precio","ETQVP165; ","")&amp;IF('[1]Precios componentes'!D22="Sin precio","B5ALC; ","")&amp;IF('[1]Precios componentes'!D37="Sin precio","CAP2; ","")</f>
        <v/>
      </c>
    </row>
    <row r="152" spans="1:12" ht="22" customHeight="1">
      <c r="A152" s="1" t="s">
        <v>181</v>
      </c>
      <c r="B152" s="1" t="s">
        <v>14</v>
      </c>
      <c r="C152" s="1" t="s">
        <v>135</v>
      </c>
      <c r="D152" s="4">
        <f>IF(COUNTIFS([1]Desglose_BOM_Componentes!$B$1218:$B$1229,$A152,[1]Desglose_BOM_Componentes!$AE$1218:$AE$1229,"Sin precio",[1]Desglose_BOM_Componentes!$X$1218:$X$1229,"Formulación")&gt;0,"n.d.",SUMIFS([1]Desglose_BOM_Componentes!$AC$1218:$AC$1229,[1]Desglose_BOM_Componentes!$B$1218:$B$1229,$A152,[1]Desglose_BOM_Componentes!$X$1218:$X$1229,"Formulación"))</f>
        <v>0.25095741428571439</v>
      </c>
      <c r="E152" s="4">
        <f>IF(COUNTIFS([1]Desglose_BOM_Componentes!$B$1218:$B$1229,$A152,[1]Desglose_BOM_Componentes!$AE$1218:$AE$1229,"Sin precio",[1]Desglose_BOM_Componentes!$X$1218:$X$1229,"Empaquetado")&gt;0,"n.d.",SUMIFS([1]Desglose_BOM_Componentes!$AC$1218:$AC$1229,[1]Desglose_BOM_Componentes!$B$1218:$B$1229,$A152,[1]Desglose_BOM_Componentes!$X$1218:$X$1229,"Empaquetado"))</f>
        <v>0.11643137353735375</v>
      </c>
      <c r="F152" s="6">
        <f t="shared" si="12"/>
        <v>0.37158878782306815</v>
      </c>
      <c r="G152" s="4">
        <f>IF(COUNTIFS([1]Desglose_BOM_Componentes!$B$1218:$B$1229,$A152,[1]Desglose_BOM_Componentes!$AE$1218:$AE$1229,"Sin precio",[1]Desglose_BOM_Componentes!$X$1218:$X$1229,"Formulación")&gt;0,"n.d.",SUMIFS([1]Desglose_BOM_Componentes!$AD$1218:$AD$1229,[1]Desglose_BOM_Componentes!$B$1218:$B$1229,$A152,[1]Desglose_BOM_Componentes!$X$1218:$X$1229,"Formulación"))</f>
        <v>0.25095741428571439</v>
      </c>
      <c r="H152" s="4">
        <f>IF(COUNTIFS([1]Desglose_BOM_Componentes!$B$1218:$B$1229,$A152,[1]Desglose_BOM_Componentes!$AE$1218:$AE$1229,"Sin precio",[1]Desglose_BOM_Componentes!$X$1218:$X$1229,"Empaquetado")&gt;0,"n.d.",SUMIFS([1]Desglose_BOM_Componentes!$AD$1218:$AD$1229,[1]Desglose_BOM_Componentes!$B$1218:$B$1229,$A152,[1]Desglose_BOM_Componentes!$X$1218:$X$1229,"Empaquetado"))</f>
        <v>0.11643137353735375</v>
      </c>
      <c r="I152" s="6">
        <f t="shared" si="13"/>
        <v>0.37158878782306815</v>
      </c>
      <c r="J152" s="1" t="str">
        <f t="shared" si="14"/>
        <v>Completo</v>
      </c>
      <c r="K152" s="1">
        <f>COUNTIFS([1]Desglose_BOM_Componentes!$B$1218:$B$1229,$A152,[1]Desglose_BOM_Componentes!$AE$1218:$AE$1229,"Sin precio")</f>
        <v>0</v>
      </c>
      <c r="L152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componentes'!D41="Sin precio","CCB2; ","")&amp;IF('[1]Precios componentes'!D139="Sin precio","SOBREALC20; ","")&amp;IF('[1]Precios componentes'!D115="Sin precio","PAL; ","")&amp;IF('[1]Precios componentes'!D66="Sin precio","ETN220PAP; ","")&amp;IF('[1]Precios componentes'!D21="Sin precio","B20L; ","")&amp;IF('[1]Precios componentes'!D37="Sin precio","CAP2; ","")</f>
        <v/>
      </c>
    </row>
    <row r="153" spans="1:12" ht="22" customHeight="1">
      <c r="A153" s="1" t="s">
        <v>182</v>
      </c>
      <c r="B153" s="1" t="s">
        <v>14</v>
      </c>
      <c r="C153" s="1" t="s">
        <v>135</v>
      </c>
      <c r="D153" s="4">
        <f>IF(COUNTIFS([1]Desglose_BOM_Componentes!$B$1230:$B$1240,$A153,[1]Desglose_BOM_Componentes!$AE$1230:$AE$1240,"Sin precio",[1]Desglose_BOM_Componentes!$X$1230:$X$1240,"Formulación")&gt;0,"n.d.",SUMIFS([1]Desglose_BOM_Componentes!$AC$1230:$AC$1240,[1]Desglose_BOM_Componentes!$B$1230:$B$1240,$A153,[1]Desglose_BOM_Componentes!$X$1230:$X$1240,"Formulación"))</f>
        <v>0.25095741428571439</v>
      </c>
      <c r="E153" s="4">
        <f>IF(COUNTIFS([1]Desglose_BOM_Componentes!$B$1230:$B$1240,$A153,[1]Desglose_BOM_Componentes!$AE$1230:$AE$1240,"Sin precio",[1]Desglose_BOM_Componentes!$X$1230:$X$1240,"Empaquetado")&gt;0,"n.d.",SUMIFS([1]Desglose_BOM_Componentes!$AC$1230:$AC$1240,[1]Desglose_BOM_Componentes!$B$1230:$B$1240,$A153,[1]Desglose_BOM_Componentes!$X$1230:$X$1240,"Empaquetado"))</f>
        <v>6.7678030719682897E-2</v>
      </c>
      <c r="F153" s="6">
        <f t="shared" si="12"/>
        <v>0.32283544500539729</v>
      </c>
      <c r="G153" s="4">
        <f>IF(COUNTIFS([1]Desglose_BOM_Componentes!$B$1230:$B$1240,$A153,[1]Desglose_BOM_Componentes!$AE$1230:$AE$1240,"Sin precio",[1]Desglose_BOM_Componentes!$X$1230:$X$1240,"Formulación")&gt;0,"n.d.",SUMIFS([1]Desglose_BOM_Componentes!$AD$1230:$AD$1240,[1]Desglose_BOM_Componentes!$B$1230:$B$1240,$A153,[1]Desglose_BOM_Componentes!$X$1230:$X$1240,"Formulación"))</f>
        <v>0.25095741428571439</v>
      </c>
      <c r="H153" s="4">
        <f>IF(COUNTIFS([1]Desglose_BOM_Componentes!$B$1230:$B$1240,$A153,[1]Desglose_BOM_Componentes!$AE$1230:$AE$1240,"Sin precio",[1]Desglose_BOM_Componentes!$X$1230:$X$1240,"Empaquetado")&gt;0,"n.d.",SUMIFS([1]Desglose_BOM_Componentes!$AD$1230:$AD$1240,[1]Desglose_BOM_Componentes!$B$1230:$B$1240,$A153,[1]Desglose_BOM_Componentes!$X$1230:$X$1240,"Empaquetado"))</f>
        <v>6.7678030719682897E-2</v>
      </c>
      <c r="I153" s="6">
        <f t="shared" si="13"/>
        <v>0.32283544500539729</v>
      </c>
      <c r="J153" s="1" t="str">
        <f t="shared" si="14"/>
        <v>Completo</v>
      </c>
      <c r="K153" s="1">
        <f>COUNTIFS([1]Desglose_BOM_Componentes!$B$1230:$B$1240,$A153,[1]Desglose_BOM_Componentes!$AE$1230:$AE$1240,"Sin precio")</f>
        <v>0</v>
      </c>
      <c r="L153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componentes'!D41="Sin precio","CCB2; ","")&amp;IF('[1]Precios componentes'!D95="Sin precio","KIA250; ","")&amp;IF('[1]Precios componentes'!D91="Sin precio","JAU; ","")&amp;IF('[1]Precios componentes'!D47="Sin precio","CONVER; ","")&amp;IF('[1]Precios componentes'!D23="Sin precio","BAG; ","")</f>
        <v/>
      </c>
    </row>
    <row r="154" spans="1:12" ht="22" customHeight="1">
      <c r="A154" s="1" t="s">
        <v>183</v>
      </c>
      <c r="B154" s="1" t="s">
        <v>14</v>
      </c>
      <c r="C154" s="1" t="s">
        <v>84</v>
      </c>
      <c r="D154" s="4">
        <f>IF(COUNTIFS([1]Desglose_BOM_Componentes!$B$1255:$B$1255,$A154,[1]Desglose_BOM_Componentes!$AE$1255:$AE$1255,"Sin precio",[1]Desglose_BOM_Componentes!$X$1255:$X$1255,"Formulación")&gt;0,"n.d.",SUMIFS([1]Desglose_BOM_Componentes!$AC$1255:$AC$1255,[1]Desglose_BOM_Componentes!$B$1255:$B$1255,$A154,[1]Desglose_BOM_Componentes!$X$1255:$X$1255,"Formulación"))</f>
        <v>6.6960000000000006</v>
      </c>
      <c r="E154" s="5">
        <v>0.01</v>
      </c>
      <c r="F154" s="6">
        <f t="shared" si="12"/>
        <v>6.7102000000000004</v>
      </c>
      <c r="G154" s="4">
        <f>IF(COUNTIFS([1]Desglose_BOM_Componentes!$B$1255:$B$1255,$A154,[1]Desglose_BOM_Componentes!$AE$1255:$AE$1255,"Sin precio",[1]Desglose_BOM_Componentes!$X$1255:$X$1255,"Formulación")&gt;0,"n.d.",SUMIFS([1]Desglose_BOM_Componentes!$AD$1255:$AD$1255,[1]Desglose_BOM_Componentes!$B$1255:$B$1255,$A154,[1]Desglose_BOM_Componentes!$X$1255:$X$1255,"Formulación"))</f>
        <v>6.6960000000000006</v>
      </c>
      <c r="H154" s="5">
        <v>0.01</v>
      </c>
      <c r="I154" s="6">
        <f t="shared" si="13"/>
        <v>6.7102000000000004</v>
      </c>
      <c r="J154" s="1" t="str">
        <f t="shared" si="14"/>
        <v>Completo</v>
      </c>
      <c r="K154" s="1">
        <f>COUNTIFS([1]Desglose_BOM_Componentes!$B$1255:$B$1255,$A154,[1]Desglose_BOM_Componentes!$AE$1255:$AE$1255,"Sin precio")</f>
        <v>0</v>
      </c>
      <c r="L154" s="1" t="str">
        <f>IF('[1]Precios componentes'!D102="Sin precio","LFIX; ","")</f>
        <v/>
      </c>
    </row>
    <row r="155" spans="1:12" ht="22" customHeight="1">
      <c r="A155" s="1" t="s">
        <v>184</v>
      </c>
      <c r="B155" s="1" t="s">
        <v>18</v>
      </c>
      <c r="C155" s="1" t="s">
        <v>24</v>
      </c>
      <c r="D155" s="4">
        <f>IF(COUNTIFS([1]Desglose_BOM_Componentes!$B$1241:$B$1247,$A155,[1]Desglose_BOM_Componentes!$AE$1241:$AE$1247,"Sin precio",[1]Desglose_BOM_Componentes!$X$1241:$X$1247,"Formulación")&gt;0,"n.d.",SUMIFS([1]Desglose_BOM_Componentes!$AC$1241:$AC$1247,[1]Desglose_BOM_Componentes!$B$1241:$B$1247,$A155,[1]Desglose_BOM_Componentes!$X$1241:$X$1247,"Formulación"))</f>
        <v>6.6960000000000006</v>
      </c>
      <c r="E155" s="4">
        <f>IF(COUNTIFS([1]Desglose_BOM_Componentes!$B$1241:$B$1247,$A155,[1]Desglose_BOM_Componentes!$AE$1241:$AE$1247,"Sin precio",[1]Desglose_BOM_Componentes!$X$1241:$X$1247,"Empaquetado")&gt;0,"n.d.",SUMIFS([1]Desglose_BOM_Componentes!$AC$1241:$AC$1247,[1]Desglose_BOM_Componentes!$B$1241:$B$1247,$A155,[1]Desglose_BOM_Componentes!$X$1241:$X$1247,"Empaquetado"))</f>
        <v>0.75988878422508621</v>
      </c>
      <c r="F155" s="6">
        <f t="shared" si="12"/>
        <v>7.4600887842250865</v>
      </c>
      <c r="G155" s="4">
        <f>IF(COUNTIFS([1]Desglose_BOM_Componentes!$B$1241:$B$1247,$A155,[1]Desglose_BOM_Componentes!$AE$1241:$AE$1247,"Sin precio",[1]Desglose_BOM_Componentes!$X$1241:$X$1247,"Formulación")&gt;0,"n.d.",SUMIFS([1]Desglose_BOM_Componentes!$AD$1241:$AD$1247,[1]Desglose_BOM_Componentes!$B$1241:$B$1247,$A155,[1]Desglose_BOM_Componentes!$X$1241:$X$1247,"Formulación"))</f>
        <v>6.6960000000000006</v>
      </c>
      <c r="H155" s="4">
        <f>IF(COUNTIFS([1]Desglose_BOM_Componentes!$B$1241:$B$1247,$A155,[1]Desglose_BOM_Componentes!$AE$1241:$AE$1247,"Sin precio",[1]Desglose_BOM_Componentes!$X$1241:$X$1247,"Empaquetado")&gt;0,"n.d.",SUMIFS([1]Desglose_BOM_Componentes!$AD$1241:$AD$1247,[1]Desglose_BOM_Componentes!$B$1241:$B$1247,$A155,[1]Desglose_BOM_Componentes!$X$1241:$X$1247,"Empaquetado"))</f>
        <v>0.75988878422508621</v>
      </c>
      <c r="I155" s="6">
        <f t="shared" si="13"/>
        <v>7.4600887842250865</v>
      </c>
      <c r="J155" s="1" t="str">
        <f t="shared" si="14"/>
        <v>Completo</v>
      </c>
      <c r="K155" s="1">
        <f>COUNTIFS([1]Desglose_BOM_Componentes!$B$1241:$B$1247,$A155,[1]Desglose_BOM_Componentes!$AE$1241:$AE$1247,"Sin precio")</f>
        <v>0</v>
      </c>
      <c r="L155" s="1" t="str">
        <f>IF('[1]Precios componentes'!D102="Sin precio","LFIX; ","")&amp;IF('[1]Precios componentes'!D144="Sin precio","TPD40I; ","")&amp;IF('[1]Precios componentes'!D134="Sin precio","SOBRE 1L; ","")&amp;IF('[1]Precios componentes'!D94="Sin precio","KIA220; ","")&amp;IF('[1]Precios componentes'!D33="Sin precio","C1L; ","")&amp;IF('[1]Precios componentes'!D115="Sin precio","PAL; ","")&amp;IF('[1]Precios componentes'!D60="Sin precio","ENV1D; ","")</f>
        <v/>
      </c>
    </row>
    <row r="156" spans="1:12" ht="22" customHeight="1">
      <c r="A156" s="1" t="s">
        <v>185</v>
      </c>
      <c r="B156" s="1" t="s">
        <v>18</v>
      </c>
      <c r="C156" s="1" t="s">
        <v>24</v>
      </c>
      <c r="D156" s="4">
        <f>IF(COUNTIFS([1]Desglose_BOM_Componentes!$B$1248:$B$1254,$A156,[1]Desglose_BOM_Componentes!$AE$1248:$AE$1254,"Sin precio",[1]Desglose_BOM_Componentes!$X$1248:$X$1254,"Formulación")&gt;0,"n.d.",SUMIFS([1]Desglose_BOM_Componentes!$AC$1248:$AC$1254,[1]Desglose_BOM_Componentes!$B$1248:$B$1254,$A156,[1]Desglose_BOM_Componentes!$X$1248:$X$1254,"Formulación"))</f>
        <v>6.6960000000000006</v>
      </c>
      <c r="E156" s="4">
        <f>IF(COUNTIFS([1]Desglose_BOM_Componentes!$B$1248:$B$1254,$A156,[1]Desglose_BOM_Componentes!$AE$1248:$AE$1254,"Sin precio",[1]Desglose_BOM_Componentes!$X$1248:$X$1254,"Empaquetado")&gt;0,"n.d.",SUMIFS([1]Desglose_BOM_Componentes!$AC$1248:$AC$1254,[1]Desglose_BOM_Componentes!$B$1248:$B$1254,$A156,[1]Desglose_BOM_Componentes!$X$1248:$X$1254,"Empaquetado"))</f>
        <v>0.32969717071017562</v>
      </c>
      <c r="F156" s="6">
        <f t="shared" si="12"/>
        <v>7.0298971707101758</v>
      </c>
      <c r="G156" s="4">
        <f>IF(COUNTIFS([1]Desglose_BOM_Componentes!$B$1248:$B$1254,$A156,[1]Desglose_BOM_Componentes!$AE$1248:$AE$1254,"Sin precio",[1]Desglose_BOM_Componentes!$X$1248:$X$1254,"Formulación")&gt;0,"n.d.",SUMIFS([1]Desglose_BOM_Componentes!$AD$1248:$AD$1254,[1]Desglose_BOM_Componentes!$B$1248:$B$1254,$A156,[1]Desglose_BOM_Componentes!$X$1248:$X$1254,"Formulación"))</f>
        <v>6.6960000000000006</v>
      </c>
      <c r="H156" s="4">
        <f>IF(COUNTIFS([1]Desglose_BOM_Componentes!$B$1248:$B$1254,$A156,[1]Desglose_BOM_Componentes!$AE$1248:$AE$1254,"Sin precio",[1]Desglose_BOM_Componentes!$X$1248:$X$1254,"Empaquetado")&gt;0,"n.d.",SUMIFS([1]Desglose_BOM_Componentes!$AD$1248:$AD$1254,[1]Desglose_BOM_Componentes!$B$1248:$B$1254,$A156,[1]Desglose_BOM_Componentes!$X$1248:$X$1254,"Empaquetado"))</f>
        <v>0.32969717071017562</v>
      </c>
      <c r="I156" s="6">
        <f t="shared" si="13"/>
        <v>7.0298971707101758</v>
      </c>
      <c r="J156" s="1" t="str">
        <f t="shared" si="14"/>
        <v>Completo</v>
      </c>
      <c r="K156" s="1">
        <f>COUNTIFS([1]Desglose_BOM_Componentes!$B$1248:$B$1254,$A156,[1]Desglose_BOM_Componentes!$AE$1248:$AE$1254,"Sin precio")</f>
        <v>0</v>
      </c>
      <c r="L156" s="1" t="str">
        <f>IF('[1]Precios componentes'!D102="Sin precio","LFIX; ","")&amp;IF('[1]Precios componentes'!D137="Sin precio","SOBRE 5L; ","")&amp;IF('[1]Precios componentes'!D115="Sin precio","PAL; ","")&amp;IF('[1]Precios componentes'!D94="Sin precio","KIA220; ","")&amp;IF('[1]Precios componentes'!D63="Sin precio","ENV5220G; ","")&amp;IF('[1]Precios componentes'!D151="Sin precio","TPD63VS; ","")&amp;IF('[1]Precios componentes'!D34="Sin precio","CAG; ","")</f>
        <v/>
      </c>
    </row>
    <row r="157" spans="1:12" ht="22" customHeight="1">
      <c r="A157" s="1" t="s">
        <v>186</v>
      </c>
      <c r="B157" s="1" t="s">
        <v>18</v>
      </c>
      <c r="C157" s="1" t="s">
        <v>24</v>
      </c>
      <c r="D157" s="4">
        <f>IF(COUNTIFS([1]Desglose_BOM_Componentes!$B$1256:$B$1261,$A157,[1]Desglose_BOM_Componentes!$AE$1256:$AE$1261,"Sin precio",[1]Desglose_BOM_Componentes!$X$1256:$X$1261,"Formulación")&gt;0,"n.d.",SUMIFS([1]Desglose_BOM_Componentes!$AC$1256:$AC$1261,[1]Desglose_BOM_Componentes!$B$1256:$B$1261,$A157,[1]Desglose_BOM_Componentes!$X$1256:$X$1261,"Formulación"))</f>
        <v>6.6960000000000006</v>
      </c>
      <c r="E157" s="4">
        <f>IF(COUNTIFS([1]Desglose_BOM_Componentes!$B$1256:$B$1261,$A157,[1]Desglose_BOM_Componentes!$AE$1256:$AE$1261,"Sin precio",[1]Desglose_BOM_Componentes!$X$1256:$X$1261,"Empaquetado")&gt;0,"n.d.",SUMIFS([1]Desglose_BOM_Componentes!$AC$1256:$AC$1261,[1]Desglose_BOM_Componentes!$B$1256:$B$1261,$A157,[1]Desglose_BOM_Componentes!$X$1256:$X$1261,"Empaquetado"))</f>
        <v>0.23995318594792425</v>
      </c>
      <c r="F157" s="6">
        <f t="shared" si="12"/>
        <v>6.9401531859479251</v>
      </c>
      <c r="G157" s="4">
        <f>IF(COUNTIFS([1]Desglose_BOM_Componentes!$B$1256:$B$1261,$A157,[1]Desglose_BOM_Componentes!$AE$1256:$AE$1261,"Sin precio",[1]Desglose_BOM_Componentes!$X$1256:$X$1261,"Formulación")&gt;0,"n.d.",SUMIFS([1]Desglose_BOM_Componentes!$AD$1256:$AD$1261,[1]Desglose_BOM_Componentes!$B$1256:$B$1261,$A157,[1]Desglose_BOM_Componentes!$X$1256:$X$1261,"Formulación"))</f>
        <v>6.6960000000000006</v>
      </c>
      <c r="H157" s="4">
        <f>IF(COUNTIFS([1]Desglose_BOM_Componentes!$B$1256:$B$1261,$A157,[1]Desglose_BOM_Componentes!$AE$1256:$AE$1261,"Sin precio",[1]Desglose_BOM_Componentes!$X$1256:$X$1261,"Empaquetado")&gt;0,"n.d.",SUMIFS([1]Desglose_BOM_Componentes!$AD$1256:$AD$1261,[1]Desglose_BOM_Componentes!$B$1256:$B$1261,$A157,[1]Desglose_BOM_Componentes!$X$1256:$X$1261,"Empaquetado"))</f>
        <v>0.23995318594792425</v>
      </c>
      <c r="I157" s="6">
        <f t="shared" si="13"/>
        <v>6.9401531859479251</v>
      </c>
      <c r="J157" s="1" t="str">
        <f t="shared" si="14"/>
        <v>Completo</v>
      </c>
      <c r="K157" s="1">
        <f>COUNTIFS([1]Desglose_BOM_Componentes!$B$1256:$B$1261,$A157,[1]Desglose_BOM_Componentes!$AE$1256:$AE$1261,"Sin precio")</f>
        <v>0</v>
      </c>
      <c r="L157" s="1" t="str">
        <f>IF('[1]Precios componentes'!D102="Sin precio","LFIX; ","")&amp;IF('[1]Precios componentes'!D136="Sin precio","SOBRE 20L; ","")&amp;IF('[1]Precios componentes'!D115="Sin precio","PAL; ","")&amp;IF('[1]Precios componentes'!D94="Sin precio","KIA220; ","")&amp;IF('[1]Precios componentes'!D61="Sin precio","ENV20; ","")&amp;IF('[1]Precios componentes'!D148="Sin precio","TPD61VS; ","")</f>
        <v/>
      </c>
    </row>
    <row r="158" spans="1:12" ht="22" customHeight="1">
      <c r="A158" s="1" t="s">
        <v>187</v>
      </c>
      <c r="B158" s="1" t="s">
        <v>18</v>
      </c>
      <c r="C158" s="1" t="s">
        <v>188</v>
      </c>
      <c r="D158" s="4">
        <f>IF(COUNTIFS([1]Desglose_BOM_Componentes!$B$1262:$B$1274,$A158,[1]Desglose_BOM_Componentes!$AE$1262:$AE$1274,"Sin precio",[1]Desglose_BOM_Componentes!$X$1262:$X$1274,"Formulación")&gt;0,"n.d.",SUMIFS([1]Desglose_BOM_Componentes!$AC$1262:$AC$1274,[1]Desglose_BOM_Componentes!$B$1262:$B$1274,$A158,[1]Desglose_BOM_Componentes!$X$1262:$X$1274,"Formulación"))</f>
        <v>2.0431120000000003</v>
      </c>
      <c r="E158" s="4">
        <f>IF(COUNTIFS([1]Desglose_BOM_Componentes!$B$1262:$B$1274,$A158,[1]Desglose_BOM_Componentes!$AE$1262:$AE$1274,"Sin precio",[1]Desglose_BOM_Componentes!$X$1262:$X$1274,"Empaquetado")&gt;0,"n.d.",SUMIFS([1]Desglose_BOM_Componentes!$AC$1262:$AC$1274,[1]Desglose_BOM_Componentes!$B$1262:$B$1274,$A158,[1]Desglose_BOM_Componentes!$X$1262:$X$1274,"Empaquetado"))</f>
        <v>0.32969717071017557</v>
      </c>
      <c r="F158" s="6">
        <f t="shared" si="12"/>
        <v>2.3770091707101759</v>
      </c>
      <c r="G158" s="4">
        <f>IF(COUNTIFS([1]Desglose_BOM_Componentes!$B$1262:$B$1274,$A158,[1]Desglose_BOM_Componentes!$AE$1262:$AE$1274,"Sin precio",[1]Desglose_BOM_Componentes!$X$1262:$X$1274,"Formulación")&gt;0,"n.d.",SUMIFS([1]Desglose_BOM_Componentes!$AD$1262:$AD$1274,[1]Desglose_BOM_Componentes!$B$1262:$B$1274,$A158,[1]Desglose_BOM_Componentes!$X$1262:$X$1274,"Formulación"))</f>
        <v>1.8795991000000001</v>
      </c>
      <c r="H158" s="4">
        <f>IF(COUNTIFS([1]Desglose_BOM_Componentes!$B$1262:$B$1274,$A158,[1]Desglose_BOM_Componentes!$AE$1262:$AE$1274,"Sin precio",[1]Desglose_BOM_Componentes!$X$1262:$X$1274,"Empaquetado")&gt;0,"n.d.",SUMIFS([1]Desglose_BOM_Componentes!$AD$1262:$AD$1274,[1]Desglose_BOM_Componentes!$B$1262:$B$1274,$A158,[1]Desglose_BOM_Componentes!$X$1262:$X$1274,"Empaquetado"))</f>
        <v>0.32969717071017557</v>
      </c>
      <c r="I158" s="6">
        <f t="shared" si="13"/>
        <v>2.2134962707101757</v>
      </c>
      <c r="J158" s="1" t="str">
        <f t="shared" si="14"/>
        <v>Completo</v>
      </c>
      <c r="K158" s="1">
        <f>COUNTIFS([1]Desglose_BOM_Componentes!$B$1262:$B$1274,$A158,[1]Desglose_BOM_Componentes!$AE$1262:$AE$1274,"Sin precio")</f>
        <v>0</v>
      </c>
      <c r="L158" s="1" t="str">
        <f>IF('[1]Precios componentes'!D14="Sin precio","ANTI; ","")&amp;IF('[1]Precios componentes'!D28="Sin precio","BORL; ","")&amp;IF('[1]Precios componentes'!D152="Sin precio","TR8; ","")&amp;IF('[1]Precios componentes'!D127="Sin precio","SBT70; ","")&amp;IF('[1]Precios componentes'!D142="Sin precio","TCG50; ","")&amp;IF('[1]Precios componentes'!D106="Sin precio","MEA; ","")&amp;IF('[1]Precios componentes'!D81="Sin precio","GLINA; ","")&amp;IF('[1]Precios componentes'!D137="Sin precio","SOBRE 5L; ","")&amp;IF('[1]Precios componentes'!D115="Sin precio","PAL; ","")&amp;IF('[1]Precios componentes'!D151="Sin precio","TPD63VS; ","")&amp;IF('[1]Precios componentes'!D94="Sin precio","KIA220; ","")&amp;IF('[1]Precios componentes'!D63="Sin precio","ENV5220G; ","")&amp;IF('[1]Precios componentes'!D34="Sin precio","CAG; ","")</f>
        <v/>
      </c>
    </row>
    <row r="159" spans="1:12" ht="22" customHeight="1">
      <c r="A159" s="1" t="s">
        <v>189</v>
      </c>
      <c r="B159" s="1" t="s">
        <v>18</v>
      </c>
      <c r="C159" s="1" t="s">
        <v>95</v>
      </c>
      <c r="D159" s="4">
        <f>IF(COUNTIFS([1]Desglose_BOM_Componentes!$B$1275:$B$1287,$A159,[1]Desglose_BOM_Componentes!$AE$1275:$AE$1287,"Sin precio",[1]Desglose_BOM_Componentes!$X$1275:$X$1287,"Formulación")&gt;0,"n.d.",SUMIFS([1]Desglose_BOM_Componentes!$AC$1275:$AC$1287,[1]Desglose_BOM_Componentes!$B$1275:$B$1287,$A159,[1]Desglose_BOM_Componentes!$X$1275:$X$1287,"Formulación"))</f>
        <v>2.362924</v>
      </c>
      <c r="E159" s="4">
        <f>IF(COUNTIFS([1]Desglose_BOM_Componentes!$B$1275:$B$1287,$A159,[1]Desglose_BOM_Componentes!$AE$1275:$AE$1287,"Sin precio",[1]Desglose_BOM_Componentes!$X$1275:$X$1287,"Empaquetado")&gt;0,"n.d.",SUMIFS([1]Desglose_BOM_Componentes!$AC$1275:$AC$1287,[1]Desglose_BOM_Componentes!$B$1275:$B$1287,$A159,[1]Desglose_BOM_Componentes!$X$1275:$X$1287,"Empaquetado"))</f>
        <v>0.90089800050253677</v>
      </c>
      <c r="F159" s="6">
        <f t="shared" si="12"/>
        <v>3.2680220005025369</v>
      </c>
      <c r="G159" s="4">
        <f>IF(COUNTIFS([1]Desglose_BOM_Componentes!$B$1275:$B$1287,$A159,[1]Desglose_BOM_Componentes!$AE$1275:$AE$1287,"Sin precio",[1]Desglose_BOM_Componentes!$X$1275:$X$1287,"Formulación")&gt;0,"n.d.",SUMIFS([1]Desglose_BOM_Componentes!$AD$1275:$AD$1287,[1]Desglose_BOM_Componentes!$B$1275:$B$1287,$A159,[1]Desglose_BOM_Componentes!$X$1275:$X$1287,"Formulación"))</f>
        <v>2.1773626999999998</v>
      </c>
      <c r="H159" s="4">
        <f>IF(COUNTIFS([1]Desglose_BOM_Componentes!$B$1275:$B$1287,$A159,[1]Desglose_BOM_Componentes!$AE$1275:$AE$1287,"Sin precio",[1]Desglose_BOM_Componentes!$X$1275:$X$1287,"Empaquetado")&gt;0,"n.d.",SUMIFS([1]Desglose_BOM_Componentes!$AD$1275:$AD$1287,[1]Desglose_BOM_Componentes!$B$1275:$B$1287,$A159,[1]Desglose_BOM_Componentes!$X$1275:$X$1287,"Empaquetado"))</f>
        <v>0.90089800050253677</v>
      </c>
      <c r="I159" s="6">
        <f t="shared" si="13"/>
        <v>3.0824607005025366</v>
      </c>
      <c r="J159" s="1" t="str">
        <f t="shared" si="14"/>
        <v>Completo</v>
      </c>
      <c r="K159" s="1">
        <f>COUNTIFS([1]Desglose_BOM_Componentes!$B$1275:$B$1287,$A159,[1]Desglose_BOM_Componentes!$AE$1275:$AE$1287,"Sin precio")</f>
        <v>0</v>
      </c>
      <c r="L159" s="1" t="str">
        <f>IF('[1]Precios componentes'!D14="Sin precio","ANTI; ","")&amp;IF('[1]Precios componentes'!D28="Sin precio","BORL; ","")&amp;IF('[1]Precios componentes'!D142="Sin precio","TCG50; ","")&amp;IF('[1]Precios componentes'!D127="Sin precio","SBT70; ","")&amp;IF('[1]Precios componentes'!D106="Sin precio","MEA; ","")&amp;IF('[1]Precios componentes'!D152="Sin precio","TR8; ","")&amp;IF('[1]Precios componentes'!D81="Sin precio","GLINA;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160" spans="1:12" ht="22" customHeight="1">
      <c r="A160" s="1" t="s">
        <v>190</v>
      </c>
      <c r="B160" s="1" t="s">
        <v>18</v>
      </c>
      <c r="C160" s="1" t="s">
        <v>24</v>
      </c>
      <c r="D160" s="4">
        <f>IF(COUNTIFS([1]Desglose_BOM_Componentes!$B$1288:$B$1305,$A160,[1]Desglose_BOM_Componentes!$AE$1288:$AE$1305,"Sin precio",[1]Desglose_BOM_Componentes!$X$1288:$X$1305,"Formulación")&gt;0,"n.d.",SUMIFS([1]Desglose_BOM_Componentes!$AC$1288:$AC$1305,[1]Desglose_BOM_Componentes!$B$1288:$B$1305,$A160,[1]Desglose_BOM_Componentes!$X$1288:$X$1305,"Formulación"))</f>
        <v>2.0788550000000003</v>
      </c>
      <c r="E160" s="4">
        <f>IF(COUNTIFS([1]Desglose_BOM_Componentes!$B$1288:$B$1305,$A160,[1]Desglose_BOM_Componentes!$AE$1288:$AE$1305,"Sin precio",[1]Desglose_BOM_Componentes!$X$1288:$X$1305,"Empaquetado")&gt;0,"n.d.",SUMIFS([1]Desglose_BOM_Componentes!$AC$1288:$AC$1305,[1]Desglose_BOM_Componentes!$B$1288:$B$1305,$A160,[1]Desglose_BOM_Componentes!$X$1288:$X$1305,"Empaquetado"))</f>
        <v>1.0859479144143824</v>
      </c>
      <c r="F160" s="6">
        <f t="shared" si="12"/>
        <v>3.1690029144143828</v>
      </c>
      <c r="G160" s="4">
        <f>IF(COUNTIFS([1]Desglose_BOM_Componentes!$B$1288:$B$1305,$A160,[1]Desglose_BOM_Componentes!$AE$1288:$AE$1305,"Sin precio",[1]Desglose_BOM_Componentes!$X$1288:$X$1305,"Formulación")&gt;0,"n.d.",SUMIFS([1]Desglose_BOM_Componentes!$AD$1288:$AD$1305,[1]Desglose_BOM_Componentes!$B$1288:$B$1305,$A160,[1]Desglose_BOM_Componentes!$X$1288:$X$1305,"Formulación"))</f>
        <v>1.8990990952380953</v>
      </c>
      <c r="H160" s="4">
        <f>IF(COUNTIFS([1]Desglose_BOM_Componentes!$B$1288:$B$1305,$A160,[1]Desglose_BOM_Componentes!$AE$1288:$AE$1305,"Sin precio",[1]Desglose_BOM_Componentes!$X$1288:$X$1305,"Empaquetado")&gt;0,"n.d.",SUMIFS([1]Desglose_BOM_Componentes!$AD$1288:$AD$1305,[1]Desglose_BOM_Componentes!$B$1288:$B$1305,$A160,[1]Desglose_BOM_Componentes!$X$1288:$X$1305,"Empaquetado"))</f>
        <v>0.95531458108104916</v>
      </c>
      <c r="I160" s="6">
        <f t="shared" si="13"/>
        <v>2.8586136763191443</v>
      </c>
      <c r="J160" s="1" t="str">
        <f t="shared" si="14"/>
        <v>Completo</v>
      </c>
      <c r="K160" s="1">
        <f>COUNTIFS([1]Desglose_BOM_Componentes!$B$1288:$B$1305,$A160,[1]Desglose_BOM_Componentes!$AE$1288:$AE$1305,"Sin precio")</f>
        <v>0</v>
      </c>
      <c r="L160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161" spans="1:12" ht="22" customHeight="1">
      <c r="A161" s="1" t="s">
        <v>191</v>
      </c>
      <c r="B161" s="1" t="s">
        <v>18</v>
      </c>
      <c r="C161" s="1" t="s">
        <v>32</v>
      </c>
      <c r="D161" s="4">
        <f>IF(COUNTIFS([1]Desglose_BOM_Componentes!$B$1306:$B$1323,$A161,[1]Desglose_BOM_Componentes!$AE$1306:$AE$1323,"Sin precio",[1]Desglose_BOM_Componentes!$X$1306:$X$1323,"Formulación")&gt;0,"n.d.",SUMIFS([1]Desglose_BOM_Componentes!$AC$1306:$AC$1323,[1]Desglose_BOM_Componentes!$B$1306:$B$1323,$A161,[1]Desglose_BOM_Componentes!$X$1306:$X$1323,"Formulación"))</f>
        <v>2.0788550000000003</v>
      </c>
      <c r="E161" s="4">
        <f>IF(COUNTIFS([1]Desglose_BOM_Componentes!$B$1306:$B$1323,$A161,[1]Desglose_BOM_Componentes!$AE$1306:$AE$1323,"Sin precio",[1]Desglose_BOM_Componentes!$X$1306:$X$1323,"Empaquetado")&gt;0,"n.d.",SUMIFS([1]Desglose_BOM_Componentes!$AC$1306:$AC$1323,[1]Desglose_BOM_Componentes!$B$1306:$B$1323,$A161,[1]Desglose_BOM_Componentes!$X$1306:$X$1323,"Empaquetado"))</f>
        <v>1.0859479144143824</v>
      </c>
      <c r="F161" s="6">
        <f t="shared" si="12"/>
        <v>3.1690029144143828</v>
      </c>
      <c r="G161" s="4">
        <f>IF(COUNTIFS([1]Desglose_BOM_Componentes!$B$1306:$B$1323,$A161,[1]Desglose_BOM_Componentes!$AE$1306:$AE$1323,"Sin precio",[1]Desglose_BOM_Componentes!$X$1306:$X$1323,"Formulación")&gt;0,"n.d.",SUMIFS([1]Desglose_BOM_Componentes!$AD$1306:$AD$1323,[1]Desglose_BOM_Componentes!$B$1306:$B$1323,$A161,[1]Desglose_BOM_Componentes!$X$1306:$X$1323,"Formulación"))</f>
        <v>1.8990990952380953</v>
      </c>
      <c r="H161" s="4">
        <f>IF(COUNTIFS([1]Desglose_BOM_Componentes!$B$1306:$B$1323,$A161,[1]Desglose_BOM_Componentes!$AE$1306:$AE$1323,"Sin precio",[1]Desglose_BOM_Componentes!$X$1306:$X$1323,"Empaquetado")&gt;0,"n.d.",SUMIFS([1]Desglose_BOM_Componentes!$AD$1306:$AD$1323,[1]Desglose_BOM_Componentes!$B$1306:$B$1323,$A161,[1]Desglose_BOM_Componentes!$X$1306:$X$1323,"Empaquetado"))</f>
        <v>0.95531458108104916</v>
      </c>
      <c r="I161" s="6">
        <f t="shared" si="13"/>
        <v>2.8586136763191443</v>
      </c>
      <c r="J161" s="1" t="str">
        <f t="shared" si="14"/>
        <v>Completo</v>
      </c>
      <c r="K161" s="1">
        <f>COUNTIFS([1]Desglose_BOM_Componentes!$B$1306:$B$1323,$A161,[1]Desglose_BOM_Componentes!$AE$1306:$AE$1323,"Sin precio")</f>
        <v>0</v>
      </c>
      <c r="L161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162" spans="1:12" ht="22" customHeight="1">
      <c r="A162" s="1" t="s">
        <v>192</v>
      </c>
      <c r="B162" s="1" t="s">
        <v>18</v>
      </c>
      <c r="C162" s="1" t="s">
        <v>19</v>
      </c>
      <c r="D162" s="4">
        <f>IF(COUNTIFS([1]Desglose_BOM_Componentes!$B$1324:$B$1341,$A162,[1]Desglose_BOM_Componentes!$AE$1324:$AE$1341,"Sin precio",[1]Desglose_BOM_Componentes!$X$1324:$X$1341,"Formulación")&gt;0,"n.d.",SUMIFS([1]Desglose_BOM_Componentes!$AC$1324:$AC$1341,[1]Desglose_BOM_Componentes!$B$1324:$B$1341,$A162,[1]Desglose_BOM_Componentes!$X$1324:$X$1341,"Formulación"))</f>
        <v>2.0788550000000003</v>
      </c>
      <c r="E162" s="4">
        <f>IF(COUNTIFS([1]Desglose_BOM_Componentes!$B$1324:$B$1341,$A162,[1]Desglose_BOM_Componentes!$AE$1324:$AE$1341,"Sin precio",[1]Desglose_BOM_Componentes!$X$1324:$X$1341,"Empaquetado")&gt;0,"n.d.",SUMIFS([1]Desglose_BOM_Componentes!$AC$1324:$AC$1341,[1]Desglose_BOM_Componentes!$B$1324:$B$1341,$A162,[1]Desglose_BOM_Componentes!$X$1324:$X$1341,"Empaquetado"))</f>
        <v>1.0859479144143824</v>
      </c>
      <c r="F162" s="6">
        <f t="shared" si="12"/>
        <v>3.1690029144143828</v>
      </c>
      <c r="G162" s="4">
        <f>IF(COUNTIFS([1]Desglose_BOM_Componentes!$B$1324:$B$1341,$A162,[1]Desglose_BOM_Componentes!$AE$1324:$AE$1341,"Sin precio",[1]Desglose_BOM_Componentes!$X$1324:$X$1341,"Formulación")&gt;0,"n.d.",SUMIFS([1]Desglose_BOM_Componentes!$AD$1324:$AD$1341,[1]Desglose_BOM_Componentes!$B$1324:$B$1341,$A162,[1]Desglose_BOM_Componentes!$X$1324:$X$1341,"Formulación"))</f>
        <v>1.8990990952380953</v>
      </c>
      <c r="H162" s="4">
        <f>IF(COUNTIFS([1]Desglose_BOM_Componentes!$B$1324:$B$1341,$A162,[1]Desglose_BOM_Componentes!$AE$1324:$AE$1341,"Sin precio",[1]Desglose_BOM_Componentes!$X$1324:$X$1341,"Empaquetado")&gt;0,"n.d.",SUMIFS([1]Desglose_BOM_Componentes!$AD$1324:$AD$1341,[1]Desglose_BOM_Componentes!$B$1324:$B$1341,$A162,[1]Desglose_BOM_Componentes!$X$1324:$X$1341,"Empaquetado"))</f>
        <v>0.95531458108104916</v>
      </c>
      <c r="I162" s="6">
        <f t="shared" si="13"/>
        <v>2.8586136763191443</v>
      </c>
      <c r="J162" s="1" t="str">
        <f t="shared" si="14"/>
        <v>Completo</v>
      </c>
      <c r="K162" s="1">
        <f>COUNTIFS([1]Desglose_BOM_Componentes!$B$1324:$B$1341,$A162,[1]Desglose_BOM_Componentes!$AE$1324:$AE$1341,"Sin precio")</f>
        <v>0</v>
      </c>
      <c r="L162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163" spans="1:12" ht="22" customHeight="1">
      <c r="A163" s="1" t="s">
        <v>193</v>
      </c>
      <c r="B163" s="1" t="s">
        <v>18</v>
      </c>
      <c r="C163" s="1" t="s">
        <v>71</v>
      </c>
      <c r="D163" s="4">
        <f>IF(COUNTIFS([1]Desglose_BOM_Componentes!$B$1342:$B$1359,$A163,[1]Desglose_BOM_Componentes!$AE$1342:$AE$1359,"Sin precio",[1]Desglose_BOM_Componentes!$X$1342:$X$1359,"Formulación")&gt;0,"n.d.",SUMIFS([1]Desglose_BOM_Componentes!$AC$1342:$AC$1359,[1]Desglose_BOM_Componentes!$B$1342:$B$1359,$A163,[1]Desglose_BOM_Componentes!$X$1342:$X$1359,"Formulación"))</f>
        <v>2.0788550000000003</v>
      </c>
      <c r="E163" s="4">
        <f>IF(COUNTIFS([1]Desglose_BOM_Componentes!$B$1342:$B$1359,$A163,[1]Desglose_BOM_Componentes!$AE$1342:$AE$1359,"Sin precio",[1]Desglose_BOM_Componentes!$X$1342:$X$1359,"Empaquetado")&gt;0,"n.d.",SUMIFS([1]Desglose_BOM_Componentes!$AC$1342:$AC$1359,[1]Desglose_BOM_Componentes!$B$1342:$B$1359,$A163,[1]Desglose_BOM_Componentes!$X$1342:$X$1359,"Empaquetado"))</f>
        <v>1.0859479144143824</v>
      </c>
      <c r="F163" s="6">
        <f t="shared" si="12"/>
        <v>3.1690029144143828</v>
      </c>
      <c r="G163" s="4">
        <f>IF(COUNTIFS([1]Desglose_BOM_Componentes!$B$1342:$B$1359,$A163,[1]Desglose_BOM_Componentes!$AE$1342:$AE$1359,"Sin precio",[1]Desglose_BOM_Componentes!$X$1342:$X$1359,"Formulación")&gt;0,"n.d.",SUMIFS([1]Desglose_BOM_Componentes!$AD$1342:$AD$1359,[1]Desglose_BOM_Componentes!$B$1342:$B$1359,$A163,[1]Desglose_BOM_Componentes!$X$1342:$X$1359,"Formulación"))</f>
        <v>1.8990990952380953</v>
      </c>
      <c r="H163" s="4">
        <f>IF(COUNTIFS([1]Desglose_BOM_Componentes!$B$1342:$B$1359,$A163,[1]Desglose_BOM_Componentes!$AE$1342:$AE$1359,"Sin precio",[1]Desglose_BOM_Componentes!$X$1342:$X$1359,"Empaquetado")&gt;0,"n.d.",SUMIFS([1]Desglose_BOM_Componentes!$AD$1342:$AD$1359,[1]Desglose_BOM_Componentes!$B$1342:$B$1359,$A163,[1]Desglose_BOM_Componentes!$X$1342:$X$1359,"Empaquetado"))</f>
        <v>0.95531458108104916</v>
      </c>
      <c r="I163" s="6">
        <f t="shared" si="13"/>
        <v>2.8586136763191443</v>
      </c>
      <c r="J163" s="1" t="str">
        <f t="shared" si="14"/>
        <v>Completo</v>
      </c>
      <c r="K163" s="1">
        <f>COUNTIFS([1]Desglose_BOM_Componentes!$B$1342:$B$1359,$A163,[1]Desglose_BOM_Componentes!$AE$1342:$AE$1359,"Sin precio")</f>
        <v>0</v>
      </c>
      <c r="L163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164" spans="1:12" ht="22" customHeight="1">
      <c r="A164" s="1" t="s">
        <v>194</v>
      </c>
      <c r="B164" s="1" t="s">
        <v>18</v>
      </c>
      <c r="C164" s="1" t="s">
        <v>24</v>
      </c>
      <c r="D164" s="4">
        <f>IF(COUNTIFS([1]Desglose_BOM_Componentes!$B$1360:$B$1377,$A164,[1]Desglose_BOM_Componentes!$AE$1360:$AE$1377,"Sin precio",[1]Desglose_BOM_Componentes!$X$1360:$X$1377,"Formulación")&gt;0,"n.d.",SUMIFS([1]Desglose_BOM_Componentes!$AC$1360:$AC$1377,[1]Desglose_BOM_Componentes!$B$1360:$B$1377,$A164,[1]Desglose_BOM_Componentes!$X$1360:$X$1377,"Formulación"))</f>
        <v>2.0788550000000003</v>
      </c>
      <c r="E164" s="4">
        <f>IF(COUNTIFS([1]Desglose_BOM_Componentes!$B$1360:$B$1377,$A164,[1]Desglose_BOM_Componentes!$AE$1360:$AE$1377,"Sin precio",[1]Desglose_BOM_Componentes!$X$1360:$X$1377,"Empaquetado")&gt;0,"n.d.",SUMIFS([1]Desglose_BOM_Componentes!$AC$1360:$AC$1377,[1]Desglose_BOM_Componentes!$B$1360:$B$1377,$A164,[1]Desglose_BOM_Componentes!$X$1360:$X$1377,"Empaquetado"))</f>
        <v>0.31508466819407255</v>
      </c>
      <c r="F164" s="6">
        <f t="shared" si="12"/>
        <v>2.398139668194073</v>
      </c>
      <c r="G164" s="4">
        <f>IF(COUNTIFS([1]Desglose_BOM_Componentes!$B$1360:$B$1377,$A164,[1]Desglose_BOM_Componentes!$AE$1360:$AE$1377,"Sin precio",[1]Desglose_BOM_Componentes!$X$1360:$X$1377,"Formulación")&gt;0,"n.d.",SUMIFS([1]Desglose_BOM_Componentes!$AD$1360:$AD$1377,[1]Desglose_BOM_Componentes!$B$1360:$B$1377,$A164,[1]Desglose_BOM_Componentes!$X$1360:$X$1377,"Formulación"))</f>
        <v>1.8990990952380953</v>
      </c>
      <c r="H164" s="4">
        <f>IF(COUNTIFS([1]Desglose_BOM_Componentes!$B$1360:$B$1377,$A164,[1]Desglose_BOM_Componentes!$AE$1360:$AE$1377,"Sin precio",[1]Desglose_BOM_Componentes!$X$1360:$X$1377,"Empaquetado")&gt;0,"n.d.",SUMIFS([1]Desglose_BOM_Componentes!$AD$1360:$AD$1377,[1]Desglose_BOM_Componentes!$B$1360:$B$1377,$A164,[1]Desglose_BOM_Componentes!$X$1360:$X$1377,"Empaquetado"))</f>
        <v>0.31508466819407255</v>
      </c>
      <c r="I164" s="6">
        <f t="shared" si="13"/>
        <v>2.2183837634321679</v>
      </c>
      <c r="J164" s="1" t="str">
        <f t="shared" si="14"/>
        <v>Completo</v>
      </c>
      <c r="K164" s="1">
        <f>COUNTIFS([1]Desglose_BOM_Componentes!$B$1360:$B$1377,$A164,[1]Desglose_BOM_Componentes!$AE$1360:$AE$1377,"Sin precio")</f>
        <v>0</v>
      </c>
      <c r="L164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165" spans="1:12" ht="22" customHeight="1">
      <c r="A165" s="1" t="s">
        <v>195</v>
      </c>
      <c r="B165" s="1" t="s">
        <v>18</v>
      </c>
      <c r="C165" s="1" t="s">
        <v>84</v>
      </c>
      <c r="D165" s="4">
        <f>IF(COUNTIFS([1]Desglose_BOM_Componentes!$B$1378:$B$1395,$A165,[1]Desglose_BOM_Componentes!$AE$1378:$AE$1395,"Sin precio",[1]Desglose_BOM_Componentes!$X$1378:$X$1395,"Formulación")&gt;0,"n.d.",SUMIFS([1]Desglose_BOM_Componentes!$AC$1378:$AC$1395,[1]Desglose_BOM_Componentes!$B$1378:$B$1395,$A165,[1]Desglose_BOM_Componentes!$X$1378:$X$1395,"Formulación"))</f>
        <v>2.0788550000000003</v>
      </c>
      <c r="E165" s="4">
        <f>IF(COUNTIFS([1]Desglose_BOM_Componentes!$B$1378:$B$1395,$A165,[1]Desglose_BOM_Componentes!$AE$1378:$AE$1395,"Sin precio",[1]Desglose_BOM_Componentes!$X$1378:$X$1395,"Empaquetado")&gt;0,"n.d.",SUMIFS([1]Desglose_BOM_Componentes!$AC$1378:$AC$1395,[1]Desglose_BOM_Componentes!$B$1378:$B$1395,$A165,[1]Desglose_BOM_Componentes!$X$1378:$X$1395,"Empaquetado"))</f>
        <v>0.31508466819407255</v>
      </c>
      <c r="F165" s="6">
        <f t="shared" si="12"/>
        <v>2.398139668194073</v>
      </c>
      <c r="G165" s="4">
        <f>IF(COUNTIFS([1]Desglose_BOM_Componentes!$B$1378:$B$1395,$A165,[1]Desglose_BOM_Componentes!$AE$1378:$AE$1395,"Sin precio",[1]Desglose_BOM_Componentes!$X$1378:$X$1395,"Formulación")&gt;0,"n.d.",SUMIFS([1]Desglose_BOM_Componentes!$AD$1378:$AD$1395,[1]Desglose_BOM_Componentes!$B$1378:$B$1395,$A165,[1]Desglose_BOM_Componentes!$X$1378:$X$1395,"Formulación"))</f>
        <v>1.8990990952380953</v>
      </c>
      <c r="H165" s="4">
        <f>IF(COUNTIFS([1]Desglose_BOM_Componentes!$B$1378:$B$1395,$A165,[1]Desglose_BOM_Componentes!$AE$1378:$AE$1395,"Sin precio",[1]Desglose_BOM_Componentes!$X$1378:$X$1395,"Empaquetado")&gt;0,"n.d.",SUMIFS([1]Desglose_BOM_Componentes!$AD$1378:$AD$1395,[1]Desglose_BOM_Componentes!$B$1378:$B$1395,$A165,[1]Desglose_BOM_Componentes!$X$1378:$X$1395,"Empaquetado"))</f>
        <v>0.31508466819407255</v>
      </c>
      <c r="I165" s="6">
        <f t="shared" si="13"/>
        <v>2.2183837634321679</v>
      </c>
      <c r="J165" s="1" t="str">
        <f t="shared" si="14"/>
        <v>Completo</v>
      </c>
      <c r="K165" s="1">
        <f>COUNTIFS([1]Desglose_BOM_Componentes!$B$1378:$B$1395,$A165,[1]Desglose_BOM_Componentes!$AE$1378:$AE$1395,"Sin precio")</f>
        <v>0</v>
      </c>
      <c r="L165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166" spans="1:12" ht="22" customHeight="1">
      <c r="A166" s="1" t="s">
        <v>196</v>
      </c>
      <c r="B166" s="1" t="s">
        <v>18</v>
      </c>
      <c r="C166" s="1" t="s">
        <v>26</v>
      </c>
      <c r="D166" s="4">
        <f>IF(COUNTIFS([1]Desglose_BOM_Componentes!$B$1396:$B$1413,$A166,[1]Desglose_BOM_Componentes!$AE$1396:$AE$1413,"Sin precio",[1]Desglose_BOM_Componentes!$X$1396:$X$1413,"Formulación")&gt;0,"n.d.",SUMIFS([1]Desglose_BOM_Componentes!$AC$1396:$AC$1413,[1]Desglose_BOM_Componentes!$B$1396:$B$1413,$A166,[1]Desglose_BOM_Componentes!$X$1396:$X$1413,"Formulación"))</f>
        <v>2.0788550000000003</v>
      </c>
      <c r="E166" s="4">
        <f>IF(COUNTIFS([1]Desglose_BOM_Componentes!$B$1396:$B$1413,$A166,[1]Desglose_BOM_Componentes!$AE$1396:$AE$1413,"Sin precio",[1]Desglose_BOM_Componentes!$X$1396:$X$1413,"Empaquetado")&gt;0,"n.d.",SUMIFS([1]Desglose_BOM_Componentes!$AC$1396:$AC$1413,[1]Desglose_BOM_Componentes!$B$1396:$B$1413,$A166,[1]Desglose_BOM_Componentes!$X$1396:$X$1413,"Empaquetado"))</f>
        <v>0.31508466819407255</v>
      </c>
      <c r="F166" s="6">
        <f t="shared" si="12"/>
        <v>2.398139668194073</v>
      </c>
      <c r="G166" s="4">
        <f>IF(COUNTIFS([1]Desglose_BOM_Componentes!$B$1396:$B$1413,$A166,[1]Desglose_BOM_Componentes!$AE$1396:$AE$1413,"Sin precio",[1]Desglose_BOM_Componentes!$X$1396:$X$1413,"Formulación")&gt;0,"n.d.",SUMIFS([1]Desglose_BOM_Componentes!$AD$1396:$AD$1413,[1]Desglose_BOM_Componentes!$B$1396:$B$1413,$A166,[1]Desglose_BOM_Componentes!$X$1396:$X$1413,"Formulación"))</f>
        <v>1.8990990952380953</v>
      </c>
      <c r="H166" s="4">
        <f>IF(COUNTIFS([1]Desglose_BOM_Componentes!$B$1396:$B$1413,$A166,[1]Desglose_BOM_Componentes!$AE$1396:$AE$1413,"Sin precio",[1]Desglose_BOM_Componentes!$X$1396:$X$1413,"Empaquetado")&gt;0,"n.d.",SUMIFS([1]Desglose_BOM_Componentes!$AD$1396:$AD$1413,[1]Desglose_BOM_Componentes!$B$1396:$B$1413,$A166,[1]Desglose_BOM_Componentes!$X$1396:$X$1413,"Empaquetado"))</f>
        <v>0.31508466819407255</v>
      </c>
      <c r="I166" s="6">
        <f t="shared" si="13"/>
        <v>2.2183837634321679</v>
      </c>
      <c r="J166" s="1" t="str">
        <f t="shared" si="14"/>
        <v>Completo</v>
      </c>
      <c r="K166" s="1">
        <f>COUNTIFS([1]Desglose_BOM_Componentes!$B$1396:$B$1413,$A166,[1]Desglose_BOM_Componentes!$AE$1396:$AE$1413,"Sin precio")</f>
        <v>0</v>
      </c>
      <c r="L166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167" spans="1:12" ht="22" customHeight="1">
      <c r="A167" s="1" t="s">
        <v>197</v>
      </c>
      <c r="B167" s="1" t="s">
        <v>18</v>
      </c>
      <c r="C167" s="1" t="s">
        <v>24</v>
      </c>
      <c r="D167" s="4">
        <f>IF(COUNTIFS([1]Desglose_BOM_Componentes!$B$1414:$B$1430,$A167,[1]Desglose_BOM_Componentes!$AE$1414:$AE$1430,"Sin precio",[1]Desglose_BOM_Componentes!$X$1414:$X$1430,"Formulación")&gt;0,"n.d.",SUMIFS([1]Desglose_BOM_Componentes!$AC$1414:$AC$1430,[1]Desglose_BOM_Componentes!$B$1414:$B$1430,$A167,[1]Desglose_BOM_Componentes!$X$1414:$X$1430,"Formulación"))</f>
        <v>2.0788550000000003</v>
      </c>
      <c r="E167" s="4">
        <f>IF(COUNTIFS([1]Desglose_BOM_Componentes!$B$1414:$B$1430,$A167,[1]Desglose_BOM_Componentes!$AE$1414:$AE$1430,"Sin precio",[1]Desglose_BOM_Componentes!$X$1414:$X$1430,"Empaquetado")&gt;0,"n.d.",SUMIFS([1]Desglose_BOM_Componentes!$AC$1414:$AC$1430,[1]Desglose_BOM_Componentes!$B$1414:$B$1430,$A167,[1]Desglose_BOM_Componentes!$X$1414:$X$1430,"Empaquetado"))</f>
        <v>0.23235486609756989</v>
      </c>
      <c r="F167" s="6">
        <f t="shared" si="12"/>
        <v>2.3154098660975704</v>
      </c>
      <c r="G167" s="4">
        <f>IF(COUNTIFS([1]Desglose_BOM_Componentes!$B$1414:$B$1430,$A167,[1]Desglose_BOM_Componentes!$AE$1414:$AE$1430,"Sin precio",[1]Desglose_BOM_Componentes!$X$1414:$X$1430,"Formulación")&gt;0,"n.d.",SUMIFS([1]Desglose_BOM_Componentes!$AD$1414:$AD$1430,[1]Desglose_BOM_Componentes!$B$1414:$B$1430,$A167,[1]Desglose_BOM_Componentes!$X$1414:$X$1430,"Formulación"))</f>
        <v>1.8990990952380953</v>
      </c>
      <c r="H167" s="4">
        <f>IF(COUNTIFS([1]Desglose_BOM_Componentes!$B$1414:$B$1430,$A167,[1]Desglose_BOM_Componentes!$AE$1414:$AE$1430,"Sin precio",[1]Desglose_BOM_Componentes!$X$1414:$X$1430,"Empaquetado")&gt;0,"n.d.",SUMIFS([1]Desglose_BOM_Componentes!$AD$1414:$AD$1430,[1]Desglose_BOM_Componentes!$B$1414:$B$1430,$A167,[1]Desglose_BOM_Componentes!$X$1414:$X$1430,"Empaquetado"))</f>
        <v>0.23235486609756989</v>
      </c>
      <c r="I167" s="6">
        <f t="shared" si="13"/>
        <v>2.1356539613356653</v>
      </c>
      <c r="J167" s="1" t="str">
        <f t="shared" si="14"/>
        <v>Completo</v>
      </c>
      <c r="K167" s="1">
        <f>COUNTIFS([1]Desglose_BOM_Componentes!$B$1414:$B$1430,$A167,[1]Desglose_BOM_Componentes!$AE$1414:$AE$1430,"Sin precio")</f>
        <v>0</v>
      </c>
      <c r="L167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componentes'!D147="Sin precio","TPD61IV; ","")</f>
        <v/>
      </c>
    </row>
    <row r="168" spans="1:12" ht="22" customHeight="1">
      <c r="A168" s="1" t="s">
        <v>198</v>
      </c>
      <c r="B168" s="1" t="s">
        <v>18</v>
      </c>
      <c r="C168" s="1" t="s">
        <v>26</v>
      </c>
      <c r="D168" s="4">
        <f>IF(COUNTIFS([1]Desglose_BOM_Componentes!$B$1431:$B$1447,$A168,[1]Desglose_BOM_Componentes!$AE$1431:$AE$1447,"Sin precio",[1]Desglose_BOM_Componentes!$X$1431:$X$1447,"Formulación")&gt;0,"n.d.",SUMIFS([1]Desglose_BOM_Componentes!$AC$1431:$AC$1447,[1]Desglose_BOM_Componentes!$B$1431:$B$1447,$A168,[1]Desglose_BOM_Componentes!$X$1431:$X$1447,"Formulación"))</f>
        <v>2.0788550000000003</v>
      </c>
      <c r="E168" s="4">
        <f>IF(COUNTIFS([1]Desglose_BOM_Componentes!$B$1431:$B$1447,$A168,[1]Desglose_BOM_Componentes!$AE$1431:$AE$1447,"Sin precio",[1]Desglose_BOM_Componentes!$X$1431:$X$1447,"Empaquetado")&gt;0,"n.d.",SUMIFS([1]Desglose_BOM_Componentes!$AC$1431:$AC$1447,[1]Desglose_BOM_Componentes!$B$1431:$B$1447,$A168,[1]Desglose_BOM_Componentes!$X$1431:$X$1447,"Empaquetado"))</f>
        <v>0.23235486609756989</v>
      </c>
      <c r="F168" s="6">
        <f t="shared" si="12"/>
        <v>2.3154098660975704</v>
      </c>
      <c r="G168" s="4">
        <f>IF(COUNTIFS([1]Desglose_BOM_Componentes!$B$1431:$B$1447,$A168,[1]Desglose_BOM_Componentes!$AE$1431:$AE$1447,"Sin precio",[1]Desglose_BOM_Componentes!$X$1431:$X$1447,"Formulación")&gt;0,"n.d.",SUMIFS([1]Desglose_BOM_Componentes!$AD$1431:$AD$1447,[1]Desglose_BOM_Componentes!$B$1431:$B$1447,$A168,[1]Desglose_BOM_Componentes!$X$1431:$X$1447,"Formulación"))</f>
        <v>1.8990990952380953</v>
      </c>
      <c r="H168" s="4">
        <f>IF(COUNTIFS([1]Desglose_BOM_Componentes!$B$1431:$B$1447,$A168,[1]Desglose_BOM_Componentes!$AE$1431:$AE$1447,"Sin precio",[1]Desglose_BOM_Componentes!$X$1431:$X$1447,"Empaquetado")&gt;0,"n.d.",SUMIFS([1]Desglose_BOM_Componentes!$AD$1431:$AD$1447,[1]Desglose_BOM_Componentes!$B$1431:$B$1447,$A168,[1]Desglose_BOM_Componentes!$X$1431:$X$1447,"Empaquetado"))</f>
        <v>0.23235486609756989</v>
      </c>
      <c r="I168" s="6">
        <f t="shared" si="13"/>
        <v>2.1356539613356653</v>
      </c>
      <c r="J168" s="1" t="str">
        <f t="shared" si="14"/>
        <v>Completo</v>
      </c>
      <c r="K168" s="1">
        <f>COUNTIFS([1]Desglose_BOM_Componentes!$B$1431:$B$1447,$A168,[1]Desglose_BOM_Componentes!$AE$1431:$AE$1447,"Sin precio")</f>
        <v>0</v>
      </c>
      <c r="L168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componentes'!D147="Sin precio","TPD61IV; ","")</f>
        <v/>
      </c>
    </row>
    <row r="169" spans="1:12" ht="22" customHeight="1">
      <c r="A169" s="1" t="s">
        <v>199</v>
      </c>
      <c r="B169" s="1" t="s">
        <v>18</v>
      </c>
      <c r="C169" s="1" t="s">
        <v>24</v>
      </c>
      <c r="D169" s="4">
        <f>IF(COUNTIFS([1]Desglose_BOM_Componentes!$B$1498:$B$1514,$A169,[1]Desglose_BOM_Componentes!$AE$1498:$AE$1514,"Sin precio",[1]Desglose_BOM_Componentes!$X$1498:$X$1514,"Formulación")&gt;0,"n.d.",SUMIFS([1]Desglose_BOM_Componentes!$AC$1498:$AC$1514,[1]Desglose_BOM_Componentes!$B$1498:$B$1514,$A169,[1]Desglose_BOM_Componentes!$X$1498:$X$1514,"Formulación"))</f>
        <v>0.73112799999999989</v>
      </c>
      <c r="E169" s="4">
        <f>IF(COUNTIFS([1]Desglose_BOM_Componentes!$B$1498:$B$1514,$A169,[1]Desglose_BOM_Componentes!$AE$1498:$AE$1514,"Sin precio",[1]Desglose_BOM_Componentes!$X$1498:$X$1514,"Empaquetado")&gt;0,"n.d.",SUMIFS([1]Desglose_BOM_Componentes!$AC$1498:$AC$1514,[1]Desglose_BOM_Componentes!$B$1498:$B$1514,$A169,[1]Desglose_BOM_Componentes!$X$1498:$X$1514,"Empaquetado"))</f>
        <v>0.75344791441438252</v>
      </c>
      <c r="F169" s="6">
        <f t="shared" si="12"/>
        <v>1.4887759144143824</v>
      </c>
      <c r="G169" s="4">
        <f>IF(COUNTIFS([1]Desglose_BOM_Componentes!$B$1498:$B$1514,$A169,[1]Desglose_BOM_Componentes!$AE$1498:$AE$1514,"Sin precio",[1]Desglose_BOM_Componentes!$X$1498:$X$1514,"Formulación")&gt;0,"n.d.",SUMIFS([1]Desglose_BOM_Componentes!$AD$1498:$AD$1514,[1]Desglose_BOM_Componentes!$B$1498:$B$1514,$A169,[1]Desglose_BOM_Componentes!$X$1498:$X$1514,"Formulación"))</f>
        <v>0.6407341666666666</v>
      </c>
      <c r="H169" s="4">
        <f>IF(COUNTIFS([1]Desglose_BOM_Componentes!$B$1498:$B$1514,$A169,[1]Desglose_BOM_Componentes!$AE$1498:$AE$1514,"Sin precio",[1]Desglose_BOM_Componentes!$X$1498:$X$1514,"Empaquetado")&gt;0,"n.d.",SUMIFS([1]Desglose_BOM_Componentes!$AD$1498:$AD$1514,[1]Desglose_BOM_Componentes!$B$1498:$B$1514,$A169,[1]Desglose_BOM_Componentes!$X$1498:$X$1514,"Empaquetado"))</f>
        <v>0.75344791441438252</v>
      </c>
      <c r="I169" s="6">
        <f t="shared" si="13"/>
        <v>1.3983820810810492</v>
      </c>
      <c r="J169" s="1" t="str">
        <f t="shared" si="14"/>
        <v>Completo</v>
      </c>
      <c r="K169" s="1">
        <f>COUNTIFS([1]Desglose_BOM_Componentes!$B$1498:$B$1514,$A169,[1]Desglose_BOM_Componentes!$AE$1498:$AE$1514,"Sin precio")</f>
        <v>0</v>
      </c>
      <c r="L169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70" spans="1:12" ht="22" customHeight="1">
      <c r="A170" s="1" t="s">
        <v>200</v>
      </c>
      <c r="B170" s="1" t="s">
        <v>18</v>
      </c>
      <c r="C170" s="1" t="s">
        <v>69</v>
      </c>
      <c r="D170" s="4">
        <f>IF(COUNTIFS([1]Desglose_BOM_Componentes!$B$1515:$B$1531,$A170,[1]Desglose_BOM_Componentes!$AE$1515:$AE$1531,"Sin precio",[1]Desglose_BOM_Componentes!$X$1515:$X$1531,"Formulación")&gt;0,"n.d.",SUMIFS([1]Desglose_BOM_Componentes!$AC$1515:$AC$1531,[1]Desglose_BOM_Componentes!$B$1515:$B$1531,$A170,[1]Desglose_BOM_Componentes!$X$1515:$X$1531,"Formulación"))</f>
        <v>0.73112799999999989</v>
      </c>
      <c r="E170" s="4">
        <f>IF(COUNTIFS([1]Desglose_BOM_Componentes!$B$1515:$B$1531,$A170,[1]Desglose_BOM_Componentes!$AE$1515:$AE$1531,"Sin precio",[1]Desglose_BOM_Componentes!$X$1515:$X$1531,"Empaquetado")&gt;0,"n.d.",SUMIFS([1]Desglose_BOM_Componentes!$AC$1515:$AC$1531,[1]Desglose_BOM_Componentes!$B$1515:$B$1531,$A170,[1]Desglose_BOM_Componentes!$X$1515:$X$1531,"Empaquetado"))</f>
        <v>0.75344791441438252</v>
      </c>
      <c r="F170" s="6">
        <f t="shared" si="12"/>
        <v>1.4887759144143824</v>
      </c>
      <c r="G170" s="4">
        <f>IF(COUNTIFS([1]Desglose_BOM_Componentes!$B$1515:$B$1531,$A170,[1]Desglose_BOM_Componentes!$AE$1515:$AE$1531,"Sin precio",[1]Desglose_BOM_Componentes!$X$1515:$X$1531,"Formulación")&gt;0,"n.d.",SUMIFS([1]Desglose_BOM_Componentes!$AD$1515:$AD$1531,[1]Desglose_BOM_Componentes!$B$1515:$B$1531,$A170,[1]Desglose_BOM_Componentes!$X$1515:$X$1531,"Formulación"))</f>
        <v>0.6407341666666666</v>
      </c>
      <c r="H170" s="4">
        <f>IF(COUNTIFS([1]Desglose_BOM_Componentes!$B$1515:$B$1531,$A170,[1]Desglose_BOM_Componentes!$AE$1515:$AE$1531,"Sin precio",[1]Desglose_BOM_Componentes!$X$1515:$X$1531,"Empaquetado")&gt;0,"n.d.",SUMIFS([1]Desglose_BOM_Componentes!$AD$1515:$AD$1531,[1]Desglose_BOM_Componentes!$B$1515:$B$1531,$A170,[1]Desglose_BOM_Componentes!$X$1515:$X$1531,"Empaquetado"))</f>
        <v>0.75344791441438252</v>
      </c>
      <c r="I170" s="6">
        <f t="shared" si="13"/>
        <v>1.3983820810810492</v>
      </c>
      <c r="J170" s="1" t="str">
        <f t="shared" si="14"/>
        <v>Completo</v>
      </c>
      <c r="K170" s="1">
        <f>COUNTIFS([1]Desglose_BOM_Componentes!$B$1515:$B$1531,$A170,[1]Desglose_BOM_Componentes!$AE$1515:$AE$1531,"Sin precio")</f>
        <v>0</v>
      </c>
      <c r="L170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71" spans="1:12" ht="22" customHeight="1">
      <c r="A171" s="1" t="s">
        <v>201</v>
      </c>
      <c r="B171" s="1" t="s">
        <v>18</v>
      </c>
      <c r="C171" s="1" t="s">
        <v>19</v>
      </c>
      <c r="D171" s="4">
        <f>IF(COUNTIFS([1]Desglose_BOM_Componentes!$B$1532:$B$1548,$A171,[1]Desglose_BOM_Componentes!$AE$1532:$AE$1548,"Sin precio",[1]Desglose_BOM_Componentes!$X$1532:$X$1548,"Formulación")&gt;0,"n.d.",SUMIFS([1]Desglose_BOM_Componentes!$AC$1532:$AC$1548,[1]Desglose_BOM_Componentes!$B$1532:$B$1548,$A171,[1]Desglose_BOM_Componentes!$X$1532:$X$1548,"Formulación"))</f>
        <v>0.73112799999999989</v>
      </c>
      <c r="E171" s="4">
        <f>IF(COUNTIFS([1]Desglose_BOM_Componentes!$B$1532:$B$1548,$A171,[1]Desglose_BOM_Componentes!$AE$1532:$AE$1548,"Sin precio",[1]Desglose_BOM_Componentes!$X$1532:$X$1548,"Empaquetado")&gt;0,"n.d.",SUMIFS([1]Desglose_BOM_Componentes!$AC$1532:$AC$1548,[1]Desglose_BOM_Componentes!$B$1532:$B$1548,$A171,[1]Desglose_BOM_Componentes!$X$1532:$X$1548,"Empaquetado"))</f>
        <v>0.75344791441438252</v>
      </c>
      <c r="F171" s="6">
        <f t="shared" si="12"/>
        <v>1.4887759144143824</v>
      </c>
      <c r="G171" s="4">
        <f>IF(COUNTIFS([1]Desglose_BOM_Componentes!$B$1532:$B$1548,$A171,[1]Desglose_BOM_Componentes!$AE$1532:$AE$1548,"Sin precio",[1]Desglose_BOM_Componentes!$X$1532:$X$1548,"Formulación")&gt;0,"n.d.",SUMIFS([1]Desglose_BOM_Componentes!$AD$1532:$AD$1548,[1]Desglose_BOM_Componentes!$B$1532:$B$1548,$A171,[1]Desglose_BOM_Componentes!$X$1532:$X$1548,"Formulación"))</f>
        <v>0.6407341666666666</v>
      </c>
      <c r="H171" s="4">
        <f>IF(COUNTIFS([1]Desglose_BOM_Componentes!$B$1532:$B$1548,$A171,[1]Desglose_BOM_Componentes!$AE$1532:$AE$1548,"Sin precio",[1]Desglose_BOM_Componentes!$X$1532:$X$1548,"Empaquetado")&gt;0,"n.d.",SUMIFS([1]Desglose_BOM_Componentes!$AD$1532:$AD$1548,[1]Desglose_BOM_Componentes!$B$1532:$B$1548,$A171,[1]Desglose_BOM_Componentes!$X$1532:$X$1548,"Empaquetado"))</f>
        <v>0.75344791441438252</v>
      </c>
      <c r="I171" s="6">
        <f t="shared" si="13"/>
        <v>1.3983820810810492</v>
      </c>
      <c r="J171" s="1" t="str">
        <f t="shared" si="14"/>
        <v>Completo</v>
      </c>
      <c r="K171" s="1">
        <f>COUNTIFS([1]Desglose_BOM_Componentes!$B$1532:$B$1548,$A171,[1]Desglose_BOM_Componentes!$AE$1532:$AE$1548,"Sin precio")</f>
        <v>0</v>
      </c>
      <c r="L171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72" spans="1:12" ht="22" customHeight="1">
      <c r="A172" s="1" t="s">
        <v>202</v>
      </c>
      <c r="B172" s="1" t="s">
        <v>18</v>
      </c>
      <c r="C172" s="1" t="s">
        <v>24</v>
      </c>
      <c r="D172" s="4">
        <f>IF(COUNTIFS([1]Desglose_BOM_Componentes!$B$1549:$B$1565,$A172,[1]Desglose_BOM_Componentes!$AE$1549:$AE$1565,"Sin precio",[1]Desglose_BOM_Componentes!$X$1549:$X$1565,"Formulación")&gt;0,"n.d.",SUMIFS([1]Desglose_BOM_Componentes!$AC$1549:$AC$1565,[1]Desglose_BOM_Componentes!$B$1549:$B$1565,$A172,[1]Desglose_BOM_Componentes!$X$1549:$X$1565,"Formulación"))</f>
        <v>0.73112799999999989</v>
      </c>
      <c r="E172" s="4">
        <f>IF(COUNTIFS([1]Desglose_BOM_Componentes!$B$1549:$B$1565,$A172,[1]Desglose_BOM_Componentes!$AE$1549:$AE$1565,"Sin precio",[1]Desglose_BOM_Componentes!$X$1549:$X$1565,"Empaquetado")&gt;0,"n.d.",SUMIFS([1]Desglose_BOM_Componentes!$AC$1549:$AC$1565,[1]Desglose_BOM_Componentes!$B$1549:$B$1565,$A172,[1]Desglose_BOM_Componentes!$X$1549:$X$1565,"Empaquetado"))</f>
        <v>0.30928466819407252</v>
      </c>
      <c r="F172" s="6">
        <f t="shared" si="12"/>
        <v>1.0446126681940724</v>
      </c>
      <c r="G172" s="4">
        <f>IF(COUNTIFS([1]Desglose_BOM_Componentes!$B$1549:$B$1565,$A172,[1]Desglose_BOM_Componentes!$AE$1549:$AE$1565,"Sin precio",[1]Desglose_BOM_Componentes!$X$1549:$X$1565,"Formulación")&gt;0,"n.d.",SUMIFS([1]Desglose_BOM_Componentes!$AD$1549:$AD$1565,[1]Desglose_BOM_Componentes!$B$1549:$B$1565,$A172,[1]Desglose_BOM_Componentes!$X$1549:$X$1565,"Formulación"))</f>
        <v>0.6407341666666666</v>
      </c>
      <c r="H172" s="4">
        <f>IF(COUNTIFS([1]Desglose_BOM_Componentes!$B$1549:$B$1565,$A172,[1]Desglose_BOM_Componentes!$AE$1549:$AE$1565,"Sin precio",[1]Desglose_BOM_Componentes!$X$1549:$X$1565,"Empaquetado")&gt;0,"n.d.",SUMIFS([1]Desglose_BOM_Componentes!$AD$1549:$AD$1565,[1]Desglose_BOM_Componentes!$B$1549:$B$1565,$A172,[1]Desglose_BOM_Componentes!$X$1549:$X$1565,"Empaquetado"))</f>
        <v>0.30928466819407252</v>
      </c>
      <c r="I172" s="6">
        <f t="shared" si="13"/>
        <v>0.95421883486073911</v>
      </c>
      <c r="J172" s="1" t="str">
        <f t="shared" si="14"/>
        <v>Completo</v>
      </c>
      <c r="K172" s="1">
        <f>COUNTIFS([1]Desglose_BOM_Componentes!$B$1549:$B$1565,$A172,[1]Desglose_BOM_Componentes!$AE$1549:$AE$1565,"Sin precio")</f>
        <v>0</v>
      </c>
      <c r="L172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73" spans="1:12" ht="22" customHeight="1">
      <c r="A173" s="1" t="s">
        <v>203</v>
      </c>
      <c r="B173" s="1" t="s">
        <v>18</v>
      </c>
      <c r="C173" s="1" t="s">
        <v>24</v>
      </c>
      <c r="D173" s="4">
        <f>IF(COUNTIFS([1]Desglose_BOM_Componentes!$B$1566:$B$1581,$A173,[1]Desglose_BOM_Componentes!$AE$1566:$AE$1581,"Sin precio",[1]Desglose_BOM_Componentes!$X$1566:$X$1581,"Formulación")&gt;0,"n.d.",SUMIFS([1]Desglose_BOM_Componentes!$AC$1566:$AC$1581,[1]Desglose_BOM_Componentes!$B$1566:$B$1581,$A173,[1]Desglose_BOM_Componentes!$X$1566:$X$1581,"Formulación"))</f>
        <v>0.73112799999999989</v>
      </c>
      <c r="E173" s="4">
        <f>IF(COUNTIFS([1]Desglose_BOM_Componentes!$B$1566:$B$1581,$A173,[1]Desglose_BOM_Componentes!$AE$1566:$AE$1581,"Sin precio",[1]Desglose_BOM_Componentes!$X$1566:$X$1581,"Empaquetado")&gt;0,"n.d.",SUMIFS([1]Desglose_BOM_Componentes!$AC$1566:$AC$1581,[1]Desglose_BOM_Componentes!$B$1566:$B$1581,$A173,[1]Desglose_BOM_Componentes!$X$1566:$X$1581,"Empaquetado"))</f>
        <v>0.24326489794470366</v>
      </c>
      <c r="F173" s="6">
        <f t="shared" si="12"/>
        <v>0.9785928979447035</v>
      </c>
      <c r="G173" s="4">
        <f>IF(COUNTIFS([1]Desglose_BOM_Componentes!$B$1566:$B$1581,$A173,[1]Desglose_BOM_Componentes!$AE$1566:$AE$1581,"Sin precio",[1]Desglose_BOM_Componentes!$X$1566:$X$1581,"Formulación")&gt;0,"n.d.",SUMIFS([1]Desglose_BOM_Componentes!$AD$1566:$AD$1581,[1]Desglose_BOM_Componentes!$B$1566:$B$1581,$A173,[1]Desglose_BOM_Componentes!$X$1566:$X$1581,"Formulación"))</f>
        <v>0.6407341666666666</v>
      </c>
      <c r="H173" s="4">
        <f>IF(COUNTIFS([1]Desglose_BOM_Componentes!$B$1566:$B$1581,$A173,[1]Desglose_BOM_Componentes!$AE$1566:$AE$1581,"Sin precio",[1]Desglose_BOM_Componentes!$X$1566:$X$1581,"Empaquetado")&gt;0,"n.d.",SUMIFS([1]Desglose_BOM_Componentes!$AD$1566:$AD$1581,[1]Desglose_BOM_Componentes!$B$1566:$B$1581,$A173,[1]Desglose_BOM_Componentes!$X$1566:$X$1581,"Empaquetado"))</f>
        <v>0.24326489794470366</v>
      </c>
      <c r="I173" s="6">
        <f t="shared" si="13"/>
        <v>0.88819906461137021</v>
      </c>
      <c r="J173" s="1" t="str">
        <f t="shared" si="14"/>
        <v>Completo</v>
      </c>
      <c r="K173" s="1">
        <f>COUNTIFS([1]Desglose_BOM_Componentes!$B$1566:$B$1581,$A173,[1]Desglose_BOM_Componentes!$AE$1566:$AE$1581,"Sin precio")</f>
        <v>0</v>
      </c>
      <c r="L173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174" spans="1:12" ht="22" customHeight="1">
      <c r="A174" s="1" t="s">
        <v>204</v>
      </c>
      <c r="B174" s="1" t="s">
        <v>18</v>
      </c>
      <c r="C174" s="1" t="s">
        <v>19</v>
      </c>
      <c r="D174" s="4">
        <f>IF(COUNTIFS([1]Desglose_BOM_Componentes!$B$1582:$B$1597,$A174,[1]Desglose_BOM_Componentes!$AE$1582:$AE$1597,"Sin precio",[1]Desglose_BOM_Componentes!$X$1582:$X$1597,"Formulación")&gt;0,"n.d.",SUMIFS([1]Desglose_BOM_Componentes!$AC$1582:$AC$1597,[1]Desglose_BOM_Componentes!$B$1582:$B$1597,$A174,[1]Desglose_BOM_Componentes!$X$1582:$X$1597,"Formulación"))</f>
        <v>0.73112799999999989</v>
      </c>
      <c r="E174" s="4">
        <f>IF(COUNTIFS([1]Desglose_BOM_Componentes!$B$1582:$B$1597,$A174,[1]Desglose_BOM_Componentes!$AE$1582:$AE$1597,"Sin precio",[1]Desglose_BOM_Componentes!$X$1582:$X$1597,"Empaquetado")&gt;0,"n.d.",SUMIFS([1]Desglose_BOM_Componentes!$AC$1582:$AC$1597,[1]Desglose_BOM_Componentes!$B$1582:$B$1597,$A174,[1]Desglose_BOM_Componentes!$X$1582:$X$1597,"Empaquetado"))</f>
        <v>0.24326489794470366</v>
      </c>
      <c r="F174" s="6">
        <f t="shared" si="12"/>
        <v>0.9785928979447035</v>
      </c>
      <c r="G174" s="4">
        <f>IF(COUNTIFS([1]Desglose_BOM_Componentes!$B$1582:$B$1597,$A174,[1]Desglose_BOM_Componentes!$AE$1582:$AE$1597,"Sin precio",[1]Desglose_BOM_Componentes!$X$1582:$X$1597,"Formulación")&gt;0,"n.d.",SUMIFS([1]Desglose_BOM_Componentes!$AD$1582:$AD$1597,[1]Desglose_BOM_Componentes!$B$1582:$B$1597,$A174,[1]Desglose_BOM_Componentes!$X$1582:$X$1597,"Formulación"))</f>
        <v>0.6407341666666666</v>
      </c>
      <c r="H174" s="4">
        <f>IF(COUNTIFS([1]Desglose_BOM_Componentes!$B$1582:$B$1597,$A174,[1]Desglose_BOM_Componentes!$AE$1582:$AE$1597,"Sin precio",[1]Desglose_BOM_Componentes!$X$1582:$X$1597,"Empaquetado")&gt;0,"n.d.",SUMIFS([1]Desglose_BOM_Componentes!$AD$1582:$AD$1597,[1]Desglose_BOM_Componentes!$B$1582:$B$1597,$A174,[1]Desglose_BOM_Componentes!$X$1582:$X$1597,"Empaquetado"))</f>
        <v>0.24326489794470366</v>
      </c>
      <c r="I174" s="6">
        <f t="shared" si="13"/>
        <v>0.88819906461137021</v>
      </c>
      <c r="J174" s="1" t="str">
        <f t="shared" si="14"/>
        <v>Completo</v>
      </c>
      <c r="K174" s="1">
        <f>COUNTIFS([1]Desglose_BOM_Componentes!$B$1582:$B$1597,$A174,[1]Desglose_BOM_Componentes!$AE$1582:$AE$1597,"Sin precio")</f>
        <v>0</v>
      </c>
      <c r="L174" s="1" t="str">
        <f>IF('[1]Precios componentes'!D27="Sin precio","BOR; ","")&amp;IF('[1]Precios componentes'!D112="Sin precio","NMGL; ","")&amp;IF('[1]Precios componentes'!D124="Sin precio","SAC; ","")&amp;IF('[1]Precios componentes'!D111="Sin precio","NCAL; ","")&amp;IF('[1]Precios componentes'!D155="Sin precio","UREL; ","")&amp;IF('[1]Precios componentes'!D106="Sin precio","MEA; ","")&amp;IF('[1]Precios componentes'!D110="Sin precio","NCA; ","")&amp;IF('[1]Precios componentes'!D80="Sin precio","GLI; ","")&amp;IF('[1]Precios componentes'!D93="Sin precio","KF78; ","")&amp;IF('[1]Precios componentes'!D14="Sin precio","ANTI; ","")&amp;IF('[1]Precios componentes'!D51="Sin precio","D55;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175" spans="1:12" ht="22" customHeight="1">
      <c r="A175" s="1" t="s">
        <v>205</v>
      </c>
      <c r="B175" s="1" t="s">
        <v>18</v>
      </c>
      <c r="C175" s="1" t="s">
        <v>169</v>
      </c>
      <c r="D175" s="4">
        <f>IF(COUNTIFS([1]Desglose_BOM_Componentes!$B$1671:$B$1681,$A175,[1]Desglose_BOM_Componentes!$AE$1671:$AE$1681,"Sin precio",[1]Desglose_BOM_Componentes!$X$1671:$X$1681,"Formulación")&gt;0,"n.d.",SUMIFS([1]Desglose_BOM_Componentes!$AC$1671:$AC$1681,[1]Desglose_BOM_Componentes!$B$1671:$B$1681,$A175,[1]Desglose_BOM_Componentes!$X$1671:$X$1681,"Formulación"))</f>
        <v>0.59743250000000003</v>
      </c>
      <c r="E175" s="4">
        <f>IF(COUNTIFS([1]Desglose_BOM_Componentes!$B$1671:$B$1681,$A175,[1]Desglose_BOM_Componentes!$AE$1671:$AE$1681,"Sin precio",[1]Desglose_BOM_Componentes!$X$1671:$X$1681,"Empaquetado")&gt;0,"n.d.",SUMIFS([1]Desglose_BOM_Componentes!$AC$1671:$AC$1681,[1]Desglose_BOM_Componentes!$B$1671:$B$1681,$A175,[1]Desglose_BOM_Componentes!$X$1671:$X$1681,"Empaquetado"))</f>
        <v>0.22124279040404038</v>
      </c>
      <c r="F175" s="6">
        <f t="shared" si="12"/>
        <v>0.82287529040404039</v>
      </c>
      <c r="G175" s="4">
        <f>IF(COUNTIFS([1]Desglose_BOM_Componentes!$B$1671:$B$1681,$A175,[1]Desglose_BOM_Componentes!$AE$1671:$AE$1681,"Sin precio",[1]Desglose_BOM_Componentes!$X$1671:$X$1681,"Formulación")&gt;0,"n.d.",SUMIFS([1]Desglose_BOM_Componentes!$AD$1671:$AD$1681,[1]Desglose_BOM_Componentes!$B$1671:$B$1681,$A175,[1]Desglose_BOM_Componentes!$X$1671:$X$1681,"Formulación"))</f>
        <v>0.58460535714285711</v>
      </c>
      <c r="H175" s="4">
        <f>IF(COUNTIFS([1]Desglose_BOM_Componentes!$B$1671:$B$1681,$A175,[1]Desglose_BOM_Componentes!$AE$1671:$AE$1681,"Sin precio",[1]Desglose_BOM_Componentes!$X$1671:$X$1681,"Empaquetado")&gt;0,"n.d.",SUMIFS([1]Desglose_BOM_Componentes!$AD$1671:$AD$1681,[1]Desglose_BOM_Componentes!$B$1671:$B$1681,$A175,[1]Desglose_BOM_Componentes!$X$1671:$X$1681,"Empaquetado"))</f>
        <v>0.22124279040404038</v>
      </c>
      <c r="I175" s="6">
        <f t="shared" si="13"/>
        <v>0.81004814754689747</v>
      </c>
      <c r="J175" s="1" t="str">
        <f t="shared" si="14"/>
        <v>Completo</v>
      </c>
      <c r="K175" s="1">
        <f>COUNTIFS([1]Desglose_BOM_Componentes!$B$1671:$B$1681,$A175,[1]Desglose_BOM_Componentes!$AE$1671:$AE$1681,"Sin precio")</f>
        <v>0</v>
      </c>
      <c r="L175" s="1" t="str">
        <f>IF('[1]Precios componentes'!D93="Sin precio","KF78; ","")&amp;IF('[1]Precios componentes'!D42="Sin precio","CLCAL; ","")&amp;IF('[1]Precios componentes'!D127="Sin precio","SBT70; ","")&amp;IF('[1]Precios componentes'!D80="Sin precio","GLI; ","")&amp;IF('[1]Precios componentes'!D48="Sin precio","CTRE0020; ","")&amp;IF('[1]Precios componentes'!D81="Sin precio","GLINA; ","")&amp;IF('[1]Precios componentes'!D136="Sin precio","SOBRE 20L; ","")&amp;IF('[1]Precios componentes'!D115="Sin precio","PAL; ","")&amp;IF('[1]Precios componentes'!D67="Sin precio","ETQBAYCA; ","")&amp;IF('[1]Precios componentes'!D147="Sin precio","TPD61IV; ","")&amp;IF('[1]Precios componentes'!D61="Sin precio","ENV20; ","")</f>
        <v/>
      </c>
    </row>
    <row r="176" spans="1:12" ht="22" customHeight="1">
      <c r="A176" s="1" t="s">
        <v>206</v>
      </c>
      <c r="B176" s="1" t="s">
        <v>68</v>
      </c>
      <c r="C176" s="1" t="s">
        <v>99</v>
      </c>
      <c r="D176" s="4">
        <f>IF(COUNTIFS([1]Desglose_BOM_Componentes!$B$1682:$B$1691,$A176,[1]Desglose_BOM_Componentes!$AE$1682:$AE$1691,"Sin precio",[1]Desglose_BOM_Componentes!$X$1682:$X$1691,"Formulación")&gt;0,"n.d.",SUMIFS([1]Desglose_BOM_Componentes!$AC$1682:$AC$1691,[1]Desglose_BOM_Componentes!$B$1682:$B$1691,$A176,[1]Desglose_BOM_Componentes!$X$1682:$X$1691,"Formulación"))</f>
        <v>1.2431950000000001</v>
      </c>
      <c r="E176" s="4">
        <f>IF(COUNTIFS([1]Desglose_BOM_Componentes!$B$1682:$B$1691,$A176,[1]Desglose_BOM_Componentes!$AE$1682:$AE$1691,"Sin precio",[1]Desglose_BOM_Componentes!$X$1682:$X$1691,"Empaquetado")&gt;0,"n.d.",SUMIFS([1]Desglose_BOM_Componentes!$AC$1682:$AC$1691,[1]Desglose_BOM_Componentes!$B$1682:$B$1691,$A176,[1]Desglose_BOM_Componentes!$X$1682:$X$1691,"Empaquetado"))</f>
        <v>0.10354733439422743</v>
      </c>
      <c r="F176" s="6">
        <f>IF(K176&gt;0,"n.d.",SUM(D176:E176))</f>
        <v>1.3467423343942275</v>
      </c>
      <c r="G176" s="4">
        <f>IF(COUNTIFS([1]Desglose_BOM_Componentes!$B$1682:$B$1691,$A176,[1]Desglose_BOM_Componentes!$AE$1682:$AE$1691,"Sin precio",[1]Desglose_BOM_Componentes!$X$1682:$X$1691,"Formulación")&gt;0,"n.d.",SUMIFS([1]Desglose_BOM_Componentes!$AD$1682:$AD$1691,[1]Desglose_BOM_Componentes!$B$1682:$B$1691,$A176,[1]Desglose_BOM_Componentes!$X$1682:$X$1691,"Formulación"))</f>
        <v>0.94257466666666645</v>
      </c>
      <c r="H176" s="4">
        <f>IF(COUNTIFS([1]Desglose_BOM_Componentes!$B$1682:$B$1691,$A176,[1]Desglose_BOM_Componentes!$AE$1682:$AE$1691,"Sin precio",[1]Desglose_BOM_Componentes!$X$1682:$X$1691,"Empaquetado")&gt;0,"n.d.",SUMIFS([1]Desglose_BOM_Componentes!$AD$1682:$AD$1691,[1]Desglose_BOM_Componentes!$B$1682:$B$1691,$A176,[1]Desglose_BOM_Componentes!$X$1682:$X$1691,"Empaquetado"))</f>
        <v>0.10354733439422743</v>
      </c>
      <c r="I176" s="6">
        <f>IF(K176&gt;0,"n.d.",SUM(G176:H176))</f>
        <v>1.0461220010608938</v>
      </c>
      <c r="J176" s="1" t="str">
        <f t="shared" si="14"/>
        <v>Completo</v>
      </c>
      <c r="K176" s="1">
        <f>COUNTIFS([1]Desglose_BOM_Componentes!$B$1682:$B$1691,$A176,[1]Desglose_BOM_Componentes!$AE$1682:$AE$1691,"Sin precio")</f>
        <v>0</v>
      </c>
      <c r="L176" s="1" t="str">
        <f>IF('[1]Precios componentes'!D80="Sin precio","GLI; ","")&amp;IF('[1]Precios componentes'!D74="Sin precio","FOCA; ","")&amp;IF('[1]Precios componentes'!D27="Sin precio","BOR; ","")&amp;IF('[1]Precios componentes'!D10="Sin precio","ADI; ","")&amp;IF('[1]Precios componentes'!D53="Sin precio","EBRO;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177" spans="1:12" ht="22" customHeight="1">
      <c r="A177" s="1" t="s">
        <v>207</v>
      </c>
      <c r="B177" s="1" t="s">
        <v>68</v>
      </c>
      <c r="C177" s="1" t="s">
        <v>24</v>
      </c>
      <c r="D177" s="4">
        <f>IF(COUNTIFS([1]Desglose_BOM_Componentes!$B$1692:$B$1701,$A177,[1]Desglose_BOM_Componentes!$AE$1692:$AE$1701,"Sin precio",[1]Desglose_BOM_Componentes!$X$1692:$X$1701,"Formulación")&gt;0,"n.d.",SUMIFS([1]Desglose_BOM_Componentes!$AC$1692:$AC$1701,[1]Desglose_BOM_Componentes!$B$1692:$B$1701,$A177,[1]Desglose_BOM_Componentes!$X$1692:$X$1701,"Formulación"))</f>
        <v>1.2431950000000001</v>
      </c>
      <c r="E177" s="4">
        <f>IF(COUNTIFS([1]Desglose_BOM_Componentes!$B$1692:$B$1701,$A177,[1]Desglose_BOM_Componentes!$AE$1692:$AE$1701,"Sin precio",[1]Desglose_BOM_Componentes!$X$1692:$X$1701,"Empaquetado")&gt;0,"n.d.",SUMIFS([1]Desglose_BOM_Componentes!$AC$1692:$AC$1701,[1]Desglose_BOM_Componentes!$B$1692:$B$1701,$A177,[1]Desglose_BOM_Componentes!$X$1692:$X$1701,"Empaquetado"))</f>
        <v>8.7293112195682837E-2</v>
      </c>
      <c r="F177" s="6">
        <f>IF(K177&gt;0,"n.d.",SUM(D177:E177))</f>
        <v>1.3304881121956829</v>
      </c>
      <c r="G177" s="4">
        <f>IF(COUNTIFS([1]Desglose_BOM_Componentes!$B$1692:$B$1701,$A177,[1]Desglose_BOM_Componentes!$AE$1692:$AE$1701,"Sin precio",[1]Desglose_BOM_Componentes!$X$1692:$X$1701,"Formulación")&gt;0,"n.d.",SUMIFS([1]Desglose_BOM_Componentes!$AD$1692:$AD$1701,[1]Desglose_BOM_Componentes!$B$1692:$B$1701,$A177,[1]Desglose_BOM_Componentes!$X$1692:$X$1701,"Formulación"))</f>
        <v>0.94257466666666645</v>
      </c>
      <c r="H177" s="4">
        <f>IF(COUNTIFS([1]Desglose_BOM_Componentes!$B$1692:$B$1701,$A177,[1]Desglose_BOM_Componentes!$AE$1692:$AE$1701,"Sin precio",[1]Desglose_BOM_Componentes!$X$1692:$X$1701,"Empaquetado")&gt;0,"n.d.",SUMIFS([1]Desglose_BOM_Componentes!$AD$1692:$AD$1701,[1]Desglose_BOM_Componentes!$B$1692:$B$1701,$A177,[1]Desglose_BOM_Componentes!$X$1692:$X$1701,"Empaquetado"))</f>
        <v>8.7293112195682837E-2</v>
      </c>
      <c r="I177" s="6">
        <f>IF(K177&gt;0,"n.d.",SUM(G177:H177))</f>
        <v>1.0298677788623494</v>
      </c>
      <c r="J177" s="1" t="str">
        <f t="shared" si="14"/>
        <v>Completo</v>
      </c>
      <c r="K177" s="1">
        <f>COUNTIFS([1]Desglose_BOM_Componentes!$B$1692:$B$1701,$A177,[1]Desglose_BOM_Componentes!$AE$1692:$AE$1701,"Sin precio")</f>
        <v>0</v>
      </c>
      <c r="L177" s="1" t="str">
        <f>IF('[1]Precios componentes'!D80="Sin precio","GLI; ","")&amp;IF('[1]Precios componentes'!D74="Sin precio","FOCA; ","")&amp;IF('[1]Precios componentes'!D27="Sin precio","BOR; ","")&amp;IF('[1]Precios componentes'!D10="Sin precio","ADI; ","")&amp;IF('[1]Precios componentes'!D53="Sin precio","EBRO; ","")&amp;IF('[1]Precios componentes'!D135="Sin precio","SOBRE 20 K; ","")&amp;IF('[1]Precios componentes'!D94="Sin precio","KIA220; ","")&amp;IF('[1]Precios componentes'!D99="Sin precio","LAM3; ","")&amp;IF('[1]Precios componentes'!D115="Sin precio","PAL; ","")&amp;IF('[1]Precios componentes'!D34="Sin precio","CAG; ","")</f>
        <v/>
      </c>
    </row>
    <row r="178" spans="1:12" ht="22" customHeight="1">
      <c r="A178" s="1" t="s">
        <v>208</v>
      </c>
      <c r="B178" s="1" t="s">
        <v>18</v>
      </c>
      <c r="C178" s="1" t="s">
        <v>69</v>
      </c>
      <c r="D178" s="4">
        <f>IF(COUNTIFS([1]Desglose_BOM_Componentes!$B$1702:$B$1718,$A178,[1]Desglose_BOM_Componentes!$AE$1702:$AE$1718,"Sin precio",[1]Desglose_BOM_Componentes!$X$1702:$X$1718,"Formulación")&gt;0,"n.d.",SUMIFS([1]Desglose_BOM_Componentes!$AC$1702:$AC$1718,[1]Desglose_BOM_Componentes!$B$1702:$B$1718,$A178,[1]Desglose_BOM_Componentes!$X$1702:$X$1718,"Formulación"))</f>
        <v>1.2688390000000003</v>
      </c>
      <c r="E178" s="4">
        <f>IF(COUNTIFS([1]Desglose_BOM_Componentes!$B$1702:$B$1718,$A178,[1]Desglose_BOM_Componentes!$AE$1702:$AE$1718,"Sin precio",[1]Desglose_BOM_Componentes!$X$1702:$X$1718,"Empaquetado")&gt;0,"n.d.",SUMIFS([1]Desglose_BOM_Componentes!$AC$1702:$AC$1718,[1]Desglose_BOM_Componentes!$B$1702:$B$1718,$A178,[1]Desglose_BOM_Componentes!$X$1702:$X$1718,"Empaquetado"))</f>
        <v>0.75344791441438252</v>
      </c>
      <c r="F178" s="6">
        <f t="shared" ref="F178:F198" si="15">IF(K178&gt;0,"n.d.",SUM(D178:E178)+0.0042)</f>
        <v>2.0264869144143827</v>
      </c>
      <c r="G178" s="4">
        <f>IF(COUNTIFS([1]Desglose_BOM_Componentes!$B$1702:$B$1718,$A178,[1]Desglose_BOM_Componentes!$AE$1702:$AE$1718,"Sin precio",[1]Desglose_BOM_Componentes!$X$1702:$X$1718,"Formulación")&gt;0,"n.d.",SUMIFS([1]Desglose_BOM_Componentes!$AD$1702:$AD$1718,[1]Desglose_BOM_Componentes!$B$1702:$B$1718,$A178,[1]Desglose_BOM_Componentes!$X$1702:$X$1718,"Formulación"))</f>
        <v>1.2446793333333332</v>
      </c>
      <c r="H178" s="4">
        <f>IF(COUNTIFS([1]Desglose_BOM_Componentes!$B$1702:$B$1718,$A178,[1]Desglose_BOM_Componentes!$AE$1702:$AE$1718,"Sin precio",[1]Desglose_BOM_Componentes!$X$1702:$X$1718,"Empaquetado")&gt;0,"n.d.",SUMIFS([1]Desglose_BOM_Componentes!$AD$1702:$AD$1718,[1]Desglose_BOM_Componentes!$B$1702:$B$1718,$A178,[1]Desglose_BOM_Componentes!$X$1702:$X$1718,"Empaquetado"))</f>
        <v>0.75344791441438252</v>
      </c>
      <c r="I178" s="6">
        <f t="shared" ref="I178:I198" si="16">IF(K178&gt;0,"n.d.",SUM(G178:H178)+0.0042)</f>
        <v>2.0023272477477159</v>
      </c>
      <c r="J178" s="1" t="str">
        <f t="shared" si="14"/>
        <v>Completo</v>
      </c>
      <c r="K178" s="1">
        <f>COUNTIFS([1]Desglose_BOM_Componentes!$B$1702:$B$1718,$A178,[1]Desglose_BOM_Componentes!$AE$1702:$AE$1718,"Sin precio")</f>
        <v>0</v>
      </c>
      <c r="L178" s="1" t="str">
        <f>IF('[1]Precios componentes'!D93="Sin precio","KF78; ","")&amp;IF('[1]Precios componentes'!D140="Sin precio","SPR; ","")&amp;IF('[1]Precios componentes'!D121="Sin precio","RAD; ","")&amp;IF('[1]Precios componentes'!D27="Sin precio","BOR; ","")&amp;IF('[1]Precios componentes'!D112="Sin precio","NMGL; ","")&amp;IF('[1]Precios componentes'!D8="Sin precio","ACE; ","")&amp;IF('[1]Precios componentes'!D12="Sin precio","AMARILLO; ","")&amp;IF('[1]Precios componentes'!D122="Sin precio","ROJ; ","")&amp;IF('[1]Precios componentes'!D24="Sin precio","BET; ","")&amp;IF('[1]Precios componentes'!D39="Sin precio","CCA2; ","")&amp;IF('[1]Precios componentes'!D111="Sin precio","NCAL;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79" spans="1:12" ht="22" customHeight="1">
      <c r="A179" s="1" t="s">
        <v>209</v>
      </c>
      <c r="B179" s="1" t="s">
        <v>18</v>
      </c>
      <c r="C179" s="1" t="s">
        <v>24</v>
      </c>
      <c r="D179" s="4">
        <f>IF(COUNTIFS([1]Desglose_BOM_Componentes!$B$1719:$B$1735,$A179,[1]Desglose_BOM_Componentes!$AE$1719:$AE$1735,"Sin precio",[1]Desglose_BOM_Componentes!$X$1719:$X$1735,"Formulación")&gt;0,"n.d.",SUMIFS([1]Desglose_BOM_Componentes!$AC$1719:$AC$1735,[1]Desglose_BOM_Componentes!$B$1719:$B$1735,$A179,[1]Desglose_BOM_Componentes!$X$1719:$X$1735,"Formulación"))</f>
        <v>1.2688390000000003</v>
      </c>
      <c r="E179" s="4">
        <f>IF(COUNTIFS([1]Desglose_BOM_Componentes!$B$1719:$B$1735,$A179,[1]Desglose_BOM_Componentes!$AE$1719:$AE$1735,"Sin precio",[1]Desglose_BOM_Componentes!$X$1719:$X$1735,"Empaquetado")&gt;0,"n.d.",SUMIFS([1]Desglose_BOM_Componentes!$AC$1719:$AC$1735,[1]Desglose_BOM_Componentes!$B$1719:$B$1735,$A179,[1]Desglose_BOM_Componentes!$X$1719:$X$1735,"Empaquetado"))</f>
        <v>0.32969717071017562</v>
      </c>
      <c r="F179" s="6">
        <f t="shared" si="15"/>
        <v>1.6027361707101759</v>
      </c>
      <c r="G179" s="4">
        <f>IF(COUNTIFS([1]Desglose_BOM_Componentes!$B$1719:$B$1735,$A179,[1]Desglose_BOM_Componentes!$AE$1719:$AE$1735,"Sin precio",[1]Desglose_BOM_Componentes!$X$1719:$X$1735,"Formulación")&gt;0,"n.d.",SUMIFS([1]Desglose_BOM_Componentes!$AD$1719:$AD$1735,[1]Desglose_BOM_Componentes!$B$1719:$B$1735,$A179,[1]Desglose_BOM_Componentes!$X$1719:$X$1735,"Formulación"))</f>
        <v>1.2446793333333332</v>
      </c>
      <c r="H179" s="4">
        <f>IF(COUNTIFS([1]Desglose_BOM_Componentes!$B$1719:$B$1735,$A179,[1]Desglose_BOM_Componentes!$AE$1719:$AE$1735,"Sin precio",[1]Desglose_BOM_Componentes!$X$1719:$X$1735,"Empaquetado")&gt;0,"n.d.",SUMIFS([1]Desglose_BOM_Componentes!$AD$1719:$AD$1735,[1]Desglose_BOM_Componentes!$B$1719:$B$1735,$A179,[1]Desglose_BOM_Componentes!$X$1719:$X$1735,"Empaquetado"))</f>
        <v>0.32969717071017562</v>
      </c>
      <c r="I179" s="6">
        <f t="shared" si="16"/>
        <v>1.5785765040435089</v>
      </c>
      <c r="J179" s="1" t="str">
        <f t="shared" si="14"/>
        <v>Completo</v>
      </c>
      <c r="K179" s="1">
        <f>COUNTIFS([1]Desglose_BOM_Componentes!$B$1719:$B$1735,$A179,[1]Desglose_BOM_Componentes!$AE$1719:$AE$1735,"Sin precio")</f>
        <v>0</v>
      </c>
      <c r="L179" s="1" t="str">
        <f>IF('[1]Precios componentes'!D93="Sin precio","KF78; ","")&amp;IF('[1]Precios componentes'!D140="Sin precio","SPR; ","")&amp;IF('[1]Precios componentes'!D121="Sin precio","RAD; ","")&amp;IF('[1]Precios componentes'!D27="Sin precio","BOR; ","")&amp;IF('[1]Precios componentes'!D112="Sin precio","NMGL; ","")&amp;IF('[1]Precios componentes'!D8="Sin precio","ACE; ","")&amp;IF('[1]Precios componentes'!D12="Sin precio","AMARILLO; ","")&amp;IF('[1]Precios componentes'!D122="Sin precio","ROJ; ","")&amp;IF('[1]Precios componentes'!D24="Sin precio","BET; ","")&amp;IF('[1]Precios componentes'!D39="Sin precio","CCA2; ","")&amp;IF('[1]Precios componentes'!D111="Sin precio","NCAL; ","")&amp;IF('[1]Precios componentes'!D137="Sin precio","SOBRE 5L; ","")&amp;IF('[1]Precios componentes'!D115="Sin precio","PAL; ","")&amp;IF('[1]Precios componentes'!D94="Sin precio","KIA220; ","")&amp;IF('[1]Precios componentes'!D63="Sin precio","ENV5220G; ","")&amp;IF('[1]Precios componentes'!D151="Sin precio","TPD63VS; ","")&amp;IF('[1]Precios componentes'!D34="Sin precio","CAG; ","")</f>
        <v/>
      </c>
    </row>
    <row r="180" spans="1:12" ht="22" customHeight="1">
      <c r="A180" s="1" t="s">
        <v>210</v>
      </c>
      <c r="B180" s="1" t="s">
        <v>18</v>
      </c>
      <c r="C180" s="1" t="s">
        <v>24</v>
      </c>
      <c r="D180" s="4">
        <f>IF(COUNTIFS([1]Desglose_BOM_Componentes!$B$1736:$B$1751,$A180,[1]Desglose_BOM_Componentes!$AE$1736:$AE$1751,"Sin precio",[1]Desglose_BOM_Componentes!$X$1736:$X$1751,"Formulación")&gt;0,"n.d.",SUMIFS([1]Desglose_BOM_Componentes!$AC$1736:$AC$1751,[1]Desglose_BOM_Componentes!$B$1736:$B$1751,$A180,[1]Desglose_BOM_Componentes!$X$1736:$X$1751,"Formulación"))</f>
        <v>1.2688390000000003</v>
      </c>
      <c r="E180" s="4">
        <f>IF(COUNTIFS([1]Desglose_BOM_Componentes!$B$1736:$B$1751,$A180,[1]Desglose_BOM_Componentes!$AE$1736:$AE$1751,"Sin precio",[1]Desglose_BOM_Componentes!$X$1736:$X$1751,"Empaquetado")&gt;0,"n.d.",SUMIFS([1]Desglose_BOM_Componentes!$AC$1736:$AC$1751,[1]Desglose_BOM_Componentes!$B$1736:$B$1751,$A180,[1]Desglose_BOM_Componentes!$X$1736:$X$1751,"Empaquetado"))</f>
        <v>0.24326489794470366</v>
      </c>
      <c r="F180" s="6">
        <f t="shared" si="15"/>
        <v>1.5163038979447039</v>
      </c>
      <c r="G180" s="4">
        <f>IF(COUNTIFS([1]Desglose_BOM_Componentes!$B$1736:$B$1751,$A180,[1]Desglose_BOM_Componentes!$AE$1736:$AE$1751,"Sin precio",[1]Desglose_BOM_Componentes!$X$1736:$X$1751,"Formulación")&gt;0,"n.d.",SUMIFS([1]Desglose_BOM_Componentes!$AD$1736:$AD$1751,[1]Desglose_BOM_Componentes!$B$1736:$B$1751,$A180,[1]Desglose_BOM_Componentes!$X$1736:$X$1751,"Formulación"))</f>
        <v>1.2446793333333332</v>
      </c>
      <c r="H180" s="4">
        <f>IF(COUNTIFS([1]Desglose_BOM_Componentes!$B$1736:$B$1751,$A180,[1]Desglose_BOM_Componentes!$AE$1736:$AE$1751,"Sin precio",[1]Desglose_BOM_Componentes!$X$1736:$X$1751,"Empaquetado")&gt;0,"n.d.",SUMIFS([1]Desglose_BOM_Componentes!$AD$1736:$AD$1751,[1]Desglose_BOM_Componentes!$B$1736:$B$1751,$A180,[1]Desglose_BOM_Componentes!$X$1736:$X$1751,"Empaquetado"))</f>
        <v>0.24326489794470366</v>
      </c>
      <c r="I180" s="6">
        <f t="shared" si="16"/>
        <v>1.4921442312780369</v>
      </c>
      <c r="J180" s="1" t="str">
        <f t="shared" si="14"/>
        <v>Completo</v>
      </c>
      <c r="K180" s="1">
        <f>COUNTIFS([1]Desglose_BOM_Componentes!$B$1736:$B$1751,$A180,[1]Desglose_BOM_Componentes!$AE$1736:$AE$1751,"Sin precio")</f>
        <v>0</v>
      </c>
      <c r="L180" s="1" t="str">
        <f>IF('[1]Precios componentes'!D93="Sin precio","KF78; ","")&amp;IF('[1]Precios componentes'!D140="Sin precio","SPR; ","")&amp;IF('[1]Precios componentes'!D121="Sin precio","RAD; ","")&amp;IF('[1]Precios componentes'!D27="Sin precio","BOR; ","")&amp;IF('[1]Precios componentes'!D112="Sin precio","NMGL; ","")&amp;IF('[1]Precios componentes'!D8="Sin precio","ACE; ","")&amp;IF('[1]Precios componentes'!D12="Sin precio","AMARILLO; ","")&amp;IF('[1]Precios componentes'!D122="Sin precio","ROJ; ","")&amp;IF('[1]Precios componentes'!D24="Sin precio","BET; ","")&amp;IF('[1]Precios componentes'!D39="Sin precio","CCA2; ","")&amp;IF('[1]Precios componentes'!D111="Sin precio","NCAL;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181" spans="1:12" ht="22" customHeight="1">
      <c r="A181" s="1" t="s">
        <v>211</v>
      </c>
      <c r="B181" s="1" t="s">
        <v>18</v>
      </c>
      <c r="C181" s="1" t="s">
        <v>84</v>
      </c>
      <c r="D181" s="4">
        <f>IF(COUNTIFS([1]Desglose_BOM_Componentes!$B$1752:$B$1767,$A181,[1]Desglose_BOM_Componentes!$AE$1752:$AE$1767,"Sin precio",[1]Desglose_BOM_Componentes!$X$1752:$X$1767,"Formulación")&gt;0,"n.d.",SUMIFS([1]Desglose_BOM_Componentes!$AC$1752:$AC$1767,[1]Desglose_BOM_Componentes!$B$1752:$B$1767,$A181,[1]Desglose_BOM_Componentes!$X$1752:$X$1767,"Formulación"))</f>
        <v>1.2688390000000003</v>
      </c>
      <c r="E181" s="4">
        <f>IF(COUNTIFS([1]Desglose_BOM_Componentes!$B$1752:$B$1767,$A181,[1]Desglose_BOM_Componentes!$AE$1752:$AE$1767,"Sin precio",[1]Desglose_BOM_Componentes!$X$1752:$X$1767,"Empaquetado")&gt;0,"n.d.",SUMIFS([1]Desglose_BOM_Componentes!$AC$1752:$AC$1767,[1]Desglose_BOM_Componentes!$B$1752:$B$1767,$A181,[1]Desglose_BOM_Componentes!$X$1752:$X$1767,"Empaquetado"))</f>
        <v>0.24326489794470366</v>
      </c>
      <c r="F181" s="6">
        <f t="shared" si="15"/>
        <v>1.5163038979447039</v>
      </c>
      <c r="G181" s="4">
        <f>IF(COUNTIFS([1]Desglose_BOM_Componentes!$B$1752:$B$1767,$A181,[1]Desglose_BOM_Componentes!$AE$1752:$AE$1767,"Sin precio",[1]Desglose_BOM_Componentes!$X$1752:$X$1767,"Formulación")&gt;0,"n.d.",SUMIFS([1]Desglose_BOM_Componentes!$AD$1752:$AD$1767,[1]Desglose_BOM_Componentes!$B$1752:$B$1767,$A181,[1]Desglose_BOM_Componentes!$X$1752:$X$1767,"Formulación"))</f>
        <v>1.2446793333333332</v>
      </c>
      <c r="H181" s="4">
        <f>IF(COUNTIFS([1]Desglose_BOM_Componentes!$B$1752:$B$1767,$A181,[1]Desglose_BOM_Componentes!$AE$1752:$AE$1767,"Sin precio",[1]Desglose_BOM_Componentes!$X$1752:$X$1767,"Empaquetado")&gt;0,"n.d.",SUMIFS([1]Desglose_BOM_Componentes!$AD$1752:$AD$1767,[1]Desglose_BOM_Componentes!$B$1752:$B$1767,$A181,[1]Desglose_BOM_Componentes!$X$1752:$X$1767,"Empaquetado"))</f>
        <v>0.24326489794470366</v>
      </c>
      <c r="I181" s="6">
        <f t="shared" si="16"/>
        <v>1.4921442312780369</v>
      </c>
      <c r="J181" s="1" t="str">
        <f t="shared" si="14"/>
        <v>Completo</v>
      </c>
      <c r="K181" s="1">
        <f>COUNTIFS([1]Desglose_BOM_Componentes!$B$1752:$B$1767,$A181,[1]Desglose_BOM_Componentes!$AE$1752:$AE$1767,"Sin precio")</f>
        <v>0</v>
      </c>
      <c r="L181" s="1" t="str">
        <f>IF('[1]Precios componentes'!D93="Sin precio","KF78; ","")&amp;IF('[1]Precios componentes'!D140="Sin precio","SPR; ","")&amp;IF('[1]Precios componentes'!D121="Sin precio","RAD; ","")&amp;IF('[1]Precios componentes'!D27="Sin precio","BOR; ","")&amp;IF('[1]Precios componentes'!D112="Sin precio","NMGL; ","")&amp;IF('[1]Precios componentes'!D8="Sin precio","ACE; ","")&amp;IF('[1]Precios componentes'!D12="Sin precio","AMARILLO; ","")&amp;IF('[1]Precios componentes'!D122="Sin precio","ROJ; ","")&amp;IF('[1]Precios componentes'!D24="Sin precio","BET; ","")&amp;IF('[1]Precios componentes'!D39="Sin precio","CCA2; ","")&amp;IF('[1]Precios componentes'!D111="Sin precio","NCAL;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182" spans="1:12" ht="22" customHeight="1">
      <c r="A182" s="1" t="s">
        <v>212</v>
      </c>
      <c r="B182" s="1" t="s">
        <v>18</v>
      </c>
      <c r="C182" s="1" t="s">
        <v>69</v>
      </c>
      <c r="D182" s="4">
        <f>IF(COUNTIFS([1]Desglose_BOM_Componentes!$B$1768:$B$1781,$A182,[1]Desglose_BOM_Componentes!$AE$1768:$AE$1781,"Sin precio",[1]Desglose_BOM_Componentes!$X$1768:$X$1781,"Formulación")&gt;0,"n.d.",SUMIFS([1]Desglose_BOM_Componentes!$AC$1768:$AC$1781,[1]Desglose_BOM_Componentes!$B$1768:$B$1781,$A182,[1]Desglose_BOM_Componentes!$X$1768:$X$1781,"Formulación"))</f>
        <v>0.6833972727272728</v>
      </c>
      <c r="E182" s="4">
        <f>IF(COUNTIFS([1]Desglose_BOM_Componentes!$B$1768:$B$1781,$A182,[1]Desglose_BOM_Componentes!$AE$1768:$AE$1781,"Sin precio",[1]Desglose_BOM_Componentes!$X$1768:$X$1781,"Empaquetado")&gt;0,"n.d.",SUMIFS([1]Desglose_BOM_Componentes!$AC$1768:$AC$1781,[1]Desglose_BOM_Componentes!$B$1768:$B$1781,$A182,[1]Desglose_BOM_Componentes!$X$1768:$X$1781,"Empaquetado"))</f>
        <v>0.75344791441438252</v>
      </c>
      <c r="F182" s="6">
        <f t="shared" si="15"/>
        <v>1.4410451871416554</v>
      </c>
      <c r="G182" s="4">
        <f>IF(COUNTIFS([1]Desglose_BOM_Componentes!$B$1768:$B$1781,$A182,[1]Desglose_BOM_Componentes!$AE$1768:$AE$1781,"Sin precio",[1]Desglose_BOM_Componentes!$X$1768:$X$1781,"Formulación")&gt;0,"n.d.",SUMIFS([1]Desglose_BOM_Componentes!$AD$1768:$AD$1781,[1]Desglose_BOM_Componentes!$B$1768:$B$1781,$A182,[1]Desglose_BOM_Componentes!$X$1768:$X$1781,"Formulación"))</f>
        <v>0.58563708225108235</v>
      </c>
      <c r="H182" s="4">
        <f>IF(COUNTIFS([1]Desglose_BOM_Componentes!$B$1768:$B$1781,$A182,[1]Desglose_BOM_Componentes!$AE$1768:$AE$1781,"Sin precio",[1]Desglose_BOM_Componentes!$X$1768:$X$1781,"Empaquetado")&gt;0,"n.d.",SUMIFS([1]Desglose_BOM_Componentes!$AD$1768:$AD$1781,[1]Desglose_BOM_Componentes!$B$1768:$B$1781,$A182,[1]Desglose_BOM_Componentes!$X$1768:$X$1781,"Empaquetado"))</f>
        <v>0.75344791441438252</v>
      </c>
      <c r="I182" s="6">
        <f t="shared" si="16"/>
        <v>1.343284996665465</v>
      </c>
      <c r="J182" s="1" t="str">
        <f t="shared" si="14"/>
        <v>Completo</v>
      </c>
      <c r="K182" s="1">
        <f>COUNTIFS([1]Desglose_BOM_Componentes!$B$1768:$B$1781,$A182,[1]Desglose_BOM_Componentes!$AE$1768:$AE$1781,"Sin precio")</f>
        <v>0</v>
      </c>
      <c r="L182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83" spans="1:12" ht="22" customHeight="1">
      <c r="A183" s="1" t="s">
        <v>213</v>
      </c>
      <c r="B183" s="1" t="s">
        <v>18</v>
      </c>
      <c r="C183" s="1" t="s">
        <v>81</v>
      </c>
      <c r="D183" s="4">
        <f>IF(COUNTIFS([1]Desglose_BOM_Componentes!$B$1782:$B$1795,$A183,[1]Desglose_BOM_Componentes!$AE$1782:$AE$1795,"Sin precio",[1]Desglose_BOM_Componentes!$X$1782:$X$1795,"Formulación")&gt;0,"n.d.",SUMIFS([1]Desglose_BOM_Componentes!$AC$1782:$AC$1795,[1]Desglose_BOM_Componentes!$B$1782:$B$1795,$A183,[1]Desglose_BOM_Componentes!$X$1782:$X$1795,"Formulación"))</f>
        <v>0.6833972727272728</v>
      </c>
      <c r="E183" s="4">
        <f>IF(COUNTIFS([1]Desglose_BOM_Componentes!$B$1782:$B$1795,$A183,[1]Desglose_BOM_Componentes!$AE$1782:$AE$1795,"Sin precio",[1]Desglose_BOM_Componentes!$X$1782:$X$1795,"Empaquetado")&gt;0,"n.d.",SUMIFS([1]Desglose_BOM_Componentes!$AC$1782:$AC$1795,[1]Desglose_BOM_Componentes!$B$1782:$B$1795,$A183,[1]Desglose_BOM_Componentes!$X$1782:$X$1795,"Empaquetado"))</f>
        <v>0.75344791441438252</v>
      </c>
      <c r="F183" s="6">
        <f t="shared" si="15"/>
        <v>1.4410451871416554</v>
      </c>
      <c r="G183" s="4">
        <f>IF(COUNTIFS([1]Desglose_BOM_Componentes!$B$1782:$B$1795,$A183,[1]Desglose_BOM_Componentes!$AE$1782:$AE$1795,"Sin precio",[1]Desglose_BOM_Componentes!$X$1782:$X$1795,"Formulación")&gt;0,"n.d.",SUMIFS([1]Desglose_BOM_Componentes!$AD$1782:$AD$1795,[1]Desglose_BOM_Componentes!$B$1782:$B$1795,$A183,[1]Desglose_BOM_Componentes!$X$1782:$X$1795,"Formulación"))</f>
        <v>0.58563708225108235</v>
      </c>
      <c r="H183" s="4">
        <f>IF(COUNTIFS([1]Desglose_BOM_Componentes!$B$1782:$B$1795,$A183,[1]Desglose_BOM_Componentes!$AE$1782:$AE$1795,"Sin precio",[1]Desglose_BOM_Componentes!$X$1782:$X$1795,"Empaquetado")&gt;0,"n.d.",SUMIFS([1]Desglose_BOM_Componentes!$AD$1782:$AD$1795,[1]Desglose_BOM_Componentes!$B$1782:$B$1795,$A183,[1]Desglose_BOM_Componentes!$X$1782:$X$1795,"Empaquetado"))</f>
        <v>0.75344791441438252</v>
      </c>
      <c r="I183" s="6">
        <f t="shared" si="16"/>
        <v>1.343284996665465</v>
      </c>
      <c r="J183" s="1" t="str">
        <f t="shared" si="14"/>
        <v>Completo</v>
      </c>
      <c r="K183" s="1">
        <f>COUNTIFS([1]Desglose_BOM_Componentes!$B$1782:$B$1795,$A183,[1]Desglose_BOM_Componentes!$AE$1782:$AE$1795,"Sin precio")</f>
        <v>0</v>
      </c>
      <c r="L183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84" spans="1:12" ht="22" customHeight="1">
      <c r="A184" s="1" t="s">
        <v>214</v>
      </c>
      <c r="B184" s="1" t="s">
        <v>18</v>
      </c>
      <c r="C184" s="1" t="s">
        <v>19</v>
      </c>
      <c r="D184" s="4">
        <f>IF(COUNTIFS([1]Desglose_BOM_Componentes!$B$1796:$B$1809,$A184,[1]Desglose_BOM_Componentes!$AE$1796:$AE$1809,"Sin precio",[1]Desglose_BOM_Componentes!$X$1796:$X$1809,"Formulación")&gt;0,"n.d.",SUMIFS([1]Desglose_BOM_Componentes!$AC$1796:$AC$1809,[1]Desglose_BOM_Componentes!$B$1796:$B$1809,$A184,[1]Desglose_BOM_Componentes!$X$1796:$X$1809,"Formulación"))</f>
        <v>0.6833972727272728</v>
      </c>
      <c r="E184" s="4">
        <f>IF(COUNTIFS([1]Desglose_BOM_Componentes!$B$1796:$B$1809,$A184,[1]Desglose_BOM_Componentes!$AE$1796:$AE$1809,"Sin precio",[1]Desglose_BOM_Componentes!$X$1796:$X$1809,"Empaquetado")&gt;0,"n.d.",SUMIFS([1]Desglose_BOM_Componentes!$AC$1796:$AC$1809,[1]Desglose_BOM_Componentes!$B$1796:$B$1809,$A184,[1]Desglose_BOM_Componentes!$X$1796:$X$1809,"Empaquetado"))</f>
        <v>0.75344791441438252</v>
      </c>
      <c r="F184" s="6">
        <f t="shared" si="15"/>
        <v>1.4410451871416554</v>
      </c>
      <c r="G184" s="4">
        <f>IF(COUNTIFS([1]Desglose_BOM_Componentes!$B$1796:$B$1809,$A184,[1]Desglose_BOM_Componentes!$AE$1796:$AE$1809,"Sin precio",[1]Desglose_BOM_Componentes!$X$1796:$X$1809,"Formulación")&gt;0,"n.d.",SUMIFS([1]Desglose_BOM_Componentes!$AD$1796:$AD$1809,[1]Desglose_BOM_Componentes!$B$1796:$B$1809,$A184,[1]Desglose_BOM_Componentes!$X$1796:$X$1809,"Formulación"))</f>
        <v>0.58563708225108235</v>
      </c>
      <c r="H184" s="4">
        <f>IF(COUNTIFS([1]Desglose_BOM_Componentes!$B$1796:$B$1809,$A184,[1]Desglose_BOM_Componentes!$AE$1796:$AE$1809,"Sin precio",[1]Desglose_BOM_Componentes!$X$1796:$X$1809,"Empaquetado")&gt;0,"n.d.",SUMIFS([1]Desglose_BOM_Componentes!$AD$1796:$AD$1809,[1]Desglose_BOM_Componentes!$B$1796:$B$1809,$A184,[1]Desglose_BOM_Componentes!$X$1796:$X$1809,"Empaquetado"))</f>
        <v>0.75344791441438252</v>
      </c>
      <c r="I184" s="6">
        <f t="shared" si="16"/>
        <v>1.343284996665465</v>
      </c>
      <c r="J184" s="1" t="str">
        <f t="shared" si="14"/>
        <v>Completo</v>
      </c>
      <c r="K184" s="1">
        <f>COUNTIFS([1]Desglose_BOM_Componentes!$B$1796:$B$1809,$A184,[1]Desglose_BOM_Componentes!$AE$1796:$AE$1809,"Sin precio")</f>
        <v>0</v>
      </c>
      <c r="L184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185" spans="1:12" ht="22" customHeight="1">
      <c r="A185" s="1" t="s">
        <v>215</v>
      </c>
      <c r="B185" s="1" t="s">
        <v>18</v>
      </c>
      <c r="C185" s="1" t="s">
        <v>24</v>
      </c>
      <c r="D185" s="4">
        <f>IF(COUNTIFS([1]Desglose_BOM_Componentes!$B$1810:$B$1823,$A185,[1]Desglose_BOM_Componentes!$AE$1810:$AE$1823,"Sin precio",[1]Desglose_BOM_Componentes!$X$1810:$X$1823,"Formulación")&gt;0,"n.d.",SUMIFS([1]Desglose_BOM_Componentes!$AC$1810:$AC$1823,[1]Desglose_BOM_Componentes!$B$1810:$B$1823,$A185,[1]Desglose_BOM_Componentes!$X$1810:$X$1823,"Formulación"))</f>
        <v>0.6833972727272728</v>
      </c>
      <c r="E185" s="4">
        <f>IF(COUNTIFS([1]Desglose_BOM_Componentes!$B$1810:$B$1823,$A185,[1]Desglose_BOM_Componentes!$AE$1810:$AE$1823,"Sin precio",[1]Desglose_BOM_Componentes!$X$1810:$X$1823,"Empaquetado")&gt;0,"n.d.",SUMIFS([1]Desglose_BOM_Componentes!$AC$1810:$AC$1823,[1]Desglose_BOM_Componentes!$B$1810:$B$1823,$A185,[1]Desglose_BOM_Componentes!$X$1810:$X$1823,"Empaquetado"))</f>
        <v>0.30928466819407252</v>
      </c>
      <c r="F185" s="6">
        <f t="shared" si="15"/>
        <v>0.9968819409213453</v>
      </c>
      <c r="G185" s="4">
        <f>IF(COUNTIFS([1]Desglose_BOM_Componentes!$B$1810:$B$1823,$A185,[1]Desglose_BOM_Componentes!$AE$1810:$AE$1823,"Sin precio",[1]Desglose_BOM_Componentes!$X$1810:$X$1823,"Formulación")&gt;0,"n.d.",SUMIFS([1]Desglose_BOM_Componentes!$AD$1810:$AD$1823,[1]Desglose_BOM_Componentes!$B$1810:$B$1823,$A185,[1]Desglose_BOM_Componentes!$X$1810:$X$1823,"Formulación"))</f>
        <v>0.58563708225108235</v>
      </c>
      <c r="H185" s="4">
        <f>IF(COUNTIFS([1]Desglose_BOM_Componentes!$B$1810:$B$1823,$A185,[1]Desglose_BOM_Componentes!$AE$1810:$AE$1823,"Sin precio",[1]Desglose_BOM_Componentes!$X$1810:$X$1823,"Empaquetado")&gt;0,"n.d.",SUMIFS([1]Desglose_BOM_Componentes!$AD$1810:$AD$1823,[1]Desglose_BOM_Componentes!$B$1810:$B$1823,$A185,[1]Desglose_BOM_Componentes!$X$1810:$X$1823,"Empaquetado"))</f>
        <v>0.30928466819407252</v>
      </c>
      <c r="I185" s="6">
        <f t="shared" si="16"/>
        <v>0.89912175044515485</v>
      </c>
      <c r="J185" s="1" t="str">
        <f t="shared" si="14"/>
        <v>Completo</v>
      </c>
      <c r="K185" s="1">
        <f>COUNTIFS([1]Desglose_BOM_Componentes!$B$1810:$B$1823,$A185,[1]Desglose_BOM_Componentes!$AE$1810:$AE$1823,"Sin precio")</f>
        <v>0</v>
      </c>
      <c r="L185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86" spans="1:12" ht="22" customHeight="1">
      <c r="A186" s="1" t="s">
        <v>216</v>
      </c>
      <c r="B186" s="1" t="s">
        <v>18</v>
      </c>
      <c r="C186" s="1" t="s">
        <v>69</v>
      </c>
      <c r="D186" s="4">
        <f>IF(COUNTIFS([1]Desglose_BOM_Componentes!$B$1824:$B$1837,$A186,[1]Desglose_BOM_Componentes!$AE$1824:$AE$1837,"Sin precio",[1]Desglose_BOM_Componentes!$X$1824:$X$1837,"Formulación")&gt;0,"n.d.",SUMIFS([1]Desglose_BOM_Componentes!$AC$1824:$AC$1837,[1]Desglose_BOM_Componentes!$B$1824:$B$1837,$A186,[1]Desglose_BOM_Componentes!$X$1824:$X$1837,"Formulación"))</f>
        <v>0.6833972727272728</v>
      </c>
      <c r="E186" s="4">
        <f>IF(COUNTIFS([1]Desglose_BOM_Componentes!$B$1824:$B$1837,$A186,[1]Desglose_BOM_Componentes!$AE$1824:$AE$1837,"Sin precio",[1]Desglose_BOM_Componentes!$X$1824:$X$1837,"Empaquetado")&gt;0,"n.d.",SUMIFS([1]Desglose_BOM_Componentes!$AC$1824:$AC$1837,[1]Desglose_BOM_Componentes!$B$1824:$B$1837,$A186,[1]Desglose_BOM_Componentes!$X$1824:$X$1837,"Empaquetado"))</f>
        <v>0.30928466819407252</v>
      </c>
      <c r="F186" s="6">
        <f t="shared" si="15"/>
        <v>0.9968819409213453</v>
      </c>
      <c r="G186" s="4">
        <f>IF(COUNTIFS([1]Desglose_BOM_Componentes!$B$1824:$B$1837,$A186,[1]Desglose_BOM_Componentes!$AE$1824:$AE$1837,"Sin precio",[1]Desglose_BOM_Componentes!$X$1824:$X$1837,"Formulación")&gt;0,"n.d.",SUMIFS([1]Desglose_BOM_Componentes!$AD$1824:$AD$1837,[1]Desglose_BOM_Componentes!$B$1824:$B$1837,$A186,[1]Desglose_BOM_Componentes!$X$1824:$X$1837,"Formulación"))</f>
        <v>0.58563708225108235</v>
      </c>
      <c r="H186" s="4">
        <f>IF(COUNTIFS([1]Desglose_BOM_Componentes!$B$1824:$B$1837,$A186,[1]Desglose_BOM_Componentes!$AE$1824:$AE$1837,"Sin precio",[1]Desglose_BOM_Componentes!$X$1824:$X$1837,"Empaquetado")&gt;0,"n.d.",SUMIFS([1]Desglose_BOM_Componentes!$AD$1824:$AD$1837,[1]Desglose_BOM_Componentes!$B$1824:$B$1837,$A186,[1]Desglose_BOM_Componentes!$X$1824:$X$1837,"Empaquetado"))</f>
        <v>0.30928466819407252</v>
      </c>
      <c r="I186" s="6">
        <f t="shared" si="16"/>
        <v>0.89912175044515485</v>
      </c>
      <c r="J186" s="1" t="str">
        <f t="shared" si="14"/>
        <v>Completo</v>
      </c>
      <c r="K186" s="1">
        <f>COUNTIFS([1]Desglose_BOM_Componentes!$B$1824:$B$1837,$A186,[1]Desglose_BOM_Componentes!$AE$1824:$AE$1837,"Sin precio")</f>
        <v>0</v>
      </c>
      <c r="L186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87" spans="1:12" ht="22" customHeight="1">
      <c r="A187" s="1" t="s">
        <v>217</v>
      </c>
      <c r="B187" s="1" t="s">
        <v>18</v>
      </c>
      <c r="C187" s="1" t="s">
        <v>81</v>
      </c>
      <c r="D187" s="4">
        <f>IF(COUNTIFS([1]Desglose_BOM_Componentes!$B$1838:$B$1851,$A187,[1]Desglose_BOM_Componentes!$AE$1838:$AE$1851,"Sin precio",[1]Desglose_BOM_Componentes!$X$1838:$X$1851,"Formulación")&gt;0,"n.d.",SUMIFS([1]Desglose_BOM_Componentes!$AC$1838:$AC$1851,[1]Desglose_BOM_Componentes!$B$1838:$B$1851,$A187,[1]Desglose_BOM_Componentes!$X$1838:$X$1851,"Formulación"))</f>
        <v>0.6833972727272728</v>
      </c>
      <c r="E187" s="4">
        <f>IF(COUNTIFS([1]Desglose_BOM_Componentes!$B$1838:$B$1851,$A187,[1]Desglose_BOM_Componentes!$AE$1838:$AE$1851,"Sin precio",[1]Desglose_BOM_Componentes!$X$1838:$X$1851,"Empaquetado")&gt;0,"n.d.",SUMIFS([1]Desglose_BOM_Componentes!$AC$1838:$AC$1851,[1]Desglose_BOM_Componentes!$B$1838:$B$1851,$A187,[1]Desglose_BOM_Componentes!$X$1838:$X$1851,"Empaquetado"))</f>
        <v>0.30928466819407252</v>
      </c>
      <c r="F187" s="6">
        <f t="shared" si="15"/>
        <v>0.9968819409213453</v>
      </c>
      <c r="G187" s="4">
        <f>IF(COUNTIFS([1]Desglose_BOM_Componentes!$B$1838:$B$1851,$A187,[1]Desglose_BOM_Componentes!$AE$1838:$AE$1851,"Sin precio",[1]Desglose_BOM_Componentes!$X$1838:$X$1851,"Formulación")&gt;0,"n.d.",SUMIFS([1]Desglose_BOM_Componentes!$AD$1838:$AD$1851,[1]Desglose_BOM_Componentes!$B$1838:$B$1851,$A187,[1]Desglose_BOM_Componentes!$X$1838:$X$1851,"Formulación"))</f>
        <v>0.58563708225108235</v>
      </c>
      <c r="H187" s="4">
        <f>IF(COUNTIFS([1]Desglose_BOM_Componentes!$B$1838:$B$1851,$A187,[1]Desglose_BOM_Componentes!$AE$1838:$AE$1851,"Sin precio",[1]Desglose_BOM_Componentes!$X$1838:$X$1851,"Empaquetado")&gt;0,"n.d.",SUMIFS([1]Desglose_BOM_Componentes!$AD$1838:$AD$1851,[1]Desglose_BOM_Componentes!$B$1838:$B$1851,$A187,[1]Desglose_BOM_Componentes!$X$1838:$X$1851,"Empaquetado"))</f>
        <v>0.30928466819407252</v>
      </c>
      <c r="I187" s="6">
        <f t="shared" si="16"/>
        <v>0.89912175044515485</v>
      </c>
      <c r="J187" s="1" t="str">
        <f t="shared" si="14"/>
        <v>Completo</v>
      </c>
      <c r="K187" s="1">
        <f>COUNTIFS([1]Desglose_BOM_Componentes!$B$1838:$B$1851,$A187,[1]Desglose_BOM_Componentes!$AE$1838:$AE$1851,"Sin precio")</f>
        <v>0</v>
      </c>
      <c r="L187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88" spans="1:12" ht="22" customHeight="1">
      <c r="A188" s="1" t="s">
        <v>218</v>
      </c>
      <c r="B188" s="1" t="s">
        <v>18</v>
      </c>
      <c r="C188" s="1" t="s">
        <v>19</v>
      </c>
      <c r="D188" s="4">
        <f>IF(COUNTIFS([1]Desglose_BOM_Componentes!$B$1852:$B$1865,$A188,[1]Desglose_BOM_Componentes!$AE$1852:$AE$1865,"Sin precio",[1]Desglose_BOM_Componentes!$X$1852:$X$1865,"Formulación")&gt;0,"n.d.",SUMIFS([1]Desglose_BOM_Componentes!$AC$1852:$AC$1865,[1]Desglose_BOM_Componentes!$B$1852:$B$1865,$A188,[1]Desglose_BOM_Componentes!$X$1852:$X$1865,"Formulación"))</f>
        <v>0.6833972727272728</v>
      </c>
      <c r="E188" s="4">
        <f>IF(COUNTIFS([1]Desglose_BOM_Componentes!$B$1852:$B$1865,$A188,[1]Desglose_BOM_Componentes!$AE$1852:$AE$1865,"Sin precio",[1]Desglose_BOM_Componentes!$X$1852:$X$1865,"Empaquetado")&gt;0,"n.d.",SUMIFS([1]Desglose_BOM_Componentes!$AC$1852:$AC$1865,[1]Desglose_BOM_Componentes!$B$1852:$B$1865,$A188,[1]Desglose_BOM_Componentes!$X$1852:$X$1865,"Empaquetado"))</f>
        <v>0.30928466819407252</v>
      </c>
      <c r="F188" s="6">
        <f t="shared" si="15"/>
        <v>0.9968819409213453</v>
      </c>
      <c r="G188" s="4">
        <f>IF(COUNTIFS([1]Desglose_BOM_Componentes!$B$1852:$B$1865,$A188,[1]Desglose_BOM_Componentes!$AE$1852:$AE$1865,"Sin precio",[1]Desglose_BOM_Componentes!$X$1852:$X$1865,"Formulación")&gt;0,"n.d.",SUMIFS([1]Desglose_BOM_Componentes!$AD$1852:$AD$1865,[1]Desglose_BOM_Componentes!$B$1852:$B$1865,$A188,[1]Desglose_BOM_Componentes!$X$1852:$X$1865,"Formulación"))</f>
        <v>0.58563708225108235</v>
      </c>
      <c r="H188" s="4">
        <f>IF(COUNTIFS([1]Desglose_BOM_Componentes!$B$1852:$B$1865,$A188,[1]Desglose_BOM_Componentes!$AE$1852:$AE$1865,"Sin precio",[1]Desglose_BOM_Componentes!$X$1852:$X$1865,"Empaquetado")&gt;0,"n.d.",SUMIFS([1]Desglose_BOM_Componentes!$AD$1852:$AD$1865,[1]Desglose_BOM_Componentes!$B$1852:$B$1865,$A188,[1]Desglose_BOM_Componentes!$X$1852:$X$1865,"Empaquetado"))</f>
        <v>0.30928466819407252</v>
      </c>
      <c r="I188" s="6">
        <f t="shared" si="16"/>
        <v>0.89912175044515485</v>
      </c>
      <c r="J188" s="1" t="str">
        <f t="shared" si="14"/>
        <v>Completo</v>
      </c>
      <c r="K188" s="1">
        <f>COUNTIFS([1]Desglose_BOM_Componentes!$B$1852:$B$1865,$A188,[1]Desglose_BOM_Componentes!$AE$1852:$AE$1865,"Sin precio")</f>
        <v>0</v>
      </c>
      <c r="L188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89" spans="1:12" ht="22" customHeight="1">
      <c r="A189" s="1" t="s">
        <v>219</v>
      </c>
      <c r="B189" s="1" t="s">
        <v>18</v>
      </c>
      <c r="C189" s="1" t="s">
        <v>188</v>
      </c>
      <c r="D189" s="4">
        <f>IF(COUNTIFS([1]Desglose_BOM_Componentes!$B$1866:$B$1879,$A189,[1]Desglose_BOM_Componentes!$AE$1866:$AE$1879,"Sin precio",[1]Desglose_BOM_Componentes!$X$1866:$X$1879,"Formulación")&gt;0,"n.d.",SUMIFS([1]Desglose_BOM_Componentes!$AC$1866:$AC$1879,[1]Desglose_BOM_Componentes!$B$1866:$B$1879,$A189,[1]Desglose_BOM_Componentes!$X$1866:$X$1879,"Formulación"))</f>
        <v>0.6833972727272728</v>
      </c>
      <c r="E189" s="4">
        <f>IF(COUNTIFS([1]Desglose_BOM_Componentes!$B$1866:$B$1879,$A189,[1]Desglose_BOM_Componentes!$AE$1866:$AE$1879,"Sin precio",[1]Desglose_BOM_Componentes!$X$1866:$X$1879,"Empaquetado")&gt;0,"n.d.",SUMIFS([1]Desglose_BOM_Componentes!$AC$1866:$AC$1879,[1]Desglose_BOM_Componentes!$B$1866:$B$1879,$A189,[1]Desglose_BOM_Componentes!$X$1866:$X$1879,"Empaquetado"))</f>
        <v>0.30928466819407252</v>
      </c>
      <c r="F189" s="6">
        <f t="shared" si="15"/>
        <v>0.9968819409213453</v>
      </c>
      <c r="G189" s="4">
        <f>IF(COUNTIFS([1]Desglose_BOM_Componentes!$B$1866:$B$1879,$A189,[1]Desglose_BOM_Componentes!$AE$1866:$AE$1879,"Sin precio",[1]Desglose_BOM_Componentes!$X$1866:$X$1879,"Formulación")&gt;0,"n.d.",SUMIFS([1]Desglose_BOM_Componentes!$AD$1866:$AD$1879,[1]Desglose_BOM_Componentes!$B$1866:$B$1879,$A189,[1]Desglose_BOM_Componentes!$X$1866:$X$1879,"Formulación"))</f>
        <v>0.58563708225108235</v>
      </c>
      <c r="H189" s="4">
        <f>IF(COUNTIFS([1]Desglose_BOM_Componentes!$B$1866:$B$1879,$A189,[1]Desglose_BOM_Componentes!$AE$1866:$AE$1879,"Sin precio",[1]Desglose_BOM_Componentes!$X$1866:$X$1879,"Empaquetado")&gt;0,"n.d.",SUMIFS([1]Desglose_BOM_Componentes!$AD$1866:$AD$1879,[1]Desglose_BOM_Componentes!$B$1866:$B$1879,$A189,[1]Desglose_BOM_Componentes!$X$1866:$X$1879,"Empaquetado"))</f>
        <v>0.30928466819407252</v>
      </c>
      <c r="I189" s="6">
        <f t="shared" si="16"/>
        <v>0.89912175044515485</v>
      </c>
      <c r="J189" s="1" t="str">
        <f t="shared" si="14"/>
        <v>Completo</v>
      </c>
      <c r="K189" s="1">
        <f>COUNTIFS([1]Desglose_BOM_Componentes!$B$1866:$B$1879,$A189,[1]Desglose_BOM_Componentes!$AE$1866:$AE$1879,"Sin precio")</f>
        <v>0</v>
      </c>
      <c r="L189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90" spans="1:12" ht="22" customHeight="1">
      <c r="A190" s="1" t="s">
        <v>220</v>
      </c>
      <c r="B190" s="1" t="s">
        <v>18</v>
      </c>
      <c r="C190" s="1" t="s">
        <v>24</v>
      </c>
      <c r="D190" s="4">
        <f>IF(COUNTIFS([1]Desglose_BOM_Componentes!$B$1880:$B$1892,$A190,[1]Desglose_BOM_Componentes!$AE$1880:$AE$1892,"Sin precio",[1]Desglose_BOM_Componentes!$X$1880:$X$1892,"Formulación")&gt;0,"n.d.",SUMIFS([1]Desglose_BOM_Componentes!$AC$1880:$AC$1892,[1]Desglose_BOM_Componentes!$B$1880:$B$1892,$A190,[1]Desglose_BOM_Componentes!$X$1880:$X$1892,"Formulación"))</f>
        <v>0.6833972727272728</v>
      </c>
      <c r="E190" s="4">
        <f>IF(COUNTIFS([1]Desglose_BOM_Componentes!$B$1880:$B$1892,$A190,[1]Desglose_BOM_Componentes!$AE$1880:$AE$1892,"Sin precio",[1]Desglose_BOM_Componentes!$X$1880:$X$1892,"Empaquetado")&gt;0,"n.d.",SUMIFS([1]Desglose_BOM_Componentes!$AC$1880:$AC$1892,[1]Desglose_BOM_Componentes!$B$1880:$B$1892,$A190,[1]Desglose_BOM_Componentes!$X$1880:$X$1892,"Empaquetado"))</f>
        <v>0.21718980927938808</v>
      </c>
      <c r="F190" s="6">
        <f t="shared" si="15"/>
        <v>0.9047870820066608</v>
      </c>
      <c r="G190" s="4">
        <f>IF(COUNTIFS([1]Desglose_BOM_Componentes!$B$1880:$B$1892,$A190,[1]Desglose_BOM_Componentes!$AE$1880:$AE$1892,"Sin precio",[1]Desglose_BOM_Componentes!$X$1880:$X$1892,"Formulación")&gt;0,"n.d.",SUMIFS([1]Desglose_BOM_Componentes!$AD$1880:$AD$1892,[1]Desglose_BOM_Componentes!$B$1880:$B$1892,$A190,[1]Desglose_BOM_Componentes!$X$1880:$X$1892,"Formulación"))</f>
        <v>0.58563708225108235</v>
      </c>
      <c r="H190" s="4">
        <f>IF(COUNTIFS([1]Desglose_BOM_Componentes!$B$1880:$B$1892,$A190,[1]Desglose_BOM_Componentes!$AE$1880:$AE$1892,"Sin precio",[1]Desglose_BOM_Componentes!$X$1880:$X$1892,"Empaquetado")&gt;0,"n.d.",SUMIFS([1]Desglose_BOM_Componentes!$AD$1880:$AD$1892,[1]Desglose_BOM_Componentes!$B$1880:$B$1892,$A190,[1]Desglose_BOM_Componentes!$X$1880:$X$1892,"Empaquetado"))</f>
        <v>0.21718980927938808</v>
      </c>
      <c r="I190" s="6">
        <f t="shared" si="16"/>
        <v>0.80702689153047036</v>
      </c>
      <c r="J190" s="1" t="str">
        <f t="shared" si="14"/>
        <v>Completo</v>
      </c>
      <c r="K190" s="1">
        <f>COUNTIFS([1]Desglose_BOM_Componentes!$B$1880:$B$1892,$A190,[1]Desglose_BOM_Componentes!$AE$1880:$AE$1892,"Sin precio")</f>
        <v>0</v>
      </c>
      <c r="L190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1" spans="1:12" ht="22" customHeight="1">
      <c r="A191" s="1" t="s">
        <v>221</v>
      </c>
      <c r="B191" s="1" t="s">
        <v>18</v>
      </c>
      <c r="C191" s="1" t="s">
        <v>84</v>
      </c>
      <c r="D191" s="4">
        <f>IF(COUNTIFS([1]Desglose_BOM_Componentes!$B$1893:$B$1905,$A191,[1]Desglose_BOM_Componentes!$AE$1893:$AE$1905,"Sin precio",[1]Desglose_BOM_Componentes!$X$1893:$X$1905,"Formulación")&gt;0,"n.d.",SUMIFS([1]Desglose_BOM_Componentes!$AC$1893:$AC$1905,[1]Desglose_BOM_Componentes!$B$1893:$B$1905,$A191,[1]Desglose_BOM_Componentes!$X$1893:$X$1905,"Formulación"))</f>
        <v>0.6833972727272728</v>
      </c>
      <c r="E191" s="4">
        <f>IF(COUNTIFS([1]Desglose_BOM_Componentes!$B$1893:$B$1905,$A191,[1]Desglose_BOM_Componentes!$AE$1893:$AE$1905,"Sin precio",[1]Desglose_BOM_Componentes!$X$1893:$X$1905,"Empaquetado")&gt;0,"n.d.",SUMIFS([1]Desglose_BOM_Componentes!$AC$1893:$AC$1905,[1]Desglose_BOM_Componentes!$B$1893:$B$1905,$A191,[1]Desglose_BOM_Componentes!$X$1893:$X$1905,"Empaquetado"))</f>
        <v>0.21718980927938808</v>
      </c>
      <c r="F191" s="6">
        <f t="shared" si="15"/>
        <v>0.9047870820066608</v>
      </c>
      <c r="G191" s="4">
        <f>IF(COUNTIFS([1]Desglose_BOM_Componentes!$B$1893:$B$1905,$A191,[1]Desglose_BOM_Componentes!$AE$1893:$AE$1905,"Sin precio",[1]Desglose_BOM_Componentes!$X$1893:$X$1905,"Formulación")&gt;0,"n.d.",SUMIFS([1]Desglose_BOM_Componentes!$AD$1893:$AD$1905,[1]Desglose_BOM_Componentes!$B$1893:$B$1905,$A191,[1]Desglose_BOM_Componentes!$X$1893:$X$1905,"Formulación"))</f>
        <v>0.58563708225108235</v>
      </c>
      <c r="H191" s="4">
        <f>IF(COUNTIFS([1]Desglose_BOM_Componentes!$B$1893:$B$1905,$A191,[1]Desglose_BOM_Componentes!$AE$1893:$AE$1905,"Sin precio",[1]Desglose_BOM_Componentes!$X$1893:$X$1905,"Empaquetado")&gt;0,"n.d.",SUMIFS([1]Desglose_BOM_Componentes!$AD$1893:$AD$1905,[1]Desglose_BOM_Componentes!$B$1893:$B$1905,$A191,[1]Desglose_BOM_Componentes!$X$1893:$X$1905,"Empaquetado"))</f>
        <v>0.21718980927938808</v>
      </c>
      <c r="I191" s="6">
        <f t="shared" si="16"/>
        <v>0.80702689153047036</v>
      </c>
      <c r="J191" s="1" t="str">
        <f t="shared" si="14"/>
        <v>Completo</v>
      </c>
      <c r="K191" s="1">
        <f>COUNTIFS([1]Desglose_BOM_Componentes!$B$1893:$B$1905,$A191,[1]Desglose_BOM_Componentes!$AE$1893:$AE$1905,"Sin precio")</f>
        <v>0</v>
      </c>
      <c r="L191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2" spans="1:12" ht="22" customHeight="1">
      <c r="A192" s="1" t="s">
        <v>222</v>
      </c>
      <c r="B192" s="1" t="s">
        <v>18</v>
      </c>
      <c r="C192" s="1" t="s">
        <v>69</v>
      </c>
      <c r="D192" s="4">
        <f>IF(COUNTIFS([1]Desglose_BOM_Componentes!$B$1906:$B$1918,$A192,[1]Desglose_BOM_Componentes!$AE$1906:$AE$1918,"Sin precio",[1]Desglose_BOM_Componentes!$X$1906:$X$1918,"Formulación")&gt;0,"n.d.",SUMIFS([1]Desglose_BOM_Componentes!$AC$1906:$AC$1918,[1]Desglose_BOM_Componentes!$B$1906:$B$1918,$A192,[1]Desglose_BOM_Componentes!$X$1906:$X$1918,"Formulación"))</f>
        <v>0.6833972727272728</v>
      </c>
      <c r="E192" s="4">
        <f>IF(COUNTIFS([1]Desglose_BOM_Componentes!$B$1906:$B$1918,$A192,[1]Desglose_BOM_Componentes!$AE$1906:$AE$1918,"Sin precio",[1]Desglose_BOM_Componentes!$X$1906:$X$1918,"Empaquetado")&gt;0,"n.d.",SUMIFS([1]Desglose_BOM_Componentes!$AC$1906:$AC$1918,[1]Desglose_BOM_Componentes!$B$1906:$B$1918,$A192,[1]Desglose_BOM_Componentes!$X$1906:$X$1918,"Empaquetado"))</f>
        <v>0.21718980927938808</v>
      </c>
      <c r="F192" s="6">
        <f t="shared" si="15"/>
        <v>0.9047870820066608</v>
      </c>
      <c r="G192" s="4">
        <f>IF(COUNTIFS([1]Desglose_BOM_Componentes!$B$1906:$B$1918,$A192,[1]Desglose_BOM_Componentes!$AE$1906:$AE$1918,"Sin precio",[1]Desglose_BOM_Componentes!$X$1906:$X$1918,"Formulación")&gt;0,"n.d.",SUMIFS([1]Desglose_BOM_Componentes!$AD$1906:$AD$1918,[1]Desglose_BOM_Componentes!$B$1906:$B$1918,$A192,[1]Desglose_BOM_Componentes!$X$1906:$X$1918,"Formulación"))</f>
        <v>0.58563708225108235</v>
      </c>
      <c r="H192" s="4">
        <f>IF(COUNTIFS([1]Desglose_BOM_Componentes!$B$1906:$B$1918,$A192,[1]Desglose_BOM_Componentes!$AE$1906:$AE$1918,"Sin precio",[1]Desglose_BOM_Componentes!$X$1906:$X$1918,"Empaquetado")&gt;0,"n.d.",SUMIFS([1]Desglose_BOM_Componentes!$AD$1906:$AD$1918,[1]Desglose_BOM_Componentes!$B$1906:$B$1918,$A192,[1]Desglose_BOM_Componentes!$X$1906:$X$1918,"Empaquetado"))</f>
        <v>0.21718980927938808</v>
      </c>
      <c r="I192" s="6">
        <f t="shared" si="16"/>
        <v>0.80702689153047036</v>
      </c>
      <c r="J192" s="1" t="str">
        <f t="shared" si="14"/>
        <v>Completo</v>
      </c>
      <c r="K192" s="1">
        <f>COUNTIFS([1]Desglose_BOM_Componentes!$B$1906:$B$1918,$A192,[1]Desglose_BOM_Componentes!$AE$1906:$AE$1918,"Sin precio")</f>
        <v>0</v>
      </c>
      <c r="L192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3" spans="1:12" ht="22" customHeight="1">
      <c r="A193" s="1" t="s">
        <v>223</v>
      </c>
      <c r="B193" s="1" t="s">
        <v>18</v>
      </c>
      <c r="C193" s="1" t="s">
        <v>79</v>
      </c>
      <c r="D193" s="4">
        <f>IF(COUNTIFS([1]Desglose_BOM_Componentes!$B$1919:$B$1931,$A193,[1]Desglose_BOM_Componentes!$AE$1919:$AE$1931,"Sin precio",[1]Desglose_BOM_Componentes!$X$1919:$X$1931,"Formulación")&gt;0,"n.d.",SUMIFS([1]Desglose_BOM_Componentes!$AC$1919:$AC$1931,[1]Desglose_BOM_Componentes!$B$1919:$B$1931,$A193,[1]Desglose_BOM_Componentes!$X$1919:$X$1931,"Formulación"))</f>
        <v>0.6833972727272728</v>
      </c>
      <c r="E193" s="4">
        <f>IF(COUNTIFS([1]Desglose_BOM_Componentes!$B$1919:$B$1931,$A193,[1]Desglose_BOM_Componentes!$AE$1919:$AE$1931,"Sin precio",[1]Desglose_BOM_Componentes!$X$1919:$X$1931,"Empaquetado")&gt;0,"n.d.",SUMIFS([1]Desglose_BOM_Componentes!$AC$1919:$AC$1931,[1]Desglose_BOM_Componentes!$B$1919:$B$1931,$A193,[1]Desglose_BOM_Componentes!$X$1919:$X$1931,"Empaquetado"))</f>
        <v>0.21718980927938808</v>
      </c>
      <c r="F193" s="6">
        <f t="shared" si="15"/>
        <v>0.9047870820066608</v>
      </c>
      <c r="G193" s="4">
        <f>IF(COUNTIFS([1]Desglose_BOM_Componentes!$B$1919:$B$1931,$A193,[1]Desglose_BOM_Componentes!$AE$1919:$AE$1931,"Sin precio",[1]Desglose_BOM_Componentes!$X$1919:$X$1931,"Formulación")&gt;0,"n.d.",SUMIFS([1]Desglose_BOM_Componentes!$AD$1919:$AD$1931,[1]Desglose_BOM_Componentes!$B$1919:$B$1931,$A193,[1]Desglose_BOM_Componentes!$X$1919:$X$1931,"Formulación"))</f>
        <v>0.58563708225108235</v>
      </c>
      <c r="H193" s="4">
        <f>IF(COUNTIFS([1]Desglose_BOM_Componentes!$B$1919:$B$1931,$A193,[1]Desglose_BOM_Componentes!$AE$1919:$AE$1931,"Sin precio",[1]Desglose_BOM_Componentes!$X$1919:$X$1931,"Empaquetado")&gt;0,"n.d.",SUMIFS([1]Desglose_BOM_Componentes!$AD$1919:$AD$1931,[1]Desglose_BOM_Componentes!$B$1919:$B$1931,$A193,[1]Desglose_BOM_Componentes!$X$1919:$X$1931,"Empaquetado"))</f>
        <v>0.21718980927938808</v>
      </c>
      <c r="I193" s="6">
        <f t="shared" si="16"/>
        <v>0.80702689153047036</v>
      </c>
      <c r="J193" s="1" t="str">
        <f t="shared" si="14"/>
        <v>Completo</v>
      </c>
      <c r="K193" s="1">
        <f>COUNTIFS([1]Desglose_BOM_Componentes!$B$1919:$B$1931,$A193,[1]Desglose_BOM_Componentes!$AE$1919:$AE$1931,"Sin precio")</f>
        <v>0</v>
      </c>
      <c r="L193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4" spans="1:12" ht="22" customHeight="1">
      <c r="A194" s="1" t="s">
        <v>224</v>
      </c>
      <c r="B194" s="1" t="s">
        <v>18</v>
      </c>
      <c r="C194" s="1" t="s">
        <v>26</v>
      </c>
      <c r="D194" s="4">
        <f>IF(COUNTIFS([1]Desglose_BOM_Componentes!$B$1932:$B$1944,$A194,[1]Desglose_BOM_Componentes!$AE$1932:$AE$1944,"Sin precio",[1]Desglose_BOM_Componentes!$X$1932:$X$1944,"Formulación")&gt;0,"n.d.",SUMIFS([1]Desglose_BOM_Componentes!$AC$1932:$AC$1944,[1]Desglose_BOM_Componentes!$B$1932:$B$1944,$A194,[1]Desglose_BOM_Componentes!$X$1932:$X$1944,"Formulación"))</f>
        <v>0.6833972727272728</v>
      </c>
      <c r="E194" s="4">
        <f>IF(COUNTIFS([1]Desglose_BOM_Componentes!$B$1932:$B$1944,$A194,[1]Desglose_BOM_Componentes!$AE$1932:$AE$1944,"Sin precio",[1]Desglose_BOM_Componentes!$X$1932:$X$1944,"Empaquetado")&gt;0,"n.d.",SUMIFS([1]Desglose_BOM_Componentes!$AC$1932:$AC$1944,[1]Desglose_BOM_Componentes!$B$1932:$B$1944,$A194,[1]Desglose_BOM_Componentes!$X$1932:$X$1944,"Empaquetado"))</f>
        <v>0.21718980927938808</v>
      </c>
      <c r="F194" s="6">
        <f t="shared" si="15"/>
        <v>0.9047870820066608</v>
      </c>
      <c r="G194" s="4">
        <f>IF(COUNTIFS([1]Desglose_BOM_Componentes!$B$1932:$B$1944,$A194,[1]Desglose_BOM_Componentes!$AE$1932:$AE$1944,"Sin precio",[1]Desglose_BOM_Componentes!$X$1932:$X$1944,"Formulación")&gt;0,"n.d.",SUMIFS([1]Desglose_BOM_Componentes!$AD$1932:$AD$1944,[1]Desglose_BOM_Componentes!$B$1932:$B$1944,$A194,[1]Desglose_BOM_Componentes!$X$1932:$X$1944,"Formulación"))</f>
        <v>0.58563708225108235</v>
      </c>
      <c r="H194" s="4">
        <f>IF(COUNTIFS([1]Desglose_BOM_Componentes!$B$1932:$B$1944,$A194,[1]Desglose_BOM_Componentes!$AE$1932:$AE$1944,"Sin precio",[1]Desglose_BOM_Componentes!$X$1932:$X$1944,"Empaquetado")&gt;0,"n.d.",SUMIFS([1]Desglose_BOM_Componentes!$AD$1932:$AD$1944,[1]Desglose_BOM_Componentes!$B$1932:$B$1944,$A194,[1]Desglose_BOM_Componentes!$X$1932:$X$1944,"Empaquetado"))</f>
        <v>0.21718980927938808</v>
      </c>
      <c r="I194" s="6">
        <f t="shared" si="16"/>
        <v>0.80702689153047036</v>
      </c>
      <c r="J194" s="1" t="str">
        <f t="shared" si="14"/>
        <v>Completo</v>
      </c>
      <c r="K194" s="1">
        <f>COUNTIFS([1]Desglose_BOM_Componentes!$B$1932:$B$1944,$A194,[1]Desglose_BOM_Componentes!$AE$1932:$AE$1944,"Sin precio")</f>
        <v>0</v>
      </c>
      <c r="L194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5" spans="1:12" ht="22" customHeight="1">
      <c r="A195" s="1" t="s">
        <v>225</v>
      </c>
      <c r="B195" s="1" t="s">
        <v>18</v>
      </c>
      <c r="C195" s="1" t="s">
        <v>81</v>
      </c>
      <c r="D195" s="4">
        <f>IF(COUNTIFS([1]Desglose_BOM_Componentes!$B$1945:$B$1957,$A195,[1]Desglose_BOM_Componentes!$AE$1945:$AE$1957,"Sin precio",[1]Desglose_BOM_Componentes!$X$1945:$X$1957,"Formulación")&gt;0,"n.d.",SUMIFS([1]Desglose_BOM_Componentes!$AC$1945:$AC$1957,[1]Desglose_BOM_Componentes!$B$1945:$B$1957,$A195,[1]Desglose_BOM_Componentes!$X$1945:$X$1957,"Formulación"))</f>
        <v>0.6833972727272728</v>
      </c>
      <c r="E195" s="4">
        <f>IF(COUNTIFS([1]Desglose_BOM_Componentes!$B$1945:$B$1957,$A195,[1]Desglose_BOM_Componentes!$AE$1945:$AE$1957,"Sin precio",[1]Desglose_BOM_Componentes!$X$1945:$X$1957,"Empaquetado")&gt;0,"n.d.",SUMIFS([1]Desglose_BOM_Componentes!$AC$1945:$AC$1957,[1]Desglose_BOM_Componentes!$B$1945:$B$1957,$A195,[1]Desglose_BOM_Componentes!$X$1945:$X$1957,"Empaquetado"))</f>
        <v>0.21718980927938808</v>
      </c>
      <c r="F195" s="6">
        <f t="shared" si="15"/>
        <v>0.9047870820066608</v>
      </c>
      <c r="G195" s="4">
        <f>IF(COUNTIFS([1]Desglose_BOM_Componentes!$B$1945:$B$1957,$A195,[1]Desglose_BOM_Componentes!$AE$1945:$AE$1957,"Sin precio",[1]Desglose_BOM_Componentes!$X$1945:$X$1957,"Formulación")&gt;0,"n.d.",SUMIFS([1]Desglose_BOM_Componentes!$AD$1945:$AD$1957,[1]Desglose_BOM_Componentes!$B$1945:$B$1957,$A195,[1]Desglose_BOM_Componentes!$X$1945:$X$1957,"Formulación"))</f>
        <v>0.58563708225108235</v>
      </c>
      <c r="H195" s="4">
        <f>IF(COUNTIFS([1]Desglose_BOM_Componentes!$B$1945:$B$1957,$A195,[1]Desglose_BOM_Componentes!$AE$1945:$AE$1957,"Sin precio",[1]Desglose_BOM_Componentes!$X$1945:$X$1957,"Empaquetado")&gt;0,"n.d.",SUMIFS([1]Desglose_BOM_Componentes!$AD$1945:$AD$1957,[1]Desglose_BOM_Componentes!$B$1945:$B$1957,$A195,[1]Desglose_BOM_Componentes!$X$1945:$X$1957,"Empaquetado"))</f>
        <v>0.21718980927938808</v>
      </c>
      <c r="I195" s="6">
        <f t="shared" si="16"/>
        <v>0.80702689153047036</v>
      </c>
      <c r="J195" s="1" t="str">
        <f t="shared" si="14"/>
        <v>Completo</v>
      </c>
      <c r="K195" s="1">
        <f>COUNTIFS([1]Desglose_BOM_Componentes!$B$1945:$B$1957,$A195,[1]Desglose_BOM_Componentes!$AE$1945:$AE$1957,"Sin precio")</f>
        <v>0</v>
      </c>
      <c r="L195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6" spans="1:12" ht="22" customHeight="1">
      <c r="A196" s="1" t="s">
        <v>226</v>
      </c>
      <c r="B196" s="1" t="s">
        <v>18</v>
      </c>
      <c r="C196" s="1" t="s">
        <v>19</v>
      </c>
      <c r="D196" s="4">
        <f>IF(COUNTIFS([1]Desglose_BOM_Componentes!$B$1958:$B$1970,$A196,[1]Desglose_BOM_Componentes!$AE$1958:$AE$1970,"Sin precio",[1]Desglose_BOM_Componentes!$X$1958:$X$1970,"Formulación")&gt;0,"n.d.",SUMIFS([1]Desglose_BOM_Componentes!$AC$1958:$AC$1970,[1]Desglose_BOM_Componentes!$B$1958:$B$1970,$A196,[1]Desglose_BOM_Componentes!$X$1958:$X$1970,"Formulación"))</f>
        <v>0.6833972727272728</v>
      </c>
      <c r="E196" s="4">
        <f>IF(COUNTIFS([1]Desglose_BOM_Componentes!$B$1958:$B$1970,$A196,[1]Desglose_BOM_Componentes!$AE$1958:$AE$1970,"Sin precio",[1]Desglose_BOM_Componentes!$X$1958:$X$1970,"Empaquetado")&gt;0,"n.d.",SUMIFS([1]Desglose_BOM_Componentes!$AC$1958:$AC$1970,[1]Desglose_BOM_Componentes!$B$1958:$B$1970,$A196,[1]Desglose_BOM_Componentes!$X$1958:$X$1970,"Empaquetado"))</f>
        <v>0.21718980927938808</v>
      </c>
      <c r="F196" s="6">
        <f t="shared" si="15"/>
        <v>0.9047870820066608</v>
      </c>
      <c r="G196" s="4">
        <f>IF(COUNTIFS([1]Desglose_BOM_Componentes!$B$1958:$B$1970,$A196,[1]Desglose_BOM_Componentes!$AE$1958:$AE$1970,"Sin precio",[1]Desglose_BOM_Componentes!$X$1958:$X$1970,"Formulación")&gt;0,"n.d.",SUMIFS([1]Desglose_BOM_Componentes!$AD$1958:$AD$1970,[1]Desglose_BOM_Componentes!$B$1958:$B$1970,$A196,[1]Desglose_BOM_Componentes!$X$1958:$X$1970,"Formulación"))</f>
        <v>0.58563708225108235</v>
      </c>
      <c r="H196" s="4">
        <f>IF(COUNTIFS([1]Desglose_BOM_Componentes!$B$1958:$B$1970,$A196,[1]Desglose_BOM_Componentes!$AE$1958:$AE$1970,"Sin precio",[1]Desglose_BOM_Componentes!$X$1958:$X$1970,"Empaquetado")&gt;0,"n.d.",SUMIFS([1]Desglose_BOM_Componentes!$AD$1958:$AD$1970,[1]Desglose_BOM_Componentes!$B$1958:$B$1970,$A196,[1]Desglose_BOM_Componentes!$X$1958:$X$1970,"Empaquetado"))</f>
        <v>0.21718980927938808</v>
      </c>
      <c r="I196" s="6">
        <f t="shared" si="16"/>
        <v>0.80702689153047036</v>
      </c>
      <c r="J196" s="1" t="str">
        <f t="shared" si="14"/>
        <v>Completo</v>
      </c>
      <c r="K196" s="1">
        <f>COUNTIFS([1]Desglose_BOM_Componentes!$B$1958:$B$1970,$A196,[1]Desglose_BOM_Componentes!$AE$1958:$AE$1970,"Sin precio")</f>
        <v>0</v>
      </c>
      <c r="L196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7" spans="1:12" ht="22" customHeight="1">
      <c r="A197" s="1" t="s">
        <v>227</v>
      </c>
      <c r="B197" s="1" t="s">
        <v>18</v>
      </c>
      <c r="C197" s="1" t="s">
        <v>15</v>
      </c>
      <c r="D197" s="4">
        <f>IF(COUNTIFS([1]Desglose_BOM_Componentes!$B$1971:$B$1983,$A197,[1]Desglose_BOM_Componentes!$AE$1971:$AE$1983,"Sin precio",[1]Desglose_BOM_Componentes!$X$1971:$X$1983,"Formulación")&gt;0,"n.d.",SUMIFS([1]Desglose_BOM_Componentes!$AC$1971:$AC$1983,[1]Desglose_BOM_Componentes!$B$1971:$B$1983,$A197,[1]Desglose_BOM_Componentes!$X$1971:$X$1983,"Formulación"))</f>
        <v>0.6833972727272728</v>
      </c>
      <c r="E197" s="4">
        <f>IF(COUNTIFS([1]Desglose_BOM_Componentes!$B$1971:$B$1983,$A197,[1]Desglose_BOM_Componentes!$AE$1971:$AE$1983,"Sin precio",[1]Desglose_BOM_Componentes!$X$1971:$X$1983,"Empaquetado")&gt;0,"n.d.",SUMIFS([1]Desglose_BOM_Componentes!$AC$1971:$AC$1983,[1]Desglose_BOM_Componentes!$B$1971:$B$1983,$A197,[1]Desglose_BOM_Componentes!$X$1971:$X$1983,"Empaquetado"))</f>
        <v>0.21718980927938808</v>
      </c>
      <c r="F197" s="6">
        <f t="shared" si="15"/>
        <v>0.9047870820066608</v>
      </c>
      <c r="G197" s="4">
        <f>IF(COUNTIFS([1]Desglose_BOM_Componentes!$B$1971:$B$1983,$A197,[1]Desglose_BOM_Componentes!$AE$1971:$AE$1983,"Sin precio",[1]Desglose_BOM_Componentes!$X$1971:$X$1983,"Formulación")&gt;0,"n.d.",SUMIFS([1]Desglose_BOM_Componentes!$AD$1971:$AD$1983,[1]Desglose_BOM_Componentes!$B$1971:$B$1983,$A197,[1]Desglose_BOM_Componentes!$X$1971:$X$1983,"Formulación"))</f>
        <v>0.58563708225108235</v>
      </c>
      <c r="H197" s="4">
        <f>IF(COUNTIFS([1]Desglose_BOM_Componentes!$B$1971:$B$1983,$A197,[1]Desglose_BOM_Componentes!$AE$1971:$AE$1983,"Sin precio",[1]Desglose_BOM_Componentes!$X$1971:$X$1983,"Empaquetado")&gt;0,"n.d.",SUMIFS([1]Desglose_BOM_Componentes!$AD$1971:$AD$1983,[1]Desglose_BOM_Componentes!$B$1971:$B$1983,$A197,[1]Desglose_BOM_Componentes!$X$1971:$X$1983,"Empaquetado"))</f>
        <v>0.21718980927938808</v>
      </c>
      <c r="I197" s="6">
        <f t="shared" si="16"/>
        <v>0.80702689153047036</v>
      </c>
      <c r="J197" s="1" t="str">
        <f t="shared" ref="J197:J260" si="17">IF(K197=0,"Completo","Pendiente")</f>
        <v>Completo</v>
      </c>
      <c r="K197" s="1">
        <f>COUNTIFS([1]Desglose_BOM_Componentes!$B$1971:$B$1983,$A197,[1]Desglose_BOM_Componentes!$AE$1971:$AE$1983,"Sin precio")</f>
        <v>0</v>
      </c>
      <c r="L197" s="1" t="str">
        <f>IF('[1]Precios componentes'!D78="Sin precio","FORTE; ","")&amp;IF('[1]Precios componentes'!D126="Sin precio","SALI; ","")&amp;IF('[1]Precios componentes'!D93="Sin precio","KF78; ","")&amp;IF('[1]Precios componentes'!D124="Sin precio","SAC; ","")&amp;IF('[1]Precios componentes'!D9="Sin precio","ACIT; ","")&amp;IF('[1]Precios componentes'!D90="Sin precio","HPOL; ","")&amp;IF('[1]Precios componentes'!D54="Sin precio","EDT; ","")&amp;IF('[1]Precios componentes'!D80="Sin precio","GLI; ","")&amp;IF('[1]Precios componentes'!D136="Sin precio","SOBRE 20L; ","")&amp;IF('[1]Precios componentes'!D115="Sin precio","PAL; ","")&amp;IF('[1]Precios componentes'!D62="Sin precio","ENV20N; ","")&amp;IF('[1]Precios componentes'!D95="Sin precio","KIA250; ","")&amp;IF('[1]Precios componentes'!D147="Sin precio","TPD61IV; ","")</f>
        <v/>
      </c>
    </row>
    <row r="198" spans="1:12" ht="22" customHeight="1">
      <c r="A198" s="1" t="s">
        <v>228</v>
      </c>
      <c r="B198" s="1" t="s">
        <v>18</v>
      </c>
      <c r="C198" s="1" t="s">
        <v>26</v>
      </c>
      <c r="D198" s="4">
        <f>IF(COUNTIFS([1]Desglose_BOM_Componentes!$B$2032:$B$2044,$A198,[1]Desglose_BOM_Componentes!$AE$2032:$AE$2044,"Sin precio",[1]Desglose_BOM_Componentes!$X$2032:$X$2044,"Formulación")&gt;0,"n.d.",SUMIFS([1]Desglose_BOM_Componentes!$AC$2032:$AC$2044,[1]Desglose_BOM_Componentes!$B$2032:$B$2044,$A198,[1]Desglose_BOM_Componentes!$X$2032:$X$2044,"Formulación"))</f>
        <v>0.66941699999999993</v>
      </c>
      <c r="E198" s="4">
        <f>IF(COUNTIFS([1]Desglose_BOM_Componentes!$B$2032:$B$2044,$A198,[1]Desglose_BOM_Componentes!$AE$2032:$AE$2044,"Sin precio",[1]Desglose_BOM_Componentes!$X$2032:$X$2044,"Empaquetado")&gt;0,"n.d.",SUMIFS([1]Desglose_BOM_Componentes!$AC$2032:$AC$2044,[1]Desglose_BOM_Componentes!$B$2032:$B$2044,$A198,[1]Desglose_BOM_Componentes!$X$2032:$X$2044,"Empaquetado"))</f>
        <v>0.30928466819407252</v>
      </c>
      <c r="F198" s="6">
        <f t="shared" si="15"/>
        <v>0.98290166819407243</v>
      </c>
      <c r="G198" s="4">
        <f>IF(COUNTIFS([1]Desglose_BOM_Componentes!$B$2032:$B$2044,$A198,[1]Desglose_BOM_Componentes!$AE$2032:$AE$2044,"Sin precio",[1]Desglose_BOM_Componentes!$X$2032:$X$2044,"Formulación")&gt;0,"n.d.",SUMIFS([1]Desglose_BOM_Componentes!$AD$2032:$AD$2044,[1]Desglose_BOM_Componentes!$B$2032:$B$2044,$A198,[1]Desglose_BOM_Componentes!$X$2032:$X$2044,"Formulación"))</f>
        <v>0.5888416666666666</v>
      </c>
      <c r="H198" s="4">
        <f>IF(COUNTIFS([1]Desglose_BOM_Componentes!$B$2032:$B$2044,$A198,[1]Desglose_BOM_Componentes!$AE$2032:$AE$2044,"Sin precio",[1]Desglose_BOM_Componentes!$X$2032:$X$2044,"Empaquetado")&gt;0,"n.d.",SUMIFS([1]Desglose_BOM_Componentes!$AD$2032:$AD$2044,[1]Desglose_BOM_Componentes!$B$2032:$B$2044,$A198,[1]Desglose_BOM_Componentes!$X$2032:$X$2044,"Empaquetado"))</f>
        <v>0.30928466819407252</v>
      </c>
      <c r="I198" s="6">
        <f t="shared" si="16"/>
        <v>0.9023263348607391</v>
      </c>
      <c r="J198" s="1" t="str">
        <f t="shared" si="17"/>
        <v>Completo</v>
      </c>
      <c r="K198" s="1">
        <f>COUNTIFS([1]Desglose_BOM_Componentes!$B$2032:$B$2044,$A198,[1]Desglose_BOM_Componentes!$AE$2032:$AE$2044,"Sin precio")</f>
        <v>0</v>
      </c>
      <c r="L198" s="1" t="str">
        <f>IF('[1]Precios componentes'!D27="Sin precio","BOR; ","")&amp;IF('[1]Precios componentes'!D111="Sin precio","NCAL; ","")&amp;IF('[1]Precios componentes'!D112="Sin precio","NMGL; ","")&amp;IF('[1]Precios componentes'!D26="Sin precio","BOCAL; ","")&amp;IF('[1]Precios componentes'!D106="Sin precio","MEA; ","")&amp;IF('[1]Precios componentes'!D110="Sin precio","NCA; ","")&amp;IF('[1]Precios componentes'!D93="Sin precio","KF78;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199" spans="1:12" ht="22" customHeight="1">
      <c r="A199" s="1" t="s">
        <v>229</v>
      </c>
      <c r="B199" s="1" t="s">
        <v>68</v>
      </c>
      <c r="C199" s="1" t="s">
        <v>116</v>
      </c>
      <c r="D199" s="4">
        <f>IF(COUNTIFS([1]Desglose_BOM_Componentes!$B$2045:$B$2054,$A199,[1]Desglose_BOM_Componentes!$AE$2045:$AE$2054,"Sin precio",[1]Desglose_BOM_Componentes!$X$2045:$X$2054,"Formulación")&gt;0,"n.d.",SUMIFS([1]Desglose_BOM_Componentes!$AC$2045:$AC$2054,[1]Desglose_BOM_Componentes!$B$2045:$B$2054,$A199,[1]Desglose_BOM_Componentes!$X$2045:$X$2054,"Formulación"))</f>
        <v>2.03775</v>
      </c>
      <c r="E199" s="4">
        <f>IF(COUNTIFS([1]Desglose_BOM_Componentes!$B$2045:$B$2054,$A199,[1]Desglose_BOM_Componentes!$AE$2045:$AE$2054,"Sin precio",[1]Desglose_BOM_Componentes!$X$2045:$X$2054,"Empaquetado")&gt;0,"n.d.",SUMIFS([1]Desglose_BOM_Componentes!$AC$2045:$AC$2054,[1]Desglose_BOM_Componentes!$B$2045:$B$2054,$A199,[1]Desglose_BOM_Componentes!$X$2045:$X$2054,"Empaquetado"))</f>
        <v>0.17737936672317164</v>
      </c>
      <c r="F199" s="6">
        <f>IF(K199&gt;0,"n.d.",SUM(D199:E199))</f>
        <v>2.2151293667231715</v>
      </c>
      <c r="G199" s="4">
        <f>IF(COUNTIFS([1]Desglose_BOM_Componentes!$B$2045:$B$2054,$A199,[1]Desglose_BOM_Componentes!$AE$2045:$AE$2054,"Sin precio",[1]Desglose_BOM_Componentes!$X$2045:$X$2054,"Formulación")&gt;0,"n.d.",SUMIFS([1]Desglose_BOM_Componentes!$AD$2045:$AD$2054,[1]Desglose_BOM_Componentes!$B$2045:$B$2054,$A199,[1]Desglose_BOM_Componentes!$X$2045:$X$2054,"Formulación"))</f>
        <v>1.4135476190476188</v>
      </c>
      <c r="H199" s="4">
        <f>IF(COUNTIFS([1]Desglose_BOM_Componentes!$B$2045:$B$2054,$A199,[1]Desglose_BOM_Componentes!$AE$2045:$AE$2054,"Sin precio",[1]Desglose_BOM_Componentes!$X$2045:$X$2054,"Empaquetado")&gt;0,"n.d.",SUMIFS([1]Desglose_BOM_Componentes!$AD$2045:$AD$2054,[1]Desglose_BOM_Componentes!$B$2045:$B$2054,$A199,[1]Desglose_BOM_Componentes!$X$2045:$X$2054,"Empaquetado"))</f>
        <v>0.17737936672317164</v>
      </c>
      <c r="I199" s="6">
        <f>IF(K199&gt;0,"n.d.",SUM(G199:H199))</f>
        <v>1.5909269857707904</v>
      </c>
      <c r="J199" s="1" t="str">
        <f t="shared" si="17"/>
        <v>Completo</v>
      </c>
      <c r="K199" s="1">
        <f>COUNTIFS([1]Desglose_BOM_Componentes!$B$2045:$B$2054,$A199,[1]Desglose_BOM_Componentes!$AE$2045:$AE$2054,"Sin precio")</f>
        <v>0</v>
      </c>
      <c r="L199" s="1" t="str">
        <f>IF('[1]Precios componentes'!D40="Sin precio","CCB; ","")&amp;IF('[1]Precios componentes'!D29="Sin precio","BP; ","")&amp;IF('[1]Precios componentes'!D53="Sin precio","EBRO; ","")&amp;IF('[1]Precios componentes'!D104="Sin precio","MAL;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componentes'!D97="Sin precio","LAM1; ","")&amp;IF('[1]Precios componentes'!D70="Sin precio","ETQVP165; ","")</f>
        <v/>
      </c>
    </row>
    <row r="200" spans="1:12" ht="22" customHeight="1">
      <c r="A200" s="1" t="s">
        <v>230</v>
      </c>
      <c r="B200" s="1" t="s">
        <v>68</v>
      </c>
      <c r="C200" s="1" t="s">
        <v>24</v>
      </c>
      <c r="D200" s="4">
        <f>IF(COUNTIFS([1]Desglose_BOM_Componentes!$B$5119:$B$5128,$A200,[1]Desglose_BOM_Componentes!$AE$5119:$AE$5128,"Sin precio",[1]Desglose_BOM_Componentes!$X$5119:$X$5128,"Formulación")&gt;0,"n.d.",SUMIFS([1]Desglose_BOM_Componentes!$AC$5119:$AC$5128,[1]Desglose_BOM_Componentes!$B$5119:$B$5128,$A200,[1]Desglose_BOM_Componentes!$X$5119:$X$5128,"Formulación"))</f>
        <v>2.03775</v>
      </c>
      <c r="E200" s="4">
        <f>IF(COUNTIFS([1]Desglose_BOM_Componentes!$B$5119:$B$5128,$A200,[1]Desglose_BOM_Componentes!$AE$5119:$AE$5128,"Sin precio",[1]Desglose_BOM_Componentes!$X$5119:$X$5128,"Empaquetado")&gt;0,"n.d.",SUMIFS([1]Desglose_BOM_Componentes!$AC$5119:$AC$5128,[1]Desglose_BOM_Componentes!$B$5119:$B$5128,$A200,[1]Desglose_BOM_Componentes!$X$5119:$X$5128,"Empaquetado"))</f>
        <v>0.10150232859712599</v>
      </c>
      <c r="F200" s="6">
        <f>IF(K200&gt;0,"n.d.",SUM(D200:E200))</f>
        <v>2.1392523285971259</v>
      </c>
      <c r="G200" s="4">
        <f>IF(COUNTIFS([1]Desglose_BOM_Componentes!$B$5119:$B$5128,$A200,[1]Desglose_BOM_Componentes!$AE$5119:$AE$5128,"Sin precio",[1]Desglose_BOM_Componentes!$X$5119:$X$5128,"Formulación")&gt;0,"n.d.",SUMIFS([1]Desglose_BOM_Componentes!$AD$5119:$AD$5128,[1]Desglose_BOM_Componentes!$B$5119:$B$5128,$A200,[1]Desglose_BOM_Componentes!$X$5119:$X$5128,"Formulación"))</f>
        <v>1.4135476190476188</v>
      </c>
      <c r="H200" s="4">
        <f>IF(COUNTIFS([1]Desglose_BOM_Componentes!$B$5119:$B$5128,$A200,[1]Desglose_BOM_Componentes!$AE$5119:$AE$5128,"Sin precio",[1]Desglose_BOM_Componentes!$X$5119:$X$5128,"Empaquetado")&gt;0,"n.d.",SUMIFS([1]Desglose_BOM_Componentes!$AD$5119:$AD$5128,[1]Desglose_BOM_Componentes!$B$5119:$B$5128,$A200,[1]Desglose_BOM_Componentes!$X$5119:$X$5128,"Empaquetado"))</f>
        <v>0.10150232859712599</v>
      </c>
      <c r="I200" s="6">
        <f>IF(K200&gt;0,"n.d.",SUM(G200:H200))</f>
        <v>1.5150499476447448</v>
      </c>
      <c r="J200" s="1" t="str">
        <f t="shared" si="17"/>
        <v>Completo</v>
      </c>
      <c r="K200" s="1">
        <f>COUNTIFS([1]Desglose_BOM_Componentes!$B$5119:$B$5128,$A200,[1]Desglose_BOM_Componentes!$AE$5119:$AE$5128,"Sin precio")</f>
        <v>0</v>
      </c>
      <c r="L200" s="1" t="str">
        <f>IF('[1]Precios componentes'!D40="Sin precio","CCB; ","")&amp;IF('[1]Precios componentes'!D29="Sin precio","BP; ","")&amp;IF('[1]Precios componentes'!D53="Sin precio","EBRO; ","")&amp;IF('[1]Precios componentes'!D104="Sin precio","MAL; ","")&amp;IF('[1]Precios componentes'!D137="Sin precio","SOBRE 5L; ","")&amp;IF('[1]Precios componentes'!D70="Sin precio","ETQVP165; ","")&amp;IF('[1]Precios componentes'!D94="Sin precio","KIA220; ","")&amp;IF('[1]Precios componentes'!D98="Sin precio","LAM2; ","")&amp;IF('[1]Precios componentes'!D34="Sin precio","CAG; ","")&amp;IF('[1]Precios componentes'!D115="Sin precio","PAL; ","")</f>
        <v/>
      </c>
    </row>
    <row r="201" spans="1:12" ht="22" customHeight="1">
      <c r="A201" s="1" t="s">
        <v>231</v>
      </c>
      <c r="B201" s="1" t="s">
        <v>68</v>
      </c>
      <c r="C201" s="1" t="s">
        <v>99</v>
      </c>
      <c r="D201" s="4">
        <f>IF(COUNTIFS([1]Desglose_BOM_Componentes!$B$2055:$B$2064,$A201,[1]Desglose_BOM_Componentes!$AE$2055:$AE$2064,"Sin precio",[1]Desglose_BOM_Componentes!$X$2055:$X$2064,"Formulación")&gt;0,"n.d.",SUMIFS([1]Desglose_BOM_Componentes!$AC$2055:$AC$2064,[1]Desglose_BOM_Componentes!$B$2055:$B$2064,$A201,[1]Desglose_BOM_Componentes!$X$2055:$X$2064,"Formulación"))</f>
        <v>2.03775</v>
      </c>
      <c r="E201" s="4">
        <f>IF(COUNTIFS([1]Desglose_BOM_Componentes!$B$2055:$B$2064,$A201,[1]Desglose_BOM_Componentes!$AE$2055:$AE$2064,"Sin precio",[1]Desglose_BOM_Componentes!$X$2055:$X$2064,"Empaquetado")&gt;0,"n.d.",SUMIFS([1]Desglose_BOM_Componentes!$AC$2055:$AC$2064,[1]Desglose_BOM_Componentes!$B$2055:$B$2064,$A201,[1]Desglose_BOM_Componentes!$X$2055:$X$2064,"Empaquetado"))</f>
        <v>0.10150232859712599</v>
      </c>
      <c r="F201" s="6">
        <f>IF(K201&gt;0,"n.d.",SUM(D201:E201))</f>
        <v>2.1392523285971259</v>
      </c>
      <c r="G201" s="4">
        <f>IF(COUNTIFS([1]Desglose_BOM_Componentes!$B$2055:$B$2064,$A201,[1]Desglose_BOM_Componentes!$AE$2055:$AE$2064,"Sin precio",[1]Desglose_BOM_Componentes!$X$2055:$X$2064,"Formulación")&gt;0,"n.d.",SUMIFS([1]Desglose_BOM_Componentes!$AD$2055:$AD$2064,[1]Desglose_BOM_Componentes!$B$2055:$B$2064,$A201,[1]Desglose_BOM_Componentes!$X$2055:$X$2064,"Formulación"))</f>
        <v>1.4135476190476188</v>
      </c>
      <c r="H201" s="4">
        <f>IF(COUNTIFS([1]Desglose_BOM_Componentes!$B$2055:$B$2064,$A201,[1]Desglose_BOM_Componentes!$AE$2055:$AE$2064,"Sin precio",[1]Desglose_BOM_Componentes!$X$2055:$X$2064,"Empaquetado")&gt;0,"n.d.",SUMIFS([1]Desglose_BOM_Componentes!$AD$2055:$AD$2064,[1]Desglose_BOM_Componentes!$B$2055:$B$2064,$A201,[1]Desglose_BOM_Componentes!$X$2055:$X$2064,"Empaquetado"))</f>
        <v>0.10150232859712599</v>
      </c>
      <c r="I201" s="6">
        <f>IF(K201&gt;0,"n.d.",SUM(G201:H201))</f>
        <v>1.5150499476447448</v>
      </c>
      <c r="J201" s="1" t="str">
        <f t="shared" si="17"/>
        <v>Completo</v>
      </c>
      <c r="K201" s="1">
        <f>COUNTIFS([1]Desglose_BOM_Componentes!$B$2055:$B$2064,$A201,[1]Desglose_BOM_Componentes!$AE$2055:$AE$2064,"Sin precio")</f>
        <v>0</v>
      </c>
      <c r="L201" s="1" t="str">
        <f>IF('[1]Precios componentes'!D40="Sin precio","CCB; ","")&amp;IF('[1]Precios componentes'!D29="Sin precio","BP; ","")&amp;IF('[1]Precios componentes'!D53="Sin precio","EBRO; ","")&amp;IF('[1]Precios componentes'!D104="Sin precio","MAL; ","")&amp;IF('[1]Precios componentes'!D137="Sin precio","SOBRE 5L; ","")&amp;IF('[1]Precios componentes'!D70="Sin precio","ETQVP165; ","")&amp;IF('[1]Precios componentes'!D94="Sin precio","KIA220; ","")&amp;IF('[1]Precios componentes'!D98="Sin precio","LAM2; ","")&amp;IF('[1]Precios componentes'!D34="Sin precio","CAG; ","")&amp;IF('[1]Precios componentes'!D115="Sin precio","PAL; ","")</f>
        <v/>
      </c>
    </row>
    <row r="202" spans="1:12" ht="22" customHeight="1">
      <c r="A202" s="1" t="s">
        <v>232</v>
      </c>
      <c r="B202" s="1" t="s">
        <v>68</v>
      </c>
      <c r="C202" s="1" t="s">
        <v>24</v>
      </c>
      <c r="D202" s="4">
        <f>IF(COUNTIFS([1]Desglose_BOM_Componentes!$B$2065:$B$2074,$A202,[1]Desglose_BOM_Componentes!$AE$2065:$AE$2074,"Sin precio",[1]Desglose_BOM_Componentes!$X$2065:$X$2074,"Formulación")&gt;0,"n.d.",SUMIFS([1]Desglose_BOM_Componentes!$AC$2065:$AC$2074,[1]Desglose_BOM_Componentes!$B$2065:$B$2074,$A202,[1]Desglose_BOM_Componentes!$X$2065:$X$2074,"Formulación"))</f>
        <v>2.0255900000000002</v>
      </c>
      <c r="E202" s="4">
        <f>IF(COUNTIFS([1]Desglose_BOM_Componentes!$B$2065:$B$2074,$A202,[1]Desglose_BOM_Componentes!$AE$2065:$AE$2074,"Sin precio",[1]Desglose_BOM_Componentes!$X$2065:$X$2074,"Empaquetado")&gt;0,"n.d.",SUMIFS([1]Desglose_BOM_Componentes!$AC$2065:$AC$2074,[1]Desglose_BOM_Componentes!$B$2065:$B$2074,$A202,[1]Desglose_BOM_Componentes!$X$2065:$X$2074,"Empaquetado"))</f>
        <v>0.10354733439422743</v>
      </c>
      <c r="F202" s="6">
        <f>IF(K202&gt;0,"n.d.",SUM(D202:E202))</f>
        <v>2.1291373343942275</v>
      </c>
      <c r="G202" s="4">
        <f>IF(COUNTIFS([1]Desglose_BOM_Componentes!$B$2065:$B$2074,$A202,[1]Desglose_BOM_Componentes!$AE$2065:$AE$2074,"Sin precio",[1]Desglose_BOM_Componentes!$X$2065:$X$2074,"Formulación")&gt;0,"n.d.",SUMIFS([1]Desglose_BOM_Componentes!$AD$2065:$AD$2074,[1]Desglose_BOM_Componentes!$B$2065:$B$2074,$A202,[1]Desglose_BOM_Componentes!$X$2065:$X$2074,"Formulación"))</f>
        <v>1.4110985714285713</v>
      </c>
      <c r="H202" s="4">
        <f>IF(COUNTIFS([1]Desglose_BOM_Componentes!$B$2065:$B$2074,$A202,[1]Desglose_BOM_Componentes!$AE$2065:$AE$2074,"Sin precio",[1]Desglose_BOM_Componentes!$X$2065:$X$2074,"Empaquetado")&gt;0,"n.d.",SUMIFS([1]Desglose_BOM_Componentes!$AD$2065:$AD$2074,[1]Desglose_BOM_Componentes!$B$2065:$B$2074,$A202,[1]Desglose_BOM_Componentes!$X$2065:$X$2074,"Empaquetado"))</f>
        <v>0.10354733439422743</v>
      </c>
      <c r="I202" s="6">
        <f>IF(K202&gt;0,"n.d.",SUM(G202:H202))</f>
        <v>1.5146459058227988</v>
      </c>
      <c r="J202" s="1" t="str">
        <f t="shared" si="17"/>
        <v>Completo</v>
      </c>
      <c r="K202" s="1">
        <f>COUNTIFS([1]Desglose_BOM_Componentes!$B$2065:$B$2074,$A202,[1]Desglose_BOM_Componentes!$AE$2065:$AE$2074,"Sin precio")</f>
        <v>0</v>
      </c>
      <c r="L202" s="1" t="str">
        <f>IF('[1]Precios componentes'!D29="Sin precio","BP; ","")&amp;IF('[1]Precios componentes'!D40="Sin precio","CCB; ","")&amp;IF('[1]Precios componentes'!D53="Sin precio","EBRO; ","")&amp;IF('[1]Precios componentes'!D104="Sin precio","MAL; ","")&amp;IF('[1]Precios componentes'!D107="Sin precio","MGO;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03" spans="1:12" ht="22" customHeight="1">
      <c r="A203" s="1" t="s">
        <v>233</v>
      </c>
      <c r="B203" s="1" t="s">
        <v>14</v>
      </c>
      <c r="C203" s="1" t="s">
        <v>24</v>
      </c>
      <c r="D203" s="4">
        <f>IF(COUNTIFS([1]Desglose_BOM_Componentes!$B$2131:$B$2144,$A203,[1]Desglose_BOM_Componentes!$AE$2131:$AE$2144,"Sin precio",[1]Desglose_BOM_Componentes!$X$2131:$X$2144,"Formulación")&gt;0,"n.d.",SUMIFS([1]Desglose_BOM_Componentes!$AC$2131:$AC$2144,[1]Desglose_BOM_Componentes!$B$2131:$B$2144,$A203,[1]Desglose_BOM_Componentes!$X$2131:$X$2144,"Formulación"))</f>
        <v>0.30458161334438466</v>
      </c>
      <c r="E203" s="4">
        <f>IF(COUNTIFS([1]Desglose_BOM_Componentes!$B$2131:$B$2144,$A203,[1]Desglose_BOM_Componentes!$AE$2131:$AE$2144,"Sin precio",[1]Desglose_BOM_Componentes!$X$2131:$X$2144,"Empaquetado")&gt;0,"n.d.",SUMIFS([1]Desglose_BOM_Componentes!$AC$2131:$AC$2144,[1]Desglose_BOM_Componentes!$B$2131:$B$2144,$A203,[1]Desglose_BOM_Componentes!$X$2131:$X$2144,"Empaquetado"))</f>
        <v>0.19720718641304349</v>
      </c>
      <c r="F203" s="6">
        <f t="shared" ref="F203:F230" si="18">IF(K203&gt;0,"n.d.",SUM(D203:E203)+0.0042)</f>
        <v>0.50598879975742816</v>
      </c>
      <c r="G203" s="4">
        <f>IF(COUNTIFS([1]Desglose_BOM_Componentes!$B$2131:$B$2144,$A203,[1]Desglose_BOM_Componentes!$AE$2131:$AE$2144,"Sin precio",[1]Desglose_BOM_Componentes!$X$2131:$X$2144,"Formulación")&gt;0,"n.d.",SUMIFS([1]Desglose_BOM_Componentes!$AD$2131:$AD$2144,[1]Desglose_BOM_Componentes!$B$2131:$B$2144,$A203,[1]Desglose_BOM_Componentes!$X$2131:$X$2144,"Formulación"))</f>
        <v>0.30353950808122676</v>
      </c>
      <c r="H203" s="4">
        <f>IF(COUNTIFS([1]Desglose_BOM_Componentes!$B$2131:$B$2144,$A203,[1]Desglose_BOM_Componentes!$AE$2131:$AE$2144,"Sin precio",[1]Desglose_BOM_Componentes!$X$2131:$X$2144,"Empaquetado")&gt;0,"n.d.",SUMIFS([1]Desglose_BOM_Componentes!$AD$2131:$AD$2144,[1]Desglose_BOM_Componentes!$B$2131:$B$2144,$A203,[1]Desglose_BOM_Componentes!$X$2131:$X$2144,"Empaquetado"))</f>
        <v>0.19720718641304349</v>
      </c>
      <c r="I203" s="6">
        <f t="shared" ref="I203:I230" si="19">IF(K203&gt;0,"n.d.",SUM(G203:H203)+0.0042)</f>
        <v>0.50494669449427021</v>
      </c>
      <c r="J203" s="1" t="str">
        <f t="shared" si="17"/>
        <v>Completo</v>
      </c>
      <c r="K203" s="1">
        <f>COUNTIFS([1]Desglose_BOM_Componentes!$B$2131:$B$2144,$A203,[1]Desglose_BOM_Componentes!$AE$2131:$AE$2144,"Sin precio")</f>
        <v>0</v>
      </c>
      <c r="L203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componentes'!D118="Sin precio","PRO; ","")&amp;IF('[1]Precios componentes'!D107="Sin precio","MGO; ","")&amp;IF('[1]Precios componentes'!D115="Sin precio","PAL; ","")&amp;IF('[1]Precios componentes'!D138="Sin precio","SOBREALC; ","")&amp;IF('[1]Precios componentes'!D94="Sin precio","KIA220; ","")&amp;IF('[1]Precios componentes'!D22="Sin precio","B5ALC; ","")&amp;IF('[1]Precios componentes'!D49="Sin precio","CWH; ","")</f>
        <v/>
      </c>
    </row>
    <row r="204" spans="1:12" ht="22" customHeight="1">
      <c r="A204" s="1" t="s">
        <v>234</v>
      </c>
      <c r="B204" s="1" t="s">
        <v>14</v>
      </c>
      <c r="C204" s="1" t="s">
        <v>24</v>
      </c>
      <c r="D204" s="4">
        <f>IF(COUNTIFS([1]Desglose_BOM_Componentes!$B$2075:$B$2088,$A204,[1]Desglose_BOM_Componentes!$AE$2075:$AE$2088,"Sin precio",[1]Desglose_BOM_Componentes!$X$2075:$X$2088,"Formulación")&gt;0,"n.d.",SUMIFS([1]Desglose_BOM_Componentes!$AC$2075:$AC$2088,[1]Desglose_BOM_Componentes!$B$2075:$B$2088,$A204,[1]Desglose_BOM_Componentes!$X$2075:$X$2088,"Formulación"))</f>
        <v>0.30458161334438466</v>
      </c>
      <c r="E204" s="4">
        <f>IF(COUNTIFS([1]Desglose_BOM_Componentes!$B$2075:$B$2088,$A204,[1]Desglose_BOM_Componentes!$AE$2075:$AE$2088,"Sin precio",[1]Desglose_BOM_Componentes!$X$2075:$X$2088,"Empaquetado")&gt;0,"n.d.",SUMIFS([1]Desglose_BOM_Componentes!$AC$2075:$AC$2088,[1]Desglose_BOM_Componentes!$B$2075:$B$2088,$A204,[1]Desglose_BOM_Componentes!$X$2075:$X$2088,"Empaquetado"))</f>
        <v>0.19580082277667984</v>
      </c>
      <c r="F204" s="6">
        <f t="shared" si="18"/>
        <v>0.50458243612106446</v>
      </c>
      <c r="G204" s="4">
        <f>IF(COUNTIFS([1]Desglose_BOM_Componentes!$B$2075:$B$2088,$A204,[1]Desglose_BOM_Componentes!$AE$2075:$AE$2088,"Sin precio",[1]Desglose_BOM_Componentes!$X$2075:$X$2088,"Formulación")&gt;0,"n.d.",SUMIFS([1]Desglose_BOM_Componentes!$AD$2075:$AD$2088,[1]Desglose_BOM_Componentes!$B$2075:$B$2088,$A204,[1]Desglose_BOM_Componentes!$X$2075:$X$2088,"Formulación"))</f>
        <v>0.30353950808122676</v>
      </c>
      <c r="H204" s="4">
        <f>IF(COUNTIFS([1]Desglose_BOM_Componentes!$B$2075:$B$2088,$A204,[1]Desglose_BOM_Componentes!$AE$2075:$AE$2088,"Sin precio",[1]Desglose_BOM_Componentes!$X$2075:$X$2088,"Empaquetado")&gt;0,"n.d.",SUMIFS([1]Desglose_BOM_Componentes!$AD$2075:$AD$2088,[1]Desglose_BOM_Componentes!$B$2075:$B$2088,$A204,[1]Desglose_BOM_Componentes!$X$2075:$X$2088,"Empaquetado"))</f>
        <v>0.19580082277667984</v>
      </c>
      <c r="I204" s="6">
        <f t="shared" si="19"/>
        <v>0.50354033085790662</v>
      </c>
      <c r="J204" s="1" t="str">
        <f t="shared" si="17"/>
        <v>Completo</v>
      </c>
      <c r="K204" s="1">
        <f>COUNTIFS([1]Desglose_BOM_Componentes!$B$2075:$B$2088,$A204,[1]Desglose_BOM_Componentes!$AE$2075:$AE$2088,"Sin precio")</f>
        <v>0</v>
      </c>
      <c r="L204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componentes'!D118="Sin precio","PRO; ","")&amp;IF('[1]Precios componentes'!D107="Sin precio","MGO; ","")&amp;IF('[1]Precios componentes'!D138="Sin precio","SOBREALC; ","")&amp;IF('[1]Precios componentes'!D115="Sin precio","PAL; ","")&amp;IF('[1]Precios componentes'!D49="Sin precio","CWH; ","")&amp;IF('[1]Precios componentes'!D94="Sin precio","KIA220; ","")&amp;IF('[1]Precios componentes'!D22="Sin precio","B5ALC; ","")</f>
        <v/>
      </c>
    </row>
    <row r="205" spans="1:12" ht="22" customHeight="1">
      <c r="A205" s="1" t="s">
        <v>235</v>
      </c>
      <c r="B205" s="1" t="s">
        <v>14</v>
      </c>
      <c r="C205" s="1" t="s">
        <v>84</v>
      </c>
      <c r="D205" s="4">
        <f>IF(COUNTIFS([1]Desglose_BOM_Componentes!$B$2089:$B$2102,$A205,[1]Desglose_BOM_Componentes!$AE$2089:$AE$2102,"Sin precio",[1]Desglose_BOM_Componentes!$X$2089:$X$2102,"Formulación")&gt;0,"n.d.",SUMIFS([1]Desglose_BOM_Componentes!$AC$2089:$AC$2102,[1]Desglose_BOM_Componentes!$B$2089:$B$2102,$A205,[1]Desglose_BOM_Componentes!$X$2089:$X$2102,"Formulación"))</f>
        <v>0.30458161334438466</v>
      </c>
      <c r="E205" s="4">
        <f>IF(COUNTIFS([1]Desglose_BOM_Componentes!$B$2089:$B$2102,$A205,[1]Desglose_BOM_Componentes!$AE$2089:$AE$2102,"Sin precio",[1]Desglose_BOM_Componentes!$X$2089:$X$2102,"Empaquetado")&gt;0,"n.d.",SUMIFS([1]Desglose_BOM_Componentes!$AC$2089:$AC$2102,[1]Desglose_BOM_Componentes!$B$2089:$B$2102,$A205,[1]Desglose_BOM_Componentes!$X$2089:$X$2102,"Empaquetado"))</f>
        <v>0.19580082277667984</v>
      </c>
      <c r="F205" s="6">
        <f t="shared" si="18"/>
        <v>0.50458243612106446</v>
      </c>
      <c r="G205" s="4">
        <f>IF(COUNTIFS([1]Desglose_BOM_Componentes!$B$2089:$B$2102,$A205,[1]Desglose_BOM_Componentes!$AE$2089:$AE$2102,"Sin precio",[1]Desglose_BOM_Componentes!$X$2089:$X$2102,"Formulación")&gt;0,"n.d.",SUMIFS([1]Desglose_BOM_Componentes!$AD$2089:$AD$2102,[1]Desglose_BOM_Componentes!$B$2089:$B$2102,$A205,[1]Desglose_BOM_Componentes!$X$2089:$X$2102,"Formulación"))</f>
        <v>0.30353950808122676</v>
      </c>
      <c r="H205" s="4">
        <f>IF(COUNTIFS([1]Desglose_BOM_Componentes!$B$2089:$B$2102,$A205,[1]Desglose_BOM_Componentes!$AE$2089:$AE$2102,"Sin precio",[1]Desglose_BOM_Componentes!$X$2089:$X$2102,"Empaquetado")&gt;0,"n.d.",SUMIFS([1]Desglose_BOM_Componentes!$AD$2089:$AD$2102,[1]Desglose_BOM_Componentes!$B$2089:$B$2102,$A205,[1]Desglose_BOM_Componentes!$X$2089:$X$2102,"Empaquetado"))</f>
        <v>0.19580082277667984</v>
      </c>
      <c r="I205" s="6">
        <f t="shared" si="19"/>
        <v>0.50354033085790662</v>
      </c>
      <c r="J205" s="1" t="str">
        <f t="shared" si="17"/>
        <v>Completo</v>
      </c>
      <c r="K205" s="1">
        <f>COUNTIFS([1]Desglose_BOM_Componentes!$B$2089:$B$2102,$A205,[1]Desglose_BOM_Componentes!$AE$2089:$AE$2102,"Sin precio")</f>
        <v>0</v>
      </c>
      <c r="L205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componentes'!D118="Sin precio","PRO; ","")&amp;IF('[1]Precios componentes'!D107="Sin precio","MGO; ","")&amp;IF('[1]Precios componentes'!D138="Sin precio","SOBREALC; ","")&amp;IF('[1]Precios componentes'!D115="Sin precio","PAL; ","")&amp;IF('[1]Precios componentes'!D49="Sin precio","CWH; ","")&amp;IF('[1]Precios componentes'!D94="Sin precio","KIA220; ","")&amp;IF('[1]Precios componentes'!D22="Sin precio","B5ALC; ","")</f>
        <v/>
      </c>
    </row>
    <row r="206" spans="1:12" ht="22" customHeight="1">
      <c r="A206" s="1" t="s">
        <v>236</v>
      </c>
      <c r="B206" s="1" t="s">
        <v>14</v>
      </c>
      <c r="C206" s="1" t="s">
        <v>116</v>
      </c>
      <c r="D206" s="4">
        <f>IF(COUNTIFS([1]Desglose_BOM_Componentes!$B$2103:$B$2116,$A206,[1]Desglose_BOM_Componentes!$AE$2103:$AE$2116,"Sin precio",[1]Desglose_BOM_Componentes!$X$2103:$X$2116,"Formulación")&gt;0,"n.d.",SUMIFS([1]Desglose_BOM_Componentes!$AC$2103:$AC$2116,[1]Desglose_BOM_Componentes!$B$2103:$B$2116,$A206,[1]Desglose_BOM_Componentes!$X$2103:$X$2116,"Formulación"))</f>
        <v>0.30458161334438466</v>
      </c>
      <c r="E206" s="4">
        <f>IF(COUNTIFS([1]Desglose_BOM_Componentes!$B$2103:$B$2116,$A206,[1]Desglose_BOM_Componentes!$AE$2103:$AE$2116,"Sin precio",[1]Desglose_BOM_Componentes!$X$2103:$X$2116,"Empaquetado")&gt;0,"n.d.",SUMIFS([1]Desglose_BOM_Componentes!$AC$2103:$AC$2116,[1]Desglose_BOM_Componentes!$B$2103:$B$2116,$A206,[1]Desglose_BOM_Componentes!$X$2103:$X$2116,"Empaquetado"))</f>
        <v>0.19580082277667984</v>
      </c>
      <c r="F206" s="6">
        <f t="shared" si="18"/>
        <v>0.50458243612106446</v>
      </c>
      <c r="G206" s="4">
        <f>IF(COUNTIFS([1]Desglose_BOM_Componentes!$B$2103:$B$2116,$A206,[1]Desglose_BOM_Componentes!$AE$2103:$AE$2116,"Sin precio",[1]Desglose_BOM_Componentes!$X$2103:$X$2116,"Formulación")&gt;0,"n.d.",SUMIFS([1]Desglose_BOM_Componentes!$AD$2103:$AD$2116,[1]Desglose_BOM_Componentes!$B$2103:$B$2116,$A206,[1]Desglose_BOM_Componentes!$X$2103:$X$2116,"Formulación"))</f>
        <v>0.30353950808122676</v>
      </c>
      <c r="H206" s="4">
        <f>IF(COUNTIFS([1]Desglose_BOM_Componentes!$B$2103:$B$2116,$A206,[1]Desglose_BOM_Componentes!$AE$2103:$AE$2116,"Sin precio",[1]Desglose_BOM_Componentes!$X$2103:$X$2116,"Empaquetado")&gt;0,"n.d.",SUMIFS([1]Desglose_BOM_Componentes!$AD$2103:$AD$2116,[1]Desglose_BOM_Componentes!$B$2103:$B$2116,$A206,[1]Desglose_BOM_Componentes!$X$2103:$X$2116,"Empaquetado"))</f>
        <v>0.19580082277667984</v>
      </c>
      <c r="I206" s="6">
        <f t="shared" si="19"/>
        <v>0.50354033085790662</v>
      </c>
      <c r="J206" s="1" t="str">
        <f t="shared" si="17"/>
        <v>Completo</v>
      </c>
      <c r="K206" s="1">
        <f>COUNTIFS([1]Desglose_BOM_Componentes!$B$2103:$B$2116,$A206,[1]Desglose_BOM_Componentes!$AE$2103:$AE$2116,"Sin precio")</f>
        <v>0</v>
      </c>
      <c r="L206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componentes'!D118="Sin precio","PRO; ","")&amp;IF('[1]Precios componentes'!D107="Sin precio","MGO; ","")&amp;IF('[1]Precios componentes'!D138="Sin precio","SOBREALC; ","")&amp;IF('[1]Precios componentes'!D115="Sin precio","PAL; ","")&amp;IF('[1]Precios componentes'!D49="Sin precio","CWH; ","")&amp;IF('[1]Precios componentes'!D94="Sin precio","KIA220; ","")&amp;IF('[1]Precios componentes'!D22="Sin precio","B5ALC; ","")</f>
        <v/>
      </c>
    </row>
    <row r="207" spans="1:12" ht="22" customHeight="1">
      <c r="A207" s="1" t="s">
        <v>237</v>
      </c>
      <c r="B207" s="1" t="s">
        <v>14</v>
      </c>
      <c r="C207" s="1" t="s">
        <v>26</v>
      </c>
      <c r="D207" s="4">
        <f>IF(COUNTIFS([1]Desglose_BOM_Componentes!$B$2117:$B$2130,$A207,[1]Desglose_BOM_Componentes!$AE$2117:$AE$2130,"Sin precio",[1]Desglose_BOM_Componentes!$X$2117:$X$2130,"Formulación")&gt;0,"n.d.",SUMIFS([1]Desglose_BOM_Componentes!$AC$2117:$AC$2130,[1]Desglose_BOM_Componentes!$B$2117:$B$2130,$A207,[1]Desglose_BOM_Componentes!$X$2117:$X$2130,"Formulación"))</f>
        <v>0.30458161334438466</v>
      </c>
      <c r="E207" s="4">
        <f>IF(COUNTIFS([1]Desglose_BOM_Componentes!$B$2117:$B$2130,$A207,[1]Desglose_BOM_Componentes!$AE$2117:$AE$2130,"Sin precio",[1]Desglose_BOM_Componentes!$X$2117:$X$2130,"Empaquetado")&gt;0,"n.d.",SUMIFS([1]Desglose_BOM_Componentes!$AC$2117:$AC$2130,[1]Desglose_BOM_Componentes!$B$2117:$B$2130,$A207,[1]Desglose_BOM_Componentes!$X$2117:$X$2130,"Empaquetado"))</f>
        <v>0.19580082277667984</v>
      </c>
      <c r="F207" s="6">
        <f t="shared" si="18"/>
        <v>0.50458243612106446</v>
      </c>
      <c r="G207" s="4">
        <f>IF(COUNTIFS([1]Desglose_BOM_Componentes!$B$2117:$B$2130,$A207,[1]Desglose_BOM_Componentes!$AE$2117:$AE$2130,"Sin precio",[1]Desglose_BOM_Componentes!$X$2117:$X$2130,"Formulación")&gt;0,"n.d.",SUMIFS([1]Desglose_BOM_Componentes!$AD$2117:$AD$2130,[1]Desglose_BOM_Componentes!$B$2117:$B$2130,$A207,[1]Desglose_BOM_Componentes!$X$2117:$X$2130,"Formulación"))</f>
        <v>0.30353950808122676</v>
      </c>
      <c r="H207" s="4">
        <f>IF(COUNTIFS([1]Desglose_BOM_Componentes!$B$2117:$B$2130,$A207,[1]Desglose_BOM_Componentes!$AE$2117:$AE$2130,"Sin precio",[1]Desglose_BOM_Componentes!$X$2117:$X$2130,"Empaquetado")&gt;0,"n.d.",SUMIFS([1]Desglose_BOM_Componentes!$AD$2117:$AD$2130,[1]Desglose_BOM_Componentes!$B$2117:$B$2130,$A207,[1]Desglose_BOM_Componentes!$X$2117:$X$2130,"Empaquetado"))</f>
        <v>0.19580082277667984</v>
      </c>
      <c r="I207" s="6">
        <f t="shared" si="19"/>
        <v>0.50354033085790662</v>
      </c>
      <c r="J207" s="1" t="str">
        <f t="shared" si="17"/>
        <v>Completo</v>
      </c>
      <c r="K207" s="1">
        <f>COUNTIFS([1]Desglose_BOM_Componentes!$B$2117:$B$2130,$A207,[1]Desglose_BOM_Componentes!$AE$2117:$AE$2130,"Sin precio")</f>
        <v>0</v>
      </c>
      <c r="L207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componentes'!D118="Sin precio","PRO; ","")&amp;IF('[1]Precios componentes'!D107="Sin precio","MGO; ","")&amp;IF('[1]Precios componentes'!D138="Sin precio","SOBREALC; ","")&amp;IF('[1]Precios componentes'!D115="Sin precio","PAL; ","")&amp;IF('[1]Precios componentes'!D49="Sin precio","CWH; ","")&amp;IF('[1]Precios componentes'!D94="Sin precio","KIA220; ","")&amp;IF('[1]Precios componentes'!D22="Sin precio","B5ALC; ","")</f>
        <v/>
      </c>
    </row>
    <row r="208" spans="1:12" ht="22" customHeight="1">
      <c r="A208" s="1" t="s">
        <v>238</v>
      </c>
      <c r="B208" s="1" t="s">
        <v>18</v>
      </c>
      <c r="C208" s="1" t="s">
        <v>24</v>
      </c>
      <c r="D208" s="4">
        <f>IF(COUNTIFS([1]Desglose_BOM_Componentes!$B$2145:$B$2159,$A208,[1]Desglose_BOM_Componentes!$AE$2145:$AE$2159,"Sin precio",[1]Desglose_BOM_Componentes!$X$2145:$X$2159,"Formulación")&gt;0,"n.d.",SUMIFS([1]Desglose_BOM_Componentes!$AC$2145:$AC$2159,[1]Desglose_BOM_Componentes!$B$2145:$B$2159,$A208,[1]Desglose_BOM_Componentes!$X$2145:$X$2159,"Formulación"))</f>
        <v>1.0677840000000001</v>
      </c>
      <c r="E208" s="4">
        <f>IF(COUNTIFS([1]Desglose_BOM_Componentes!$B$2145:$B$2159,$A208,[1]Desglose_BOM_Componentes!$AE$2145:$AE$2159,"Sin precio",[1]Desglose_BOM_Componentes!$X$2145:$X$2159,"Empaquetado")&gt;0,"n.d.",SUMIFS([1]Desglose_BOM_Componentes!$AC$2145:$AC$2159,[1]Desglose_BOM_Componentes!$B$2145:$B$2159,$A208,[1]Desglose_BOM_Componentes!$X$2145:$X$2159,"Empaquetado"))</f>
        <v>1.0859479144143824</v>
      </c>
      <c r="F208" s="6">
        <f t="shared" si="18"/>
        <v>2.1579319144143825</v>
      </c>
      <c r="G208" s="4">
        <f>IF(COUNTIFS([1]Desglose_BOM_Componentes!$B$2145:$B$2159,$A208,[1]Desglose_BOM_Componentes!$AE$2145:$AE$2159,"Sin precio",[1]Desglose_BOM_Componentes!$X$2145:$X$2159,"Formulación")&gt;0,"n.d.",SUMIFS([1]Desglose_BOM_Componentes!$AD$2145:$AD$2159,[1]Desglose_BOM_Componentes!$B$2145:$B$2159,$A208,[1]Desglose_BOM_Componentes!$X$2145:$X$2159,"Formulación"))</f>
        <v>0.99121257142857155</v>
      </c>
      <c r="H208" s="4">
        <f>IF(COUNTIFS([1]Desglose_BOM_Componentes!$B$2145:$B$2159,$A208,[1]Desglose_BOM_Componentes!$AE$2145:$AE$2159,"Sin precio",[1]Desglose_BOM_Componentes!$X$2145:$X$2159,"Empaquetado")&gt;0,"n.d.",SUMIFS([1]Desglose_BOM_Componentes!$AD$2145:$AD$2159,[1]Desglose_BOM_Componentes!$B$2145:$B$2159,$A208,[1]Desglose_BOM_Componentes!$X$2145:$X$2159,"Empaquetado"))</f>
        <v>0.95531458108104916</v>
      </c>
      <c r="I208" s="6">
        <f t="shared" si="19"/>
        <v>1.9507271525096206</v>
      </c>
      <c r="J208" s="1" t="str">
        <f t="shared" si="17"/>
        <v>Completo</v>
      </c>
      <c r="K208" s="1">
        <f>COUNTIFS([1]Desglose_BOM_Componentes!$B$2145:$B$2159,$A208,[1]Desglose_BOM_Componentes!$AE$2145:$AE$2159,"Sin precio")</f>
        <v>0</v>
      </c>
      <c r="L208" s="1" t="str">
        <f>IF('[1]Precios componentes'!D13="Sin precio","AMO; ","")&amp;IF('[1]Precios componentes'!D103="Sin precio","LIGNOAM; ","")&amp;IF('[1]Precios componentes'!D155="Sin precio","UREL; ","")&amp;IF('[1]Precios componentes'!D125="Sin precio","SAL; ","")&amp;IF('[1]Precios componentes'!D128="Sin precio","SCU; ","")&amp;IF('[1]Precios componentes'!D133="Sin precio","SMN; ","")&amp;IF('[1]Precios componentes'!D141="Sin precio","SZMO; ","")&amp;IF('[1]Precios componentes'!D84="Sin precio","GLUSO; ","")&amp;IF('[1]Precios componentes'!D93="Sin precio","KF78;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209" spans="1:12" ht="22" customHeight="1">
      <c r="A209" s="1" t="s">
        <v>239</v>
      </c>
      <c r="B209" s="1" t="s">
        <v>18</v>
      </c>
      <c r="C209" s="1" t="s">
        <v>24</v>
      </c>
      <c r="D209" s="4">
        <f>IF(COUNTIFS([1]Desglose_BOM_Componentes!$B$2160:$B$2174,$A209,[1]Desglose_BOM_Componentes!$AE$2160:$AE$2174,"Sin precio",[1]Desglose_BOM_Componentes!$X$2160:$X$2174,"Formulación")&gt;0,"n.d.",SUMIFS([1]Desglose_BOM_Componentes!$AC$2160:$AC$2174,[1]Desglose_BOM_Componentes!$B$2160:$B$2174,$A209,[1]Desglose_BOM_Componentes!$X$2160:$X$2174,"Formulación"))</f>
        <v>1.0677840000000001</v>
      </c>
      <c r="E209" s="4">
        <f>IF(COUNTIFS([1]Desglose_BOM_Componentes!$B$2160:$B$2174,$A209,[1]Desglose_BOM_Componentes!$AE$2160:$AE$2174,"Sin precio",[1]Desglose_BOM_Componentes!$X$2160:$X$2174,"Empaquetado")&gt;0,"n.d.",SUMIFS([1]Desglose_BOM_Componentes!$AC$2160:$AC$2174,[1]Desglose_BOM_Componentes!$B$2160:$B$2174,$A209,[1]Desglose_BOM_Componentes!$X$2160:$X$2174,"Empaquetado"))</f>
        <v>0.32773970152740589</v>
      </c>
      <c r="F209" s="6">
        <f t="shared" si="18"/>
        <v>1.399723701527406</v>
      </c>
      <c r="G209" s="4">
        <f>IF(COUNTIFS([1]Desglose_BOM_Componentes!$B$2160:$B$2174,$A209,[1]Desglose_BOM_Componentes!$AE$2160:$AE$2174,"Sin precio",[1]Desglose_BOM_Componentes!$X$2160:$X$2174,"Formulación")&gt;0,"n.d.",SUMIFS([1]Desglose_BOM_Componentes!$AD$2160:$AD$2174,[1]Desglose_BOM_Componentes!$B$2160:$B$2174,$A209,[1]Desglose_BOM_Componentes!$X$2160:$X$2174,"Formulación"))</f>
        <v>0.99121257142857155</v>
      </c>
      <c r="H209" s="4">
        <f>IF(COUNTIFS([1]Desglose_BOM_Componentes!$B$2160:$B$2174,$A209,[1]Desglose_BOM_Componentes!$AE$2160:$AE$2174,"Sin precio",[1]Desglose_BOM_Componentes!$X$2160:$X$2174,"Empaquetado")&gt;0,"n.d.",SUMIFS([1]Desglose_BOM_Componentes!$AD$2160:$AD$2174,[1]Desglose_BOM_Componentes!$B$2160:$B$2174,$A209,[1]Desglose_BOM_Componentes!$X$2160:$X$2174,"Empaquetado"))</f>
        <v>0.32773970152740589</v>
      </c>
      <c r="I209" s="6">
        <f t="shared" si="19"/>
        <v>1.3231522729559775</v>
      </c>
      <c r="J209" s="1" t="str">
        <f t="shared" si="17"/>
        <v>Completo</v>
      </c>
      <c r="K209" s="1">
        <f>COUNTIFS([1]Desglose_BOM_Componentes!$B$2160:$B$2174,$A209,[1]Desglose_BOM_Componentes!$AE$2160:$AE$2174,"Sin precio")</f>
        <v>0</v>
      </c>
      <c r="L209" s="1" t="str">
        <f>IF('[1]Precios componentes'!D13="Sin precio","AMO; ","")&amp;IF('[1]Precios componentes'!D103="Sin precio","LIGNOAM; ","")&amp;IF('[1]Precios componentes'!D155="Sin precio","UREL; ","")&amp;IF('[1]Precios componentes'!D125="Sin precio","SAL; ","")&amp;IF('[1]Precios componentes'!D128="Sin precio","SCU; ","")&amp;IF('[1]Precios componentes'!D133="Sin precio","SMN; ","")&amp;IF('[1]Precios componentes'!D141="Sin precio","SZMO; ","")&amp;IF('[1]Precios componentes'!D84="Sin precio","GLUSO; ","")&amp;IF('[1]Precios componentes'!D93="Sin precio","KF78;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componentes'!D151="Sin precio","TPD63VS; ","")&amp;IF('[1]Precios componentes'!D34="Sin precio","CAG; ","")</f>
        <v/>
      </c>
    </row>
    <row r="210" spans="1:12" ht="22" customHeight="1">
      <c r="A210" s="1" t="s">
        <v>240</v>
      </c>
      <c r="B210" s="1" t="s">
        <v>18</v>
      </c>
      <c r="C210" s="1" t="s">
        <v>24</v>
      </c>
      <c r="D210" s="4">
        <f>IF(COUNTIFS([1]Desglose_BOM_Componentes!$B$2175:$B$2189,$A210,[1]Desglose_BOM_Componentes!$AE$2175:$AE$2189,"Sin precio",[1]Desglose_BOM_Componentes!$X$2175:$X$2189,"Formulación")&gt;0,"n.d.",SUMIFS([1]Desglose_BOM_Componentes!$AC$2175:$AC$2189,[1]Desglose_BOM_Componentes!$B$2175:$B$2189,$A210,[1]Desglose_BOM_Componentes!$X$2175:$X$2189,"Formulación"))</f>
        <v>1.0677840000000001</v>
      </c>
      <c r="E210" s="4">
        <f>IF(COUNTIFS([1]Desglose_BOM_Componentes!$B$2175:$B$2189,$A210,[1]Desglose_BOM_Componentes!$AE$2175:$AE$2189,"Sin precio",[1]Desglose_BOM_Componentes!$X$2175:$X$2189,"Empaquetado")&gt;0,"n.d.",SUMIFS([1]Desglose_BOM_Componentes!$AC$2175:$AC$2189,[1]Desglose_BOM_Componentes!$B$2175:$B$2189,$A210,[1]Desglose_BOM_Componentes!$X$2175:$X$2189,"Empaquetado"))</f>
        <v>0.24776489794470363</v>
      </c>
      <c r="F210" s="6">
        <f t="shared" si="18"/>
        <v>1.3197488979447036</v>
      </c>
      <c r="G210" s="4">
        <f>IF(COUNTIFS([1]Desglose_BOM_Componentes!$B$2175:$B$2189,$A210,[1]Desglose_BOM_Componentes!$AE$2175:$AE$2189,"Sin precio",[1]Desglose_BOM_Componentes!$X$2175:$X$2189,"Formulación")&gt;0,"n.d.",SUMIFS([1]Desglose_BOM_Componentes!$AD$2175:$AD$2189,[1]Desglose_BOM_Componentes!$B$2175:$B$2189,$A210,[1]Desglose_BOM_Componentes!$X$2175:$X$2189,"Formulación"))</f>
        <v>0.99121257142857155</v>
      </c>
      <c r="H210" s="4">
        <f>IF(COUNTIFS([1]Desglose_BOM_Componentes!$B$2175:$B$2189,$A210,[1]Desglose_BOM_Componentes!$AE$2175:$AE$2189,"Sin precio",[1]Desglose_BOM_Componentes!$X$2175:$X$2189,"Empaquetado")&gt;0,"n.d.",SUMIFS([1]Desglose_BOM_Componentes!$AD$2175:$AD$2189,[1]Desglose_BOM_Componentes!$B$2175:$B$2189,$A210,[1]Desglose_BOM_Componentes!$X$2175:$X$2189,"Empaquetado"))</f>
        <v>0.24776489794470363</v>
      </c>
      <c r="I210" s="6">
        <f t="shared" si="19"/>
        <v>1.2431774693732751</v>
      </c>
      <c r="J210" s="1" t="str">
        <f t="shared" si="17"/>
        <v>Completo</v>
      </c>
      <c r="K210" s="1">
        <f>COUNTIFS([1]Desglose_BOM_Componentes!$B$2175:$B$2189,$A210,[1]Desglose_BOM_Componentes!$AE$2175:$AE$2189,"Sin precio")</f>
        <v>0</v>
      </c>
      <c r="L210" s="1" t="str">
        <f>IF('[1]Precios componentes'!D13="Sin precio","AMO; ","")&amp;IF('[1]Precios componentes'!D103="Sin precio","LIGNOAM; ","")&amp;IF('[1]Precios componentes'!D155="Sin precio","UREL; ","")&amp;IF('[1]Precios componentes'!D125="Sin precio","SAL; ","")&amp;IF('[1]Precios componentes'!D128="Sin precio","SCU; ","")&amp;IF('[1]Precios componentes'!D133="Sin precio","SMN; ","")&amp;IF('[1]Precios componentes'!D141="Sin precio","SZMO; ","")&amp;IF('[1]Precios componentes'!D84="Sin precio","GLUSO; ","")&amp;IF('[1]Precios componentes'!D93="Sin precio","KF78; ","")&amp;IF('[1]Precios componentes'!D136="Sin precio","SOBRE 20L; ","")&amp;IF('[1]Precios componentes'!D115="Sin precio","PAL; ","")&amp;IF('[1]Precios componentes'!D95="Sin precio","KIA250; ","")&amp;IF('[1]Precios componentes'!D7="Sin precio",".; ","")&amp;IF('[1]Precios componentes'!D61="Sin precio","ENV20; ","")&amp;IF('[1]Precios componentes'!D148="Sin precio","TPD61VS; ","")</f>
        <v/>
      </c>
    </row>
    <row r="211" spans="1:12" ht="22" customHeight="1">
      <c r="A211" s="1" t="s">
        <v>241</v>
      </c>
      <c r="B211" s="1" t="s">
        <v>18</v>
      </c>
      <c r="C211" s="1" t="s">
        <v>24</v>
      </c>
      <c r="D211" s="4">
        <f>IF(COUNTIFS([1]Desglose_BOM_Componentes!$B$2190:$B$2200,$A211,[1]Desglose_BOM_Componentes!$AE$2190:$AE$2200,"Sin precio",[1]Desglose_BOM_Componentes!$X$2190:$X$2200,"Formulación")&gt;0,"n.d.",SUMIFS([1]Desglose_BOM_Componentes!$AC$2190:$AC$2200,[1]Desglose_BOM_Componentes!$B$2190:$B$2200,$A211,[1]Desglose_BOM_Componentes!$X$2190:$X$2200,"Formulación"))</f>
        <v>1.5829</v>
      </c>
      <c r="E211" s="4">
        <f>IF(COUNTIFS([1]Desglose_BOM_Componentes!$B$2190:$B$2200,$A211,[1]Desglose_BOM_Componentes!$AE$2190:$AE$2200,"Sin precio",[1]Desglose_BOM_Componentes!$X$2190:$X$2200,"Empaquetado")&gt;0,"n.d.",SUMIFS([1]Desglose_BOM_Componentes!$AC$2190:$AC$2200,[1]Desglose_BOM_Componentes!$B$2190:$B$2200,$A211,[1]Desglose_BOM_Componentes!$X$2190:$X$2200,"Empaquetado"))</f>
        <v>0.90089800050253677</v>
      </c>
      <c r="F211" s="6">
        <f t="shared" si="18"/>
        <v>2.4879980005025368</v>
      </c>
      <c r="G211" s="4">
        <f>IF(COUNTIFS([1]Desglose_BOM_Componentes!$B$2190:$B$2200,$A211,[1]Desglose_BOM_Componentes!$AE$2190:$AE$2200,"Sin precio",[1]Desglose_BOM_Componentes!$X$2190:$X$2200,"Formulación")&gt;0,"n.d.",SUMIFS([1]Desglose_BOM_Componentes!$AD$2190:$AD$2200,[1]Desglose_BOM_Componentes!$B$2190:$B$2200,$A211,[1]Desglose_BOM_Componentes!$X$2190:$X$2200,"Formulación"))</f>
        <v>1.4738942857142858</v>
      </c>
      <c r="H211" s="4">
        <f>IF(COUNTIFS([1]Desglose_BOM_Componentes!$B$2190:$B$2200,$A211,[1]Desglose_BOM_Componentes!$AE$2190:$AE$2200,"Sin precio",[1]Desglose_BOM_Componentes!$X$2190:$X$2200,"Empaquetado")&gt;0,"n.d.",SUMIFS([1]Desglose_BOM_Componentes!$AD$2190:$AD$2200,[1]Desglose_BOM_Componentes!$B$2190:$B$2200,$A211,[1]Desglose_BOM_Componentes!$X$2190:$X$2200,"Empaquetado"))</f>
        <v>0.90089800050253677</v>
      </c>
      <c r="I211" s="6">
        <f t="shared" si="19"/>
        <v>2.3789922862168225</v>
      </c>
      <c r="J211" s="1" t="str">
        <f t="shared" si="17"/>
        <v>Completo</v>
      </c>
      <c r="K211" s="1">
        <f>COUNTIFS([1]Desglose_BOM_Componentes!$B$2190:$B$2200,$A211,[1]Desglose_BOM_Componentes!$AE$2190:$AE$2200,"Sin precio")</f>
        <v>0</v>
      </c>
      <c r="L211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12" spans="1:12" ht="22" customHeight="1">
      <c r="A212" s="1" t="s">
        <v>242</v>
      </c>
      <c r="B212" s="1" t="s">
        <v>18</v>
      </c>
      <c r="C212" s="1" t="s">
        <v>116</v>
      </c>
      <c r="D212" s="4">
        <f>IF(COUNTIFS([1]Desglose_BOM_Componentes!$B$2201:$B$2211,$A212,[1]Desglose_BOM_Componentes!$AE$2201:$AE$2211,"Sin precio",[1]Desglose_BOM_Componentes!$X$2201:$X$2211,"Formulación")&gt;0,"n.d.",SUMIFS([1]Desglose_BOM_Componentes!$AC$2201:$AC$2211,[1]Desglose_BOM_Componentes!$B$2201:$B$2211,$A212,[1]Desglose_BOM_Componentes!$X$2201:$X$2211,"Formulación"))</f>
        <v>1.5829</v>
      </c>
      <c r="E212" s="4">
        <f>IF(COUNTIFS([1]Desglose_BOM_Componentes!$B$2201:$B$2211,$A212,[1]Desglose_BOM_Componentes!$AE$2201:$AE$2211,"Sin precio",[1]Desglose_BOM_Componentes!$X$2201:$X$2211,"Empaquetado")&gt;0,"n.d.",SUMIFS([1]Desglose_BOM_Componentes!$AC$2201:$AC$2211,[1]Desglose_BOM_Componentes!$B$2201:$B$2211,$A212,[1]Desglose_BOM_Componentes!$X$2201:$X$2211,"Empaquetado"))</f>
        <v>0.90089800050253677</v>
      </c>
      <c r="F212" s="6">
        <f t="shared" si="18"/>
        <v>2.4879980005025368</v>
      </c>
      <c r="G212" s="4">
        <f>IF(COUNTIFS([1]Desglose_BOM_Componentes!$B$2201:$B$2211,$A212,[1]Desglose_BOM_Componentes!$AE$2201:$AE$2211,"Sin precio",[1]Desglose_BOM_Componentes!$X$2201:$X$2211,"Formulación")&gt;0,"n.d.",SUMIFS([1]Desglose_BOM_Componentes!$AD$2201:$AD$2211,[1]Desglose_BOM_Componentes!$B$2201:$B$2211,$A212,[1]Desglose_BOM_Componentes!$X$2201:$X$2211,"Formulación"))</f>
        <v>1.4738942857142858</v>
      </c>
      <c r="H212" s="4">
        <f>IF(COUNTIFS([1]Desglose_BOM_Componentes!$B$2201:$B$2211,$A212,[1]Desglose_BOM_Componentes!$AE$2201:$AE$2211,"Sin precio",[1]Desglose_BOM_Componentes!$X$2201:$X$2211,"Empaquetado")&gt;0,"n.d.",SUMIFS([1]Desglose_BOM_Componentes!$AD$2201:$AD$2211,[1]Desglose_BOM_Componentes!$B$2201:$B$2211,$A212,[1]Desglose_BOM_Componentes!$X$2201:$X$2211,"Empaquetado"))</f>
        <v>0.90089800050253677</v>
      </c>
      <c r="I212" s="6">
        <f t="shared" si="19"/>
        <v>2.3789922862168225</v>
      </c>
      <c r="J212" s="1" t="str">
        <f t="shared" si="17"/>
        <v>Completo</v>
      </c>
      <c r="K212" s="1">
        <f>COUNTIFS([1]Desglose_BOM_Componentes!$B$2201:$B$2211,$A212,[1]Desglose_BOM_Componentes!$AE$2201:$AE$2211,"Sin precio")</f>
        <v>0</v>
      </c>
      <c r="L212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13" spans="1:12" ht="22" customHeight="1">
      <c r="A213" s="1" t="s">
        <v>243</v>
      </c>
      <c r="B213" s="1" t="s">
        <v>18</v>
      </c>
      <c r="C213" s="1" t="s">
        <v>69</v>
      </c>
      <c r="D213" s="4">
        <f>IF(COUNTIFS([1]Desglose_BOM_Componentes!$B$2212:$B$2222,$A213,[1]Desglose_BOM_Componentes!$AE$2212:$AE$2222,"Sin precio",[1]Desglose_BOM_Componentes!$X$2212:$X$2222,"Formulación")&gt;0,"n.d.",SUMIFS([1]Desglose_BOM_Componentes!$AC$2212:$AC$2222,[1]Desglose_BOM_Componentes!$B$2212:$B$2222,$A213,[1]Desglose_BOM_Componentes!$X$2212:$X$2222,"Formulación"))</f>
        <v>1.5829</v>
      </c>
      <c r="E213" s="4">
        <f>IF(COUNTIFS([1]Desglose_BOM_Componentes!$B$2212:$B$2222,$A213,[1]Desglose_BOM_Componentes!$AE$2212:$AE$2222,"Sin precio",[1]Desglose_BOM_Componentes!$X$2212:$X$2222,"Empaquetado")&gt;0,"n.d.",SUMIFS([1]Desglose_BOM_Componentes!$AC$2212:$AC$2222,[1]Desglose_BOM_Componentes!$B$2212:$B$2222,$A213,[1]Desglose_BOM_Componentes!$X$2212:$X$2222,"Empaquetado"))</f>
        <v>0.90089800050253677</v>
      </c>
      <c r="F213" s="6">
        <f t="shared" si="18"/>
        <v>2.4879980005025368</v>
      </c>
      <c r="G213" s="4">
        <f>IF(COUNTIFS([1]Desglose_BOM_Componentes!$B$2212:$B$2222,$A213,[1]Desglose_BOM_Componentes!$AE$2212:$AE$2222,"Sin precio",[1]Desglose_BOM_Componentes!$X$2212:$X$2222,"Formulación")&gt;0,"n.d.",SUMIFS([1]Desglose_BOM_Componentes!$AD$2212:$AD$2222,[1]Desglose_BOM_Componentes!$B$2212:$B$2222,$A213,[1]Desglose_BOM_Componentes!$X$2212:$X$2222,"Formulación"))</f>
        <v>1.4738942857142858</v>
      </c>
      <c r="H213" s="4">
        <f>IF(COUNTIFS([1]Desglose_BOM_Componentes!$B$2212:$B$2222,$A213,[1]Desglose_BOM_Componentes!$AE$2212:$AE$2222,"Sin precio",[1]Desglose_BOM_Componentes!$X$2212:$X$2222,"Empaquetado")&gt;0,"n.d.",SUMIFS([1]Desglose_BOM_Componentes!$AD$2212:$AD$2222,[1]Desglose_BOM_Componentes!$B$2212:$B$2222,$A213,[1]Desglose_BOM_Componentes!$X$2212:$X$2222,"Empaquetado"))</f>
        <v>0.90089800050253677</v>
      </c>
      <c r="I213" s="6">
        <f t="shared" si="19"/>
        <v>2.3789922862168225</v>
      </c>
      <c r="J213" s="1" t="str">
        <f t="shared" si="17"/>
        <v>Completo</v>
      </c>
      <c r="K213" s="1">
        <f>COUNTIFS([1]Desglose_BOM_Componentes!$B$2212:$B$2222,$A213,[1]Desglose_BOM_Componentes!$AE$2212:$AE$2222,"Sin precio")</f>
        <v>0</v>
      </c>
      <c r="L213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14" spans="1:12" ht="22" customHeight="1">
      <c r="A214" s="1" t="s">
        <v>244</v>
      </c>
      <c r="B214" s="1" t="s">
        <v>18</v>
      </c>
      <c r="C214" s="1" t="s">
        <v>95</v>
      </c>
      <c r="D214" s="4">
        <f>IF(COUNTIFS([1]Desglose_BOM_Componentes!$B$2223:$B$2233,$A214,[1]Desglose_BOM_Componentes!$AE$2223:$AE$2233,"Sin precio",[1]Desglose_BOM_Componentes!$X$2223:$X$2233,"Formulación")&gt;0,"n.d.",SUMIFS([1]Desglose_BOM_Componentes!$AC$2223:$AC$2233,[1]Desglose_BOM_Componentes!$B$2223:$B$2233,$A214,[1]Desglose_BOM_Componentes!$X$2223:$X$2233,"Formulación"))</f>
        <v>1.5829</v>
      </c>
      <c r="E214" s="4">
        <f>IF(COUNTIFS([1]Desglose_BOM_Componentes!$B$2223:$B$2233,$A214,[1]Desglose_BOM_Componentes!$AE$2223:$AE$2233,"Sin precio",[1]Desglose_BOM_Componentes!$X$2223:$X$2233,"Empaquetado")&gt;0,"n.d.",SUMIFS([1]Desglose_BOM_Componentes!$AC$2223:$AC$2233,[1]Desglose_BOM_Componentes!$B$2223:$B$2233,$A214,[1]Desglose_BOM_Componentes!$X$2223:$X$2233,"Empaquetado"))</f>
        <v>0.90089800050253677</v>
      </c>
      <c r="F214" s="6">
        <f t="shared" si="18"/>
        <v>2.4879980005025368</v>
      </c>
      <c r="G214" s="4">
        <f>IF(COUNTIFS([1]Desglose_BOM_Componentes!$B$2223:$B$2233,$A214,[1]Desglose_BOM_Componentes!$AE$2223:$AE$2233,"Sin precio",[1]Desglose_BOM_Componentes!$X$2223:$X$2233,"Formulación")&gt;0,"n.d.",SUMIFS([1]Desglose_BOM_Componentes!$AD$2223:$AD$2233,[1]Desglose_BOM_Componentes!$B$2223:$B$2233,$A214,[1]Desglose_BOM_Componentes!$X$2223:$X$2233,"Formulación"))</f>
        <v>1.4738942857142858</v>
      </c>
      <c r="H214" s="4">
        <f>IF(COUNTIFS([1]Desglose_BOM_Componentes!$B$2223:$B$2233,$A214,[1]Desglose_BOM_Componentes!$AE$2223:$AE$2233,"Sin precio",[1]Desglose_BOM_Componentes!$X$2223:$X$2233,"Empaquetado")&gt;0,"n.d.",SUMIFS([1]Desglose_BOM_Componentes!$AD$2223:$AD$2233,[1]Desglose_BOM_Componentes!$B$2223:$B$2233,$A214,[1]Desglose_BOM_Componentes!$X$2223:$X$2233,"Empaquetado"))</f>
        <v>0.90089800050253677</v>
      </c>
      <c r="I214" s="6">
        <f t="shared" si="19"/>
        <v>2.3789922862168225</v>
      </c>
      <c r="J214" s="1" t="str">
        <f t="shared" si="17"/>
        <v>Completo</v>
      </c>
      <c r="K214" s="1">
        <f>COUNTIFS([1]Desglose_BOM_Componentes!$B$2223:$B$2233,$A214,[1]Desglose_BOM_Componentes!$AE$2223:$AE$2233,"Sin precio")</f>
        <v>0</v>
      </c>
      <c r="L214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15" spans="1:12" ht="22" customHeight="1">
      <c r="A215" s="1" t="s">
        <v>245</v>
      </c>
      <c r="B215" s="1" t="s">
        <v>18</v>
      </c>
      <c r="C215" s="1" t="s">
        <v>79</v>
      </c>
      <c r="D215" s="4">
        <f>IF(COUNTIFS([1]Desglose_BOM_Componentes!$B$2234:$B$2244,$A215,[1]Desglose_BOM_Componentes!$AE$2234:$AE$2244,"Sin precio",[1]Desglose_BOM_Componentes!$X$2234:$X$2244,"Formulación")&gt;0,"n.d.",SUMIFS([1]Desglose_BOM_Componentes!$AC$2234:$AC$2244,[1]Desglose_BOM_Componentes!$B$2234:$B$2244,$A215,[1]Desglose_BOM_Componentes!$X$2234:$X$2244,"Formulación"))</f>
        <v>1.5829</v>
      </c>
      <c r="E215" s="4">
        <f>IF(COUNTIFS([1]Desglose_BOM_Componentes!$B$2234:$B$2244,$A215,[1]Desglose_BOM_Componentes!$AE$2234:$AE$2244,"Sin precio",[1]Desglose_BOM_Componentes!$X$2234:$X$2244,"Empaquetado")&gt;0,"n.d.",SUMIFS([1]Desglose_BOM_Componentes!$AC$2234:$AC$2244,[1]Desglose_BOM_Componentes!$B$2234:$B$2244,$A215,[1]Desglose_BOM_Componentes!$X$2234:$X$2244,"Empaquetado"))</f>
        <v>0.90089800050253677</v>
      </c>
      <c r="F215" s="6">
        <f t="shared" si="18"/>
        <v>2.4879980005025368</v>
      </c>
      <c r="G215" s="4">
        <f>IF(COUNTIFS([1]Desglose_BOM_Componentes!$B$2234:$B$2244,$A215,[1]Desglose_BOM_Componentes!$AE$2234:$AE$2244,"Sin precio",[1]Desglose_BOM_Componentes!$X$2234:$X$2244,"Formulación")&gt;0,"n.d.",SUMIFS([1]Desglose_BOM_Componentes!$AD$2234:$AD$2244,[1]Desglose_BOM_Componentes!$B$2234:$B$2244,$A215,[1]Desglose_BOM_Componentes!$X$2234:$X$2244,"Formulación"))</f>
        <v>1.4738942857142858</v>
      </c>
      <c r="H215" s="4">
        <f>IF(COUNTIFS([1]Desglose_BOM_Componentes!$B$2234:$B$2244,$A215,[1]Desglose_BOM_Componentes!$AE$2234:$AE$2244,"Sin precio",[1]Desglose_BOM_Componentes!$X$2234:$X$2244,"Empaquetado")&gt;0,"n.d.",SUMIFS([1]Desglose_BOM_Componentes!$AD$2234:$AD$2244,[1]Desglose_BOM_Componentes!$B$2234:$B$2244,$A215,[1]Desglose_BOM_Componentes!$X$2234:$X$2244,"Empaquetado"))</f>
        <v>0.90089800050253677</v>
      </c>
      <c r="I215" s="6">
        <f t="shared" si="19"/>
        <v>2.3789922862168225</v>
      </c>
      <c r="J215" s="1" t="str">
        <f t="shared" si="17"/>
        <v>Completo</v>
      </c>
      <c r="K215" s="1">
        <f>COUNTIFS([1]Desglose_BOM_Componentes!$B$2234:$B$2244,$A215,[1]Desglose_BOM_Componentes!$AE$2234:$AE$2244,"Sin precio")</f>
        <v>0</v>
      </c>
      <c r="L215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16" spans="1:12" ht="22" customHeight="1">
      <c r="A216" s="1" t="s">
        <v>246</v>
      </c>
      <c r="B216" s="1" t="s">
        <v>18</v>
      </c>
      <c r="C216" s="1" t="s">
        <v>19</v>
      </c>
      <c r="D216" s="4">
        <f>IF(COUNTIFS([1]Desglose_BOM_Componentes!$B$2245:$B$2255,$A216,[1]Desglose_BOM_Componentes!$AE$2245:$AE$2255,"Sin precio",[1]Desglose_BOM_Componentes!$X$2245:$X$2255,"Formulación")&gt;0,"n.d.",SUMIFS([1]Desglose_BOM_Componentes!$AC$2245:$AC$2255,[1]Desglose_BOM_Componentes!$B$2245:$B$2255,$A216,[1]Desglose_BOM_Componentes!$X$2245:$X$2255,"Formulación"))</f>
        <v>1.5829</v>
      </c>
      <c r="E216" s="4">
        <f>IF(COUNTIFS([1]Desglose_BOM_Componentes!$B$2245:$B$2255,$A216,[1]Desglose_BOM_Componentes!$AE$2245:$AE$2255,"Sin precio",[1]Desglose_BOM_Componentes!$X$2245:$X$2255,"Empaquetado")&gt;0,"n.d.",SUMIFS([1]Desglose_BOM_Componentes!$AC$2245:$AC$2255,[1]Desglose_BOM_Componentes!$B$2245:$B$2255,$A216,[1]Desglose_BOM_Componentes!$X$2245:$X$2255,"Empaquetado"))</f>
        <v>0.90089800050253677</v>
      </c>
      <c r="F216" s="6">
        <f t="shared" si="18"/>
        <v>2.4879980005025368</v>
      </c>
      <c r="G216" s="4">
        <f>IF(COUNTIFS([1]Desglose_BOM_Componentes!$B$2245:$B$2255,$A216,[1]Desglose_BOM_Componentes!$AE$2245:$AE$2255,"Sin precio",[1]Desglose_BOM_Componentes!$X$2245:$X$2255,"Formulación")&gt;0,"n.d.",SUMIFS([1]Desglose_BOM_Componentes!$AD$2245:$AD$2255,[1]Desglose_BOM_Componentes!$B$2245:$B$2255,$A216,[1]Desglose_BOM_Componentes!$X$2245:$X$2255,"Formulación"))</f>
        <v>1.4738942857142858</v>
      </c>
      <c r="H216" s="4">
        <f>IF(COUNTIFS([1]Desglose_BOM_Componentes!$B$2245:$B$2255,$A216,[1]Desglose_BOM_Componentes!$AE$2245:$AE$2255,"Sin precio",[1]Desglose_BOM_Componentes!$X$2245:$X$2255,"Empaquetado")&gt;0,"n.d.",SUMIFS([1]Desglose_BOM_Componentes!$AD$2245:$AD$2255,[1]Desglose_BOM_Componentes!$B$2245:$B$2255,$A216,[1]Desglose_BOM_Componentes!$X$2245:$X$2255,"Empaquetado"))</f>
        <v>0.90089800050253677</v>
      </c>
      <c r="I216" s="6">
        <f t="shared" si="19"/>
        <v>2.3789922862168225</v>
      </c>
      <c r="J216" s="1" t="str">
        <f t="shared" si="17"/>
        <v>Completo</v>
      </c>
      <c r="K216" s="1">
        <f>COUNTIFS([1]Desglose_BOM_Componentes!$B$2245:$B$2255,$A216,[1]Desglose_BOM_Componentes!$AE$2245:$AE$2255,"Sin precio")</f>
        <v>0</v>
      </c>
      <c r="L216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17" spans="1:12" ht="22" customHeight="1">
      <c r="A217" s="1" t="s">
        <v>247</v>
      </c>
      <c r="B217" s="1" t="s">
        <v>18</v>
      </c>
      <c r="C217" s="1" t="s">
        <v>71</v>
      </c>
      <c r="D217" s="4">
        <f>IF(COUNTIFS([1]Desglose_BOM_Componentes!$B$2256:$B$2266,$A217,[1]Desglose_BOM_Componentes!$AE$2256:$AE$2266,"Sin precio",[1]Desglose_BOM_Componentes!$X$2256:$X$2266,"Formulación")&gt;0,"n.d.",SUMIFS([1]Desglose_BOM_Componentes!$AC$2256:$AC$2266,[1]Desglose_BOM_Componentes!$B$2256:$B$2266,$A217,[1]Desglose_BOM_Componentes!$X$2256:$X$2266,"Formulación"))</f>
        <v>1.5829</v>
      </c>
      <c r="E217" s="4">
        <f>IF(COUNTIFS([1]Desglose_BOM_Componentes!$B$2256:$B$2266,$A217,[1]Desglose_BOM_Componentes!$AE$2256:$AE$2266,"Sin precio",[1]Desglose_BOM_Componentes!$X$2256:$X$2266,"Empaquetado")&gt;0,"n.d.",SUMIFS([1]Desglose_BOM_Componentes!$AC$2256:$AC$2266,[1]Desglose_BOM_Componentes!$B$2256:$B$2266,$A217,[1]Desglose_BOM_Componentes!$X$2256:$X$2266,"Empaquetado"))</f>
        <v>0.90089800050253677</v>
      </c>
      <c r="F217" s="6">
        <f t="shared" si="18"/>
        <v>2.4879980005025368</v>
      </c>
      <c r="G217" s="4">
        <f>IF(COUNTIFS([1]Desglose_BOM_Componentes!$B$2256:$B$2266,$A217,[1]Desglose_BOM_Componentes!$AE$2256:$AE$2266,"Sin precio",[1]Desglose_BOM_Componentes!$X$2256:$X$2266,"Formulación")&gt;0,"n.d.",SUMIFS([1]Desglose_BOM_Componentes!$AD$2256:$AD$2266,[1]Desglose_BOM_Componentes!$B$2256:$B$2266,$A217,[1]Desglose_BOM_Componentes!$X$2256:$X$2266,"Formulación"))</f>
        <v>1.4738942857142858</v>
      </c>
      <c r="H217" s="4">
        <f>IF(COUNTIFS([1]Desglose_BOM_Componentes!$B$2256:$B$2266,$A217,[1]Desglose_BOM_Componentes!$AE$2256:$AE$2266,"Sin precio",[1]Desglose_BOM_Componentes!$X$2256:$X$2266,"Empaquetado")&gt;0,"n.d.",SUMIFS([1]Desglose_BOM_Componentes!$AD$2256:$AD$2266,[1]Desglose_BOM_Componentes!$B$2256:$B$2266,$A217,[1]Desglose_BOM_Componentes!$X$2256:$X$2266,"Empaquetado"))</f>
        <v>0.90089800050253677</v>
      </c>
      <c r="I217" s="6">
        <f t="shared" si="19"/>
        <v>2.3789922862168225</v>
      </c>
      <c r="J217" s="1" t="str">
        <f t="shared" si="17"/>
        <v>Completo</v>
      </c>
      <c r="K217" s="1">
        <f>COUNTIFS([1]Desglose_BOM_Componentes!$B$2256:$B$2266,$A217,[1]Desglose_BOM_Componentes!$AE$2256:$AE$2266,"Sin precio")</f>
        <v>0</v>
      </c>
      <c r="L217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18" spans="1:12" ht="22" customHeight="1">
      <c r="A218" s="1" t="s">
        <v>248</v>
      </c>
      <c r="B218" s="1" t="s">
        <v>18</v>
      </c>
      <c r="C218" s="1" t="s">
        <v>24</v>
      </c>
      <c r="D218" s="4">
        <f>IF(COUNTIFS([1]Desglose_BOM_Componentes!$B$2267:$B$2277,$A218,[1]Desglose_BOM_Componentes!$AE$2267:$AE$2277,"Sin precio",[1]Desglose_BOM_Componentes!$X$2267:$X$2277,"Formulación")&gt;0,"n.d.",SUMIFS([1]Desglose_BOM_Componentes!$AC$2267:$AC$2277,[1]Desglose_BOM_Componentes!$B$2267:$B$2277,$A218,[1]Desglose_BOM_Componentes!$X$2267:$X$2277,"Formulación"))</f>
        <v>1.5829</v>
      </c>
      <c r="E218" s="4">
        <f>IF(COUNTIFS([1]Desglose_BOM_Componentes!$B$2267:$B$2277,$A218,[1]Desglose_BOM_Componentes!$AE$2267:$AE$2277,"Sin precio",[1]Desglose_BOM_Componentes!$X$2267:$X$2277,"Empaquetado")&gt;0,"n.d.",SUMIFS([1]Desglose_BOM_Componentes!$AC$2267:$AC$2277,[1]Desglose_BOM_Componentes!$B$2267:$B$2277,$A218,[1]Desglose_BOM_Componentes!$X$2267:$X$2277,"Empaquetado"))</f>
        <v>0.31508466819407255</v>
      </c>
      <c r="F218" s="6">
        <f t="shared" si="18"/>
        <v>1.9021846681940726</v>
      </c>
      <c r="G218" s="4">
        <f>IF(COUNTIFS([1]Desglose_BOM_Componentes!$B$2267:$B$2277,$A218,[1]Desglose_BOM_Componentes!$AE$2267:$AE$2277,"Sin precio",[1]Desglose_BOM_Componentes!$X$2267:$X$2277,"Formulación")&gt;0,"n.d.",SUMIFS([1]Desglose_BOM_Componentes!$AD$2267:$AD$2277,[1]Desglose_BOM_Componentes!$B$2267:$B$2277,$A218,[1]Desglose_BOM_Componentes!$X$2267:$X$2277,"Formulación"))</f>
        <v>1.4738942857142858</v>
      </c>
      <c r="H218" s="4">
        <f>IF(COUNTIFS([1]Desglose_BOM_Componentes!$B$2267:$B$2277,$A218,[1]Desglose_BOM_Componentes!$AE$2267:$AE$2277,"Sin precio",[1]Desglose_BOM_Componentes!$X$2267:$X$2277,"Empaquetado")&gt;0,"n.d.",SUMIFS([1]Desglose_BOM_Componentes!$AD$2267:$AD$2277,[1]Desglose_BOM_Componentes!$B$2267:$B$2277,$A218,[1]Desglose_BOM_Componentes!$X$2267:$X$2277,"Empaquetado"))</f>
        <v>0.31508466819407255</v>
      </c>
      <c r="I218" s="6">
        <f t="shared" si="19"/>
        <v>1.7931789539083582</v>
      </c>
      <c r="J218" s="1" t="str">
        <f t="shared" si="17"/>
        <v>Completo</v>
      </c>
      <c r="K218" s="1">
        <f>COUNTIFS([1]Desglose_BOM_Componentes!$B$2267:$B$2277,$A218,[1]Desglose_BOM_Componentes!$AE$2267:$AE$2277,"Sin precio")</f>
        <v>0</v>
      </c>
      <c r="L218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219" spans="1:12" ht="22" customHeight="1">
      <c r="A219" s="1" t="s">
        <v>249</v>
      </c>
      <c r="B219" s="1" t="s">
        <v>18</v>
      </c>
      <c r="C219" s="1" t="s">
        <v>84</v>
      </c>
      <c r="D219" s="4">
        <f>IF(COUNTIFS([1]Desglose_BOM_Componentes!$B$2278:$B$2288,$A219,[1]Desglose_BOM_Componentes!$AE$2278:$AE$2288,"Sin precio",[1]Desglose_BOM_Componentes!$X$2278:$X$2288,"Formulación")&gt;0,"n.d.",SUMIFS([1]Desglose_BOM_Componentes!$AC$2278:$AC$2288,[1]Desglose_BOM_Componentes!$B$2278:$B$2288,$A219,[1]Desglose_BOM_Componentes!$X$2278:$X$2288,"Formulación"))</f>
        <v>1.5829</v>
      </c>
      <c r="E219" s="4">
        <f>IF(COUNTIFS([1]Desglose_BOM_Componentes!$B$2278:$B$2288,$A219,[1]Desglose_BOM_Componentes!$AE$2278:$AE$2288,"Sin precio",[1]Desglose_BOM_Componentes!$X$2278:$X$2288,"Empaquetado")&gt;0,"n.d.",SUMIFS([1]Desglose_BOM_Componentes!$AC$2278:$AC$2288,[1]Desglose_BOM_Componentes!$B$2278:$B$2288,$A219,[1]Desglose_BOM_Componentes!$X$2278:$X$2288,"Empaquetado"))</f>
        <v>0.31508466819407255</v>
      </c>
      <c r="F219" s="6">
        <f t="shared" si="18"/>
        <v>1.9021846681940726</v>
      </c>
      <c r="G219" s="4">
        <f>IF(COUNTIFS([1]Desglose_BOM_Componentes!$B$2278:$B$2288,$A219,[1]Desglose_BOM_Componentes!$AE$2278:$AE$2288,"Sin precio",[1]Desglose_BOM_Componentes!$X$2278:$X$2288,"Formulación")&gt;0,"n.d.",SUMIFS([1]Desglose_BOM_Componentes!$AD$2278:$AD$2288,[1]Desglose_BOM_Componentes!$B$2278:$B$2288,$A219,[1]Desglose_BOM_Componentes!$X$2278:$X$2288,"Formulación"))</f>
        <v>1.4738942857142858</v>
      </c>
      <c r="H219" s="4">
        <f>IF(COUNTIFS([1]Desglose_BOM_Componentes!$B$2278:$B$2288,$A219,[1]Desglose_BOM_Componentes!$AE$2278:$AE$2288,"Sin precio",[1]Desglose_BOM_Componentes!$X$2278:$X$2288,"Empaquetado")&gt;0,"n.d.",SUMIFS([1]Desglose_BOM_Componentes!$AD$2278:$AD$2288,[1]Desglose_BOM_Componentes!$B$2278:$B$2288,$A219,[1]Desglose_BOM_Componentes!$X$2278:$X$2288,"Empaquetado"))</f>
        <v>0.31508466819407255</v>
      </c>
      <c r="I219" s="6">
        <f t="shared" si="19"/>
        <v>1.7931789539083582</v>
      </c>
      <c r="J219" s="1" t="str">
        <f t="shared" si="17"/>
        <v>Completo</v>
      </c>
      <c r="K219" s="1">
        <f>COUNTIFS([1]Desglose_BOM_Componentes!$B$2278:$B$2288,$A219,[1]Desglose_BOM_Componentes!$AE$2278:$AE$2288,"Sin precio")</f>
        <v>0</v>
      </c>
      <c r="L219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220" spans="1:12" ht="22" customHeight="1">
      <c r="A220" s="1" t="s">
        <v>250</v>
      </c>
      <c r="B220" s="1" t="s">
        <v>18</v>
      </c>
      <c r="C220" s="1" t="s">
        <v>116</v>
      </c>
      <c r="D220" s="4">
        <f>IF(COUNTIFS([1]Desglose_BOM_Componentes!$B$2289:$B$2299,$A220,[1]Desglose_BOM_Componentes!$AE$2289:$AE$2299,"Sin precio",[1]Desglose_BOM_Componentes!$X$2289:$X$2299,"Formulación")&gt;0,"n.d.",SUMIFS([1]Desglose_BOM_Componentes!$AC$2289:$AC$2299,[1]Desglose_BOM_Componentes!$B$2289:$B$2299,$A220,[1]Desglose_BOM_Componentes!$X$2289:$X$2299,"Formulación"))</f>
        <v>1.5829</v>
      </c>
      <c r="E220" s="4">
        <f>IF(COUNTIFS([1]Desglose_BOM_Componentes!$B$2289:$B$2299,$A220,[1]Desglose_BOM_Componentes!$AE$2289:$AE$2299,"Sin precio",[1]Desglose_BOM_Componentes!$X$2289:$X$2299,"Empaquetado")&gt;0,"n.d.",SUMIFS([1]Desglose_BOM_Componentes!$AC$2289:$AC$2299,[1]Desglose_BOM_Componentes!$B$2289:$B$2299,$A220,[1]Desglose_BOM_Componentes!$X$2289:$X$2299,"Empaquetado"))</f>
        <v>0.31508466819407255</v>
      </c>
      <c r="F220" s="6">
        <f t="shared" si="18"/>
        <v>1.9021846681940726</v>
      </c>
      <c r="G220" s="4">
        <f>IF(COUNTIFS([1]Desglose_BOM_Componentes!$B$2289:$B$2299,$A220,[1]Desglose_BOM_Componentes!$AE$2289:$AE$2299,"Sin precio",[1]Desglose_BOM_Componentes!$X$2289:$X$2299,"Formulación")&gt;0,"n.d.",SUMIFS([1]Desglose_BOM_Componentes!$AD$2289:$AD$2299,[1]Desglose_BOM_Componentes!$B$2289:$B$2299,$A220,[1]Desglose_BOM_Componentes!$X$2289:$X$2299,"Formulación"))</f>
        <v>1.4738942857142858</v>
      </c>
      <c r="H220" s="4">
        <f>IF(COUNTIFS([1]Desglose_BOM_Componentes!$B$2289:$B$2299,$A220,[1]Desglose_BOM_Componentes!$AE$2289:$AE$2299,"Sin precio",[1]Desglose_BOM_Componentes!$X$2289:$X$2299,"Empaquetado")&gt;0,"n.d.",SUMIFS([1]Desglose_BOM_Componentes!$AD$2289:$AD$2299,[1]Desglose_BOM_Componentes!$B$2289:$B$2299,$A220,[1]Desglose_BOM_Componentes!$X$2289:$X$2299,"Empaquetado"))</f>
        <v>0.31508466819407255</v>
      </c>
      <c r="I220" s="6">
        <f t="shared" si="19"/>
        <v>1.7931789539083582</v>
      </c>
      <c r="J220" s="1" t="str">
        <f t="shared" si="17"/>
        <v>Completo</v>
      </c>
      <c r="K220" s="1">
        <f>COUNTIFS([1]Desglose_BOM_Componentes!$B$2289:$B$2299,$A220,[1]Desglose_BOM_Componentes!$AE$2289:$AE$2299,"Sin precio")</f>
        <v>0</v>
      </c>
      <c r="L220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221" spans="1:12" ht="22" customHeight="1">
      <c r="A221" s="1" t="s">
        <v>251</v>
      </c>
      <c r="B221" s="1" t="s">
        <v>18</v>
      </c>
      <c r="C221" s="1" t="s">
        <v>79</v>
      </c>
      <c r="D221" s="4">
        <f>IF(COUNTIFS([1]Desglose_BOM_Componentes!$B$2300:$B$2310,$A221,[1]Desglose_BOM_Componentes!$AE$2300:$AE$2310,"Sin precio",[1]Desglose_BOM_Componentes!$X$2300:$X$2310,"Formulación")&gt;0,"n.d.",SUMIFS([1]Desglose_BOM_Componentes!$AC$2300:$AC$2310,[1]Desglose_BOM_Componentes!$B$2300:$B$2310,$A221,[1]Desglose_BOM_Componentes!$X$2300:$X$2310,"Formulación"))</f>
        <v>1.5829</v>
      </c>
      <c r="E221" s="4">
        <f>IF(COUNTIFS([1]Desglose_BOM_Componentes!$B$2300:$B$2310,$A221,[1]Desglose_BOM_Componentes!$AE$2300:$AE$2310,"Sin precio",[1]Desglose_BOM_Componentes!$X$2300:$X$2310,"Empaquetado")&gt;0,"n.d.",SUMIFS([1]Desglose_BOM_Componentes!$AC$2300:$AC$2310,[1]Desglose_BOM_Componentes!$B$2300:$B$2310,$A221,[1]Desglose_BOM_Componentes!$X$2300:$X$2310,"Empaquetado"))</f>
        <v>0.31508466819407255</v>
      </c>
      <c r="F221" s="6">
        <f t="shared" si="18"/>
        <v>1.9021846681940726</v>
      </c>
      <c r="G221" s="4">
        <f>IF(COUNTIFS([1]Desglose_BOM_Componentes!$B$2300:$B$2310,$A221,[1]Desglose_BOM_Componentes!$AE$2300:$AE$2310,"Sin precio",[1]Desglose_BOM_Componentes!$X$2300:$X$2310,"Formulación")&gt;0,"n.d.",SUMIFS([1]Desglose_BOM_Componentes!$AD$2300:$AD$2310,[1]Desglose_BOM_Componentes!$B$2300:$B$2310,$A221,[1]Desglose_BOM_Componentes!$X$2300:$X$2310,"Formulación"))</f>
        <v>1.4738942857142858</v>
      </c>
      <c r="H221" s="4">
        <f>IF(COUNTIFS([1]Desglose_BOM_Componentes!$B$2300:$B$2310,$A221,[1]Desglose_BOM_Componentes!$AE$2300:$AE$2310,"Sin precio",[1]Desglose_BOM_Componentes!$X$2300:$X$2310,"Empaquetado")&gt;0,"n.d.",SUMIFS([1]Desglose_BOM_Componentes!$AD$2300:$AD$2310,[1]Desglose_BOM_Componentes!$B$2300:$B$2310,$A221,[1]Desglose_BOM_Componentes!$X$2300:$X$2310,"Empaquetado"))</f>
        <v>0.31508466819407255</v>
      </c>
      <c r="I221" s="6">
        <f t="shared" si="19"/>
        <v>1.7931789539083582</v>
      </c>
      <c r="J221" s="1" t="str">
        <f t="shared" si="17"/>
        <v>Completo</v>
      </c>
      <c r="K221" s="1">
        <f>COUNTIFS([1]Desglose_BOM_Componentes!$B$2300:$B$2310,$A221,[1]Desglose_BOM_Componentes!$AE$2300:$AE$2310,"Sin precio")</f>
        <v>0</v>
      </c>
      <c r="L221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222" spans="1:12" ht="22" customHeight="1">
      <c r="A222" s="1" t="s">
        <v>252</v>
      </c>
      <c r="B222" s="1" t="s">
        <v>18</v>
      </c>
      <c r="C222" s="1" t="s">
        <v>26</v>
      </c>
      <c r="D222" s="4">
        <f>IF(COUNTIFS([1]Desglose_BOM_Componentes!$B$2311:$B$2321,$A222,[1]Desglose_BOM_Componentes!$AE$2311:$AE$2321,"Sin precio",[1]Desglose_BOM_Componentes!$X$2311:$X$2321,"Formulación")&gt;0,"n.d.",SUMIFS([1]Desglose_BOM_Componentes!$AC$2311:$AC$2321,[1]Desglose_BOM_Componentes!$B$2311:$B$2321,$A222,[1]Desglose_BOM_Componentes!$X$2311:$X$2321,"Formulación"))</f>
        <v>1.5829</v>
      </c>
      <c r="E222" s="4">
        <f>IF(COUNTIFS([1]Desglose_BOM_Componentes!$B$2311:$B$2321,$A222,[1]Desglose_BOM_Componentes!$AE$2311:$AE$2321,"Sin precio",[1]Desglose_BOM_Componentes!$X$2311:$X$2321,"Empaquetado")&gt;0,"n.d.",SUMIFS([1]Desglose_BOM_Componentes!$AC$2311:$AC$2321,[1]Desglose_BOM_Componentes!$B$2311:$B$2321,$A222,[1]Desglose_BOM_Componentes!$X$2311:$X$2321,"Empaquetado"))</f>
        <v>0.31508466819407255</v>
      </c>
      <c r="F222" s="6">
        <f t="shared" si="18"/>
        <v>1.9021846681940726</v>
      </c>
      <c r="G222" s="4">
        <f>IF(COUNTIFS([1]Desglose_BOM_Componentes!$B$2311:$B$2321,$A222,[1]Desglose_BOM_Componentes!$AE$2311:$AE$2321,"Sin precio",[1]Desglose_BOM_Componentes!$X$2311:$X$2321,"Formulación")&gt;0,"n.d.",SUMIFS([1]Desglose_BOM_Componentes!$AD$2311:$AD$2321,[1]Desglose_BOM_Componentes!$B$2311:$B$2321,$A222,[1]Desglose_BOM_Componentes!$X$2311:$X$2321,"Formulación"))</f>
        <v>1.4738942857142858</v>
      </c>
      <c r="H222" s="4">
        <f>IF(COUNTIFS([1]Desglose_BOM_Componentes!$B$2311:$B$2321,$A222,[1]Desglose_BOM_Componentes!$AE$2311:$AE$2321,"Sin precio",[1]Desglose_BOM_Componentes!$X$2311:$X$2321,"Empaquetado")&gt;0,"n.d.",SUMIFS([1]Desglose_BOM_Componentes!$AD$2311:$AD$2321,[1]Desglose_BOM_Componentes!$B$2311:$B$2321,$A222,[1]Desglose_BOM_Componentes!$X$2311:$X$2321,"Empaquetado"))</f>
        <v>0.31508466819407255</v>
      </c>
      <c r="I222" s="6">
        <f t="shared" si="19"/>
        <v>1.7931789539083582</v>
      </c>
      <c r="J222" s="1" t="str">
        <f t="shared" si="17"/>
        <v>Completo</v>
      </c>
      <c r="K222" s="1">
        <f>COUNTIFS([1]Desglose_BOM_Componentes!$B$2311:$B$2321,$A222,[1]Desglose_BOM_Componentes!$AE$2311:$AE$2321,"Sin precio")</f>
        <v>0</v>
      </c>
      <c r="L222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223" spans="1:12" ht="22" customHeight="1">
      <c r="A223" s="1" t="s">
        <v>253</v>
      </c>
      <c r="B223" s="1" t="s">
        <v>18</v>
      </c>
      <c r="C223" s="1" t="s">
        <v>24</v>
      </c>
      <c r="D223" s="4">
        <f>IF(COUNTIFS([1]Desglose_BOM_Componentes!$B$2322:$B$2332,$A223,[1]Desglose_BOM_Componentes!$AE$2322:$AE$2332,"Sin precio",[1]Desglose_BOM_Componentes!$X$2322:$X$2332,"Formulación")&gt;0,"n.d.",SUMIFS([1]Desglose_BOM_Componentes!$AC$2322:$AC$2332,[1]Desglose_BOM_Componentes!$B$2322:$B$2332,$A223,[1]Desglose_BOM_Componentes!$X$2322:$X$2332,"Formulación"))</f>
        <v>1.5829</v>
      </c>
      <c r="E223" s="4">
        <f>IF(COUNTIFS([1]Desglose_BOM_Componentes!$B$2322:$B$2332,$A223,[1]Desglose_BOM_Componentes!$AE$2322:$AE$2332,"Sin precio",[1]Desglose_BOM_Componentes!$X$2322:$X$2332,"Empaquetado")&gt;0,"n.d.",SUMIFS([1]Desglose_BOM_Componentes!$AC$2322:$AC$2332,[1]Desglose_BOM_Componentes!$B$2322:$B$2332,$A223,[1]Desglose_BOM_Componentes!$X$2322:$X$2332,"Empaquetado"))</f>
        <v>0.24135486609756987</v>
      </c>
      <c r="F223" s="6">
        <f t="shared" si="18"/>
        <v>1.8284548660975699</v>
      </c>
      <c r="G223" s="4">
        <f>IF(COUNTIFS([1]Desglose_BOM_Componentes!$B$2322:$B$2332,$A223,[1]Desglose_BOM_Componentes!$AE$2322:$AE$2332,"Sin precio",[1]Desglose_BOM_Componentes!$X$2322:$X$2332,"Formulación")&gt;0,"n.d.",SUMIFS([1]Desglose_BOM_Componentes!$AD$2322:$AD$2332,[1]Desglose_BOM_Componentes!$B$2322:$B$2332,$A223,[1]Desglose_BOM_Componentes!$X$2322:$X$2332,"Formulación"))</f>
        <v>1.4738942857142858</v>
      </c>
      <c r="H223" s="4">
        <f>IF(COUNTIFS([1]Desglose_BOM_Componentes!$B$2322:$B$2332,$A223,[1]Desglose_BOM_Componentes!$AE$2322:$AE$2332,"Sin precio",[1]Desglose_BOM_Componentes!$X$2322:$X$2332,"Empaquetado")&gt;0,"n.d.",SUMIFS([1]Desglose_BOM_Componentes!$AD$2322:$AD$2332,[1]Desglose_BOM_Componentes!$B$2322:$B$2332,$A223,[1]Desglose_BOM_Componentes!$X$2322:$X$2332,"Empaquetado"))</f>
        <v>0.24135486609756987</v>
      </c>
      <c r="I223" s="6">
        <f t="shared" si="19"/>
        <v>1.7194491518118558</v>
      </c>
      <c r="J223" s="1" t="str">
        <f t="shared" si="17"/>
        <v>Completo</v>
      </c>
      <c r="K223" s="1">
        <f>COUNTIFS([1]Desglose_BOM_Componentes!$B$2322:$B$2332,$A223,[1]Desglose_BOM_Componentes!$AE$2322:$AE$2332,"Sin precio")</f>
        <v>0</v>
      </c>
      <c r="L223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componentes'!D136="Sin precio","SOBRE 20L; ","")&amp;IF('[1]Precios componentes'!D115="Sin precio","PAL; ","")&amp;IF('[1]Precios componentes'!D7="Sin precio",".; ","")&amp;IF('[1]Precios componentes'!D95="Sin precio","KIA250; ","")&amp;IF('[1]Precios componentes'!D61="Sin precio","ENV20; ","")&amp;IF('[1]Precios componentes'!D147="Sin precio","TPD61IV; ","")</f>
        <v/>
      </c>
    </row>
    <row r="224" spans="1:12" ht="22" customHeight="1">
      <c r="A224" s="1" t="s">
        <v>254</v>
      </c>
      <c r="B224" s="1" t="s">
        <v>18</v>
      </c>
      <c r="C224" s="1" t="s">
        <v>116</v>
      </c>
      <c r="D224" s="4">
        <f>IF(COUNTIFS([1]Desglose_BOM_Componentes!$B$2333:$B$2343,$A224,[1]Desglose_BOM_Componentes!$AE$2333:$AE$2343,"Sin precio",[1]Desglose_BOM_Componentes!$X$2333:$X$2343,"Formulación")&gt;0,"n.d.",SUMIFS([1]Desglose_BOM_Componentes!$AC$2333:$AC$2343,[1]Desglose_BOM_Componentes!$B$2333:$B$2343,$A224,[1]Desglose_BOM_Componentes!$X$2333:$X$2343,"Formulación"))</f>
        <v>1.5829</v>
      </c>
      <c r="E224" s="4">
        <f>IF(COUNTIFS([1]Desglose_BOM_Componentes!$B$2333:$B$2343,$A224,[1]Desglose_BOM_Componentes!$AE$2333:$AE$2343,"Sin precio",[1]Desglose_BOM_Componentes!$X$2333:$X$2343,"Empaquetado")&gt;0,"n.d.",SUMIFS([1]Desglose_BOM_Componentes!$AC$2333:$AC$2343,[1]Desglose_BOM_Componentes!$B$2333:$B$2343,$A224,[1]Desglose_BOM_Componentes!$X$2333:$X$2343,"Empaquetado"))</f>
        <v>0.24135486609756987</v>
      </c>
      <c r="F224" s="6">
        <f t="shared" si="18"/>
        <v>1.8284548660975699</v>
      </c>
      <c r="G224" s="4">
        <f>IF(COUNTIFS([1]Desglose_BOM_Componentes!$B$2333:$B$2343,$A224,[1]Desglose_BOM_Componentes!$AE$2333:$AE$2343,"Sin precio",[1]Desglose_BOM_Componentes!$X$2333:$X$2343,"Formulación")&gt;0,"n.d.",SUMIFS([1]Desglose_BOM_Componentes!$AD$2333:$AD$2343,[1]Desglose_BOM_Componentes!$B$2333:$B$2343,$A224,[1]Desglose_BOM_Componentes!$X$2333:$X$2343,"Formulación"))</f>
        <v>1.4738942857142858</v>
      </c>
      <c r="H224" s="4">
        <f>IF(COUNTIFS([1]Desglose_BOM_Componentes!$B$2333:$B$2343,$A224,[1]Desglose_BOM_Componentes!$AE$2333:$AE$2343,"Sin precio",[1]Desglose_BOM_Componentes!$X$2333:$X$2343,"Empaquetado")&gt;0,"n.d.",SUMIFS([1]Desglose_BOM_Componentes!$AD$2333:$AD$2343,[1]Desglose_BOM_Componentes!$B$2333:$B$2343,$A224,[1]Desglose_BOM_Componentes!$X$2333:$X$2343,"Empaquetado"))</f>
        <v>0.24135486609756987</v>
      </c>
      <c r="I224" s="6">
        <f t="shared" si="19"/>
        <v>1.7194491518118558</v>
      </c>
      <c r="J224" s="1" t="str">
        <f t="shared" si="17"/>
        <v>Completo</v>
      </c>
      <c r="K224" s="1">
        <f>COUNTIFS([1]Desglose_BOM_Componentes!$B$2333:$B$2343,$A224,[1]Desglose_BOM_Componentes!$AE$2333:$AE$2343,"Sin precio")</f>
        <v>0</v>
      </c>
      <c r="L224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componentes'!D136="Sin precio","SOBRE 20L; ","")&amp;IF('[1]Precios componentes'!D115="Sin precio","PAL; ","")&amp;IF('[1]Precios componentes'!D7="Sin precio",".; ","")&amp;IF('[1]Precios componentes'!D95="Sin precio","KIA250; ","")&amp;IF('[1]Precios componentes'!D61="Sin precio","ENV20; ","")&amp;IF('[1]Precios componentes'!D147="Sin precio","TPD61IV; ","")</f>
        <v/>
      </c>
    </row>
    <row r="225" spans="1:12" ht="22" customHeight="1">
      <c r="A225" s="1" t="s">
        <v>255</v>
      </c>
      <c r="B225" s="1" t="s">
        <v>18</v>
      </c>
      <c r="C225" s="1" t="s">
        <v>135</v>
      </c>
      <c r="D225" s="4">
        <f>IF(COUNTIFS([1]Desglose_BOM_Componentes!$B$2344:$B$2354,$A225,[1]Desglose_BOM_Componentes!$AE$2344:$AE$2354,"Sin precio",[1]Desglose_BOM_Componentes!$X$2344:$X$2354,"Formulación")&gt;0,"n.d.",SUMIFS([1]Desglose_BOM_Componentes!$AC$2344:$AC$2354,[1]Desglose_BOM_Componentes!$B$2344:$B$2354,$A225,[1]Desglose_BOM_Componentes!$X$2344:$X$2354,"Formulación"))</f>
        <v>1.5829</v>
      </c>
      <c r="E225" s="4">
        <f>IF(COUNTIFS([1]Desglose_BOM_Componentes!$B$2344:$B$2354,$A225,[1]Desglose_BOM_Componentes!$AE$2344:$AE$2354,"Sin precio",[1]Desglose_BOM_Componentes!$X$2344:$X$2354,"Empaquetado")&gt;0,"n.d.",SUMIFS([1]Desglose_BOM_Componentes!$AC$2344:$AC$2354,[1]Desglose_BOM_Componentes!$B$2344:$B$2354,$A225,[1]Desglose_BOM_Componentes!$X$2344:$X$2354,"Empaquetado"))</f>
        <v>0.24135486609756987</v>
      </c>
      <c r="F225" s="6">
        <f t="shared" si="18"/>
        <v>1.8284548660975699</v>
      </c>
      <c r="G225" s="4">
        <f>IF(COUNTIFS([1]Desglose_BOM_Componentes!$B$2344:$B$2354,$A225,[1]Desglose_BOM_Componentes!$AE$2344:$AE$2354,"Sin precio",[1]Desglose_BOM_Componentes!$X$2344:$X$2354,"Formulación")&gt;0,"n.d.",SUMIFS([1]Desglose_BOM_Componentes!$AD$2344:$AD$2354,[1]Desglose_BOM_Componentes!$B$2344:$B$2354,$A225,[1]Desglose_BOM_Componentes!$X$2344:$X$2354,"Formulación"))</f>
        <v>1.4738942857142858</v>
      </c>
      <c r="H225" s="4">
        <f>IF(COUNTIFS([1]Desglose_BOM_Componentes!$B$2344:$B$2354,$A225,[1]Desglose_BOM_Componentes!$AE$2344:$AE$2354,"Sin precio",[1]Desglose_BOM_Componentes!$X$2344:$X$2354,"Empaquetado")&gt;0,"n.d.",SUMIFS([1]Desglose_BOM_Componentes!$AD$2344:$AD$2354,[1]Desglose_BOM_Componentes!$B$2344:$B$2354,$A225,[1]Desglose_BOM_Componentes!$X$2344:$X$2354,"Empaquetado"))</f>
        <v>0.24135486609756987</v>
      </c>
      <c r="I225" s="6">
        <f t="shared" si="19"/>
        <v>1.7194491518118558</v>
      </c>
      <c r="J225" s="1" t="str">
        <f t="shared" si="17"/>
        <v>Completo</v>
      </c>
      <c r="K225" s="1">
        <f>COUNTIFS([1]Desglose_BOM_Componentes!$B$2344:$B$2354,$A225,[1]Desglose_BOM_Componentes!$AE$2344:$AE$2354,"Sin precio")</f>
        <v>0</v>
      </c>
      <c r="L225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componentes'!D136="Sin precio","SOBRE 20L; ","")&amp;IF('[1]Precios componentes'!D115="Sin precio","PAL; ","")&amp;IF('[1]Precios componentes'!D7="Sin precio",".; ","")&amp;IF('[1]Precios componentes'!D95="Sin precio","KIA250; ","")&amp;IF('[1]Precios componentes'!D61="Sin precio","ENV20; ","")&amp;IF('[1]Precios componentes'!D147="Sin precio","TPD61IV; ","")</f>
        <v/>
      </c>
    </row>
    <row r="226" spans="1:12" ht="22" customHeight="1">
      <c r="A226" s="1" t="s">
        <v>256</v>
      </c>
      <c r="B226" s="1" t="s">
        <v>18</v>
      </c>
      <c r="C226" s="1" t="s">
        <v>19</v>
      </c>
      <c r="D226" s="4">
        <f>IF(COUNTIFS([1]Desglose_BOM_Componentes!$B$2355:$B$2365,$A226,[1]Desglose_BOM_Componentes!$AE$2355:$AE$2365,"Sin precio",[1]Desglose_BOM_Componentes!$X$2355:$X$2365,"Formulación")&gt;0,"n.d.",SUMIFS([1]Desglose_BOM_Componentes!$AC$2355:$AC$2365,[1]Desglose_BOM_Componentes!$B$2355:$B$2365,$A226,[1]Desglose_BOM_Componentes!$X$2355:$X$2365,"Formulación"))</f>
        <v>1.5829</v>
      </c>
      <c r="E226" s="4">
        <f>IF(COUNTIFS([1]Desglose_BOM_Componentes!$B$2355:$B$2365,$A226,[1]Desglose_BOM_Componentes!$AE$2355:$AE$2365,"Sin precio",[1]Desglose_BOM_Componentes!$X$2355:$X$2365,"Empaquetado")&gt;0,"n.d.",SUMIFS([1]Desglose_BOM_Componentes!$AC$2355:$AC$2365,[1]Desglose_BOM_Componentes!$B$2355:$B$2365,$A226,[1]Desglose_BOM_Componentes!$X$2355:$X$2365,"Empaquetado"))</f>
        <v>0.24135486609756987</v>
      </c>
      <c r="F226" s="6">
        <f t="shared" si="18"/>
        <v>1.8284548660975699</v>
      </c>
      <c r="G226" s="4">
        <f>IF(COUNTIFS([1]Desglose_BOM_Componentes!$B$2355:$B$2365,$A226,[1]Desglose_BOM_Componentes!$AE$2355:$AE$2365,"Sin precio",[1]Desglose_BOM_Componentes!$X$2355:$X$2365,"Formulación")&gt;0,"n.d.",SUMIFS([1]Desglose_BOM_Componentes!$AD$2355:$AD$2365,[1]Desglose_BOM_Componentes!$B$2355:$B$2365,$A226,[1]Desglose_BOM_Componentes!$X$2355:$X$2365,"Formulación"))</f>
        <v>1.4738942857142858</v>
      </c>
      <c r="H226" s="4">
        <f>IF(COUNTIFS([1]Desglose_BOM_Componentes!$B$2355:$B$2365,$A226,[1]Desglose_BOM_Componentes!$AE$2355:$AE$2365,"Sin precio",[1]Desglose_BOM_Componentes!$X$2355:$X$2365,"Empaquetado")&gt;0,"n.d.",SUMIFS([1]Desglose_BOM_Componentes!$AD$2355:$AD$2365,[1]Desglose_BOM_Componentes!$B$2355:$B$2365,$A226,[1]Desglose_BOM_Componentes!$X$2355:$X$2365,"Empaquetado"))</f>
        <v>0.24135486609756987</v>
      </c>
      <c r="I226" s="6">
        <f t="shared" si="19"/>
        <v>1.7194491518118558</v>
      </c>
      <c r="J226" s="1" t="str">
        <f t="shared" si="17"/>
        <v>Completo</v>
      </c>
      <c r="K226" s="1">
        <f>COUNTIFS([1]Desglose_BOM_Componentes!$B$2355:$B$2365,$A226,[1]Desglose_BOM_Componentes!$AE$2355:$AE$2365,"Sin precio")</f>
        <v>0</v>
      </c>
      <c r="L226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componentes'!D136="Sin precio","SOBRE 20L; ","")&amp;IF('[1]Precios componentes'!D115="Sin precio","PAL; ","")&amp;IF('[1]Precios componentes'!D7="Sin precio",".; ","")&amp;IF('[1]Precios componentes'!D95="Sin precio","KIA250; ","")&amp;IF('[1]Precios componentes'!D61="Sin precio","ENV20; ","")&amp;IF('[1]Precios componentes'!D147="Sin precio","TPD61IV; ","")</f>
        <v/>
      </c>
    </row>
    <row r="227" spans="1:12" ht="22" customHeight="1">
      <c r="A227" s="1" t="s">
        <v>257</v>
      </c>
      <c r="B227" s="1" t="s">
        <v>18</v>
      </c>
      <c r="C227" s="1" t="s">
        <v>32</v>
      </c>
      <c r="D227" s="4">
        <f>IF(COUNTIFS([1]Desglose_BOM_Componentes!$B$2387:$B$2396,$A227,[1]Desglose_BOM_Componentes!$AE$2387:$AE$2396,"Sin precio",[1]Desglose_BOM_Componentes!$X$2387:$X$2396,"Formulación")&gt;0,"n.d.",SUMIFS([1]Desglose_BOM_Componentes!$AC$2387:$AC$2396,[1]Desglose_BOM_Componentes!$B$2387:$B$2396,$A227,[1]Desglose_BOM_Componentes!$X$2387:$X$2396,"Formulación"))</f>
        <v>1.89802</v>
      </c>
      <c r="E227" s="4">
        <f>IF(COUNTIFS([1]Desglose_BOM_Componentes!$B$2387:$B$2396,$A227,[1]Desglose_BOM_Componentes!$AE$2387:$AE$2396,"Sin precio",[1]Desglose_BOM_Componentes!$X$2387:$X$2396,"Empaquetado")&gt;0,"n.d.",SUMIFS([1]Desglose_BOM_Componentes!$AC$2387:$AC$2396,[1]Desglose_BOM_Componentes!$B$2387:$B$2396,$A227,[1]Desglose_BOM_Componentes!$X$2387:$X$2396,"Empaquetado"))</f>
        <v>1.0884504732911939</v>
      </c>
      <c r="F227" s="6">
        <f t="shared" si="18"/>
        <v>2.990670473291194</v>
      </c>
      <c r="G227" s="4">
        <f>IF(COUNTIFS([1]Desglose_BOM_Componentes!$B$2387:$B$2396,$A227,[1]Desglose_BOM_Componentes!$AE$2387:$AE$2396,"Sin precio",[1]Desglose_BOM_Componentes!$X$2387:$X$2396,"Formulación")&gt;0,"n.d.",SUMIFS([1]Desglose_BOM_Componentes!$AD$2387:$AD$2396,[1]Desglose_BOM_Componentes!$B$2387:$B$2396,$A227,[1]Desglose_BOM_Componentes!$X$2387:$X$2396,"Formulación"))</f>
        <v>1.8829208333333332</v>
      </c>
      <c r="H227" s="4">
        <f>IF(COUNTIFS([1]Desglose_BOM_Componentes!$B$2387:$B$2396,$A227,[1]Desglose_BOM_Componentes!$AE$2387:$AE$2396,"Sin precio",[1]Desglose_BOM_Componentes!$X$2387:$X$2396,"Empaquetado")&gt;0,"n.d.",SUMIFS([1]Desglose_BOM_Componentes!$AD$2387:$AD$2396,[1]Desglose_BOM_Componentes!$B$2387:$B$2396,$A227,[1]Desglose_BOM_Componentes!$X$2387:$X$2396,"Empaquetado"))</f>
        <v>0.95781713995786077</v>
      </c>
      <c r="I227" s="6">
        <f t="shared" si="19"/>
        <v>2.8449379732911941</v>
      </c>
      <c r="J227" s="1" t="str">
        <f t="shared" si="17"/>
        <v>Completo</v>
      </c>
      <c r="K227" s="1">
        <f>COUNTIFS([1]Desglose_BOM_Componentes!$B$2387:$B$2396,$A227,[1]Desglose_BOM_Componentes!$AE$2387:$AE$2396,"Sin precio")</f>
        <v>0</v>
      </c>
      <c r="L227" s="1" t="str">
        <f>IF('[1]Precios componentes'!D82="Sin precio","GLUCONIC; ","")&amp;IF('[1]Precios componentes'!D11="Sin precio","AGUA; ","")&amp;IF('[1]Precios componentes'!D128="Sin precio","SCU; ","")&amp;IF('[1]Precios componentes'!D106="Sin precio","MEA;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componentes'!D65="Sin precio","ETCODICEG; ","")</f>
        <v/>
      </c>
    </row>
    <row r="228" spans="1:12" ht="22" customHeight="1">
      <c r="A228" s="1" t="s">
        <v>258</v>
      </c>
      <c r="B228" s="1" t="s">
        <v>18</v>
      </c>
      <c r="C228" s="1" t="s">
        <v>24</v>
      </c>
      <c r="D228" s="4">
        <f>IF(COUNTIFS([1]Desglose_BOM_Componentes!$B$2397:$B$2407,$A228,[1]Desglose_BOM_Componentes!$AE$2397:$AE$2407,"Sin precio",[1]Desglose_BOM_Componentes!$X$2397:$X$2407,"Formulación")&gt;0,"n.d.",SUMIFS([1]Desglose_BOM_Componentes!$AC$2397:$AC$2407,[1]Desglose_BOM_Componentes!$B$2397:$B$2407,$A228,[1]Desglose_BOM_Componentes!$X$2397:$X$2407,"Formulación"))</f>
        <v>1.5829</v>
      </c>
      <c r="E228" s="4">
        <f>IF(COUNTIFS([1]Desglose_BOM_Componentes!$B$2397:$B$2407,$A228,[1]Desglose_BOM_Componentes!$AE$2397:$AE$2407,"Sin precio",[1]Desglose_BOM_Componentes!$X$2397:$X$2407,"Empaquetado")&gt;0,"n.d.",SUMIFS([1]Desglose_BOM_Componentes!$AC$2397:$AC$2407,[1]Desglose_BOM_Componentes!$B$2397:$B$2407,$A228,[1]Desglose_BOM_Componentes!$X$2397:$X$2407,"Empaquetado"))</f>
        <v>0.31508466819407255</v>
      </c>
      <c r="F228" s="6">
        <f t="shared" si="18"/>
        <v>1.9021846681940726</v>
      </c>
      <c r="G228" s="4">
        <f>IF(COUNTIFS([1]Desglose_BOM_Componentes!$B$2397:$B$2407,$A228,[1]Desglose_BOM_Componentes!$AE$2397:$AE$2407,"Sin precio",[1]Desglose_BOM_Componentes!$X$2397:$X$2407,"Formulación")&gt;0,"n.d.",SUMIFS([1]Desglose_BOM_Componentes!$AD$2397:$AD$2407,[1]Desglose_BOM_Componentes!$B$2397:$B$2407,$A228,[1]Desglose_BOM_Componentes!$X$2397:$X$2407,"Formulación"))</f>
        <v>1.4738942857142858</v>
      </c>
      <c r="H228" s="4">
        <f>IF(COUNTIFS([1]Desglose_BOM_Componentes!$B$2397:$B$2407,$A228,[1]Desglose_BOM_Componentes!$AE$2397:$AE$2407,"Sin precio",[1]Desglose_BOM_Componentes!$X$2397:$X$2407,"Empaquetado")&gt;0,"n.d.",SUMIFS([1]Desglose_BOM_Componentes!$AD$2397:$AD$2407,[1]Desglose_BOM_Componentes!$B$2397:$B$2407,$A228,[1]Desglose_BOM_Componentes!$X$2397:$X$2407,"Empaquetado"))</f>
        <v>0.31508466819407255</v>
      </c>
      <c r="I228" s="6">
        <f t="shared" si="19"/>
        <v>1.7931789539083582</v>
      </c>
      <c r="J228" s="1" t="str">
        <f t="shared" si="17"/>
        <v>Completo</v>
      </c>
      <c r="K228" s="1">
        <f>COUNTIFS([1]Desglose_BOM_Componentes!$B$2397:$B$2407,$A228,[1]Desglose_BOM_Componentes!$AE$2397:$AE$2407,"Sin precio")</f>
        <v>0</v>
      </c>
      <c r="L228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229" spans="1:12" ht="22" customHeight="1">
      <c r="A229" s="1" t="s">
        <v>259</v>
      </c>
      <c r="B229" s="1" t="s">
        <v>18</v>
      </c>
      <c r="C229" s="1" t="s">
        <v>26</v>
      </c>
      <c r="D229" s="4">
        <f>IF(COUNTIFS([1]Desglose_BOM_Componentes!$B$2408:$B$2418,$A229,[1]Desglose_BOM_Componentes!$AE$2408:$AE$2418,"Sin precio",[1]Desglose_BOM_Componentes!$X$2408:$X$2418,"Formulación")&gt;0,"n.d.",SUMIFS([1]Desglose_BOM_Componentes!$AC$2408:$AC$2418,[1]Desglose_BOM_Componentes!$B$2408:$B$2418,$A229,[1]Desglose_BOM_Componentes!$X$2408:$X$2418,"Formulación"))</f>
        <v>1.5829</v>
      </c>
      <c r="E229" s="4">
        <f>IF(COUNTIFS([1]Desglose_BOM_Componentes!$B$2408:$B$2418,$A229,[1]Desglose_BOM_Componentes!$AE$2408:$AE$2418,"Sin precio",[1]Desglose_BOM_Componentes!$X$2408:$X$2418,"Empaquetado")&gt;0,"n.d.",SUMIFS([1]Desglose_BOM_Componentes!$AC$2408:$AC$2418,[1]Desglose_BOM_Componentes!$B$2408:$B$2418,$A229,[1]Desglose_BOM_Componentes!$X$2408:$X$2418,"Empaquetado"))</f>
        <v>0.31508466819407255</v>
      </c>
      <c r="F229" s="6">
        <f t="shared" si="18"/>
        <v>1.9021846681940726</v>
      </c>
      <c r="G229" s="4">
        <f>IF(COUNTIFS([1]Desglose_BOM_Componentes!$B$2408:$B$2418,$A229,[1]Desglose_BOM_Componentes!$AE$2408:$AE$2418,"Sin precio",[1]Desglose_BOM_Componentes!$X$2408:$X$2418,"Formulación")&gt;0,"n.d.",SUMIFS([1]Desglose_BOM_Componentes!$AD$2408:$AD$2418,[1]Desglose_BOM_Componentes!$B$2408:$B$2418,$A229,[1]Desglose_BOM_Componentes!$X$2408:$X$2418,"Formulación"))</f>
        <v>1.4738942857142858</v>
      </c>
      <c r="H229" s="4">
        <f>IF(COUNTIFS([1]Desglose_BOM_Componentes!$B$2408:$B$2418,$A229,[1]Desglose_BOM_Componentes!$AE$2408:$AE$2418,"Sin precio",[1]Desglose_BOM_Componentes!$X$2408:$X$2418,"Empaquetado")&gt;0,"n.d.",SUMIFS([1]Desglose_BOM_Componentes!$AD$2408:$AD$2418,[1]Desglose_BOM_Componentes!$B$2408:$B$2418,$A229,[1]Desglose_BOM_Componentes!$X$2408:$X$2418,"Empaquetado"))</f>
        <v>0.31508466819407255</v>
      </c>
      <c r="I229" s="6">
        <f t="shared" si="19"/>
        <v>1.7931789539083582</v>
      </c>
      <c r="J229" s="1" t="str">
        <f t="shared" si="17"/>
        <v>Completo</v>
      </c>
      <c r="K229" s="1">
        <f>COUNTIFS([1]Desglose_BOM_Componentes!$B$2408:$B$2418,$A229,[1]Desglose_BOM_Componentes!$AE$2408:$AE$2418,"Sin precio")</f>
        <v>0</v>
      </c>
      <c r="L229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230" spans="1:12" ht="22" customHeight="1">
      <c r="A230" s="1" t="s">
        <v>260</v>
      </c>
      <c r="B230" s="1" t="s">
        <v>18</v>
      </c>
      <c r="C230" s="1" t="s">
        <v>24</v>
      </c>
      <c r="D230" s="4">
        <f>IF(COUNTIFS([1]Desglose_BOM_Componentes!$B$2419:$B$2428,$A230,[1]Desglose_BOM_Componentes!$AE$2419:$AE$2428,"Sin precio",[1]Desglose_BOM_Componentes!$X$2419:$X$2428,"Formulación")&gt;0,"n.d.",SUMIFS([1]Desglose_BOM_Componentes!$AC$2419:$AC$2428,[1]Desglose_BOM_Componentes!$B$2419:$B$2428,$A230,[1]Desglose_BOM_Componentes!$X$2419:$X$2428,"Formulación"))</f>
        <v>1.5829</v>
      </c>
      <c r="E230" s="4">
        <f>IF(COUNTIFS([1]Desglose_BOM_Componentes!$B$2419:$B$2428,$A230,[1]Desglose_BOM_Componentes!$AE$2419:$AE$2428,"Sin precio",[1]Desglose_BOM_Componentes!$X$2419:$X$2428,"Empaquetado")&gt;0,"n.d.",SUMIFS([1]Desglose_BOM_Componentes!$AC$2419:$AC$2428,[1]Desglose_BOM_Componentes!$B$2419:$B$2428,$A230,[1]Desglose_BOM_Componentes!$X$2419:$X$2428,"Empaquetado"))</f>
        <v>0.48382938693090322</v>
      </c>
      <c r="F230" s="6">
        <f t="shared" si="18"/>
        <v>2.0709293869309033</v>
      </c>
      <c r="G230" s="4">
        <f>IF(COUNTIFS([1]Desglose_BOM_Componentes!$B$2419:$B$2428,$A230,[1]Desglose_BOM_Componentes!$AE$2419:$AE$2428,"Sin precio",[1]Desglose_BOM_Componentes!$X$2419:$X$2428,"Formulación")&gt;0,"n.d.",SUMIFS([1]Desglose_BOM_Componentes!$AD$2419:$AD$2428,[1]Desglose_BOM_Componentes!$B$2419:$B$2428,$A230,[1]Desglose_BOM_Componentes!$X$2419:$X$2428,"Formulación"))</f>
        <v>1.4738942857142858</v>
      </c>
      <c r="H230" s="4">
        <f>IF(COUNTIFS([1]Desglose_BOM_Componentes!$B$2419:$B$2428,$A230,[1]Desglose_BOM_Componentes!$AE$2419:$AE$2428,"Sin precio",[1]Desglose_BOM_Componentes!$X$2419:$X$2428,"Empaquetado")&gt;0,"n.d.",SUMIFS([1]Desglose_BOM_Componentes!$AD$2419:$AD$2428,[1]Desglose_BOM_Componentes!$B$2419:$B$2428,$A230,[1]Desglose_BOM_Componentes!$X$2419:$X$2428,"Empaquetado"))</f>
        <v>0.48382938693090322</v>
      </c>
      <c r="I230" s="6">
        <f t="shared" si="19"/>
        <v>1.961923672645189</v>
      </c>
      <c r="J230" s="1" t="str">
        <f t="shared" si="17"/>
        <v>Completo</v>
      </c>
      <c r="K230" s="1">
        <f>COUNTIFS([1]Desglose_BOM_Componentes!$B$2419:$B$2428,$A230,[1]Desglose_BOM_Componentes!$AE$2419:$AE$2428,"Sin precio")</f>
        <v>0</v>
      </c>
      <c r="L230" s="1" t="str">
        <f>IF('[1]Precios componentes'!D13="Sin precio","AMO; ","")&amp;IF('[1]Precios componentes'!D11="Sin precio","AGUA; ","")&amp;IF('[1]Precios componentes'!D128="Sin precio","SCU; ","")&amp;IF('[1]Precios componentes'!D104="Sin precio","MAL; ","")&amp;IF('[1]Precios componentes'!D84="Sin precio","GLUSO; ","")&amp;IF('[1]Precios componentes'!D136="Sin precio","SOBRE 20L; ","")&amp;IF('[1]Precios componentes'!D115="Sin precio","PAL; ","")&amp;IF('[1]Precios componentes'!D147="Sin precio","TPD61IV; ","")&amp;IF('[1]Precios componentes'!D95="Sin precio","KIA250; ","")&amp;IF('[1]Precios componentes'!D61="Sin precio","ENV20; ","")</f>
        <v/>
      </c>
    </row>
    <row r="231" spans="1:12" ht="22" customHeight="1">
      <c r="A231" s="1" t="s">
        <v>261</v>
      </c>
      <c r="B231" s="1" t="s">
        <v>68</v>
      </c>
      <c r="C231" s="1" t="s">
        <v>24</v>
      </c>
      <c r="D231" s="4">
        <f>IF(COUNTIFS([1]Desglose_BOM_Componentes!$B$2429:$B$2439,$A231,[1]Desglose_BOM_Componentes!$AE$2429:$AE$2439,"Sin precio",[1]Desglose_BOM_Componentes!$X$2429:$X$2439,"Formulación")&gt;0,"n.d.",SUMIFS([1]Desglose_BOM_Componentes!$AC$2429:$AC$2439,[1]Desglose_BOM_Componentes!$B$2429:$B$2439,$A231,[1]Desglose_BOM_Componentes!$X$2429:$X$2439,"Formulación"))</f>
        <v>3.4519600000000001</v>
      </c>
      <c r="E231" s="4">
        <f>IF(COUNTIFS([1]Desglose_BOM_Componentes!$B$2429:$B$2439,$A231,[1]Desglose_BOM_Componentes!$AE$2429:$AE$2439,"Sin precio",[1]Desglose_BOM_Componentes!$X$2429:$X$2439,"Empaquetado")&gt;0,"n.d.",SUMIFS([1]Desglose_BOM_Componentes!$AC$2429:$AC$2439,[1]Desglose_BOM_Componentes!$B$2429:$B$2439,$A231,[1]Desglose_BOM_Componentes!$X$2429:$X$2439,"Empaquetado"))</f>
        <v>0.13047864446091351</v>
      </c>
      <c r="F231" s="6">
        <f>IF(K231&gt;0,"n.d.",SUM(D231:E231))</f>
        <v>3.5824386444609138</v>
      </c>
      <c r="G231" s="4">
        <f>IF(COUNTIFS([1]Desglose_BOM_Componentes!$B$2429:$B$2439,$A231,[1]Desglose_BOM_Componentes!$AE$2429:$AE$2439,"Sin precio",[1]Desglose_BOM_Componentes!$X$2429:$X$2439,"Formulación")&gt;0,"n.d.",SUMIFS([1]Desglose_BOM_Componentes!$AD$2429:$AD$2439,[1]Desglose_BOM_Componentes!$B$2429:$B$2439,$A231,[1]Desglose_BOM_Componentes!$X$2429:$X$2439,"Formulación"))</f>
        <v>3.11646</v>
      </c>
      <c r="H231" s="4">
        <f>IF(COUNTIFS([1]Desglose_BOM_Componentes!$B$2429:$B$2439,$A231,[1]Desglose_BOM_Componentes!$AE$2429:$AE$2439,"Sin precio",[1]Desglose_BOM_Componentes!$X$2429:$X$2439,"Empaquetado")&gt;0,"n.d.",SUMIFS([1]Desglose_BOM_Componentes!$AD$2429:$AD$2439,[1]Desglose_BOM_Componentes!$B$2429:$B$2439,$A231,[1]Desglose_BOM_Componentes!$X$2429:$X$2439,"Empaquetado"))</f>
        <v>0.13047864446091351</v>
      </c>
      <c r="I231" s="6">
        <f>IF(K231&gt;0,"n.d.",SUM(G231:H231))</f>
        <v>3.2469386444609136</v>
      </c>
      <c r="J231" s="1" t="str">
        <f t="shared" si="17"/>
        <v>Completo</v>
      </c>
      <c r="K231" s="1">
        <f>COUNTIFS([1]Desglose_BOM_Componentes!$B$2429:$B$2439,$A231,[1]Desglose_BOM_Componentes!$AE$2429:$AE$2439,"Sin precio")</f>
        <v>0</v>
      </c>
      <c r="L231" s="1" t="str">
        <f>IF('[1]Precios componentes'!D79="Sin precio","GLBE; ","")&amp;IF('[1]Precios componentes'!D80="Sin precio","GLI; ","")&amp;IF('[1]Precios componentes'!D53="Sin precio","EBRO; ","")&amp;IF('[1]Precios componentes'!D119="Sin precio","PROLIN; ","")&amp;IF('[1]Precios componentes'!D83="Sin precio","GLUMO; ","")&amp;IF('[1]Precios componentes'!D105="Sin precio","MAN; ","")&amp;IF('[1]Precios componentes'!D134="Sin precio","SOBRE 1L; ","")&amp;IF('[1]Precios componentes'!D115="Sin precio","PAL; ","")&amp;IF('[1]Precios componentes'!D94="Sin precio","KIA220; ","")&amp;IF('[1]Precios componentes'!D70="Sin precio","ETQVP165; ","")&amp;IF('[1]Precios componentes'!D97="Sin precio","LAM1; ","")</f>
        <v/>
      </c>
    </row>
    <row r="232" spans="1:12" ht="22" customHeight="1">
      <c r="A232" s="1" t="s">
        <v>262</v>
      </c>
      <c r="B232" s="1" t="s">
        <v>68</v>
      </c>
      <c r="C232" s="1" t="s">
        <v>95</v>
      </c>
      <c r="D232" s="4">
        <f>IF(COUNTIFS([1]Desglose_BOM_Componentes!$B$2440:$B$2450,$A232,[1]Desglose_BOM_Componentes!$AE$2440:$AE$2450,"Sin precio",[1]Desglose_BOM_Componentes!$X$2440:$X$2450,"Formulación")&gt;0,"n.d.",SUMIFS([1]Desglose_BOM_Componentes!$AC$2440:$AC$2450,[1]Desglose_BOM_Componentes!$B$2440:$B$2450,$A232,[1]Desglose_BOM_Componentes!$X$2440:$X$2450,"Formulación"))</f>
        <v>3.4519600000000001</v>
      </c>
      <c r="E232" s="4">
        <f>IF(COUNTIFS([1]Desglose_BOM_Componentes!$B$2440:$B$2450,$A232,[1]Desglose_BOM_Componentes!$AE$2440:$AE$2450,"Sin precio",[1]Desglose_BOM_Componentes!$X$2440:$X$2450,"Empaquetado")&gt;0,"n.d.",SUMIFS([1]Desglose_BOM_Componentes!$AC$2440:$AC$2450,[1]Desglose_BOM_Componentes!$B$2440:$B$2450,$A232,[1]Desglose_BOM_Componentes!$X$2440:$X$2450,"Empaquetado"))</f>
        <v>0.13047864446091351</v>
      </c>
      <c r="F232" s="6">
        <f>IF(K232&gt;0,"n.d.",SUM(D232:E232))</f>
        <v>3.5824386444609138</v>
      </c>
      <c r="G232" s="4">
        <f>IF(COUNTIFS([1]Desglose_BOM_Componentes!$B$2440:$B$2450,$A232,[1]Desglose_BOM_Componentes!$AE$2440:$AE$2450,"Sin precio",[1]Desglose_BOM_Componentes!$X$2440:$X$2450,"Formulación")&gt;0,"n.d.",SUMIFS([1]Desglose_BOM_Componentes!$AD$2440:$AD$2450,[1]Desglose_BOM_Componentes!$B$2440:$B$2450,$A232,[1]Desglose_BOM_Componentes!$X$2440:$X$2450,"Formulación"))</f>
        <v>3.11646</v>
      </c>
      <c r="H232" s="4">
        <f>IF(COUNTIFS([1]Desglose_BOM_Componentes!$B$2440:$B$2450,$A232,[1]Desglose_BOM_Componentes!$AE$2440:$AE$2450,"Sin precio",[1]Desglose_BOM_Componentes!$X$2440:$X$2450,"Empaquetado")&gt;0,"n.d.",SUMIFS([1]Desglose_BOM_Componentes!$AD$2440:$AD$2450,[1]Desglose_BOM_Componentes!$B$2440:$B$2450,$A232,[1]Desglose_BOM_Componentes!$X$2440:$X$2450,"Empaquetado"))</f>
        <v>0.13047864446091351</v>
      </c>
      <c r="I232" s="6">
        <f>IF(K232&gt;0,"n.d.",SUM(G232:H232))</f>
        <v>3.2469386444609136</v>
      </c>
      <c r="J232" s="1" t="str">
        <f t="shared" si="17"/>
        <v>Completo</v>
      </c>
      <c r="K232" s="1">
        <f>COUNTIFS([1]Desglose_BOM_Componentes!$B$2440:$B$2450,$A232,[1]Desglose_BOM_Componentes!$AE$2440:$AE$2450,"Sin precio")</f>
        <v>0</v>
      </c>
      <c r="L232" s="1" t="str">
        <f>IF('[1]Precios componentes'!D79="Sin precio","GLBE; ","")&amp;IF('[1]Precios componentes'!D80="Sin precio","GLI; ","")&amp;IF('[1]Precios componentes'!D53="Sin precio","EBRO; ","")&amp;IF('[1]Precios componentes'!D119="Sin precio","PROLIN; ","")&amp;IF('[1]Precios componentes'!D83="Sin precio","GLUMO; ","")&amp;IF('[1]Precios componentes'!D105="Sin precio","MAN; ","")&amp;IF('[1]Precios componentes'!D134="Sin precio","SOBRE 1L; ","")&amp;IF('[1]Precios componentes'!D115="Sin precio","PAL; ","")&amp;IF('[1]Precios componentes'!D94="Sin precio","KIA220; ","")&amp;IF('[1]Precios componentes'!D70="Sin precio","ETQVP165; ","")&amp;IF('[1]Precios componentes'!D97="Sin precio","LAM1; ","")</f>
        <v/>
      </c>
    </row>
    <row r="233" spans="1:12" ht="22" customHeight="1">
      <c r="A233" s="1" t="s">
        <v>263</v>
      </c>
      <c r="B233" s="1" t="s">
        <v>68</v>
      </c>
      <c r="C233" s="1" t="s">
        <v>19</v>
      </c>
      <c r="D233" s="4">
        <f>IF(COUNTIFS([1]Desglose_BOM_Componentes!$B$2451:$B$2461,$A233,[1]Desglose_BOM_Componentes!$AE$2451:$AE$2461,"Sin precio",[1]Desglose_BOM_Componentes!$X$2451:$X$2461,"Formulación")&gt;0,"n.d.",SUMIFS([1]Desglose_BOM_Componentes!$AC$2451:$AC$2461,[1]Desglose_BOM_Componentes!$B$2451:$B$2461,$A233,[1]Desglose_BOM_Componentes!$X$2451:$X$2461,"Formulación"))</f>
        <v>3.4519600000000001</v>
      </c>
      <c r="E233" s="4">
        <f>IF(COUNTIFS([1]Desglose_BOM_Componentes!$B$2451:$B$2461,$A233,[1]Desglose_BOM_Componentes!$AE$2451:$AE$2461,"Sin precio",[1]Desglose_BOM_Componentes!$X$2451:$X$2461,"Empaquetado")&gt;0,"n.d.",SUMIFS([1]Desglose_BOM_Componentes!$AC$2451:$AC$2461,[1]Desglose_BOM_Componentes!$B$2451:$B$2461,$A233,[1]Desglose_BOM_Componentes!$X$2451:$X$2461,"Empaquetado"))</f>
        <v>0.13047864446091351</v>
      </c>
      <c r="F233" s="6">
        <f>IF(K233&gt;0,"n.d.",SUM(D233:E233))</f>
        <v>3.5824386444609138</v>
      </c>
      <c r="G233" s="4">
        <f>IF(COUNTIFS([1]Desglose_BOM_Componentes!$B$2451:$B$2461,$A233,[1]Desglose_BOM_Componentes!$AE$2451:$AE$2461,"Sin precio",[1]Desglose_BOM_Componentes!$X$2451:$X$2461,"Formulación")&gt;0,"n.d.",SUMIFS([1]Desglose_BOM_Componentes!$AD$2451:$AD$2461,[1]Desglose_BOM_Componentes!$B$2451:$B$2461,$A233,[1]Desglose_BOM_Componentes!$X$2451:$X$2461,"Formulación"))</f>
        <v>3.11646</v>
      </c>
      <c r="H233" s="4">
        <f>IF(COUNTIFS([1]Desglose_BOM_Componentes!$B$2451:$B$2461,$A233,[1]Desglose_BOM_Componentes!$AE$2451:$AE$2461,"Sin precio",[1]Desglose_BOM_Componentes!$X$2451:$X$2461,"Empaquetado")&gt;0,"n.d.",SUMIFS([1]Desglose_BOM_Componentes!$AD$2451:$AD$2461,[1]Desglose_BOM_Componentes!$B$2451:$B$2461,$A233,[1]Desglose_BOM_Componentes!$X$2451:$X$2461,"Empaquetado"))</f>
        <v>0.13047864446091351</v>
      </c>
      <c r="I233" s="6">
        <f>IF(K233&gt;0,"n.d.",SUM(G233:H233))</f>
        <v>3.2469386444609136</v>
      </c>
      <c r="J233" s="1" t="str">
        <f t="shared" si="17"/>
        <v>Completo</v>
      </c>
      <c r="K233" s="1">
        <f>COUNTIFS([1]Desglose_BOM_Componentes!$B$2451:$B$2461,$A233,[1]Desglose_BOM_Componentes!$AE$2451:$AE$2461,"Sin precio")</f>
        <v>0</v>
      </c>
      <c r="L233" s="1" t="str">
        <f>IF('[1]Precios componentes'!D79="Sin precio","GLBE; ","")&amp;IF('[1]Precios componentes'!D80="Sin precio","GLI; ","")&amp;IF('[1]Precios componentes'!D53="Sin precio","EBRO; ","")&amp;IF('[1]Precios componentes'!D119="Sin precio","PROLIN; ","")&amp;IF('[1]Precios componentes'!D83="Sin precio","GLUMO; ","")&amp;IF('[1]Precios componentes'!D105="Sin precio","MAN; ","")&amp;IF('[1]Precios componentes'!D134="Sin precio","SOBRE 1L; ","")&amp;IF('[1]Precios componentes'!D115="Sin precio","PAL; ","")&amp;IF('[1]Precios componentes'!D94="Sin precio","KIA220; ","")&amp;IF('[1]Precios componentes'!D70="Sin precio","ETQVP165; ","")&amp;IF('[1]Precios componentes'!D97="Sin precio","LAM1; ","")</f>
        <v/>
      </c>
    </row>
    <row r="234" spans="1:12" ht="22" customHeight="1">
      <c r="A234" s="1" t="s">
        <v>264</v>
      </c>
      <c r="B234" s="1" t="s">
        <v>68</v>
      </c>
      <c r="C234" s="1" t="s">
        <v>24</v>
      </c>
      <c r="D234" s="4">
        <f>IF(COUNTIFS([1]Desglose_BOM_Componentes!$B$2462:$B$2472,$A234,[1]Desglose_BOM_Componentes!$AE$2462:$AE$2472,"Sin precio",[1]Desglose_BOM_Componentes!$X$2462:$X$2472,"Formulación")&gt;0,"n.d.",SUMIFS([1]Desglose_BOM_Componentes!$AC$2462:$AC$2472,[1]Desglose_BOM_Componentes!$B$2462:$B$2472,$A234,[1]Desglose_BOM_Componentes!$X$2462:$X$2472,"Formulación"))</f>
        <v>3.4519600000000001</v>
      </c>
      <c r="E234" s="4">
        <f>IF(COUNTIFS([1]Desglose_BOM_Componentes!$B$2462:$B$2472,$A234,[1]Desglose_BOM_Componentes!$AE$2462:$AE$2472,"Sin precio",[1]Desglose_BOM_Componentes!$X$2462:$X$2472,"Empaquetado")&gt;0,"n.d.",SUMIFS([1]Desglose_BOM_Componentes!$AC$2462:$AC$2472,[1]Desglose_BOM_Componentes!$B$2462:$B$2472,$A234,[1]Desglose_BOM_Componentes!$X$2462:$X$2472,"Empaquetado"))</f>
        <v>0.10354733439422743</v>
      </c>
      <c r="F234" s="6">
        <f>IF(K234&gt;0,"n.d.",SUM(D234:E234))</f>
        <v>3.5555073343942274</v>
      </c>
      <c r="G234" s="4">
        <f>IF(COUNTIFS([1]Desglose_BOM_Componentes!$B$2462:$B$2472,$A234,[1]Desglose_BOM_Componentes!$AE$2462:$AE$2472,"Sin precio",[1]Desglose_BOM_Componentes!$X$2462:$X$2472,"Formulación")&gt;0,"n.d.",SUMIFS([1]Desglose_BOM_Componentes!$AD$2462:$AD$2472,[1]Desglose_BOM_Componentes!$B$2462:$B$2472,$A234,[1]Desglose_BOM_Componentes!$X$2462:$X$2472,"Formulación"))</f>
        <v>3.11646</v>
      </c>
      <c r="H234" s="4">
        <f>IF(COUNTIFS([1]Desglose_BOM_Componentes!$B$2462:$B$2472,$A234,[1]Desglose_BOM_Componentes!$AE$2462:$AE$2472,"Sin precio",[1]Desglose_BOM_Componentes!$X$2462:$X$2472,"Empaquetado")&gt;0,"n.d.",SUMIFS([1]Desglose_BOM_Componentes!$AD$2462:$AD$2472,[1]Desglose_BOM_Componentes!$B$2462:$B$2472,$A234,[1]Desglose_BOM_Componentes!$X$2462:$X$2472,"Empaquetado"))</f>
        <v>0.10354733439422743</v>
      </c>
      <c r="I234" s="6">
        <f>IF(K234&gt;0,"n.d.",SUM(G234:H234))</f>
        <v>3.2200073343942273</v>
      </c>
      <c r="J234" s="1" t="str">
        <f t="shared" si="17"/>
        <v>Completo</v>
      </c>
      <c r="K234" s="1">
        <f>COUNTIFS([1]Desglose_BOM_Componentes!$B$2462:$B$2472,$A234,[1]Desglose_BOM_Componentes!$AE$2462:$AE$2472,"Sin precio")</f>
        <v>0</v>
      </c>
      <c r="L234" s="1" t="str">
        <f>IF('[1]Precios componentes'!D79="Sin precio","GLBE; ","")&amp;IF('[1]Precios componentes'!D80="Sin precio","GLI; ","")&amp;IF('[1]Precios componentes'!D53="Sin precio","EBRO; ","")&amp;IF('[1]Precios componentes'!D119="Sin precio","PROLIN; ","")&amp;IF('[1]Precios componentes'!D83="Sin precio","GLUMO; ","")&amp;IF('[1]Precios componentes'!D105="Sin precio","MAN;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35" spans="1:12" ht="22" customHeight="1">
      <c r="A235" s="1" t="s">
        <v>265</v>
      </c>
      <c r="B235" s="1" t="s">
        <v>68</v>
      </c>
      <c r="C235" s="1" t="s">
        <v>19</v>
      </c>
      <c r="D235" s="4">
        <f>IF(COUNTIFS([1]Desglose_BOM_Componentes!$B$2473:$B$2483,$A235,[1]Desglose_BOM_Componentes!$AE$2473:$AE$2483,"Sin precio",[1]Desglose_BOM_Componentes!$X$2473:$X$2483,"Formulación")&gt;0,"n.d.",SUMIFS([1]Desglose_BOM_Componentes!$AC$2473:$AC$2483,[1]Desglose_BOM_Componentes!$B$2473:$B$2483,$A235,[1]Desglose_BOM_Componentes!$X$2473:$X$2483,"Formulación"))</f>
        <v>3.4519600000000001</v>
      </c>
      <c r="E235" s="4">
        <f>IF(COUNTIFS([1]Desglose_BOM_Componentes!$B$2473:$B$2483,$A235,[1]Desglose_BOM_Componentes!$AE$2473:$AE$2483,"Sin precio",[1]Desglose_BOM_Componentes!$X$2473:$X$2483,"Empaquetado")&gt;0,"n.d.",SUMIFS([1]Desglose_BOM_Componentes!$AC$2473:$AC$2483,[1]Desglose_BOM_Componentes!$B$2473:$B$2483,$A235,[1]Desglose_BOM_Componentes!$X$2473:$X$2483,"Empaquetado"))</f>
        <v>0.10354733439422743</v>
      </c>
      <c r="F235" s="6">
        <f>IF(K235&gt;0,"n.d.",SUM(D235:E235))</f>
        <v>3.5555073343942274</v>
      </c>
      <c r="G235" s="4">
        <f>IF(COUNTIFS([1]Desglose_BOM_Componentes!$B$2473:$B$2483,$A235,[1]Desglose_BOM_Componentes!$AE$2473:$AE$2483,"Sin precio",[1]Desglose_BOM_Componentes!$X$2473:$X$2483,"Formulación")&gt;0,"n.d.",SUMIFS([1]Desglose_BOM_Componentes!$AD$2473:$AD$2483,[1]Desglose_BOM_Componentes!$B$2473:$B$2483,$A235,[1]Desglose_BOM_Componentes!$X$2473:$X$2483,"Formulación"))</f>
        <v>3.11646</v>
      </c>
      <c r="H235" s="4">
        <f>IF(COUNTIFS([1]Desglose_BOM_Componentes!$B$2473:$B$2483,$A235,[1]Desglose_BOM_Componentes!$AE$2473:$AE$2483,"Sin precio",[1]Desglose_BOM_Componentes!$X$2473:$X$2483,"Empaquetado")&gt;0,"n.d.",SUMIFS([1]Desglose_BOM_Componentes!$AD$2473:$AD$2483,[1]Desglose_BOM_Componentes!$B$2473:$B$2483,$A235,[1]Desglose_BOM_Componentes!$X$2473:$X$2483,"Empaquetado"))</f>
        <v>0.10354733439422743</v>
      </c>
      <c r="I235" s="6">
        <f>IF(K235&gt;0,"n.d.",SUM(G235:H235))</f>
        <v>3.2200073343942273</v>
      </c>
      <c r="J235" s="1" t="str">
        <f t="shared" si="17"/>
        <v>Completo</v>
      </c>
      <c r="K235" s="1">
        <f>COUNTIFS([1]Desglose_BOM_Componentes!$B$2473:$B$2483,$A235,[1]Desglose_BOM_Componentes!$AE$2473:$AE$2483,"Sin precio")</f>
        <v>0</v>
      </c>
      <c r="L235" s="1" t="str">
        <f>IF('[1]Precios componentes'!D79="Sin precio","GLBE; ","")&amp;IF('[1]Precios componentes'!D80="Sin precio","GLI; ","")&amp;IF('[1]Precios componentes'!D53="Sin precio","EBRO; ","")&amp;IF('[1]Precios componentes'!D119="Sin precio","PROLIN; ","")&amp;IF('[1]Precios componentes'!D83="Sin precio","GLUMO; ","")&amp;IF('[1]Precios componentes'!D105="Sin precio","MAN;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36" spans="1:12" ht="22" customHeight="1">
      <c r="A236" s="1" t="s">
        <v>266</v>
      </c>
      <c r="B236" s="1" t="s">
        <v>18</v>
      </c>
      <c r="C236" s="1" t="s">
        <v>24</v>
      </c>
      <c r="D236" s="4">
        <f>IF(COUNTIFS([1]Desglose_BOM_Componentes!$B$2484:$B$2490,$A236,[1]Desglose_BOM_Componentes!$AE$2484:$AE$2490,"Sin precio",[1]Desglose_BOM_Componentes!$X$2484:$X$2490,"Formulación")&gt;0,"n.d.",SUMIFS([1]Desglose_BOM_Componentes!$AC$2484:$AC$2490,[1]Desglose_BOM_Componentes!$B$2484:$B$2490,$A236,[1]Desglose_BOM_Componentes!$X$2484:$X$2490,"Formulación"))</f>
        <v>1.8339999999999999</v>
      </c>
      <c r="E236" s="4">
        <f>IF(COUNTIFS([1]Desglose_BOM_Componentes!$B$2484:$B$2490,$A236,[1]Desglose_BOM_Componentes!$AE$2484:$AE$2490,"Sin precio",[1]Desglose_BOM_Componentes!$X$2484:$X$2490,"Empaquetado")&gt;0,"n.d.",SUMIFS([1]Desglose_BOM_Componentes!$AC$2484:$AC$2490,[1]Desglose_BOM_Componentes!$B$2484:$B$2490,$A236,[1]Desglose_BOM_Componentes!$X$2484:$X$2490,"Empaquetado"))</f>
        <v>0.75344791441438252</v>
      </c>
      <c r="F236" s="6">
        <f t="shared" ref="F236:F253" si="20">IF(K236&gt;0,"n.d.",SUM(D236:E236)+0.0042)</f>
        <v>2.5916479144143825</v>
      </c>
      <c r="G236" s="4">
        <f>IF(COUNTIFS([1]Desglose_BOM_Componentes!$B$2484:$B$2490,$A236,[1]Desglose_BOM_Componentes!$AE$2484:$AE$2490,"Sin precio",[1]Desglose_BOM_Componentes!$X$2484:$X$2490,"Formulación")&gt;0,"n.d.",SUMIFS([1]Desglose_BOM_Componentes!$AD$2484:$AD$2490,[1]Desglose_BOM_Componentes!$B$2484:$B$2490,$A236,[1]Desglose_BOM_Componentes!$X$2484:$X$2490,"Formulación"))</f>
        <v>1.6637000000000002</v>
      </c>
      <c r="H236" s="4">
        <f>IF(COUNTIFS([1]Desglose_BOM_Componentes!$B$2484:$B$2490,$A236,[1]Desglose_BOM_Componentes!$AE$2484:$AE$2490,"Sin precio",[1]Desglose_BOM_Componentes!$X$2484:$X$2490,"Empaquetado")&gt;0,"n.d.",SUMIFS([1]Desglose_BOM_Componentes!$AD$2484:$AD$2490,[1]Desglose_BOM_Componentes!$B$2484:$B$2490,$A236,[1]Desglose_BOM_Componentes!$X$2484:$X$2490,"Empaquetado"))</f>
        <v>0.75344791441438252</v>
      </c>
      <c r="I236" s="6">
        <f t="shared" ref="I236:I253" si="21">IF(K236&gt;0,"n.d.",SUM(G236:H236)+0.0042)</f>
        <v>2.4213479144143828</v>
      </c>
      <c r="J236" s="1" t="str">
        <f t="shared" si="17"/>
        <v>Completo</v>
      </c>
      <c r="K236" s="1">
        <f>COUNTIFS([1]Desglose_BOM_Componentes!$B$2484:$B$2490,$A236,[1]Desglose_BOM_Componentes!$AE$2484:$AE$2490,"Sin precio")</f>
        <v>0</v>
      </c>
      <c r="L236" s="1" t="str">
        <f>IF('[1]Precios componentes'!D28="Sin precio","BORL;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37" spans="1:12" ht="22" customHeight="1">
      <c r="A237" s="1" t="s">
        <v>267</v>
      </c>
      <c r="B237" s="1" t="s">
        <v>18</v>
      </c>
      <c r="C237" s="1" t="s">
        <v>69</v>
      </c>
      <c r="D237" s="4">
        <f>IF(COUNTIFS([1]Desglose_BOM_Componentes!$B$2491:$B$2497,$A237,[1]Desglose_BOM_Componentes!$AE$2491:$AE$2497,"Sin precio",[1]Desglose_BOM_Componentes!$X$2491:$X$2497,"Formulación")&gt;0,"n.d.",SUMIFS([1]Desglose_BOM_Componentes!$AC$2491:$AC$2497,[1]Desglose_BOM_Componentes!$B$2491:$B$2497,$A237,[1]Desglose_BOM_Componentes!$X$2491:$X$2497,"Formulación"))</f>
        <v>1.8339999999999999</v>
      </c>
      <c r="E237" s="4">
        <f>IF(COUNTIFS([1]Desglose_BOM_Componentes!$B$2491:$B$2497,$A237,[1]Desglose_BOM_Componentes!$AE$2491:$AE$2497,"Sin precio",[1]Desglose_BOM_Componentes!$X$2491:$X$2497,"Empaquetado")&gt;0,"n.d.",SUMIFS([1]Desglose_BOM_Componentes!$AC$2491:$AC$2497,[1]Desglose_BOM_Componentes!$B$2491:$B$2497,$A237,[1]Desglose_BOM_Componentes!$X$2491:$X$2497,"Empaquetado"))</f>
        <v>0.75344791441438252</v>
      </c>
      <c r="F237" s="6">
        <f t="shared" si="20"/>
        <v>2.5916479144143825</v>
      </c>
      <c r="G237" s="4">
        <f>IF(COUNTIFS([1]Desglose_BOM_Componentes!$B$2491:$B$2497,$A237,[1]Desglose_BOM_Componentes!$AE$2491:$AE$2497,"Sin precio",[1]Desglose_BOM_Componentes!$X$2491:$X$2497,"Formulación")&gt;0,"n.d.",SUMIFS([1]Desglose_BOM_Componentes!$AD$2491:$AD$2497,[1]Desglose_BOM_Componentes!$B$2491:$B$2497,$A237,[1]Desglose_BOM_Componentes!$X$2491:$X$2497,"Formulación"))</f>
        <v>1.6637000000000002</v>
      </c>
      <c r="H237" s="4">
        <f>IF(COUNTIFS([1]Desglose_BOM_Componentes!$B$2491:$B$2497,$A237,[1]Desglose_BOM_Componentes!$AE$2491:$AE$2497,"Sin precio",[1]Desglose_BOM_Componentes!$X$2491:$X$2497,"Empaquetado")&gt;0,"n.d.",SUMIFS([1]Desglose_BOM_Componentes!$AD$2491:$AD$2497,[1]Desglose_BOM_Componentes!$B$2491:$B$2497,$A237,[1]Desglose_BOM_Componentes!$X$2491:$X$2497,"Empaquetado"))</f>
        <v>0.75344791441438252</v>
      </c>
      <c r="I237" s="6">
        <f t="shared" si="21"/>
        <v>2.4213479144143828</v>
      </c>
      <c r="J237" s="1" t="str">
        <f t="shared" si="17"/>
        <v>Completo</v>
      </c>
      <c r="K237" s="1">
        <f>COUNTIFS([1]Desglose_BOM_Componentes!$B$2491:$B$2497,$A237,[1]Desglose_BOM_Componentes!$AE$2491:$AE$2497,"Sin precio")</f>
        <v>0</v>
      </c>
      <c r="L237" s="1" t="str">
        <f>IF('[1]Precios componentes'!D28="Sin precio","BORL;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38" spans="1:12" ht="22" customHeight="1">
      <c r="A238" s="1" t="s">
        <v>268</v>
      </c>
      <c r="B238" s="1" t="s">
        <v>18</v>
      </c>
      <c r="C238" s="1" t="s">
        <v>95</v>
      </c>
      <c r="D238" s="4">
        <f>IF(COUNTIFS([1]Desglose_BOM_Componentes!$B$2498:$B$2504,$A238,[1]Desglose_BOM_Componentes!$AE$2498:$AE$2504,"Sin precio",[1]Desglose_BOM_Componentes!$X$2498:$X$2504,"Formulación")&gt;0,"n.d.",SUMIFS([1]Desglose_BOM_Componentes!$AC$2498:$AC$2504,[1]Desglose_BOM_Componentes!$B$2498:$B$2504,$A238,[1]Desglose_BOM_Componentes!$X$2498:$X$2504,"Formulación"))</f>
        <v>1.8339999999999999</v>
      </c>
      <c r="E238" s="4">
        <f>IF(COUNTIFS([1]Desglose_BOM_Componentes!$B$2498:$B$2504,$A238,[1]Desglose_BOM_Componentes!$AE$2498:$AE$2504,"Sin precio",[1]Desglose_BOM_Componentes!$X$2498:$X$2504,"Empaquetado")&gt;0,"n.d.",SUMIFS([1]Desglose_BOM_Componentes!$AC$2498:$AC$2504,[1]Desglose_BOM_Componentes!$B$2498:$B$2504,$A238,[1]Desglose_BOM_Componentes!$X$2498:$X$2504,"Empaquetado"))</f>
        <v>0.75344791441438252</v>
      </c>
      <c r="F238" s="6">
        <f t="shared" si="20"/>
        <v>2.5916479144143825</v>
      </c>
      <c r="G238" s="4">
        <f>IF(COUNTIFS([1]Desglose_BOM_Componentes!$B$2498:$B$2504,$A238,[1]Desglose_BOM_Componentes!$AE$2498:$AE$2504,"Sin precio",[1]Desglose_BOM_Componentes!$X$2498:$X$2504,"Formulación")&gt;0,"n.d.",SUMIFS([1]Desglose_BOM_Componentes!$AD$2498:$AD$2504,[1]Desglose_BOM_Componentes!$B$2498:$B$2504,$A238,[1]Desglose_BOM_Componentes!$X$2498:$X$2504,"Formulación"))</f>
        <v>1.6637000000000002</v>
      </c>
      <c r="H238" s="4">
        <f>IF(COUNTIFS([1]Desglose_BOM_Componentes!$B$2498:$B$2504,$A238,[1]Desglose_BOM_Componentes!$AE$2498:$AE$2504,"Sin precio",[1]Desglose_BOM_Componentes!$X$2498:$X$2504,"Empaquetado")&gt;0,"n.d.",SUMIFS([1]Desglose_BOM_Componentes!$AD$2498:$AD$2504,[1]Desglose_BOM_Componentes!$B$2498:$B$2504,$A238,[1]Desglose_BOM_Componentes!$X$2498:$X$2504,"Empaquetado"))</f>
        <v>0.75344791441438252</v>
      </c>
      <c r="I238" s="6">
        <f t="shared" si="21"/>
        <v>2.4213479144143828</v>
      </c>
      <c r="J238" s="1" t="str">
        <f t="shared" si="17"/>
        <v>Completo</v>
      </c>
      <c r="K238" s="1">
        <f>COUNTIFS([1]Desglose_BOM_Componentes!$B$2498:$B$2504,$A238,[1]Desglose_BOM_Componentes!$AE$2498:$AE$2504,"Sin precio")</f>
        <v>0</v>
      </c>
      <c r="L238" s="1" t="str">
        <f>IF('[1]Precios componentes'!D28="Sin precio","BORL;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39" spans="1:12" ht="22" customHeight="1">
      <c r="A239" s="1" t="s">
        <v>269</v>
      </c>
      <c r="B239" s="1" t="s">
        <v>18</v>
      </c>
      <c r="C239" s="1" t="s">
        <v>19</v>
      </c>
      <c r="D239" s="4">
        <f>IF(COUNTIFS([1]Desglose_BOM_Componentes!$B$2505:$B$2511,$A239,[1]Desglose_BOM_Componentes!$AE$2505:$AE$2511,"Sin precio",[1]Desglose_BOM_Componentes!$X$2505:$X$2511,"Formulación")&gt;0,"n.d.",SUMIFS([1]Desglose_BOM_Componentes!$AC$2505:$AC$2511,[1]Desglose_BOM_Componentes!$B$2505:$B$2511,$A239,[1]Desglose_BOM_Componentes!$X$2505:$X$2511,"Formulación"))</f>
        <v>1.8339999999999999</v>
      </c>
      <c r="E239" s="4">
        <f>IF(COUNTIFS([1]Desglose_BOM_Componentes!$B$2505:$B$2511,$A239,[1]Desglose_BOM_Componentes!$AE$2505:$AE$2511,"Sin precio",[1]Desglose_BOM_Componentes!$X$2505:$X$2511,"Empaquetado")&gt;0,"n.d.",SUMIFS([1]Desglose_BOM_Componentes!$AC$2505:$AC$2511,[1]Desglose_BOM_Componentes!$B$2505:$B$2511,$A239,[1]Desglose_BOM_Componentes!$X$2505:$X$2511,"Empaquetado"))</f>
        <v>0.75344791441438252</v>
      </c>
      <c r="F239" s="6">
        <f t="shared" si="20"/>
        <v>2.5916479144143825</v>
      </c>
      <c r="G239" s="4">
        <f>IF(COUNTIFS([1]Desglose_BOM_Componentes!$B$2505:$B$2511,$A239,[1]Desglose_BOM_Componentes!$AE$2505:$AE$2511,"Sin precio",[1]Desglose_BOM_Componentes!$X$2505:$X$2511,"Formulación")&gt;0,"n.d.",SUMIFS([1]Desglose_BOM_Componentes!$AD$2505:$AD$2511,[1]Desglose_BOM_Componentes!$B$2505:$B$2511,$A239,[1]Desglose_BOM_Componentes!$X$2505:$X$2511,"Formulación"))</f>
        <v>1.6637000000000002</v>
      </c>
      <c r="H239" s="4">
        <f>IF(COUNTIFS([1]Desglose_BOM_Componentes!$B$2505:$B$2511,$A239,[1]Desglose_BOM_Componentes!$AE$2505:$AE$2511,"Sin precio",[1]Desglose_BOM_Componentes!$X$2505:$X$2511,"Empaquetado")&gt;0,"n.d.",SUMIFS([1]Desglose_BOM_Componentes!$AD$2505:$AD$2511,[1]Desglose_BOM_Componentes!$B$2505:$B$2511,$A239,[1]Desglose_BOM_Componentes!$X$2505:$X$2511,"Empaquetado"))</f>
        <v>0.75344791441438252</v>
      </c>
      <c r="I239" s="6">
        <f t="shared" si="21"/>
        <v>2.4213479144143828</v>
      </c>
      <c r="J239" s="1" t="str">
        <f t="shared" si="17"/>
        <v>Completo</v>
      </c>
      <c r="K239" s="1">
        <f>COUNTIFS([1]Desglose_BOM_Componentes!$B$2505:$B$2511,$A239,[1]Desglose_BOM_Componentes!$AE$2505:$AE$2511,"Sin precio")</f>
        <v>0</v>
      </c>
      <c r="L239" s="1" t="str">
        <f>IF('[1]Precios componentes'!D28="Sin precio","BORL;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40" spans="1:12" ht="22" customHeight="1">
      <c r="A240" s="1" t="s">
        <v>270</v>
      </c>
      <c r="B240" s="1" t="s">
        <v>18</v>
      </c>
      <c r="C240" s="1" t="s">
        <v>24</v>
      </c>
      <c r="D240" s="4">
        <f>IF(COUNTIFS([1]Desglose_BOM_Componentes!$B$2512:$B$2518,$A240,[1]Desglose_BOM_Componentes!$AE$2512:$AE$2518,"Sin precio",[1]Desglose_BOM_Componentes!$X$2512:$X$2518,"Formulación")&gt;0,"n.d.",SUMIFS([1]Desglose_BOM_Componentes!$AC$2512:$AC$2518,[1]Desglose_BOM_Componentes!$B$2512:$B$2518,$A240,[1]Desglose_BOM_Componentes!$X$2512:$X$2518,"Formulación"))</f>
        <v>1.8339999999999999</v>
      </c>
      <c r="E240" s="4">
        <f>IF(COUNTIFS([1]Desglose_BOM_Componentes!$B$2512:$B$2518,$A240,[1]Desglose_BOM_Componentes!$AE$2512:$AE$2518,"Sin precio",[1]Desglose_BOM_Componentes!$X$2512:$X$2518,"Empaquetado")&gt;0,"n.d.",SUMIFS([1]Desglose_BOM_Componentes!$AC$2512:$AC$2518,[1]Desglose_BOM_Componentes!$B$2512:$B$2518,$A240,[1]Desglose_BOM_Componentes!$X$2512:$X$2518,"Empaquetado"))</f>
        <v>0.30928466819407252</v>
      </c>
      <c r="F240" s="6">
        <f t="shared" si="20"/>
        <v>2.1474846681940725</v>
      </c>
      <c r="G240" s="4">
        <f>IF(COUNTIFS([1]Desglose_BOM_Componentes!$B$2512:$B$2518,$A240,[1]Desglose_BOM_Componentes!$AE$2512:$AE$2518,"Sin precio",[1]Desglose_BOM_Componentes!$X$2512:$X$2518,"Formulación")&gt;0,"n.d.",SUMIFS([1]Desglose_BOM_Componentes!$AD$2512:$AD$2518,[1]Desglose_BOM_Componentes!$B$2512:$B$2518,$A240,[1]Desglose_BOM_Componentes!$X$2512:$X$2518,"Formulación"))</f>
        <v>1.6637000000000002</v>
      </c>
      <c r="H240" s="4">
        <f>IF(COUNTIFS([1]Desglose_BOM_Componentes!$B$2512:$B$2518,$A240,[1]Desglose_BOM_Componentes!$AE$2512:$AE$2518,"Sin precio",[1]Desglose_BOM_Componentes!$X$2512:$X$2518,"Empaquetado")&gt;0,"n.d.",SUMIFS([1]Desglose_BOM_Componentes!$AD$2512:$AD$2518,[1]Desglose_BOM_Componentes!$B$2512:$B$2518,$A240,[1]Desglose_BOM_Componentes!$X$2512:$X$2518,"Empaquetado"))</f>
        <v>0.30928466819407252</v>
      </c>
      <c r="I240" s="6">
        <f t="shared" si="21"/>
        <v>1.9771846681940728</v>
      </c>
      <c r="J240" s="1" t="str">
        <f t="shared" si="17"/>
        <v>Completo</v>
      </c>
      <c r="K240" s="1">
        <f>COUNTIFS([1]Desglose_BOM_Componentes!$B$2512:$B$2518,$A240,[1]Desglose_BOM_Componentes!$AE$2512:$AE$2518,"Sin precio")</f>
        <v>0</v>
      </c>
      <c r="L240" s="1" t="str">
        <f>IF('[1]Precios componentes'!D28="Sin precio","BORL;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41" spans="1:12" ht="22" customHeight="1">
      <c r="A241" s="1" t="s">
        <v>271</v>
      </c>
      <c r="B241" s="1" t="s">
        <v>18</v>
      </c>
      <c r="C241" s="1" t="s">
        <v>84</v>
      </c>
      <c r="D241" s="4">
        <f>IF(COUNTIFS([1]Desglose_BOM_Componentes!$B$2519:$B$2525,$A241,[1]Desglose_BOM_Componentes!$AE$2519:$AE$2525,"Sin precio",[1]Desglose_BOM_Componentes!$X$2519:$X$2525,"Formulación")&gt;0,"n.d.",SUMIFS([1]Desglose_BOM_Componentes!$AC$2519:$AC$2525,[1]Desglose_BOM_Componentes!$B$2519:$B$2525,$A241,[1]Desglose_BOM_Componentes!$X$2519:$X$2525,"Formulación"))</f>
        <v>1.8339999999999999</v>
      </c>
      <c r="E241" s="4">
        <f>IF(COUNTIFS([1]Desglose_BOM_Componentes!$B$2519:$B$2525,$A241,[1]Desglose_BOM_Componentes!$AE$2519:$AE$2525,"Sin precio",[1]Desglose_BOM_Componentes!$X$2519:$X$2525,"Empaquetado")&gt;0,"n.d.",SUMIFS([1]Desglose_BOM_Componentes!$AC$2519:$AC$2525,[1]Desglose_BOM_Componentes!$B$2519:$B$2525,$A241,[1]Desglose_BOM_Componentes!$X$2519:$X$2525,"Empaquetado"))</f>
        <v>0.30928466819407252</v>
      </c>
      <c r="F241" s="6">
        <f t="shared" si="20"/>
        <v>2.1474846681940725</v>
      </c>
      <c r="G241" s="4">
        <f>IF(COUNTIFS([1]Desglose_BOM_Componentes!$B$2519:$B$2525,$A241,[1]Desglose_BOM_Componentes!$AE$2519:$AE$2525,"Sin precio",[1]Desglose_BOM_Componentes!$X$2519:$X$2525,"Formulación")&gt;0,"n.d.",SUMIFS([1]Desglose_BOM_Componentes!$AD$2519:$AD$2525,[1]Desglose_BOM_Componentes!$B$2519:$B$2525,$A241,[1]Desglose_BOM_Componentes!$X$2519:$X$2525,"Formulación"))</f>
        <v>1.6637000000000002</v>
      </c>
      <c r="H241" s="4">
        <f>IF(COUNTIFS([1]Desglose_BOM_Componentes!$B$2519:$B$2525,$A241,[1]Desglose_BOM_Componentes!$AE$2519:$AE$2525,"Sin precio",[1]Desglose_BOM_Componentes!$X$2519:$X$2525,"Empaquetado")&gt;0,"n.d.",SUMIFS([1]Desglose_BOM_Componentes!$AD$2519:$AD$2525,[1]Desglose_BOM_Componentes!$B$2519:$B$2525,$A241,[1]Desglose_BOM_Componentes!$X$2519:$X$2525,"Empaquetado"))</f>
        <v>0.30928466819407252</v>
      </c>
      <c r="I241" s="6">
        <f t="shared" si="21"/>
        <v>1.9771846681940728</v>
      </c>
      <c r="J241" s="1" t="str">
        <f t="shared" si="17"/>
        <v>Completo</v>
      </c>
      <c r="K241" s="1">
        <f>COUNTIFS([1]Desglose_BOM_Componentes!$B$2519:$B$2525,$A241,[1]Desglose_BOM_Componentes!$AE$2519:$AE$2525,"Sin precio")</f>
        <v>0</v>
      </c>
      <c r="L241" s="1" t="str">
        <f>IF('[1]Precios componentes'!D28="Sin precio","BORL;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42" spans="1:12" ht="22" customHeight="1">
      <c r="A242" s="1" t="s">
        <v>272</v>
      </c>
      <c r="B242" s="1" t="s">
        <v>18</v>
      </c>
      <c r="C242" s="1" t="s">
        <v>24</v>
      </c>
      <c r="D242" s="4">
        <f>IF(COUNTIFS([1]Desglose_BOM_Componentes!$B$2526:$B$2531,$A242,[1]Desglose_BOM_Componentes!$AE$2526:$AE$2531,"Sin precio",[1]Desglose_BOM_Componentes!$X$2526:$X$2531,"Formulación")&gt;0,"n.d.",SUMIFS([1]Desglose_BOM_Componentes!$AC$2526:$AC$2531,[1]Desglose_BOM_Componentes!$B$2526:$B$2531,$A242,[1]Desglose_BOM_Componentes!$X$2526:$X$2531,"Formulación"))</f>
        <v>1.8339999999999999</v>
      </c>
      <c r="E242" s="4">
        <f>IF(COUNTIFS([1]Desglose_BOM_Componentes!$B$2526:$B$2531,$A242,[1]Desglose_BOM_Componentes!$AE$2526:$AE$2531,"Sin precio",[1]Desglose_BOM_Componentes!$X$2526:$X$2531,"Empaquetado")&gt;0,"n.d.",SUMIFS([1]Desglose_BOM_Componentes!$AC$2526:$AC$2531,[1]Desglose_BOM_Componentes!$B$2526:$B$2531,$A242,[1]Desglose_BOM_Componentes!$X$2526:$X$2531,"Empaquetado"))</f>
        <v>0.24326489794470363</v>
      </c>
      <c r="F242" s="6">
        <f t="shared" si="20"/>
        <v>2.0814648979447035</v>
      </c>
      <c r="G242" s="4">
        <f>IF(COUNTIFS([1]Desglose_BOM_Componentes!$B$2526:$B$2531,$A242,[1]Desglose_BOM_Componentes!$AE$2526:$AE$2531,"Sin precio",[1]Desglose_BOM_Componentes!$X$2526:$X$2531,"Formulación")&gt;0,"n.d.",SUMIFS([1]Desglose_BOM_Componentes!$AD$2526:$AD$2531,[1]Desglose_BOM_Componentes!$B$2526:$B$2531,$A242,[1]Desglose_BOM_Componentes!$X$2526:$X$2531,"Formulación"))</f>
        <v>1.6637000000000002</v>
      </c>
      <c r="H242" s="4">
        <f>IF(COUNTIFS([1]Desglose_BOM_Componentes!$B$2526:$B$2531,$A242,[1]Desglose_BOM_Componentes!$AE$2526:$AE$2531,"Sin precio",[1]Desglose_BOM_Componentes!$X$2526:$X$2531,"Empaquetado")&gt;0,"n.d.",SUMIFS([1]Desglose_BOM_Componentes!$AD$2526:$AD$2531,[1]Desglose_BOM_Componentes!$B$2526:$B$2531,$A242,[1]Desglose_BOM_Componentes!$X$2526:$X$2531,"Empaquetado"))</f>
        <v>0.24326489794470363</v>
      </c>
      <c r="I242" s="6">
        <f t="shared" si="21"/>
        <v>1.9111648979447038</v>
      </c>
      <c r="J242" s="1" t="str">
        <f t="shared" si="17"/>
        <v>Completo</v>
      </c>
      <c r="K242" s="1">
        <f>COUNTIFS([1]Desglose_BOM_Componentes!$B$2526:$B$2531,$A242,[1]Desglose_BOM_Componentes!$AE$2526:$AE$2531,"Sin precio")</f>
        <v>0</v>
      </c>
      <c r="L242" s="1" t="str">
        <f>IF('[1]Precios componentes'!D28="Sin precio","BORL; ","")&amp;IF('[1]Precios componentes'!D136="Sin precio","SOBRE 20L; ","")&amp;IF('[1]Precios componentes'!D115="Sin precio","PAL; ","")&amp;IF('[1]Precios componentes'!D61="Sin precio","ENV20; ","")&amp;IF('[1]Precios componentes'!D95="Sin precio","KIA250; ","")&amp;IF('[1]Precios componentes'!D148="Sin precio","TPD61VS; ","")</f>
        <v/>
      </c>
    </row>
    <row r="243" spans="1:12" ht="22" customHeight="1">
      <c r="A243" s="1" t="s">
        <v>273</v>
      </c>
      <c r="B243" s="1" t="s">
        <v>18</v>
      </c>
      <c r="C243" s="1" t="s">
        <v>84</v>
      </c>
      <c r="D243" s="4">
        <f>IF(COUNTIFS([1]Desglose_BOM_Componentes!$B$2532:$B$2537,$A243,[1]Desglose_BOM_Componentes!$AE$2532:$AE$2537,"Sin precio",[1]Desglose_BOM_Componentes!$X$2532:$X$2537,"Formulación")&gt;0,"n.d.",SUMIFS([1]Desglose_BOM_Componentes!$AC$2532:$AC$2537,[1]Desglose_BOM_Componentes!$B$2532:$B$2537,$A243,[1]Desglose_BOM_Componentes!$X$2532:$X$2537,"Formulación"))</f>
        <v>1.8339999999999999</v>
      </c>
      <c r="E243" s="4">
        <f>IF(COUNTIFS([1]Desglose_BOM_Componentes!$B$2532:$B$2537,$A243,[1]Desglose_BOM_Componentes!$AE$2532:$AE$2537,"Sin precio",[1]Desglose_BOM_Componentes!$X$2532:$X$2537,"Empaquetado")&gt;0,"n.d.",SUMIFS([1]Desglose_BOM_Componentes!$AC$2532:$AC$2537,[1]Desglose_BOM_Componentes!$B$2532:$B$2537,$A243,[1]Desglose_BOM_Componentes!$X$2532:$X$2537,"Empaquetado"))</f>
        <v>0.24326489794470363</v>
      </c>
      <c r="F243" s="6">
        <f t="shared" si="20"/>
        <v>2.0814648979447035</v>
      </c>
      <c r="G243" s="4">
        <f>IF(COUNTIFS([1]Desglose_BOM_Componentes!$B$2532:$B$2537,$A243,[1]Desglose_BOM_Componentes!$AE$2532:$AE$2537,"Sin precio",[1]Desglose_BOM_Componentes!$X$2532:$X$2537,"Formulación")&gt;0,"n.d.",SUMIFS([1]Desglose_BOM_Componentes!$AD$2532:$AD$2537,[1]Desglose_BOM_Componentes!$B$2532:$B$2537,$A243,[1]Desglose_BOM_Componentes!$X$2532:$X$2537,"Formulación"))</f>
        <v>1.6637000000000002</v>
      </c>
      <c r="H243" s="4">
        <f>IF(COUNTIFS([1]Desglose_BOM_Componentes!$B$2532:$B$2537,$A243,[1]Desglose_BOM_Componentes!$AE$2532:$AE$2537,"Sin precio",[1]Desglose_BOM_Componentes!$X$2532:$X$2537,"Empaquetado")&gt;0,"n.d.",SUMIFS([1]Desglose_BOM_Componentes!$AD$2532:$AD$2537,[1]Desglose_BOM_Componentes!$B$2532:$B$2537,$A243,[1]Desglose_BOM_Componentes!$X$2532:$X$2537,"Empaquetado"))</f>
        <v>0.24326489794470363</v>
      </c>
      <c r="I243" s="6">
        <f t="shared" si="21"/>
        <v>1.9111648979447038</v>
      </c>
      <c r="J243" s="1" t="str">
        <f t="shared" si="17"/>
        <v>Completo</v>
      </c>
      <c r="K243" s="1">
        <f>COUNTIFS([1]Desglose_BOM_Componentes!$B$2532:$B$2537,$A243,[1]Desglose_BOM_Componentes!$AE$2532:$AE$2537,"Sin precio")</f>
        <v>0</v>
      </c>
      <c r="L243" s="1" t="str">
        <f>IF('[1]Precios componentes'!D28="Sin precio","BORL; ","")&amp;IF('[1]Precios componentes'!D136="Sin precio","SOBRE 20L; ","")&amp;IF('[1]Precios componentes'!D115="Sin precio","PAL; ","")&amp;IF('[1]Precios componentes'!D61="Sin precio","ENV20; ","")&amp;IF('[1]Precios componentes'!D95="Sin precio","KIA250; ","")&amp;IF('[1]Precios componentes'!D148="Sin precio","TPD61VS; ","")</f>
        <v/>
      </c>
    </row>
    <row r="244" spans="1:12" ht="22" customHeight="1">
      <c r="A244" s="1" t="s">
        <v>274</v>
      </c>
      <c r="B244" s="1" t="s">
        <v>18</v>
      </c>
      <c r="C244" s="1" t="s">
        <v>24</v>
      </c>
      <c r="D244" s="4">
        <f>IF(COUNTIFS([1]Desglose_BOM_Componentes!$B$2538:$B$2547,$A244,[1]Desglose_BOM_Componentes!$AE$2538:$AE$2547,"Sin precio",[1]Desglose_BOM_Componentes!$X$2538:$X$2547,"Formulación")&gt;0,"n.d.",SUMIFS([1]Desglose_BOM_Componentes!$AC$2538:$AC$2547,[1]Desglose_BOM_Componentes!$B$2538:$B$2547,$A244,[1]Desglose_BOM_Componentes!$X$2538:$X$2547,"Formulación"))</f>
        <v>10.0008</v>
      </c>
      <c r="E244" s="4">
        <f>IF(COUNTIFS([1]Desglose_BOM_Componentes!$B$2538:$B$2547,$A244,[1]Desglose_BOM_Componentes!$AE$2538:$AE$2547,"Sin precio",[1]Desglose_BOM_Componentes!$X$2538:$X$2547,"Empaquetado")&gt;0,"n.d.",SUMIFS([1]Desglose_BOM_Componentes!$AC$2538:$AC$2547,[1]Desglose_BOM_Componentes!$B$2538:$B$2547,$A244,[1]Desglose_BOM_Componentes!$X$2538:$X$2547,"Empaquetado"))</f>
        <v>0.75344791441438252</v>
      </c>
      <c r="F244" s="6">
        <f t="shared" si="20"/>
        <v>10.758447914414383</v>
      </c>
      <c r="G244" s="4">
        <f>IF(COUNTIFS([1]Desglose_BOM_Componentes!$B$2538:$B$2547,$A244,[1]Desglose_BOM_Componentes!$AE$2538:$AE$2547,"Sin precio",[1]Desglose_BOM_Componentes!$X$2538:$X$2547,"Formulación")&gt;0,"n.d.",SUMIFS([1]Desglose_BOM_Componentes!$AD$2538:$AD$2547,[1]Desglose_BOM_Componentes!$B$2538:$B$2547,$A244,[1]Desglose_BOM_Componentes!$X$2538:$X$2547,"Formulación"))</f>
        <v>6.9783674285714294</v>
      </c>
      <c r="H244" s="4">
        <f>IF(COUNTIFS([1]Desglose_BOM_Componentes!$B$2538:$B$2547,$A244,[1]Desglose_BOM_Componentes!$AE$2538:$AE$2547,"Sin precio",[1]Desglose_BOM_Componentes!$X$2538:$X$2547,"Empaquetado")&gt;0,"n.d.",SUMIFS([1]Desglose_BOM_Componentes!$AD$2538:$AD$2547,[1]Desglose_BOM_Componentes!$B$2538:$B$2547,$A244,[1]Desglose_BOM_Componentes!$X$2538:$X$2547,"Empaquetado"))</f>
        <v>0.75344791441438252</v>
      </c>
      <c r="I244" s="6">
        <f t="shared" si="21"/>
        <v>7.7360153429858123</v>
      </c>
      <c r="J244" s="1" t="str">
        <f t="shared" si="17"/>
        <v>Completo</v>
      </c>
      <c r="K244" s="1">
        <f>COUNTIFS([1]Desglose_BOM_Componentes!$B$2538:$B$2547,$A244,[1]Desglose_BOM_Componentes!$AE$2538:$AE$2547,"Sin precio")</f>
        <v>0</v>
      </c>
      <c r="L244" s="1" t="str">
        <f>IF('[1]Precios componentes'!D93="Sin precio","KF78; ","")&amp;IF('[1]Precios componentes'!D108="Sin precio","MOSO; ","")&amp;IF('[1]Precios componentes'!D80="Sin precio","GLI;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45" spans="1:12" ht="22" customHeight="1">
      <c r="A245" s="1" t="s">
        <v>275</v>
      </c>
      <c r="B245" s="1" t="s">
        <v>18</v>
      </c>
      <c r="C245" s="1" t="s">
        <v>95</v>
      </c>
      <c r="D245" s="4">
        <f>IF(COUNTIFS([1]Desglose_BOM_Componentes!$B$2548:$B$2557,$A245,[1]Desglose_BOM_Componentes!$AE$2548:$AE$2557,"Sin precio",[1]Desglose_BOM_Componentes!$X$2548:$X$2557,"Formulación")&gt;0,"n.d.",SUMIFS([1]Desglose_BOM_Componentes!$AC$2548:$AC$2557,[1]Desglose_BOM_Componentes!$B$2548:$B$2557,$A245,[1]Desglose_BOM_Componentes!$X$2548:$X$2557,"Formulación"))</f>
        <v>10.0008</v>
      </c>
      <c r="E245" s="4">
        <f>IF(COUNTIFS([1]Desglose_BOM_Componentes!$B$2548:$B$2557,$A245,[1]Desglose_BOM_Componentes!$AE$2548:$AE$2557,"Sin precio",[1]Desglose_BOM_Componentes!$X$2548:$X$2557,"Empaquetado")&gt;0,"n.d.",SUMIFS([1]Desglose_BOM_Componentes!$AC$2548:$AC$2557,[1]Desglose_BOM_Componentes!$B$2548:$B$2557,$A245,[1]Desglose_BOM_Componentes!$X$2548:$X$2557,"Empaquetado"))</f>
        <v>0.75344791441438252</v>
      </c>
      <c r="F245" s="6">
        <f t="shared" si="20"/>
        <v>10.758447914414383</v>
      </c>
      <c r="G245" s="4">
        <f>IF(COUNTIFS([1]Desglose_BOM_Componentes!$B$2548:$B$2557,$A245,[1]Desglose_BOM_Componentes!$AE$2548:$AE$2557,"Sin precio",[1]Desglose_BOM_Componentes!$X$2548:$X$2557,"Formulación")&gt;0,"n.d.",SUMIFS([1]Desglose_BOM_Componentes!$AD$2548:$AD$2557,[1]Desglose_BOM_Componentes!$B$2548:$B$2557,$A245,[1]Desglose_BOM_Componentes!$X$2548:$X$2557,"Formulación"))</f>
        <v>6.9783674285714294</v>
      </c>
      <c r="H245" s="4">
        <f>IF(COUNTIFS([1]Desglose_BOM_Componentes!$B$2548:$B$2557,$A245,[1]Desglose_BOM_Componentes!$AE$2548:$AE$2557,"Sin precio",[1]Desglose_BOM_Componentes!$X$2548:$X$2557,"Empaquetado")&gt;0,"n.d.",SUMIFS([1]Desglose_BOM_Componentes!$AD$2548:$AD$2557,[1]Desglose_BOM_Componentes!$B$2548:$B$2557,$A245,[1]Desglose_BOM_Componentes!$X$2548:$X$2557,"Empaquetado"))</f>
        <v>0.75344791441438252</v>
      </c>
      <c r="I245" s="6">
        <f t="shared" si="21"/>
        <v>7.7360153429858123</v>
      </c>
      <c r="J245" s="1" t="str">
        <f t="shared" si="17"/>
        <v>Completo</v>
      </c>
      <c r="K245" s="1">
        <f>COUNTIFS([1]Desglose_BOM_Componentes!$B$2548:$B$2557,$A245,[1]Desglose_BOM_Componentes!$AE$2548:$AE$2557,"Sin precio")</f>
        <v>0</v>
      </c>
      <c r="L245" s="1" t="str">
        <f>IF('[1]Precios componentes'!D93="Sin precio","KF78; ","")&amp;IF('[1]Precios componentes'!D108="Sin precio","MOSO; ","")&amp;IF('[1]Precios componentes'!D80="Sin precio","GLI;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46" spans="1:12" ht="22" customHeight="1">
      <c r="A246" s="1" t="s">
        <v>276</v>
      </c>
      <c r="B246" s="1" t="s">
        <v>18</v>
      </c>
      <c r="C246" s="1" t="s">
        <v>24</v>
      </c>
      <c r="D246" s="4">
        <f>IF(COUNTIFS([1]Desglose_BOM_Componentes!$B$2558:$B$2567,$A246,[1]Desglose_BOM_Componentes!$AE$2558:$AE$2567,"Sin precio",[1]Desglose_BOM_Componentes!$X$2558:$X$2567,"Formulación")&gt;0,"n.d.",SUMIFS([1]Desglose_BOM_Componentes!$AC$2558:$AC$2567,[1]Desglose_BOM_Componentes!$B$2558:$B$2567,$A246,[1]Desglose_BOM_Componentes!$X$2558:$X$2567,"Formulación"))</f>
        <v>10.0008</v>
      </c>
      <c r="E246" s="4">
        <f>IF(COUNTIFS([1]Desglose_BOM_Componentes!$B$2558:$B$2567,$A246,[1]Desglose_BOM_Componentes!$AE$2558:$AE$2567,"Sin precio",[1]Desglose_BOM_Componentes!$X$2558:$X$2567,"Empaquetado")&gt;0,"n.d.",SUMIFS([1]Desglose_BOM_Componentes!$AC$2558:$AC$2567,[1]Desglose_BOM_Componentes!$B$2558:$B$2567,$A246,[1]Desglose_BOM_Componentes!$X$2558:$X$2567,"Empaquetado"))</f>
        <v>0.30928466819407252</v>
      </c>
      <c r="F246" s="6">
        <f t="shared" si="20"/>
        <v>10.314284668194073</v>
      </c>
      <c r="G246" s="4">
        <f>IF(COUNTIFS([1]Desglose_BOM_Componentes!$B$2558:$B$2567,$A246,[1]Desglose_BOM_Componentes!$AE$2558:$AE$2567,"Sin precio",[1]Desglose_BOM_Componentes!$X$2558:$X$2567,"Formulación")&gt;0,"n.d.",SUMIFS([1]Desglose_BOM_Componentes!$AD$2558:$AD$2567,[1]Desglose_BOM_Componentes!$B$2558:$B$2567,$A246,[1]Desglose_BOM_Componentes!$X$2558:$X$2567,"Formulación"))</f>
        <v>6.9783674285714294</v>
      </c>
      <c r="H246" s="4">
        <f>IF(COUNTIFS([1]Desglose_BOM_Componentes!$B$2558:$B$2567,$A246,[1]Desglose_BOM_Componentes!$AE$2558:$AE$2567,"Sin precio",[1]Desglose_BOM_Componentes!$X$2558:$X$2567,"Empaquetado")&gt;0,"n.d.",SUMIFS([1]Desglose_BOM_Componentes!$AD$2558:$AD$2567,[1]Desglose_BOM_Componentes!$B$2558:$B$2567,$A246,[1]Desglose_BOM_Componentes!$X$2558:$X$2567,"Empaquetado"))</f>
        <v>0.30928466819407252</v>
      </c>
      <c r="I246" s="6">
        <f t="shared" si="21"/>
        <v>7.2918520967655018</v>
      </c>
      <c r="J246" s="1" t="str">
        <f t="shared" si="17"/>
        <v>Completo</v>
      </c>
      <c r="K246" s="1">
        <f>COUNTIFS([1]Desglose_BOM_Componentes!$B$2558:$B$2567,$A246,[1]Desglose_BOM_Componentes!$AE$2558:$AE$2567,"Sin precio")</f>
        <v>0</v>
      </c>
      <c r="L246" s="1" t="str">
        <f>IF('[1]Precios componentes'!D93="Sin precio","KF78; ","")&amp;IF('[1]Precios componentes'!D108="Sin precio","MOSO; ","")&amp;IF('[1]Precios componentes'!D80="Sin precio","GLI; ","")&amp;IF('[1]Precios componentes'!D54="Sin precio","EDT;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47" spans="1:12" ht="22" customHeight="1">
      <c r="A247" s="1" t="s">
        <v>277</v>
      </c>
      <c r="B247" s="1" t="s">
        <v>18</v>
      </c>
      <c r="C247" s="1" t="s">
        <v>26</v>
      </c>
      <c r="D247" s="4">
        <f>IF(COUNTIFS([1]Desglose_BOM_Componentes!$B$2568:$B$2577,$A247,[1]Desglose_BOM_Componentes!$AE$2568:$AE$2577,"Sin precio",[1]Desglose_BOM_Componentes!$X$2568:$X$2577,"Formulación")&gt;0,"n.d.",SUMIFS([1]Desglose_BOM_Componentes!$AC$2568:$AC$2577,[1]Desglose_BOM_Componentes!$B$2568:$B$2577,$A247,[1]Desglose_BOM_Componentes!$X$2568:$X$2577,"Formulación"))</f>
        <v>10.0008</v>
      </c>
      <c r="E247" s="4">
        <f>IF(COUNTIFS([1]Desglose_BOM_Componentes!$B$2568:$B$2577,$A247,[1]Desglose_BOM_Componentes!$AE$2568:$AE$2577,"Sin precio",[1]Desglose_BOM_Componentes!$X$2568:$X$2577,"Empaquetado")&gt;0,"n.d.",SUMIFS([1]Desglose_BOM_Componentes!$AC$2568:$AC$2577,[1]Desglose_BOM_Componentes!$B$2568:$B$2577,$A247,[1]Desglose_BOM_Componentes!$X$2568:$X$2577,"Empaquetado"))</f>
        <v>0.30928466819407252</v>
      </c>
      <c r="F247" s="6">
        <f t="shared" si="20"/>
        <v>10.314284668194073</v>
      </c>
      <c r="G247" s="4">
        <f>IF(COUNTIFS([1]Desglose_BOM_Componentes!$B$2568:$B$2577,$A247,[1]Desglose_BOM_Componentes!$AE$2568:$AE$2577,"Sin precio",[1]Desglose_BOM_Componentes!$X$2568:$X$2577,"Formulación")&gt;0,"n.d.",SUMIFS([1]Desglose_BOM_Componentes!$AD$2568:$AD$2577,[1]Desglose_BOM_Componentes!$B$2568:$B$2577,$A247,[1]Desglose_BOM_Componentes!$X$2568:$X$2577,"Formulación"))</f>
        <v>6.9783674285714294</v>
      </c>
      <c r="H247" s="4">
        <f>IF(COUNTIFS([1]Desglose_BOM_Componentes!$B$2568:$B$2577,$A247,[1]Desglose_BOM_Componentes!$AE$2568:$AE$2577,"Sin precio",[1]Desglose_BOM_Componentes!$X$2568:$X$2577,"Empaquetado")&gt;0,"n.d.",SUMIFS([1]Desglose_BOM_Componentes!$AD$2568:$AD$2577,[1]Desglose_BOM_Componentes!$B$2568:$B$2577,$A247,[1]Desglose_BOM_Componentes!$X$2568:$X$2577,"Empaquetado"))</f>
        <v>0.30928466819407252</v>
      </c>
      <c r="I247" s="6">
        <f t="shared" si="21"/>
        <v>7.2918520967655018</v>
      </c>
      <c r="J247" s="1" t="str">
        <f t="shared" si="17"/>
        <v>Completo</v>
      </c>
      <c r="K247" s="1">
        <f>COUNTIFS([1]Desglose_BOM_Componentes!$B$2568:$B$2577,$A247,[1]Desglose_BOM_Componentes!$AE$2568:$AE$2577,"Sin precio")</f>
        <v>0</v>
      </c>
      <c r="L247" s="1" t="str">
        <f>IF('[1]Precios componentes'!D93="Sin precio","KF78; ","")&amp;IF('[1]Precios componentes'!D108="Sin precio","MOSO; ","")&amp;IF('[1]Precios componentes'!D80="Sin precio","GLI; ","")&amp;IF('[1]Precios componentes'!D54="Sin precio","EDT;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48" spans="1:12" ht="22" customHeight="1">
      <c r="A248" s="1" t="s">
        <v>278</v>
      </c>
      <c r="B248" s="1" t="s">
        <v>18</v>
      </c>
      <c r="C248" s="1" t="s">
        <v>24</v>
      </c>
      <c r="D248" s="4">
        <f>IF(COUNTIFS([1]Desglose_BOM_Componentes!$B$2578:$B$2586,$A248,[1]Desglose_BOM_Componentes!$AE$2578:$AE$2586,"Sin precio",[1]Desglose_BOM_Componentes!$X$2578:$X$2586,"Formulación")&gt;0,"n.d.",SUMIFS([1]Desglose_BOM_Componentes!$AC$2578:$AC$2586,[1]Desglose_BOM_Componentes!$B$2578:$B$2586,$A248,[1]Desglose_BOM_Componentes!$X$2578:$X$2586,"Formulación"))</f>
        <v>10.0008</v>
      </c>
      <c r="E248" s="4">
        <f>IF(COUNTIFS([1]Desglose_BOM_Componentes!$B$2578:$B$2586,$A248,[1]Desglose_BOM_Componentes!$AE$2578:$AE$2586,"Sin precio",[1]Desglose_BOM_Componentes!$X$2578:$X$2586,"Empaquetado")&gt;0,"n.d.",SUMIFS([1]Desglose_BOM_Componentes!$AC$2578:$AC$2586,[1]Desglose_BOM_Componentes!$B$2578:$B$2586,$A248,[1]Desglose_BOM_Componentes!$X$2578:$X$2586,"Empaquetado"))</f>
        <v>0.23158280727404046</v>
      </c>
      <c r="F248" s="6">
        <f t="shared" si="20"/>
        <v>10.236582807274042</v>
      </c>
      <c r="G248" s="4">
        <f>IF(COUNTIFS([1]Desglose_BOM_Componentes!$B$2578:$B$2586,$A248,[1]Desglose_BOM_Componentes!$AE$2578:$AE$2586,"Sin precio",[1]Desglose_BOM_Componentes!$X$2578:$X$2586,"Formulación")&gt;0,"n.d.",SUMIFS([1]Desglose_BOM_Componentes!$AD$2578:$AD$2586,[1]Desglose_BOM_Componentes!$B$2578:$B$2586,$A248,[1]Desglose_BOM_Componentes!$X$2578:$X$2586,"Formulación"))</f>
        <v>6.9783674285714294</v>
      </c>
      <c r="H248" s="4">
        <f>IF(COUNTIFS([1]Desglose_BOM_Componentes!$B$2578:$B$2586,$A248,[1]Desglose_BOM_Componentes!$AE$2578:$AE$2586,"Sin precio",[1]Desglose_BOM_Componentes!$X$2578:$X$2586,"Empaquetado")&gt;0,"n.d.",SUMIFS([1]Desglose_BOM_Componentes!$AD$2578:$AD$2586,[1]Desglose_BOM_Componentes!$B$2578:$B$2586,$A248,[1]Desglose_BOM_Componentes!$X$2578:$X$2586,"Empaquetado"))</f>
        <v>0.23158280727404046</v>
      </c>
      <c r="I248" s="6">
        <f t="shared" si="21"/>
        <v>7.2141502358454703</v>
      </c>
      <c r="J248" s="1" t="str">
        <f t="shared" si="17"/>
        <v>Completo</v>
      </c>
      <c r="K248" s="1">
        <f>COUNTIFS([1]Desglose_BOM_Componentes!$B$2578:$B$2586,$A248,[1]Desglose_BOM_Componentes!$AE$2578:$AE$2586,"Sin precio")</f>
        <v>0</v>
      </c>
      <c r="L248" s="1" t="str">
        <f>IF('[1]Precios componentes'!D93="Sin precio","KF78; ","")&amp;IF('[1]Precios componentes'!D108="Sin precio","MOSO; ","")&amp;IF('[1]Precios componentes'!D80="Sin precio","GLI; ","")&amp;IF('[1]Precios componentes'!D54="Sin precio","EDT; ","")&amp;IF('[1]Precios componentes'!D136="Sin precio","SOBRE 20L; ","")&amp;IF('[1]Precios componentes'!D115="Sin precio","PAL; ","")&amp;IF('[1]Precios componentes'!D95="Sin precio","KIA250; ","")&amp;IF('[1]Precios componentes'!D146="Sin precio","TPD61I; ","")&amp;IF('[1]Precios componentes'!D61="Sin precio","ENV20; ","")</f>
        <v/>
      </c>
    </row>
    <row r="249" spans="1:12" ht="22" customHeight="1">
      <c r="A249" s="1" t="s">
        <v>279</v>
      </c>
      <c r="B249" s="1" t="s">
        <v>18</v>
      </c>
      <c r="C249" s="1" t="s">
        <v>24</v>
      </c>
      <c r="D249" s="4">
        <f>IF(COUNTIFS([1]Desglose_BOM_Componentes!$B$2587:$B$2597,$A249,[1]Desglose_BOM_Componentes!$AE$2587:$AE$2597,"Sin precio",[1]Desglose_BOM_Componentes!$X$2587:$X$2597,"Formulación")&gt;0,"n.d.",SUMIFS([1]Desglose_BOM_Componentes!$AC$2587:$AC$2597,[1]Desglose_BOM_Componentes!$B$2587:$B$2597,$A249,[1]Desglose_BOM_Componentes!$X$2587:$X$2597,"Formulación"))</f>
        <v>4.5765079999999996</v>
      </c>
      <c r="E249" s="4">
        <f>IF(COUNTIFS([1]Desglose_BOM_Componentes!$B$2587:$B$2597,$A249,[1]Desglose_BOM_Componentes!$AE$2587:$AE$2597,"Sin precio",[1]Desglose_BOM_Componentes!$X$2587:$X$2597,"Empaquetado")&gt;0,"n.d.",SUMIFS([1]Desglose_BOM_Componentes!$AC$2587:$AC$2597,[1]Desglose_BOM_Componentes!$B$2587:$B$2597,$A249,[1]Desglose_BOM_Componentes!$X$2587:$X$2597,"Empaquetado"))</f>
        <v>0.75344791441438252</v>
      </c>
      <c r="F249" s="6">
        <f t="shared" si="20"/>
        <v>5.3341559144143824</v>
      </c>
      <c r="G249" s="4">
        <f>IF(COUNTIFS([1]Desglose_BOM_Componentes!$B$2587:$B$2597,$A249,[1]Desglose_BOM_Componentes!$AE$2587:$AE$2597,"Sin precio",[1]Desglose_BOM_Componentes!$X$2587:$X$2597,"Formulación")&gt;0,"n.d.",SUMIFS([1]Desglose_BOM_Componentes!$AD$2587:$AD$2597,[1]Desglose_BOM_Componentes!$B$2587:$B$2597,$A249,[1]Desglose_BOM_Componentes!$X$2587:$X$2597,"Formulación"))</f>
        <v>3.3088781142857147</v>
      </c>
      <c r="H249" s="4">
        <f>IF(COUNTIFS([1]Desglose_BOM_Componentes!$B$2587:$B$2597,$A249,[1]Desglose_BOM_Componentes!$AE$2587:$AE$2597,"Sin precio",[1]Desglose_BOM_Componentes!$X$2587:$X$2597,"Empaquetado")&gt;0,"n.d.",SUMIFS([1]Desglose_BOM_Componentes!$AD$2587:$AD$2597,[1]Desglose_BOM_Componentes!$B$2587:$B$2597,$A249,[1]Desglose_BOM_Componentes!$X$2587:$X$2597,"Empaquetado"))</f>
        <v>0.75344791441438252</v>
      </c>
      <c r="I249" s="6">
        <f t="shared" si="21"/>
        <v>4.0665260287000971</v>
      </c>
      <c r="J249" s="1" t="str">
        <f t="shared" si="17"/>
        <v>Completo</v>
      </c>
      <c r="K249" s="1">
        <f>COUNTIFS([1]Desglose_BOM_Componentes!$B$2587:$B$2597,$A249,[1]Desglose_BOM_Componentes!$AE$2587:$AE$2597,"Sin precio")</f>
        <v>0</v>
      </c>
      <c r="L249" s="1" t="str">
        <f>IF('[1]Precios componentes'!D93="Sin precio","KF78; ","")&amp;IF('[1]Precios componentes'!D28="Sin precio","BORL; ","")&amp;IF('[1]Precios componentes'!D108="Sin precio","MOSO; ","")&amp;IF('[1]Precios componentes'!D104="Sin precio","MAL;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50" spans="1:12" ht="22" customHeight="1">
      <c r="A250" s="1" t="s">
        <v>280</v>
      </c>
      <c r="B250" s="1" t="s">
        <v>18</v>
      </c>
      <c r="C250" s="1" t="s">
        <v>69</v>
      </c>
      <c r="D250" s="4">
        <f>IF(COUNTIFS([1]Desglose_BOM_Componentes!$B$2598:$B$2608,$A250,[1]Desglose_BOM_Componentes!$AE$2598:$AE$2608,"Sin precio",[1]Desglose_BOM_Componentes!$X$2598:$X$2608,"Formulación")&gt;0,"n.d.",SUMIFS([1]Desglose_BOM_Componentes!$AC$2598:$AC$2608,[1]Desglose_BOM_Componentes!$B$2598:$B$2608,$A250,[1]Desglose_BOM_Componentes!$X$2598:$X$2608,"Formulación"))</f>
        <v>4.5765079999999996</v>
      </c>
      <c r="E250" s="4">
        <f>IF(COUNTIFS([1]Desglose_BOM_Componentes!$B$2598:$B$2608,$A250,[1]Desglose_BOM_Componentes!$AE$2598:$AE$2608,"Sin precio",[1]Desglose_BOM_Componentes!$X$2598:$X$2608,"Empaquetado")&gt;0,"n.d.",SUMIFS([1]Desglose_BOM_Componentes!$AC$2598:$AC$2608,[1]Desglose_BOM_Componentes!$B$2598:$B$2608,$A250,[1]Desglose_BOM_Componentes!$X$2598:$X$2608,"Empaquetado"))</f>
        <v>0.75344791441438252</v>
      </c>
      <c r="F250" s="6">
        <f t="shared" si="20"/>
        <v>5.3341559144143824</v>
      </c>
      <c r="G250" s="4">
        <f>IF(COUNTIFS([1]Desglose_BOM_Componentes!$B$2598:$B$2608,$A250,[1]Desglose_BOM_Componentes!$AE$2598:$AE$2608,"Sin precio",[1]Desglose_BOM_Componentes!$X$2598:$X$2608,"Formulación")&gt;0,"n.d.",SUMIFS([1]Desglose_BOM_Componentes!$AD$2598:$AD$2608,[1]Desglose_BOM_Componentes!$B$2598:$B$2608,$A250,[1]Desglose_BOM_Componentes!$X$2598:$X$2608,"Formulación"))</f>
        <v>3.3088781142857147</v>
      </c>
      <c r="H250" s="4">
        <f>IF(COUNTIFS([1]Desglose_BOM_Componentes!$B$2598:$B$2608,$A250,[1]Desglose_BOM_Componentes!$AE$2598:$AE$2608,"Sin precio",[1]Desglose_BOM_Componentes!$X$2598:$X$2608,"Empaquetado")&gt;0,"n.d.",SUMIFS([1]Desglose_BOM_Componentes!$AD$2598:$AD$2608,[1]Desglose_BOM_Componentes!$B$2598:$B$2608,$A250,[1]Desglose_BOM_Componentes!$X$2598:$X$2608,"Empaquetado"))</f>
        <v>0.75344791441438252</v>
      </c>
      <c r="I250" s="6">
        <f t="shared" si="21"/>
        <v>4.0665260287000971</v>
      </c>
      <c r="J250" s="1" t="str">
        <f t="shared" si="17"/>
        <v>Completo</v>
      </c>
      <c r="K250" s="1">
        <f>COUNTIFS([1]Desglose_BOM_Componentes!$B$2598:$B$2608,$A250,[1]Desglose_BOM_Componentes!$AE$2598:$AE$2608,"Sin precio")</f>
        <v>0</v>
      </c>
      <c r="L250" s="1" t="str">
        <f>IF('[1]Precios componentes'!D93="Sin precio","KF78; ","")&amp;IF('[1]Precios componentes'!D28="Sin precio","BORL; ","")&amp;IF('[1]Precios componentes'!D108="Sin precio","MOSO; ","")&amp;IF('[1]Precios componentes'!D104="Sin precio","MAL;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51" spans="1:12" ht="22" customHeight="1">
      <c r="A251" s="1" t="s">
        <v>281</v>
      </c>
      <c r="B251" s="1" t="s">
        <v>18</v>
      </c>
      <c r="C251" s="1" t="s">
        <v>24</v>
      </c>
      <c r="D251" s="4">
        <f>IF(COUNTIFS([1]Desglose_BOM_Componentes!$B$2609:$B$2619,$A251,[1]Desglose_BOM_Componentes!$AE$2609:$AE$2619,"Sin precio",[1]Desglose_BOM_Componentes!$X$2609:$X$2619,"Formulación")&gt;0,"n.d.",SUMIFS([1]Desglose_BOM_Componentes!$AC$2609:$AC$2619,[1]Desglose_BOM_Componentes!$B$2609:$B$2619,$A251,[1]Desglose_BOM_Componentes!$X$2609:$X$2619,"Formulación"))</f>
        <v>4.5765079999999996</v>
      </c>
      <c r="E251" s="4">
        <f>IF(COUNTIFS([1]Desglose_BOM_Componentes!$B$2609:$B$2619,$A251,[1]Desglose_BOM_Componentes!$AE$2609:$AE$2619,"Sin precio",[1]Desglose_BOM_Componentes!$X$2609:$X$2619,"Empaquetado")&gt;0,"n.d.",SUMIFS([1]Desglose_BOM_Componentes!$AC$2609:$AC$2619,[1]Desglose_BOM_Componentes!$B$2609:$B$2619,$A251,[1]Desglose_BOM_Componentes!$X$2609:$X$2619,"Empaquetado"))</f>
        <v>0.30928466819407252</v>
      </c>
      <c r="F251" s="6">
        <f t="shared" si="20"/>
        <v>4.889992668194072</v>
      </c>
      <c r="G251" s="4">
        <f>IF(COUNTIFS([1]Desglose_BOM_Componentes!$B$2609:$B$2619,$A251,[1]Desglose_BOM_Componentes!$AE$2609:$AE$2619,"Sin precio",[1]Desglose_BOM_Componentes!$X$2609:$X$2619,"Formulación")&gt;0,"n.d.",SUMIFS([1]Desglose_BOM_Componentes!$AD$2609:$AD$2619,[1]Desglose_BOM_Componentes!$B$2609:$B$2619,$A251,[1]Desglose_BOM_Componentes!$X$2609:$X$2619,"Formulación"))</f>
        <v>3.3088781142857147</v>
      </c>
      <c r="H251" s="4">
        <f>IF(COUNTIFS([1]Desglose_BOM_Componentes!$B$2609:$B$2619,$A251,[1]Desglose_BOM_Componentes!$AE$2609:$AE$2619,"Sin precio",[1]Desglose_BOM_Componentes!$X$2609:$X$2619,"Empaquetado")&gt;0,"n.d.",SUMIFS([1]Desglose_BOM_Componentes!$AD$2609:$AD$2619,[1]Desglose_BOM_Componentes!$B$2609:$B$2619,$A251,[1]Desglose_BOM_Componentes!$X$2609:$X$2619,"Empaquetado"))</f>
        <v>0.30928466819407252</v>
      </c>
      <c r="I251" s="6">
        <f t="shared" si="21"/>
        <v>3.622362782479787</v>
      </c>
      <c r="J251" s="1" t="str">
        <f t="shared" si="17"/>
        <v>Completo</v>
      </c>
      <c r="K251" s="1">
        <f>COUNTIFS([1]Desglose_BOM_Componentes!$B$2609:$B$2619,$A251,[1]Desglose_BOM_Componentes!$AE$2609:$AE$2619,"Sin precio")</f>
        <v>0</v>
      </c>
      <c r="L251" s="1" t="str">
        <f>IF('[1]Precios componentes'!D93="Sin precio","KF78; ","")&amp;IF('[1]Precios componentes'!D28="Sin precio","BORL; ","")&amp;IF('[1]Precios componentes'!D108="Sin precio","MOSO; ","")&amp;IF('[1]Precios componentes'!D104="Sin precio","MAL; ","")&amp;IF('[1]Precios componentes'!D54="Sin precio","EDT;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52" spans="1:12" ht="22" customHeight="1">
      <c r="A252" s="1" t="s">
        <v>282</v>
      </c>
      <c r="B252" s="1" t="s">
        <v>18</v>
      </c>
      <c r="C252" s="1" t="s">
        <v>26</v>
      </c>
      <c r="D252" s="4">
        <f>IF(COUNTIFS([1]Desglose_BOM_Componentes!$B$2620:$B$2630,$A252,[1]Desglose_BOM_Componentes!$AE$2620:$AE$2630,"Sin precio",[1]Desglose_BOM_Componentes!$X$2620:$X$2630,"Formulación")&gt;0,"n.d.",SUMIFS([1]Desglose_BOM_Componentes!$AC$2620:$AC$2630,[1]Desglose_BOM_Componentes!$B$2620:$B$2630,$A252,[1]Desglose_BOM_Componentes!$X$2620:$X$2630,"Formulación"))</f>
        <v>4.5765079999999996</v>
      </c>
      <c r="E252" s="4">
        <f>IF(COUNTIFS([1]Desglose_BOM_Componentes!$B$2620:$B$2630,$A252,[1]Desglose_BOM_Componentes!$AE$2620:$AE$2630,"Sin precio",[1]Desglose_BOM_Componentes!$X$2620:$X$2630,"Empaquetado")&gt;0,"n.d.",SUMIFS([1]Desglose_BOM_Componentes!$AC$2620:$AC$2630,[1]Desglose_BOM_Componentes!$B$2620:$B$2630,$A252,[1]Desglose_BOM_Componentes!$X$2620:$X$2630,"Empaquetado"))</f>
        <v>0.30928466819407252</v>
      </c>
      <c r="F252" s="6">
        <f t="shared" si="20"/>
        <v>4.889992668194072</v>
      </c>
      <c r="G252" s="4">
        <f>IF(COUNTIFS([1]Desglose_BOM_Componentes!$B$2620:$B$2630,$A252,[1]Desglose_BOM_Componentes!$AE$2620:$AE$2630,"Sin precio",[1]Desglose_BOM_Componentes!$X$2620:$X$2630,"Formulación")&gt;0,"n.d.",SUMIFS([1]Desglose_BOM_Componentes!$AD$2620:$AD$2630,[1]Desglose_BOM_Componentes!$B$2620:$B$2630,$A252,[1]Desglose_BOM_Componentes!$X$2620:$X$2630,"Formulación"))</f>
        <v>3.3088781142857147</v>
      </c>
      <c r="H252" s="4">
        <f>IF(COUNTIFS([1]Desglose_BOM_Componentes!$B$2620:$B$2630,$A252,[1]Desglose_BOM_Componentes!$AE$2620:$AE$2630,"Sin precio",[1]Desglose_BOM_Componentes!$X$2620:$X$2630,"Empaquetado")&gt;0,"n.d.",SUMIFS([1]Desglose_BOM_Componentes!$AD$2620:$AD$2630,[1]Desglose_BOM_Componentes!$B$2620:$B$2630,$A252,[1]Desglose_BOM_Componentes!$X$2620:$X$2630,"Empaquetado"))</f>
        <v>0.30928466819407252</v>
      </c>
      <c r="I252" s="6">
        <f t="shared" si="21"/>
        <v>3.622362782479787</v>
      </c>
      <c r="J252" s="1" t="str">
        <f t="shared" si="17"/>
        <v>Completo</v>
      </c>
      <c r="K252" s="1">
        <f>COUNTIFS([1]Desglose_BOM_Componentes!$B$2620:$B$2630,$A252,[1]Desglose_BOM_Componentes!$AE$2620:$AE$2630,"Sin precio")</f>
        <v>0</v>
      </c>
      <c r="L252" s="1" t="str">
        <f>IF('[1]Precios componentes'!D93="Sin precio","KF78; ","")&amp;IF('[1]Precios componentes'!D28="Sin precio","BORL; ","")&amp;IF('[1]Precios componentes'!D108="Sin precio","MOSO; ","")&amp;IF('[1]Precios componentes'!D104="Sin precio","MAL; ","")&amp;IF('[1]Precios componentes'!D54="Sin precio","EDT;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53" spans="1:12" ht="22" customHeight="1">
      <c r="A253" s="1" t="s">
        <v>283</v>
      </c>
      <c r="B253" s="1" t="s">
        <v>18</v>
      </c>
      <c r="C253" s="1" t="s">
        <v>24</v>
      </c>
      <c r="D253" s="4">
        <f>IF(COUNTIFS([1]Desglose_BOM_Componentes!$B$2631:$B$2640,$A253,[1]Desglose_BOM_Componentes!$AE$2631:$AE$2640,"Sin precio",[1]Desglose_BOM_Componentes!$X$2631:$X$2640,"Formulación")&gt;0,"n.d.",SUMIFS([1]Desglose_BOM_Componentes!$AC$2631:$AC$2640,[1]Desglose_BOM_Componentes!$B$2631:$B$2640,$A253,[1]Desglose_BOM_Componentes!$X$2631:$X$2640,"Formulación"))</f>
        <v>4.5765079999999996</v>
      </c>
      <c r="E253" s="4">
        <f>IF(COUNTIFS([1]Desglose_BOM_Componentes!$B$2631:$B$2640,$A253,[1]Desglose_BOM_Componentes!$AE$2631:$AE$2640,"Sin precio",[1]Desglose_BOM_Componentes!$X$2631:$X$2640,"Empaquetado")&gt;0,"n.d.",SUMIFS([1]Desglose_BOM_Componentes!$AC$2631:$AC$2640,[1]Desglose_BOM_Componentes!$B$2631:$B$2640,$A253,[1]Desglose_BOM_Componentes!$X$2631:$X$2640,"Empaquetado"))</f>
        <v>0.24326489794470366</v>
      </c>
      <c r="F253" s="6">
        <f t="shared" si="20"/>
        <v>4.823972897944703</v>
      </c>
      <c r="G253" s="4">
        <f>IF(COUNTIFS([1]Desglose_BOM_Componentes!$B$2631:$B$2640,$A253,[1]Desglose_BOM_Componentes!$AE$2631:$AE$2640,"Sin precio",[1]Desglose_BOM_Componentes!$X$2631:$X$2640,"Formulación")&gt;0,"n.d.",SUMIFS([1]Desglose_BOM_Componentes!$AD$2631:$AD$2640,[1]Desglose_BOM_Componentes!$B$2631:$B$2640,$A253,[1]Desglose_BOM_Componentes!$X$2631:$X$2640,"Formulación"))</f>
        <v>3.3088781142857147</v>
      </c>
      <c r="H253" s="4">
        <f>IF(COUNTIFS([1]Desglose_BOM_Componentes!$B$2631:$B$2640,$A253,[1]Desglose_BOM_Componentes!$AE$2631:$AE$2640,"Sin precio",[1]Desglose_BOM_Componentes!$X$2631:$X$2640,"Empaquetado")&gt;0,"n.d.",SUMIFS([1]Desglose_BOM_Componentes!$AD$2631:$AD$2640,[1]Desglose_BOM_Componentes!$B$2631:$B$2640,$A253,[1]Desglose_BOM_Componentes!$X$2631:$X$2640,"Empaquetado"))</f>
        <v>0.24326489794470366</v>
      </c>
      <c r="I253" s="6">
        <f t="shared" si="21"/>
        <v>3.5563430122304185</v>
      </c>
      <c r="J253" s="1" t="str">
        <f t="shared" si="17"/>
        <v>Completo</v>
      </c>
      <c r="K253" s="1">
        <f>COUNTIFS([1]Desglose_BOM_Componentes!$B$2631:$B$2640,$A253,[1]Desglose_BOM_Componentes!$AE$2631:$AE$2640,"Sin precio")</f>
        <v>0</v>
      </c>
      <c r="L253" s="1" t="str">
        <f>IF('[1]Precios componentes'!D93="Sin precio","KF78; ","")&amp;IF('[1]Precios componentes'!D28="Sin precio","BORL; ","")&amp;IF('[1]Precios componentes'!D108="Sin precio","MOSO; ","")&amp;IF('[1]Precios componentes'!D104="Sin precio","MAL; ","")&amp;IF('[1]Precios componentes'!D54="Sin precio","EDT;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254" spans="1:12" ht="22" customHeight="1">
      <c r="A254" s="1" t="s">
        <v>284</v>
      </c>
      <c r="B254" s="1" t="s">
        <v>68</v>
      </c>
      <c r="C254" s="1" t="s">
        <v>19</v>
      </c>
      <c r="D254" s="4">
        <f>IF(COUNTIFS([1]Desglose_BOM_Componentes!$B$2641:$B$2651,$A254,[1]Desglose_BOM_Componentes!$AE$2641:$AE$2651,"Sin precio",[1]Desglose_BOM_Componentes!$X$2641:$X$2651,"Formulación")&gt;0,"n.d.",SUMIFS([1]Desglose_BOM_Componentes!$AC$2641:$AC$2651,[1]Desglose_BOM_Componentes!$B$2641:$B$2651,$A254,[1]Desglose_BOM_Componentes!$X$2641:$X$2651,"Formulación"))</f>
        <v>1.6318600000000001</v>
      </c>
      <c r="E254" s="4">
        <f>IF(COUNTIFS([1]Desglose_BOM_Componentes!$B$2641:$B$2651,$A254,[1]Desglose_BOM_Componentes!$AE$2641:$AE$2651,"Sin precio",[1]Desglose_BOM_Componentes!$X$2641:$X$2651,"Empaquetado")&gt;0,"n.d.",SUMIFS([1]Desglose_BOM_Componentes!$AC$2641:$AC$2651,[1]Desglose_BOM_Componentes!$B$2641:$B$2651,$A254,[1]Desglose_BOM_Componentes!$X$2641:$X$2651,"Empaquetado"))</f>
        <v>0.17737936672317167</v>
      </c>
      <c r="F254" s="6">
        <f t="shared" ref="F254:F259" si="22">IF(K254&gt;0,"n.d.",SUM(D254:E254))</f>
        <v>1.8092393667231716</v>
      </c>
      <c r="G254" s="4">
        <f>IF(COUNTIFS([1]Desglose_BOM_Componentes!$B$2641:$B$2651,$A254,[1]Desglose_BOM_Componentes!$AE$2641:$AE$2651,"Sin precio",[1]Desglose_BOM_Componentes!$X$2641:$X$2651,"Formulación")&gt;0,"n.d.",SUMIFS([1]Desglose_BOM_Componentes!$AD$2641:$AD$2651,[1]Desglose_BOM_Componentes!$B$2641:$B$2651,$A254,[1]Desglose_BOM_Componentes!$X$2641:$X$2651,"Formulación"))</f>
        <v>1.1882771428571428</v>
      </c>
      <c r="H254" s="4">
        <f>IF(COUNTIFS([1]Desglose_BOM_Componentes!$B$2641:$B$2651,$A254,[1]Desglose_BOM_Componentes!$AE$2641:$AE$2651,"Sin precio",[1]Desglose_BOM_Componentes!$X$2641:$X$2651,"Empaquetado")&gt;0,"n.d.",SUMIFS([1]Desglose_BOM_Componentes!$AD$2641:$AD$2651,[1]Desglose_BOM_Componentes!$B$2641:$B$2651,$A254,[1]Desglose_BOM_Componentes!$X$2641:$X$2651,"Empaquetado"))</f>
        <v>0.17737936672317167</v>
      </c>
      <c r="I254" s="6">
        <f t="shared" ref="I254:I259" si="23">IF(K254&gt;0,"n.d.",SUM(G254:H254))</f>
        <v>1.3656565095803144</v>
      </c>
      <c r="J254" s="1" t="str">
        <f t="shared" si="17"/>
        <v>Completo</v>
      </c>
      <c r="K254" s="1">
        <f>COUNTIFS([1]Desglose_BOM_Componentes!$B$2641:$B$2651,$A254,[1]Desglose_BOM_Componentes!$AE$2641:$AE$2651,"Sin precio")</f>
        <v>0</v>
      </c>
      <c r="L254" s="1" t="str">
        <f>IF('[1]Precios componentes'!D40="Sin precio","CCB; ","")&amp;IF('[1]Precios componentes'!D10="Sin precio","ADI; ","")&amp;IF('[1]Precios componentes'!D107="Sin precio","MGO; ","")&amp;IF('[1]Precios componentes'!D104="Sin precio","MAL; ","")&amp;IF('[1]Precios componentes'!D74="Sin precio","FOCA;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255" spans="1:12" ht="22" customHeight="1">
      <c r="A255" s="1" t="s">
        <v>285</v>
      </c>
      <c r="B255" s="1" t="s">
        <v>68</v>
      </c>
      <c r="C255" s="1" t="s">
        <v>24</v>
      </c>
      <c r="D255" s="4">
        <f>IF(COUNTIFS([1]Desglose_BOM_Componentes!$B$2652:$B$2661,$A255,[1]Desglose_BOM_Componentes!$AE$2652:$AE$2661,"Sin precio",[1]Desglose_BOM_Componentes!$X$2652:$X$2661,"Formulación")&gt;0,"n.d.",SUMIFS([1]Desglose_BOM_Componentes!$AC$2652:$AC$2661,[1]Desglose_BOM_Componentes!$B$2652:$B$2661,$A255,[1]Desglose_BOM_Componentes!$X$2652:$X$2661,"Formulación"))</f>
        <v>1.6318600000000001</v>
      </c>
      <c r="E255" s="4">
        <f>IF(COUNTIFS([1]Desglose_BOM_Componentes!$B$2652:$B$2661,$A255,[1]Desglose_BOM_Componentes!$AE$2652:$AE$2661,"Sin precio",[1]Desglose_BOM_Componentes!$X$2652:$X$2661,"Empaquetado")&gt;0,"n.d.",SUMIFS([1]Desglose_BOM_Componentes!$AC$2652:$AC$2661,[1]Desglose_BOM_Componentes!$B$2652:$B$2661,$A255,[1]Desglose_BOM_Componentes!$X$2652:$X$2661,"Empaquetado"))</f>
        <v>0.10354733439422743</v>
      </c>
      <c r="F255" s="6">
        <f t="shared" si="22"/>
        <v>1.7354073343942276</v>
      </c>
      <c r="G255" s="4">
        <f>IF(COUNTIFS([1]Desglose_BOM_Componentes!$B$2652:$B$2661,$A255,[1]Desglose_BOM_Componentes!$AE$2652:$AE$2661,"Sin precio",[1]Desglose_BOM_Componentes!$X$2652:$X$2661,"Formulación")&gt;0,"n.d.",SUMIFS([1]Desglose_BOM_Componentes!$AD$2652:$AD$2661,[1]Desglose_BOM_Componentes!$B$2652:$B$2661,$A255,[1]Desglose_BOM_Componentes!$X$2652:$X$2661,"Formulación"))</f>
        <v>1.1882771428571428</v>
      </c>
      <c r="H255" s="4">
        <f>IF(COUNTIFS([1]Desglose_BOM_Componentes!$B$2652:$B$2661,$A255,[1]Desglose_BOM_Componentes!$AE$2652:$AE$2661,"Sin precio",[1]Desglose_BOM_Componentes!$X$2652:$X$2661,"Empaquetado")&gt;0,"n.d.",SUMIFS([1]Desglose_BOM_Componentes!$AD$2652:$AD$2661,[1]Desglose_BOM_Componentes!$B$2652:$B$2661,$A255,[1]Desglose_BOM_Componentes!$X$2652:$X$2661,"Empaquetado"))</f>
        <v>0.10354733439422743</v>
      </c>
      <c r="I255" s="6">
        <f t="shared" si="23"/>
        <v>1.2918244772513703</v>
      </c>
      <c r="J255" s="1" t="str">
        <f t="shared" si="17"/>
        <v>Completo</v>
      </c>
      <c r="K255" s="1">
        <f>COUNTIFS([1]Desglose_BOM_Componentes!$B$2652:$B$2661,$A255,[1]Desglose_BOM_Componentes!$AE$2652:$AE$2661,"Sin precio")</f>
        <v>0</v>
      </c>
      <c r="L255" s="1" t="str">
        <f>IF('[1]Precios componentes'!D40="Sin precio","CCB; ","")&amp;IF('[1]Precios componentes'!D10="Sin precio","ADI; ","")&amp;IF('[1]Precios componentes'!D107="Sin precio","MGO; ","")&amp;IF('[1]Precios componentes'!D104="Sin precio","MAL; ","")&amp;IF('[1]Precios componentes'!D74="Sin precio","FOCA;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56" spans="1:12" ht="22" customHeight="1">
      <c r="A256" s="1" t="s">
        <v>286</v>
      </c>
      <c r="B256" s="1" t="s">
        <v>68</v>
      </c>
      <c r="C256" s="1" t="s">
        <v>26</v>
      </c>
      <c r="D256" s="4">
        <f>IF(COUNTIFS([1]Desglose_BOM_Componentes!$B$2662:$B$2671,$A256,[1]Desglose_BOM_Componentes!$AE$2662:$AE$2671,"Sin precio",[1]Desglose_BOM_Componentes!$X$2662:$X$2671,"Formulación")&gt;0,"n.d.",SUMIFS([1]Desglose_BOM_Componentes!$AC$2662:$AC$2671,[1]Desglose_BOM_Componentes!$B$2662:$B$2671,$A256,[1]Desglose_BOM_Componentes!$X$2662:$X$2671,"Formulación"))</f>
        <v>1.6318600000000001</v>
      </c>
      <c r="E256" s="4">
        <f>IF(COUNTIFS([1]Desglose_BOM_Componentes!$B$2662:$B$2671,$A256,[1]Desglose_BOM_Componentes!$AE$2662:$AE$2671,"Sin precio",[1]Desglose_BOM_Componentes!$X$2662:$X$2671,"Empaquetado")&gt;0,"n.d.",SUMIFS([1]Desglose_BOM_Componentes!$AC$2662:$AC$2671,[1]Desglose_BOM_Componentes!$B$2662:$B$2671,$A256,[1]Desglose_BOM_Componentes!$X$2662:$X$2671,"Empaquetado"))</f>
        <v>0.10354733439422743</v>
      </c>
      <c r="F256" s="6">
        <f t="shared" si="22"/>
        <v>1.7354073343942276</v>
      </c>
      <c r="G256" s="4">
        <f>IF(COUNTIFS([1]Desglose_BOM_Componentes!$B$2662:$B$2671,$A256,[1]Desglose_BOM_Componentes!$AE$2662:$AE$2671,"Sin precio",[1]Desglose_BOM_Componentes!$X$2662:$X$2671,"Formulación")&gt;0,"n.d.",SUMIFS([1]Desglose_BOM_Componentes!$AD$2662:$AD$2671,[1]Desglose_BOM_Componentes!$B$2662:$B$2671,$A256,[1]Desglose_BOM_Componentes!$X$2662:$X$2671,"Formulación"))</f>
        <v>1.1882771428571428</v>
      </c>
      <c r="H256" s="4">
        <f>IF(COUNTIFS([1]Desglose_BOM_Componentes!$B$2662:$B$2671,$A256,[1]Desglose_BOM_Componentes!$AE$2662:$AE$2671,"Sin precio",[1]Desglose_BOM_Componentes!$X$2662:$X$2671,"Empaquetado")&gt;0,"n.d.",SUMIFS([1]Desglose_BOM_Componentes!$AD$2662:$AD$2671,[1]Desglose_BOM_Componentes!$B$2662:$B$2671,$A256,[1]Desglose_BOM_Componentes!$X$2662:$X$2671,"Empaquetado"))</f>
        <v>0.10354733439422743</v>
      </c>
      <c r="I256" s="6">
        <f t="shared" si="23"/>
        <v>1.2918244772513703</v>
      </c>
      <c r="J256" s="1" t="str">
        <f t="shared" si="17"/>
        <v>Completo</v>
      </c>
      <c r="K256" s="1">
        <f>COUNTIFS([1]Desglose_BOM_Componentes!$B$2662:$B$2671,$A256,[1]Desglose_BOM_Componentes!$AE$2662:$AE$2671,"Sin precio")</f>
        <v>0</v>
      </c>
      <c r="L256" s="1" t="str">
        <f>IF('[1]Precios componentes'!D40="Sin precio","CCB; ","")&amp;IF('[1]Precios componentes'!D10="Sin precio","ADI; ","")&amp;IF('[1]Precios componentes'!D107="Sin precio","MGO; ","")&amp;IF('[1]Precios componentes'!D104="Sin precio","MAL; ","")&amp;IF('[1]Precios componentes'!D74="Sin precio","FOCA;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57" spans="1:12" ht="22" customHeight="1">
      <c r="A257" s="1" t="s">
        <v>287</v>
      </c>
      <c r="B257" s="1" t="s">
        <v>68</v>
      </c>
      <c r="C257" s="1" t="s">
        <v>24</v>
      </c>
      <c r="D257" s="4">
        <f>IF(COUNTIFS([1]Desglose_BOM_Componentes!$B$2672:$B$2681,$A257,[1]Desglose_BOM_Componentes!$AE$2672:$AE$2681,"Sin precio",[1]Desglose_BOM_Componentes!$X$2672:$X$2681,"Formulación")&gt;0,"n.d.",SUMIFS([1]Desglose_BOM_Componentes!$AC$2672:$AC$2681,[1]Desglose_BOM_Componentes!$B$2672:$B$2681,$A257,[1]Desglose_BOM_Componentes!$X$2672:$X$2681,"Formulación"))</f>
        <v>1.6318600000000001</v>
      </c>
      <c r="E257" s="4">
        <f>IF(COUNTIFS([1]Desglose_BOM_Componentes!$B$2672:$B$2681,$A257,[1]Desglose_BOM_Componentes!$AE$2672:$AE$2681,"Sin precio",[1]Desglose_BOM_Componentes!$X$2672:$X$2681,"Empaquetado")&gt;0,"n.d.",SUMIFS([1]Desglose_BOM_Componentes!$AC$2672:$AC$2681,[1]Desglose_BOM_Componentes!$B$2672:$B$2681,$A257,[1]Desglose_BOM_Componentes!$X$2672:$X$2681,"Empaquetado"))</f>
        <v>8.7293112195682837E-2</v>
      </c>
      <c r="F257" s="6">
        <f t="shared" si="22"/>
        <v>1.7191531121956829</v>
      </c>
      <c r="G257" s="4">
        <f>IF(COUNTIFS([1]Desglose_BOM_Componentes!$B$2672:$B$2681,$A257,[1]Desglose_BOM_Componentes!$AE$2672:$AE$2681,"Sin precio",[1]Desglose_BOM_Componentes!$X$2672:$X$2681,"Formulación")&gt;0,"n.d.",SUMIFS([1]Desglose_BOM_Componentes!$AD$2672:$AD$2681,[1]Desglose_BOM_Componentes!$B$2672:$B$2681,$A257,[1]Desglose_BOM_Componentes!$X$2672:$X$2681,"Formulación"))</f>
        <v>1.1882771428571428</v>
      </c>
      <c r="H257" s="4">
        <f>IF(COUNTIFS([1]Desglose_BOM_Componentes!$B$2672:$B$2681,$A257,[1]Desglose_BOM_Componentes!$AE$2672:$AE$2681,"Sin precio",[1]Desglose_BOM_Componentes!$X$2672:$X$2681,"Empaquetado")&gt;0,"n.d.",SUMIFS([1]Desglose_BOM_Componentes!$AD$2672:$AD$2681,[1]Desglose_BOM_Componentes!$B$2672:$B$2681,$A257,[1]Desglose_BOM_Componentes!$X$2672:$X$2681,"Empaquetado"))</f>
        <v>8.7293112195682837E-2</v>
      </c>
      <c r="I257" s="6">
        <f t="shared" si="23"/>
        <v>1.2755702550528256</v>
      </c>
      <c r="J257" s="1" t="str">
        <f t="shared" si="17"/>
        <v>Completo</v>
      </c>
      <c r="K257" s="1">
        <f>COUNTIFS([1]Desglose_BOM_Componentes!$B$2672:$B$2681,$A257,[1]Desglose_BOM_Componentes!$AE$2672:$AE$2681,"Sin precio")</f>
        <v>0</v>
      </c>
      <c r="L257" s="1" t="str">
        <f>IF('[1]Precios componentes'!D40="Sin precio","CCB; ","")&amp;IF('[1]Precios componentes'!D10="Sin precio","ADI; ","")&amp;IF('[1]Precios componentes'!D107="Sin precio","MGO; ","")&amp;IF('[1]Precios componentes'!D104="Sin precio","MAL; ","")&amp;IF('[1]Precios componentes'!D74="Sin precio","FOCA; ","")&amp;IF('[1]Precios componentes'!D135="Sin precio","SOBRE 20 K; ","")&amp;IF('[1]Precios componentes'!D94="Sin precio","KIA220; ","")&amp;IF('[1]Precios componentes'!D99="Sin precio","LAM3; ","")&amp;IF('[1]Precios componentes'!D115="Sin precio","PAL; ","")&amp;IF('[1]Precios componentes'!D34="Sin precio","CAG; ","")</f>
        <v/>
      </c>
    </row>
    <row r="258" spans="1:12" ht="22" customHeight="1">
      <c r="A258" s="1" t="s">
        <v>288</v>
      </c>
      <c r="B258" s="1" t="s">
        <v>68</v>
      </c>
      <c r="C258" s="1" t="s">
        <v>19</v>
      </c>
      <c r="D258" s="4">
        <f>IF(COUNTIFS([1]Desglose_BOM_Componentes!$B$2682:$B$2691,$A258,[1]Desglose_BOM_Componentes!$AE$2682:$AE$2691,"Sin precio",[1]Desglose_BOM_Componentes!$X$2682:$X$2691,"Formulación")&gt;0,"n.d.",SUMIFS([1]Desglose_BOM_Componentes!$AC$2682:$AC$2691,[1]Desglose_BOM_Componentes!$B$2682:$B$2691,$A258,[1]Desglose_BOM_Componentes!$X$2682:$X$2691,"Formulación"))</f>
        <v>1.6318600000000001</v>
      </c>
      <c r="E258" s="4">
        <f>IF(COUNTIFS([1]Desglose_BOM_Componentes!$B$2682:$B$2691,$A258,[1]Desglose_BOM_Componentes!$AE$2682:$AE$2691,"Sin precio",[1]Desglose_BOM_Componentes!$X$2682:$X$2691,"Empaquetado")&gt;0,"n.d.",SUMIFS([1]Desglose_BOM_Componentes!$AC$2682:$AC$2691,[1]Desglose_BOM_Componentes!$B$2682:$B$2691,$A258,[1]Desglose_BOM_Componentes!$X$2682:$X$2691,"Empaquetado"))</f>
        <v>8.7293112195682837E-2</v>
      </c>
      <c r="F258" s="6">
        <f t="shared" si="22"/>
        <v>1.7191531121956829</v>
      </c>
      <c r="G258" s="4">
        <f>IF(COUNTIFS([1]Desglose_BOM_Componentes!$B$2682:$B$2691,$A258,[1]Desglose_BOM_Componentes!$AE$2682:$AE$2691,"Sin precio",[1]Desglose_BOM_Componentes!$X$2682:$X$2691,"Formulación")&gt;0,"n.d.",SUMIFS([1]Desglose_BOM_Componentes!$AD$2682:$AD$2691,[1]Desglose_BOM_Componentes!$B$2682:$B$2691,$A258,[1]Desglose_BOM_Componentes!$X$2682:$X$2691,"Formulación"))</f>
        <v>1.1882771428571428</v>
      </c>
      <c r="H258" s="4">
        <f>IF(COUNTIFS([1]Desglose_BOM_Componentes!$B$2682:$B$2691,$A258,[1]Desglose_BOM_Componentes!$AE$2682:$AE$2691,"Sin precio",[1]Desglose_BOM_Componentes!$X$2682:$X$2691,"Empaquetado")&gt;0,"n.d.",SUMIFS([1]Desglose_BOM_Componentes!$AD$2682:$AD$2691,[1]Desglose_BOM_Componentes!$B$2682:$B$2691,$A258,[1]Desglose_BOM_Componentes!$X$2682:$X$2691,"Empaquetado"))</f>
        <v>8.7293112195682837E-2</v>
      </c>
      <c r="I258" s="6">
        <f t="shared" si="23"/>
        <v>1.2755702550528256</v>
      </c>
      <c r="J258" s="1" t="str">
        <f t="shared" si="17"/>
        <v>Completo</v>
      </c>
      <c r="K258" s="1">
        <f>COUNTIFS([1]Desglose_BOM_Componentes!$B$2682:$B$2691,$A258,[1]Desglose_BOM_Componentes!$AE$2682:$AE$2691,"Sin precio")</f>
        <v>0</v>
      </c>
      <c r="L258" s="1" t="str">
        <f>IF('[1]Precios componentes'!D40="Sin precio","CCB; ","")&amp;IF('[1]Precios componentes'!D10="Sin precio","ADI; ","")&amp;IF('[1]Precios componentes'!D107="Sin precio","MGO; ","")&amp;IF('[1]Precios componentes'!D104="Sin precio","MAL; ","")&amp;IF('[1]Precios componentes'!D74="Sin precio","FOCA; ","")&amp;IF('[1]Precios componentes'!D135="Sin precio","SOBRE 20 K; ","")&amp;IF('[1]Precios componentes'!D94="Sin precio","KIA220; ","")&amp;IF('[1]Precios componentes'!D99="Sin precio","LAM3; ","")&amp;IF('[1]Precios componentes'!D115="Sin precio","PAL; ","")&amp;IF('[1]Precios componentes'!D34="Sin precio","CAG; ","")</f>
        <v/>
      </c>
    </row>
    <row r="259" spans="1:12" ht="22" customHeight="1">
      <c r="A259" s="1" t="s">
        <v>289</v>
      </c>
      <c r="B259" s="1" t="s">
        <v>68</v>
      </c>
      <c r="C259" s="1" t="s">
        <v>24</v>
      </c>
      <c r="D259" s="4">
        <f>IF(COUNTIFS([1]Desglose_BOM_Componentes!$B$2692:$B$2697,$A259,[1]Desglose_BOM_Componentes!$AE$2692:$AE$2697,"Sin precio",[1]Desglose_BOM_Componentes!$X$2692:$X$2697,"Formulación")&gt;0,"n.d.",SUMIFS([1]Desglose_BOM_Componentes!$AC$2692:$AC$2697,[1]Desglose_BOM_Componentes!$B$2692:$B$2697,$A259,[1]Desglose_BOM_Componentes!$X$2692:$X$2697,"Formulación"))</f>
        <v>0.49</v>
      </c>
      <c r="E259" s="4">
        <f>IF(COUNTIFS([1]Desglose_BOM_Componentes!$B$2692:$B$2697,$A259,[1]Desglose_BOM_Componentes!$AE$2692:$AE$2697,"Sin precio",[1]Desglose_BOM_Componentes!$X$2692:$X$2697,"Empaquetado")&gt;0,"n.d.",SUMIFS([1]Desglose_BOM_Componentes!$AC$2692:$AC$2697,[1]Desglose_BOM_Componentes!$B$2692:$B$2697,$A259,[1]Desglose_BOM_Componentes!$X$2692:$X$2697,"Empaquetado"))</f>
        <v>0.10354733439422743</v>
      </c>
      <c r="F259" s="6">
        <f t="shared" si="22"/>
        <v>0.59354733439422747</v>
      </c>
      <c r="G259" s="4">
        <f>IF(COUNTIFS([1]Desglose_BOM_Componentes!$B$2692:$B$2697,$A259,[1]Desglose_BOM_Componentes!$AE$2692:$AE$2697,"Sin precio",[1]Desglose_BOM_Componentes!$X$2692:$X$2697,"Formulación")&gt;0,"n.d.",SUMIFS([1]Desglose_BOM_Componentes!$AD$2692:$AD$2697,[1]Desglose_BOM_Componentes!$B$2692:$B$2697,$A259,[1]Desglose_BOM_Componentes!$X$2692:$X$2697,"Formulación"))</f>
        <v>0.48</v>
      </c>
      <c r="H259" s="4">
        <f>IF(COUNTIFS([1]Desglose_BOM_Componentes!$B$2692:$B$2697,$A259,[1]Desglose_BOM_Componentes!$AE$2692:$AE$2697,"Sin precio",[1]Desglose_BOM_Componentes!$X$2692:$X$2697,"Empaquetado")&gt;0,"n.d.",SUMIFS([1]Desglose_BOM_Componentes!$AD$2692:$AD$2697,[1]Desglose_BOM_Componentes!$B$2692:$B$2697,$A259,[1]Desglose_BOM_Componentes!$X$2692:$X$2697,"Empaquetado"))</f>
        <v>0.10354733439422743</v>
      </c>
      <c r="I259" s="6">
        <f t="shared" si="23"/>
        <v>0.58354733439422746</v>
      </c>
      <c r="J259" s="1" t="str">
        <f t="shared" si="17"/>
        <v>Completo</v>
      </c>
      <c r="K259" s="1">
        <f>COUNTIFS([1]Desglose_BOM_Componentes!$B$2692:$B$2697,$A259,[1]Desglose_BOM_Componentes!$AE$2692:$AE$2697,"Sin precio")</f>
        <v>0</v>
      </c>
      <c r="L259" s="1" t="str">
        <f>IF('[1]Precios componentes'!D25="Sin precio","BICAR;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60" spans="1:12" ht="22" customHeight="1">
      <c r="A260" s="1" t="s">
        <v>290</v>
      </c>
      <c r="B260" s="1" t="s">
        <v>18</v>
      </c>
      <c r="C260" s="1" t="s">
        <v>24</v>
      </c>
      <c r="D260" s="4">
        <f>IF(COUNTIFS([1]Desglose_BOM_Componentes!$B$2698:$B$2713,$A260,[1]Desglose_BOM_Componentes!$AE$2698:$AE$2713,"Sin precio",[1]Desglose_BOM_Componentes!$X$2698:$X$2713,"Formulación")&gt;0,"n.d.",SUMIFS([1]Desglose_BOM_Componentes!$AC$2698:$AC$2713,[1]Desglose_BOM_Componentes!$B$2698:$B$2713,$A260,[1]Desglose_BOM_Componentes!$X$2698:$X$2713,"Formulación"))</f>
        <v>0.78611600000000004</v>
      </c>
      <c r="E260" s="4">
        <f>IF(COUNTIFS([1]Desglose_BOM_Componentes!$B$2698:$B$2713,$A260,[1]Desglose_BOM_Componentes!$AE$2698:$AE$2713,"Sin precio",[1]Desglose_BOM_Componentes!$X$2698:$X$2713,"Empaquetado")&gt;0,"n.d.",SUMIFS([1]Desglose_BOM_Componentes!$AC$2698:$AC$2713,[1]Desglose_BOM_Componentes!$B$2698:$B$2713,$A260,[1]Desglose_BOM_Componentes!$X$2698:$X$2713,"Empaquetado"))</f>
        <v>1.0859479144143824</v>
      </c>
      <c r="F260" s="6">
        <f t="shared" ref="F260:F275" si="24">IF(K260&gt;0,"n.d.",SUM(D260:E260)+0.0042)</f>
        <v>1.8762639144143824</v>
      </c>
      <c r="G260" s="4">
        <f>IF(COUNTIFS([1]Desglose_BOM_Componentes!$B$2698:$B$2713,$A260,[1]Desglose_BOM_Componentes!$AE$2698:$AE$2713,"Sin precio",[1]Desglose_BOM_Componentes!$X$2698:$X$2713,"Formulación")&gt;0,"n.d.",SUMIFS([1]Desglose_BOM_Componentes!$AD$2698:$AD$2713,[1]Desglose_BOM_Componentes!$B$2698:$B$2713,$A260,[1]Desglose_BOM_Componentes!$X$2698:$X$2713,"Formulación"))</f>
        <v>0.67897814285714286</v>
      </c>
      <c r="H260" s="4">
        <f>IF(COUNTIFS([1]Desglose_BOM_Componentes!$B$2698:$B$2713,$A260,[1]Desglose_BOM_Componentes!$AE$2698:$AE$2713,"Sin precio",[1]Desglose_BOM_Componentes!$X$2698:$X$2713,"Empaquetado")&gt;0,"n.d.",SUMIFS([1]Desglose_BOM_Componentes!$AD$2698:$AD$2713,[1]Desglose_BOM_Componentes!$B$2698:$B$2713,$A260,[1]Desglose_BOM_Componentes!$X$2698:$X$2713,"Empaquetado"))</f>
        <v>0.95531458108104916</v>
      </c>
      <c r="I260" s="6">
        <f t="shared" ref="I260:I275" si="25">IF(K260&gt;0,"n.d.",SUM(G260:H260)+0.0042)</f>
        <v>1.6384927239381919</v>
      </c>
      <c r="J260" s="1" t="str">
        <f t="shared" si="17"/>
        <v>Completo</v>
      </c>
      <c r="K260" s="1">
        <f>COUNTIFS([1]Desglose_BOM_Componentes!$B$2698:$B$2713,$A260,[1]Desglose_BOM_Componentes!$AE$2698:$AE$2713,"Sin precio")</f>
        <v>0</v>
      </c>
      <c r="L260" s="1" t="str">
        <f>IF('[1]Precios componentes'!D13="Sin precio","AMO; ","")&amp;IF('[1]Precios componentes'!D103="Sin precio","LIGNOAM; ","")&amp;IF('[1]Precios componentes'!D125="Sin precio","SAL; ","")&amp;IF('[1]Precios componentes'!D104="Sin precio","MAL; ","")&amp;IF('[1]Precios componentes'!D133="Sin precio","SMN; ","")&amp;IF('[1]Precios componentes'!D141="Sin precio","SZMO; ","")&amp;IF('[1]Precios componentes'!D154="Sin precio","URE; ","")&amp;IF('[1]Precios componentes'!D84="Sin precio","GLUSO; ","")&amp;IF('[1]Precios componentes'!D93="Sin precio","KF78; ","")&amp;IF('[1]Precios componentes'!D24="Sin precio","BET;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261" spans="1:12" ht="22" customHeight="1">
      <c r="A261" s="1" t="s">
        <v>291</v>
      </c>
      <c r="B261" s="1" t="s">
        <v>18</v>
      </c>
      <c r="C261" s="1" t="s">
        <v>24</v>
      </c>
      <c r="D261" s="4">
        <f>IF(COUNTIFS([1]Desglose_BOM_Componentes!$B$2714:$B$2729,$A261,[1]Desglose_BOM_Componentes!$AE$2714:$AE$2729,"Sin precio",[1]Desglose_BOM_Componentes!$X$2714:$X$2729,"Formulación")&gt;0,"n.d.",SUMIFS([1]Desglose_BOM_Componentes!$AC$2714:$AC$2729,[1]Desglose_BOM_Componentes!$B$2714:$B$2729,$A261,[1]Desglose_BOM_Componentes!$X$2714:$X$2729,"Formulación"))</f>
        <v>0.78611600000000004</v>
      </c>
      <c r="E261" s="4">
        <f>IF(COUNTIFS([1]Desglose_BOM_Componentes!$B$2714:$B$2729,$A261,[1]Desglose_BOM_Componentes!$AE$2714:$AE$2729,"Sin precio",[1]Desglose_BOM_Componentes!$X$2714:$X$2729,"Empaquetado")&gt;0,"n.d.",SUMIFS([1]Desglose_BOM_Componentes!$AC$2714:$AC$2729,[1]Desglose_BOM_Componentes!$B$2714:$B$2729,$A261,[1]Desglose_BOM_Componentes!$X$2714:$X$2729,"Empaquetado"))</f>
        <v>0.33288466819407259</v>
      </c>
      <c r="F261" s="6">
        <f t="shared" si="24"/>
        <v>1.1232006681940727</v>
      </c>
      <c r="G261" s="4">
        <f>IF(COUNTIFS([1]Desglose_BOM_Componentes!$B$2714:$B$2729,$A261,[1]Desglose_BOM_Componentes!$AE$2714:$AE$2729,"Sin precio",[1]Desglose_BOM_Componentes!$X$2714:$X$2729,"Formulación")&gt;0,"n.d.",SUMIFS([1]Desglose_BOM_Componentes!$AD$2714:$AD$2729,[1]Desglose_BOM_Componentes!$B$2714:$B$2729,$A261,[1]Desglose_BOM_Componentes!$X$2714:$X$2729,"Formulación"))</f>
        <v>0.67897814285714286</v>
      </c>
      <c r="H261" s="4">
        <f>IF(COUNTIFS([1]Desglose_BOM_Componentes!$B$2714:$B$2729,$A261,[1]Desglose_BOM_Componentes!$AE$2714:$AE$2729,"Sin precio",[1]Desglose_BOM_Componentes!$X$2714:$X$2729,"Empaquetado")&gt;0,"n.d.",SUMIFS([1]Desglose_BOM_Componentes!$AD$2714:$AD$2729,[1]Desglose_BOM_Componentes!$B$2714:$B$2729,$A261,[1]Desglose_BOM_Componentes!$X$2714:$X$2729,"Empaquetado"))</f>
        <v>0.33288466819407259</v>
      </c>
      <c r="I261" s="6">
        <f t="shared" si="25"/>
        <v>1.0160628110512153</v>
      </c>
      <c r="J261" s="1" t="str">
        <f t="shared" ref="J261:J324" si="26">IF(K261=0,"Completo","Pendiente")</f>
        <v>Completo</v>
      </c>
      <c r="K261" s="1">
        <f>COUNTIFS([1]Desglose_BOM_Componentes!$B$2714:$B$2729,$A261,[1]Desglose_BOM_Componentes!$AE$2714:$AE$2729,"Sin precio")</f>
        <v>0</v>
      </c>
      <c r="L261" s="1" t="str">
        <f>IF('[1]Precios componentes'!D13="Sin precio","AMO; ","")&amp;IF('[1]Precios componentes'!D103="Sin precio","LIGNOAM; ","")&amp;IF('[1]Precios componentes'!D125="Sin precio","SAL; ","")&amp;IF('[1]Precios componentes'!D104="Sin precio","MAL; ","")&amp;IF('[1]Precios componentes'!D133="Sin precio","SMN; ","")&amp;IF('[1]Precios componentes'!D141="Sin precio","SZMO; ","")&amp;IF('[1]Precios componentes'!D154="Sin precio","URE; ","")&amp;IF('[1]Precios componentes'!D84="Sin precio","GLUSO; ","")&amp;IF('[1]Precios componentes'!D93="Sin precio","KF78; ","")&amp;IF('[1]Precios componentes'!D24="Sin precio","BET;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262" spans="1:12" ht="22" customHeight="1">
      <c r="A262" s="1" t="s">
        <v>292</v>
      </c>
      <c r="B262" s="1" t="s">
        <v>18</v>
      </c>
      <c r="C262" s="1" t="s">
        <v>19</v>
      </c>
      <c r="D262" s="4">
        <f>IF(COUNTIFS([1]Desglose_BOM_Componentes!$B$2730:$B$2745,$A262,[1]Desglose_BOM_Componentes!$AE$2730:$AE$2745,"Sin precio",[1]Desglose_BOM_Componentes!$X$2730:$X$2745,"Formulación")&gt;0,"n.d.",SUMIFS([1]Desglose_BOM_Componentes!$AC$2730:$AC$2745,[1]Desglose_BOM_Componentes!$B$2730:$B$2745,$A262,[1]Desglose_BOM_Componentes!$X$2730:$X$2745,"Formulación"))</f>
        <v>0.78611600000000004</v>
      </c>
      <c r="E262" s="4">
        <f>IF(COUNTIFS([1]Desglose_BOM_Componentes!$B$2730:$B$2745,$A262,[1]Desglose_BOM_Componentes!$AE$2730:$AE$2745,"Sin precio",[1]Desglose_BOM_Componentes!$X$2730:$X$2745,"Empaquetado")&gt;0,"n.d.",SUMIFS([1]Desglose_BOM_Componentes!$AC$2730:$AC$2745,[1]Desglose_BOM_Componentes!$B$2730:$B$2745,$A262,[1]Desglose_BOM_Componentes!$X$2730:$X$2745,"Empaquetado"))</f>
        <v>0.33288466819407259</v>
      </c>
      <c r="F262" s="6">
        <f t="shared" si="24"/>
        <v>1.1232006681940727</v>
      </c>
      <c r="G262" s="4">
        <f>IF(COUNTIFS([1]Desglose_BOM_Componentes!$B$2730:$B$2745,$A262,[1]Desglose_BOM_Componentes!$AE$2730:$AE$2745,"Sin precio",[1]Desglose_BOM_Componentes!$X$2730:$X$2745,"Formulación")&gt;0,"n.d.",SUMIFS([1]Desglose_BOM_Componentes!$AD$2730:$AD$2745,[1]Desglose_BOM_Componentes!$B$2730:$B$2745,$A262,[1]Desglose_BOM_Componentes!$X$2730:$X$2745,"Formulación"))</f>
        <v>0.67897814285714286</v>
      </c>
      <c r="H262" s="4">
        <f>IF(COUNTIFS([1]Desglose_BOM_Componentes!$B$2730:$B$2745,$A262,[1]Desglose_BOM_Componentes!$AE$2730:$AE$2745,"Sin precio",[1]Desglose_BOM_Componentes!$X$2730:$X$2745,"Empaquetado")&gt;0,"n.d.",SUMIFS([1]Desglose_BOM_Componentes!$AD$2730:$AD$2745,[1]Desglose_BOM_Componentes!$B$2730:$B$2745,$A262,[1]Desglose_BOM_Componentes!$X$2730:$X$2745,"Empaquetado"))</f>
        <v>0.33288466819407259</v>
      </c>
      <c r="I262" s="6">
        <f t="shared" si="25"/>
        <v>1.0160628110512153</v>
      </c>
      <c r="J262" s="1" t="str">
        <f t="shared" si="26"/>
        <v>Completo</v>
      </c>
      <c r="K262" s="1">
        <f>COUNTIFS([1]Desglose_BOM_Componentes!$B$2730:$B$2745,$A262,[1]Desglose_BOM_Componentes!$AE$2730:$AE$2745,"Sin precio")</f>
        <v>0</v>
      </c>
      <c r="L262" s="1" t="str">
        <f>IF('[1]Precios componentes'!D13="Sin precio","AMO; ","")&amp;IF('[1]Precios componentes'!D103="Sin precio","LIGNOAM; ","")&amp;IF('[1]Precios componentes'!D125="Sin precio","SAL; ","")&amp;IF('[1]Precios componentes'!D104="Sin precio","MAL; ","")&amp;IF('[1]Precios componentes'!D133="Sin precio","SMN; ","")&amp;IF('[1]Precios componentes'!D141="Sin precio","SZMO; ","")&amp;IF('[1]Precios componentes'!D154="Sin precio","URE; ","")&amp;IF('[1]Precios componentes'!D84="Sin precio","GLUSO; ","")&amp;IF('[1]Precios componentes'!D93="Sin precio","KF78; ","")&amp;IF('[1]Precios componentes'!D24="Sin precio","BET;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263" spans="1:12" ht="22" customHeight="1">
      <c r="A263" s="1" t="s">
        <v>293</v>
      </c>
      <c r="B263" s="1" t="s">
        <v>18</v>
      </c>
      <c r="C263" s="1" t="s">
        <v>24</v>
      </c>
      <c r="D263" s="4">
        <f>IF(COUNTIFS([1]Desglose_BOM_Componentes!$B$2746:$B$2760,$A263,[1]Desglose_BOM_Componentes!$AE$2746:$AE$2760,"Sin precio",[1]Desglose_BOM_Componentes!$X$2746:$X$2760,"Formulación")&gt;0,"n.d.",SUMIFS([1]Desglose_BOM_Componentes!$AC$2746:$AC$2760,[1]Desglose_BOM_Componentes!$B$2746:$B$2760,$A263,[1]Desglose_BOM_Componentes!$X$2746:$X$2760,"Formulación"))</f>
        <v>0.78611600000000004</v>
      </c>
      <c r="E263" s="4">
        <f>IF(COUNTIFS([1]Desglose_BOM_Componentes!$B$2746:$B$2760,$A263,[1]Desglose_BOM_Componentes!$AE$2746:$AE$2760,"Sin precio",[1]Desglose_BOM_Componentes!$X$2746:$X$2760,"Empaquetado")&gt;0,"n.d.",SUMIFS([1]Desglose_BOM_Componentes!$AC$2746:$AC$2760,[1]Desglose_BOM_Componentes!$B$2746:$B$2760,$A263,[1]Desglose_BOM_Componentes!$X$2746:$X$2760,"Empaquetado"))</f>
        <v>0.24326489794470366</v>
      </c>
      <c r="F263" s="6">
        <f t="shared" si="24"/>
        <v>1.0335808979447036</v>
      </c>
      <c r="G263" s="4">
        <f>IF(COUNTIFS([1]Desglose_BOM_Componentes!$B$2746:$B$2760,$A263,[1]Desglose_BOM_Componentes!$AE$2746:$AE$2760,"Sin precio",[1]Desglose_BOM_Componentes!$X$2746:$X$2760,"Formulación")&gt;0,"n.d.",SUMIFS([1]Desglose_BOM_Componentes!$AD$2746:$AD$2760,[1]Desglose_BOM_Componentes!$B$2746:$B$2760,$A263,[1]Desglose_BOM_Componentes!$X$2746:$X$2760,"Formulación"))</f>
        <v>0.67897814285714286</v>
      </c>
      <c r="H263" s="4">
        <f>IF(COUNTIFS([1]Desglose_BOM_Componentes!$B$2746:$B$2760,$A263,[1]Desglose_BOM_Componentes!$AE$2746:$AE$2760,"Sin precio",[1]Desglose_BOM_Componentes!$X$2746:$X$2760,"Empaquetado")&gt;0,"n.d.",SUMIFS([1]Desglose_BOM_Componentes!$AD$2746:$AD$2760,[1]Desglose_BOM_Componentes!$B$2746:$B$2760,$A263,[1]Desglose_BOM_Componentes!$X$2746:$X$2760,"Empaquetado"))</f>
        <v>0.24326489794470366</v>
      </c>
      <c r="I263" s="6">
        <f t="shared" si="25"/>
        <v>0.92644304080184647</v>
      </c>
      <c r="J263" s="1" t="str">
        <f t="shared" si="26"/>
        <v>Completo</v>
      </c>
      <c r="K263" s="1">
        <f>COUNTIFS([1]Desglose_BOM_Componentes!$B$2746:$B$2760,$A263,[1]Desglose_BOM_Componentes!$AE$2746:$AE$2760,"Sin precio")</f>
        <v>0</v>
      </c>
      <c r="L263" s="1" t="str">
        <f>IF('[1]Precios componentes'!D13="Sin precio","AMO; ","")&amp;IF('[1]Precios componentes'!D103="Sin precio","LIGNOAM; ","")&amp;IF('[1]Precios componentes'!D125="Sin precio","SAL; ","")&amp;IF('[1]Precios componentes'!D104="Sin precio","MAL; ","")&amp;IF('[1]Precios componentes'!D133="Sin precio","SMN; ","")&amp;IF('[1]Precios componentes'!D141="Sin precio","SZMO; ","")&amp;IF('[1]Precios componentes'!D154="Sin precio","URE; ","")&amp;IF('[1]Precios componentes'!D84="Sin precio","GLUSO; ","")&amp;IF('[1]Precios componentes'!D93="Sin precio","KF78; ","")&amp;IF('[1]Precios componentes'!D24="Sin precio","BET;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264" spans="1:12" ht="22" customHeight="1">
      <c r="A264" s="1" t="s">
        <v>294</v>
      </c>
      <c r="B264" s="1" t="s">
        <v>18</v>
      </c>
      <c r="C264" s="1" t="s">
        <v>84</v>
      </c>
      <c r="D264" s="4">
        <f>IF(COUNTIFS([1]Desglose_BOM_Componentes!$B$2761:$B$2775,$A264,[1]Desglose_BOM_Componentes!$AE$2761:$AE$2775,"Sin precio",[1]Desglose_BOM_Componentes!$X$2761:$X$2775,"Formulación")&gt;0,"n.d.",SUMIFS([1]Desglose_BOM_Componentes!$AC$2761:$AC$2775,[1]Desglose_BOM_Componentes!$B$2761:$B$2775,$A264,[1]Desglose_BOM_Componentes!$X$2761:$X$2775,"Formulación"))</f>
        <v>0.78611600000000004</v>
      </c>
      <c r="E264" s="4">
        <f>IF(COUNTIFS([1]Desglose_BOM_Componentes!$B$2761:$B$2775,$A264,[1]Desglose_BOM_Componentes!$AE$2761:$AE$2775,"Sin precio",[1]Desglose_BOM_Componentes!$X$2761:$X$2775,"Empaquetado")&gt;0,"n.d.",SUMIFS([1]Desglose_BOM_Componentes!$AC$2761:$AC$2775,[1]Desglose_BOM_Componentes!$B$2761:$B$2775,$A264,[1]Desglose_BOM_Componentes!$X$2761:$X$2775,"Empaquetado"))</f>
        <v>0.24326489794470366</v>
      </c>
      <c r="F264" s="6">
        <f t="shared" si="24"/>
        <v>1.0335808979447036</v>
      </c>
      <c r="G264" s="4">
        <f>IF(COUNTIFS([1]Desglose_BOM_Componentes!$B$2761:$B$2775,$A264,[1]Desglose_BOM_Componentes!$AE$2761:$AE$2775,"Sin precio",[1]Desglose_BOM_Componentes!$X$2761:$X$2775,"Formulación")&gt;0,"n.d.",SUMIFS([1]Desglose_BOM_Componentes!$AD$2761:$AD$2775,[1]Desglose_BOM_Componentes!$B$2761:$B$2775,$A264,[1]Desglose_BOM_Componentes!$X$2761:$X$2775,"Formulación"))</f>
        <v>0.67897814285714286</v>
      </c>
      <c r="H264" s="4">
        <f>IF(COUNTIFS([1]Desglose_BOM_Componentes!$B$2761:$B$2775,$A264,[1]Desglose_BOM_Componentes!$AE$2761:$AE$2775,"Sin precio",[1]Desglose_BOM_Componentes!$X$2761:$X$2775,"Empaquetado")&gt;0,"n.d.",SUMIFS([1]Desglose_BOM_Componentes!$AD$2761:$AD$2775,[1]Desglose_BOM_Componentes!$B$2761:$B$2775,$A264,[1]Desglose_BOM_Componentes!$X$2761:$X$2775,"Empaquetado"))</f>
        <v>0.24326489794470366</v>
      </c>
      <c r="I264" s="6">
        <f t="shared" si="25"/>
        <v>0.92644304080184647</v>
      </c>
      <c r="J264" s="1" t="str">
        <f t="shared" si="26"/>
        <v>Completo</v>
      </c>
      <c r="K264" s="1">
        <f>COUNTIFS([1]Desglose_BOM_Componentes!$B$2761:$B$2775,$A264,[1]Desglose_BOM_Componentes!$AE$2761:$AE$2775,"Sin precio")</f>
        <v>0</v>
      </c>
      <c r="L264" s="1" t="str">
        <f>IF('[1]Precios componentes'!D13="Sin precio","AMO; ","")&amp;IF('[1]Precios componentes'!D103="Sin precio","LIGNOAM; ","")&amp;IF('[1]Precios componentes'!D125="Sin precio","SAL; ","")&amp;IF('[1]Precios componentes'!D104="Sin precio","MAL; ","")&amp;IF('[1]Precios componentes'!D133="Sin precio","SMN; ","")&amp;IF('[1]Precios componentes'!D141="Sin precio","SZMO; ","")&amp;IF('[1]Precios componentes'!D154="Sin precio","URE; ","")&amp;IF('[1]Precios componentes'!D84="Sin precio","GLUSO; ","")&amp;IF('[1]Precios componentes'!D93="Sin precio","KF78; ","")&amp;IF('[1]Precios componentes'!D24="Sin precio","BET;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265" spans="1:12" ht="22" customHeight="1">
      <c r="A265" s="1" t="s">
        <v>295</v>
      </c>
      <c r="B265" s="1" t="s">
        <v>18</v>
      </c>
      <c r="C265" s="1" t="s">
        <v>84</v>
      </c>
      <c r="D265" s="4">
        <f>IF(COUNTIFS([1]Desglose_BOM_Componentes!$B$2788:$B$2799,$A265,[1]Desglose_BOM_Componentes!$AE$2788:$AE$2799,"Sin precio",[1]Desglose_BOM_Componentes!$X$2788:$X$2799,"Formulación")&gt;0,"n.d.",SUMIFS([1]Desglose_BOM_Componentes!$AC$2788:$AC$2799,[1]Desglose_BOM_Componentes!$B$2788:$B$2799,$A265,[1]Desglose_BOM_Componentes!$X$2788:$X$2799,"Formulación"))</f>
        <v>1.6048449999999999</v>
      </c>
      <c r="E265" s="4">
        <f>IF(COUNTIFS([1]Desglose_BOM_Componentes!$B$2788:$B$2799,$A265,[1]Desglose_BOM_Componentes!$AE$2788:$AE$2799,"Sin precio",[1]Desglose_BOM_Componentes!$X$2788:$X$2799,"Empaquetado")&gt;0,"n.d.",SUMIFS([1]Desglose_BOM_Componentes!$AC$2788:$AC$2799,[1]Desglose_BOM_Componentes!$B$2788:$B$2799,$A265,[1]Desglose_BOM_Componentes!$X$2788:$X$2799,"Empaquetado"))</f>
        <v>0.90089800050253677</v>
      </c>
      <c r="F265" s="6">
        <f t="shared" si="24"/>
        <v>2.5099430005025365</v>
      </c>
      <c r="G265" s="4">
        <f>IF(COUNTIFS([1]Desglose_BOM_Componentes!$B$2788:$B$2799,$A265,[1]Desglose_BOM_Componentes!$AE$2788:$AE$2799,"Sin precio",[1]Desglose_BOM_Componentes!$X$2788:$X$2799,"Formulación")&gt;0,"n.d.",SUMIFS([1]Desglose_BOM_Componentes!$AD$2788:$AD$2799,[1]Desglose_BOM_Componentes!$B$2788:$B$2799,$A265,[1]Desglose_BOM_Componentes!$X$2788:$X$2799,"Formulación"))</f>
        <v>1.5973364285714287</v>
      </c>
      <c r="H265" s="4">
        <f>IF(COUNTIFS([1]Desglose_BOM_Componentes!$B$2788:$B$2799,$A265,[1]Desglose_BOM_Componentes!$AE$2788:$AE$2799,"Sin precio",[1]Desglose_BOM_Componentes!$X$2788:$X$2799,"Empaquetado")&gt;0,"n.d.",SUMIFS([1]Desglose_BOM_Componentes!$AD$2788:$AD$2799,[1]Desglose_BOM_Componentes!$B$2788:$B$2799,$A265,[1]Desglose_BOM_Componentes!$X$2788:$X$2799,"Empaquetado"))</f>
        <v>0.90089800050253677</v>
      </c>
      <c r="I265" s="6">
        <f t="shared" si="25"/>
        <v>2.5024344290739653</v>
      </c>
      <c r="J265" s="1" t="str">
        <f t="shared" si="26"/>
        <v>Completo</v>
      </c>
      <c r="K265" s="1">
        <f>COUNTIFS([1]Desglose_BOM_Componentes!$B$2788:$B$2799,$A265,[1]Desglose_BOM_Componentes!$AE$2788:$AE$2799,"Sin precio")</f>
        <v>0</v>
      </c>
      <c r="L265" s="1" t="str">
        <f>IF('[1]Precios componentes'!D9="Sin precio","ACIT; ","")&amp;IF('[1]Precios componentes'!D142="Sin precio","TCG50; ","")&amp;IF('[1]Precios componentes'!D80="Sin precio","GLI; ","")&amp;IF('[1]Precios componentes'!D44="Sin precio","CMC500; ","")&amp;IF('[1]Precios componentes'!D143="Sin precio","TIB; ","")&amp;IF('[1]Precios componentes'!D14="Sin precio","ANTI;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266" spans="1:12" ht="22" customHeight="1">
      <c r="A266" s="1" t="s">
        <v>296</v>
      </c>
      <c r="B266" s="1" t="s">
        <v>18</v>
      </c>
      <c r="C266" s="1" t="s">
        <v>24</v>
      </c>
      <c r="D266" s="4">
        <f>IF(COUNTIFS([1]Desglose_BOM_Componentes!$B$2800:$B$2811,$A266,[1]Desglose_BOM_Componentes!$AE$2800:$AE$2811,"Sin precio",[1]Desglose_BOM_Componentes!$X$2800:$X$2811,"Formulación")&gt;0,"n.d.",SUMIFS([1]Desglose_BOM_Componentes!$AC$2800:$AC$2811,[1]Desglose_BOM_Componentes!$B$2800:$B$2811,$A266,[1]Desglose_BOM_Componentes!$X$2800:$X$2811,"Formulación"))</f>
        <v>1.6048449999999999</v>
      </c>
      <c r="E266" s="4">
        <f>IF(COUNTIFS([1]Desglose_BOM_Componentes!$B$2800:$B$2811,$A266,[1]Desglose_BOM_Componentes!$AE$2800:$AE$2811,"Sin precio",[1]Desglose_BOM_Componentes!$X$2800:$X$2811,"Empaquetado")&gt;0,"n.d.",SUMIFS([1]Desglose_BOM_Componentes!$AC$2800:$AC$2811,[1]Desglose_BOM_Componentes!$B$2800:$B$2811,$A266,[1]Desglose_BOM_Componentes!$X$2800:$X$2811,"Empaquetado"))</f>
        <v>0.33288466819407259</v>
      </c>
      <c r="F266" s="6">
        <f t="shared" si="24"/>
        <v>1.9419296681940725</v>
      </c>
      <c r="G266" s="4">
        <f>IF(COUNTIFS([1]Desglose_BOM_Componentes!$B$2800:$B$2811,$A266,[1]Desglose_BOM_Componentes!$AE$2800:$AE$2811,"Sin precio",[1]Desglose_BOM_Componentes!$X$2800:$X$2811,"Formulación")&gt;0,"n.d.",SUMIFS([1]Desglose_BOM_Componentes!$AD$2800:$AD$2811,[1]Desglose_BOM_Componentes!$B$2800:$B$2811,$A266,[1]Desglose_BOM_Componentes!$X$2800:$X$2811,"Formulación"))</f>
        <v>1.5973364285714287</v>
      </c>
      <c r="H266" s="4">
        <f>IF(COUNTIFS([1]Desglose_BOM_Componentes!$B$2800:$B$2811,$A266,[1]Desglose_BOM_Componentes!$AE$2800:$AE$2811,"Sin precio",[1]Desglose_BOM_Componentes!$X$2800:$X$2811,"Empaquetado")&gt;0,"n.d.",SUMIFS([1]Desglose_BOM_Componentes!$AD$2800:$AD$2811,[1]Desglose_BOM_Componentes!$B$2800:$B$2811,$A266,[1]Desglose_BOM_Componentes!$X$2800:$X$2811,"Empaquetado"))</f>
        <v>0.33288466819407259</v>
      </c>
      <c r="I266" s="6">
        <f t="shared" si="25"/>
        <v>1.9344210967655013</v>
      </c>
      <c r="J266" s="1" t="str">
        <f t="shared" si="26"/>
        <v>Completo</v>
      </c>
      <c r="K266" s="1">
        <f>COUNTIFS([1]Desglose_BOM_Componentes!$B$2800:$B$2811,$A266,[1]Desglose_BOM_Componentes!$AE$2800:$AE$2811,"Sin precio")</f>
        <v>0</v>
      </c>
      <c r="L266" s="1" t="str">
        <f>IF('[1]Precios componentes'!D9="Sin precio","ACIT; ","")&amp;IF('[1]Precios componentes'!D142="Sin precio","TCG50; ","")&amp;IF('[1]Precios componentes'!D80="Sin precio","GLI; ","")&amp;IF('[1]Precios componentes'!D44="Sin precio","CMC500; ","")&amp;IF('[1]Precios componentes'!D143="Sin precio","TIB; ","")&amp;IF('[1]Precios componentes'!D14="Sin precio","ANTI;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267" spans="1:12" ht="22" customHeight="1">
      <c r="A267" s="1" t="s">
        <v>297</v>
      </c>
      <c r="B267" s="1" t="s">
        <v>18</v>
      </c>
      <c r="C267" s="1" t="s">
        <v>79</v>
      </c>
      <c r="D267" s="4">
        <f>IF(COUNTIFS([1]Desglose_BOM_Componentes!$B$2776:$B$2787,$A267,[1]Desglose_BOM_Componentes!$AE$2776:$AE$2787,"Sin precio",[1]Desglose_BOM_Componentes!$X$2776:$X$2787,"Formulación")&gt;0,"n.d.",SUMIFS([1]Desglose_BOM_Componentes!$AC$2776:$AC$2787,[1]Desglose_BOM_Componentes!$B$2776:$B$2787,$A267,[1]Desglose_BOM_Componentes!$X$2776:$X$2787,"Formulación"))</f>
        <v>0.57665200000000005</v>
      </c>
      <c r="E267" s="4">
        <f>IF(COUNTIFS([1]Desglose_BOM_Componentes!$B$2776:$B$2787,$A267,[1]Desglose_BOM_Componentes!$AE$2776:$AE$2787,"Sin precio",[1]Desglose_BOM_Componentes!$X$2776:$X$2787,"Empaquetado")&gt;0,"n.d.",SUMIFS([1]Desglose_BOM_Componentes!$AC$2776:$AC$2787,[1]Desglose_BOM_Componentes!$B$2776:$B$2787,$A267,[1]Desglose_BOM_Componentes!$X$2776:$X$2787,"Empaquetado"))</f>
        <v>0.44289717071017565</v>
      </c>
      <c r="F267" s="6">
        <f t="shared" si="24"/>
        <v>1.0237491707101758</v>
      </c>
      <c r="G267" s="4">
        <f>IF(COUNTIFS([1]Desglose_BOM_Componentes!$B$2776:$B$2787,$A267,[1]Desglose_BOM_Componentes!$AE$2776:$AE$2787,"Sin precio",[1]Desglose_BOM_Componentes!$X$2776:$X$2787,"Formulación")&gt;0,"n.d.",SUMIFS([1]Desglose_BOM_Componentes!$AD$2776:$AD$2787,[1]Desglose_BOM_Componentes!$B$2776:$B$2787,$A267,[1]Desglose_BOM_Componentes!$X$2776:$X$2787,"Formulación"))</f>
        <v>0.41127800000000003</v>
      </c>
      <c r="H267" s="4">
        <f>IF(COUNTIFS([1]Desglose_BOM_Componentes!$B$2776:$B$2787,$A267,[1]Desglose_BOM_Componentes!$AE$2776:$AE$2787,"Sin precio",[1]Desglose_BOM_Componentes!$X$2776:$X$2787,"Empaquetado")&gt;0,"n.d.",SUMIFS([1]Desglose_BOM_Componentes!$AD$2776:$AD$2787,[1]Desglose_BOM_Componentes!$B$2776:$B$2787,$A267,[1]Desglose_BOM_Componentes!$X$2776:$X$2787,"Empaquetado"))</f>
        <v>0.44289717071017565</v>
      </c>
      <c r="I267" s="6">
        <f t="shared" si="25"/>
        <v>0.85837517071017566</v>
      </c>
      <c r="J267" s="1" t="str">
        <f t="shared" si="26"/>
        <v>Completo</v>
      </c>
      <c r="K267" s="1">
        <f>COUNTIFS([1]Desglose_BOM_Componentes!$B$2776:$B$2787,$A267,[1]Desglose_BOM_Componentes!$AE$2776:$AE$2787,"Sin precio")</f>
        <v>0</v>
      </c>
      <c r="L267" s="1" t="str">
        <f>IF('[1]Precios componentes'!D93="Sin precio","KF78; ","")&amp;IF('[1]Precios componentes'!D11="Sin precio","AGUA; ","")&amp;IF('[1]Precios componentes'!D123="Sin precio","ROL; ","")&amp;IF('[1]Precios componentes'!D80="Sin precio","GLI; ","")&amp;IF('[1]Precios componentes'!D44="Sin precio","CMC500; ","")&amp;IF('[1]Precios componentes'!D81="Sin precio","GLINA; ","")&amp;IF('[1]Precios componentes'!D137="Sin precio","SOBRE 5L; ","")&amp;IF('[1]Precios componentes'!D115="Sin precio","PAL; ","")&amp;IF('[1]Precios componentes'!D94="Sin precio","KIA220; ","")&amp;IF('[1]Precios componentes'!D63="Sin precio","ENV5220G; ","")&amp;IF('[1]Precios componentes'!D34="Sin precio","CAG; ","")&amp;IF('[1]Precios componentes'!D149="Sin precio","TPD63I; ","")</f>
        <v/>
      </c>
    </row>
    <row r="268" spans="1:12" ht="22" customHeight="1">
      <c r="A268" s="1" t="s">
        <v>298</v>
      </c>
      <c r="B268" s="1" t="s">
        <v>18</v>
      </c>
      <c r="C268" s="1" t="s">
        <v>81</v>
      </c>
      <c r="D268" s="4">
        <f>IF(COUNTIFS([1]Desglose_BOM_Componentes!$B$2812:$B$2822,$A268,[1]Desglose_BOM_Componentes!$AE$2812:$AE$2822,"Sin precio",[1]Desglose_BOM_Componentes!$X$2812:$X$2822,"Formulación")&gt;0,"n.d.",SUMIFS([1]Desglose_BOM_Componentes!$AC$2812:$AC$2822,[1]Desglose_BOM_Componentes!$B$2812:$B$2822,$A268,[1]Desglose_BOM_Componentes!$X$2812:$X$2822,"Formulación"))</f>
        <v>1.3004999999999998</v>
      </c>
      <c r="E268" s="4">
        <f>IF(COUNTIFS([1]Desglose_BOM_Componentes!$B$2812:$B$2822,$A268,[1]Desglose_BOM_Componentes!$AE$2812:$AE$2822,"Sin precio",[1]Desglose_BOM_Componentes!$X$2812:$X$2822,"Empaquetado")&gt;0,"n.d.",SUMIFS([1]Desglose_BOM_Componentes!$AC$2812:$AC$2822,[1]Desglose_BOM_Componentes!$B$2812:$B$2822,$A268,[1]Desglose_BOM_Componentes!$X$2812:$X$2822,"Empaquetado"))</f>
        <v>0.75344791441438252</v>
      </c>
      <c r="F268" s="6">
        <f t="shared" si="24"/>
        <v>2.0581479144143824</v>
      </c>
      <c r="G268" s="4">
        <f>IF(COUNTIFS([1]Desglose_BOM_Componentes!$B$2812:$B$2822,$A268,[1]Desglose_BOM_Componentes!$AE$2812:$AE$2822,"Sin precio",[1]Desglose_BOM_Componentes!$X$2812:$X$2822,"Formulación")&gt;0,"n.d.",SUMIFS([1]Desglose_BOM_Componentes!$AD$2812:$AD$2822,[1]Desglose_BOM_Componentes!$B$2812:$B$2822,$A268,[1]Desglose_BOM_Componentes!$X$2812:$X$2822,"Formulación"))</f>
        <v>1.0861666666666667</v>
      </c>
      <c r="H268" s="4">
        <f>IF(COUNTIFS([1]Desglose_BOM_Componentes!$B$2812:$B$2822,$A268,[1]Desglose_BOM_Componentes!$AE$2812:$AE$2822,"Sin precio",[1]Desglose_BOM_Componentes!$X$2812:$X$2822,"Empaquetado")&gt;0,"n.d.",SUMIFS([1]Desglose_BOM_Componentes!$AD$2812:$AD$2822,[1]Desglose_BOM_Componentes!$B$2812:$B$2822,$A268,[1]Desglose_BOM_Componentes!$X$2812:$X$2822,"Empaquetado"))</f>
        <v>0.75344791441438252</v>
      </c>
      <c r="I268" s="6">
        <f t="shared" si="25"/>
        <v>1.8438145810810491</v>
      </c>
      <c r="J268" s="1" t="str">
        <f t="shared" si="26"/>
        <v>Completo</v>
      </c>
      <c r="K268" s="1">
        <f>COUNTIFS([1]Desglose_BOM_Componentes!$B$2812:$B$2822,$A268,[1]Desglose_BOM_Componentes!$AE$2812:$AE$2822,"Sin precio")</f>
        <v>0</v>
      </c>
      <c r="L268" s="1" t="str">
        <f>IF('[1]Precios componentes'!D82="Sin precio","GLUCONIC; ","")&amp;IF('[1]Precios componentes'!D11="Sin precio","AGUA; ","")&amp;IF('[1]Precios componentes'!D58="Sin precio","EDTAZN; ","")&amp;IF('[1]Precios componentes'!D55="Sin precio","EDTACU; ","")&amp;IF('[1]Precios componentes'!D120="Sin precio","PROS;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69" spans="1:12" ht="22" customHeight="1">
      <c r="A269" s="1" t="s">
        <v>299</v>
      </c>
      <c r="B269" s="1" t="s">
        <v>18</v>
      </c>
      <c r="C269" s="1" t="s">
        <v>81</v>
      </c>
      <c r="D269" s="4">
        <f>IF(COUNTIFS([1]Desglose_BOM_Componentes!$B$2823:$B$2833,$A269,[1]Desglose_BOM_Componentes!$AE$2823:$AE$2833,"Sin precio",[1]Desglose_BOM_Componentes!$X$2823:$X$2833,"Formulación")&gt;0,"n.d.",SUMIFS([1]Desglose_BOM_Componentes!$AC$2823:$AC$2833,[1]Desglose_BOM_Componentes!$B$2823:$B$2833,$A269,[1]Desglose_BOM_Componentes!$X$2823:$X$2833,"Formulación"))</f>
        <v>1.3004999999999998</v>
      </c>
      <c r="E269" s="4">
        <f>IF(COUNTIFS([1]Desglose_BOM_Componentes!$B$2823:$B$2833,$A269,[1]Desglose_BOM_Componentes!$AE$2823:$AE$2833,"Sin precio",[1]Desglose_BOM_Componentes!$X$2823:$X$2833,"Empaquetado")&gt;0,"n.d.",SUMIFS([1]Desglose_BOM_Componentes!$AC$2823:$AC$2833,[1]Desglose_BOM_Componentes!$B$2823:$B$2833,$A269,[1]Desglose_BOM_Componentes!$X$2823:$X$2833,"Empaquetado"))</f>
        <v>0.29377480152740587</v>
      </c>
      <c r="F269" s="6">
        <f t="shared" si="24"/>
        <v>1.5984748015274057</v>
      </c>
      <c r="G269" s="4">
        <f>IF(COUNTIFS([1]Desglose_BOM_Componentes!$B$2823:$B$2833,$A269,[1]Desglose_BOM_Componentes!$AE$2823:$AE$2833,"Sin precio",[1]Desglose_BOM_Componentes!$X$2823:$X$2833,"Formulación")&gt;0,"n.d.",SUMIFS([1]Desglose_BOM_Componentes!$AD$2823:$AD$2833,[1]Desglose_BOM_Componentes!$B$2823:$B$2833,$A269,[1]Desglose_BOM_Componentes!$X$2823:$X$2833,"Formulación"))</f>
        <v>1.0861666666666667</v>
      </c>
      <c r="H269" s="4">
        <f>IF(COUNTIFS([1]Desglose_BOM_Componentes!$B$2823:$B$2833,$A269,[1]Desglose_BOM_Componentes!$AE$2823:$AE$2833,"Sin precio",[1]Desglose_BOM_Componentes!$X$2823:$X$2833,"Empaquetado")&gt;0,"n.d.",SUMIFS([1]Desglose_BOM_Componentes!$AD$2823:$AD$2833,[1]Desglose_BOM_Componentes!$B$2823:$B$2833,$A269,[1]Desglose_BOM_Componentes!$X$2823:$X$2833,"Empaquetado"))</f>
        <v>0.29377480152740587</v>
      </c>
      <c r="I269" s="6">
        <f t="shared" si="25"/>
        <v>1.3841414681940725</v>
      </c>
      <c r="J269" s="1" t="str">
        <f t="shared" si="26"/>
        <v>Completo</v>
      </c>
      <c r="K269" s="1">
        <f>COUNTIFS([1]Desglose_BOM_Componentes!$B$2823:$B$2833,$A269,[1]Desglose_BOM_Componentes!$AE$2823:$AE$2833,"Sin precio")</f>
        <v>0</v>
      </c>
      <c r="L269" s="1" t="str">
        <f>IF('[1]Precios componentes'!D82="Sin precio","GLUCONIC; ","")&amp;IF('[1]Precios componentes'!D11="Sin precio","AGUA; ","")&amp;IF('[1]Precios componentes'!D58="Sin precio","EDTAZN; ","")&amp;IF('[1]Precios componentes'!D55="Sin precio","EDTACU; ","")&amp;IF('[1]Precios componentes'!D120="Sin precio","PROS; ","")&amp;IF('[1]Precios componentes'!D115="Sin precio","PAL; ","")&amp;IF('[1]Precios componentes'!D137="Sin precio","SOBRE 5L;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70" spans="1:12" ht="22" customHeight="1">
      <c r="A270" s="1" t="s">
        <v>300</v>
      </c>
      <c r="B270" s="1" t="s">
        <v>18</v>
      </c>
      <c r="C270" s="1" t="s">
        <v>21</v>
      </c>
      <c r="D270" s="4">
        <f>IF(COUNTIFS([1]Desglose_BOM_Componentes!$B$2834:$B$2840,$A270,[1]Desglose_BOM_Componentes!$AE$2834:$AE$2840,"Sin precio",[1]Desglose_BOM_Componentes!$X$2834:$X$2840,"Formulación")&gt;0,"n.d.",SUMIFS([1]Desglose_BOM_Componentes!$AC$2834:$AC$2840,[1]Desglose_BOM_Componentes!$B$2834:$B$2840,$A270,[1]Desglose_BOM_Componentes!$X$2834:$X$2840,"Formulación"))</f>
        <v>1.3004999999999998</v>
      </c>
      <c r="E270" s="4">
        <f>IF(COUNTIFS([1]Desglose_BOM_Componentes!$B$2834:$B$2840,$A270,[1]Desglose_BOM_Componentes!$AE$2834:$AE$2840,"Sin precio",[1]Desglose_BOM_Componentes!$X$2834:$X$2840,"Empaquetado")&gt;0,"n.d.",SUMIFS([1]Desglose_BOM_Componentes!$AC$2834:$AC$2840,[1]Desglose_BOM_Componentes!$B$2834:$B$2840,$A270,[1]Desglose_BOM_Componentes!$X$2834:$X$2840,"Empaquetado"))</f>
        <v>0.11710143993558776</v>
      </c>
      <c r="F270" s="6">
        <f t="shared" si="24"/>
        <v>1.4218014399355876</v>
      </c>
      <c r="G270" s="4">
        <f>IF(COUNTIFS([1]Desglose_BOM_Componentes!$B$2834:$B$2840,$A270,[1]Desglose_BOM_Componentes!$AE$2834:$AE$2840,"Sin precio",[1]Desglose_BOM_Componentes!$X$2834:$X$2840,"Formulación")&gt;0,"n.d.",SUMIFS([1]Desglose_BOM_Componentes!$AD$2834:$AD$2840,[1]Desglose_BOM_Componentes!$B$2834:$B$2840,$A270,[1]Desglose_BOM_Componentes!$X$2834:$X$2840,"Formulación"))</f>
        <v>1.0861666666666667</v>
      </c>
      <c r="H270" s="4">
        <f>IF(COUNTIFS([1]Desglose_BOM_Componentes!$B$2834:$B$2840,$A270,[1]Desglose_BOM_Componentes!$AE$2834:$AE$2840,"Sin precio",[1]Desglose_BOM_Componentes!$X$2834:$X$2840,"Empaquetado")&gt;0,"n.d.",SUMIFS([1]Desglose_BOM_Componentes!$AD$2834:$AD$2840,[1]Desglose_BOM_Componentes!$B$2834:$B$2840,$A270,[1]Desglose_BOM_Componentes!$X$2834:$X$2840,"Empaquetado"))</f>
        <v>0.11710143993558776</v>
      </c>
      <c r="I270" s="6">
        <f t="shared" si="25"/>
        <v>1.2074681066022546</v>
      </c>
      <c r="J270" s="1" t="str">
        <f t="shared" si="26"/>
        <v>Completo</v>
      </c>
      <c r="K270" s="1">
        <f>COUNTIFS([1]Desglose_BOM_Componentes!$B$2834:$B$2840,$A270,[1]Desglose_BOM_Componentes!$AE$2834:$AE$2840,"Sin precio")</f>
        <v>0</v>
      </c>
      <c r="L270" s="1" t="str">
        <f>IF('[1]Precios componentes'!D82="Sin precio","GLUCONIC; ","")&amp;IF('[1]Precios componentes'!D11="Sin precio","AGUA; ","")&amp;IF('[1]Precios componentes'!D58="Sin precio","EDTAZN; ","")&amp;IF('[1]Precios componentes'!D55="Sin precio","EDTACU; ","")&amp;IF('[1]Precios componentes'!D120="Sin precio","PROS; ","")&amp;IF('[1]Precios componentes'!D30="Sin precio","C1000; ","")&amp;IF('[1]Precios componentes'!D95="Sin precio","KIA250; ","")</f>
        <v/>
      </c>
    </row>
    <row r="271" spans="1:12" ht="22" customHeight="1">
      <c r="A271" s="1" t="s">
        <v>301</v>
      </c>
      <c r="B271" s="1" t="s">
        <v>18</v>
      </c>
      <c r="C271" s="1" t="s">
        <v>24</v>
      </c>
      <c r="D271" s="4">
        <f>IF(COUNTIFS([1]Desglose_BOM_Componentes!$B$2841:$B$2855,$A271,[1]Desglose_BOM_Componentes!$AE$2841:$AE$2855,"Sin precio",[1]Desglose_BOM_Componentes!$X$2841:$X$2855,"Formulación")&gt;0,"n.d.",SUMIFS([1]Desglose_BOM_Componentes!$AC$2841:$AC$2855,[1]Desglose_BOM_Componentes!$B$2841:$B$2855,$A271,[1]Desglose_BOM_Componentes!$X$2841:$X$2855,"Formulación"))</f>
        <v>0.69894999999999996</v>
      </c>
      <c r="E271" s="4">
        <f>IF(COUNTIFS([1]Desglose_BOM_Componentes!$B$2841:$B$2855,$A271,[1]Desglose_BOM_Componentes!$AE$2841:$AE$2855,"Sin precio",[1]Desglose_BOM_Componentes!$X$2841:$X$2855,"Empaquetado")&gt;0,"n.d.",SUMIFS([1]Desglose_BOM_Componentes!$AC$2841:$AC$2855,[1]Desglose_BOM_Componentes!$B$2841:$B$2855,$A271,[1]Desglose_BOM_Componentes!$X$2841:$X$2855,"Empaquetado"))</f>
        <v>0.24326489794470363</v>
      </c>
      <c r="F271" s="6">
        <f t="shared" si="24"/>
        <v>0.94641489794470357</v>
      </c>
      <c r="G271" s="4">
        <f>IF(COUNTIFS([1]Desglose_BOM_Componentes!$B$2841:$B$2855,$A271,[1]Desglose_BOM_Componentes!$AE$2841:$AE$2855,"Sin precio",[1]Desglose_BOM_Componentes!$X$2841:$X$2855,"Formulación")&gt;0,"n.d.",SUMIFS([1]Desglose_BOM_Componentes!$AD$2841:$AD$2855,[1]Desglose_BOM_Componentes!$B$2841:$B$2855,$A271,[1]Desglose_BOM_Componentes!$X$2841:$X$2855,"Formulación"))</f>
        <v>0.60428216666666668</v>
      </c>
      <c r="H271" s="4">
        <f>IF(COUNTIFS([1]Desglose_BOM_Componentes!$B$2841:$B$2855,$A271,[1]Desglose_BOM_Componentes!$AE$2841:$AE$2855,"Sin precio",[1]Desglose_BOM_Componentes!$X$2841:$X$2855,"Empaquetado")&gt;0,"n.d.",SUMIFS([1]Desglose_BOM_Componentes!$AD$2841:$AD$2855,[1]Desglose_BOM_Componentes!$B$2841:$B$2855,$A271,[1]Desglose_BOM_Componentes!$X$2841:$X$2855,"Empaquetado"))</f>
        <v>0.24326489794470363</v>
      </c>
      <c r="I271" s="6">
        <f t="shared" si="25"/>
        <v>0.85174706461137029</v>
      </c>
      <c r="J271" s="1" t="str">
        <f t="shared" si="26"/>
        <v>Completo</v>
      </c>
      <c r="K271" s="1">
        <f>COUNTIFS([1]Desglose_BOM_Componentes!$B$2841:$B$2855,$A271,[1]Desglose_BOM_Componentes!$AE$2841:$AE$2855,"Sin precio")</f>
        <v>0</v>
      </c>
      <c r="L271" s="1" t="str">
        <f>IF('[1]Precios componentes'!D111="Sin precio","NCAL; ","")&amp;IF('[1]Precios componentes'!D112="Sin precio","NMGL; ","")&amp;IF('[1]Precios componentes'!D51="Sin precio","D55; ","")&amp;IF('[1]Precios componentes'!D106="Sin precio","MEA; ","")&amp;IF('[1]Precios componentes'!D80="Sin precio","GLI; ","")&amp;IF('[1]Precios componentes'!D110="Sin precio","NCA; ","")&amp;IF('[1]Precios componentes'!D27="Sin precio","BOR; ","")&amp;IF('[1]Precios componentes'!D93="Sin precio","KF78; ","")&amp;IF('[1]Precios componentes'!D14="Sin precio","ANTI; ","")&amp;IF('[1]Precios componentes'!D124="Sin precio","SAC; ","")&amp;IF('[1]Precios componentes'!D136="Sin precio","SOBRE 20L; ","")&amp;IF('[1]Precios componentes'!D115="Sin precio","PAL; ","")&amp;IF('[1]Precios componentes'!D61="Sin precio","ENV20; ","")&amp;IF('[1]Precios componentes'!D148="Sin precio","TPD61VS; ","")&amp;IF('[1]Precios componentes'!D95="Sin precio","KIA250; ","")</f>
        <v/>
      </c>
    </row>
    <row r="272" spans="1:12" ht="22" customHeight="1">
      <c r="A272" s="1" t="s">
        <v>302</v>
      </c>
      <c r="B272" s="1" t="s">
        <v>18</v>
      </c>
      <c r="C272" s="1" t="s">
        <v>24</v>
      </c>
      <c r="D272" s="4">
        <f>IF(COUNTIFS([1]Desglose_BOM_Componentes!$B$2884:$B$2890,$A272,[1]Desglose_BOM_Componentes!$AE$2884:$AE$2890,"Sin precio",[1]Desglose_BOM_Componentes!$X$2884:$X$2890,"Formulación")&gt;0,"n.d.",SUMIFS([1]Desglose_BOM_Componentes!$AC$2884:$AC$2890,[1]Desglose_BOM_Componentes!$B$2884:$B$2890,$A272,[1]Desglose_BOM_Componentes!$X$2884:$X$2890,"Formulación"))</f>
        <v>1.1475</v>
      </c>
      <c r="E272" s="4">
        <f>IF(COUNTIFS([1]Desglose_BOM_Componentes!$B$2884:$B$2890,$A272,[1]Desglose_BOM_Componentes!$AE$2884:$AE$2890,"Sin precio",[1]Desglose_BOM_Componentes!$X$2884:$X$2890,"Empaquetado")&gt;0,"n.d.",SUMIFS([1]Desglose_BOM_Componentes!$AC$2884:$AC$2890,[1]Desglose_BOM_Componentes!$B$2884:$B$2890,$A272,[1]Desglose_BOM_Componentes!$X$2884:$X$2890,"Empaquetado"))</f>
        <v>0.75344791441438252</v>
      </c>
      <c r="F272" s="6">
        <f t="shared" si="24"/>
        <v>1.9051479144143824</v>
      </c>
      <c r="G272" s="4">
        <f>IF(COUNTIFS([1]Desglose_BOM_Componentes!$B$2884:$B$2890,$A272,[1]Desglose_BOM_Componentes!$AE$2884:$AE$2890,"Sin precio",[1]Desglose_BOM_Componentes!$X$2884:$X$2890,"Formulación")&gt;0,"n.d.",SUMIFS([1]Desglose_BOM_Componentes!$AD$2884:$AD$2890,[1]Desglose_BOM_Componentes!$B$2884:$B$2890,$A272,[1]Desglose_BOM_Componentes!$X$2884:$X$2890,"Formulación"))</f>
        <v>1.1475</v>
      </c>
      <c r="H272" s="4">
        <f>IF(COUNTIFS([1]Desglose_BOM_Componentes!$B$2884:$B$2890,$A272,[1]Desglose_BOM_Componentes!$AE$2884:$AE$2890,"Sin precio",[1]Desglose_BOM_Componentes!$X$2884:$X$2890,"Empaquetado")&gt;0,"n.d.",SUMIFS([1]Desglose_BOM_Componentes!$AD$2884:$AD$2890,[1]Desglose_BOM_Componentes!$B$2884:$B$2890,$A272,[1]Desglose_BOM_Componentes!$X$2884:$X$2890,"Empaquetado"))</f>
        <v>0.75344791441438252</v>
      </c>
      <c r="I272" s="6">
        <f t="shared" si="25"/>
        <v>1.9051479144143824</v>
      </c>
      <c r="J272" s="1" t="str">
        <f t="shared" si="26"/>
        <v>Completo</v>
      </c>
      <c r="K272" s="1">
        <f>COUNTIFS([1]Desglose_BOM_Componentes!$B$2884:$B$2890,$A272,[1]Desglose_BOM_Componentes!$AE$2884:$AE$2890,"Sin precio")</f>
        <v>0</v>
      </c>
      <c r="L272" s="1" t="str">
        <f>IF('[1]Precios componentes'!D132="Sin precio","SILK;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73" spans="1:12" ht="22" customHeight="1">
      <c r="A273" s="1" t="s">
        <v>303</v>
      </c>
      <c r="B273" s="1" t="s">
        <v>18</v>
      </c>
      <c r="C273" s="1" t="s">
        <v>24</v>
      </c>
      <c r="D273" s="4">
        <f>IF(COUNTIFS([1]Desglose_BOM_Componentes!$B$2891:$B$2897,$A273,[1]Desglose_BOM_Componentes!$AE$2891:$AE$2897,"Sin precio",[1]Desglose_BOM_Componentes!$X$2891:$X$2897,"Formulación")&gt;0,"n.d.",SUMIFS([1]Desglose_BOM_Componentes!$AC$2891:$AC$2897,[1]Desglose_BOM_Componentes!$B$2891:$B$2897,$A273,[1]Desglose_BOM_Componentes!$X$2891:$X$2897,"Formulación"))</f>
        <v>1.1475</v>
      </c>
      <c r="E273" s="4">
        <f>IF(COUNTIFS([1]Desglose_BOM_Componentes!$B$2891:$B$2897,$A273,[1]Desglose_BOM_Componentes!$AE$2891:$AE$2897,"Sin precio",[1]Desglose_BOM_Componentes!$X$2891:$X$2897,"Empaquetado")&gt;0,"n.d.",SUMIFS([1]Desglose_BOM_Componentes!$AC$2891:$AC$2897,[1]Desglose_BOM_Componentes!$B$2891:$B$2897,$A273,[1]Desglose_BOM_Componentes!$X$2891:$X$2897,"Empaquetado"))</f>
        <v>0.30928466819407252</v>
      </c>
      <c r="F273" s="6">
        <f t="shared" si="24"/>
        <v>1.4609846681940724</v>
      </c>
      <c r="G273" s="4">
        <f>IF(COUNTIFS([1]Desglose_BOM_Componentes!$B$2891:$B$2897,$A273,[1]Desglose_BOM_Componentes!$AE$2891:$AE$2897,"Sin precio",[1]Desglose_BOM_Componentes!$X$2891:$X$2897,"Formulación")&gt;0,"n.d.",SUMIFS([1]Desglose_BOM_Componentes!$AD$2891:$AD$2897,[1]Desglose_BOM_Componentes!$B$2891:$B$2897,$A273,[1]Desglose_BOM_Componentes!$X$2891:$X$2897,"Formulación"))</f>
        <v>1.1475</v>
      </c>
      <c r="H273" s="4">
        <f>IF(COUNTIFS([1]Desglose_BOM_Componentes!$B$2891:$B$2897,$A273,[1]Desglose_BOM_Componentes!$AE$2891:$AE$2897,"Sin precio",[1]Desglose_BOM_Componentes!$X$2891:$X$2897,"Empaquetado")&gt;0,"n.d.",SUMIFS([1]Desglose_BOM_Componentes!$AD$2891:$AD$2897,[1]Desglose_BOM_Componentes!$B$2891:$B$2897,$A273,[1]Desglose_BOM_Componentes!$X$2891:$X$2897,"Empaquetado"))</f>
        <v>0.30928466819407252</v>
      </c>
      <c r="I273" s="6">
        <f t="shared" si="25"/>
        <v>1.4609846681940724</v>
      </c>
      <c r="J273" s="1" t="str">
        <f t="shared" si="26"/>
        <v>Completo</v>
      </c>
      <c r="K273" s="1">
        <f>COUNTIFS([1]Desglose_BOM_Componentes!$B$2891:$B$2897,$A273,[1]Desglose_BOM_Componentes!$AE$2891:$AE$2897,"Sin precio")</f>
        <v>0</v>
      </c>
      <c r="L273" s="1" t="str">
        <f>IF('[1]Precios componentes'!D132="Sin precio","SILK;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74" spans="1:12" ht="22" customHeight="1">
      <c r="A274" s="1" t="s">
        <v>304</v>
      </c>
      <c r="B274" s="1" t="s">
        <v>18</v>
      </c>
      <c r="C274" s="1" t="s">
        <v>26</v>
      </c>
      <c r="D274" s="4">
        <f>IF(COUNTIFS([1]Desglose_BOM_Componentes!$B$2898:$B$2904,$A274,[1]Desglose_BOM_Componentes!$AE$2898:$AE$2904,"Sin precio",[1]Desglose_BOM_Componentes!$X$2898:$X$2904,"Formulación")&gt;0,"n.d.",SUMIFS([1]Desglose_BOM_Componentes!$AC$2898:$AC$2904,[1]Desglose_BOM_Componentes!$B$2898:$B$2904,$A274,[1]Desglose_BOM_Componentes!$X$2898:$X$2904,"Formulación"))</f>
        <v>1.1475</v>
      </c>
      <c r="E274" s="4">
        <f>IF(COUNTIFS([1]Desglose_BOM_Componentes!$B$2898:$B$2904,$A274,[1]Desglose_BOM_Componentes!$AE$2898:$AE$2904,"Sin precio",[1]Desglose_BOM_Componentes!$X$2898:$X$2904,"Empaquetado")&gt;0,"n.d.",SUMIFS([1]Desglose_BOM_Componentes!$AC$2898:$AC$2904,[1]Desglose_BOM_Componentes!$B$2898:$B$2904,$A274,[1]Desglose_BOM_Componentes!$X$2898:$X$2904,"Empaquetado"))</f>
        <v>0.30928466819407252</v>
      </c>
      <c r="F274" s="6">
        <f t="shared" si="24"/>
        <v>1.4609846681940724</v>
      </c>
      <c r="G274" s="4">
        <f>IF(COUNTIFS([1]Desglose_BOM_Componentes!$B$2898:$B$2904,$A274,[1]Desglose_BOM_Componentes!$AE$2898:$AE$2904,"Sin precio",[1]Desglose_BOM_Componentes!$X$2898:$X$2904,"Formulación")&gt;0,"n.d.",SUMIFS([1]Desglose_BOM_Componentes!$AD$2898:$AD$2904,[1]Desglose_BOM_Componentes!$B$2898:$B$2904,$A274,[1]Desglose_BOM_Componentes!$X$2898:$X$2904,"Formulación"))</f>
        <v>1.1475</v>
      </c>
      <c r="H274" s="4">
        <f>IF(COUNTIFS([1]Desglose_BOM_Componentes!$B$2898:$B$2904,$A274,[1]Desglose_BOM_Componentes!$AE$2898:$AE$2904,"Sin precio",[1]Desglose_BOM_Componentes!$X$2898:$X$2904,"Empaquetado")&gt;0,"n.d.",SUMIFS([1]Desglose_BOM_Componentes!$AD$2898:$AD$2904,[1]Desglose_BOM_Componentes!$B$2898:$B$2904,$A274,[1]Desglose_BOM_Componentes!$X$2898:$X$2904,"Empaquetado"))</f>
        <v>0.30928466819407252</v>
      </c>
      <c r="I274" s="6">
        <f t="shared" si="25"/>
        <v>1.4609846681940724</v>
      </c>
      <c r="J274" s="1" t="str">
        <f t="shared" si="26"/>
        <v>Completo</v>
      </c>
      <c r="K274" s="1">
        <f>COUNTIFS([1]Desglose_BOM_Componentes!$B$2898:$B$2904,$A274,[1]Desglose_BOM_Componentes!$AE$2898:$AE$2904,"Sin precio")</f>
        <v>0</v>
      </c>
      <c r="L274" s="1" t="str">
        <f>IF('[1]Precios componentes'!D132="Sin precio","SILK;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75" spans="1:12" ht="22" customHeight="1">
      <c r="A275" s="1" t="s">
        <v>305</v>
      </c>
      <c r="B275" s="1" t="s">
        <v>18</v>
      </c>
      <c r="C275" s="1" t="s">
        <v>24</v>
      </c>
      <c r="D275" s="4">
        <f>IF(COUNTIFS([1]Desglose_BOM_Componentes!$B$2905:$B$2910,$A275,[1]Desglose_BOM_Componentes!$AE$2905:$AE$2910,"Sin precio",[1]Desglose_BOM_Componentes!$X$2905:$X$2910,"Formulación")&gt;0,"n.d.",SUMIFS([1]Desglose_BOM_Componentes!$AC$2905:$AC$2910,[1]Desglose_BOM_Componentes!$B$2905:$B$2910,$A275,[1]Desglose_BOM_Componentes!$X$2905:$X$2910,"Formulación"))</f>
        <v>1.1475</v>
      </c>
      <c r="E275" s="4">
        <f>IF(COUNTIFS([1]Desglose_BOM_Componentes!$B$2905:$B$2910,$A275,[1]Desglose_BOM_Componentes!$AE$2905:$AE$2910,"Sin precio",[1]Desglose_BOM_Componentes!$X$2905:$X$2910,"Empaquetado")&gt;0,"n.d.",SUMIFS([1]Desglose_BOM_Componentes!$AC$2905:$AC$2910,[1]Desglose_BOM_Componentes!$B$2905:$B$2910,$A275,[1]Desglose_BOM_Componentes!$X$2905:$X$2910,"Empaquetado"))</f>
        <v>0.23158280727404049</v>
      </c>
      <c r="F275" s="6">
        <f t="shared" si="24"/>
        <v>1.3832828072740404</v>
      </c>
      <c r="G275" s="4">
        <f>IF(COUNTIFS([1]Desglose_BOM_Componentes!$B$2905:$B$2910,$A275,[1]Desglose_BOM_Componentes!$AE$2905:$AE$2910,"Sin precio",[1]Desglose_BOM_Componentes!$X$2905:$X$2910,"Formulación")&gt;0,"n.d.",SUMIFS([1]Desglose_BOM_Componentes!$AD$2905:$AD$2910,[1]Desglose_BOM_Componentes!$B$2905:$B$2910,$A275,[1]Desglose_BOM_Componentes!$X$2905:$X$2910,"Formulación"))</f>
        <v>1.1475</v>
      </c>
      <c r="H275" s="4">
        <f>IF(COUNTIFS([1]Desglose_BOM_Componentes!$B$2905:$B$2910,$A275,[1]Desglose_BOM_Componentes!$AE$2905:$AE$2910,"Sin precio",[1]Desglose_BOM_Componentes!$X$2905:$X$2910,"Empaquetado")&gt;0,"n.d.",SUMIFS([1]Desglose_BOM_Componentes!$AD$2905:$AD$2910,[1]Desglose_BOM_Componentes!$B$2905:$B$2910,$A275,[1]Desglose_BOM_Componentes!$X$2905:$X$2910,"Empaquetado"))</f>
        <v>0.23158280727404049</v>
      </c>
      <c r="I275" s="6">
        <f t="shared" si="25"/>
        <v>1.3832828072740404</v>
      </c>
      <c r="J275" s="1" t="str">
        <f t="shared" si="26"/>
        <v>Completo</v>
      </c>
      <c r="K275" s="1">
        <f>COUNTIFS([1]Desglose_BOM_Componentes!$B$2905:$B$2910,$A275,[1]Desglose_BOM_Componentes!$AE$2905:$AE$2910,"Sin precio")</f>
        <v>0</v>
      </c>
      <c r="L275" s="1" t="str">
        <f>IF('[1]Precios componentes'!D132="Sin precio","SILK;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276" spans="1:12" ht="22" customHeight="1">
      <c r="A276" s="1" t="s">
        <v>306</v>
      </c>
      <c r="B276" s="1" t="s">
        <v>68</v>
      </c>
      <c r="C276" s="1" t="s">
        <v>84</v>
      </c>
      <c r="D276" s="4">
        <f>IF(COUNTIFS([1]Desglose_BOM_Componentes!$B$2914:$B$2922,$A276,[1]Desglose_BOM_Componentes!$AE$2914:$AE$2922,"Sin precio",[1]Desglose_BOM_Componentes!$X$2914:$X$2922,"Formulación")&gt;0,"n.d.",SUMIFS([1]Desglose_BOM_Componentes!$AC$2914:$AC$2922,[1]Desglose_BOM_Componentes!$B$2914:$B$2922,$A276,[1]Desglose_BOM_Componentes!$X$2914:$X$2922,"Formulación"))</f>
        <v>1.5719800000000002</v>
      </c>
      <c r="E276" s="4">
        <f>IF(COUNTIFS([1]Desglose_BOM_Componentes!$B$2914:$B$2922,$A276,[1]Desglose_BOM_Componentes!$AE$2914:$AE$2922,"Sin precio",[1]Desglose_BOM_Componentes!$X$2914:$X$2922,"Empaquetado")&gt;0,"n.d.",SUMIFS([1]Desglose_BOM_Componentes!$AC$2914:$AC$2922,[1]Desglose_BOM_Componentes!$B$2914:$B$2922,$A276,[1]Desglose_BOM_Componentes!$X$2914:$X$2922,"Empaquetado"))</f>
        <v>0.17737936672317167</v>
      </c>
      <c r="F276" s="6">
        <f t="shared" ref="F276:F281" si="27">IF(K276&gt;0,"n.d.",SUM(D276:E276))</f>
        <v>1.7493593667231719</v>
      </c>
      <c r="G276" s="4">
        <f>IF(COUNTIFS([1]Desglose_BOM_Componentes!$B$2914:$B$2922,$A276,[1]Desglose_BOM_Componentes!$AE$2914:$AE$2922,"Sin precio",[1]Desglose_BOM_Componentes!$X$2914:$X$2922,"Formulación")&gt;0,"n.d.",SUMIFS([1]Desglose_BOM_Componentes!$AD$2914:$AD$2922,[1]Desglose_BOM_Componentes!$B$2914:$B$2922,$A276,[1]Desglose_BOM_Componentes!$X$2914:$X$2922,"Formulación"))</f>
        <v>1.5719800000000002</v>
      </c>
      <c r="H276" s="4">
        <f>IF(COUNTIFS([1]Desglose_BOM_Componentes!$B$2914:$B$2922,$A276,[1]Desglose_BOM_Componentes!$AE$2914:$AE$2922,"Sin precio",[1]Desglose_BOM_Componentes!$X$2914:$X$2922,"Empaquetado")&gt;0,"n.d.",SUMIFS([1]Desglose_BOM_Componentes!$AD$2914:$AD$2922,[1]Desglose_BOM_Componentes!$B$2914:$B$2922,$A276,[1]Desglose_BOM_Componentes!$X$2914:$X$2922,"Empaquetado"))</f>
        <v>0.17737936672317167</v>
      </c>
      <c r="I276" s="6">
        <f t="shared" ref="I276:I281" si="28">IF(K276&gt;0,"n.d.",SUM(G276:H276))</f>
        <v>1.7493593667231719</v>
      </c>
      <c r="J276" s="1" t="str">
        <f t="shared" si="26"/>
        <v>Completo</v>
      </c>
      <c r="K276" s="1">
        <f>COUNTIFS([1]Desglose_BOM_Componentes!$B$2914:$B$2922,$A276,[1]Desglose_BOM_Componentes!$AE$2914:$AE$2922,"Sin precio")</f>
        <v>0</v>
      </c>
      <c r="L276" s="1" t="str">
        <f>IF('[1]Precios componentes'!D114="Sin precio","OZN; ","")&amp;IF('[1]Precios componentes'!D133="Sin precio","SMN; ","")&amp;IF('[1]Precios componentes'!D141="Sin precio","SZMO;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277" spans="1:12" ht="22" customHeight="1">
      <c r="A277" s="1" t="s">
        <v>307</v>
      </c>
      <c r="B277" s="1" t="s">
        <v>68</v>
      </c>
      <c r="C277" s="1" t="s">
        <v>79</v>
      </c>
      <c r="D277" s="4">
        <f>IF(COUNTIFS([1]Desglose_BOM_Componentes!$B$2923:$B$2931,$A277,[1]Desglose_BOM_Componentes!$AE$2923:$AE$2931,"Sin precio",[1]Desglose_BOM_Componentes!$X$2923:$X$2931,"Formulación")&gt;0,"n.d.",SUMIFS([1]Desglose_BOM_Componentes!$AC$2923:$AC$2931,[1]Desglose_BOM_Componentes!$B$2923:$B$2931,$A277,[1]Desglose_BOM_Componentes!$X$2923:$X$2931,"Formulación"))</f>
        <v>1.5719800000000002</v>
      </c>
      <c r="E277" s="4">
        <f>IF(COUNTIFS([1]Desglose_BOM_Componentes!$B$2923:$B$2931,$A277,[1]Desglose_BOM_Componentes!$AE$2923:$AE$2931,"Sin precio",[1]Desglose_BOM_Componentes!$X$2923:$X$2931,"Empaquetado")&gt;0,"n.d.",SUMIFS([1]Desglose_BOM_Componentes!$AC$2923:$AC$2931,[1]Desglose_BOM_Componentes!$B$2923:$B$2931,$A277,[1]Desglose_BOM_Componentes!$X$2923:$X$2931,"Empaquetado"))</f>
        <v>0.17737936672317167</v>
      </c>
      <c r="F277" s="6">
        <f t="shared" si="27"/>
        <v>1.7493593667231719</v>
      </c>
      <c r="G277" s="4">
        <f>IF(COUNTIFS([1]Desglose_BOM_Componentes!$B$2923:$B$2931,$A277,[1]Desglose_BOM_Componentes!$AE$2923:$AE$2931,"Sin precio",[1]Desglose_BOM_Componentes!$X$2923:$X$2931,"Formulación")&gt;0,"n.d.",SUMIFS([1]Desglose_BOM_Componentes!$AD$2923:$AD$2931,[1]Desglose_BOM_Componentes!$B$2923:$B$2931,$A277,[1]Desglose_BOM_Componentes!$X$2923:$X$2931,"Formulación"))</f>
        <v>1.5719800000000002</v>
      </c>
      <c r="H277" s="4">
        <f>IF(COUNTIFS([1]Desglose_BOM_Componentes!$B$2923:$B$2931,$A277,[1]Desglose_BOM_Componentes!$AE$2923:$AE$2931,"Sin precio",[1]Desglose_BOM_Componentes!$X$2923:$X$2931,"Empaquetado")&gt;0,"n.d.",SUMIFS([1]Desglose_BOM_Componentes!$AD$2923:$AD$2931,[1]Desglose_BOM_Componentes!$B$2923:$B$2931,$A277,[1]Desglose_BOM_Componentes!$X$2923:$X$2931,"Empaquetado"))</f>
        <v>0.17737936672317167</v>
      </c>
      <c r="I277" s="6">
        <f t="shared" si="28"/>
        <v>1.7493593667231719</v>
      </c>
      <c r="J277" s="1" t="str">
        <f t="shared" si="26"/>
        <v>Completo</v>
      </c>
      <c r="K277" s="1">
        <f>COUNTIFS([1]Desglose_BOM_Componentes!$B$2923:$B$2931,$A277,[1]Desglose_BOM_Componentes!$AE$2923:$AE$2931,"Sin precio")</f>
        <v>0</v>
      </c>
      <c r="L277" s="1" t="str">
        <f>IF('[1]Precios componentes'!D114="Sin precio","OZN; ","")&amp;IF('[1]Precios componentes'!D133="Sin precio","SMN; ","")&amp;IF('[1]Precios componentes'!D141="Sin precio","SZMO;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componentes'!D70="Sin precio","ETQVP165; ","")&amp;IF('[1]Precios componentes'!D97="Sin precio","LAM1; ","")</f>
        <v/>
      </c>
    </row>
    <row r="278" spans="1:12" ht="22" customHeight="1">
      <c r="A278" s="1" t="s">
        <v>308</v>
      </c>
      <c r="B278" s="1" t="s">
        <v>68</v>
      </c>
      <c r="C278" s="1" t="s">
        <v>24</v>
      </c>
      <c r="D278" s="4">
        <f>IF(COUNTIFS([1]Desglose_BOM_Componentes!$B$2932:$B$2939,$A278,[1]Desglose_BOM_Componentes!$AE$2932:$AE$2939,"Sin precio",[1]Desglose_BOM_Componentes!$X$2932:$X$2939,"Formulación")&gt;0,"n.d.",SUMIFS([1]Desglose_BOM_Componentes!$AC$2932:$AC$2939,[1]Desglose_BOM_Componentes!$B$2932:$B$2939,$A278,[1]Desglose_BOM_Componentes!$X$2932:$X$2939,"Formulación"))</f>
        <v>1.5719800000000002</v>
      </c>
      <c r="E278" s="4">
        <f>IF(COUNTIFS([1]Desglose_BOM_Componentes!$B$2932:$B$2939,$A278,[1]Desglose_BOM_Componentes!$AE$2932:$AE$2939,"Sin precio",[1]Desglose_BOM_Componentes!$X$2932:$X$2939,"Empaquetado")&gt;0,"n.d.",SUMIFS([1]Desglose_BOM_Componentes!$AC$2932:$AC$2939,[1]Desglose_BOM_Componentes!$B$2932:$B$2939,$A278,[1]Desglose_BOM_Componentes!$X$2932:$X$2939,"Empaquetado"))</f>
        <v>0.10354733439422743</v>
      </c>
      <c r="F278" s="6">
        <f t="shared" si="27"/>
        <v>1.6755273343942276</v>
      </c>
      <c r="G278" s="4">
        <f>IF(COUNTIFS([1]Desglose_BOM_Componentes!$B$2932:$B$2939,$A278,[1]Desglose_BOM_Componentes!$AE$2932:$AE$2939,"Sin precio",[1]Desglose_BOM_Componentes!$X$2932:$X$2939,"Formulación")&gt;0,"n.d.",SUMIFS([1]Desglose_BOM_Componentes!$AD$2932:$AD$2939,[1]Desglose_BOM_Componentes!$B$2932:$B$2939,$A278,[1]Desglose_BOM_Componentes!$X$2932:$X$2939,"Formulación"))</f>
        <v>1.5719800000000002</v>
      </c>
      <c r="H278" s="4">
        <f>IF(COUNTIFS([1]Desglose_BOM_Componentes!$B$2932:$B$2939,$A278,[1]Desglose_BOM_Componentes!$AE$2932:$AE$2939,"Sin precio",[1]Desglose_BOM_Componentes!$X$2932:$X$2939,"Empaquetado")&gt;0,"n.d.",SUMIFS([1]Desglose_BOM_Componentes!$AD$2932:$AD$2939,[1]Desglose_BOM_Componentes!$B$2932:$B$2939,$A278,[1]Desglose_BOM_Componentes!$X$2932:$X$2939,"Empaquetado"))</f>
        <v>0.10354733439422743</v>
      </c>
      <c r="I278" s="6">
        <f t="shared" si="28"/>
        <v>1.6755273343942276</v>
      </c>
      <c r="J278" s="1" t="str">
        <f t="shared" si="26"/>
        <v>Completo</v>
      </c>
      <c r="K278" s="1">
        <f>COUNTIFS([1]Desglose_BOM_Componentes!$B$2932:$B$2939,$A278,[1]Desglose_BOM_Componentes!$AE$2932:$AE$2939,"Sin precio")</f>
        <v>0</v>
      </c>
      <c r="L278" s="1" t="str">
        <f>IF('[1]Precios componentes'!D114="Sin precio","OZN; ","")&amp;IF('[1]Precios componentes'!D133="Sin precio","SMN; ","")&amp;IF('[1]Precios componentes'!D141="Sin precio","SZMO;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79" spans="1:12" ht="22" customHeight="1">
      <c r="A279" s="1" t="s">
        <v>309</v>
      </c>
      <c r="B279" s="1" t="s">
        <v>68</v>
      </c>
      <c r="C279" s="1" t="s">
        <v>84</v>
      </c>
      <c r="D279" s="4">
        <f>IF(COUNTIFS([1]Desglose_BOM_Componentes!$B$2940:$B$2947,$A279,[1]Desglose_BOM_Componentes!$AE$2940:$AE$2947,"Sin precio",[1]Desglose_BOM_Componentes!$X$2940:$X$2947,"Formulación")&gt;0,"n.d.",SUMIFS([1]Desglose_BOM_Componentes!$AC$2940:$AC$2947,[1]Desglose_BOM_Componentes!$B$2940:$B$2947,$A279,[1]Desglose_BOM_Componentes!$X$2940:$X$2947,"Formulación"))</f>
        <v>1.5719800000000002</v>
      </c>
      <c r="E279" s="4">
        <f>IF(COUNTIFS([1]Desglose_BOM_Componentes!$B$2940:$B$2947,$A279,[1]Desglose_BOM_Componentes!$AE$2940:$AE$2947,"Sin precio",[1]Desglose_BOM_Componentes!$X$2940:$X$2947,"Empaquetado")&gt;0,"n.d.",SUMIFS([1]Desglose_BOM_Componentes!$AC$2940:$AC$2947,[1]Desglose_BOM_Componentes!$B$2940:$B$2947,$A279,[1]Desglose_BOM_Componentes!$X$2940:$X$2947,"Empaquetado"))</f>
        <v>0.10354733439422743</v>
      </c>
      <c r="F279" s="6">
        <f t="shared" si="27"/>
        <v>1.6755273343942276</v>
      </c>
      <c r="G279" s="4">
        <f>IF(COUNTIFS([1]Desglose_BOM_Componentes!$B$2940:$B$2947,$A279,[1]Desglose_BOM_Componentes!$AE$2940:$AE$2947,"Sin precio",[1]Desglose_BOM_Componentes!$X$2940:$X$2947,"Formulación")&gt;0,"n.d.",SUMIFS([1]Desglose_BOM_Componentes!$AD$2940:$AD$2947,[1]Desglose_BOM_Componentes!$B$2940:$B$2947,$A279,[1]Desglose_BOM_Componentes!$X$2940:$X$2947,"Formulación"))</f>
        <v>1.5719800000000002</v>
      </c>
      <c r="H279" s="4">
        <f>IF(COUNTIFS([1]Desglose_BOM_Componentes!$B$2940:$B$2947,$A279,[1]Desglose_BOM_Componentes!$AE$2940:$AE$2947,"Sin precio",[1]Desglose_BOM_Componentes!$X$2940:$X$2947,"Empaquetado")&gt;0,"n.d.",SUMIFS([1]Desglose_BOM_Componentes!$AD$2940:$AD$2947,[1]Desglose_BOM_Componentes!$B$2940:$B$2947,$A279,[1]Desglose_BOM_Componentes!$X$2940:$X$2947,"Empaquetado"))</f>
        <v>0.10354733439422743</v>
      </c>
      <c r="I279" s="6">
        <f t="shared" si="28"/>
        <v>1.6755273343942276</v>
      </c>
      <c r="J279" s="1" t="str">
        <f t="shared" si="26"/>
        <v>Completo</v>
      </c>
      <c r="K279" s="1">
        <f>COUNTIFS([1]Desglose_BOM_Componentes!$B$2940:$B$2947,$A279,[1]Desglose_BOM_Componentes!$AE$2940:$AE$2947,"Sin precio")</f>
        <v>0</v>
      </c>
      <c r="L279" s="1" t="str">
        <f>IF('[1]Precios componentes'!D114="Sin precio","OZN; ","")&amp;IF('[1]Precios componentes'!D133="Sin precio","SMN; ","")&amp;IF('[1]Precios componentes'!D141="Sin precio","SZMO;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80" spans="1:12" ht="22" customHeight="1">
      <c r="A280" s="1" t="s">
        <v>310</v>
      </c>
      <c r="B280" s="1" t="s">
        <v>68</v>
      </c>
      <c r="C280" s="1" t="s">
        <v>79</v>
      </c>
      <c r="D280" s="4">
        <f>IF(COUNTIFS([1]Desglose_BOM_Componentes!$B$2948:$B$2955,$A280,[1]Desglose_BOM_Componentes!$AE$2948:$AE$2955,"Sin precio",[1]Desglose_BOM_Componentes!$X$2948:$X$2955,"Formulación")&gt;0,"n.d.",SUMIFS([1]Desglose_BOM_Componentes!$AC$2948:$AC$2955,[1]Desglose_BOM_Componentes!$B$2948:$B$2955,$A280,[1]Desglose_BOM_Componentes!$X$2948:$X$2955,"Formulación"))</f>
        <v>1.5719800000000002</v>
      </c>
      <c r="E280" s="4">
        <f>IF(COUNTIFS([1]Desglose_BOM_Componentes!$B$2948:$B$2955,$A280,[1]Desglose_BOM_Componentes!$AE$2948:$AE$2955,"Sin precio",[1]Desglose_BOM_Componentes!$X$2948:$X$2955,"Empaquetado")&gt;0,"n.d.",SUMIFS([1]Desglose_BOM_Componentes!$AC$2948:$AC$2955,[1]Desglose_BOM_Componentes!$B$2948:$B$2955,$A280,[1]Desglose_BOM_Componentes!$X$2948:$X$2955,"Empaquetado"))</f>
        <v>0.10354733439422743</v>
      </c>
      <c r="F280" s="6">
        <f t="shared" si="27"/>
        <v>1.6755273343942276</v>
      </c>
      <c r="G280" s="4">
        <f>IF(COUNTIFS([1]Desglose_BOM_Componentes!$B$2948:$B$2955,$A280,[1]Desglose_BOM_Componentes!$AE$2948:$AE$2955,"Sin precio",[1]Desglose_BOM_Componentes!$X$2948:$X$2955,"Formulación")&gt;0,"n.d.",SUMIFS([1]Desglose_BOM_Componentes!$AD$2948:$AD$2955,[1]Desglose_BOM_Componentes!$B$2948:$B$2955,$A280,[1]Desglose_BOM_Componentes!$X$2948:$X$2955,"Formulación"))</f>
        <v>1.5719800000000002</v>
      </c>
      <c r="H280" s="4">
        <f>IF(COUNTIFS([1]Desglose_BOM_Componentes!$B$2948:$B$2955,$A280,[1]Desglose_BOM_Componentes!$AE$2948:$AE$2955,"Sin precio",[1]Desglose_BOM_Componentes!$X$2948:$X$2955,"Empaquetado")&gt;0,"n.d.",SUMIFS([1]Desglose_BOM_Componentes!$AD$2948:$AD$2955,[1]Desglose_BOM_Componentes!$B$2948:$B$2955,$A280,[1]Desglose_BOM_Componentes!$X$2948:$X$2955,"Empaquetado"))</f>
        <v>0.10354733439422743</v>
      </c>
      <c r="I280" s="6">
        <f t="shared" si="28"/>
        <v>1.6755273343942276</v>
      </c>
      <c r="J280" s="1" t="str">
        <f t="shared" si="26"/>
        <v>Completo</v>
      </c>
      <c r="K280" s="1">
        <f>COUNTIFS([1]Desglose_BOM_Componentes!$B$2948:$B$2955,$A280,[1]Desglose_BOM_Componentes!$AE$2948:$AE$2955,"Sin precio")</f>
        <v>0</v>
      </c>
      <c r="L280" s="1" t="str">
        <f>IF('[1]Precios componentes'!D114="Sin precio","OZN; ","")&amp;IF('[1]Precios componentes'!D133="Sin precio","SMN; ","")&amp;IF('[1]Precios componentes'!D141="Sin precio","SZMO;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81" spans="1:12" ht="22" customHeight="1">
      <c r="A281" s="1" t="s">
        <v>311</v>
      </c>
      <c r="B281" s="1" t="s">
        <v>68</v>
      </c>
      <c r="C281" s="1" t="s">
        <v>26</v>
      </c>
      <c r="D281" s="4">
        <f>IF(COUNTIFS([1]Desglose_BOM_Componentes!$B$2956:$B$2963,$A281,[1]Desglose_BOM_Componentes!$AE$2956:$AE$2963,"Sin precio",[1]Desglose_BOM_Componentes!$X$2956:$X$2963,"Formulación")&gt;0,"n.d.",SUMIFS([1]Desglose_BOM_Componentes!$AC$2956:$AC$2963,[1]Desglose_BOM_Componentes!$B$2956:$B$2963,$A281,[1]Desglose_BOM_Componentes!$X$2956:$X$2963,"Formulación"))</f>
        <v>1.5719800000000002</v>
      </c>
      <c r="E281" s="4">
        <f>IF(COUNTIFS([1]Desglose_BOM_Componentes!$B$2956:$B$2963,$A281,[1]Desglose_BOM_Componentes!$AE$2956:$AE$2963,"Sin precio",[1]Desglose_BOM_Componentes!$X$2956:$X$2963,"Empaquetado")&gt;0,"n.d.",SUMIFS([1]Desglose_BOM_Componentes!$AC$2956:$AC$2963,[1]Desglose_BOM_Componentes!$B$2956:$B$2963,$A281,[1]Desglose_BOM_Componentes!$X$2956:$X$2963,"Empaquetado"))</f>
        <v>0.10354733439422743</v>
      </c>
      <c r="F281" s="6">
        <f t="shared" si="27"/>
        <v>1.6755273343942276</v>
      </c>
      <c r="G281" s="4">
        <f>IF(COUNTIFS([1]Desglose_BOM_Componentes!$B$2956:$B$2963,$A281,[1]Desglose_BOM_Componentes!$AE$2956:$AE$2963,"Sin precio",[1]Desglose_BOM_Componentes!$X$2956:$X$2963,"Formulación")&gt;0,"n.d.",SUMIFS([1]Desglose_BOM_Componentes!$AD$2956:$AD$2963,[1]Desglose_BOM_Componentes!$B$2956:$B$2963,$A281,[1]Desglose_BOM_Componentes!$X$2956:$X$2963,"Formulación"))</f>
        <v>1.5719800000000002</v>
      </c>
      <c r="H281" s="4">
        <f>IF(COUNTIFS([1]Desglose_BOM_Componentes!$B$2956:$B$2963,$A281,[1]Desglose_BOM_Componentes!$AE$2956:$AE$2963,"Sin precio",[1]Desglose_BOM_Componentes!$X$2956:$X$2963,"Empaquetado")&gt;0,"n.d.",SUMIFS([1]Desglose_BOM_Componentes!$AD$2956:$AD$2963,[1]Desglose_BOM_Componentes!$B$2956:$B$2963,$A281,[1]Desglose_BOM_Componentes!$X$2956:$X$2963,"Empaquetado"))</f>
        <v>0.10354733439422743</v>
      </c>
      <c r="I281" s="6">
        <f t="shared" si="28"/>
        <v>1.6755273343942276</v>
      </c>
      <c r="J281" s="1" t="str">
        <f t="shared" si="26"/>
        <v>Completo</v>
      </c>
      <c r="K281" s="1">
        <f>COUNTIFS([1]Desglose_BOM_Componentes!$B$2956:$B$2963,$A281,[1]Desglose_BOM_Componentes!$AE$2956:$AE$2963,"Sin precio")</f>
        <v>0</v>
      </c>
      <c r="L281" s="1" t="str">
        <f>IF('[1]Precios componentes'!D114="Sin precio","OZN; ","")&amp;IF('[1]Precios componentes'!D133="Sin precio","SMN; ","")&amp;IF('[1]Precios componentes'!D141="Sin precio","SZMO;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282" spans="1:12" ht="22" customHeight="1">
      <c r="A282" s="1" t="s">
        <v>312</v>
      </c>
      <c r="B282" s="1" t="s">
        <v>14</v>
      </c>
      <c r="C282" s="1" t="s">
        <v>21</v>
      </c>
      <c r="D282" s="4">
        <f>IF(COUNTIFS([1]Desglose_BOM_Componentes!$B$2967:$B$2981,$A282,[1]Desglose_BOM_Componentes!$AE$2967:$AE$2981,"Sin precio",[1]Desglose_BOM_Componentes!$X$2967:$X$2981,"Formulación")&gt;0,"n.d.",SUMIFS([1]Desglose_BOM_Componentes!$AC$2967:$AC$2981,[1]Desglose_BOM_Componentes!$B$2967:$B$2981,$A282,[1]Desglose_BOM_Componentes!$X$2967:$X$2981,"Formulación"))</f>
        <v>0.29630092234251976</v>
      </c>
      <c r="E282" s="4">
        <f>IF(COUNTIFS([1]Desglose_BOM_Componentes!$B$2967:$B$2981,$A282,[1]Desglose_BOM_Componentes!$AE$2967:$AE$2981,"Sin precio",[1]Desglose_BOM_Componentes!$X$2967:$X$2981,"Empaquetado")&gt;0,"n.d.",SUMIFS([1]Desglose_BOM_Componentes!$AC$2967:$AC$2981,[1]Desglose_BOM_Componentes!$B$2967:$B$2981,$A282,[1]Desglose_BOM_Componentes!$X$2967:$X$2981,"Empaquetado"))</f>
        <v>0.19506312277667984</v>
      </c>
      <c r="F282" s="6">
        <f t="shared" ref="F282:F345" si="29">IF(K282&gt;0,"n.d.",SUM(D282:E282)+0.0042)</f>
        <v>0.4955640451191996</v>
      </c>
      <c r="G282" s="4">
        <f>IF(COUNTIFS([1]Desglose_BOM_Componentes!$B$2967:$B$2981,$A282,[1]Desglose_BOM_Componentes!$AE$2967:$AE$2981,"Sin precio",[1]Desglose_BOM_Componentes!$X$2967:$X$2981,"Formulación")&gt;0,"n.d.",SUMIFS([1]Desglose_BOM_Componentes!$AD$2967:$AD$2981,[1]Desglose_BOM_Componentes!$B$2967:$B$2981,$A282,[1]Desglose_BOM_Componentes!$X$2967:$X$2981,"Formulación"))</f>
        <v>0.29525592234251974</v>
      </c>
      <c r="H282" s="4">
        <f>IF(COUNTIFS([1]Desglose_BOM_Componentes!$B$2967:$B$2981,$A282,[1]Desglose_BOM_Componentes!$AE$2967:$AE$2981,"Sin precio",[1]Desglose_BOM_Componentes!$X$2967:$X$2981,"Empaquetado")&gt;0,"n.d.",SUMIFS([1]Desglose_BOM_Componentes!$AD$2967:$AD$2981,[1]Desglose_BOM_Componentes!$B$2967:$B$2981,$A282,[1]Desglose_BOM_Componentes!$X$2967:$X$2981,"Empaquetado"))</f>
        <v>0.19506312277667984</v>
      </c>
      <c r="I282" s="6">
        <f t="shared" ref="I282:I345" si="30">IF(K282&gt;0,"n.d.",SUM(G282:H282)+0.0042)</f>
        <v>0.49451904511919953</v>
      </c>
      <c r="J282" s="1" t="str">
        <f t="shared" si="26"/>
        <v>Completo</v>
      </c>
      <c r="K282" s="1">
        <f>COUNTIFS([1]Desglose_BOM_Componentes!$B$2967:$B$2981,$A282,[1]Desglose_BOM_Componentes!$AE$2967:$AE$2981,"Sin precio")</f>
        <v>0</v>
      </c>
      <c r="L282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componentes'!D118="Sin precio","PRO; ","")&amp;IF('[1]Precios componentes'!D41="Sin precio","CCB2; ","")&amp;IF('[1]Precios componentes'!D107="Sin precio","MGO; ","")&amp;IF('[1]Precios componentes'!D138="Sin precio","SOBREALC; ","")&amp;IF('[1]Precios componentes'!D115="Sin precio","PAL; ","")&amp;IF('[1]Precios componentes'!D94="Sin precio","KIA220; ","")&amp;IF('[1]Precios componentes'!D49="Sin precio","CWH; ","")&amp;IF('[1]Precios componentes'!D22="Sin precio","B5ALC; ","")</f>
        <v/>
      </c>
    </row>
    <row r="283" spans="1:12" ht="22" customHeight="1">
      <c r="A283" s="1" t="s">
        <v>313</v>
      </c>
      <c r="B283" s="1" t="s">
        <v>18</v>
      </c>
      <c r="C283" s="1" t="s">
        <v>116</v>
      </c>
      <c r="D283" s="4">
        <f>IF(COUNTIFS([1]Desglose_BOM_Componentes!$B$2982:$B$2990,$A283,[1]Desglose_BOM_Componentes!$AE$2982:$AE$2990,"Sin precio",[1]Desglose_BOM_Componentes!$X$2982:$X$2990,"Formulación")&gt;0,"n.d.",SUMIFS([1]Desglose_BOM_Componentes!$AC$2982:$AC$2990,[1]Desglose_BOM_Componentes!$B$2982:$B$2990,$A283,[1]Desglose_BOM_Componentes!$X$2982:$X$2990,"Formulación"))</f>
        <v>3.21007</v>
      </c>
      <c r="E283" s="4">
        <f>IF(COUNTIFS([1]Desglose_BOM_Componentes!$B$2982:$B$2990,$A283,[1]Desglose_BOM_Componentes!$AE$2982:$AE$2990,"Sin precio",[1]Desglose_BOM_Componentes!$X$2982:$X$2990,"Empaquetado")&gt;0,"n.d.",SUMIFS([1]Desglose_BOM_Componentes!$AC$2982:$AC$2990,[1]Desglose_BOM_Componentes!$B$2982:$B$2990,$A283,[1]Desglose_BOM_Componentes!$X$2982:$X$2990,"Empaquetado"))</f>
        <v>0.75344791441438252</v>
      </c>
      <c r="F283" s="6">
        <f t="shared" si="29"/>
        <v>3.9677179144143824</v>
      </c>
      <c r="G283" s="4">
        <f>IF(COUNTIFS([1]Desglose_BOM_Componentes!$B$2982:$B$2990,$A283,[1]Desglose_BOM_Componentes!$AE$2982:$AE$2990,"Sin precio",[1]Desglose_BOM_Componentes!$X$2982:$X$2990,"Formulación")&gt;0,"n.d.",SUMIFS([1]Desglose_BOM_Componentes!$AD$2982:$AD$2990,[1]Desglose_BOM_Componentes!$B$2982:$B$2990,$A283,[1]Desglose_BOM_Componentes!$X$2982:$X$2990,"Formulación"))</f>
        <v>1.780494</v>
      </c>
      <c r="H283" s="4">
        <f>IF(COUNTIFS([1]Desglose_BOM_Componentes!$B$2982:$B$2990,$A283,[1]Desglose_BOM_Componentes!$AE$2982:$AE$2990,"Sin precio",[1]Desglose_BOM_Componentes!$X$2982:$X$2990,"Empaquetado")&gt;0,"n.d.",SUMIFS([1]Desglose_BOM_Componentes!$AD$2982:$AD$2990,[1]Desglose_BOM_Componentes!$B$2982:$B$2990,$A283,[1]Desglose_BOM_Componentes!$X$2982:$X$2990,"Empaquetado"))</f>
        <v>0.75344791441438252</v>
      </c>
      <c r="I283" s="6">
        <f t="shared" si="30"/>
        <v>2.5381419144143824</v>
      </c>
      <c r="J283" s="1" t="str">
        <f t="shared" si="26"/>
        <v>Completo</v>
      </c>
      <c r="K283" s="1">
        <f>COUNTIFS([1]Desglose_BOM_Componentes!$B$2982:$B$2990,$A283,[1]Desglose_BOM_Componentes!$AE$2982:$AE$2990,"Sin precio")</f>
        <v>0</v>
      </c>
      <c r="L283" s="1" t="str">
        <f>IF('[1]Precios componentes'!D11="Sin precio","AGUA; ","")&amp;IF('[1]Precios componentes'!D75="Sin precio","FOF; ","")&amp;IF('[1]Precios componentes'!D90="Sin precio","HPOL;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84" spans="1:12" ht="22" customHeight="1">
      <c r="A284" s="1" t="s">
        <v>314</v>
      </c>
      <c r="B284" s="1" t="s">
        <v>18</v>
      </c>
      <c r="C284" s="1" t="s">
        <v>69</v>
      </c>
      <c r="D284" s="4">
        <f>IF(COUNTIFS([1]Desglose_BOM_Componentes!$B$2991:$B$2999,$A284,[1]Desglose_BOM_Componentes!$AE$2991:$AE$2999,"Sin precio",[1]Desglose_BOM_Componentes!$X$2991:$X$2999,"Formulación")&gt;0,"n.d.",SUMIFS([1]Desglose_BOM_Componentes!$AC$2991:$AC$2999,[1]Desglose_BOM_Componentes!$B$2991:$B$2999,$A284,[1]Desglose_BOM_Componentes!$X$2991:$X$2999,"Formulación"))</f>
        <v>3.21007</v>
      </c>
      <c r="E284" s="4">
        <f>IF(COUNTIFS([1]Desglose_BOM_Componentes!$B$2991:$B$2999,$A284,[1]Desglose_BOM_Componentes!$AE$2991:$AE$2999,"Sin precio",[1]Desglose_BOM_Componentes!$X$2991:$X$2999,"Empaquetado")&gt;0,"n.d.",SUMIFS([1]Desglose_BOM_Componentes!$AC$2991:$AC$2999,[1]Desglose_BOM_Componentes!$B$2991:$B$2999,$A284,[1]Desglose_BOM_Componentes!$X$2991:$X$2999,"Empaquetado"))</f>
        <v>0.75344791441438252</v>
      </c>
      <c r="F284" s="6">
        <f t="shared" si="29"/>
        <v>3.9677179144143824</v>
      </c>
      <c r="G284" s="4">
        <f>IF(COUNTIFS([1]Desglose_BOM_Componentes!$B$2991:$B$2999,$A284,[1]Desglose_BOM_Componentes!$AE$2991:$AE$2999,"Sin precio",[1]Desglose_BOM_Componentes!$X$2991:$X$2999,"Formulación")&gt;0,"n.d.",SUMIFS([1]Desglose_BOM_Componentes!$AD$2991:$AD$2999,[1]Desglose_BOM_Componentes!$B$2991:$B$2999,$A284,[1]Desglose_BOM_Componentes!$X$2991:$X$2999,"Formulación"))</f>
        <v>1.780494</v>
      </c>
      <c r="H284" s="4">
        <f>IF(COUNTIFS([1]Desglose_BOM_Componentes!$B$2991:$B$2999,$A284,[1]Desglose_BOM_Componentes!$AE$2991:$AE$2999,"Sin precio",[1]Desglose_BOM_Componentes!$X$2991:$X$2999,"Empaquetado")&gt;0,"n.d.",SUMIFS([1]Desglose_BOM_Componentes!$AD$2991:$AD$2999,[1]Desglose_BOM_Componentes!$B$2991:$B$2999,$A284,[1]Desglose_BOM_Componentes!$X$2991:$X$2999,"Empaquetado"))</f>
        <v>0.75344791441438252</v>
      </c>
      <c r="I284" s="6">
        <f t="shared" si="30"/>
        <v>2.5381419144143824</v>
      </c>
      <c r="J284" s="1" t="str">
        <f t="shared" si="26"/>
        <v>Completo</v>
      </c>
      <c r="K284" s="1">
        <f>COUNTIFS([1]Desglose_BOM_Componentes!$B$2991:$B$2999,$A284,[1]Desglose_BOM_Componentes!$AE$2991:$AE$2999,"Sin precio")</f>
        <v>0</v>
      </c>
      <c r="L284" s="1" t="str">
        <f>IF('[1]Precios componentes'!D11="Sin precio","AGUA; ","")&amp;IF('[1]Precios componentes'!D75="Sin precio","FOF; ","")&amp;IF('[1]Precios componentes'!D90="Sin precio","HPOL;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85" spans="1:12" ht="22" customHeight="1">
      <c r="A285" s="1" t="s">
        <v>315</v>
      </c>
      <c r="B285" s="1" t="s">
        <v>18</v>
      </c>
      <c r="C285" s="1" t="s">
        <v>116</v>
      </c>
      <c r="D285" s="4">
        <f>IF(COUNTIFS([1]Desglose_BOM_Componentes!$B$3000:$B$3008,$A285,[1]Desglose_BOM_Componentes!$AE$3000:$AE$3008,"Sin precio",[1]Desglose_BOM_Componentes!$X$3000:$X$3008,"Formulación")&gt;0,"n.d.",SUMIFS([1]Desglose_BOM_Componentes!$AC$3000:$AC$3008,[1]Desglose_BOM_Componentes!$B$3000:$B$3008,$A285,[1]Desglose_BOM_Componentes!$X$3000:$X$3008,"Formulación"))</f>
        <v>3.21007</v>
      </c>
      <c r="E285" s="4">
        <f>IF(COUNTIFS([1]Desglose_BOM_Componentes!$B$3000:$B$3008,$A285,[1]Desglose_BOM_Componentes!$AE$3000:$AE$3008,"Sin precio",[1]Desglose_BOM_Componentes!$X$3000:$X$3008,"Empaquetado")&gt;0,"n.d.",SUMIFS([1]Desglose_BOM_Componentes!$AC$3000:$AC$3008,[1]Desglose_BOM_Componentes!$B$3000:$B$3008,$A285,[1]Desglose_BOM_Componentes!$X$3000:$X$3008,"Empaquetado"))</f>
        <v>0.29959100152740586</v>
      </c>
      <c r="F285" s="6">
        <f t="shared" si="29"/>
        <v>3.5138610015274057</v>
      </c>
      <c r="G285" s="4">
        <f>IF(COUNTIFS([1]Desglose_BOM_Componentes!$B$3000:$B$3008,$A285,[1]Desglose_BOM_Componentes!$AE$3000:$AE$3008,"Sin precio",[1]Desglose_BOM_Componentes!$X$3000:$X$3008,"Formulación")&gt;0,"n.d.",SUMIFS([1]Desglose_BOM_Componentes!$AD$3000:$AD$3008,[1]Desglose_BOM_Componentes!$B$3000:$B$3008,$A285,[1]Desglose_BOM_Componentes!$X$3000:$X$3008,"Formulación"))</f>
        <v>1.780494</v>
      </c>
      <c r="H285" s="4">
        <f>IF(COUNTIFS([1]Desglose_BOM_Componentes!$B$3000:$B$3008,$A285,[1]Desglose_BOM_Componentes!$AE$3000:$AE$3008,"Sin precio",[1]Desglose_BOM_Componentes!$X$3000:$X$3008,"Empaquetado")&gt;0,"n.d.",SUMIFS([1]Desglose_BOM_Componentes!$AD$3000:$AD$3008,[1]Desglose_BOM_Componentes!$B$3000:$B$3008,$A285,[1]Desglose_BOM_Componentes!$X$3000:$X$3008,"Empaquetado"))</f>
        <v>0.29959100152740586</v>
      </c>
      <c r="I285" s="6">
        <f t="shared" si="30"/>
        <v>2.0842850015274057</v>
      </c>
      <c r="J285" s="1" t="str">
        <f t="shared" si="26"/>
        <v>Completo</v>
      </c>
      <c r="K285" s="1">
        <f>COUNTIFS([1]Desglose_BOM_Componentes!$B$3000:$B$3008,$A285,[1]Desglose_BOM_Componentes!$AE$3000:$AE$3008,"Sin precio")</f>
        <v>0</v>
      </c>
      <c r="L285" s="1" t="str">
        <f>IF('[1]Precios componentes'!D11="Sin precio","AGUA; ","")&amp;IF('[1]Precios componentes'!D75="Sin precio","FOF; ","")&amp;IF('[1]Precios componentes'!D90="Sin precio","HPOL;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componentes'!D34="Sin precio","CAG; ","")&amp;IF('[1]Precios componentes'!D149="Sin precio","TPD63I; ","")</f>
        <v/>
      </c>
    </row>
    <row r="286" spans="1:12" ht="22" customHeight="1">
      <c r="A286" s="1" t="s">
        <v>316</v>
      </c>
      <c r="B286" s="1" t="s">
        <v>18</v>
      </c>
      <c r="C286" s="1" t="s">
        <v>69</v>
      </c>
      <c r="D286" s="4">
        <f>IF(COUNTIFS([1]Desglose_BOM_Componentes!$B$3009:$B$3017,$A286,[1]Desglose_BOM_Componentes!$AE$3009:$AE$3017,"Sin precio",[1]Desglose_BOM_Componentes!$X$3009:$X$3017,"Formulación")&gt;0,"n.d.",SUMIFS([1]Desglose_BOM_Componentes!$AC$3009:$AC$3017,[1]Desglose_BOM_Componentes!$B$3009:$B$3017,$A286,[1]Desglose_BOM_Componentes!$X$3009:$X$3017,"Formulación"))</f>
        <v>3.21007</v>
      </c>
      <c r="E286" s="4">
        <f>IF(COUNTIFS([1]Desglose_BOM_Componentes!$B$3009:$B$3017,$A286,[1]Desglose_BOM_Componentes!$AE$3009:$AE$3017,"Sin precio",[1]Desglose_BOM_Componentes!$X$3009:$X$3017,"Empaquetado")&gt;0,"n.d.",SUMIFS([1]Desglose_BOM_Componentes!$AC$3009:$AC$3017,[1]Desglose_BOM_Componentes!$B$3009:$B$3017,$A286,[1]Desglose_BOM_Componentes!$X$3009:$X$3017,"Empaquetado"))</f>
        <v>0.29959100152740586</v>
      </c>
      <c r="F286" s="6">
        <f t="shared" si="29"/>
        <v>3.5138610015274057</v>
      </c>
      <c r="G286" s="4">
        <f>IF(COUNTIFS([1]Desglose_BOM_Componentes!$B$3009:$B$3017,$A286,[1]Desglose_BOM_Componentes!$AE$3009:$AE$3017,"Sin precio",[1]Desglose_BOM_Componentes!$X$3009:$X$3017,"Formulación")&gt;0,"n.d.",SUMIFS([1]Desglose_BOM_Componentes!$AD$3009:$AD$3017,[1]Desglose_BOM_Componentes!$B$3009:$B$3017,$A286,[1]Desglose_BOM_Componentes!$X$3009:$X$3017,"Formulación"))</f>
        <v>1.780494</v>
      </c>
      <c r="H286" s="4">
        <f>IF(COUNTIFS([1]Desglose_BOM_Componentes!$B$3009:$B$3017,$A286,[1]Desglose_BOM_Componentes!$AE$3009:$AE$3017,"Sin precio",[1]Desglose_BOM_Componentes!$X$3009:$X$3017,"Empaquetado")&gt;0,"n.d.",SUMIFS([1]Desglose_BOM_Componentes!$AD$3009:$AD$3017,[1]Desglose_BOM_Componentes!$B$3009:$B$3017,$A286,[1]Desglose_BOM_Componentes!$X$3009:$X$3017,"Empaquetado"))</f>
        <v>0.29959100152740586</v>
      </c>
      <c r="I286" s="6">
        <f t="shared" si="30"/>
        <v>2.0842850015274057</v>
      </c>
      <c r="J286" s="1" t="str">
        <f t="shared" si="26"/>
        <v>Completo</v>
      </c>
      <c r="K286" s="1">
        <f>COUNTIFS([1]Desglose_BOM_Componentes!$B$3009:$B$3017,$A286,[1]Desglose_BOM_Componentes!$AE$3009:$AE$3017,"Sin precio")</f>
        <v>0</v>
      </c>
      <c r="L286" s="1" t="str">
        <f>IF('[1]Precios componentes'!D11="Sin precio","AGUA; ","")&amp;IF('[1]Precios componentes'!D75="Sin precio","FOF; ","")&amp;IF('[1]Precios componentes'!D90="Sin precio","HPOL;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componentes'!D34="Sin precio","CAG; ","")&amp;IF('[1]Precios componentes'!D149="Sin precio","TPD63I; ","")</f>
        <v/>
      </c>
    </row>
    <row r="287" spans="1:12" ht="22" customHeight="1">
      <c r="A287" s="1" t="s">
        <v>317</v>
      </c>
      <c r="B287" s="1" t="s">
        <v>18</v>
      </c>
      <c r="C287" s="1" t="s">
        <v>26</v>
      </c>
      <c r="D287" s="4">
        <f>IF(COUNTIFS([1]Desglose_BOM_Componentes!$B$3023:$B$3038,$A287,[1]Desglose_BOM_Componentes!$AE$3023:$AE$3038,"Sin precio",[1]Desglose_BOM_Componentes!$X$3023:$X$3038,"Formulación")&gt;0,"n.d.",SUMIFS([1]Desglose_BOM_Componentes!$AC$3023:$AC$3038,[1]Desglose_BOM_Componentes!$B$3023:$B$3038,$A287,[1]Desglose_BOM_Componentes!$X$3023:$X$3038,"Formulación"))</f>
        <v>2.9166382400000002</v>
      </c>
      <c r="E287" s="4">
        <f>IF(COUNTIFS([1]Desglose_BOM_Componentes!$B$3023:$B$3038,$A287,[1]Desglose_BOM_Componentes!$AE$3023:$AE$3038,"Sin precio",[1]Desglose_BOM_Componentes!$X$3023:$X$3038,"Empaquetado")&gt;0,"n.d.",SUMIFS([1]Desglose_BOM_Componentes!$AC$3023:$AC$3038,[1]Desglose_BOM_Componentes!$B$3023:$B$3038,$A287,[1]Desglose_BOM_Componentes!$X$3023:$X$3038,"Empaquetado"))</f>
        <v>0.31737480152740588</v>
      </c>
      <c r="F287" s="6">
        <f t="shared" si="29"/>
        <v>3.238213041527406</v>
      </c>
      <c r="G287" s="4">
        <f>IF(COUNTIFS([1]Desglose_BOM_Componentes!$B$3023:$B$3038,$A287,[1]Desglose_BOM_Componentes!$AE$3023:$AE$3038,"Sin precio",[1]Desglose_BOM_Componentes!$X$3023:$X$3038,"Formulación")&gt;0,"n.d.",SUMIFS([1]Desglose_BOM_Componentes!$AD$3023:$AD$3038,[1]Desglose_BOM_Componentes!$B$3023:$B$3038,$A287,[1]Desglose_BOM_Componentes!$X$3023:$X$3038,"Formulación"))</f>
        <v>1.6555486790952383</v>
      </c>
      <c r="H287" s="4">
        <f>IF(COUNTIFS([1]Desglose_BOM_Componentes!$B$3023:$B$3038,$A287,[1]Desglose_BOM_Componentes!$AE$3023:$AE$3038,"Sin precio",[1]Desglose_BOM_Componentes!$X$3023:$X$3038,"Empaquetado")&gt;0,"n.d.",SUMIFS([1]Desglose_BOM_Componentes!$AD$3023:$AD$3038,[1]Desglose_BOM_Componentes!$B$3023:$B$3038,$A287,[1]Desglose_BOM_Componentes!$X$3023:$X$3038,"Empaquetado"))</f>
        <v>0.31737480152740588</v>
      </c>
      <c r="I287" s="6">
        <f t="shared" si="30"/>
        <v>1.9771234806226441</v>
      </c>
      <c r="J287" s="1" t="str">
        <f t="shared" si="26"/>
        <v>Completo</v>
      </c>
      <c r="K287" s="1">
        <f>COUNTIFS([1]Desglose_BOM_Componentes!$B$3023:$B$3038,$A287,[1]Desglose_BOM_Componentes!$AE$3023:$AE$3038,"Sin precio")</f>
        <v>0</v>
      </c>
      <c r="L287" s="1" t="str">
        <f>IF('[1]Precios componentes'!D28="Sin precio","BORL; ","")&amp;IF('[1]Precios componentes'!D11="Sin precio","AGUA; ","")&amp;IF('[1]Precios componentes'!D75="Sin precio","FOF; ","")&amp;IF('[1]Precios componentes'!D90="Sin precio","HPOL; ","")&amp;IF('[1]Precios componentes'!D154="Sin precio","URE; ","")&amp;IF('[1]Precios componentes'!D108="Sin precio","MOSO; ","")&amp;IF('[1]Precios componentes'!D55="Sin precio","EDTACU; ","")&amp;IF('[1]Precios componentes'!D56="Sin precio","EDTAFE; ","")&amp;IF('[1]Precios componentes'!D57="Sin precio","EDTAMN; ","")&amp;IF('[1]Precios componentes'!D58="Sin precio","EDTAZN;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288" spans="1:12" ht="22" customHeight="1">
      <c r="A288" s="1" t="s">
        <v>318</v>
      </c>
      <c r="B288" s="1" t="s">
        <v>18</v>
      </c>
      <c r="C288" s="1" t="s">
        <v>26</v>
      </c>
      <c r="D288" s="4">
        <f>IF(COUNTIFS([1]Desglose_BOM_Componentes!$B$3039:$B$3053,$A288,[1]Desglose_BOM_Componentes!$AE$3039:$AE$3053,"Sin precio",[1]Desglose_BOM_Componentes!$X$3039:$X$3053,"Formulación")&gt;0,"n.d.",SUMIFS([1]Desglose_BOM_Componentes!$AC$3039:$AC$3053,[1]Desglose_BOM_Componentes!$B$3039:$B$3053,$A288,[1]Desglose_BOM_Componentes!$X$3039:$X$3053,"Formulación"))</f>
        <v>2.9166382400000002</v>
      </c>
      <c r="E288" s="4">
        <f>IF(COUNTIFS([1]Desglose_BOM_Componentes!$B$3039:$B$3053,$A288,[1]Desglose_BOM_Componentes!$AE$3039:$AE$3053,"Sin precio",[1]Desglose_BOM_Componentes!$X$3039:$X$3053,"Empaquetado")&gt;0,"n.d.",SUMIFS([1]Desglose_BOM_Componentes!$AC$3039:$AC$3053,[1]Desglose_BOM_Componentes!$B$3039:$B$3053,$A288,[1]Desglose_BOM_Componentes!$X$3039:$X$3053,"Empaquetado"))</f>
        <v>0.24059068544470363</v>
      </c>
      <c r="F288" s="6">
        <f t="shared" si="29"/>
        <v>3.1614289254447039</v>
      </c>
      <c r="G288" s="4">
        <f>IF(COUNTIFS([1]Desglose_BOM_Componentes!$B$3039:$B$3053,$A288,[1]Desglose_BOM_Componentes!$AE$3039:$AE$3053,"Sin precio",[1]Desglose_BOM_Componentes!$X$3039:$X$3053,"Formulación")&gt;0,"n.d.",SUMIFS([1]Desglose_BOM_Componentes!$AD$3039:$AD$3053,[1]Desglose_BOM_Componentes!$B$3039:$B$3053,$A288,[1]Desglose_BOM_Componentes!$X$3039:$X$3053,"Formulación"))</f>
        <v>1.6555486790952383</v>
      </c>
      <c r="H288" s="4">
        <f>IF(COUNTIFS([1]Desglose_BOM_Componentes!$B$3039:$B$3053,$A288,[1]Desglose_BOM_Componentes!$AE$3039:$AE$3053,"Sin precio",[1]Desglose_BOM_Componentes!$X$3039:$X$3053,"Empaquetado")&gt;0,"n.d.",SUMIFS([1]Desglose_BOM_Componentes!$AD$3039:$AD$3053,[1]Desglose_BOM_Componentes!$B$3039:$B$3053,$A288,[1]Desglose_BOM_Componentes!$X$3039:$X$3053,"Empaquetado"))</f>
        <v>0.24059068544470363</v>
      </c>
      <c r="I288" s="6">
        <f t="shared" si="30"/>
        <v>1.900339364539942</v>
      </c>
      <c r="J288" s="1" t="str">
        <f t="shared" si="26"/>
        <v>Completo</v>
      </c>
      <c r="K288" s="1">
        <f>COUNTIFS([1]Desglose_BOM_Componentes!$B$3039:$B$3053,$A288,[1]Desglose_BOM_Componentes!$AE$3039:$AE$3053,"Sin precio")</f>
        <v>0</v>
      </c>
      <c r="L288" s="1" t="str">
        <f>IF('[1]Precios componentes'!D28="Sin precio","BORL; ","")&amp;IF('[1]Precios componentes'!D11="Sin precio","AGUA; ","")&amp;IF('[1]Precios componentes'!D75="Sin precio","FOF; ","")&amp;IF('[1]Precios componentes'!D90="Sin precio","HPOL; ","")&amp;IF('[1]Precios componentes'!D154="Sin precio","URE; ","")&amp;IF('[1]Precios componentes'!D108="Sin precio","MOSO; ","")&amp;IF('[1]Precios componentes'!D55="Sin precio","EDTACU; ","")&amp;IF('[1]Precios componentes'!D56="Sin precio","EDTAFE; ","")&amp;IF('[1]Precios componentes'!D57="Sin precio","EDTAMN; ","")&amp;IF('[1]Precios componentes'!D58="Sin precio","EDTAZN;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289" spans="1:12" ht="22" customHeight="1">
      <c r="A289" s="1" t="s">
        <v>319</v>
      </c>
      <c r="B289" s="1" t="s">
        <v>18</v>
      </c>
      <c r="C289" s="1" t="s">
        <v>161</v>
      </c>
      <c r="D289" s="4">
        <f>IF(COUNTIFS([1]Desglose_BOM_Componentes!$B$3054:$B$3065,$A289,[1]Desglose_BOM_Componentes!$AE$3054:$AE$3065,"Sin precio",[1]Desglose_BOM_Componentes!$X$3054:$X$3065,"Formulación")&gt;0,"n.d.",SUMIFS([1]Desglose_BOM_Componentes!$AC$3054:$AC$3065,[1]Desglose_BOM_Componentes!$B$3054:$B$3065,$A289,[1]Desglose_BOM_Componentes!$X$3054:$X$3065,"Formulación"))</f>
        <v>0.68482299999999996</v>
      </c>
      <c r="E289" s="4">
        <f>IF(COUNTIFS([1]Desglose_BOM_Componentes!$B$3054:$B$3065,$A289,[1]Desglose_BOM_Componentes!$AE$3054:$AE$3065,"Sin precio",[1]Desglose_BOM_Componentes!$X$3054:$X$3065,"Empaquetado")&gt;0,"n.d.",SUMIFS([1]Desglose_BOM_Componentes!$AC$3054:$AC$3065,[1]Desglose_BOM_Componentes!$B$3054:$B$3065,$A289,[1]Desglose_BOM_Componentes!$X$3054:$X$3065,"Empaquetado"))</f>
        <v>0.11710143993558776</v>
      </c>
      <c r="F289" s="6">
        <f t="shared" si="29"/>
        <v>0.80612443993558769</v>
      </c>
      <c r="G289" s="4">
        <f>IF(COUNTIFS([1]Desglose_BOM_Componentes!$B$3054:$B$3065,$A289,[1]Desglose_BOM_Componentes!$AE$3054:$AE$3065,"Sin precio",[1]Desglose_BOM_Componentes!$X$3054:$X$3065,"Formulación")&gt;0,"n.d.",SUMIFS([1]Desglose_BOM_Componentes!$AD$3054:$AD$3065,[1]Desglose_BOM_Componentes!$B$3054:$B$3065,$A289,[1]Desglose_BOM_Componentes!$X$3054:$X$3065,"Formulación"))</f>
        <v>0.64227186666666658</v>
      </c>
      <c r="H289" s="4">
        <f>IF(COUNTIFS([1]Desglose_BOM_Componentes!$B$3054:$B$3065,$A289,[1]Desglose_BOM_Componentes!$AE$3054:$AE$3065,"Sin precio",[1]Desglose_BOM_Componentes!$X$3054:$X$3065,"Empaquetado")&gt;0,"n.d.",SUMIFS([1]Desglose_BOM_Componentes!$AD$3054:$AD$3065,[1]Desglose_BOM_Componentes!$B$3054:$B$3065,$A289,[1]Desglose_BOM_Componentes!$X$3054:$X$3065,"Empaquetado"))</f>
        <v>0.11710143993558776</v>
      </c>
      <c r="I289" s="6">
        <f t="shared" si="30"/>
        <v>0.76357330660225431</v>
      </c>
      <c r="J289" s="1" t="str">
        <f t="shared" si="26"/>
        <v>Completo</v>
      </c>
      <c r="K289" s="1">
        <f>COUNTIFS([1]Desglose_BOM_Componentes!$B$3054:$B$3065,$A289,[1]Desglose_BOM_Componentes!$AE$3054:$AE$3065,"Sin precio")</f>
        <v>0</v>
      </c>
      <c r="L289" s="1" t="str">
        <f>IF('[1]Precios componentes'!D93="Sin precio","KF78; ","")&amp;IF('[1]Precios componentes'!D28="Sin precio","BORL; ","")&amp;IF('[1]Precios componentes'!D124="Sin precio","SAC; ","")&amp;IF('[1]Precios componentes'!D155="Sin precio","UREL; ","")&amp;IF('[1]Precios componentes'!D127="Sin precio","SBT70; ","")&amp;IF('[1]Precios componentes'!D110="Sin precio","NCA; ","")&amp;IF('[1]Precios componentes'!D80="Sin precio","GLI; ","")&amp;IF('[1]Precios componentes'!D8="Sin precio","ACE; ","")&amp;IF('[1]Precios componentes'!D122="Sin precio","ROJ; ","")&amp;IF('[1]Precios componentes'!D12="Sin precio","AMARILLO; ","")&amp;IF('[1]Precios componentes'!D30="Sin precio","C1000; ","")&amp;IF('[1]Precios componentes'!D95="Sin precio","KIA250; ","")</f>
        <v/>
      </c>
    </row>
    <row r="290" spans="1:12" ht="22" customHeight="1">
      <c r="A290" s="1" t="s">
        <v>320</v>
      </c>
      <c r="B290" s="1" t="s">
        <v>18</v>
      </c>
      <c r="C290" s="1" t="s">
        <v>69</v>
      </c>
      <c r="D290" s="4">
        <f>IF(COUNTIFS([1]Desglose_BOM_Componentes!$B$3066:$B$3083,$A290,[1]Desglose_BOM_Componentes!$AE$3066:$AE$3083,"Sin precio",[1]Desglose_BOM_Componentes!$X$3066:$X$3083,"Formulación")&gt;0,"n.d.",SUMIFS([1]Desglose_BOM_Componentes!$AC$3066:$AC$3083,[1]Desglose_BOM_Componentes!$B$3066:$B$3083,$A290,[1]Desglose_BOM_Componentes!$X$3066:$X$3083,"Formulación"))</f>
        <v>0.55652650000000004</v>
      </c>
      <c r="E290" s="4">
        <f>IF(COUNTIFS([1]Desglose_BOM_Componentes!$B$3066:$B$3083,$A290,[1]Desglose_BOM_Componentes!$AE$3066:$AE$3083,"Sin precio",[1]Desglose_BOM_Componentes!$X$3066:$X$3083,"Empaquetado")&gt;0,"n.d.",SUMIFS([1]Desglose_BOM_Componentes!$AC$3066:$AC$3083,[1]Desglose_BOM_Componentes!$B$3066:$B$3083,$A290,[1]Desglose_BOM_Componentes!$X$3066:$X$3083,"Empaquetado"))</f>
        <v>0.75344791441438252</v>
      </c>
      <c r="F290" s="6">
        <f t="shared" si="29"/>
        <v>1.3141744144143825</v>
      </c>
      <c r="G290" s="4">
        <f>IF(COUNTIFS([1]Desglose_BOM_Componentes!$B$3066:$B$3083,$A290,[1]Desglose_BOM_Componentes!$AE$3066:$AE$3083,"Sin precio",[1]Desglose_BOM_Componentes!$X$3066:$X$3083,"Formulación")&gt;0,"n.d.",SUMIFS([1]Desglose_BOM_Componentes!$AD$3066:$AD$3083,[1]Desglose_BOM_Componentes!$B$3066:$B$3083,$A290,[1]Desglose_BOM_Componentes!$X$3066:$X$3083,"Formulación"))</f>
        <v>0.51498036666666669</v>
      </c>
      <c r="H290" s="4">
        <f>IF(COUNTIFS([1]Desglose_BOM_Componentes!$B$3066:$B$3083,$A290,[1]Desglose_BOM_Componentes!$AE$3066:$AE$3083,"Sin precio",[1]Desglose_BOM_Componentes!$X$3066:$X$3083,"Empaquetado")&gt;0,"n.d.",SUMIFS([1]Desglose_BOM_Componentes!$AD$3066:$AD$3083,[1]Desglose_BOM_Componentes!$B$3066:$B$3083,$A290,[1]Desglose_BOM_Componentes!$X$3066:$X$3083,"Empaquetado"))</f>
        <v>0.75344791441438252</v>
      </c>
      <c r="I290" s="6">
        <f t="shared" si="30"/>
        <v>1.2726282810810492</v>
      </c>
      <c r="J290" s="1" t="str">
        <f t="shared" si="26"/>
        <v>Completo</v>
      </c>
      <c r="K290" s="1">
        <f>COUNTIFS([1]Desglose_BOM_Componentes!$B$3066:$B$3083,$A290,[1]Desglose_BOM_Componentes!$AE$3066:$AE$3083,"Sin precio")</f>
        <v>0</v>
      </c>
      <c r="L290" s="1" t="str">
        <f>IF('[1]Precios componentes'!D93="Sin precio","KF78; ","")&amp;IF('[1]Precios componentes'!D28="Sin precio","BORL; ","")&amp;IF('[1]Precios componentes'!D8="Sin precio","ACE; ","")&amp;IF('[1]Precios componentes'!D122="Sin precio","ROJ; ","")&amp;IF('[1]Precios componentes'!D79="Sin precio","GLBE; ","")&amp;IF('[1]Precios componentes'!D112="Sin precio","NMGL; ","")&amp;IF('[1]Precios componentes'!D124="Sin precio","SAC; ","")&amp;IF('[1]Precios componentes'!D127="Sin precio","SBT70; ","")&amp;IF('[1]Precios componentes'!D110="Sin precio","NCA; ","")&amp;IF('[1]Precios componentes'!D12="Sin precio","AMARILLO; ","")&amp;IF('[1]Precios componentes'!D80="Sin precio","GLI; ","")&amp;IF('[1]Precios componentes'!D121="Sin precio","RAD;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91" spans="1:12" ht="22" customHeight="1">
      <c r="A291" s="1" t="s">
        <v>321</v>
      </c>
      <c r="B291" s="1" t="s">
        <v>18</v>
      </c>
      <c r="C291" s="1" t="s">
        <v>19</v>
      </c>
      <c r="D291" s="4">
        <f>IF(COUNTIFS([1]Desglose_BOM_Componentes!$B$3084:$B$3101,$A291,[1]Desglose_BOM_Componentes!$AE$3084:$AE$3101,"Sin precio",[1]Desglose_BOM_Componentes!$X$3084:$X$3101,"Formulación")&gt;0,"n.d.",SUMIFS([1]Desglose_BOM_Componentes!$AC$3084:$AC$3101,[1]Desglose_BOM_Componentes!$B$3084:$B$3101,$A291,[1]Desglose_BOM_Componentes!$X$3084:$X$3101,"Formulación"))</f>
        <v>0.55652650000000004</v>
      </c>
      <c r="E291" s="4">
        <f>IF(COUNTIFS([1]Desglose_BOM_Componentes!$B$3084:$B$3101,$A291,[1]Desglose_BOM_Componentes!$AE$3084:$AE$3101,"Sin precio",[1]Desglose_BOM_Componentes!$X$3084:$X$3101,"Empaquetado")&gt;0,"n.d.",SUMIFS([1]Desglose_BOM_Componentes!$AC$3084:$AC$3101,[1]Desglose_BOM_Componentes!$B$3084:$B$3101,$A291,[1]Desglose_BOM_Componentes!$X$3084:$X$3101,"Empaquetado"))</f>
        <v>0.75344791441438252</v>
      </c>
      <c r="F291" s="6">
        <f t="shared" si="29"/>
        <v>1.3141744144143825</v>
      </c>
      <c r="G291" s="4">
        <f>IF(COUNTIFS([1]Desglose_BOM_Componentes!$B$3084:$B$3101,$A291,[1]Desglose_BOM_Componentes!$AE$3084:$AE$3101,"Sin precio",[1]Desglose_BOM_Componentes!$X$3084:$X$3101,"Formulación")&gt;0,"n.d.",SUMIFS([1]Desglose_BOM_Componentes!$AD$3084:$AD$3101,[1]Desglose_BOM_Componentes!$B$3084:$B$3101,$A291,[1]Desglose_BOM_Componentes!$X$3084:$X$3101,"Formulación"))</f>
        <v>0.51498036666666669</v>
      </c>
      <c r="H291" s="4">
        <f>IF(COUNTIFS([1]Desglose_BOM_Componentes!$B$3084:$B$3101,$A291,[1]Desglose_BOM_Componentes!$AE$3084:$AE$3101,"Sin precio",[1]Desglose_BOM_Componentes!$X$3084:$X$3101,"Empaquetado")&gt;0,"n.d.",SUMIFS([1]Desglose_BOM_Componentes!$AD$3084:$AD$3101,[1]Desglose_BOM_Componentes!$B$3084:$B$3101,$A291,[1]Desglose_BOM_Componentes!$X$3084:$X$3101,"Empaquetado"))</f>
        <v>0.75344791441438252</v>
      </c>
      <c r="I291" s="6">
        <f t="shared" si="30"/>
        <v>1.2726282810810492</v>
      </c>
      <c r="J291" s="1" t="str">
        <f t="shared" si="26"/>
        <v>Completo</v>
      </c>
      <c r="K291" s="1">
        <f>COUNTIFS([1]Desglose_BOM_Componentes!$B$3084:$B$3101,$A291,[1]Desglose_BOM_Componentes!$AE$3084:$AE$3101,"Sin precio")</f>
        <v>0</v>
      </c>
      <c r="L291" s="1" t="str">
        <f>IF('[1]Precios componentes'!D93="Sin precio","KF78; ","")&amp;IF('[1]Precios componentes'!D28="Sin precio","BORL; ","")&amp;IF('[1]Precios componentes'!D8="Sin precio","ACE; ","")&amp;IF('[1]Precios componentes'!D122="Sin precio","ROJ; ","")&amp;IF('[1]Precios componentes'!D79="Sin precio","GLBE; ","")&amp;IF('[1]Precios componentes'!D112="Sin precio","NMGL; ","")&amp;IF('[1]Precios componentes'!D124="Sin precio","SAC; ","")&amp;IF('[1]Precios componentes'!D127="Sin precio","SBT70; ","")&amp;IF('[1]Precios componentes'!D110="Sin precio","NCA; ","")&amp;IF('[1]Precios componentes'!D12="Sin precio","AMARILLO; ","")&amp;IF('[1]Precios componentes'!D80="Sin precio","GLI; ","")&amp;IF('[1]Precios componentes'!D121="Sin precio","RAD;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92" spans="1:12" ht="22" customHeight="1">
      <c r="A292" s="1" t="s">
        <v>322</v>
      </c>
      <c r="B292" s="1" t="s">
        <v>18</v>
      </c>
      <c r="C292" s="1" t="s">
        <v>24</v>
      </c>
      <c r="D292" s="4">
        <f>IF(COUNTIFS([1]Desglose_BOM_Componentes!$B$3102:$B$3118,$A292,[1]Desglose_BOM_Componentes!$AE$3102:$AE$3118,"Sin precio",[1]Desglose_BOM_Componentes!$X$3102:$X$3118,"Formulación")&gt;0,"n.d.",SUMIFS([1]Desglose_BOM_Componentes!$AC$3102:$AC$3118,[1]Desglose_BOM_Componentes!$B$3102:$B$3118,$A292,[1]Desglose_BOM_Componentes!$X$3102:$X$3118,"Formulación"))</f>
        <v>0.55652650000000004</v>
      </c>
      <c r="E292" s="4">
        <f>IF(COUNTIFS([1]Desglose_BOM_Componentes!$B$3102:$B$3118,$A292,[1]Desglose_BOM_Componentes!$AE$3102:$AE$3118,"Sin precio",[1]Desglose_BOM_Componentes!$X$3102:$X$3118,"Empaquetado")&gt;0,"n.d.",SUMIFS([1]Desglose_BOM_Componentes!$AC$3102:$AC$3118,[1]Desglose_BOM_Componentes!$B$3102:$B$3118,$A292,[1]Desglose_BOM_Componentes!$X$3102:$X$3118,"Empaquetado"))</f>
        <v>0.23158280727404049</v>
      </c>
      <c r="F292" s="6">
        <f t="shared" si="29"/>
        <v>0.79230930727404048</v>
      </c>
      <c r="G292" s="4">
        <f>IF(COUNTIFS([1]Desglose_BOM_Componentes!$B$3102:$B$3118,$A292,[1]Desglose_BOM_Componentes!$AE$3102:$AE$3118,"Sin precio",[1]Desglose_BOM_Componentes!$X$3102:$X$3118,"Formulación")&gt;0,"n.d.",SUMIFS([1]Desglose_BOM_Componentes!$AD$3102:$AD$3118,[1]Desglose_BOM_Componentes!$B$3102:$B$3118,$A292,[1]Desglose_BOM_Componentes!$X$3102:$X$3118,"Formulación"))</f>
        <v>0.51498036666666669</v>
      </c>
      <c r="H292" s="4">
        <f>IF(COUNTIFS([1]Desglose_BOM_Componentes!$B$3102:$B$3118,$A292,[1]Desglose_BOM_Componentes!$AE$3102:$AE$3118,"Sin precio",[1]Desglose_BOM_Componentes!$X$3102:$X$3118,"Empaquetado")&gt;0,"n.d.",SUMIFS([1]Desglose_BOM_Componentes!$AD$3102:$AD$3118,[1]Desglose_BOM_Componentes!$B$3102:$B$3118,$A292,[1]Desglose_BOM_Componentes!$X$3102:$X$3118,"Empaquetado"))</f>
        <v>0.23158280727404049</v>
      </c>
      <c r="I292" s="6">
        <f t="shared" si="30"/>
        <v>0.75076317394070713</v>
      </c>
      <c r="J292" s="1" t="str">
        <f t="shared" si="26"/>
        <v>Completo</v>
      </c>
      <c r="K292" s="1">
        <f>COUNTIFS([1]Desglose_BOM_Componentes!$B$3102:$B$3118,$A292,[1]Desglose_BOM_Componentes!$AE$3102:$AE$3118,"Sin precio")</f>
        <v>0</v>
      </c>
      <c r="L292" s="1" t="str">
        <f>IF('[1]Precios componentes'!D93="Sin precio","KF78; ","")&amp;IF('[1]Precios componentes'!D28="Sin precio","BORL; ","")&amp;IF('[1]Precios componentes'!D8="Sin precio","ACE; ","")&amp;IF('[1]Precios componentes'!D122="Sin precio","ROJ; ","")&amp;IF('[1]Precios componentes'!D79="Sin precio","GLBE; ","")&amp;IF('[1]Precios componentes'!D112="Sin precio","NMGL; ","")&amp;IF('[1]Precios componentes'!D124="Sin precio","SAC; ","")&amp;IF('[1]Precios componentes'!D127="Sin precio","SBT70; ","")&amp;IF('[1]Precios componentes'!D110="Sin precio","NCA; ","")&amp;IF('[1]Precios componentes'!D12="Sin precio","AMARILLO; ","")&amp;IF('[1]Precios componentes'!D80="Sin precio","GLI; ","")&amp;IF('[1]Precios componentes'!D121="Sin precio","RAD;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293" spans="1:12" ht="22" customHeight="1">
      <c r="A293" s="1" t="s">
        <v>323</v>
      </c>
      <c r="B293" s="1" t="s">
        <v>18</v>
      </c>
      <c r="C293" s="1" t="s">
        <v>19</v>
      </c>
      <c r="D293" s="4">
        <f>IF(COUNTIFS([1]Desglose_BOM_Componentes!$B$3119:$B$3135,$A293,[1]Desglose_BOM_Componentes!$AE$3119:$AE$3135,"Sin precio",[1]Desglose_BOM_Componentes!$X$3119:$X$3135,"Formulación")&gt;0,"n.d.",SUMIFS([1]Desglose_BOM_Componentes!$AC$3119:$AC$3135,[1]Desglose_BOM_Componentes!$B$3119:$B$3135,$A293,[1]Desglose_BOM_Componentes!$X$3119:$X$3135,"Formulación"))</f>
        <v>0.55652650000000004</v>
      </c>
      <c r="E293" s="4">
        <f>IF(COUNTIFS([1]Desglose_BOM_Componentes!$B$3119:$B$3135,$A293,[1]Desglose_BOM_Componentes!$AE$3119:$AE$3135,"Sin precio",[1]Desglose_BOM_Componentes!$X$3119:$X$3135,"Empaquetado")&gt;0,"n.d.",SUMIFS([1]Desglose_BOM_Componentes!$AC$3119:$AC$3135,[1]Desglose_BOM_Componentes!$B$3119:$B$3135,$A293,[1]Desglose_BOM_Componentes!$X$3119:$X$3135,"Empaquetado"))</f>
        <v>0.23158280727404049</v>
      </c>
      <c r="F293" s="6">
        <f t="shared" si="29"/>
        <v>0.79230930727404048</v>
      </c>
      <c r="G293" s="4">
        <f>IF(COUNTIFS([1]Desglose_BOM_Componentes!$B$3119:$B$3135,$A293,[1]Desglose_BOM_Componentes!$AE$3119:$AE$3135,"Sin precio",[1]Desglose_BOM_Componentes!$X$3119:$X$3135,"Formulación")&gt;0,"n.d.",SUMIFS([1]Desglose_BOM_Componentes!$AD$3119:$AD$3135,[1]Desglose_BOM_Componentes!$B$3119:$B$3135,$A293,[1]Desglose_BOM_Componentes!$X$3119:$X$3135,"Formulación"))</f>
        <v>0.51498036666666669</v>
      </c>
      <c r="H293" s="4">
        <f>IF(COUNTIFS([1]Desglose_BOM_Componentes!$B$3119:$B$3135,$A293,[1]Desglose_BOM_Componentes!$AE$3119:$AE$3135,"Sin precio",[1]Desglose_BOM_Componentes!$X$3119:$X$3135,"Empaquetado")&gt;0,"n.d.",SUMIFS([1]Desglose_BOM_Componentes!$AD$3119:$AD$3135,[1]Desglose_BOM_Componentes!$B$3119:$B$3135,$A293,[1]Desglose_BOM_Componentes!$X$3119:$X$3135,"Empaquetado"))</f>
        <v>0.23158280727404049</v>
      </c>
      <c r="I293" s="6">
        <f t="shared" si="30"/>
        <v>0.75076317394070713</v>
      </c>
      <c r="J293" s="1" t="str">
        <f t="shared" si="26"/>
        <v>Completo</v>
      </c>
      <c r="K293" s="1">
        <f>COUNTIFS([1]Desglose_BOM_Componentes!$B$3119:$B$3135,$A293,[1]Desglose_BOM_Componentes!$AE$3119:$AE$3135,"Sin precio")</f>
        <v>0</v>
      </c>
      <c r="L293" s="1" t="str">
        <f>IF('[1]Precios componentes'!D93="Sin precio","KF78; ","")&amp;IF('[1]Precios componentes'!D28="Sin precio","BORL; ","")&amp;IF('[1]Precios componentes'!D8="Sin precio","ACE; ","")&amp;IF('[1]Precios componentes'!D122="Sin precio","ROJ; ","")&amp;IF('[1]Precios componentes'!D79="Sin precio","GLBE; ","")&amp;IF('[1]Precios componentes'!D112="Sin precio","NMGL; ","")&amp;IF('[1]Precios componentes'!D124="Sin precio","SAC; ","")&amp;IF('[1]Precios componentes'!D127="Sin precio","SBT70; ","")&amp;IF('[1]Precios componentes'!D110="Sin precio","NCA; ","")&amp;IF('[1]Precios componentes'!D12="Sin precio","AMARILLO; ","")&amp;IF('[1]Precios componentes'!D80="Sin precio","GLI; ","")&amp;IF('[1]Precios componentes'!D121="Sin precio","RAD;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294" spans="1:12" ht="22" customHeight="1">
      <c r="A294" s="1" t="s">
        <v>324</v>
      </c>
      <c r="B294" s="1" t="s">
        <v>18</v>
      </c>
      <c r="C294" s="1" t="s">
        <v>24</v>
      </c>
      <c r="D294" s="4">
        <f>IF(COUNTIFS([1]Desglose_BOM_Componentes!$B$3136:$B$3153,$A294,[1]Desglose_BOM_Componentes!$AE$3136:$AE$3153,"Sin precio",[1]Desglose_BOM_Componentes!$X$3136:$X$3153,"Formulación")&gt;0,"n.d.",SUMIFS([1]Desglose_BOM_Componentes!$AC$3136:$AC$3153,[1]Desglose_BOM_Componentes!$B$3136:$B$3153,$A294,[1]Desglose_BOM_Componentes!$X$3136:$X$3153,"Formulación"))</f>
        <v>0.55652650000000004</v>
      </c>
      <c r="E294" s="4">
        <f>IF(COUNTIFS([1]Desglose_BOM_Componentes!$B$3136:$B$3153,$A294,[1]Desglose_BOM_Componentes!$AE$3136:$AE$3153,"Sin precio",[1]Desglose_BOM_Componentes!$X$3136:$X$3153,"Empaquetado")&gt;0,"n.d.",SUMIFS([1]Desglose_BOM_Componentes!$AC$3136:$AC$3153,[1]Desglose_BOM_Componentes!$B$3136:$B$3153,$A294,[1]Desglose_BOM_Componentes!$X$3136:$X$3153,"Empaquetado"))</f>
        <v>0.19508731331430246</v>
      </c>
      <c r="F294" s="6">
        <f t="shared" si="29"/>
        <v>0.75581381331430242</v>
      </c>
      <c r="G294" s="4">
        <f>IF(COUNTIFS([1]Desglose_BOM_Componentes!$B$3136:$B$3153,$A294,[1]Desglose_BOM_Componentes!$AE$3136:$AE$3153,"Sin precio",[1]Desglose_BOM_Componentes!$X$3136:$X$3153,"Formulación")&gt;0,"n.d.",SUMIFS([1]Desglose_BOM_Componentes!$AD$3136:$AD$3153,[1]Desglose_BOM_Componentes!$B$3136:$B$3153,$A294,[1]Desglose_BOM_Componentes!$X$3136:$X$3153,"Formulación"))</f>
        <v>0.51498036666666669</v>
      </c>
      <c r="H294" s="4">
        <f>IF(COUNTIFS([1]Desglose_BOM_Componentes!$B$3136:$B$3153,$A294,[1]Desglose_BOM_Componentes!$AE$3136:$AE$3153,"Sin precio",[1]Desglose_BOM_Componentes!$X$3136:$X$3153,"Empaquetado")&gt;0,"n.d.",SUMIFS([1]Desglose_BOM_Componentes!$AD$3136:$AD$3153,[1]Desglose_BOM_Componentes!$B$3136:$B$3153,$A294,[1]Desglose_BOM_Componentes!$X$3136:$X$3153,"Empaquetado"))</f>
        <v>0.19508731331430246</v>
      </c>
      <c r="I294" s="6">
        <f t="shared" si="30"/>
        <v>0.71426767998096907</v>
      </c>
      <c r="J294" s="1" t="str">
        <f t="shared" si="26"/>
        <v>Completo</v>
      </c>
      <c r="K294" s="1">
        <f>COUNTIFS([1]Desglose_BOM_Componentes!$B$3136:$B$3153,$A294,[1]Desglose_BOM_Componentes!$AE$3136:$AE$3153,"Sin precio")</f>
        <v>0</v>
      </c>
      <c r="L294" s="1" t="str">
        <f>IF('[1]Precios componentes'!D93="Sin precio","KF78; ","")&amp;IF('[1]Precios componentes'!D28="Sin precio","BORL; ","")&amp;IF('[1]Precios componentes'!D8="Sin precio","ACE; ","")&amp;IF('[1]Precios componentes'!D122="Sin precio","ROJ; ","")&amp;IF('[1]Precios componentes'!D79="Sin precio","GLBE; ","")&amp;IF('[1]Precios componentes'!D112="Sin precio","NMGL; ","")&amp;IF('[1]Precios componentes'!D124="Sin precio","SAC; ","")&amp;IF('[1]Precios componentes'!D127="Sin precio","SBT70; ","")&amp;IF('[1]Precios componentes'!D110="Sin precio","NCA; ","")&amp;IF('[1]Precios componentes'!D12="Sin precio","AMARILLO; ","")&amp;IF('[1]Precios componentes'!D80="Sin precio","GLI; ","")&amp;IF('[1]Precios componentes'!D121="Sin precio","RAD;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295" spans="1:12" ht="22" customHeight="1">
      <c r="A295" s="1" t="s">
        <v>325</v>
      </c>
      <c r="B295" s="1" t="s">
        <v>18</v>
      </c>
      <c r="C295" s="1" t="s">
        <v>116</v>
      </c>
      <c r="D295" s="4">
        <f>IF(COUNTIFS([1]Desglose_BOM_Componentes!$B$3154:$B$3166,$A295,[1]Desglose_BOM_Componentes!$AE$3154:$AE$3166,"Sin precio",[1]Desglose_BOM_Componentes!$X$3154:$X$3166,"Formulación")&gt;0,"n.d.",SUMIFS([1]Desglose_BOM_Componentes!$AC$3154:$AC$3166,[1]Desglose_BOM_Componentes!$B$3154:$B$3166,$A295,[1]Desglose_BOM_Componentes!$X$3154:$X$3166,"Formulación"))</f>
        <v>0.47524100000000002</v>
      </c>
      <c r="E295" s="4">
        <f>IF(COUNTIFS([1]Desglose_BOM_Componentes!$B$3154:$B$3166,$A295,[1]Desglose_BOM_Componentes!$AE$3154:$AE$3166,"Sin precio",[1]Desglose_BOM_Componentes!$X$3154:$X$3166,"Empaquetado")&gt;0,"n.d.",SUMIFS([1]Desglose_BOM_Componentes!$AC$3154:$AC$3166,[1]Desglose_BOM_Componentes!$B$3154:$B$3166,$A295,[1]Desglose_BOM_Componentes!$X$3154:$X$3166,"Empaquetado"))</f>
        <v>0.75344791441438252</v>
      </c>
      <c r="F295" s="6">
        <f t="shared" si="29"/>
        <v>1.2328889144143824</v>
      </c>
      <c r="G295" s="4">
        <f>IF(COUNTIFS([1]Desglose_BOM_Componentes!$B$3154:$B$3166,$A295,[1]Desglose_BOM_Componentes!$AE$3154:$AE$3166,"Sin precio",[1]Desglose_BOM_Componentes!$X$3154:$X$3166,"Formulación")&gt;0,"n.d.",SUMIFS([1]Desglose_BOM_Componentes!$AD$3154:$AD$3166,[1]Desglose_BOM_Componentes!$B$3154:$B$3166,$A295,[1]Desglose_BOM_Componentes!$X$3154:$X$3166,"Formulación"))</f>
        <v>0.44839396666666664</v>
      </c>
      <c r="H295" s="4">
        <f>IF(COUNTIFS([1]Desglose_BOM_Componentes!$B$3154:$B$3166,$A295,[1]Desglose_BOM_Componentes!$AE$3154:$AE$3166,"Sin precio",[1]Desglose_BOM_Componentes!$X$3154:$X$3166,"Empaquetado")&gt;0,"n.d.",SUMIFS([1]Desglose_BOM_Componentes!$AD$3154:$AD$3166,[1]Desglose_BOM_Componentes!$B$3154:$B$3166,$A295,[1]Desglose_BOM_Componentes!$X$3154:$X$3166,"Empaquetado"))</f>
        <v>0.75344791441438252</v>
      </c>
      <c r="I295" s="6">
        <f t="shared" si="30"/>
        <v>1.2060418810810491</v>
      </c>
      <c r="J295" s="1" t="str">
        <f t="shared" si="26"/>
        <v>Completo</v>
      </c>
      <c r="K295" s="1">
        <f>COUNTIFS([1]Desglose_BOM_Componentes!$B$3154:$B$3166,$A295,[1]Desglose_BOM_Componentes!$AE$3154:$AE$3166,"Sin precio")</f>
        <v>0</v>
      </c>
      <c r="L295" s="1" t="str">
        <f>IF('[1]Precios componentes'!D28="Sin precio","BORL; ","")&amp;IF('[1]Precios componentes'!D121="Sin precio","RAD; ","")&amp;IF('[1]Precios componentes'!D80="Sin precio","GLI; ","")&amp;IF('[1]Precios componentes'!D8="Sin precio","ACE; ","")&amp;IF('[1]Precios componentes'!D79="Sin precio","GLBE; ","")&amp;IF('[1]Precios componentes'!D39="Sin precio","CCA2; ","")&amp;IF('[1]Precios componentes'!D111="Sin precio","NCAL;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96" spans="1:12" ht="22" customHeight="1">
      <c r="A296" s="1" t="s">
        <v>326</v>
      </c>
      <c r="B296" s="1" t="s">
        <v>18</v>
      </c>
      <c r="C296" s="1" t="s">
        <v>81</v>
      </c>
      <c r="D296" s="4">
        <f>IF(COUNTIFS([1]Desglose_BOM_Componentes!$B$3167:$B$3179,$A296,[1]Desglose_BOM_Componentes!$AE$3167:$AE$3179,"Sin precio",[1]Desglose_BOM_Componentes!$X$3167:$X$3179,"Formulación")&gt;0,"n.d.",SUMIFS([1]Desglose_BOM_Componentes!$AC$3167:$AC$3179,[1]Desglose_BOM_Componentes!$B$3167:$B$3179,$A296,[1]Desglose_BOM_Componentes!$X$3167:$X$3179,"Formulación"))</f>
        <v>0.47524100000000002</v>
      </c>
      <c r="E296" s="4">
        <f>IF(COUNTIFS([1]Desglose_BOM_Componentes!$B$3167:$B$3179,$A296,[1]Desglose_BOM_Componentes!$AE$3167:$AE$3179,"Sin precio",[1]Desglose_BOM_Componentes!$X$3167:$X$3179,"Empaquetado")&gt;0,"n.d.",SUMIFS([1]Desglose_BOM_Componentes!$AC$3167:$AC$3179,[1]Desglose_BOM_Componentes!$B$3167:$B$3179,$A296,[1]Desglose_BOM_Componentes!$X$3167:$X$3179,"Empaquetado"))</f>
        <v>0.75344791441438252</v>
      </c>
      <c r="F296" s="6">
        <f t="shared" si="29"/>
        <v>1.2328889144143824</v>
      </c>
      <c r="G296" s="4">
        <f>IF(COUNTIFS([1]Desglose_BOM_Componentes!$B$3167:$B$3179,$A296,[1]Desglose_BOM_Componentes!$AE$3167:$AE$3179,"Sin precio",[1]Desglose_BOM_Componentes!$X$3167:$X$3179,"Formulación")&gt;0,"n.d.",SUMIFS([1]Desglose_BOM_Componentes!$AD$3167:$AD$3179,[1]Desglose_BOM_Componentes!$B$3167:$B$3179,$A296,[1]Desglose_BOM_Componentes!$X$3167:$X$3179,"Formulación"))</f>
        <v>0.44839396666666664</v>
      </c>
      <c r="H296" s="4">
        <f>IF(COUNTIFS([1]Desglose_BOM_Componentes!$B$3167:$B$3179,$A296,[1]Desglose_BOM_Componentes!$AE$3167:$AE$3179,"Sin precio",[1]Desglose_BOM_Componentes!$X$3167:$X$3179,"Empaquetado")&gt;0,"n.d.",SUMIFS([1]Desglose_BOM_Componentes!$AD$3167:$AD$3179,[1]Desglose_BOM_Componentes!$B$3167:$B$3179,$A296,[1]Desglose_BOM_Componentes!$X$3167:$X$3179,"Empaquetado"))</f>
        <v>0.75344791441438252</v>
      </c>
      <c r="I296" s="6">
        <f t="shared" si="30"/>
        <v>1.2060418810810491</v>
      </c>
      <c r="J296" s="1" t="str">
        <f t="shared" si="26"/>
        <v>Completo</v>
      </c>
      <c r="K296" s="1">
        <f>COUNTIFS([1]Desglose_BOM_Componentes!$B$3167:$B$3179,$A296,[1]Desglose_BOM_Componentes!$AE$3167:$AE$3179,"Sin precio")</f>
        <v>0</v>
      </c>
      <c r="L296" s="1" t="str">
        <f>IF('[1]Precios componentes'!D28="Sin precio","BORL; ","")&amp;IF('[1]Precios componentes'!D121="Sin precio","RAD; ","")&amp;IF('[1]Precios componentes'!D80="Sin precio","GLI; ","")&amp;IF('[1]Precios componentes'!D8="Sin precio","ACE; ","")&amp;IF('[1]Precios componentes'!D79="Sin precio","GLBE; ","")&amp;IF('[1]Precios componentes'!D39="Sin precio","CCA2; ","")&amp;IF('[1]Precios componentes'!D111="Sin precio","NCAL;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297" spans="1:12" ht="22" customHeight="1">
      <c r="A297" s="1" t="s">
        <v>327</v>
      </c>
      <c r="B297" s="1" t="s">
        <v>18</v>
      </c>
      <c r="C297" s="1" t="s">
        <v>116</v>
      </c>
      <c r="D297" s="4">
        <f>IF(COUNTIFS([1]Desglose_BOM_Componentes!$B$3180:$B$3192,$A297,[1]Desglose_BOM_Componentes!$AE$3180:$AE$3192,"Sin precio",[1]Desglose_BOM_Componentes!$X$3180:$X$3192,"Formulación")&gt;0,"n.d.",SUMIFS([1]Desglose_BOM_Componentes!$AC$3180:$AC$3192,[1]Desglose_BOM_Componentes!$B$3180:$B$3192,$A297,[1]Desglose_BOM_Componentes!$X$3180:$X$3192,"Formulación"))</f>
        <v>0.47524100000000002</v>
      </c>
      <c r="E297" s="4">
        <f>IF(COUNTIFS([1]Desglose_BOM_Componentes!$B$3180:$B$3192,$A297,[1]Desglose_BOM_Componentes!$AE$3180:$AE$3192,"Sin precio",[1]Desglose_BOM_Componentes!$X$3180:$X$3192,"Empaquetado")&gt;0,"n.d.",SUMIFS([1]Desglose_BOM_Componentes!$AC$3180:$AC$3192,[1]Desglose_BOM_Componentes!$B$3180:$B$3192,$A297,[1]Desglose_BOM_Componentes!$X$3180:$X$3192,"Empaquetado"))</f>
        <v>0.30928466819407252</v>
      </c>
      <c r="F297" s="6">
        <f t="shared" si="29"/>
        <v>0.78872566819407253</v>
      </c>
      <c r="G297" s="4">
        <f>IF(COUNTIFS([1]Desglose_BOM_Componentes!$B$3180:$B$3192,$A297,[1]Desglose_BOM_Componentes!$AE$3180:$AE$3192,"Sin precio",[1]Desglose_BOM_Componentes!$X$3180:$X$3192,"Formulación")&gt;0,"n.d.",SUMIFS([1]Desglose_BOM_Componentes!$AD$3180:$AD$3192,[1]Desglose_BOM_Componentes!$B$3180:$B$3192,$A297,[1]Desglose_BOM_Componentes!$X$3180:$X$3192,"Formulación"))</f>
        <v>0.44839396666666664</v>
      </c>
      <c r="H297" s="4">
        <f>IF(COUNTIFS([1]Desglose_BOM_Componentes!$B$3180:$B$3192,$A297,[1]Desglose_BOM_Componentes!$AE$3180:$AE$3192,"Sin precio",[1]Desglose_BOM_Componentes!$X$3180:$X$3192,"Empaquetado")&gt;0,"n.d.",SUMIFS([1]Desglose_BOM_Componentes!$AD$3180:$AD$3192,[1]Desglose_BOM_Componentes!$B$3180:$B$3192,$A297,[1]Desglose_BOM_Componentes!$X$3180:$X$3192,"Empaquetado"))</f>
        <v>0.30928466819407252</v>
      </c>
      <c r="I297" s="6">
        <f t="shared" si="30"/>
        <v>0.76187863486073915</v>
      </c>
      <c r="J297" s="1" t="str">
        <f t="shared" si="26"/>
        <v>Completo</v>
      </c>
      <c r="K297" s="1">
        <f>COUNTIFS([1]Desglose_BOM_Componentes!$B$3180:$B$3192,$A297,[1]Desglose_BOM_Componentes!$AE$3180:$AE$3192,"Sin precio")</f>
        <v>0</v>
      </c>
      <c r="L297" s="1" t="str">
        <f>IF('[1]Precios componentes'!D28="Sin precio","BORL; ","")&amp;IF('[1]Precios componentes'!D121="Sin precio","RAD; ","")&amp;IF('[1]Precios componentes'!D80="Sin precio","GLI; ","")&amp;IF('[1]Precios componentes'!D8="Sin precio","ACE; ","")&amp;IF('[1]Precios componentes'!D79="Sin precio","GLBE; ","")&amp;IF('[1]Precios componentes'!D39="Sin precio","CCA2; ","")&amp;IF('[1]Precios componentes'!D111="Sin precio","NCAL;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98" spans="1:12" ht="22" customHeight="1">
      <c r="A298" s="1" t="s">
        <v>328</v>
      </c>
      <c r="B298" s="1" t="s">
        <v>18</v>
      </c>
      <c r="C298" s="1" t="s">
        <v>81</v>
      </c>
      <c r="D298" s="4">
        <f>IF(COUNTIFS([1]Desglose_BOM_Componentes!$B$3193:$B$3205,$A298,[1]Desglose_BOM_Componentes!$AE$3193:$AE$3205,"Sin precio",[1]Desglose_BOM_Componentes!$X$3193:$X$3205,"Formulación")&gt;0,"n.d.",SUMIFS([1]Desglose_BOM_Componentes!$AC$3193:$AC$3205,[1]Desglose_BOM_Componentes!$B$3193:$B$3205,$A298,[1]Desglose_BOM_Componentes!$X$3193:$X$3205,"Formulación"))</f>
        <v>0.47524100000000002</v>
      </c>
      <c r="E298" s="4">
        <f>IF(COUNTIFS([1]Desglose_BOM_Componentes!$B$3193:$B$3205,$A298,[1]Desglose_BOM_Componentes!$AE$3193:$AE$3205,"Sin precio",[1]Desglose_BOM_Componentes!$X$3193:$X$3205,"Empaquetado")&gt;0,"n.d.",SUMIFS([1]Desglose_BOM_Componentes!$AC$3193:$AC$3205,[1]Desglose_BOM_Componentes!$B$3193:$B$3205,$A298,[1]Desglose_BOM_Componentes!$X$3193:$X$3205,"Empaquetado"))</f>
        <v>0.30928466819407252</v>
      </c>
      <c r="F298" s="6">
        <f t="shared" si="29"/>
        <v>0.78872566819407253</v>
      </c>
      <c r="G298" s="4">
        <f>IF(COUNTIFS([1]Desglose_BOM_Componentes!$B$3193:$B$3205,$A298,[1]Desglose_BOM_Componentes!$AE$3193:$AE$3205,"Sin precio",[1]Desglose_BOM_Componentes!$X$3193:$X$3205,"Formulación")&gt;0,"n.d.",SUMIFS([1]Desglose_BOM_Componentes!$AD$3193:$AD$3205,[1]Desglose_BOM_Componentes!$B$3193:$B$3205,$A298,[1]Desglose_BOM_Componentes!$X$3193:$X$3205,"Formulación"))</f>
        <v>0.44839396666666664</v>
      </c>
      <c r="H298" s="4">
        <f>IF(COUNTIFS([1]Desglose_BOM_Componentes!$B$3193:$B$3205,$A298,[1]Desglose_BOM_Componentes!$AE$3193:$AE$3205,"Sin precio",[1]Desglose_BOM_Componentes!$X$3193:$X$3205,"Empaquetado")&gt;0,"n.d.",SUMIFS([1]Desglose_BOM_Componentes!$AD$3193:$AD$3205,[1]Desglose_BOM_Componentes!$B$3193:$B$3205,$A298,[1]Desglose_BOM_Componentes!$X$3193:$X$3205,"Empaquetado"))</f>
        <v>0.30928466819407252</v>
      </c>
      <c r="I298" s="6">
        <f t="shared" si="30"/>
        <v>0.76187863486073915</v>
      </c>
      <c r="J298" s="1" t="str">
        <f t="shared" si="26"/>
        <v>Completo</v>
      </c>
      <c r="K298" s="1">
        <f>COUNTIFS([1]Desglose_BOM_Componentes!$B$3193:$B$3205,$A298,[1]Desglose_BOM_Componentes!$AE$3193:$AE$3205,"Sin precio")</f>
        <v>0</v>
      </c>
      <c r="L298" s="1" t="str">
        <f>IF('[1]Precios componentes'!D28="Sin precio","BORL; ","")&amp;IF('[1]Precios componentes'!D121="Sin precio","RAD; ","")&amp;IF('[1]Precios componentes'!D80="Sin precio","GLI; ","")&amp;IF('[1]Precios componentes'!D8="Sin precio","ACE; ","")&amp;IF('[1]Precios componentes'!D79="Sin precio","GLBE; ","")&amp;IF('[1]Precios componentes'!D39="Sin precio","CCA2; ","")&amp;IF('[1]Precios componentes'!D111="Sin precio","NCAL;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299" spans="1:12" ht="22" customHeight="1">
      <c r="A299" s="1" t="s">
        <v>329</v>
      </c>
      <c r="B299" s="1" t="s">
        <v>18</v>
      </c>
      <c r="C299" s="1" t="s">
        <v>116</v>
      </c>
      <c r="D299" s="4">
        <f>IF(COUNTIFS([1]Desglose_BOM_Componentes!$B$3206:$B$3217,$A299,[1]Desglose_BOM_Componentes!$AE$3206:$AE$3217,"Sin precio",[1]Desglose_BOM_Componentes!$X$3206:$X$3217,"Formulación")&gt;0,"n.d.",SUMIFS([1]Desglose_BOM_Componentes!$AC$3206:$AC$3217,[1]Desglose_BOM_Componentes!$B$3206:$B$3217,$A299,[1]Desglose_BOM_Componentes!$X$3206:$X$3217,"Formulación"))</f>
        <v>0.47524100000000002</v>
      </c>
      <c r="E299" s="4">
        <f>IF(COUNTIFS([1]Desglose_BOM_Componentes!$B$3206:$B$3217,$A299,[1]Desglose_BOM_Componentes!$AE$3206:$AE$3217,"Sin precio",[1]Desglose_BOM_Componentes!$X$3206:$X$3217,"Empaquetado")&gt;0,"n.d.",SUMIFS([1]Desglose_BOM_Componentes!$AC$3206:$AC$3217,[1]Desglose_BOM_Componentes!$B$3206:$B$3217,$A299,[1]Desglose_BOM_Componentes!$X$3206:$X$3217,"Empaquetado"))</f>
        <v>0.23094530777726108</v>
      </c>
      <c r="F299" s="6">
        <f t="shared" si="29"/>
        <v>0.71038630777726108</v>
      </c>
      <c r="G299" s="4">
        <f>IF(COUNTIFS([1]Desglose_BOM_Componentes!$B$3206:$B$3217,$A299,[1]Desglose_BOM_Componentes!$AE$3206:$AE$3217,"Sin precio",[1]Desglose_BOM_Componentes!$X$3206:$X$3217,"Formulación")&gt;0,"n.d.",SUMIFS([1]Desglose_BOM_Componentes!$AD$3206:$AD$3217,[1]Desglose_BOM_Componentes!$B$3206:$B$3217,$A299,[1]Desglose_BOM_Componentes!$X$3206:$X$3217,"Formulación"))</f>
        <v>0.44839396666666664</v>
      </c>
      <c r="H299" s="4">
        <f>IF(COUNTIFS([1]Desglose_BOM_Componentes!$B$3206:$B$3217,$A299,[1]Desglose_BOM_Componentes!$AE$3206:$AE$3217,"Sin precio",[1]Desglose_BOM_Componentes!$X$3206:$X$3217,"Empaquetado")&gt;0,"n.d.",SUMIFS([1]Desglose_BOM_Componentes!$AD$3206:$AD$3217,[1]Desglose_BOM_Componentes!$B$3206:$B$3217,$A299,[1]Desglose_BOM_Componentes!$X$3206:$X$3217,"Empaquetado"))</f>
        <v>0.23094530777726108</v>
      </c>
      <c r="I299" s="6">
        <f t="shared" si="30"/>
        <v>0.6835392744439277</v>
      </c>
      <c r="J299" s="1" t="str">
        <f t="shared" si="26"/>
        <v>Completo</v>
      </c>
      <c r="K299" s="1">
        <f>COUNTIFS([1]Desglose_BOM_Componentes!$B$3206:$B$3217,$A299,[1]Desglose_BOM_Componentes!$AE$3206:$AE$3217,"Sin precio")</f>
        <v>0</v>
      </c>
      <c r="L299" s="1" t="str">
        <f>IF('[1]Precios componentes'!D28="Sin precio","BORL; ","")&amp;IF('[1]Precios componentes'!D121="Sin precio","RAD; ","")&amp;IF('[1]Precios componentes'!D80="Sin precio","GLI; ","")&amp;IF('[1]Precios componentes'!D8="Sin precio","ACE; ","")&amp;IF('[1]Precios componentes'!D79="Sin precio","GLBE; ","")&amp;IF('[1]Precios componentes'!D39="Sin precio","CCA2; ","")&amp;IF('[1]Precios componentes'!D111="Sin precio","NCAL; ","")&amp;IF('[1]Precios componentes'!D136="Sin precio","SOBRE 20L; ","")&amp;IF('[1]Precios componentes'!D115="Sin precio","PAL; ","")&amp;IF('[1]Precios componentes'!D94="Sin precio","KIA220; ","")&amp;IF('[1]Precios componentes'!D61="Sin precio","ENV20; ","")&amp;IF('[1]Precios componentes'!D146="Sin precio","TPD61I; ","")</f>
        <v/>
      </c>
    </row>
    <row r="300" spans="1:12" ht="22" customHeight="1">
      <c r="A300" s="1" t="s">
        <v>330</v>
      </c>
      <c r="B300" s="1" t="s">
        <v>18</v>
      </c>
      <c r="C300" s="1" t="s">
        <v>19</v>
      </c>
      <c r="D300" s="4">
        <f>IF(COUNTIFS([1]Desglose_BOM_Componentes!$B$3227:$B$3245,$A300,[1]Desglose_BOM_Componentes!$AE$3227:$AE$3245,"Sin precio",[1]Desglose_BOM_Componentes!$X$3227:$X$3245,"Formulación")&gt;0,"n.d.",SUMIFS([1]Desglose_BOM_Componentes!$AC$3227:$AC$3245,[1]Desglose_BOM_Componentes!$B$3227:$B$3245,$A300,[1]Desglose_BOM_Componentes!$X$3227:$X$3245,"Formulación"))</f>
        <v>3.7039483999999998</v>
      </c>
      <c r="E300" s="4">
        <f>IF(COUNTIFS([1]Desglose_BOM_Componentes!$B$3227:$B$3245,$A300,[1]Desglose_BOM_Componentes!$AE$3227:$AE$3245,"Sin precio",[1]Desglose_BOM_Componentes!$X$3227:$X$3245,"Empaquetado")&gt;0,"n.d.",SUMIFS([1]Desglose_BOM_Componentes!$AC$3227:$AC$3245,[1]Desglose_BOM_Componentes!$B$3227:$B$3245,$A300,[1]Desglose_BOM_Componentes!$X$3227:$X$3245,"Empaquetado"))</f>
        <v>0.75344791441438252</v>
      </c>
      <c r="F300" s="6">
        <f t="shared" si="29"/>
        <v>4.4615963144143826</v>
      </c>
      <c r="G300" s="4">
        <f>IF(COUNTIFS([1]Desglose_BOM_Componentes!$B$3227:$B$3245,$A300,[1]Desglose_BOM_Componentes!$AE$3227:$AE$3245,"Sin precio",[1]Desglose_BOM_Componentes!$X$3227:$X$3245,"Formulación")&gt;0,"n.d.",SUMIFS([1]Desglose_BOM_Componentes!$AD$3227:$AD$3245,[1]Desglose_BOM_Componentes!$B$3227:$B$3245,$A300,[1]Desglose_BOM_Componentes!$X$3227:$X$3245,"Formulación"))</f>
        <v>2.9969834057142859</v>
      </c>
      <c r="H300" s="4">
        <f>IF(COUNTIFS([1]Desglose_BOM_Componentes!$B$3227:$B$3245,$A300,[1]Desglose_BOM_Componentes!$AE$3227:$AE$3245,"Sin precio",[1]Desglose_BOM_Componentes!$X$3227:$X$3245,"Empaquetado")&gt;0,"n.d.",SUMIFS([1]Desglose_BOM_Componentes!$AD$3227:$AD$3245,[1]Desglose_BOM_Componentes!$B$3227:$B$3245,$A300,[1]Desglose_BOM_Componentes!$X$3227:$X$3245,"Empaquetado"))</f>
        <v>0.75344791441438252</v>
      </c>
      <c r="I300" s="6">
        <f t="shared" si="30"/>
        <v>3.7546313201286683</v>
      </c>
      <c r="J300" s="1" t="str">
        <f t="shared" si="26"/>
        <v>Completo</v>
      </c>
      <c r="K300" s="1">
        <f>COUNTIFS([1]Desglose_BOM_Componentes!$B$3227:$B$3245,$A300,[1]Desglose_BOM_Componentes!$AE$3227:$AE$3245,"Sin precio")</f>
        <v>0</v>
      </c>
      <c r="L300" s="1" t="str">
        <f>IF('[1]Precios componentes'!D16="Sin precio","ATC; ","")&amp;IF('[1]Precios componentes'!D119="Sin precio","PROLIN; ","")&amp;IF('[1]Precios componentes'!D157="Sin precio","XT; ","")&amp;IF('[1]Precios componentes'!D89="Sin precio","HPO; ","")&amp;IF('[1]Precios componentes'!D28="Sin precio","BORL; ","")&amp;IF('[1]Precios componentes'!D116="Sin precio","PEG400; ","")&amp;IF('[1]Precios componentes'!D24="Sin precio","BET; ","")&amp;IF('[1]Precios componentes'!D142="Sin precio","TCG50; ","")&amp;IF('[1]Precios componentes'!D90="Sin precio","HPOL; ","")&amp;IF('[1]Precios componentes'!D104="Sin precio","MAL; ","")&amp;IF('[1]Precios componentes'!D54="Sin precio","EDT; ","")&amp;IF('[1]Precios componentes'!D93="Sin precio","KF78; ","")&amp;IF('[1]Precios componentes'!D14="Sin precio","ANTI;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01" spans="1:12" ht="22" customHeight="1">
      <c r="A301" s="1" t="s">
        <v>331</v>
      </c>
      <c r="B301" s="1" t="s">
        <v>18</v>
      </c>
      <c r="C301" s="1" t="s">
        <v>24</v>
      </c>
      <c r="D301" s="4">
        <f>IF(COUNTIFS([1]Desglose_BOM_Componentes!$B$3246:$B$3264,$A301,[1]Desglose_BOM_Componentes!$AE$3246:$AE$3264,"Sin precio",[1]Desglose_BOM_Componentes!$X$3246:$X$3264,"Formulación")&gt;0,"n.d.",SUMIFS([1]Desglose_BOM_Componentes!$AC$3246:$AC$3264,[1]Desglose_BOM_Componentes!$B$3246:$B$3264,$A301,[1]Desglose_BOM_Componentes!$X$3246:$X$3264,"Formulación"))</f>
        <v>3.7039483999999998</v>
      </c>
      <c r="E301" s="4">
        <f>IF(COUNTIFS([1]Desglose_BOM_Componentes!$B$3246:$B$3264,$A301,[1]Desglose_BOM_Componentes!$AE$3246:$AE$3264,"Sin precio",[1]Desglose_BOM_Componentes!$X$3246:$X$3264,"Empaquetado")&gt;0,"n.d.",SUMIFS([1]Desglose_BOM_Componentes!$AC$3246:$AC$3264,[1]Desglose_BOM_Componentes!$B$3246:$B$3264,$A301,[1]Desglose_BOM_Componentes!$X$3246:$X$3264,"Empaquetado"))</f>
        <v>0.30928466819407252</v>
      </c>
      <c r="F301" s="6">
        <f t="shared" si="29"/>
        <v>4.0174330681940722</v>
      </c>
      <c r="G301" s="4">
        <f>IF(COUNTIFS([1]Desglose_BOM_Componentes!$B$3246:$B$3264,$A301,[1]Desglose_BOM_Componentes!$AE$3246:$AE$3264,"Sin precio",[1]Desglose_BOM_Componentes!$X$3246:$X$3264,"Formulación")&gt;0,"n.d.",SUMIFS([1]Desglose_BOM_Componentes!$AD$3246:$AD$3264,[1]Desglose_BOM_Componentes!$B$3246:$B$3264,$A301,[1]Desglose_BOM_Componentes!$X$3246:$X$3264,"Formulación"))</f>
        <v>2.9969834057142859</v>
      </c>
      <c r="H301" s="4">
        <f>IF(COUNTIFS([1]Desglose_BOM_Componentes!$B$3246:$B$3264,$A301,[1]Desglose_BOM_Componentes!$AE$3246:$AE$3264,"Sin precio",[1]Desglose_BOM_Componentes!$X$3246:$X$3264,"Empaquetado")&gt;0,"n.d.",SUMIFS([1]Desglose_BOM_Componentes!$AD$3246:$AD$3264,[1]Desglose_BOM_Componentes!$B$3246:$B$3264,$A301,[1]Desglose_BOM_Componentes!$X$3246:$X$3264,"Empaquetado"))</f>
        <v>0.30928466819407252</v>
      </c>
      <c r="I301" s="6">
        <f t="shared" si="30"/>
        <v>3.3104680739083583</v>
      </c>
      <c r="J301" s="1" t="str">
        <f t="shared" si="26"/>
        <v>Completo</v>
      </c>
      <c r="K301" s="1">
        <f>COUNTIFS([1]Desglose_BOM_Componentes!$B$3246:$B$3264,$A301,[1]Desglose_BOM_Componentes!$AE$3246:$AE$3264,"Sin precio")</f>
        <v>0</v>
      </c>
      <c r="L301" s="1" t="str">
        <f>IF('[1]Precios componentes'!D16="Sin precio","ATC; ","")&amp;IF('[1]Precios componentes'!D119="Sin precio","PROLIN; ","")&amp;IF('[1]Precios componentes'!D157="Sin precio","XT; ","")&amp;IF('[1]Precios componentes'!D89="Sin precio","HPO; ","")&amp;IF('[1]Precios componentes'!D28="Sin precio","BORL; ","")&amp;IF('[1]Precios componentes'!D116="Sin precio","PEG400; ","")&amp;IF('[1]Precios componentes'!D24="Sin precio","BET; ","")&amp;IF('[1]Precios componentes'!D142="Sin precio","TCG50; ","")&amp;IF('[1]Precios componentes'!D90="Sin precio","HPOL; ","")&amp;IF('[1]Precios componentes'!D104="Sin precio","MAL; ","")&amp;IF('[1]Precios componentes'!D54="Sin precio","EDT; ","")&amp;IF('[1]Precios componentes'!D93="Sin precio","KF78; ","")&amp;IF('[1]Precios componentes'!D14="Sin precio","ANTI;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02" spans="1:12" ht="22" customHeight="1">
      <c r="A302" s="1" t="s">
        <v>332</v>
      </c>
      <c r="B302" s="1" t="s">
        <v>18</v>
      </c>
      <c r="C302" s="1" t="s">
        <v>24</v>
      </c>
      <c r="D302" s="4">
        <f>IF(COUNTIFS([1]Desglose_BOM_Componentes!$B$3265:$B$3282,$A302,[1]Desglose_BOM_Componentes!$AE$3265:$AE$3282,"Sin precio",[1]Desglose_BOM_Componentes!$X$3265:$X$3282,"Formulación")&gt;0,"n.d.",SUMIFS([1]Desglose_BOM_Componentes!$AC$3265:$AC$3282,[1]Desglose_BOM_Componentes!$B$3265:$B$3282,$A302,[1]Desglose_BOM_Componentes!$X$3265:$X$3282,"Formulación"))</f>
        <v>3.7039483999999998</v>
      </c>
      <c r="E302" s="4">
        <f>IF(COUNTIFS([1]Desglose_BOM_Componentes!$B$3265:$B$3282,$A302,[1]Desglose_BOM_Componentes!$AE$3265:$AE$3282,"Sin precio",[1]Desglose_BOM_Componentes!$X$3265:$X$3282,"Empaquetado")&gt;0,"n.d.",SUMIFS([1]Desglose_BOM_Componentes!$AC$3265:$AC$3282,[1]Desglose_BOM_Componentes!$B$3265:$B$3282,$A302,[1]Desglose_BOM_Componentes!$X$3265:$X$3282,"Empaquetado"))</f>
        <v>0.24326489794470366</v>
      </c>
      <c r="F302" s="6">
        <f t="shared" si="29"/>
        <v>3.9514132979447036</v>
      </c>
      <c r="G302" s="4">
        <f>IF(COUNTIFS([1]Desglose_BOM_Componentes!$B$3265:$B$3282,$A302,[1]Desglose_BOM_Componentes!$AE$3265:$AE$3282,"Sin precio",[1]Desglose_BOM_Componentes!$X$3265:$X$3282,"Formulación")&gt;0,"n.d.",SUMIFS([1]Desglose_BOM_Componentes!$AD$3265:$AD$3282,[1]Desglose_BOM_Componentes!$B$3265:$B$3282,$A302,[1]Desglose_BOM_Componentes!$X$3265:$X$3282,"Formulación"))</f>
        <v>2.9969834057142859</v>
      </c>
      <c r="H302" s="4">
        <f>IF(COUNTIFS([1]Desglose_BOM_Componentes!$B$3265:$B$3282,$A302,[1]Desglose_BOM_Componentes!$AE$3265:$AE$3282,"Sin precio",[1]Desglose_BOM_Componentes!$X$3265:$X$3282,"Empaquetado")&gt;0,"n.d.",SUMIFS([1]Desglose_BOM_Componentes!$AD$3265:$AD$3282,[1]Desglose_BOM_Componentes!$B$3265:$B$3282,$A302,[1]Desglose_BOM_Componentes!$X$3265:$X$3282,"Empaquetado"))</f>
        <v>0.24326489794470366</v>
      </c>
      <c r="I302" s="6">
        <f t="shared" si="30"/>
        <v>3.2444483036589897</v>
      </c>
      <c r="J302" s="1" t="str">
        <f t="shared" si="26"/>
        <v>Completo</v>
      </c>
      <c r="K302" s="1">
        <f>COUNTIFS([1]Desglose_BOM_Componentes!$B$3265:$B$3282,$A302,[1]Desglose_BOM_Componentes!$AE$3265:$AE$3282,"Sin precio")</f>
        <v>0</v>
      </c>
      <c r="L302" s="1" t="str">
        <f>IF('[1]Precios componentes'!D16="Sin precio","ATC; ","")&amp;IF('[1]Precios componentes'!D119="Sin precio","PROLIN; ","")&amp;IF('[1]Precios componentes'!D157="Sin precio","XT; ","")&amp;IF('[1]Precios componentes'!D89="Sin precio","HPO; ","")&amp;IF('[1]Precios componentes'!D28="Sin precio","BORL; ","")&amp;IF('[1]Precios componentes'!D116="Sin precio","PEG400; ","")&amp;IF('[1]Precios componentes'!D24="Sin precio","BET; ","")&amp;IF('[1]Precios componentes'!D142="Sin precio","TCG50; ","")&amp;IF('[1]Precios componentes'!D90="Sin precio","HPOL; ","")&amp;IF('[1]Precios componentes'!D104="Sin precio","MAL; ","")&amp;IF('[1]Precios componentes'!D54="Sin precio","EDT; ","")&amp;IF('[1]Precios componentes'!D93="Sin precio","KF78; ","")&amp;IF('[1]Precios componentes'!D14="Sin precio","ANTI;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03" spans="1:12" ht="22" customHeight="1">
      <c r="A303" s="1" t="s">
        <v>333</v>
      </c>
      <c r="B303" s="1" t="s">
        <v>14</v>
      </c>
      <c r="C303" s="1" t="s">
        <v>24</v>
      </c>
      <c r="D303" s="4">
        <f>IF(COUNTIFS([1]Desglose_BOM_Componentes!$B$3283:$B$3299,$A303,[1]Desglose_BOM_Componentes!$AE$3283:$AE$3299,"Sin precio",[1]Desglose_BOM_Componentes!$X$3283:$X$3299,"Formulación")&gt;0,"n.d.",SUMIFS([1]Desglose_BOM_Componentes!$AC$3283:$AC$3299,[1]Desglose_BOM_Componentes!$B$3283:$B$3299,$A303,[1]Desglose_BOM_Componentes!$X$3283:$X$3299,"Formulación"))</f>
        <v>0.73057972857142861</v>
      </c>
      <c r="E303" s="4">
        <f>IF(COUNTIFS([1]Desglose_BOM_Componentes!$B$3283:$B$3299,$A303,[1]Desglose_BOM_Componentes!$AE$3283:$AE$3299,"Sin precio",[1]Desglose_BOM_Componentes!$X$3283:$X$3299,"Empaquetado")&gt;0,"n.d.",SUMIFS([1]Desglose_BOM_Componentes!$AC$3283:$AC$3299,[1]Desglose_BOM_Componentes!$B$3283:$B$3299,$A303,[1]Desglose_BOM_Componentes!$X$3283:$X$3299,"Empaquetado"))</f>
        <v>0.19506312277667984</v>
      </c>
      <c r="F303" s="6">
        <f t="shared" si="29"/>
        <v>0.9298428513481084</v>
      </c>
      <c r="G303" s="4">
        <f>IF(COUNTIFS([1]Desglose_BOM_Componentes!$B$3283:$B$3299,$A303,[1]Desglose_BOM_Componentes!$AE$3283:$AE$3299,"Sin precio",[1]Desglose_BOM_Componentes!$X$3283:$X$3299,"Formulación")&gt;0,"n.d.",SUMIFS([1]Desglose_BOM_Componentes!$AD$3283:$AD$3299,[1]Desglose_BOM_Componentes!$B$3283:$B$3299,$A303,[1]Desglose_BOM_Componentes!$X$3283:$X$3299,"Formulación"))</f>
        <v>0.72841514523809536</v>
      </c>
      <c r="H303" s="4">
        <f>IF(COUNTIFS([1]Desglose_BOM_Componentes!$B$3283:$B$3299,$A303,[1]Desglose_BOM_Componentes!$AE$3283:$AE$3299,"Sin precio",[1]Desglose_BOM_Componentes!$X$3283:$X$3299,"Empaquetado")&gt;0,"n.d.",SUMIFS([1]Desglose_BOM_Componentes!$AD$3283:$AD$3299,[1]Desglose_BOM_Componentes!$B$3283:$B$3299,$A303,[1]Desglose_BOM_Componentes!$X$3283:$X$3299,"Empaquetado"))</f>
        <v>0.19506312277667984</v>
      </c>
      <c r="I303" s="6">
        <f t="shared" si="30"/>
        <v>0.92767826801477515</v>
      </c>
      <c r="J303" s="1" t="str">
        <f t="shared" si="26"/>
        <v>Completo</v>
      </c>
      <c r="K303" s="1">
        <f>COUNTIFS([1]Desglose_BOM_Componentes!$B$3283:$B$3299,$A303,[1]Desglose_BOM_Componentes!$AE$3283:$AE$3299,"Sin precio")</f>
        <v>0</v>
      </c>
      <c r="L303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componentes'!D131="Sin precio","SILCA; ","")&amp;IF('[1]Precios componentes'!D118="Sin precio","PRO; ","")&amp;IF('[1]Precios componentes'!D53="Sin precio","EBRO; ","")&amp;IF('[1]Precios componentes'!D107="Sin precio","MGO; ","")&amp;IF('[1]Precios componentes'!D152="Sin precio","TR8; ","")&amp;IF('[1]Precios componentes'!D39="Sin precio","CCA2;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304" spans="1:12" ht="22" customHeight="1">
      <c r="A304" s="1" t="s">
        <v>334</v>
      </c>
      <c r="B304" s="1" t="s">
        <v>14</v>
      </c>
      <c r="C304" s="1" t="s">
        <v>84</v>
      </c>
      <c r="D304" s="4">
        <f>IF(COUNTIFS([1]Desglose_BOM_Componentes!$B$3300:$B$3316,$A304,[1]Desglose_BOM_Componentes!$AE$3300:$AE$3316,"Sin precio",[1]Desglose_BOM_Componentes!$X$3300:$X$3316,"Formulación")&gt;0,"n.d.",SUMIFS([1]Desglose_BOM_Componentes!$AC$3300:$AC$3316,[1]Desglose_BOM_Componentes!$B$3300:$B$3316,$A304,[1]Desglose_BOM_Componentes!$X$3300:$X$3316,"Formulación"))</f>
        <v>0.73057972857142861</v>
      </c>
      <c r="E304" s="4">
        <f>IF(COUNTIFS([1]Desglose_BOM_Componentes!$B$3300:$B$3316,$A304,[1]Desglose_BOM_Componentes!$AE$3300:$AE$3316,"Sin precio",[1]Desglose_BOM_Componentes!$X$3300:$X$3316,"Empaquetado")&gt;0,"n.d.",SUMIFS([1]Desglose_BOM_Componentes!$AC$3300:$AC$3316,[1]Desglose_BOM_Componentes!$B$3300:$B$3316,$A304,[1]Desglose_BOM_Componentes!$X$3300:$X$3316,"Empaquetado"))</f>
        <v>0.19506312277667984</v>
      </c>
      <c r="F304" s="6">
        <f t="shared" si="29"/>
        <v>0.9298428513481084</v>
      </c>
      <c r="G304" s="4">
        <f>IF(COUNTIFS([1]Desglose_BOM_Componentes!$B$3300:$B$3316,$A304,[1]Desglose_BOM_Componentes!$AE$3300:$AE$3316,"Sin precio",[1]Desglose_BOM_Componentes!$X$3300:$X$3316,"Formulación")&gt;0,"n.d.",SUMIFS([1]Desglose_BOM_Componentes!$AD$3300:$AD$3316,[1]Desglose_BOM_Componentes!$B$3300:$B$3316,$A304,[1]Desglose_BOM_Componentes!$X$3300:$X$3316,"Formulación"))</f>
        <v>0.72841514523809536</v>
      </c>
      <c r="H304" s="4">
        <f>IF(COUNTIFS([1]Desglose_BOM_Componentes!$B$3300:$B$3316,$A304,[1]Desglose_BOM_Componentes!$AE$3300:$AE$3316,"Sin precio",[1]Desglose_BOM_Componentes!$X$3300:$X$3316,"Empaquetado")&gt;0,"n.d.",SUMIFS([1]Desglose_BOM_Componentes!$AD$3300:$AD$3316,[1]Desglose_BOM_Componentes!$B$3300:$B$3316,$A304,[1]Desglose_BOM_Componentes!$X$3300:$X$3316,"Empaquetado"))</f>
        <v>0.19506312277667984</v>
      </c>
      <c r="I304" s="6">
        <f t="shared" si="30"/>
        <v>0.92767826801477515</v>
      </c>
      <c r="J304" s="1" t="str">
        <f t="shared" si="26"/>
        <v>Completo</v>
      </c>
      <c r="K304" s="1">
        <f>COUNTIFS([1]Desglose_BOM_Componentes!$B$3300:$B$3316,$A304,[1]Desglose_BOM_Componentes!$AE$3300:$AE$3316,"Sin precio")</f>
        <v>0</v>
      </c>
      <c r="L304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componentes'!D131="Sin precio","SILCA; ","")&amp;IF('[1]Precios componentes'!D118="Sin precio","PRO; ","")&amp;IF('[1]Precios componentes'!D53="Sin precio","EBRO; ","")&amp;IF('[1]Precios componentes'!D107="Sin precio","MGO; ","")&amp;IF('[1]Precios componentes'!D152="Sin precio","TR8; ","")&amp;IF('[1]Precios componentes'!D39="Sin precio","CCA2;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305" spans="1:12" ht="22" customHeight="1">
      <c r="A305" s="1" t="s">
        <v>335</v>
      </c>
      <c r="B305" s="1" t="s">
        <v>14</v>
      </c>
      <c r="C305" s="1" t="s">
        <v>26</v>
      </c>
      <c r="D305" s="4">
        <f>IF(COUNTIFS([1]Desglose_BOM_Componentes!$B$3317:$B$3333,$A305,[1]Desglose_BOM_Componentes!$AE$3317:$AE$3333,"Sin precio",[1]Desglose_BOM_Componentes!$X$3317:$X$3333,"Formulación")&gt;0,"n.d.",SUMIFS([1]Desglose_BOM_Componentes!$AC$3317:$AC$3333,[1]Desglose_BOM_Componentes!$B$3317:$B$3333,$A305,[1]Desglose_BOM_Componentes!$X$3317:$X$3333,"Formulación"))</f>
        <v>0.73057972857142861</v>
      </c>
      <c r="E305" s="4">
        <f>IF(COUNTIFS([1]Desglose_BOM_Componentes!$B$3317:$B$3333,$A305,[1]Desglose_BOM_Componentes!$AE$3317:$AE$3333,"Sin precio",[1]Desglose_BOM_Componentes!$X$3317:$X$3333,"Empaquetado")&gt;0,"n.d.",SUMIFS([1]Desglose_BOM_Componentes!$AC$3317:$AC$3333,[1]Desglose_BOM_Componentes!$B$3317:$B$3333,$A305,[1]Desglose_BOM_Componentes!$X$3317:$X$3333,"Empaquetado"))</f>
        <v>0.19506312277667984</v>
      </c>
      <c r="F305" s="6">
        <f t="shared" si="29"/>
        <v>0.9298428513481084</v>
      </c>
      <c r="G305" s="4">
        <f>IF(COUNTIFS([1]Desglose_BOM_Componentes!$B$3317:$B$3333,$A305,[1]Desglose_BOM_Componentes!$AE$3317:$AE$3333,"Sin precio",[1]Desglose_BOM_Componentes!$X$3317:$X$3333,"Formulación")&gt;0,"n.d.",SUMIFS([1]Desglose_BOM_Componentes!$AD$3317:$AD$3333,[1]Desglose_BOM_Componentes!$B$3317:$B$3333,$A305,[1]Desglose_BOM_Componentes!$X$3317:$X$3333,"Formulación"))</f>
        <v>0.72841514523809536</v>
      </c>
      <c r="H305" s="4">
        <f>IF(COUNTIFS([1]Desglose_BOM_Componentes!$B$3317:$B$3333,$A305,[1]Desglose_BOM_Componentes!$AE$3317:$AE$3333,"Sin precio",[1]Desglose_BOM_Componentes!$X$3317:$X$3333,"Empaquetado")&gt;0,"n.d.",SUMIFS([1]Desglose_BOM_Componentes!$AD$3317:$AD$3333,[1]Desglose_BOM_Componentes!$B$3317:$B$3333,$A305,[1]Desglose_BOM_Componentes!$X$3317:$X$3333,"Empaquetado"))</f>
        <v>0.19506312277667984</v>
      </c>
      <c r="I305" s="6">
        <f t="shared" si="30"/>
        <v>0.92767826801477515</v>
      </c>
      <c r="J305" s="1" t="str">
        <f t="shared" si="26"/>
        <v>Completo</v>
      </c>
      <c r="K305" s="1">
        <f>COUNTIFS([1]Desglose_BOM_Componentes!$B$3317:$B$3333,$A305,[1]Desglose_BOM_Componentes!$AE$3317:$AE$3333,"Sin precio")</f>
        <v>0</v>
      </c>
      <c r="L305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componentes'!D131="Sin precio","SILCA; ","")&amp;IF('[1]Precios componentes'!D118="Sin precio","PRO; ","")&amp;IF('[1]Precios componentes'!D53="Sin precio","EBRO; ","")&amp;IF('[1]Precios componentes'!D107="Sin precio","MGO; ","")&amp;IF('[1]Precios componentes'!D152="Sin precio","TR8; ","")&amp;IF('[1]Precios componentes'!D39="Sin precio","CCA2;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306" spans="1:12" ht="22" customHeight="1">
      <c r="A306" s="1" t="s">
        <v>336</v>
      </c>
      <c r="B306" s="1" t="s">
        <v>14</v>
      </c>
      <c r="C306" s="1" t="s">
        <v>71</v>
      </c>
      <c r="D306" s="4">
        <f>IF(COUNTIFS([1]Desglose_BOM_Componentes!$B$3334:$B$3350,$A306,[1]Desglose_BOM_Componentes!$AE$3334:$AE$3350,"Sin precio",[1]Desglose_BOM_Componentes!$X$3334:$X$3350,"Formulación")&gt;0,"n.d.",SUMIFS([1]Desglose_BOM_Componentes!$AC$3334:$AC$3350,[1]Desglose_BOM_Componentes!$B$3334:$B$3350,$A306,[1]Desglose_BOM_Componentes!$X$3334:$X$3350,"Formulación"))</f>
        <v>0.73057972857142861</v>
      </c>
      <c r="E306" s="4">
        <f>IF(COUNTIFS([1]Desglose_BOM_Componentes!$B$3334:$B$3350,$A306,[1]Desglose_BOM_Componentes!$AE$3334:$AE$3350,"Sin precio",[1]Desglose_BOM_Componentes!$X$3334:$X$3350,"Empaquetado")&gt;0,"n.d.",SUMIFS([1]Desglose_BOM_Componentes!$AC$3334:$AC$3350,[1]Desglose_BOM_Componentes!$B$3334:$B$3350,$A306,[1]Desglose_BOM_Componentes!$X$3334:$X$3350,"Empaquetado"))</f>
        <v>0.19506312277667984</v>
      </c>
      <c r="F306" s="6">
        <f t="shared" si="29"/>
        <v>0.9298428513481084</v>
      </c>
      <c r="G306" s="4">
        <f>IF(COUNTIFS([1]Desglose_BOM_Componentes!$B$3334:$B$3350,$A306,[1]Desglose_BOM_Componentes!$AE$3334:$AE$3350,"Sin precio",[1]Desglose_BOM_Componentes!$X$3334:$X$3350,"Formulación")&gt;0,"n.d.",SUMIFS([1]Desglose_BOM_Componentes!$AD$3334:$AD$3350,[1]Desglose_BOM_Componentes!$B$3334:$B$3350,$A306,[1]Desglose_BOM_Componentes!$X$3334:$X$3350,"Formulación"))</f>
        <v>0.72841514523809536</v>
      </c>
      <c r="H306" s="4">
        <f>IF(COUNTIFS([1]Desglose_BOM_Componentes!$B$3334:$B$3350,$A306,[1]Desglose_BOM_Componentes!$AE$3334:$AE$3350,"Sin precio",[1]Desglose_BOM_Componentes!$X$3334:$X$3350,"Empaquetado")&gt;0,"n.d.",SUMIFS([1]Desglose_BOM_Componentes!$AD$3334:$AD$3350,[1]Desglose_BOM_Componentes!$B$3334:$B$3350,$A306,[1]Desglose_BOM_Componentes!$X$3334:$X$3350,"Empaquetado"))</f>
        <v>0.19506312277667984</v>
      </c>
      <c r="I306" s="6">
        <f t="shared" si="30"/>
        <v>0.92767826801477515</v>
      </c>
      <c r="J306" s="1" t="str">
        <f t="shared" si="26"/>
        <v>Completo</v>
      </c>
      <c r="K306" s="1">
        <f>COUNTIFS([1]Desglose_BOM_Componentes!$B$3334:$B$3350,$A306,[1]Desglose_BOM_Componentes!$AE$3334:$AE$3350,"Sin precio")</f>
        <v>0</v>
      </c>
      <c r="L306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componentes'!D131="Sin precio","SILCA; ","")&amp;IF('[1]Precios componentes'!D118="Sin precio","PRO; ","")&amp;IF('[1]Precios componentes'!D53="Sin precio","EBRO; ","")&amp;IF('[1]Precios componentes'!D107="Sin precio","MGO; ","")&amp;IF('[1]Precios componentes'!D152="Sin precio","TR8; ","")&amp;IF('[1]Precios componentes'!D39="Sin precio","CCA2;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307" spans="1:12" ht="22" customHeight="1">
      <c r="A307" s="1" t="s">
        <v>337</v>
      </c>
      <c r="B307" s="1" t="s">
        <v>14</v>
      </c>
      <c r="C307" s="1" t="s">
        <v>15</v>
      </c>
      <c r="D307" s="4">
        <f>IF(COUNTIFS([1]Desglose_BOM_Componentes!$B$3351:$B$3367,$A307,[1]Desglose_BOM_Componentes!$AE$3351:$AE$3367,"Sin precio",[1]Desglose_BOM_Componentes!$X$3351:$X$3367,"Formulación")&gt;0,"n.d.",SUMIFS([1]Desglose_BOM_Componentes!$AC$3351:$AC$3367,[1]Desglose_BOM_Componentes!$B$3351:$B$3367,$A307,[1]Desglose_BOM_Componentes!$X$3351:$X$3367,"Formulación"))</f>
        <v>0.73057972857142861</v>
      </c>
      <c r="E307" s="4">
        <f>IF(COUNTIFS([1]Desglose_BOM_Componentes!$B$3351:$B$3367,$A307,[1]Desglose_BOM_Componentes!$AE$3351:$AE$3367,"Sin precio",[1]Desglose_BOM_Componentes!$X$3351:$X$3367,"Empaquetado")&gt;0,"n.d.",SUMIFS([1]Desglose_BOM_Componentes!$AC$3351:$AC$3367,[1]Desglose_BOM_Componentes!$B$3351:$B$3367,$A307,[1]Desglose_BOM_Componentes!$X$3351:$X$3367,"Empaquetado"))</f>
        <v>0.19506312277667984</v>
      </c>
      <c r="F307" s="6">
        <f t="shared" si="29"/>
        <v>0.9298428513481084</v>
      </c>
      <c r="G307" s="4">
        <f>IF(COUNTIFS([1]Desglose_BOM_Componentes!$B$3351:$B$3367,$A307,[1]Desglose_BOM_Componentes!$AE$3351:$AE$3367,"Sin precio",[1]Desglose_BOM_Componentes!$X$3351:$X$3367,"Formulación")&gt;0,"n.d.",SUMIFS([1]Desglose_BOM_Componentes!$AD$3351:$AD$3367,[1]Desglose_BOM_Componentes!$B$3351:$B$3367,$A307,[1]Desglose_BOM_Componentes!$X$3351:$X$3367,"Formulación"))</f>
        <v>0.72841514523809536</v>
      </c>
      <c r="H307" s="4">
        <f>IF(COUNTIFS([1]Desglose_BOM_Componentes!$B$3351:$B$3367,$A307,[1]Desglose_BOM_Componentes!$AE$3351:$AE$3367,"Sin precio",[1]Desglose_BOM_Componentes!$X$3351:$X$3367,"Empaquetado")&gt;0,"n.d.",SUMIFS([1]Desglose_BOM_Componentes!$AD$3351:$AD$3367,[1]Desglose_BOM_Componentes!$B$3351:$B$3367,$A307,[1]Desglose_BOM_Componentes!$X$3351:$X$3367,"Empaquetado"))</f>
        <v>0.19506312277667984</v>
      </c>
      <c r="I307" s="6">
        <f t="shared" si="30"/>
        <v>0.92767826801477515</v>
      </c>
      <c r="J307" s="1" t="str">
        <f t="shared" si="26"/>
        <v>Completo</v>
      </c>
      <c r="K307" s="1">
        <f>COUNTIFS([1]Desglose_BOM_Componentes!$B$3351:$B$3367,$A307,[1]Desglose_BOM_Componentes!$AE$3351:$AE$3367,"Sin precio")</f>
        <v>0</v>
      </c>
      <c r="L307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componentes'!D131="Sin precio","SILCA; ","")&amp;IF('[1]Precios componentes'!D118="Sin precio","PRO; ","")&amp;IF('[1]Precios componentes'!D53="Sin precio","EBRO; ","")&amp;IF('[1]Precios componentes'!D107="Sin precio","MGO; ","")&amp;IF('[1]Precios componentes'!D152="Sin precio","TR8; ","")&amp;IF('[1]Precios componentes'!D39="Sin precio","CCA2;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308" spans="1:12" ht="22" customHeight="1">
      <c r="A308" s="1" t="s">
        <v>338</v>
      </c>
      <c r="B308" s="1" t="s">
        <v>339</v>
      </c>
      <c r="C308" s="1" t="s">
        <v>71</v>
      </c>
      <c r="D308" s="4">
        <f>IF(COUNTIFS([1]Desglose_BOM_Componentes!$B$3368:$B$3384,$A308,[1]Desglose_BOM_Componentes!$AE$3368:$AE$3384,"Sin precio",[1]Desglose_BOM_Componentes!$X$3368:$X$3384,"Formulación")&gt;0,"n.d.",SUMIFS([1]Desglose_BOM_Componentes!$AC$3368:$AC$3384,[1]Desglose_BOM_Componentes!$B$3368:$B$3384,$A308,[1]Desglose_BOM_Componentes!$X$3368:$X$3384,"Formulación"))</f>
        <v>0.73057972857142861</v>
      </c>
      <c r="E308" s="4">
        <f>IF(COUNTIFS([1]Desglose_BOM_Componentes!$B$3368:$B$3384,$A308,[1]Desglose_BOM_Componentes!$AE$3368:$AE$3384,"Sin precio",[1]Desglose_BOM_Componentes!$X$3368:$X$3384,"Empaquetado")&gt;0,"n.d.",SUMIFS([1]Desglose_BOM_Componentes!$AC$3368:$AC$3384,[1]Desglose_BOM_Componentes!$B$3368:$B$3384,$A308,[1]Desglose_BOM_Componentes!$X$3368:$X$3384,"Empaquetado"))</f>
        <v>9.8751797282608689E-2</v>
      </c>
      <c r="F308" s="6">
        <f t="shared" si="29"/>
        <v>0.83353152585403723</v>
      </c>
      <c r="G308" s="4">
        <f>IF(COUNTIFS([1]Desglose_BOM_Componentes!$B$3368:$B$3384,$A308,[1]Desglose_BOM_Componentes!$AE$3368:$AE$3384,"Sin precio",[1]Desglose_BOM_Componentes!$X$3368:$X$3384,"Formulación")&gt;0,"n.d.",SUMIFS([1]Desglose_BOM_Componentes!$AD$3368:$AD$3384,[1]Desglose_BOM_Componentes!$B$3368:$B$3384,$A308,[1]Desglose_BOM_Componentes!$X$3368:$X$3384,"Formulación"))</f>
        <v>0.72841514523809536</v>
      </c>
      <c r="H308" s="4">
        <f>IF(COUNTIFS([1]Desglose_BOM_Componentes!$B$3368:$B$3384,$A308,[1]Desglose_BOM_Componentes!$AE$3368:$AE$3384,"Sin precio",[1]Desglose_BOM_Componentes!$X$3368:$X$3384,"Empaquetado")&gt;0,"n.d.",SUMIFS([1]Desglose_BOM_Componentes!$AD$3368:$AD$3384,[1]Desglose_BOM_Componentes!$B$3368:$B$3384,$A308,[1]Desglose_BOM_Componentes!$X$3368:$X$3384,"Empaquetado"))</f>
        <v>9.8751797282608689E-2</v>
      </c>
      <c r="I308" s="6">
        <f t="shared" si="30"/>
        <v>0.83136694252070398</v>
      </c>
      <c r="J308" s="1" t="str">
        <f t="shared" si="26"/>
        <v>Completo</v>
      </c>
      <c r="K308" s="1">
        <f>COUNTIFS([1]Desglose_BOM_Componentes!$B$3368:$B$3384,$A308,[1]Desglose_BOM_Componentes!$AE$3368:$AE$3384,"Sin precio")</f>
        <v>0</v>
      </c>
      <c r="L308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componentes'!D131="Sin precio","SILCA; ","")&amp;IF('[1]Precios componentes'!D118="Sin precio","PRO; ","")&amp;IF('[1]Precios componentes'!D53="Sin precio","EBRO; ","")&amp;IF('[1]Precios componentes'!D107="Sin precio","MGO; ","")&amp;IF('[1]Precios componentes'!D152="Sin precio","TR8; ","")&amp;IF('[1]Precios componentes'!D39="Sin precio","CCA2; ","")&amp;IF('[1]Precios componentes'!D139="Sin precio","SOBREALC20; ","")&amp;IF('[1]Precios componentes'!D115="Sin precio","PAL; ","")&amp;IF('[1]Precios componentes'!D94="Sin precio","KIA220; ","")&amp;IF('[1]Precios componentes'!D21="Sin precio","B20L; ","")&amp;IF('[1]Precios componentes'!D49="Sin precio","CWH; ","")</f>
        <v/>
      </c>
    </row>
    <row r="309" spans="1:12" ht="22" customHeight="1">
      <c r="A309" s="1" t="s">
        <v>340</v>
      </c>
      <c r="B309" s="1" t="s">
        <v>18</v>
      </c>
      <c r="C309" s="1" t="s">
        <v>24</v>
      </c>
      <c r="D309" s="4">
        <f>IF(COUNTIFS([1]Desglose_BOM_Componentes!$B$3385:$B$3399,$A309,[1]Desglose_BOM_Componentes!$AE$3385:$AE$3399,"Sin precio",[1]Desglose_BOM_Componentes!$X$3385:$X$3399,"Formulación")&gt;0,"n.d.",SUMIFS([1]Desglose_BOM_Componentes!$AC$3385:$AC$3399,[1]Desglose_BOM_Componentes!$B$3385:$B$3399,$A309,[1]Desglose_BOM_Componentes!$X$3385:$X$3399,"Formulación"))</f>
        <v>0.95393499999999998</v>
      </c>
      <c r="E309" s="4">
        <f>IF(COUNTIFS([1]Desglose_BOM_Componentes!$B$3385:$B$3399,$A309,[1]Desglose_BOM_Componentes!$AE$3385:$AE$3399,"Sin precio",[1]Desglose_BOM_Componentes!$X$3385:$X$3399,"Empaquetado")&gt;0,"n.d.",SUMIFS([1]Desglose_BOM_Componentes!$AC$3385:$AC$3399,[1]Desglose_BOM_Componentes!$B$3385:$B$3399,$A309,[1]Desglose_BOM_Componentes!$X$3385:$X$3399,"Empaquetado"))</f>
        <v>1.0859479144143824</v>
      </c>
      <c r="F309" s="6">
        <f t="shared" si="29"/>
        <v>2.0440829144143824</v>
      </c>
      <c r="G309" s="4">
        <f>IF(COUNTIFS([1]Desglose_BOM_Componentes!$B$3385:$B$3399,$A309,[1]Desglose_BOM_Componentes!$AE$3385:$AE$3399,"Sin precio",[1]Desglose_BOM_Componentes!$X$3385:$X$3399,"Formulación")&gt;0,"n.d.",SUMIFS([1]Desglose_BOM_Componentes!$AD$3385:$AD$3399,[1]Desglose_BOM_Componentes!$B$3385:$B$3399,$A309,[1]Desglose_BOM_Componentes!$X$3385:$X$3399,"Formulación"))</f>
        <v>0.84562219999999999</v>
      </c>
      <c r="H309" s="4">
        <f>IF(COUNTIFS([1]Desglose_BOM_Componentes!$B$3385:$B$3399,$A309,[1]Desglose_BOM_Componentes!$AE$3385:$AE$3399,"Sin precio",[1]Desglose_BOM_Componentes!$X$3385:$X$3399,"Empaquetado")&gt;0,"n.d.",SUMIFS([1]Desglose_BOM_Componentes!$AD$3385:$AD$3399,[1]Desglose_BOM_Componentes!$B$3385:$B$3399,$A309,[1]Desglose_BOM_Componentes!$X$3385:$X$3399,"Empaquetado"))</f>
        <v>0.95531458108104916</v>
      </c>
      <c r="I309" s="6">
        <f t="shared" si="30"/>
        <v>1.8051367810810492</v>
      </c>
      <c r="J309" s="1" t="str">
        <f t="shared" si="26"/>
        <v>Completo</v>
      </c>
      <c r="K309" s="1">
        <f>COUNTIFS([1]Desglose_BOM_Componentes!$B$3385:$B$3399,$A309,[1]Desglose_BOM_Componentes!$AE$3385:$AE$3399,"Sin precio")</f>
        <v>0</v>
      </c>
      <c r="L309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10" spans="1:12" ht="22" customHeight="1">
      <c r="A310" s="1" t="s">
        <v>341</v>
      </c>
      <c r="B310" s="1" t="s">
        <v>18</v>
      </c>
      <c r="C310" s="1" t="s">
        <v>84</v>
      </c>
      <c r="D310" s="4">
        <f>IF(COUNTIFS([1]Desglose_BOM_Componentes!$B$3400:$B$3414,$A310,[1]Desglose_BOM_Componentes!$AE$3400:$AE$3414,"Sin precio",[1]Desglose_BOM_Componentes!$X$3400:$X$3414,"Formulación")&gt;0,"n.d.",SUMIFS([1]Desglose_BOM_Componentes!$AC$3400:$AC$3414,[1]Desglose_BOM_Componentes!$B$3400:$B$3414,$A310,[1]Desglose_BOM_Componentes!$X$3400:$X$3414,"Formulación"))</f>
        <v>0.95393499999999998</v>
      </c>
      <c r="E310" s="4">
        <f>IF(COUNTIFS([1]Desglose_BOM_Componentes!$B$3400:$B$3414,$A310,[1]Desglose_BOM_Componentes!$AE$3400:$AE$3414,"Sin precio",[1]Desglose_BOM_Componentes!$X$3400:$X$3414,"Empaquetado")&gt;0,"n.d.",SUMIFS([1]Desglose_BOM_Componentes!$AC$3400:$AC$3414,[1]Desglose_BOM_Componentes!$B$3400:$B$3414,$A310,[1]Desglose_BOM_Componentes!$X$3400:$X$3414,"Empaquetado"))</f>
        <v>1.0859479144143824</v>
      </c>
      <c r="F310" s="6">
        <f t="shared" si="29"/>
        <v>2.0440829144143824</v>
      </c>
      <c r="G310" s="4">
        <f>IF(COUNTIFS([1]Desglose_BOM_Componentes!$B$3400:$B$3414,$A310,[1]Desglose_BOM_Componentes!$AE$3400:$AE$3414,"Sin precio",[1]Desglose_BOM_Componentes!$X$3400:$X$3414,"Formulación")&gt;0,"n.d.",SUMIFS([1]Desglose_BOM_Componentes!$AD$3400:$AD$3414,[1]Desglose_BOM_Componentes!$B$3400:$B$3414,$A310,[1]Desglose_BOM_Componentes!$X$3400:$X$3414,"Formulación"))</f>
        <v>0.84562219999999999</v>
      </c>
      <c r="H310" s="4">
        <f>IF(COUNTIFS([1]Desglose_BOM_Componentes!$B$3400:$B$3414,$A310,[1]Desglose_BOM_Componentes!$AE$3400:$AE$3414,"Sin precio",[1]Desglose_BOM_Componentes!$X$3400:$X$3414,"Empaquetado")&gt;0,"n.d.",SUMIFS([1]Desglose_BOM_Componentes!$AD$3400:$AD$3414,[1]Desglose_BOM_Componentes!$B$3400:$B$3414,$A310,[1]Desglose_BOM_Componentes!$X$3400:$X$3414,"Empaquetado"))</f>
        <v>0.95531458108104916</v>
      </c>
      <c r="I310" s="6">
        <f t="shared" si="30"/>
        <v>1.8051367810810492</v>
      </c>
      <c r="J310" s="1" t="str">
        <f t="shared" si="26"/>
        <v>Completo</v>
      </c>
      <c r="K310" s="1">
        <f>COUNTIFS([1]Desglose_BOM_Componentes!$B$3400:$B$3414,$A310,[1]Desglose_BOM_Componentes!$AE$3400:$AE$3414,"Sin precio")</f>
        <v>0</v>
      </c>
      <c r="L310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11" spans="1:12" ht="22" customHeight="1">
      <c r="A311" s="1" t="s">
        <v>342</v>
      </c>
      <c r="B311" s="1" t="s">
        <v>18</v>
      </c>
      <c r="C311" s="1" t="s">
        <v>69</v>
      </c>
      <c r="D311" s="4">
        <f>IF(COUNTIFS([1]Desglose_BOM_Componentes!$B$3415:$B$3429,$A311,[1]Desglose_BOM_Componentes!$AE$3415:$AE$3429,"Sin precio",[1]Desglose_BOM_Componentes!$X$3415:$X$3429,"Formulación")&gt;0,"n.d.",SUMIFS([1]Desglose_BOM_Componentes!$AC$3415:$AC$3429,[1]Desglose_BOM_Componentes!$B$3415:$B$3429,$A311,[1]Desglose_BOM_Componentes!$X$3415:$X$3429,"Formulación"))</f>
        <v>0.95393499999999998</v>
      </c>
      <c r="E311" s="4">
        <f>IF(COUNTIFS([1]Desglose_BOM_Componentes!$B$3415:$B$3429,$A311,[1]Desglose_BOM_Componentes!$AE$3415:$AE$3429,"Sin precio",[1]Desglose_BOM_Componentes!$X$3415:$X$3429,"Empaquetado")&gt;0,"n.d.",SUMIFS([1]Desglose_BOM_Componentes!$AC$3415:$AC$3429,[1]Desglose_BOM_Componentes!$B$3415:$B$3429,$A311,[1]Desglose_BOM_Componentes!$X$3415:$X$3429,"Empaquetado"))</f>
        <v>1.0859479144143824</v>
      </c>
      <c r="F311" s="6">
        <f t="shared" si="29"/>
        <v>2.0440829144143824</v>
      </c>
      <c r="G311" s="4">
        <f>IF(COUNTIFS([1]Desglose_BOM_Componentes!$B$3415:$B$3429,$A311,[1]Desglose_BOM_Componentes!$AE$3415:$AE$3429,"Sin precio",[1]Desglose_BOM_Componentes!$X$3415:$X$3429,"Formulación")&gt;0,"n.d.",SUMIFS([1]Desglose_BOM_Componentes!$AD$3415:$AD$3429,[1]Desglose_BOM_Componentes!$B$3415:$B$3429,$A311,[1]Desglose_BOM_Componentes!$X$3415:$X$3429,"Formulación"))</f>
        <v>0.84562219999999999</v>
      </c>
      <c r="H311" s="4">
        <f>IF(COUNTIFS([1]Desglose_BOM_Componentes!$B$3415:$B$3429,$A311,[1]Desglose_BOM_Componentes!$AE$3415:$AE$3429,"Sin precio",[1]Desglose_BOM_Componentes!$X$3415:$X$3429,"Empaquetado")&gt;0,"n.d.",SUMIFS([1]Desglose_BOM_Componentes!$AD$3415:$AD$3429,[1]Desglose_BOM_Componentes!$B$3415:$B$3429,$A311,[1]Desglose_BOM_Componentes!$X$3415:$X$3429,"Empaquetado"))</f>
        <v>0.95531458108104916</v>
      </c>
      <c r="I311" s="6">
        <f t="shared" si="30"/>
        <v>1.8051367810810492</v>
      </c>
      <c r="J311" s="1" t="str">
        <f t="shared" si="26"/>
        <v>Completo</v>
      </c>
      <c r="K311" s="1">
        <f>COUNTIFS([1]Desglose_BOM_Componentes!$B$3415:$B$3429,$A311,[1]Desglose_BOM_Componentes!$AE$3415:$AE$3429,"Sin precio")</f>
        <v>0</v>
      </c>
      <c r="L311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12" spans="1:12" ht="22" customHeight="1">
      <c r="A312" s="1" t="s">
        <v>343</v>
      </c>
      <c r="B312" s="1" t="s">
        <v>18</v>
      </c>
      <c r="C312" s="1" t="s">
        <v>71</v>
      </c>
      <c r="D312" s="4">
        <f>IF(COUNTIFS([1]Desglose_BOM_Componentes!$B$3430:$B$3444,$A312,[1]Desglose_BOM_Componentes!$AE$3430:$AE$3444,"Sin precio",[1]Desglose_BOM_Componentes!$X$3430:$X$3444,"Formulación")&gt;0,"n.d.",SUMIFS([1]Desglose_BOM_Componentes!$AC$3430:$AC$3444,[1]Desglose_BOM_Componentes!$B$3430:$B$3444,$A312,[1]Desglose_BOM_Componentes!$X$3430:$X$3444,"Formulación"))</f>
        <v>0.95393499999999998</v>
      </c>
      <c r="E312" s="4">
        <f>IF(COUNTIFS([1]Desglose_BOM_Componentes!$B$3430:$B$3444,$A312,[1]Desglose_BOM_Componentes!$AE$3430:$AE$3444,"Sin precio",[1]Desglose_BOM_Componentes!$X$3430:$X$3444,"Empaquetado")&gt;0,"n.d.",SUMIFS([1]Desglose_BOM_Componentes!$AC$3430:$AC$3444,[1]Desglose_BOM_Componentes!$B$3430:$B$3444,$A312,[1]Desglose_BOM_Componentes!$X$3430:$X$3444,"Empaquetado"))</f>
        <v>1.0859479144143824</v>
      </c>
      <c r="F312" s="6">
        <f t="shared" si="29"/>
        <v>2.0440829144143824</v>
      </c>
      <c r="G312" s="4">
        <f>IF(COUNTIFS([1]Desglose_BOM_Componentes!$B$3430:$B$3444,$A312,[1]Desglose_BOM_Componentes!$AE$3430:$AE$3444,"Sin precio",[1]Desglose_BOM_Componentes!$X$3430:$X$3444,"Formulación")&gt;0,"n.d.",SUMIFS([1]Desglose_BOM_Componentes!$AD$3430:$AD$3444,[1]Desglose_BOM_Componentes!$B$3430:$B$3444,$A312,[1]Desglose_BOM_Componentes!$X$3430:$X$3444,"Formulación"))</f>
        <v>0.84562219999999999</v>
      </c>
      <c r="H312" s="4">
        <f>IF(COUNTIFS([1]Desglose_BOM_Componentes!$B$3430:$B$3444,$A312,[1]Desglose_BOM_Componentes!$AE$3430:$AE$3444,"Sin precio",[1]Desglose_BOM_Componentes!$X$3430:$X$3444,"Empaquetado")&gt;0,"n.d.",SUMIFS([1]Desglose_BOM_Componentes!$AD$3430:$AD$3444,[1]Desglose_BOM_Componentes!$B$3430:$B$3444,$A312,[1]Desglose_BOM_Componentes!$X$3430:$X$3444,"Empaquetado"))</f>
        <v>0.95531458108104916</v>
      </c>
      <c r="I312" s="6">
        <f t="shared" si="30"/>
        <v>1.8051367810810492</v>
      </c>
      <c r="J312" s="1" t="str">
        <f t="shared" si="26"/>
        <v>Completo</v>
      </c>
      <c r="K312" s="1">
        <f>COUNTIFS([1]Desglose_BOM_Componentes!$B$3430:$B$3444,$A312,[1]Desglose_BOM_Componentes!$AE$3430:$AE$3444,"Sin precio")</f>
        <v>0</v>
      </c>
      <c r="L312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13" spans="1:12" ht="22" customHeight="1">
      <c r="A313" s="1" t="s">
        <v>344</v>
      </c>
      <c r="B313" s="1" t="s">
        <v>18</v>
      </c>
      <c r="C313" s="1" t="s">
        <v>24</v>
      </c>
      <c r="D313" s="4">
        <f>IF(COUNTIFS([1]Desglose_BOM_Componentes!$B$3445:$B$3459,$A313,[1]Desglose_BOM_Componentes!$AE$3445:$AE$3459,"Sin precio",[1]Desglose_BOM_Componentes!$X$3445:$X$3459,"Formulación")&gt;0,"n.d.",SUMIFS([1]Desglose_BOM_Componentes!$AC$3445:$AC$3459,[1]Desglose_BOM_Componentes!$B$3445:$B$3459,$A313,[1]Desglose_BOM_Componentes!$X$3445:$X$3459,"Formulación"))</f>
        <v>0.95393499999999998</v>
      </c>
      <c r="E313" s="4">
        <f>IF(COUNTIFS([1]Desglose_BOM_Componentes!$B$3445:$B$3459,$A313,[1]Desglose_BOM_Componentes!$AE$3445:$AE$3459,"Sin precio",[1]Desglose_BOM_Componentes!$X$3445:$X$3459,"Empaquetado")&gt;0,"n.d.",SUMIFS([1]Desglose_BOM_Componentes!$AC$3445:$AC$3459,[1]Desglose_BOM_Componentes!$B$3445:$B$3459,$A313,[1]Desglose_BOM_Componentes!$X$3445:$X$3459,"Empaquetado"))</f>
        <v>0.31737480152740588</v>
      </c>
      <c r="F313" s="6">
        <f t="shared" si="29"/>
        <v>1.2755098015274058</v>
      </c>
      <c r="G313" s="4">
        <f>IF(COUNTIFS([1]Desglose_BOM_Componentes!$B$3445:$B$3459,$A313,[1]Desglose_BOM_Componentes!$AE$3445:$AE$3459,"Sin precio",[1]Desglose_BOM_Componentes!$X$3445:$X$3459,"Formulación")&gt;0,"n.d.",SUMIFS([1]Desglose_BOM_Componentes!$AD$3445:$AD$3459,[1]Desglose_BOM_Componentes!$B$3445:$B$3459,$A313,[1]Desglose_BOM_Componentes!$X$3445:$X$3459,"Formulación"))</f>
        <v>0.84562219999999999</v>
      </c>
      <c r="H313" s="4">
        <f>IF(COUNTIFS([1]Desglose_BOM_Componentes!$B$3445:$B$3459,$A313,[1]Desglose_BOM_Componentes!$AE$3445:$AE$3459,"Sin precio",[1]Desglose_BOM_Componentes!$X$3445:$X$3459,"Empaquetado")&gt;0,"n.d.",SUMIFS([1]Desglose_BOM_Componentes!$AD$3445:$AD$3459,[1]Desglose_BOM_Componentes!$B$3445:$B$3459,$A313,[1]Desglose_BOM_Componentes!$X$3445:$X$3459,"Empaquetado"))</f>
        <v>0.31737480152740588</v>
      </c>
      <c r="I313" s="6">
        <f t="shared" si="30"/>
        <v>1.1671970015274058</v>
      </c>
      <c r="J313" s="1" t="str">
        <f t="shared" si="26"/>
        <v>Completo</v>
      </c>
      <c r="K313" s="1">
        <f>COUNTIFS([1]Desglose_BOM_Componentes!$B$3445:$B$3459,$A313,[1]Desglose_BOM_Componentes!$AE$3445:$AE$3459,"Sin precio")</f>
        <v>0</v>
      </c>
      <c r="L313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314" spans="1:12" ht="22" customHeight="1">
      <c r="A314" s="1" t="s">
        <v>345</v>
      </c>
      <c r="B314" s="1" t="s">
        <v>18</v>
      </c>
      <c r="C314" s="1" t="s">
        <v>84</v>
      </c>
      <c r="D314" s="4">
        <f>IF(COUNTIFS([1]Desglose_BOM_Componentes!$B$3460:$B$3474,$A314,[1]Desglose_BOM_Componentes!$AE$3460:$AE$3474,"Sin precio",[1]Desglose_BOM_Componentes!$X$3460:$X$3474,"Formulación")&gt;0,"n.d.",SUMIFS([1]Desglose_BOM_Componentes!$AC$3460:$AC$3474,[1]Desglose_BOM_Componentes!$B$3460:$B$3474,$A314,[1]Desglose_BOM_Componentes!$X$3460:$X$3474,"Formulación"))</f>
        <v>0.95393499999999998</v>
      </c>
      <c r="E314" s="4">
        <f>IF(COUNTIFS([1]Desglose_BOM_Componentes!$B$3460:$B$3474,$A314,[1]Desglose_BOM_Componentes!$AE$3460:$AE$3474,"Sin precio",[1]Desglose_BOM_Componentes!$X$3460:$X$3474,"Empaquetado")&gt;0,"n.d.",SUMIFS([1]Desglose_BOM_Componentes!$AC$3460:$AC$3474,[1]Desglose_BOM_Componentes!$B$3460:$B$3474,$A314,[1]Desglose_BOM_Componentes!$X$3460:$X$3474,"Empaquetado"))</f>
        <v>0.31737480152740588</v>
      </c>
      <c r="F314" s="6">
        <f t="shared" si="29"/>
        <v>1.2755098015274058</v>
      </c>
      <c r="G314" s="4">
        <f>IF(COUNTIFS([1]Desglose_BOM_Componentes!$B$3460:$B$3474,$A314,[1]Desglose_BOM_Componentes!$AE$3460:$AE$3474,"Sin precio",[1]Desglose_BOM_Componentes!$X$3460:$X$3474,"Formulación")&gt;0,"n.d.",SUMIFS([1]Desglose_BOM_Componentes!$AD$3460:$AD$3474,[1]Desglose_BOM_Componentes!$B$3460:$B$3474,$A314,[1]Desglose_BOM_Componentes!$X$3460:$X$3474,"Formulación"))</f>
        <v>0.84562219999999999</v>
      </c>
      <c r="H314" s="4">
        <f>IF(COUNTIFS([1]Desglose_BOM_Componentes!$B$3460:$B$3474,$A314,[1]Desglose_BOM_Componentes!$AE$3460:$AE$3474,"Sin precio",[1]Desglose_BOM_Componentes!$X$3460:$X$3474,"Empaquetado")&gt;0,"n.d.",SUMIFS([1]Desglose_BOM_Componentes!$AD$3460:$AD$3474,[1]Desglose_BOM_Componentes!$B$3460:$B$3474,$A314,[1]Desglose_BOM_Componentes!$X$3460:$X$3474,"Empaquetado"))</f>
        <v>0.31737480152740588</v>
      </c>
      <c r="I314" s="6">
        <f t="shared" si="30"/>
        <v>1.1671970015274058</v>
      </c>
      <c r="J314" s="1" t="str">
        <f t="shared" si="26"/>
        <v>Completo</v>
      </c>
      <c r="K314" s="1">
        <f>COUNTIFS([1]Desglose_BOM_Componentes!$B$3460:$B$3474,$A314,[1]Desglose_BOM_Componentes!$AE$3460:$AE$3474,"Sin precio")</f>
        <v>0</v>
      </c>
      <c r="L314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315" spans="1:12" ht="22" customHeight="1">
      <c r="A315" s="1" t="s">
        <v>346</v>
      </c>
      <c r="B315" s="1" t="s">
        <v>18</v>
      </c>
      <c r="C315" s="1" t="s">
        <v>24</v>
      </c>
      <c r="D315" s="4">
        <f>IF(COUNTIFS([1]Desglose_BOM_Componentes!$B$3475:$B$3488,$A315,[1]Desglose_BOM_Componentes!$AE$3475:$AE$3488,"Sin precio",[1]Desglose_BOM_Componentes!$X$3475:$X$3488,"Formulación")&gt;0,"n.d.",SUMIFS([1]Desglose_BOM_Componentes!$AC$3475:$AC$3488,[1]Desglose_BOM_Componentes!$B$3475:$B$3488,$A315,[1]Desglose_BOM_Componentes!$X$3475:$X$3488,"Formulación"))</f>
        <v>0.95393499999999998</v>
      </c>
      <c r="E315" s="4">
        <f>IF(COUNTIFS([1]Desglose_BOM_Componentes!$B$3475:$B$3488,$A315,[1]Desglose_BOM_Componentes!$AE$3475:$AE$3488,"Sin precio",[1]Desglose_BOM_Componentes!$X$3475:$X$3488,"Empaquetado")&gt;0,"n.d.",SUMIFS([1]Desglose_BOM_Componentes!$AC$3475:$AC$3488,[1]Desglose_BOM_Componentes!$B$3475:$B$3488,$A315,[1]Desglose_BOM_Componentes!$X$3475:$X$3488,"Empaquetado"))</f>
        <v>0.24326489794470366</v>
      </c>
      <c r="F315" s="6">
        <f t="shared" si="29"/>
        <v>1.2013998979447036</v>
      </c>
      <c r="G315" s="4">
        <f>IF(COUNTIFS([1]Desglose_BOM_Componentes!$B$3475:$B$3488,$A315,[1]Desglose_BOM_Componentes!$AE$3475:$AE$3488,"Sin precio",[1]Desglose_BOM_Componentes!$X$3475:$X$3488,"Formulación")&gt;0,"n.d.",SUMIFS([1]Desglose_BOM_Componentes!$AD$3475:$AD$3488,[1]Desglose_BOM_Componentes!$B$3475:$B$3488,$A315,[1]Desglose_BOM_Componentes!$X$3475:$X$3488,"Formulación"))</f>
        <v>0.84562219999999999</v>
      </c>
      <c r="H315" s="4">
        <f>IF(COUNTIFS([1]Desglose_BOM_Componentes!$B$3475:$B$3488,$A315,[1]Desglose_BOM_Componentes!$AE$3475:$AE$3488,"Sin precio",[1]Desglose_BOM_Componentes!$X$3475:$X$3488,"Empaquetado")&gt;0,"n.d.",SUMIFS([1]Desglose_BOM_Componentes!$AD$3475:$AD$3488,[1]Desglose_BOM_Componentes!$B$3475:$B$3488,$A315,[1]Desglose_BOM_Componentes!$X$3475:$X$3488,"Empaquetado"))</f>
        <v>0.24326489794470366</v>
      </c>
      <c r="I315" s="6">
        <f t="shared" si="30"/>
        <v>1.0930870979447036</v>
      </c>
      <c r="J315" s="1" t="str">
        <f t="shared" si="26"/>
        <v>Completo</v>
      </c>
      <c r="K315" s="1">
        <f>COUNTIFS([1]Desglose_BOM_Componentes!$B$3475:$B$3488,$A315,[1]Desglose_BOM_Componentes!$AE$3475:$AE$3488,"Sin precio")</f>
        <v>0</v>
      </c>
      <c r="L315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16" spans="1:12" ht="22" customHeight="1">
      <c r="A316" s="1" t="s">
        <v>347</v>
      </c>
      <c r="B316" s="1" t="s">
        <v>18</v>
      </c>
      <c r="C316" s="1" t="s">
        <v>84</v>
      </c>
      <c r="D316" s="4">
        <f>IF(COUNTIFS([1]Desglose_BOM_Componentes!$B$3489:$B$3502,$A316,[1]Desglose_BOM_Componentes!$AE$3489:$AE$3502,"Sin precio",[1]Desglose_BOM_Componentes!$X$3489:$X$3502,"Formulación")&gt;0,"n.d.",SUMIFS([1]Desglose_BOM_Componentes!$AC$3489:$AC$3502,[1]Desglose_BOM_Componentes!$B$3489:$B$3502,$A316,[1]Desglose_BOM_Componentes!$X$3489:$X$3502,"Formulación"))</f>
        <v>0.95393499999999998</v>
      </c>
      <c r="E316" s="4">
        <f>IF(COUNTIFS([1]Desglose_BOM_Componentes!$B$3489:$B$3502,$A316,[1]Desglose_BOM_Componentes!$AE$3489:$AE$3502,"Sin precio",[1]Desglose_BOM_Componentes!$X$3489:$X$3502,"Empaquetado")&gt;0,"n.d.",SUMIFS([1]Desglose_BOM_Componentes!$AC$3489:$AC$3502,[1]Desglose_BOM_Componentes!$B$3489:$B$3502,$A316,[1]Desglose_BOM_Componentes!$X$3489:$X$3502,"Empaquetado"))</f>
        <v>0.24326489794470366</v>
      </c>
      <c r="F316" s="6">
        <f t="shared" si="29"/>
        <v>1.2013998979447036</v>
      </c>
      <c r="G316" s="4">
        <f>IF(COUNTIFS([1]Desglose_BOM_Componentes!$B$3489:$B$3502,$A316,[1]Desglose_BOM_Componentes!$AE$3489:$AE$3502,"Sin precio",[1]Desglose_BOM_Componentes!$X$3489:$X$3502,"Formulación")&gt;0,"n.d.",SUMIFS([1]Desglose_BOM_Componentes!$AD$3489:$AD$3502,[1]Desglose_BOM_Componentes!$B$3489:$B$3502,$A316,[1]Desglose_BOM_Componentes!$X$3489:$X$3502,"Formulación"))</f>
        <v>0.84562219999999999</v>
      </c>
      <c r="H316" s="4">
        <f>IF(COUNTIFS([1]Desglose_BOM_Componentes!$B$3489:$B$3502,$A316,[1]Desglose_BOM_Componentes!$AE$3489:$AE$3502,"Sin precio",[1]Desglose_BOM_Componentes!$X$3489:$X$3502,"Empaquetado")&gt;0,"n.d.",SUMIFS([1]Desglose_BOM_Componentes!$AD$3489:$AD$3502,[1]Desglose_BOM_Componentes!$B$3489:$B$3502,$A316,[1]Desglose_BOM_Componentes!$X$3489:$X$3502,"Empaquetado"))</f>
        <v>0.24326489794470366</v>
      </c>
      <c r="I316" s="6">
        <f t="shared" si="30"/>
        <v>1.0930870979447036</v>
      </c>
      <c r="J316" s="1" t="str">
        <f t="shared" si="26"/>
        <v>Completo</v>
      </c>
      <c r="K316" s="1">
        <f>COUNTIFS([1]Desglose_BOM_Componentes!$B$3489:$B$3502,$A316,[1]Desglose_BOM_Componentes!$AE$3489:$AE$3502,"Sin precio")</f>
        <v>0</v>
      </c>
      <c r="L316" s="1" t="str">
        <f>IF('[1]Precios componentes'!D93="Sin precio","KF78; ","")&amp;IF('[1]Precios componentes'!D103="Sin precio","LIGNOAM; ","")&amp;IF('[1]Precios componentes'!D80="Sin precio","GLI; ","")&amp;IF('[1]Precios componentes'!D72="Sin precio","FMA; ","")&amp;IF('[1]Precios componentes'!D124="Sin precio","SAC; ","")&amp;IF('[1]Precios componentes'!D83="Sin precio","GLUMO; ","")&amp;IF('[1]Precios componentes'!D155="Sin precio","UREL; ","")&amp;IF('[1]Precios componentes'!D127="Sin precio","SBT70; ","")&amp;IF('[1]Precios componentes'!D54="Sin precio","EDT;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17" spans="1:12" ht="22" customHeight="1">
      <c r="A317" s="1" t="s">
        <v>348</v>
      </c>
      <c r="B317" s="1" t="s">
        <v>18</v>
      </c>
      <c r="C317" s="1" t="s">
        <v>81</v>
      </c>
      <c r="D317" s="4">
        <f>IF(COUNTIFS([1]Desglose_BOM_Componentes!$B$3514:$B$3526,$A317,[1]Desglose_BOM_Componentes!$AE$3514:$AE$3526,"Sin precio",[1]Desglose_BOM_Componentes!$X$3514:$X$3526,"Formulación")&gt;0,"n.d.",SUMIFS([1]Desglose_BOM_Componentes!$AC$3514:$AC$3526,[1]Desglose_BOM_Componentes!$B$3514:$B$3526,$A317,[1]Desglose_BOM_Componentes!$X$3514:$X$3526,"Formulación"))</f>
        <v>1.9358938999999999</v>
      </c>
      <c r="E317" s="4">
        <f>IF(COUNTIFS([1]Desglose_BOM_Componentes!$B$3514:$B$3526,$A317,[1]Desglose_BOM_Componentes!$AE$3514:$AE$3526,"Sin precio",[1]Desglose_BOM_Componentes!$X$3514:$X$3526,"Empaquetado")&gt;0,"n.d.",SUMIFS([1]Desglose_BOM_Componentes!$AC$3514:$AC$3526,[1]Desglose_BOM_Componentes!$B$3514:$B$3526,$A317,[1]Desglose_BOM_Componentes!$X$3514:$X$3526,"Empaquetado"))</f>
        <v>1.0859479144143824</v>
      </c>
      <c r="F317" s="6">
        <f t="shared" si="29"/>
        <v>3.0260418144143824</v>
      </c>
      <c r="G317" s="4">
        <f>IF(COUNTIFS([1]Desglose_BOM_Componentes!$B$3514:$B$3526,$A317,[1]Desglose_BOM_Componentes!$AE$3514:$AE$3526,"Sin precio",[1]Desglose_BOM_Componentes!$X$3514:$X$3526,"Formulación")&gt;0,"n.d.",SUMIFS([1]Desglose_BOM_Componentes!$AD$3514:$AD$3526,[1]Desglose_BOM_Componentes!$B$3514:$B$3526,$A317,[1]Desglose_BOM_Componentes!$X$3514:$X$3526,"Formulación"))</f>
        <v>1.5837144714285714</v>
      </c>
      <c r="H317" s="4">
        <f>IF(COUNTIFS([1]Desglose_BOM_Componentes!$B$3514:$B$3526,$A317,[1]Desglose_BOM_Componentes!$AE$3514:$AE$3526,"Sin precio",[1]Desglose_BOM_Componentes!$X$3514:$X$3526,"Empaquetado")&gt;0,"n.d.",SUMIFS([1]Desglose_BOM_Componentes!$AD$3514:$AD$3526,[1]Desglose_BOM_Componentes!$B$3514:$B$3526,$A317,[1]Desglose_BOM_Componentes!$X$3514:$X$3526,"Empaquetado"))</f>
        <v>0.95531458108104916</v>
      </c>
      <c r="I317" s="6">
        <f t="shared" si="30"/>
        <v>2.5432290525096204</v>
      </c>
      <c r="J317" s="1" t="str">
        <f t="shared" si="26"/>
        <v>Completo</v>
      </c>
      <c r="K317" s="1">
        <f>COUNTIFS([1]Desglose_BOM_Componentes!$B$3514:$B$3526,$A317,[1]Desglose_BOM_Componentes!$AE$3514:$AE$3526,"Sin precio")</f>
        <v>0</v>
      </c>
      <c r="L317" s="1" t="str">
        <f>IF('[1]Precios componentes'!D106="Sin precio","MEA; ","")&amp;IF('[1]Precios componentes'!D24="Sin precio","BET; ","")&amp;IF('[1]Precios componentes'!D155="Sin precio","UREL; ","")&amp;IF('[1]Precios componentes'!D104="Sin precio","MAL; ","")&amp;IF('[1]Precios componentes'!D54="Sin precio","EDT; ","")&amp;IF('[1]Precios componentes'!D156="Sin precio","VER;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18" spans="1:12" ht="22" customHeight="1">
      <c r="A318" s="1" t="s">
        <v>349</v>
      </c>
      <c r="B318" s="1" t="s">
        <v>18</v>
      </c>
      <c r="C318" s="1" t="s">
        <v>19</v>
      </c>
      <c r="D318" s="4">
        <f>IF(COUNTIFS([1]Desglose_BOM_Componentes!$B$3527:$B$3539,$A318,[1]Desglose_BOM_Componentes!$AE$3527:$AE$3539,"Sin precio",[1]Desglose_BOM_Componentes!$X$3527:$X$3539,"Formulación")&gt;0,"n.d.",SUMIFS([1]Desglose_BOM_Componentes!$AC$3527:$AC$3539,[1]Desglose_BOM_Componentes!$B$3527:$B$3539,$A318,[1]Desglose_BOM_Componentes!$X$3527:$X$3539,"Formulación"))</f>
        <v>1.9358938999999999</v>
      </c>
      <c r="E318" s="4">
        <f>IF(COUNTIFS([1]Desglose_BOM_Componentes!$B$3527:$B$3539,$A318,[1]Desglose_BOM_Componentes!$AE$3527:$AE$3539,"Sin precio",[1]Desglose_BOM_Componentes!$X$3527:$X$3539,"Empaquetado")&gt;0,"n.d.",SUMIFS([1]Desglose_BOM_Componentes!$AC$3527:$AC$3539,[1]Desglose_BOM_Componentes!$B$3527:$B$3539,$A318,[1]Desglose_BOM_Componentes!$X$3527:$X$3539,"Empaquetado"))</f>
        <v>1.0859479144143824</v>
      </c>
      <c r="F318" s="6">
        <f t="shared" si="29"/>
        <v>3.0260418144143824</v>
      </c>
      <c r="G318" s="4">
        <f>IF(COUNTIFS([1]Desglose_BOM_Componentes!$B$3527:$B$3539,$A318,[1]Desglose_BOM_Componentes!$AE$3527:$AE$3539,"Sin precio",[1]Desglose_BOM_Componentes!$X$3527:$X$3539,"Formulación")&gt;0,"n.d.",SUMIFS([1]Desglose_BOM_Componentes!$AD$3527:$AD$3539,[1]Desglose_BOM_Componentes!$B$3527:$B$3539,$A318,[1]Desglose_BOM_Componentes!$X$3527:$X$3539,"Formulación"))</f>
        <v>1.5837144714285714</v>
      </c>
      <c r="H318" s="4">
        <f>IF(COUNTIFS([1]Desglose_BOM_Componentes!$B$3527:$B$3539,$A318,[1]Desglose_BOM_Componentes!$AE$3527:$AE$3539,"Sin precio",[1]Desglose_BOM_Componentes!$X$3527:$X$3539,"Empaquetado")&gt;0,"n.d.",SUMIFS([1]Desglose_BOM_Componentes!$AD$3527:$AD$3539,[1]Desglose_BOM_Componentes!$B$3527:$B$3539,$A318,[1]Desglose_BOM_Componentes!$X$3527:$X$3539,"Empaquetado"))</f>
        <v>0.95531458108104916</v>
      </c>
      <c r="I318" s="6">
        <f t="shared" si="30"/>
        <v>2.5432290525096204</v>
      </c>
      <c r="J318" s="1" t="str">
        <f t="shared" si="26"/>
        <v>Completo</v>
      </c>
      <c r="K318" s="1">
        <f>COUNTIFS([1]Desglose_BOM_Componentes!$B$3527:$B$3539,$A318,[1]Desglose_BOM_Componentes!$AE$3527:$AE$3539,"Sin precio")</f>
        <v>0</v>
      </c>
      <c r="L318" s="1" t="str">
        <f>IF('[1]Precios componentes'!D106="Sin precio","MEA; ","")&amp;IF('[1]Precios componentes'!D24="Sin precio","BET; ","")&amp;IF('[1]Precios componentes'!D155="Sin precio","UREL; ","")&amp;IF('[1]Precios componentes'!D104="Sin precio","MAL; ","")&amp;IF('[1]Precios componentes'!D54="Sin precio","EDT; ","")&amp;IF('[1]Precios componentes'!D156="Sin precio","VER;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19" spans="1:12" ht="22" customHeight="1">
      <c r="A319" s="1" t="s">
        <v>350</v>
      </c>
      <c r="B319" s="1" t="s">
        <v>18</v>
      </c>
      <c r="C319" s="1" t="s">
        <v>81</v>
      </c>
      <c r="D319" s="4">
        <f>IF(COUNTIFS([1]Desglose_BOM_Componentes!$B$3540:$B$3552,$A319,[1]Desglose_BOM_Componentes!$AE$3540:$AE$3552,"Sin precio",[1]Desglose_BOM_Componentes!$X$3540:$X$3552,"Formulación")&gt;0,"n.d.",SUMIFS([1]Desglose_BOM_Componentes!$AC$3540:$AC$3552,[1]Desglose_BOM_Componentes!$B$3540:$B$3552,$A319,[1]Desglose_BOM_Componentes!$X$3540:$X$3552,"Formulación"))</f>
        <v>1.9358938999999999</v>
      </c>
      <c r="E319" s="4">
        <f>IF(COUNTIFS([1]Desglose_BOM_Componentes!$B$3540:$B$3552,$A319,[1]Desglose_BOM_Componentes!$AE$3540:$AE$3552,"Sin precio",[1]Desglose_BOM_Componentes!$X$3540:$X$3552,"Empaquetado")&gt;0,"n.d.",SUMIFS([1]Desglose_BOM_Componentes!$AC$3540:$AC$3552,[1]Desglose_BOM_Componentes!$B$3540:$B$3552,$A319,[1]Desglose_BOM_Componentes!$X$3540:$X$3552,"Empaquetado"))</f>
        <v>0.2995748015274059</v>
      </c>
      <c r="F319" s="6">
        <f t="shared" si="29"/>
        <v>2.2396687015274059</v>
      </c>
      <c r="G319" s="4">
        <f>IF(COUNTIFS([1]Desglose_BOM_Componentes!$B$3540:$B$3552,$A319,[1]Desglose_BOM_Componentes!$AE$3540:$AE$3552,"Sin precio",[1]Desglose_BOM_Componentes!$X$3540:$X$3552,"Formulación")&gt;0,"n.d.",SUMIFS([1]Desglose_BOM_Componentes!$AD$3540:$AD$3552,[1]Desglose_BOM_Componentes!$B$3540:$B$3552,$A319,[1]Desglose_BOM_Componentes!$X$3540:$X$3552,"Formulación"))</f>
        <v>1.5837144714285714</v>
      </c>
      <c r="H319" s="4">
        <f>IF(COUNTIFS([1]Desglose_BOM_Componentes!$B$3540:$B$3552,$A319,[1]Desglose_BOM_Componentes!$AE$3540:$AE$3552,"Sin precio",[1]Desglose_BOM_Componentes!$X$3540:$X$3552,"Empaquetado")&gt;0,"n.d.",SUMIFS([1]Desglose_BOM_Componentes!$AD$3540:$AD$3552,[1]Desglose_BOM_Componentes!$B$3540:$B$3552,$A319,[1]Desglose_BOM_Componentes!$X$3540:$X$3552,"Empaquetado"))</f>
        <v>0.2995748015274059</v>
      </c>
      <c r="I319" s="6">
        <f t="shared" si="30"/>
        <v>1.8874892729559773</v>
      </c>
      <c r="J319" s="1" t="str">
        <f t="shared" si="26"/>
        <v>Completo</v>
      </c>
      <c r="K319" s="1">
        <f>COUNTIFS([1]Desglose_BOM_Componentes!$B$3540:$B$3552,$A319,[1]Desglose_BOM_Componentes!$AE$3540:$AE$3552,"Sin precio")</f>
        <v>0</v>
      </c>
      <c r="L319" s="1" t="str">
        <f>IF('[1]Precios componentes'!D106="Sin precio","MEA; ","")&amp;IF('[1]Precios componentes'!D24="Sin precio","BET; ","")&amp;IF('[1]Precios componentes'!D155="Sin precio","UREL; ","")&amp;IF('[1]Precios componentes'!D104="Sin precio","MAL; ","")&amp;IF('[1]Precios componentes'!D54="Sin precio","EDT; ","")&amp;IF('[1]Precios componentes'!D156="Sin precio","VER; ","")&amp;IF('[1]Precios componentes'!D76="Sin precio","FOI;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320" spans="1:12" ht="22" customHeight="1">
      <c r="A320" s="1" t="s">
        <v>351</v>
      </c>
      <c r="B320" s="1" t="s">
        <v>18</v>
      </c>
      <c r="C320" s="1" t="s">
        <v>19</v>
      </c>
      <c r="D320" s="4">
        <f>IF(COUNTIFS([1]Desglose_BOM_Componentes!$B$3553:$B$3564,$A320,[1]Desglose_BOM_Componentes!$AE$3553:$AE$3564,"Sin precio",[1]Desglose_BOM_Componentes!$X$3553:$X$3564,"Formulación")&gt;0,"n.d.",SUMIFS([1]Desglose_BOM_Componentes!$AC$3553:$AC$3564,[1]Desglose_BOM_Componentes!$B$3553:$B$3564,$A320,[1]Desglose_BOM_Componentes!$X$3553:$X$3564,"Formulación"))</f>
        <v>1.9358938999999999</v>
      </c>
      <c r="E320" s="4">
        <f>IF(COUNTIFS([1]Desglose_BOM_Componentes!$B$3553:$B$3564,$A320,[1]Desglose_BOM_Componentes!$AE$3553:$AE$3564,"Sin precio",[1]Desglose_BOM_Componentes!$X$3553:$X$3564,"Empaquetado")&gt;0,"n.d.",SUMIFS([1]Desglose_BOM_Componentes!$AC$3553:$AC$3564,[1]Desglose_BOM_Componentes!$B$3553:$B$3564,$A320,[1]Desglose_BOM_Componentes!$X$3553:$X$3564,"Empaquetado"))</f>
        <v>0.24326489794470366</v>
      </c>
      <c r="F320" s="6">
        <f t="shared" si="29"/>
        <v>2.1833587979447038</v>
      </c>
      <c r="G320" s="4">
        <f>IF(COUNTIFS([1]Desglose_BOM_Componentes!$B$3553:$B$3564,$A320,[1]Desglose_BOM_Componentes!$AE$3553:$AE$3564,"Sin precio",[1]Desglose_BOM_Componentes!$X$3553:$X$3564,"Formulación")&gt;0,"n.d.",SUMIFS([1]Desglose_BOM_Componentes!$AD$3553:$AD$3564,[1]Desglose_BOM_Componentes!$B$3553:$B$3564,$A320,[1]Desglose_BOM_Componentes!$X$3553:$X$3564,"Formulación"))</f>
        <v>1.5837144714285714</v>
      </c>
      <c r="H320" s="4">
        <f>IF(COUNTIFS([1]Desglose_BOM_Componentes!$B$3553:$B$3564,$A320,[1]Desglose_BOM_Componentes!$AE$3553:$AE$3564,"Sin precio",[1]Desglose_BOM_Componentes!$X$3553:$X$3564,"Empaquetado")&gt;0,"n.d.",SUMIFS([1]Desglose_BOM_Componentes!$AD$3553:$AD$3564,[1]Desglose_BOM_Componentes!$B$3553:$B$3564,$A320,[1]Desglose_BOM_Componentes!$X$3553:$X$3564,"Empaquetado"))</f>
        <v>0.24326489794470366</v>
      </c>
      <c r="I320" s="6">
        <f t="shared" si="30"/>
        <v>1.831179369373275</v>
      </c>
      <c r="J320" s="1" t="str">
        <f t="shared" si="26"/>
        <v>Completo</v>
      </c>
      <c r="K320" s="1">
        <f>COUNTIFS([1]Desglose_BOM_Componentes!$B$3553:$B$3564,$A320,[1]Desglose_BOM_Componentes!$AE$3553:$AE$3564,"Sin precio")</f>
        <v>0</v>
      </c>
      <c r="L320" s="1" t="str">
        <f>IF('[1]Precios componentes'!D106="Sin precio","MEA; ","")&amp;IF('[1]Precios componentes'!D24="Sin precio","BET; ","")&amp;IF('[1]Precios componentes'!D155="Sin precio","UREL; ","")&amp;IF('[1]Precios componentes'!D104="Sin precio","MAL; ","")&amp;IF('[1]Precios componentes'!D54="Sin precio","EDT; ","")&amp;IF('[1]Precios componentes'!D156="Sin precio","VER;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21" spans="1:12" ht="22" customHeight="1">
      <c r="A321" s="1" t="s">
        <v>352</v>
      </c>
      <c r="B321" s="1" t="s">
        <v>18</v>
      </c>
      <c r="C321" s="1" t="s">
        <v>19</v>
      </c>
      <c r="D321" s="4">
        <f>IF(COUNTIFS([1]Desglose_BOM_Componentes!$B$3565:$B$3577,$A321,[1]Desglose_BOM_Componentes!$AE$3565:$AE$3577,"Sin precio",[1]Desglose_BOM_Componentes!$X$3565:$X$3577,"Formulación")&gt;0,"n.d.",SUMIFS([1]Desglose_BOM_Componentes!$AC$3565:$AC$3577,[1]Desglose_BOM_Componentes!$B$3565:$B$3577,$A321,[1]Desglose_BOM_Componentes!$X$3565:$X$3577,"Formulación"))</f>
        <v>1.9358938999999999</v>
      </c>
      <c r="E321" s="4">
        <f>IF(COUNTIFS([1]Desglose_BOM_Componentes!$B$3565:$B$3577,$A321,[1]Desglose_BOM_Componentes!$AE$3565:$AE$3577,"Sin precio",[1]Desglose_BOM_Componentes!$X$3565:$X$3577,"Empaquetado")&gt;0,"n.d.",SUMIFS([1]Desglose_BOM_Componentes!$AC$3565:$AC$3577,[1]Desglose_BOM_Componentes!$B$3565:$B$3577,$A321,[1]Desglose_BOM_Componentes!$X$3565:$X$3577,"Empaquetado"))</f>
        <v>0.19508731331430246</v>
      </c>
      <c r="F321" s="6">
        <f t="shared" si="29"/>
        <v>2.1351812133143024</v>
      </c>
      <c r="G321" s="4">
        <f>IF(COUNTIFS([1]Desglose_BOM_Componentes!$B$3565:$B$3577,$A321,[1]Desglose_BOM_Componentes!$AE$3565:$AE$3577,"Sin precio",[1]Desglose_BOM_Componentes!$X$3565:$X$3577,"Formulación")&gt;0,"n.d.",SUMIFS([1]Desglose_BOM_Componentes!$AD$3565:$AD$3577,[1]Desglose_BOM_Componentes!$B$3565:$B$3577,$A321,[1]Desglose_BOM_Componentes!$X$3565:$X$3577,"Formulación"))</f>
        <v>1.5837144714285714</v>
      </c>
      <c r="H321" s="4">
        <f>IF(COUNTIFS([1]Desglose_BOM_Componentes!$B$3565:$B$3577,$A321,[1]Desglose_BOM_Componentes!$AE$3565:$AE$3577,"Sin precio",[1]Desglose_BOM_Componentes!$X$3565:$X$3577,"Empaquetado")&gt;0,"n.d.",SUMIFS([1]Desglose_BOM_Componentes!$AD$3565:$AD$3577,[1]Desglose_BOM_Componentes!$B$3565:$B$3577,$A321,[1]Desglose_BOM_Componentes!$X$3565:$X$3577,"Empaquetado"))</f>
        <v>0.19508731331430246</v>
      </c>
      <c r="I321" s="6">
        <f t="shared" si="30"/>
        <v>1.7830017847428739</v>
      </c>
      <c r="J321" s="1" t="str">
        <f t="shared" si="26"/>
        <v>Completo</v>
      </c>
      <c r="K321" s="1">
        <f>COUNTIFS([1]Desglose_BOM_Componentes!$B$3565:$B$3577,$A321,[1]Desglose_BOM_Componentes!$AE$3565:$AE$3577,"Sin precio")</f>
        <v>0</v>
      </c>
      <c r="L321" s="1" t="str">
        <f>IF('[1]Precios componentes'!D106="Sin precio","MEA; ","")&amp;IF('[1]Precios componentes'!D24="Sin precio","BET; ","")&amp;IF('[1]Precios componentes'!D155="Sin precio","UREL; ","")&amp;IF('[1]Precios componentes'!D104="Sin precio","MAL; ","")&amp;IF('[1]Precios componentes'!D54="Sin precio","EDT; ","")&amp;IF('[1]Precios componentes'!D156="Sin precio","VER; ","")&amp;IF('[1]Precios componentes'!D76="Sin precio","FOI;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322" spans="1:12" ht="22" customHeight="1">
      <c r="A322" s="1" t="s">
        <v>353</v>
      </c>
      <c r="B322" s="1" t="s">
        <v>18</v>
      </c>
      <c r="C322" s="1" t="s">
        <v>21</v>
      </c>
      <c r="D322" s="4">
        <f>IF(COUNTIFS([1]Desglose_BOM_Componentes!$B$3578:$B$3586,$A322,[1]Desglose_BOM_Componentes!$AE$3578:$AE$3586,"Sin precio",[1]Desglose_BOM_Componentes!$X$3578:$X$3586,"Formulación")&gt;0,"n.d.",SUMIFS([1]Desglose_BOM_Componentes!$AC$3578:$AC$3586,[1]Desglose_BOM_Componentes!$B$3578:$B$3586,$A322,[1]Desglose_BOM_Componentes!$X$3578:$X$3586,"Formulación"))</f>
        <v>1.9358938999999999</v>
      </c>
      <c r="E322" s="4">
        <f>IF(COUNTIFS([1]Desglose_BOM_Componentes!$B$3578:$B$3586,$A322,[1]Desglose_BOM_Componentes!$AE$3578:$AE$3586,"Sin precio",[1]Desglose_BOM_Componentes!$X$3578:$X$3586,"Empaquetado")&gt;0,"n.d.",SUMIFS([1]Desglose_BOM_Componentes!$AC$3578:$AC$3586,[1]Desglose_BOM_Componentes!$B$3578:$B$3586,$A322,[1]Desglose_BOM_Componentes!$X$3578:$X$3586,"Empaquetado"))</f>
        <v>0.11708868994565218</v>
      </c>
      <c r="F322" s="6">
        <f t="shared" si="29"/>
        <v>2.057182589945652</v>
      </c>
      <c r="G322" s="4">
        <f>IF(COUNTIFS([1]Desglose_BOM_Componentes!$B$3578:$B$3586,$A322,[1]Desglose_BOM_Componentes!$AE$3578:$AE$3586,"Sin precio",[1]Desglose_BOM_Componentes!$X$3578:$X$3586,"Formulación")&gt;0,"n.d.",SUMIFS([1]Desglose_BOM_Componentes!$AD$3578:$AD$3586,[1]Desglose_BOM_Componentes!$B$3578:$B$3586,$A322,[1]Desglose_BOM_Componentes!$X$3578:$X$3586,"Formulación"))</f>
        <v>1.5837144714285714</v>
      </c>
      <c r="H322" s="4">
        <f>IF(COUNTIFS([1]Desglose_BOM_Componentes!$B$3578:$B$3586,$A322,[1]Desglose_BOM_Componentes!$AE$3578:$AE$3586,"Sin precio",[1]Desglose_BOM_Componentes!$X$3578:$X$3586,"Empaquetado")&gt;0,"n.d.",SUMIFS([1]Desglose_BOM_Componentes!$AD$3578:$AD$3586,[1]Desglose_BOM_Componentes!$B$3578:$B$3586,$A322,[1]Desglose_BOM_Componentes!$X$3578:$X$3586,"Empaquetado"))</f>
        <v>0.11708868994565218</v>
      </c>
      <c r="I322" s="6">
        <f t="shared" si="30"/>
        <v>1.7050031613742236</v>
      </c>
      <c r="J322" s="1" t="str">
        <f t="shared" si="26"/>
        <v>Completo</v>
      </c>
      <c r="K322" s="1">
        <f>COUNTIFS([1]Desglose_BOM_Componentes!$B$3578:$B$3586,$A322,[1]Desglose_BOM_Componentes!$AE$3578:$AE$3586,"Sin precio")</f>
        <v>0</v>
      </c>
      <c r="L322" s="1" t="str">
        <f>IF('[1]Precios componentes'!D106="Sin precio","MEA; ","")&amp;IF('[1]Precios componentes'!D24="Sin precio","BET; ","")&amp;IF('[1]Precios componentes'!D155="Sin precio","UREL; ","")&amp;IF('[1]Precios componentes'!D104="Sin precio","MAL; ","")&amp;IF('[1]Precios componentes'!D54="Sin precio","EDT; ","")&amp;IF('[1]Precios componentes'!D156="Sin precio","VER; ","")&amp;IF('[1]Precios componentes'!D76="Sin precio","FOI; ","")&amp;IF('[1]Precios componentes'!D30="Sin precio","C1000; ","")&amp;IF('[1]Precios componentes'!D94="Sin precio","KIA220; ","")</f>
        <v/>
      </c>
    </row>
    <row r="323" spans="1:12" ht="22" customHeight="1">
      <c r="A323" s="1" t="s">
        <v>354</v>
      </c>
      <c r="B323" s="1" t="s">
        <v>18</v>
      </c>
      <c r="C323" s="1" t="s">
        <v>24</v>
      </c>
      <c r="D323" s="4">
        <f>IF(COUNTIFS([1]Desglose_BOM_Componentes!$B$3587:$B$3601,$A323,[1]Desglose_BOM_Componentes!$AE$3587:$AE$3601,"Sin precio",[1]Desglose_BOM_Componentes!$X$3587:$X$3601,"Formulación")&gt;0,"n.d.",SUMIFS([1]Desglose_BOM_Componentes!$AC$3587:$AC$3601,[1]Desglose_BOM_Componentes!$B$3587:$B$3601,$A323,[1]Desglose_BOM_Componentes!$X$3587:$X$3601,"Formulación"))</f>
        <v>1.9736554545454543</v>
      </c>
      <c r="E323" s="4">
        <f>IF(COUNTIFS([1]Desglose_BOM_Componentes!$B$3587:$B$3601,$A323,[1]Desglose_BOM_Componentes!$AE$3587:$AE$3601,"Sin precio",[1]Desglose_BOM_Componentes!$X$3587:$X$3601,"Empaquetado")&gt;0,"n.d.",SUMIFS([1]Desglose_BOM_Componentes!$AC$3587:$AC$3601,[1]Desglose_BOM_Componentes!$B$3587:$B$3601,$A323,[1]Desglose_BOM_Componentes!$X$3587:$X$3601,"Empaquetado"))</f>
        <v>0.75344791441438252</v>
      </c>
      <c r="F323" s="6">
        <f t="shared" si="29"/>
        <v>2.7313033689598369</v>
      </c>
      <c r="G323" s="4">
        <f>IF(COUNTIFS([1]Desglose_BOM_Componentes!$B$3587:$B$3601,$A323,[1]Desglose_BOM_Componentes!$AE$3587:$AE$3601,"Sin precio",[1]Desglose_BOM_Componentes!$X$3587:$X$3601,"Formulación")&gt;0,"n.d.",SUMIFS([1]Desglose_BOM_Componentes!$AD$3587:$AD$3601,[1]Desglose_BOM_Componentes!$B$3587:$B$3601,$A323,[1]Desglose_BOM_Componentes!$X$3587:$X$3601,"Formulación"))</f>
        <v>1.7732949545454544</v>
      </c>
      <c r="H323" s="4">
        <f>IF(COUNTIFS([1]Desglose_BOM_Componentes!$B$3587:$B$3601,$A323,[1]Desglose_BOM_Componentes!$AE$3587:$AE$3601,"Sin precio",[1]Desglose_BOM_Componentes!$X$3587:$X$3601,"Empaquetado")&gt;0,"n.d.",SUMIFS([1]Desglose_BOM_Componentes!$AD$3587:$AD$3601,[1]Desglose_BOM_Componentes!$B$3587:$B$3601,$A323,[1]Desglose_BOM_Componentes!$X$3587:$X$3601,"Empaquetado"))</f>
        <v>0.75344791441438252</v>
      </c>
      <c r="I323" s="6">
        <f t="shared" si="30"/>
        <v>2.530942868959837</v>
      </c>
      <c r="J323" s="1" t="str">
        <f t="shared" si="26"/>
        <v>Completo</v>
      </c>
      <c r="K323" s="1">
        <f>COUNTIFS([1]Desglose_BOM_Componentes!$B$3587:$B$3601,$A323,[1]Desglose_BOM_Componentes!$AE$3587:$AE$3601,"Sin precio")</f>
        <v>0</v>
      </c>
      <c r="L323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24" spans="1:12" ht="22" customHeight="1">
      <c r="A324" s="1" t="s">
        <v>355</v>
      </c>
      <c r="B324" s="1" t="s">
        <v>18</v>
      </c>
      <c r="C324" s="1" t="s">
        <v>116</v>
      </c>
      <c r="D324" s="4">
        <f>IF(COUNTIFS([1]Desglose_BOM_Componentes!$B$3602:$B$3616,$A324,[1]Desglose_BOM_Componentes!$AE$3602:$AE$3616,"Sin precio",[1]Desglose_BOM_Componentes!$X$3602:$X$3616,"Formulación")&gt;0,"n.d.",SUMIFS([1]Desglose_BOM_Componentes!$AC$3602:$AC$3616,[1]Desglose_BOM_Componentes!$B$3602:$B$3616,$A324,[1]Desglose_BOM_Componentes!$X$3602:$X$3616,"Formulación"))</f>
        <v>1.9736554545454543</v>
      </c>
      <c r="E324" s="4">
        <f>IF(COUNTIFS([1]Desglose_BOM_Componentes!$B$3602:$B$3616,$A324,[1]Desglose_BOM_Componentes!$AE$3602:$AE$3616,"Sin precio",[1]Desglose_BOM_Componentes!$X$3602:$X$3616,"Empaquetado")&gt;0,"n.d.",SUMIFS([1]Desglose_BOM_Componentes!$AC$3602:$AC$3616,[1]Desglose_BOM_Componentes!$B$3602:$B$3616,$A324,[1]Desglose_BOM_Componentes!$X$3602:$X$3616,"Empaquetado"))</f>
        <v>0.75344791441438252</v>
      </c>
      <c r="F324" s="6">
        <f t="shared" si="29"/>
        <v>2.7313033689598369</v>
      </c>
      <c r="G324" s="4">
        <f>IF(COUNTIFS([1]Desglose_BOM_Componentes!$B$3602:$B$3616,$A324,[1]Desglose_BOM_Componentes!$AE$3602:$AE$3616,"Sin precio",[1]Desglose_BOM_Componentes!$X$3602:$X$3616,"Formulación")&gt;0,"n.d.",SUMIFS([1]Desglose_BOM_Componentes!$AD$3602:$AD$3616,[1]Desglose_BOM_Componentes!$B$3602:$B$3616,$A324,[1]Desglose_BOM_Componentes!$X$3602:$X$3616,"Formulación"))</f>
        <v>1.7732949545454544</v>
      </c>
      <c r="H324" s="4">
        <f>IF(COUNTIFS([1]Desglose_BOM_Componentes!$B$3602:$B$3616,$A324,[1]Desglose_BOM_Componentes!$AE$3602:$AE$3616,"Sin precio",[1]Desglose_BOM_Componentes!$X$3602:$X$3616,"Empaquetado")&gt;0,"n.d.",SUMIFS([1]Desglose_BOM_Componentes!$AD$3602:$AD$3616,[1]Desglose_BOM_Componentes!$B$3602:$B$3616,$A324,[1]Desglose_BOM_Componentes!$X$3602:$X$3616,"Empaquetado"))</f>
        <v>0.75344791441438252</v>
      </c>
      <c r="I324" s="6">
        <f t="shared" si="30"/>
        <v>2.530942868959837</v>
      </c>
      <c r="J324" s="1" t="str">
        <f t="shared" si="26"/>
        <v>Completo</v>
      </c>
      <c r="K324" s="1">
        <f>COUNTIFS([1]Desglose_BOM_Componentes!$B$3602:$B$3616,$A324,[1]Desglose_BOM_Componentes!$AE$3602:$AE$3616,"Sin precio")</f>
        <v>0</v>
      </c>
      <c r="L324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25" spans="1:12" ht="22" customHeight="1">
      <c r="A325" s="1" t="s">
        <v>356</v>
      </c>
      <c r="B325" s="1" t="s">
        <v>18</v>
      </c>
      <c r="C325" s="1" t="s">
        <v>69</v>
      </c>
      <c r="D325" s="4">
        <f>IF(COUNTIFS([1]Desglose_BOM_Componentes!$B$3617:$B$3631,$A325,[1]Desglose_BOM_Componentes!$AE$3617:$AE$3631,"Sin precio",[1]Desglose_BOM_Componentes!$X$3617:$X$3631,"Formulación")&gt;0,"n.d.",SUMIFS([1]Desglose_BOM_Componentes!$AC$3617:$AC$3631,[1]Desglose_BOM_Componentes!$B$3617:$B$3631,$A325,[1]Desglose_BOM_Componentes!$X$3617:$X$3631,"Formulación"))</f>
        <v>1.9736554545454543</v>
      </c>
      <c r="E325" s="4">
        <f>IF(COUNTIFS([1]Desglose_BOM_Componentes!$B$3617:$B$3631,$A325,[1]Desglose_BOM_Componentes!$AE$3617:$AE$3631,"Sin precio",[1]Desglose_BOM_Componentes!$X$3617:$X$3631,"Empaquetado")&gt;0,"n.d.",SUMIFS([1]Desglose_BOM_Componentes!$AC$3617:$AC$3631,[1]Desglose_BOM_Componentes!$B$3617:$B$3631,$A325,[1]Desglose_BOM_Componentes!$X$3617:$X$3631,"Empaquetado"))</f>
        <v>0.75344791441438252</v>
      </c>
      <c r="F325" s="6">
        <f t="shared" si="29"/>
        <v>2.7313033689598369</v>
      </c>
      <c r="G325" s="4">
        <f>IF(COUNTIFS([1]Desglose_BOM_Componentes!$B$3617:$B$3631,$A325,[1]Desglose_BOM_Componentes!$AE$3617:$AE$3631,"Sin precio",[1]Desglose_BOM_Componentes!$X$3617:$X$3631,"Formulación")&gt;0,"n.d.",SUMIFS([1]Desglose_BOM_Componentes!$AD$3617:$AD$3631,[1]Desglose_BOM_Componentes!$B$3617:$B$3631,$A325,[1]Desglose_BOM_Componentes!$X$3617:$X$3631,"Formulación"))</f>
        <v>1.7732949545454544</v>
      </c>
      <c r="H325" s="4">
        <f>IF(COUNTIFS([1]Desglose_BOM_Componentes!$B$3617:$B$3631,$A325,[1]Desglose_BOM_Componentes!$AE$3617:$AE$3631,"Sin precio",[1]Desglose_BOM_Componentes!$X$3617:$X$3631,"Empaquetado")&gt;0,"n.d.",SUMIFS([1]Desglose_BOM_Componentes!$AD$3617:$AD$3631,[1]Desglose_BOM_Componentes!$B$3617:$B$3631,$A325,[1]Desglose_BOM_Componentes!$X$3617:$X$3631,"Empaquetado"))</f>
        <v>0.75344791441438252</v>
      </c>
      <c r="I325" s="6">
        <f t="shared" si="30"/>
        <v>2.530942868959837</v>
      </c>
      <c r="J325" s="1" t="str">
        <f t="shared" ref="J325:J388" si="31">IF(K325=0,"Completo","Pendiente")</f>
        <v>Completo</v>
      </c>
      <c r="K325" s="1">
        <f>COUNTIFS([1]Desglose_BOM_Componentes!$B$3617:$B$3631,$A325,[1]Desglose_BOM_Componentes!$AE$3617:$AE$3631,"Sin precio")</f>
        <v>0</v>
      </c>
      <c r="L325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26" spans="1:12" ht="22" customHeight="1">
      <c r="A326" s="1" t="s">
        <v>357</v>
      </c>
      <c r="B326" s="1" t="s">
        <v>18</v>
      </c>
      <c r="C326" s="1" t="s">
        <v>95</v>
      </c>
      <c r="D326" s="4">
        <f>IF(COUNTIFS([1]Desglose_BOM_Componentes!$B$3632:$B$3646,$A326,[1]Desglose_BOM_Componentes!$AE$3632:$AE$3646,"Sin precio",[1]Desglose_BOM_Componentes!$X$3632:$X$3646,"Formulación")&gt;0,"n.d.",SUMIFS([1]Desglose_BOM_Componentes!$AC$3632:$AC$3646,[1]Desglose_BOM_Componentes!$B$3632:$B$3646,$A326,[1]Desglose_BOM_Componentes!$X$3632:$X$3646,"Formulación"))</f>
        <v>1.9736554545454543</v>
      </c>
      <c r="E326" s="4">
        <f>IF(COUNTIFS([1]Desglose_BOM_Componentes!$B$3632:$B$3646,$A326,[1]Desglose_BOM_Componentes!$AE$3632:$AE$3646,"Sin precio",[1]Desglose_BOM_Componentes!$X$3632:$X$3646,"Empaquetado")&gt;0,"n.d.",SUMIFS([1]Desglose_BOM_Componentes!$AC$3632:$AC$3646,[1]Desglose_BOM_Componentes!$B$3632:$B$3646,$A326,[1]Desglose_BOM_Componentes!$X$3632:$X$3646,"Empaquetado"))</f>
        <v>0.75344791441438252</v>
      </c>
      <c r="F326" s="6">
        <f t="shared" si="29"/>
        <v>2.7313033689598369</v>
      </c>
      <c r="G326" s="4">
        <f>IF(COUNTIFS([1]Desglose_BOM_Componentes!$B$3632:$B$3646,$A326,[1]Desglose_BOM_Componentes!$AE$3632:$AE$3646,"Sin precio",[1]Desglose_BOM_Componentes!$X$3632:$X$3646,"Formulación")&gt;0,"n.d.",SUMIFS([1]Desglose_BOM_Componentes!$AD$3632:$AD$3646,[1]Desglose_BOM_Componentes!$B$3632:$B$3646,$A326,[1]Desglose_BOM_Componentes!$X$3632:$X$3646,"Formulación"))</f>
        <v>1.7732949545454544</v>
      </c>
      <c r="H326" s="4">
        <f>IF(COUNTIFS([1]Desglose_BOM_Componentes!$B$3632:$B$3646,$A326,[1]Desglose_BOM_Componentes!$AE$3632:$AE$3646,"Sin precio",[1]Desglose_BOM_Componentes!$X$3632:$X$3646,"Empaquetado")&gt;0,"n.d.",SUMIFS([1]Desglose_BOM_Componentes!$AD$3632:$AD$3646,[1]Desglose_BOM_Componentes!$B$3632:$B$3646,$A326,[1]Desglose_BOM_Componentes!$X$3632:$X$3646,"Empaquetado"))</f>
        <v>0.75344791441438252</v>
      </c>
      <c r="I326" s="6">
        <f t="shared" si="30"/>
        <v>2.530942868959837</v>
      </c>
      <c r="J326" s="1" t="str">
        <f t="shared" si="31"/>
        <v>Completo</v>
      </c>
      <c r="K326" s="1">
        <f>COUNTIFS([1]Desglose_BOM_Componentes!$B$3632:$B$3646,$A326,[1]Desglose_BOM_Componentes!$AE$3632:$AE$3646,"Sin precio")</f>
        <v>0</v>
      </c>
      <c r="L326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27" spans="1:12" ht="22" customHeight="1">
      <c r="A327" s="1" t="s">
        <v>358</v>
      </c>
      <c r="B327" s="1" t="s">
        <v>18</v>
      </c>
      <c r="C327" s="1" t="s">
        <v>24</v>
      </c>
      <c r="D327" s="4">
        <f>IF(COUNTIFS([1]Desglose_BOM_Componentes!$B$3647:$B$3661,$A327,[1]Desglose_BOM_Componentes!$AE$3647:$AE$3661,"Sin precio",[1]Desglose_BOM_Componentes!$X$3647:$X$3661,"Formulación")&gt;0,"n.d.",SUMIFS([1]Desglose_BOM_Componentes!$AC$3647:$AC$3661,[1]Desglose_BOM_Componentes!$B$3647:$B$3661,$A327,[1]Desglose_BOM_Componentes!$X$3647:$X$3661,"Formulación"))</f>
        <v>1.9736554545454543</v>
      </c>
      <c r="E327" s="4">
        <f>IF(COUNTIFS([1]Desglose_BOM_Componentes!$B$3647:$B$3661,$A327,[1]Desglose_BOM_Componentes!$AE$3647:$AE$3661,"Sin precio",[1]Desglose_BOM_Componentes!$X$3647:$X$3661,"Empaquetado")&gt;0,"n.d.",SUMIFS([1]Desglose_BOM_Componentes!$AC$3647:$AC$3661,[1]Desglose_BOM_Componentes!$B$3647:$B$3661,$A327,[1]Desglose_BOM_Componentes!$X$3647:$X$3661,"Empaquetado"))</f>
        <v>0.30928466819407252</v>
      </c>
      <c r="F327" s="6">
        <f t="shared" si="29"/>
        <v>2.2871401227395269</v>
      </c>
      <c r="G327" s="4">
        <f>IF(COUNTIFS([1]Desglose_BOM_Componentes!$B$3647:$B$3661,$A327,[1]Desglose_BOM_Componentes!$AE$3647:$AE$3661,"Sin precio",[1]Desglose_BOM_Componentes!$X$3647:$X$3661,"Formulación")&gt;0,"n.d.",SUMIFS([1]Desglose_BOM_Componentes!$AD$3647:$AD$3661,[1]Desglose_BOM_Componentes!$B$3647:$B$3661,$A327,[1]Desglose_BOM_Componentes!$X$3647:$X$3661,"Formulación"))</f>
        <v>1.7732949545454544</v>
      </c>
      <c r="H327" s="4">
        <f>IF(COUNTIFS([1]Desglose_BOM_Componentes!$B$3647:$B$3661,$A327,[1]Desglose_BOM_Componentes!$AE$3647:$AE$3661,"Sin precio",[1]Desglose_BOM_Componentes!$X$3647:$X$3661,"Empaquetado")&gt;0,"n.d.",SUMIFS([1]Desglose_BOM_Componentes!$AD$3647:$AD$3661,[1]Desglose_BOM_Componentes!$B$3647:$B$3661,$A327,[1]Desglose_BOM_Componentes!$X$3647:$X$3661,"Empaquetado"))</f>
        <v>0.30928466819407252</v>
      </c>
      <c r="I327" s="6">
        <f t="shared" si="30"/>
        <v>2.086779622739527</v>
      </c>
      <c r="J327" s="1" t="str">
        <f t="shared" si="31"/>
        <v>Completo</v>
      </c>
      <c r="K327" s="1">
        <f>COUNTIFS([1]Desglose_BOM_Componentes!$B$3647:$B$3661,$A327,[1]Desglose_BOM_Componentes!$AE$3647:$AE$3661,"Sin precio")</f>
        <v>0</v>
      </c>
      <c r="L327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28" spans="1:12" ht="22" customHeight="1">
      <c r="A328" s="1" t="s">
        <v>359</v>
      </c>
      <c r="B328" s="1" t="s">
        <v>18</v>
      </c>
      <c r="C328" s="1" t="s">
        <v>116</v>
      </c>
      <c r="D328" s="4">
        <f>IF(COUNTIFS([1]Desglose_BOM_Componentes!$B$3662:$B$3676,$A328,[1]Desglose_BOM_Componentes!$AE$3662:$AE$3676,"Sin precio",[1]Desglose_BOM_Componentes!$X$3662:$X$3676,"Formulación")&gt;0,"n.d.",SUMIFS([1]Desglose_BOM_Componentes!$AC$3662:$AC$3676,[1]Desglose_BOM_Componentes!$B$3662:$B$3676,$A328,[1]Desglose_BOM_Componentes!$X$3662:$X$3676,"Formulación"))</f>
        <v>1.9736554545454543</v>
      </c>
      <c r="E328" s="4">
        <f>IF(COUNTIFS([1]Desglose_BOM_Componentes!$B$3662:$B$3676,$A328,[1]Desglose_BOM_Componentes!$AE$3662:$AE$3676,"Sin precio",[1]Desglose_BOM_Componentes!$X$3662:$X$3676,"Empaquetado")&gt;0,"n.d.",SUMIFS([1]Desglose_BOM_Componentes!$AC$3662:$AC$3676,[1]Desglose_BOM_Componentes!$B$3662:$B$3676,$A328,[1]Desglose_BOM_Componentes!$X$3662:$X$3676,"Empaquetado"))</f>
        <v>0.30928466819407252</v>
      </c>
      <c r="F328" s="6">
        <f t="shared" si="29"/>
        <v>2.2871401227395269</v>
      </c>
      <c r="G328" s="4">
        <f>IF(COUNTIFS([1]Desglose_BOM_Componentes!$B$3662:$B$3676,$A328,[1]Desglose_BOM_Componentes!$AE$3662:$AE$3676,"Sin precio",[1]Desglose_BOM_Componentes!$X$3662:$X$3676,"Formulación")&gt;0,"n.d.",SUMIFS([1]Desglose_BOM_Componentes!$AD$3662:$AD$3676,[1]Desglose_BOM_Componentes!$B$3662:$B$3676,$A328,[1]Desglose_BOM_Componentes!$X$3662:$X$3676,"Formulación"))</f>
        <v>1.7732949545454544</v>
      </c>
      <c r="H328" s="4">
        <f>IF(COUNTIFS([1]Desglose_BOM_Componentes!$B$3662:$B$3676,$A328,[1]Desglose_BOM_Componentes!$AE$3662:$AE$3676,"Sin precio",[1]Desglose_BOM_Componentes!$X$3662:$X$3676,"Empaquetado")&gt;0,"n.d.",SUMIFS([1]Desglose_BOM_Componentes!$AD$3662:$AD$3676,[1]Desglose_BOM_Componentes!$B$3662:$B$3676,$A328,[1]Desglose_BOM_Componentes!$X$3662:$X$3676,"Empaquetado"))</f>
        <v>0.30928466819407252</v>
      </c>
      <c r="I328" s="6">
        <f t="shared" si="30"/>
        <v>2.086779622739527</v>
      </c>
      <c r="J328" s="1" t="str">
        <f t="shared" si="31"/>
        <v>Completo</v>
      </c>
      <c r="K328" s="1">
        <f>COUNTIFS([1]Desglose_BOM_Componentes!$B$3662:$B$3676,$A328,[1]Desglose_BOM_Componentes!$AE$3662:$AE$3676,"Sin precio")</f>
        <v>0</v>
      </c>
      <c r="L328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29" spans="1:12" ht="22" customHeight="1">
      <c r="A329" s="1" t="s">
        <v>360</v>
      </c>
      <c r="B329" s="1" t="s">
        <v>18</v>
      </c>
      <c r="C329" s="1" t="s">
        <v>24</v>
      </c>
      <c r="D329" s="4">
        <f>IF(COUNTIFS([1]Desglose_BOM_Componentes!$B$3677:$B$3690,$A329,[1]Desglose_BOM_Componentes!$AE$3677:$AE$3690,"Sin precio",[1]Desglose_BOM_Componentes!$X$3677:$X$3690,"Formulación")&gt;0,"n.d.",SUMIFS([1]Desglose_BOM_Componentes!$AC$3677:$AC$3690,[1]Desglose_BOM_Componentes!$B$3677:$B$3690,$A329,[1]Desglose_BOM_Componentes!$X$3677:$X$3690,"Formulación"))</f>
        <v>1.9736554545454543</v>
      </c>
      <c r="E329" s="4">
        <f>IF(COUNTIFS([1]Desglose_BOM_Componentes!$B$3677:$B$3690,$A329,[1]Desglose_BOM_Componentes!$AE$3677:$AE$3690,"Sin precio",[1]Desglose_BOM_Componentes!$X$3677:$X$3690,"Empaquetado")&gt;0,"n.d.",SUMIFS([1]Desglose_BOM_Componentes!$AC$3677:$AC$3690,[1]Desglose_BOM_Componentes!$B$3677:$B$3690,$A329,[1]Desglose_BOM_Componentes!$X$3677:$X$3690,"Empaquetado"))</f>
        <v>0.23158280727404046</v>
      </c>
      <c r="F329" s="6">
        <f t="shared" si="29"/>
        <v>2.2094382618194945</v>
      </c>
      <c r="G329" s="4">
        <f>IF(COUNTIFS([1]Desglose_BOM_Componentes!$B$3677:$B$3690,$A329,[1]Desglose_BOM_Componentes!$AE$3677:$AE$3690,"Sin precio",[1]Desglose_BOM_Componentes!$X$3677:$X$3690,"Formulación")&gt;0,"n.d.",SUMIFS([1]Desglose_BOM_Componentes!$AD$3677:$AD$3690,[1]Desglose_BOM_Componentes!$B$3677:$B$3690,$A329,[1]Desglose_BOM_Componentes!$X$3677:$X$3690,"Formulación"))</f>
        <v>1.7732949545454544</v>
      </c>
      <c r="H329" s="4">
        <f>IF(COUNTIFS([1]Desglose_BOM_Componentes!$B$3677:$B$3690,$A329,[1]Desglose_BOM_Componentes!$AE$3677:$AE$3690,"Sin precio",[1]Desglose_BOM_Componentes!$X$3677:$X$3690,"Empaquetado")&gt;0,"n.d.",SUMIFS([1]Desglose_BOM_Componentes!$AD$3677:$AD$3690,[1]Desglose_BOM_Componentes!$B$3677:$B$3690,$A329,[1]Desglose_BOM_Componentes!$X$3677:$X$3690,"Empaquetado"))</f>
        <v>0.23158280727404046</v>
      </c>
      <c r="I329" s="6">
        <f t="shared" si="30"/>
        <v>2.009077761819495</v>
      </c>
      <c r="J329" s="1" t="str">
        <f t="shared" si="31"/>
        <v>Completo</v>
      </c>
      <c r="K329" s="1">
        <f>COUNTIFS([1]Desglose_BOM_Componentes!$B$3677:$B$3690,$A329,[1]Desglose_BOM_Componentes!$AE$3677:$AE$3690,"Sin precio")</f>
        <v>0</v>
      </c>
      <c r="L329" s="1" t="str">
        <f>IF('[1]Precios componentes'!D126="Sin precio","SALI; ","")&amp;IF('[1]Precios componentes'!D24="Sin precio","BET; ","")&amp;IF('[1]Precios componentes'!D83="Sin precio","GLUMO; ","")&amp;IF('[1]Precios componentes'!D119="Sin precio","PROLIN; ","")&amp;IF('[1]Precios componentes'!D80="Sin precio","GLI; ","")&amp;IF('[1]Precios componentes'!D54="Sin precio","EDT; ","")&amp;IF('[1]Precios componentes'!D106="Sin precio","MEA; ","")&amp;IF('[1]Precios componentes'!D73="Sin precio","FMP;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componentes'!D146="Sin precio","TPD61I; ","")&amp;IF('[1]Precios componentes'!D61="Sin precio","ENV20; ","")</f>
        <v/>
      </c>
    </row>
    <row r="330" spans="1:12" ht="22" customHeight="1">
      <c r="A330" s="1" t="s">
        <v>361</v>
      </c>
      <c r="B330" s="1" t="s">
        <v>18</v>
      </c>
      <c r="C330" s="1" t="s">
        <v>362</v>
      </c>
      <c r="D330" s="4">
        <f>IF(COUNTIFS([1]Desglose_BOM_Componentes!$B$3706:$B$3719,$A330,[1]Desglose_BOM_Componentes!$AE$3706:$AE$3719,"Sin precio",[1]Desglose_BOM_Componentes!$X$3706:$X$3719,"Formulación")&gt;0,"n.d.",SUMIFS([1]Desglose_BOM_Componentes!$AC$3706:$AC$3719,[1]Desglose_BOM_Componentes!$B$3706:$B$3719,$A330,[1]Desglose_BOM_Componentes!$X$3706:$X$3719,"Formulación"))</f>
        <v>1.453403</v>
      </c>
      <c r="E330" s="4">
        <f>IF(COUNTIFS([1]Desglose_BOM_Componentes!$B$3706:$B$3719,$A330,[1]Desglose_BOM_Componentes!$AE$3706:$AE$3719,"Sin precio",[1]Desglose_BOM_Componentes!$X$3706:$X$3719,"Empaquetado")&gt;0,"n.d.",SUMIFS([1]Desglose_BOM_Componentes!$AC$3706:$AC$3719,[1]Desglose_BOM_Componentes!$B$3706:$B$3719,$A330,[1]Desglose_BOM_Componentes!$X$3706:$X$3719,"Empaquetado"))</f>
        <v>1.2333980005025369</v>
      </c>
      <c r="F330" s="6">
        <f t="shared" si="29"/>
        <v>2.6910010005025367</v>
      </c>
      <c r="G330" s="4">
        <f>IF(COUNTIFS([1]Desglose_BOM_Componentes!$B$3706:$B$3719,$A330,[1]Desglose_BOM_Componentes!$AE$3706:$AE$3719,"Sin precio",[1]Desglose_BOM_Componentes!$X$3706:$X$3719,"Formulación")&gt;0,"n.d.",SUMIFS([1]Desglose_BOM_Componentes!$AD$3706:$AD$3719,[1]Desglose_BOM_Componentes!$B$3706:$B$3719,$A330,[1]Desglose_BOM_Componentes!$X$3706:$X$3719,"Formulación"))</f>
        <v>1.3712009999999999</v>
      </c>
      <c r="H330" s="4">
        <f>IF(COUNTIFS([1]Desglose_BOM_Componentes!$B$3706:$B$3719,$A330,[1]Desglose_BOM_Componentes!$AE$3706:$AE$3719,"Sin precio",[1]Desglose_BOM_Componentes!$X$3706:$X$3719,"Empaquetado")&gt;0,"n.d.",SUMIFS([1]Desglose_BOM_Componentes!$AD$3706:$AD$3719,[1]Desglose_BOM_Componentes!$B$3706:$B$3719,$A330,[1]Desglose_BOM_Componentes!$X$3706:$X$3719,"Empaquetado"))</f>
        <v>1.1027646671692035</v>
      </c>
      <c r="I330" s="6">
        <f t="shared" si="30"/>
        <v>2.4781656671692032</v>
      </c>
      <c r="J330" s="1" t="str">
        <f t="shared" si="31"/>
        <v>Completo</v>
      </c>
      <c r="K330" s="1">
        <f>COUNTIFS([1]Desglose_BOM_Componentes!$B$3706:$B$3719,$A330,[1]Desglose_BOM_Componentes!$AE$3706:$AE$3719,"Sin precio")</f>
        <v>0</v>
      </c>
      <c r="L330" s="1" t="str">
        <f>IF('[1]Precios componentes'!D83="Sin precio","GLUMO; ","")&amp;IF('[1]Precios componentes'!D119="Sin precio","PROLIN; ","")&amp;IF('[1]Precios componentes'!D155="Sin precio","UREL; ","")&amp;IF('[1]Precios componentes'!D17="Sin precio","AV24; ","")&amp;IF('[1]Precios componentes'!D141="Sin precio","SZMO; ","")&amp;IF('[1]Precios componentes'!D80="Sin precio","GLI; ","")&amp;IF('[1]Precios componentes'!D93="Sin precio","KF78;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componentes'!D94="Sin precio","KIA220; ","")&amp;IF('[1]Precios componentes'!D59="Sin precio","ENV1C; ","")</f>
        <v/>
      </c>
    </row>
    <row r="331" spans="1:12" ht="22" customHeight="1">
      <c r="A331" s="1" t="s">
        <v>363</v>
      </c>
      <c r="B331" s="1" t="s">
        <v>18</v>
      </c>
      <c r="C331" s="1" t="s">
        <v>362</v>
      </c>
      <c r="D331" s="4">
        <f>IF(COUNTIFS([1]Desglose_BOM_Componentes!$B$3720:$B$3733,$A331,[1]Desglose_BOM_Componentes!$AE$3720:$AE$3733,"Sin precio",[1]Desglose_BOM_Componentes!$X$3720:$X$3733,"Formulación")&gt;0,"n.d.",SUMIFS([1]Desglose_BOM_Componentes!$AC$3720:$AC$3733,[1]Desglose_BOM_Componentes!$B$3720:$B$3733,$A331,[1]Desglose_BOM_Componentes!$X$3720:$X$3733,"Formulación"))</f>
        <v>1.453403</v>
      </c>
      <c r="E331" s="4">
        <f>IF(COUNTIFS([1]Desglose_BOM_Componentes!$B$3720:$B$3733,$A331,[1]Desglose_BOM_Componentes!$AE$3720:$AE$3733,"Sin precio",[1]Desglose_BOM_Componentes!$X$3720:$X$3733,"Empaquetado")&gt;0,"n.d.",SUMIFS([1]Desglose_BOM_Componentes!$AC$3720:$AC$3733,[1]Desglose_BOM_Componentes!$B$3720:$B$3733,$A331,[1]Desglose_BOM_Componentes!$X$3720:$X$3733,"Empaquetado"))</f>
        <v>0.31737480152740588</v>
      </c>
      <c r="F331" s="6">
        <f t="shared" si="29"/>
        <v>1.7749778015274058</v>
      </c>
      <c r="G331" s="4">
        <f>IF(COUNTIFS([1]Desglose_BOM_Componentes!$B$3720:$B$3733,$A331,[1]Desglose_BOM_Componentes!$AE$3720:$AE$3733,"Sin precio",[1]Desglose_BOM_Componentes!$X$3720:$X$3733,"Formulación")&gt;0,"n.d.",SUMIFS([1]Desglose_BOM_Componentes!$AD$3720:$AD$3733,[1]Desglose_BOM_Componentes!$B$3720:$B$3733,$A331,[1]Desglose_BOM_Componentes!$X$3720:$X$3733,"Formulación"))</f>
        <v>1.3712009999999999</v>
      </c>
      <c r="H331" s="4">
        <f>IF(COUNTIFS([1]Desglose_BOM_Componentes!$B$3720:$B$3733,$A331,[1]Desglose_BOM_Componentes!$AE$3720:$AE$3733,"Sin precio",[1]Desglose_BOM_Componentes!$X$3720:$X$3733,"Empaquetado")&gt;0,"n.d.",SUMIFS([1]Desglose_BOM_Componentes!$AD$3720:$AD$3733,[1]Desglose_BOM_Componentes!$B$3720:$B$3733,$A331,[1]Desglose_BOM_Componentes!$X$3720:$X$3733,"Empaquetado"))</f>
        <v>0.31737480152740588</v>
      </c>
      <c r="I331" s="6">
        <f t="shared" si="30"/>
        <v>1.6927758015274057</v>
      </c>
      <c r="J331" s="1" t="str">
        <f t="shared" si="31"/>
        <v>Completo</v>
      </c>
      <c r="K331" s="1">
        <f>COUNTIFS([1]Desglose_BOM_Componentes!$B$3720:$B$3733,$A331,[1]Desglose_BOM_Componentes!$AE$3720:$AE$3733,"Sin precio")</f>
        <v>0</v>
      </c>
      <c r="L331" s="1" t="str">
        <f>IF('[1]Precios componentes'!D83="Sin precio","GLUMO; ","")&amp;IF('[1]Precios componentes'!D119="Sin precio","PROLIN; ","")&amp;IF('[1]Precios componentes'!D155="Sin precio","UREL; ","")&amp;IF('[1]Precios componentes'!D17="Sin precio","AV24; ","")&amp;IF('[1]Precios componentes'!D141="Sin precio","SZMO; ","")&amp;IF('[1]Precios componentes'!D80="Sin precio","GLI; ","")&amp;IF('[1]Precios componentes'!D93="Sin precio","KF78; ","")&amp;IF('[1]Precios componentes'!D76="Sin precio","FOI;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332" spans="1:12" ht="22" customHeight="1">
      <c r="A332" s="1" t="s">
        <v>364</v>
      </c>
      <c r="B332" s="1" t="s">
        <v>18</v>
      </c>
      <c r="C332" s="1" t="s">
        <v>362</v>
      </c>
      <c r="D332" s="4">
        <f>IF(COUNTIFS([1]Desglose_BOM_Componentes!$B$3734:$B$3743,$A332,[1]Desglose_BOM_Componentes!$AE$3734:$AE$3743,"Sin precio",[1]Desglose_BOM_Componentes!$X$3734:$X$3743,"Formulación")&gt;0,"n.d.",SUMIFS([1]Desglose_BOM_Componentes!$AC$3734:$AC$3743,[1]Desglose_BOM_Componentes!$B$3734:$B$3743,$A332,[1]Desglose_BOM_Componentes!$X$3734:$X$3743,"Formulación"))</f>
        <v>1.52912</v>
      </c>
      <c r="E332" s="4">
        <f>IF(COUNTIFS([1]Desglose_BOM_Componentes!$B$3734:$B$3743,$A332,[1]Desglose_BOM_Componentes!$AE$3734:$AE$3743,"Sin precio",[1]Desglose_BOM_Componentes!$X$3734:$X$3743,"Empaquetado")&gt;0,"n.d.",SUMIFS([1]Desglose_BOM_Componentes!$AC$3734:$AC$3743,[1]Desglose_BOM_Componentes!$B$3734:$B$3743,$A332,[1]Desglose_BOM_Componentes!$X$3734:$X$3743,"Empaquetado"))</f>
        <v>0.90089800050253677</v>
      </c>
      <c r="F332" s="6">
        <f t="shared" si="29"/>
        <v>2.4342180005025367</v>
      </c>
      <c r="G332" s="4">
        <f>IF(COUNTIFS([1]Desglose_BOM_Componentes!$B$3734:$B$3743,$A332,[1]Desglose_BOM_Componentes!$AE$3734:$AE$3743,"Sin precio",[1]Desglose_BOM_Componentes!$X$3734:$X$3743,"Formulación")&gt;0,"n.d.",SUMIFS([1]Desglose_BOM_Componentes!$AD$3734:$AD$3743,[1]Desglose_BOM_Componentes!$B$3734:$B$3743,$A332,[1]Desglose_BOM_Componentes!$X$3734:$X$3743,"Formulación"))</f>
        <v>1.4584999999999999</v>
      </c>
      <c r="H332" s="4">
        <f>IF(COUNTIFS([1]Desglose_BOM_Componentes!$B$3734:$B$3743,$A332,[1]Desglose_BOM_Componentes!$AE$3734:$AE$3743,"Sin precio",[1]Desglose_BOM_Componentes!$X$3734:$X$3743,"Empaquetado")&gt;0,"n.d.",SUMIFS([1]Desglose_BOM_Componentes!$AD$3734:$AD$3743,[1]Desglose_BOM_Componentes!$B$3734:$B$3743,$A332,[1]Desglose_BOM_Componentes!$X$3734:$X$3743,"Empaquetado"))</f>
        <v>0.90089800050253677</v>
      </c>
      <c r="I332" s="6">
        <f t="shared" si="30"/>
        <v>2.3635980005025368</v>
      </c>
      <c r="J332" s="1" t="str">
        <f t="shared" si="31"/>
        <v>Completo</v>
      </c>
      <c r="K332" s="1">
        <f>COUNTIFS([1]Desglose_BOM_Componentes!$B$3734:$B$3743,$A332,[1]Desglose_BOM_Componentes!$AE$3734:$AE$3743,"Sin precio")</f>
        <v>0</v>
      </c>
      <c r="L332" s="1" t="str">
        <f>IF('[1]Precios componentes'!D119="Sin precio","PROLIN; ","")&amp;IF('[1]Precios componentes'!D17="Sin precio","AV24; ","")&amp;IF('[1]Precios componentes'!D93="Sin precio","KF78;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333" spans="1:12" ht="22" customHeight="1">
      <c r="A333" s="1" t="s">
        <v>365</v>
      </c>
      <c r="B333" s="1" t="s">
        <v>18</v>
      </c>
      <c r="C333" s="1" t="s">
        <v>362</v>
      </c>
      <c r="D333" s="4">
        <f>IF(COUNTIFS([1]Desglose_BOM_Componentes!$B$3744:$B$3753,$A333,[1]Desglose_BOM_Componentes!$AE$3744:$AE$3753,"Sin precio",[1]Desglose_BOM_Componentes!$X$3744:$X$3753,"Formulación")&gt;0,"n.d.",SUMIFS([1]Desglose_BOM_Componentes!$AC$3744:$AC$3753,[1]Desglose_BOM_Componentes!$B$3744:$B$3753,$A333,[1]Desglose_BOM_Componentes!$X$3744:$X$3753,"Formulación"))</f>
        <v>1.52912</v>
      </c>
      <c r="E333" s="4">
        <f>IF(COUNTIFS([1]Desglose_BOM_Componentes!$B$3744:$B$3753,$A333,[1]Desglose_BOM_Componentes!$AE$3744:$AE$3753,"Sin precio",[1]Desglose_BOM_Componentes!$X$3744:$X$3753,"Empaquetado")&gt;0,"n.d.",SUMIFS([1]Desglose_BOM_Componentes!$AC$3744:$AC$3753,[1]Desglose_BOM_Componentes!$B$3744:$B$3753,$A333,[1]Desglose_BOM_Componentes!$X$3744:$X$3753,"Empaquetado"))</f>
        <v>0.29377480152740587</v>
      </c>
      <c r="F333" s="6">
        <f t="shared" si="29"/>
        <v>1.827094801527406</v>
      </c>
      <c r="G333" s="4">
        <f>IF(COUNTIFS([1]Desglose_BOM_Componentes!$B$3744:$B$3753,$A333,[1]Desglose_BOM_Componentes!$AE$3744:$AE$3753,"Sin precio",[1]Desglose_BOM_Componentes!$X$3744:$X$3753,"Formulación")&gt;0,"n.d.",SUMIFS([1]Desglose_BOM_Componentes!$AD$3744:$AD$3753,[1]Desglose_BOM_Componentes!$B$3744:$B$3753,$A333,[1]Desglose_BOM_Componentes!$X$3744:$X$3753,"Formulación"))</f>
        <v>1.4584999999999999</v>
      </c>
      <c r="H333" s="4">
        <f>IF(COUNTIFS([1]Desglose_BOM_Componentes!$B$3744:$B$3753,$A333,[1]Desglose_BOM_Componentes!$AE$3744:$AE$3753,"Sin precio",[1]Desglose_BOM_Componentes!$X$3744:$X$3753,"Empaquetado")&gt;0,"n.d.",SUMIFS([1]Desglose_BOM_Componentes!$AD$3744:$AD$3753,[1]Desglose_BOM_Componentes!$B$3744:$B$3753,$A333,[1]Desglose_BOM_Componentes!$X$3744:$X$3753,"Empaquetado"))</f>
        <v>0.29377480152740587</v>
      </c>
      <c r="I333" s="6">
        <f t="shared" si="30"/>
        <v>1.7564748015274056</v>
      </c>
      <c r="J333" s="1" t="str">
        <f t="shared" si="31"/>
        <v>Completo</v>
      </c>
      <c r="K333" s="1">
        <f>COUNTIFS([1]Desglose_BOM_Componentes!$B$3744:$B$3753,$A333,[1]Desglose_BOM_Componentes!$AE$3744:$AE$3753,"Sin precio")</f>
        <v>0</v>
      </c>
      <c r="L333" s="1" t="str">
        <f>IF('[1]Precios componentes'!D119="Sin precio","PROLIN; ","")&amp;IF('[1]Precios componentes'!D17="Sin precio","AV24; ","")&amp;IF('[1]Precios componentes'!D93="Sin precio","KF78; ","")&amp;IF('[1]Precios componentes'!D76="Sin precio","FOI; ","")&amp;IF('[1]Precios componentes'!D115="Sin precio","PAL; ","")&amp;IF('[1]Precios componentes'!D137="Sin precio","SOBRE 5L;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34" spans="1:12" ht="22" customHeight="1">
      <c r="A334" s="1" t="s">
        <v>366</v>
      </c>
      <c r="B334" s="1" t="s">
        <v>18</v>
      </c>
      <c r="C334" s="1" t="s">
        <v>24</v>
      </c>
      <c r="D334" s="4">
        <f>IF(COUNTIFS([1]Desglose_BOM_Componentes!$B$3754:$B$3766,$A334,[1]Desglose_BOM_Componentes!$AE$3754:$AE$3766,"Sin precio",[1]Desglose_BOM_Componentes!$X$3754:$X$3766,"Formulación")&gt;0,"n.d.",SUMIFS([1]Desglose_BOM_Componentes!$AC$3754:$AC$3766,[1]Desglose_BOM_Componentes!$B$3754:$B$3766,$A334,[1]Desglose_BOM_Componentes!$X$3754:$X$3766,"Formulación"))</f>
        <v>3.3191999999999999</v>
      </c>
      <c r="E334" s="4">
        <f>IF(COUNTIFS([1]Desglose_BOM_Componentes!$B$3754:$B$3766,$A334,[1]Desglose_BOM_Componentes!$AE$3754:$AE$3766,"Sin precio",[1]Desglose_BOM_Componentes!$X$3754:$X$3766,"Empaquetado")&gt;0,"n.d.",SUMIFS([1]Desglose_BOM_Componentes!$AC$3754:$AC$3766,[1]Desglose_BOM_Componentes!$B$3754:$B$3766,$A334,[1]Desglose_BOM_Componentes!$X$3754:$X$3766,"Empaquetado"))</f>
        <v>1.0859479144143824</v>
      </c>
      <c r="F334" s="6">
        <f t="shared" si="29"/>
        <v>4.4093479144143819</v>
      </c>
      <c r="G334" s="4">
        <f>IF(COUNTIFS([1]Desglose_BOM_Componentes!$B$3754:$B$3766,$A334,[1]Desglose_BOM_Componentes!$AE$3754:$AE$3766,"Sin precio",[1]Desglose_BOM_Componentes!$X$3754:$X$3766,"Formulación")&gt;0,"n.d.",SUMIFS([1]Desglose_BOM_Componentes!$AD$3754:$AD$3766,[1]Desglose_BOM_Componentes!$B$3754:$B$3766,$A334,[1]Desglose_BOM_Componentes!$X$3754:$X$3766,"Formulación"))</f>
        <v>2.6946771428571421</v>
      </c>
      <c r="H334" s="4">
        <f>IF(COUNTIFS([1]Desglose_BOM_Componentes!$B$3754:$B$3766,$A334,[1]Desglose_BOM_Componentes!$AE$3754:$AE$3766,"Sin precio",[1]Desglose_BOM_Componentes!$X$3754:$X$3766,"Empaquetado")&gt;0,"n.d.",SUMIFS([1]Desglose_BOM_Componentes!$AD$3754:$AD$3766,[1]Desglose_BOM_Componentes!$B$3754:$B$3766,$A334,[1]Desglose_BOM_Componentes!$X$3754:$X$3766,"Empaquetado"))</f>
        <v>0.95531458108104916</v>
      </c>
      <c r="I334" s="6">
        <f t="shared" si="30"/>
        <v>3.6541917239381911</v>
      </c>
      <c r="J334" s="1" t="str">
        <f t="shared" si="31"/>
        <v>Completo</v>
      </c>
      <c r="K334" s="1">
        <f>COUNTIFS([1]Desglose_BOM_Componentes!$B$3754:$B$3766,$A334,[1]Desglose_BOM_Componentes!$AE$3754:$AE$3766,"Sin precio")</f>
        <v>0</v>
      </c>
      <c r="L334" s="1" t="str">
        <f>IF('[1]Precios componentes'!D93="Sin precio","KF78; ","")&amp;IF('[1]Precios componentes'!D16="Sin precio","ATC; ","")&amp;IF('[1]Precios componentes'!D24="Sin precio","BET; ","")&amp;IF('[1]Precios componentes'!D90="Sin precio","HPOL; ","")&amp;IF('[1]Precios componentes'!D104="Sin precio","MAL; ","")&amp;IF('[1]Precios componentes'!D54="Sin precio","EDT; ","")&amp;IF('[1]Precios componentes'!D157="Sin precio","XT;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35" spans="1:12" ht="22" customHeight="1">
      <c r="A335" s="1" t="s">
        <v>367</v>
      </c>
      <c r="B335" s="1" t="s">
        <v>18</v>
      </c>
      <c r="C335" s="1" t="s">
        <v>24</v>
      </c>
      <c r="D335" s="4">
        <f>IF(COUNTIFS([1]Desglose_BOM_Componentes!$B$3767:$B$3779,$A335,[1]Desglose_BOM_Componentes!$AE$3767:$AE$3779,"Sin precio",[1]Desglose_BOM_Componentes!$X$3767:$X$3779,"Formulación")&gt;0,"n.d.",SUMIFS([1]Desglose_BOM_Componentes!$AC$3767:$AC$3779,[1]Desglose_BOM_Componentes!$B$3767:$B$3779,$A335,[1]Desglose_BOM_Componentes!$X$3767:$X$3779,"Formulación"))</f>
        <v>3.3191999999999999</v>
      </c>
      <c r="E335" s="4">
        <f>IF(COUNTIFS([1]Desglose_BOM_Componentes!$B$3767:$B$3779,$A335,[1]Desglose_BOM_Componentes!$AE$3767:$AE$3779,"Sin precio",[1]Desglose_BOM_Componentes!$X$3767:$X$3779,"Empaquetado")&gt;0,"n.d.",SUMIFS([1]Desglose_BOM_Componentes!$AC$3767:$AC$3779,[1]Desglose_BOM_Componentes!$B$3767:$B$3779,$A335,[1]Desglose_BOM_Componentes!$X$3767:$X$3779,"Empaquetado"))</f>
        <v>0.31508466819407255</v>
      </c>
      <c r="F335" s="6">
        <f t="shared" si="29"/>
        <v>3.6384846681940726</v>
      </c>
      <c r="G335" s="4">
        <f>IF(COUNTIFS([1]Desglose_BOM_Componentes!$B$3767:$B$3779,$A335,[1]Desglose_BOM_Componentes!$AE$3767:$AE$3779,"Sin precio",[1]Desglose_BOM_Componentes!$X$3767:$X$3779,"Formulación")&gt;0,"n.d.",SUMIFS([1]Desglose_BOM_Componentes!$AD$3767:$AD$3779,[1]Desglose_BOM_Componentes!$B$3767:$B$3779,$A335,[1]Desglose_BOM_Componentes!$X$3767:$X$3779,"Formulación"))</f>
        <v>2.6946771428571421</v>
      </c>
      <c r="H335" s="4">
        <f>IF(COUNTIFS([1]Desglose_BOM_Componentes!$B$3767:$B$3779,$A335,[1]Desglose_BOM_Componentes!$AE$3767:$AE$3779,"Sin precio",[1]Desglose_BOM_Componentes!$X$3767:$X$3779,"Empaquetado")&gt;0,"n.d.",SUMIFS([1]Desglose_BOM_Componentes!$AD$3767:$AD$3779,[1]Desglose_BOM_Componentes!$B$3767:$B$3779,$A335,[1]Desglose_BOM_Componentes!$X$3767:$X$3779,"Empaquetado"))</f>
        <v>0.31508466819407255</v>
      </c>
      <c r="I335" s="6">
        <f t="shared" si="30"/>
        <v>3.0139618110512147</v>
      </c>
      <c r="J335" s="1" t="str">
        <f t="shared" si="31"/>
        <v>Completo</v>
      </c>
      <c r="K335" s="1">
        <f>COUNTIFS([1]Desglose_BOM_Componentes!$B$3767:$B$3779,$A335,[1]Desglose_BOM_Componentes!$AE$3767:$AE$3779,"Sin precio")</f>
        <v>0</v>
      </c>
      <c r="L335" s="1" t="str">
        <f>IF('[1]Precios componentes'!D93="Sin precio","KF78; ","")&amp;IF('[1]Precios componentes'!D16="Sin precio","ATC; ","")&amp;IF('[1]Precios componentes'!D24="Sin precio","BET; ","")&amp;IF('[1]Precios componentes'!D90="Sin precio","HPOL; ","")&amp;IF('[1]Precios componentes'!D104="Sin precio","MAL; ","")&amp;IF('[1]Precios componentes'!D54="Sin precio","EDT;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336" spans="1:12" ht="22" customHeight="1">
      <c r="A336" s="1" t="s">
        <v>368</v>
      </c>
      <c r="B336" s="1" t="s">
        <v>18</v>
      </c>
      <c r="C336" s="1" t="s">
        <v>84</v>
      </c>
      <c r="D336" s="4">
        <f>IF(COUNTIFS([1]Desglose_BOM_Componentes!$B$3780:$B$3792,$A336,[1]Desglose_BOM_Componentes!$AE$3780:$AE$3792,"Sin precio",[1]Desglose_BOM_Componentes!$X$3780:$X$3792,"Formulación")&gt;0,"n.d.",SUMIFS([1]Desglose_BOM_Componentes!$AC$3780:$AC$3792,[1]Desglose_BOM_Componentes!$B$3780:$B$3792,$A336,[1]Desglose_BOM_Componentes!$X$3780:$X$3792,"Formulación"))</f>
        <v>3.3191999999999999</v>
      </c>
      <c r="E336" s="4">
        <f>IF(COUNTIFS([1]Desglose_BOM_Componentes!$B$3780:$B$3792,$A336,[1]Desglose_BOM_Componentes!$AE$3780:$AE$3792,"Sin precio",[1]Desglose_BOM_Componentes!$X$3780:$X$3792,"Empaquetado")&gt;0,"n.d.",SUMIFS([1]Desglose_BOM_Componentes!$AC$3780:$AC$3792,[1]Desglose_BOM_Componentes!$B$3780:$B$3792,$A336,[1]Desglose_BOM_Componentes!$X$3780:$X$3792,"Empaquetado"))</f>
        <v>0.31508466819407255</v>
      </c>
      <c r="F336" s="6">
        <f t="shared" si="29"/>
        <v>3.6384846681940726</v>
      </c>
      <c r="G336" s="4">
        <f>IF(COUNTIFS([1]Desglose_BOM_Componentes!$B$3780:$B$3792,$A336,[1]Desglose_BOM_Componentes!$AE$3780:$AE$3792,"Sin precio",[1]Desglose_BOM_Componentes!$X$3780:$X$3792,"Formulación")&gt;0,"n.d.",SUMIFS([1]Desglose_BOM_Componentes!$AD$3780:$AD$3792,[1]Desglose_BOM_Componentes!$B$3780:$B$3792,$A336,[1]Desglose_BOM_Componentes!$X$3780:$X$3792,"Formulación"))</f>
        <v>2.6946771428571421</v>
      </c>
      <c r="H336" s="4">
        <f>IF(COUNTIFS([1]Desglose_BOM_Componentes!$B$3780:$B$3792,$A336,[1]Desglose_BOM_Componentes!$AE$3780:$AE$3792,"Sin precio",[1]Desglose_BOM_Componentes!$X$3780:$X$3792,"Empaquetado")&gt;0,"n.d.",SUMIFS([1]Desglose_BOM_Componentes!$AD$3780:$AD$3792,[1]Desglose_BOM_Componentes!$B$3780:$B$3792,$A336,[1]Desglose_BOM_Componentes!$X$3780:$X$3792,"Empaquetado"))</f>
        <v>0.31508466819407255</v>
      </c>
      <c r="I336" s="6">
        <f t="shared" si="30"/>
        <v>3.0139618110512147</v>
      </c>
      <c r="J336" s="1" t="str">
        <f t="shared" si="31"/>
        <v>Completo</v>
      </c>
      <c r="K336" s="1">
        <f>COUNTIFS([1]Desglose_BOM_Componentes!$B$3780:$B$3792,$A336,[1]Desglose_BOM_Componentes!$AE$3780:$AE$3792,"Sin precio")</f>
        <v>0</v>
      </c>
      <c r="L336" s="1" t="str">
        <f>IF('[1]Precios componentes'!D93="Sin precio","KF78; ","")&amp;IF('[1]Precios componentes'!D16="Sin precio","ATC; ","")&amp;IF('[1]Precios componentes'!D24="Sin precio","BET; ","")&amp;IF('[1]Precios componentes'!D90="Sin precio","HPOL; ","")&amp;IF('[1]Precios componentes'!D104="Sin precio","MAL; ","")&amp;IF('[1]Precios componentes'!D54="Sin precio","EDT; ","")&amp;IF('[1]Precios componentes'!D157="Sin precio","XT;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componentes'!D150="Sin precio","TPD63IV; ","")&amp;IF('[1]Precios componentes'!D34="Sin precio","CAG; ","")</f>
        <v/>
      </c>
    </row>
    <row r="337" spans="1:12" ht="22" customHeight="1">
      <c r="A337" s="1" t="s">
        <v>369</v>
      </c>
      <c r="B337" s="1" t="s">
        <v>18</v>
      </c>
      <c r="C337" s="1" t="s">
        <v>24</v>
      </c>
      <c r="D337" s="4">
        <f>IF(COUNTIFS([1]Desglose_BOM_Componentes!$B$3793:$B$3804,$A337,[1]Desglose_BOM_Componentes!$AE$3793:$AE$3804,"Sin precio",[1]Desglose_BOM_Componentes!$X$3793:$X$3804,"Formulación")&gt;0,"n.d.",SUMIFS([1]Desglose_BOM_Componentes!$AC$3793:$AC$3804,[1]Desglose_BOM_Componentes!$B$3793:$B$3804,$A337,[1]Desglose_BOM_Componentes!$X$3793:$X$3804,"Formulación"))</f>
        <v>3.3191999999999999</v>
      </c>
      <c r="E337" s="4">
        <f>IF(COUNTIFS([1]Desglose_BOM_Componentes!$B$3793:$B$3804,$A337,[1]Desglose_BOM_Componentes!$AE$3793:$AE$3804,"Sin precio",[1]Desglose_BOM_Componentes!$X$3793:$X$3804,"Empaquetado")&gt;0,"n.d.",SUMIFS([1]Desglose_BOM_Componentes!$AC$3793:$AC$3804,[1]Desglose_BOM_Componentes!$B$3793:$B$3804,$A337,[1]Desglose_BOM_Componentes!$X$3793:$X$3804,"Empaquetado"))</f>
        <v>0.24326489794470366</v>
      </c>
      <c r="F337" s="6">
        <f t="shared" si="29"/>
        <v>3.5666648979447038</v>
      </c>
      <c r="G337" s="4">
        <f>IF(COUNTIFS([1]Desglose_BOM_Componentes!$B$3793:$B$3804,$A337,[1]Desglose_BOM_Componentes!$AE$3793:$AE$3804,"Sin precio",[1]Desglose_BOM_Componentes!$X$3793:$X$3804,"Formulación")&gt;0,"n.d.",SUMIFS([1]Desglose_BOM_Componentes!$AD$3793:$AD$3804,[1]Desglose_BOM_Componentes!$B$3793:$B$3804,$A337,[1]Desglose_BOM_Componentes!$X$3793:$X$3804,"Formulación"))</f>
        <v>2.6946771428571421</v>
      </c>
      <c r="H337" s="4">
        <f>IF(COUNTIFS([1]Desglose_BOM_Componentes!$B$3793:$B$3804,$A337,[1]Desglose_BOM_Componentes!$AE$3793:$AE$3804,"Sin precio",[1]Desglose_BOM_Componentes!$X$3793:$X$3804,"Empaquetado")&gt;0,"n.d.",SUMIFS([1]Desglose_BOM_Componentes!$AD$3793:$AD$3804,[1]Desglose_BOM_Componentes!$B$3793:$B$3804,$A337,[1]Desglose_BOM_Componentes!$X$3793:$X$3804,"Empaquetado"))</f>
        <v>0.24326489794470366</v>
      </c>
      <c r="I337" s="6">
        <f t="shared" si="30"/>
        <v>2.9421420408018459</v>
      </c>
      <c r="J337" s="1" t="str">
        <f t="shared" si="31"/>
        <v>Completo</v>
      </c>
      <c r="K337" s="1">
        <f>COUNTIFS([1]Desglose_BOM_Componentes!$B$3793:$B$3804,$A337,[1]Desglose_BOM_Componentes!$AE$3793:$AE$3804,"Sin precio")</f>
        <v>0</v>
      </c>
      <c r="L337" s="1" t="str">
        <f>IF('[1]Precios componentes'!D93="Sin precio","KF78; ","")&amp;IF('[1]Precios componentes'!D16="Sin precio","ATC; ","")&amp;IF('[1]Precios componentes'!D24="Sin precio","BET; ","")&amp;IF('[1]Precios componentes'!D90="Sin precio","HPOL; ","")&amp;IF('[1]Precios componentes'!D104="Sin precio","MAL; ","")&amp;IF('[1]Precios componentes'!D54="Sin precio","EDT; ","")&amp;IF('[1]Precios componentes'!D157="Sin precio","XT;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38" spans="1:12" ht="22" customHeight="1">
      <c r="A338" s="1" t="s">
        <v>370</v>
      </c>
      <c r="B338" s="1" t="s">
        <v>18</v>
      </c>
      <c r="C338" s="1" t="s">
        <v>24</v>
      </c>
      <c r="D338" s="4">
        <f>IF(COUNTIFS([1]Desglose_BOM_Componentes!$B$3805:$B$3815,$A338,[1]Desglose_BOM_Componentes!$AE$3805:$AE$3815,"Sin precio",[1]Desglose_BOM_Componentes!$X$3805:$X$3815,"Formulación")&gt;0,"n.d.",SUMIFS([1]Desglose_BOM_Componentes!$AC$3805:$AC$3815,[1]Desglose_BOM_Componentes!$B$3805:$B$3815,$A338,[1]Desglose_BOM_Componentes!$X$3805:$X$3815,"Formulación"))</f>
        <v>0.87517400000000012</v>
      </c>
      <c r="E338" s="4">
        <f>IF(COUNTIFS([1]Desglose_BOM_Componentes!$B$3805:$B$3815,$A338,[1]Desglose_BOM_Componentes!$AE$3805:$AE$3815,"Sin precio",[1]Desglose_BOM_Componentes!$X$3805:$X$3815,"Empaquetado")&gt;0,"n.d.",SUMIFS([1]Desglose_BOM_Componentes!$AC$3805:$AC$3815,[1]Desglose_BOM_Componentes!$B$3805:$B$3815,$A338,[1]Desglose_BOM_Componentes!$X$3805:$X$3815,"Empaquetado"))</f>
        <v>1.0859479144143824</v>
      </c>
      <c r="F338" s="6">
        <f t="shared" si="29"/>
        <v>1.9653219144143825</v>
      </c>
      <c r="G338" s="4">
        <f>IF(COUNTIFS([1]Desglose_BOM_Componentes!$B$3805:$B$3815,$A338,[1]Desglose_BOM_Componentes!$AE$3805:$AE$3815,"Sin precio",[1]Desglose_BOM_Componentes!$X$3805:$X$3815,"Formulación")&gt;0,"n.d.",SUMIFS([1]Desglose_BOM_Componentes!$AD$3805:$AD$3815,[1]Desglose_BOM_Componentes!$B$3805:$B$3815,$A338,[1]Desglose_BOM_Componentes!$X$3805:$X$3815,"Formulación"))</f>
        <v>0.77474392000000003</v>
      </c>
      <c r="H338" s="4">
        <f>IF(COUNTIFS([1]Desglose_BOM_Componentes!$B$3805:$B$3815,$A338,[1]Desglose_BOM_Componentes!$AE$3805:$AE$3815,"Sin precio",[1]Desglose_BOM_Componentes!$X$3805:$X$3815,"Empaquetado")&gt;0,"n.d.",SUMIFS([1]Desglose_BOM_Componentes!$AD$3805:$AD$3815,[1]Desglose_BOM_Componentes!$B$3805:$B$3815,$A338,[1]Desglose_BOM_Componentes!$X$3805:$X$3815,"Empaquetado"))</f>
        <v>0.95531458108104916</v>
      </c>
      <c r="I338" s="6">
        <f t="shared" si="30"/>
        <v>1.7342585010810492</v>
      </c>
      <c r="J338" s="1" t="str">
        <f t="shared" si="31"/>
        <v>Completo</v>
      </c>
      <c r="K338" s="1">
        <f>COUNTIFS([1]Desglose_BOM_Componentes!$B$3805:$B$3815,$A338,[1]Desglose_BOM_Componentes!$AE$3805:$AE$3815,"Sin precio")</f>
        <v>0</v>
      </c>
      <c r="L338" s="1" t="str">
        <f>IF('[1]Precios componentes'!D123="Sin precio","ROL; ","")&amp;IF('[1]Precios componentes'!D155="Sin precio","UREL; ","")&amp;IF('[1]Precios componentes'!D54="Sin precio","EDT; ","")&amp;IF('[1]Precios componentes'!D72="Sin precio","FMA; ","")&amp;IF('[1]Precios componentes'!D156="Sin precio","VER;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39" spans="1:12" ht="22" customHeight="1">
      <c r="A339" s="1" t="s">
        <v>371</v>
      </c>
      <c r="B339" s="1" t="s">
        <v>18</v>
      </c>
      <c r="C339" s="1" t="s">
        <v>69</v>
      </c>
      <c r="D339" s="4">
        <f>IF(COUNTIFS([1]Desglose_BOM_Componentes!$B$3816:$B$3826,$A339,[1]Desglose_BOM_Componentes!$AE$3816:$AE$3826,"Sin precio",[1]Desglose_BOM_Componentes!$X$3816:$X$3826,"Formulación")&gt;0,"n.d.",SUMIFS([1]Desglose_BOM_Componentes!$AC$3816:$AC$3826,[1]Desglose_BOM_Componentes!$B$3816:$B$3826,$A339,[1]Desglose_BOM_Componentes!$X$3816:$X$3826,"Formulación"))</f>
        <v>0.87517400000000012</v>
      </c>
      <c r="E339" s="4">
        <f>IF(COUNTIFS([1]Desglose_BOM_Componentes!$B$3816:$B$3826,$A339,[1]Desglose_BOM_Componentes!$AE$3816:$AE$3826,"Sin precio",[1]Desglose_BOM_Componentes!$X$3816:$X$3826,"Empaquetado")&gt;0,"n.d.",SUMIFS([1]Desglose_BOM_Componentes!$AC$3816:$AC$3826,[1]Desglose_BOM_Componentes!$B$3816:$B$3826,$A339,[1]Desglose_BOM_Componentes!$X$3816:$X$3826,"Empaquetado"))</f>
        <v>1.0859479144143824</v>
      </c>
      <c r="F339" s="6">
        <f t="shared" si="29"/>
        <v>1.9653219144143825</v>
      </c>
      <c r="G339" s="4">
        <f>IF(COUNTIFS([1]Desglose_BOM_Componentes!$B$3816:$B$3826,$A339,[1]Desglose_BOM_Componentes!$AE$3816:$AE$3826,"Sin precio",[1]Desglose_BOM_Componentes!$X$3816:$X$3826,"Formulación")&gt;0,"n.d.",SUMIFS([1]Desglose_BOM_Componentes!$AD$3816:$AD$3826,[1]Desglose_BOM_Componentes!$B$3816:$B$3826,$A339,[1]Desglose_BOM_Componentes!$X$3816:$X$3826,"Formulación"))</f>
        <v>0.77474392000000003</v>
      </c>
      <c r="H339" s="4">
        <f>IF(COUNTIFS([1]Desglose_BOM_Componentes!$B$3816:$B$3826,$A339,[1]Desglose_BOM_Componentes!$AE$3816:$AE$3826,"Sin precio",[1]Desglose_BOM_Componentes!$X$3816:$X$3826,"Empaquetado")&gt;0,"n.d.",SUMIFS([1]Desglose_BOM_Componentes!$AD$3816:$AD$3826,[1]Desglose_BOM_Componentes!$B$3816:$B$3826,$A339,[1]Desglose_BOM_Componentes!$X$3816:$X$3826,"Empaquetado"))</f>
        <v>0.95531458108104916</v>
      </c>
      <c r="I339" s="6">
        <f t="shared" si="30"/>
        <v>1.7342585010810492</v>
      </c>
      <c r="J339" s="1" t="str">
        <f t="shared" si="31"/>
        <v>Completo</v>
      </c>
      <c r="K339" s="1">
        <f>COUNTIFS([1]Desglose_BOM_Componentes!$B$3816:$B$3826,$A339,[1]Desglose_BOM_Componentes!$AE$3816:$AE$3826,"Sin precio")</f>
        <v>0</v>
      </c>
      <c r="L339" s="1" t="str">
        <f>IF('[1]Precios componentes'!D123="Sin precio","ROL; ","")&amp;IF('[1]Precios componentes'!D155="Sin precio","UREL; ","")&amp;IF('[1]Precios componentes'!D54="Sin precio","EDT; ","")&amp;IF('[1]Precios componentes'!D72="Sin precio","FMA; ","")&amp;IF('[1]Precios componentes'!D156="Sin precio","VER;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40" spans="1:12" ht="22" customHeight="1">
      <c r="A340" s="1" t="s">
        <v>372</v>
      </c>
      <c r="B340" s="1" t="s">
        <v>18</v>
      </c>
      <c r="C340" s="1" t="s">
        <v>95</v>
      </c>
      <c r="D340" s="4">
        <f>IF(COUNTIFS([1]Desglose_BOM_Componentes!$B$3827:$B$3837,$A340,[1]Desglose_BOM_Componentes!$AE$3827:$AE$3837,"Sin precio",[1]Desglose_BOM_Componentes!$X$3827:$X$3837,"Formulación")&gt;0,"n.d.",SUMIFS([1]Desglose_BOM_Componentes!$AC$3827:$AC$3837,[1]Desglose_BOM_Componentes!$B$3827:$B$3837,$A340,[1]Desglose_BOM_Componentes!$X$3827:$X$3837,"Formulación"))</f>
        <v>0.87517400000000012</v>
      </c>
      <c r="E340" s="4">
        <f>IF(COUNTIFS([1]Desglose_BOM_Componentes!$B$3827:$B$3837,$A340,[1]Desglose_BOM_Componentes!$AE$3827:$AE$3837,"Sin precio",[1]Desglose_BOM_Componentes!$X$3827:$X$3837,"Empaquetado")&gt;0,"n.d.",SUMIFS([1]Desglose_BOM_Componentes!$AC$3827:$AC$3837,[1]Desglose_BOM_Componentes!$B$3827:$B$3837,$A340,[1]Desglose_BOM_Componentes!$X$3827:$X$3837,"Empaquetado"))</f>
        <v>1.0859479144143824</v>
      </c>
      <c r="F340" s="6">
        <f t="shared" si="29"/>
        <v>1.9653219144143825</v>
      </c>
      <c r="G340" s="4">
        <f>IF(COUNTIFS([1]Desglose_BOM_Componentes!$B$3827:$B$3837,$A340,[1]Desglose_BOM_Componentes!$AE$3827:$AE$3837,"Sin precio",[1]Desglose_BOM_Componentes!$X$3827:$X$3837,"Formulación")&gt;0,"n.d.",SUMIFS([1]Desglose_BOM_Componentes!$AD$3827:$AD$3837,[1]Desglose_BOM_Componentes!$B$3827:$B$3837,$A340,[1]Desglose_BOM_Componentes!$X$3827:$X$3837,"Formulación"))</f>
        <v>0.77474392000000003</v>
      </c>
      <c r="H340" s="4">
        <f>IF(COUNTIFS([1]Desglose_BOM_Componentes!$B$3827:$B$3837,$A340,[1]Desglose_BOM_Componentes!$AE$3827:$AE$3837,"Sin precio",[1]Desglose_BOM_Componentes!$X$3827:$X$3837,"Empaquetado")&gt;0,"n.d.",SUMIFS([1]Desglose_BOM_Componentes!$AD$3827:$AD$3837,[1]Desglose_BOM_Componentes!$B$3827:$B$3837,$A340,[1]Desglose_BOM_Componentes!$X$3827:$X$3837,"Empaquetado"))</f>
        <v>0.95531458108104916</v>
      </c>
      <c r="I340" s="6">
        <f t="shared" si="30"/>
        <v>1.7342585010810492</v>
      </c>
      <c r="J340" s="1" t="str">
        <f t="shared" si="31"/>
        <v>Completo</v>
      </c>
      <c r="K340" s="1">
        <f>COUNTIFS([1]Desglose_BOM_Componentes!$B$3827:$B$3837,$A340,[1]Desglose_BOM_Componentes!$AE$3827:$AE$3837,"Sin precio")</f>
        <v>0</v>
      </c>
      <c r="L340" s="1" t="str">
        <f>IF('[1]Precios componentes'!D123="Sin precio","ROL; ","")&amp;IF('[1]Precios componentes'!D155="Sin precio","UREL; ","")&amp;IF('[1]Precios componentes'!D54="Sin precio","EDT; ","")&amp;IF('[1]Precios componentes'!D72="Sin precio","FMA; ","")&amp;IF('[1]Precios componentes'!D156="Sin precio","VER;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41" spans="1:12" ht="22" customHeight="1">
      <c r="A341" s="1" t="s">
        <v>373</v>
      </c>
      <c r="B341" s="1" t="s">
        <v>18</v>
      </c>
      <c r="C341" s="1" t="s">
        <v>24</v>
      </c>
      <c r="D341" s="4">
        <f>IF(COUNTIFS([1]Desglose_BOM_Componentes!$B$3838:$B$3848,$A341,[1]Desglose_BOM_Componentes!$AE$3838:$AE$3848,"Sin precio",[1]Desglose_BOM_Componentes!$X$3838:$X$3848,"Formulación")&gt;0,"n.d.",SUMIFS([1]Desglose_BOM_Componentes!$AC$3838:$AC$3848,[1]Desglose_BOM_Componentes!$B$3838:$B$3848,$A341,[1]Desglose_BOM_Componentes!$X$3838:$X$3848,"Formulación"))</f>
        <v>0.87517400000000012</v>
      </c>
      <c r="E341" s="4">
        <f>IF(COUNTIFS([1]Desglose_BOM_Componentes!$B$3838:$B$3848,$A341,[1]Desglose_BOM_Componentes!$AE$3838:$AE$3848,"Sin precio",[1]Desglose_BOM_Componentes!$X$3838:$X$3848,"Empaquetado")&gt;0,"n.d.",SUMIFS([1]Desglose_BOM_Componentes!$AC$3838:$AC$3848,[1]Desglose_BOM_Componentes!$B$3838:$B$3848,$A341,[1]Desglose_BOM_Componentes!$X$3838:$X$3848,"Empaquetado"))</f>
        <v>0.32773970152740589</v>
      </c>
      <c r="F341" s="6">
        <f t="shared" si="29"/>
        <v>1.207113701527406</v>
      </c>
      <c r="G341" s="4">
        <f>IF(COUNTIFS([1]Desglose_BOM_Componentes!$B$3838:$B$3848,$A341,[1]Desglose_BOM_Componentes!$AE$3838:$AE$3848,"Sin precio",[1]Desglose_BOM_Componentes!$X$3838:$X$3848,"Formulación")&gt;0,"n.d.",SUMIFS([1]Desglose_BOM_Componentes!$AD$3838:$AD$3848,[1]Desglose_BOM_Componentes!$B$3838:$B$3848,$A341,[1]Desglose_BOM_Componentes!$X$3838:$X$3848,"Formulación"))</f>
        <v>0.77474392000000003</v>
      </c>
      <c r="H341" s="4">
        <f>IF(COUNTIFS([1]Desglose_BOM_Componentes!$B$3838:$B$3848,$A341,[1]Desglose_BOM_Componentes!$AE$3838:$AE$3848,"Sin precio",[1]Desglose_BOM_Componentes!$X$3838:$X$3848,"Empaquetado")&gt;0,"n.d.",SUMIFS([1]Desglose_BOM_Componentes!$AD$3838:$AD$3848,[1]Desglose_BOM_Componentes!$B$3838:$B$3848,$A341,[1]Desglose_BOM_Componentes!$X$3838:$X$3848,"Empaquetado"))</f>
        <v>0.32773970152740589</v>
      </c>
      <c r="I341" s="6">
        <f t="shared" si="30"/>
        <v>1.1066836215274058</v>
      </c>
      <c r="J341" s="1" t="str">
        <f t="shared" si="31"/>
        <v>Completo</v>
      </c>
      <c r="K341" s="1">
        <f>COUNTIFS([1]Desglose_BOM_Componentes!$B$3838:$B$3848,$A341,[1]Desglose_BOM_Componentes!$AE$3838:$AE$3848,"Sin precio")</f>
        <v>0</v>
      </c>
      <c r="L341" s="1" t="str">
        <f>IF('[1]Precios componentes'!D123="Sin precio","ROL; ","")&amp;IF('[1]Precios componentes'!D155="Sin precio","UREL; ","")&amp;IF('[1]Precios componentes'!D54="Sin precio","EDT; ","")&amp;IF('[1]Precios componentes'!D72="Sin precio","FMA; ","")&amp;IF('[1]Precios componentes'!D156="Sin precio","VER;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componentes'!D151="Sin precio","TPD63VS; ","")&amp;IF('[1]Precios componentes'!D34="Sin precio","CAG; ","")</f>
        <v/>
      </c>
    </row>
    <row r="342" spans="1:12" ht="22" customHeight="1">
      <c r="A342" s="1" t="s">
        <v>374</v>
      </c>
      <c r="B342" s="1" t="s">
        <v>18</v>
      </c>
      <c r="C342" s="1" t="s">
        <v>26</v>
      </c>
      <c r="D342" s="4">
        <f>IF(COUNTIFS([1]Desglose_BOM_Componentes!$B$3849:$B$3859,$A342,[1]Desglose_BOM_Componentes!$AE$3849:$AE$3859,"Sin precio",[1]Desglose_BOM_Componentes!$X$3849:$X$3859,"Formulación")&gt;0,"n.d.",SUMIFS([1]Desglose_BOM_Componentes!$AC$3849:$AC$3859,[1]Desglose_BOM_Componentes!$B$3849:$B$3859,$A342,[1]Desglose_BOM_Componentes!$X$3849:$X$3859,"Formulación"))</f>
        <v>0.87517400000000012</v>
      </c>
      <c r="E342" s="4">
        <f>IF(COUNTIFS([1]Desglose_BOM_Componentes!$B$3849:$B$3859,$A342,[1]Desglose_BOM_Componentes!$AE$3849:$AE$3859,"Sin precio",[1]Desglose_BOM_Componentes!$X$3849:$X$3859,"Empaquetado")&gt;0,"n.d.",SUMIFS([1]Desglose_BOM_Componentes!$AC$3849:$AC$3859,[1]Desglose_BOM_Componentes!$B$3849:$B$3859,$A342,[1]Desglose_BOM_Componentes!$X$3849:$X$3859,"Empaquetado"))</f>
        <v>0.32773970152740589</v>
      </c>
      <c r="F342" s="6">
        <f t="shared" si="29"/>
        <v>1.207113701527406</v>
      </c>
      <c r="G342" s="4">
        <f>IF(COUNTIFS([1]Desglose_BOM_Componentes!$B$3849:$B$3859,$A342,[1]Desglose_BOM_Componentes!$AE$3849:$AE$3859,"Sin precio",[1]Desglose_BOM_Componentes!$X$3849:$X$3859,"Formulación")&gt;0,"n.d.",SUMIFS([1]Desglose_BOM_Componentes!$AD$3849:$AD$3859,[1]Desglose_BOM_Componentes!$B$3849:$B$3859,$A342,[1]Desglose_BOM_Componentes!$X$3849:$X$3859,"Formulación"))</f>
        <v>0.77474392000000003</v>
      </c>
      <c r="H342" s="4">
        <f>IF(COUNTIFS([1]Desglose_BOM_Componentes!$B$3849:$B$3859,$A342,[1]Desglose_BOM_Componentes!$AE$3849:$AE$3859,"Sin precio",[1]Desglose_BOM_Componentes!$X$3849:$X$3859,"Empaquetado")&gt;0,"n.d.",SUMIFS([1]Desglose_BOM_Componentes!$AD$3849:$AD$3859,[1]Desglose_BOM_Componentes!$B$3849:$B$3859,$A342,[1]Desglose_BOM_Componentes!$X$3849:$X$3859,"Empaquetado"))</f>
        <v>0.32773970152740589</v>
      </c>
      <c r="I342" s="6">
        <f t="shared" si="30"/>
        <v>1.1066836215274058</v>
      </c>
      <c r="J342" s="1" t="str">
        <f t="shared" si="31"/>
        <v>Completo</v>
      </c>
      <c r="K342" s="1">
        <f>COUNTIFS([1]Desglose_BOM_Componentes!$B$3849:$B$3859,$A342,[1]Desglose_BOM_Componentes!$AE$3849:$AE$3859,"Sin precio")</f>
        <v>0</v>
      </c>
      <c r="L342" s="1" t="str">
        <f>IF('[1]Precios componentes'!D123="Sin precio","ROL; ","")&amp;IF('[1]Precios componentes'!D155="Sin precio","UREL; ","")&amp;IF('[1]Precios componentes'!D54="Sin precio","EDT; ","")&amp;IF('[1]Precios componentes'!D72="Sin precio","FMA; ","")&amp;IF('[1]Precios componentes'!D156="Sin precio","VER;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componentes'!D151="Sin precio","TPD63VS; ","")&amp;IF('[1]Precios componentes'!D34="Sin precio","CAG; ","")</f>
        <v/>
      </c>
    </row>
    <row r="343" spans="1:12" ht="22" customHeight="1">
      <c r="A343" s="1" t="s">
        <v>375</v>
      </c>
      <c r="B343" s="1" t="s">
        <v>18</v>
      </c>
      <c r="C343" s="1" t="s">
        <v>24</v>
      </c>
      <c r="D343" s="4">
        <f>IF(COUNTIFS([1]Desglose_BOM_Componentes!$B$3860:$B$3869,$A343,[1]Desglose_BOM_Componentes!$AE$3860:$AE$3869,"Sin precio",[1]Desglose_BOM_Componentes!$X$3860:$X$3869,"Formulación")&gt;0,"n.d.",SUMIFS([1]Desglose_BOM_Componentes!$AC$3860:$AC$3869,[1]Desglose_BOM_Componentes!$B$3860:$B$3869,$A343,[1]Desglose_BOM_Componentes!$X$3860:$X$3869,"Formulación"))</f>
        <v>0.87517400000000012</v>
      </c>
      <c r="E343" s="4">
        <f>IF(COUNTIFS([1]Desglose_BOM_Componentes!$B$3860:$B$3869,$A343,[1]Desglose_BOM_Componentes!$AE$3860:$AE$3869,"Sin precio",[1]Desglose_BOM_Componentes!$X$3860:$X$3869,"Empaquetado")&gt;0,"n.d.",SUMIFS([1]Desglose_BOM_Componentes!$AC$3860:$AC$3869,[1]Desglose_BOM_Componentes!$B$3860:$B$3869,$A343,[1]Desglose_BOM_Componentes!$X$3860:$X$3869,"Empaquetado"))</f>
        <v>0.24326489794470366</v>
      </c>
      <c r="F343" s="6">
        <f t="shared" si="29"/>
        <v>1.1226388979447037</v>
      </c>
      <c r="G343" s="4">
        <f>IF(COUNTIFS([1]Desglose_BOM_Componentes!$B$3860:$B$3869,$A343,[1]Desglose_BOM_Componentes!$AE$3860:$AE$3869,"Sin precio",[1]Desglose_BOM_Componentes!$X$3860:$X$3869,"Formulación")&gt;0,"n.d.",SUMIFS([1]Desglose_BOM_Componentes!$AD$3860:$AD$3869,[1]Desglose_BOM_Componentes!$B$3860:$B$3869,$A343,[1]Desglose_BOM_Componentes!$X$3860:$X$3869,"Formulación"))</f>
        <v>0.77474392000000003</v>
      </c>
      <c r="H343" s="4">
        <f>IF(COUNTIFS([1]Desglose_BOM_Componentes!$B$3860:$B$3869,$A343,[1]Desglose_BOM_Componentes!$AE$3860:$AE$3869,"Sin precio",[1]Desglose_BOM_Componentes!$X$3860:$X$3869,"Empaquetado")&gt;0,"n.d.",SUMIFS([1]Desglose_BOM_Componentes!$AD$3860:$AD$3869,[1]Desglose_BOM_Componentes!$B$3860:$B$3869,$A343,[1]Desglose_BOM_Componentes!$X$3860:$X$3869,"Empaquetado"))</f>
        <v>0.24326489794470366</v>
      </c>
      <c r="I343" s="6">
        <f t="shared" si="30"/>
        <v>1.0222088179447038</v>
      </c>
      <c r="J343" s="1" t="str">
        <f t="shared" si="31"/>
        <v>Completo</v>
      </c>
      <c r="K343" s="1">
        <f>COUNTIFS([1]Desglose_BOM_Componentes!$B$3860:$B$3869,$A343,[1]Desglose_BOM_Componentes!$AE$3860:$AE$3869,"Sin precio")</f>
        <v>0</v>
      </c>
      <c r="L343" s="1" t="str">
        <f>IF('[1]Precios componentes'!D123="Sin precio","ROL; ","")&amp;IF('[1]Precios componentes'!D155="Sin precio","UREL; ","")&amp;IF('[1]Precios componentes'!D54="Sin precio","EDT; ","")&amp;IF('[1]Precios componentes'!D72="Sin precio","FMA; ","")&amp;IF('[1]Precios componentes'!D156="Sin precio","VER;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44" spans="1:12" ht="22" customHeight="1">
      <c r="A344" s="1" t="s">
        <v>376</v>
      </c>
      <c r="B344" s="1" t="s">
        <v>18</v>
      </c>
      <c r="C344" s="1" t="s">
        <v>24</v>
      </c>
      <c r="D344" s="4">
        <f>IF(COUNTIFS([1]Desglose_BOM_Componentes!$B$3870:$B$3876,$A344,[1]Desglose_BOM_Componentes!$AE$3870:$AE$3876,"Sin precio",[1]Desglose_BOM_Componentes!$X$3870:$X$3876,"Formulación")&gt;0,"n.d.",SUMIFS([1]Desglose_BOM_Componentes!$AC$3870:$AC$3876,[1]Desglose_BOM_Componentes!$B$3870:$B$3876,$A344,[1]Desglose_BOM_Componentes!$X$3870:$X$3876,"Formulación"))</f>
        <v>0.87517400000000012</v>
      </c>
      <c r="E344" s="4">
        <f>IF(COUNTIFS([1]Desglose_BOM_Componentes!$B$3870:$B$3876,$A344,[1]Desglose_BOM_Componentes!$AE$3870:$AE$3876,"Sin precio",[1]Desglose_BOM_Componentes!$X$3870:$X$3876,"Empaquetado")&gt;0,"n.d.",SUMIFS([1]Desglose_BOM_Componentes!$AC$3870:$AC$3876,[1]Desglose_BOM_Componentes!$B$3870:$B$3876,$A344,[1]Desglose_BOM_Componentes!$X$3870:$X$3876,"Empaquetado"))</f>
        <v>6.994759378174159E-2</v>
      </c>
      <c r="F344" s="6">
        <f t="shared" si="29"/>
        <v>0.94932159378174163</v>
      </c>
      <c r="G344" s="4">
        <f>IF(COUNTIFS([1]Desglose_BOM_Componentes!$B$3870:$B$3876,$A344,[1]Desglose_BOM_Componentes!$AE$3870:$AE$3876,"Sin precio",[1]Desglose_BOM_Componentes!$X$3870:$X$3876,"Formulación")&gt;0,"n.d.",SUMIFS([1]Desglose_BOM_Componentes!$AD$3870:$AD$3876,[1]Desglose_BOM_Componentes!$B$3870:$B$3876,$A344,[1]Desglose_BOM_Componentes!$X$3870:$X$3876,"Formulación"))</f>
        <v>0.77474392000000003</v>
      </c>
      <c r="H344" s="4">
        <f>IF(COUNTIFS([1]Desglose_BOM_Componentes!$B$3870:$B$3876,$A344,[1]Desglose_BOM_Componentes!$AE$3870:$AE$3876,"Sin precio",[1]Desglose_BOM_Componentes!$X$3870:$X$3876,"Empaquetado")&gt;0,"n.d.",SUMIFS([1]Desglose_BOM_Componentes!$AD$3870:$AD$3876,[1]Desglose_BOM_Componentes!$B$3870:$B$3876,$A344,[1]Desglose_BOM_Componentes!$X$3870:$X$3876,"Empaquetado"))</f>
        <v>6.994759378174159E-2</v>
      </c>
      <c r="I344" s="6">
        <f t="shared" si="30"/>
        <v>0.84889151378174166</v>
      </c>
      <c r="J344" s="1" t="str">
        <f t="shared" si="31"/>
        <v>Completo</v>
      </c>
      <c r="K344" s="1">
        <f>COUNTIFS([1]Desglose_BOM_Componentes!$B$3870:$B$3876,$A344,[1]Desglose_BOM_Componentes!$AE$3870:$AE$3876,"Sin precio")</f>
        <v>0</v>
      </c>
      <c r="L344" s="1" t="str">
        <f>IF('[1]Precios componentes'!D123="Sin precio","ROL; ","")&amp;IF('[1]Precios componentes'!D155="Sin precio","UREL; ","")&amp;IF('[1]Precios componentes'!D54="Sin precio","EDT; ","")&amp;IF('[1]Precios componentes'!D72="Sin precio","FMA; ","")&amp;IF('[1]Precios componentes'!D156="Sin precio","VER; ","")&amp;IF('[1]Precios componentes'!D31="Sin precio","C1000R; ","")&amp;IF('[1]Precios componentes'!D95="Sin precio","KIA250; ","")</f>
        <v/>
      </c>
    </row>
    <row r="345" spans="1:12" ht="22" customHeight="1">
      <c r="A345" s="1" t="s">
        <v>377</v>
      </c>
      <c r="B345" s="1" t="s">
        <v>18</v>
      </c>
      <c r="C345" s="1" t="s">
        <v>69</v>
      </c>
      <c r="D345" s="4">
        <f>IF(COUNTIFS([1]Desglose_BOM_Componentes!$B$3877:$B$3884,$A345,[1]Desglose_BOM_Componentes!$AE$3877:$AE$3884,"Sin precio",[1]Desglose_BOM_Componentes!$X$3877:$X$3884,"Formulación")&gt;0,"n.d.",SUMIFS([1]Desglose_BOM_Componentes!$AC$3877:$AC$3884,[1]Desglose_BOM_Componentes!$B$3877:$B$3884,$A345,[1]Desglose_BOM_Componentes!$X$3877:$X$3884,"Formulación"))</f>
        <v>1.2600225</v>
      </c>
      <c r="E345" s="4">
        <f>IF(COUNTIFS([1]Desglose_BOM_Componentes!$B$3877:$B$3884,$A345,[1]Desglose_BOM_Componentes!$AE$3877:$AE$3884,"Sin precio",[1]Desglose_BOM_Componentes!$X$3877:$X$3884,"Empaquetado")&gt;0,"n.d.",SUMIFS([1]Desglose_BOM_Componentes!$AC$3877:$AC$3884,[1]Desglose_BOM_Componentes!$B$3877:$B$3884,$A345,[1]Desglose_BOM_Componentes!$X$3877:$X$3884,"Empaquetado"))</f>
        <v>0.90089800050253677</v>
      </c>
      <c r="F345" s="6">
        <f t="shared" si="29"/>
        <v>2.1651205005025367</v>
      </c>
      <c r="G345" s="4">
        <f>IF(COUNTIFS([1]Desglose_BOM_Componentes!$B$3877:$B$3884,$A345,[1]Desglose_BOM_Componentes!$AE$3877:$AE$3884,"Sin precio",[1]Desglose_BOM_Componentes!$X$3877:$X$3884,"Formulación")&gt;0,"n.d.",SUMIFS([1]Desglose_BOM_Componentes!$AD$3877:$AD$3884,[1]Desglose_BOM_Componentes!$B$3877:$B$3884,$A345,[1]Desglose_BOM_Componentes!$X$3877:$X$3884,"Formulación"))</f>
        <v>1.2600225</v>
      </c>
      <c r="H345" s="4">
        <f>IF(COUNTIFS([1]Desglose_BOM_Componentes!$B$3877:$B$3884,$A345,[1]Desglose_BOM_Componentes!$AE$3877:$AE$3884,"Sin precio",[1]Desglose_BOM_Componentes!$X$3877:$X$3884,"Empaquetado")&gt;0,"n.d.",SUMIFS([1]Desglose_BOM_Componentes!$AD$3877:$AD$3884,[1]Desglose_BOM_Componentes!$B$3877:$B$3884,$A345,[1]Desglose_BOM_Componentes!$X$3877:$X$3884,"Empaquetado"))</f>
        <v>0.90089800050253677</v>
      </c>
      <c r="I345" s="6">
        <f t="shared" si="30"/>
        <v>2.1651205005025367</v>
      </c>
      <c r="J345" s="1" t="str">
        <f t="shared" si="31"/>
        <v>Completo</v>
      </c>
      <c r="K345" s="1">
        <f>COUNTIFS([1]Desglose_BOM_Componentes!$B$3877:$B$3884,$A345,[1]Desglose_BOM_Componentes!$AE$3877:$AE$3884,"Sin precio")</f>
        <v>0</v>
      </c>
      <c r="L345" s="1" t="str">
        <f>IF('[1]Precios componentes'!D7="Sin precio",".; ","")&amp;IF('[1]Precios componentes'!D92="Sin precio","JB;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346" spans="1:12" ht="22" customHeight="1">
      <c r="A346" s="1" t="s">
        <v>378</v>
      </c>
      <c r="B346" s="1" t="s">
        <v>18</v>
      </c>
      <c r="C346" s="1" t="s">
        <v>69</v>
      </c>
      <c r="D346" s="4">
        <f>IF(COUNTIFS([1]Desglose_BOM_Componentes!$B$3885:$B$3892,$A346,[1]Desglose_BOM_Componentes!$AE$3885:$AE$3892,"Sin precio",[1]Desglose_BOM_Componentes!$X$3885:$X$3892,"Formulación")&gt;0,"n.d.",SUMIFS([1]Desglose_BOM_Componentes!$AC$3885:$AC$3892,[1]Desglose_BOM_Componentes!$B$3885:$B$3892,$A346,[1]Desglose_BOM_Componentes!$X$3885:$X$3892,"Formulación"))</f>
        <v>1.2600225</v>
      </c>
      <c r="E346" s="4">
        <f>IF(COUNTIFS([1]Desglose_BOM_Componentes!$B$3885:$B$3892,$A346,[1]Desglose_BOM_Componentes!$AE$3885:$AE$3892,"Sin precio",[1]Desglose_BOM_Componentes!$X$3885:$X$3892,"Empaquetado")&gt;0,"n.d.",SUMIFS([1]Desglose_BOM_Componentes!$AC$3885:$AC$3892,[1]Desglose_BOM_Componentes!$B$3885:$B$3892,$A346,[1]Desglose_BOM_Componentes!$X$3885:$X$3892,"Empaquetado"))</f>
        <v>0.32773970152740589</v>
      </c>
      <c r="F346" s="6">
        <f t="shared" ref="F346:F369" si="32">IF(K346&gt;0,"n.d.",SUM(D346:E346)+0.0042)</f>
        <v>1.591962201527406</v>
      </c>
      <c r="G346" s="4">
        <f>IF(COUNTIFS([1]Desglose_BOM_Componentes!$B$3885:$B$3892,$A346,[1]Desglose_BOM_Componentes!$AE$3885:$AE$3892,"Sin precio",[1]Desglose_BOM_Componentes!$X$3885:$X$3892,"Formulación")&gt;0,"n.d.",SUMIFS([1]Desglose_BOM_Componentes!$AD$3885:$AD$3892,[1]Desglose_BOM_Componentes!$B$3885:$B$3892,$A346,[1]Desglose_BOM_Componentes!$X$3885:$X$3892,"Formulación"))</f>
        <v>1.2600225</v>
      </c>
      <c r="H346" s="4">
        <f>IF(COUNTIFS([1]Desglose_BOM_Componentes!$B$3885:$B$3892,$A346,[1]Desglose_BOM_Componentes!$AE$3885:$AE$3892,"Sin precio",[1]Desglose_BOM_Componentes!$X$3885:$X$3892,"Empaquetado")&gt;0,"n.d.",SUMIFS([1]Desglose_BOM_Componentes!$AD$3885:$AD$3892,[1]Desglose_BOM_Componentes!$B$3885:$B$3892,$A346,[1]Desglose_BOM_Componentes!$X$3885:$X$3892,"Empaquetado"))</f>
        <v>0.32773970152740589</v>
      </c>
      <c r="I346" s="6">
        <f t="shared" ref="I346:I369" si="33">IF(K346&gt;0,"n.d.",SUM(G346:H346)+0.0042)</f>
        <v>1.591962201527406</v>
      </c>
      <c r="J346" s="1" t="str">
        <f t="shared" si="31"/>
        <v>Completo</v>
      </c>
      <c r="K346" s="1">
        <f>COUNTIFS([1]Desglose_BOM_Componentes!$B$3885:$B$3892,$A346,[1]Desglose_BOM_Componentes!$AE$3885:$AE$3892,"Sin precio")</f>
        <v>0</v>
      </c>
      <c r="L346" s="1" t="str">
        <f>IF('[1]Precios componentes'!D7="Sin precio",".; ","")&amp;IF('[1]Precios componentes'!D92="Sin precio","JB;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componentes'!D151="Sin precio","TPD63VS; ","")&amp;IF('[1]Precios componentes'!D34="Sin precio","CAG; ","")</f>
        <v/>
      </c>
    </row>
    <row r="347" spans="1:12" ht="22" customHeight="1">
      <c r="A347" s="1" t="s">
        <v>379</v>
      </c>
      <c r="B347" s="1" t="s">
        <v>18</v>
      </c>
      <c r="C347" s="1" t="s">
        <v>69</v>
      </c>
      <c r="D347" s="4">
        <f>IF(COUNTIFS([1]Desglose_BOM_Componentes!$B$3893:$B$3904,$A347,[1]Desglose_BOM_Componentes!$AE$3893:$AE$3904,"Sin precio",[1]Desglose_BOM_Componentes!$X$3893:$X$3904,"Formulación")&gt;0,"n.d.",SUMIFS([1]Desglose_BOM_Componentes!$AC$3893:$AC$3904,[1]Desglose_BOM_Componentes!$B$3893:$B$3904,$A347,[1]Desglose_BOM_Componentes!$X$3893:$X$3904,"Formulación"))</f>
        <v>0.53717199999999998</v>
      </c>
      <c r="E347" s="4">
        <f>IF(COUNTIFS([1]Desglose_BOM_Componentes!$B$3893:$B$3904,$A347,[1]Desglose_BOM_Componentes!$AE$3893:$AE$3904,"Sin precio",[1]Desglose_BOM_Componentes!$X$3893:$X$3904,"Empaquetado")&gt;0,"n.d.",SUMIFS([1]Desglose_BOM_Componentes!$AC$3893:$AC$3904,[1]Desglose_BOM_Componentes!$B$3893:$B$3904,$A347,[1]Desglose_BOM_Componentes!$X$3893:$X$3904,"Empaquetado"))</f>
        <v>1.0859479144143824</v>
      </c>
      <c r="F347" s="6">
        <f t="shared" si="32"/>
        <v>1.6273199144143824</v>
      </c>
      <c r="G347" s="4">
        <f>IF(COUNTIFS([1]Desglose_BOM_Componentes!$B$3893:$B$3904,$A347,[1]Desglose_BOM_Componentes!$AE$3893:$AE$3904,"Sin precio",[1]Desglose_BOM_Componentes!$X$3893:$X$3904,"Formulación")&gt;0,"n.d.",SUMIFS([1]Desglose_BOM_Componentes!$AD$3893:$AD$3904,[1]Desglose_BOM_Componentes!$B$3893:$B$3904,$A347,[1]Desglose_BOM_Componentes!$X$3893:$X$3904,"Formulación"))</f>
        <v>0.49741485714285716</v>
      </c>
      <c r="H347" s="4">
        <f>IF(COUNTIFS([1]Desglose_BOM_Componentes!$B$3893:$B$3904,$A347,[1]Desglose_BOM_Componentes!$AE$3893:$AE$3904,"Sin precio",[1]Desglose_BOM_Componentes!$X$3893:$X$3904,"Empaquetado")&gt;0,"n.d.",SUMIFS([1]Desglose_BOM_Componentes!$AD$3893:$AD$3904,[1]Desglose_BOM_Componentes!$B$3893:$B$3904,$A347,[1]Desglose_BOM_Componentes!$X$3893:$X$3904,"Empaquetado"))</f>
        <v>0.95531458108104916</v>
      </c>
      <c r="I347" s="6">
        <f t="shared" si="33"/>
        <v>1.4569294382239062</v>
      </c>
      <c r="J347" s="1" t="str">
        <f t="shared" si="31"/>
        <v>Completo</v>
      </c>
      <c r="K347" s="1">
        <f>COUNTIFS([1]Desglose_BOM_Componentes!$B$3893:$B$3904,$A347,[1]Desglose_BOM_Componentes!$AE$3893:$AE$3904,"Sin precio")</f>
        <v>0</v>
      </c>
      <c r="L347" s="1" t="str">
        <f>IF('[1]Precios componentes'!D152="Sin precio","TR8; ","")&amp;IF('[1]Precios componentes'!D93="Sin precio","KF78; ","")&amp;IF('[1]Precios componentes'!D44="Sin precio","CMC500; ","")&amp;IF('[1]Precios componentes'!D14="Sin precio","ANTI; ","")&amp;IF('[1]Precios componentes'!D143="Sin precio","TIB; ","")&amp;IF('[1]Precios componentes'!D81="Sin precio","GLINA;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componentes'!D145="Sin precio","TPD40IV; ","")&amp;IF('[1]Precios componentes'!D94="Sin precio","KIA220; ","")</f>
        <v/>
      </c>
    </row>
    <row r="348" spans="1:12" ht="22" customHeight="1">
      <c r="A348" s="1" t="s">
        <v>380</v>
      </c>
      <c r="B348" s="1" t="s">
        <v>18</v>
      </c>
      <c r="C348" s="1" t="s">
        <v>69</v>
      </c>
      <c r="D348" s="4">
        <f>IF(COUNTIFS([1]Desglose_BOM_Componentes!$B$3905:$B$3916,$A348,[1]Desglose_BOM_Componentes!$AE$3905:$AE$3916,"Sin precio",[1]Desglose_BOM_Componentes!$X$3905:$X$3916,"Formulación")&gt;0,"n.d.",SUMIFS([1]Desglose_BOM_Componentes!$AC$3905:$AC$3916,[1]Desglose_BOM_Componentes!$B$3905:$B$3916,$A348,[1]Desglose_BOM_Componentes!$X$3905:$X$3916,"Formulación"))</f>
        <v>0.53717199999999998</v>
      </c>
      <c r="E348" s="4">
        <f>IF(COUNTIFS([1]Desglose_BOM_Componentes!$B$3905:$B$3916,$A348,[1]Desglose_BOM_Componentes!$AE$3905:$AE$3916,"Sin precio",[1]Desglose_BOM_Componentes!$X$3905:$X$3916,"Empaquetado")&gt;0,"n.d.",SUMIFS([1]Desglose_BOM_Componentes!$AC$3905:$AC$3916,[1]Desglose_BOM_Componentes!$B$3905:$B$3916,$A348,[1]Desglose_BOM_Componentes!$X$3905:$X$3916,"Empaquetado"))</f>
        <v>0.32773970152740589</v>
      </c>
      <c r="F348" s="6">
        <f t="shared" si="32"/>
        <v>0.86911170152740591</v>
      </c>
      <c r="G348" s="4">
        <f>IF(COUNTIFS([1]Desglose_BOM_Componentes!$B$3905:$B$3916,$A348,[1]Desglose_BOM_Componentes!$AE$3905:$AE$3916,"Sin precio",[1]Desglose_BOM_Componentes!$X$3905:$X$3916,"Formulación")&gt;0,"n.d.",SUMIFS([1]Desglose_BOM_Componentes!$AD$3905:$AD$3916,[1]Desglose_BOM_Componentes!$B$3905:$B$3916,$A348,[1]Desglose_BOM_Componentes!$X$3905:$X$3916,"Formulación"))</f>
        <v>0.49741485714285716</v>
      </c>
      <c r="H348" s="4">
        <f>IF(COUNTIFS([1]Desglose_BOM_Componentes!$B$3905:$B$3916,$A348,[1]Desglose_BOM_Componentes!$AE$3905:$AE$3916,"Sin precio",[1]Desglose_BOM_Componentes!$X$3905:$X$3916,"Empaquetado")&gt;0,"n.d.",SUMIFS([1]Desglose_BOM_Componentes!$AD$3905:$AD$3916,[1]Desglose_BOM_Componentes!$B$3905:$B$3916,$A348,[1]Desglose_BOM_Componentes!$X$3905:$X$3916,"Empaquetado"))</f>
        <v>0.32773970152740589</v>
      </c>
      <c r="I348" s="6">
        <f t="shared" si="33"/>
        <v>0.82935455867026309</v>
      </c>
      <c r="J348" s="1" t="str">
        <f t="shared" si="31"/>
        <v>Completo</v>
      </c>
      <c r="K348" s="1">
        <f>COUNTIFS([1]Desglose_BOM_Componentes!$B$3905:$B$3916,$A348,[1]Desglose_BOM_Componentes!$AE$3905:$AE$3916,"Sin precio")</f>
        <v>0</v>
      </c>
      <c r="L348" s="1" t="str">
        <f>IF('[1]Precios componentes'!D152="Sin precio","TR8; ","")&amp;IF('[1]Precios componentes'!D93="Sin precio","KF78; ","")&amp;IF('[1]Precios componentes'!D44="Sin precio","CMC500; ","")&amp;IF('[1]Precios componentes'!D14="Sin precio","ANTI; ","")&amp;IF('[1]Precios componentes'!D143="Sin precio","TIB; ","")&amp;IF('[1]Precios componentes'!D81="Sin precio","GLINA;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componentes'!D151="Sin precio","TPD63VS; ","")&amp;IF('[1]Precios componentes'!D34="Sin precio","CAG; ","")</f>
        <v/>
      </c>
    </row>
    <row r="349" spans="1:12" ht="22" customHeight="1">
      <c r="A349" s="1" t="s">
        <v>381</v>
      </c>
      <c r="B349" s="1" t="s">
        <v>18</v>
      </c>
      <c r="C349" s="1" t="s">
        <v>24</v>
      </c>
      <c r="D349" s="4">
        <f>IF(COUNTIFS([1]Desglose_BOM_Componentes!$B$3917:$B$3929,$A349,[1]Desglose_BOM_Componentes!$AE$3917:$AE$3929,"Sin precio",[1]Desglose_BOM_Componentes!$X$3917:$X$3929,"Formulación")&gt;0,"n.d.",SUMIFS([1]Desglose_BOM_Componentes!$AC$3917:$AC$3929,[1]Desglose_BOM_Componentes!$B$3917:$B$3929,$A349,[1]Desglose_BOM_Componentes!$X$3917:$X$3929,"Formulación"))</f>
        <v>0.72608099999999998</v>
      </c>
      <c r="E349" s="4">
        <f>IF(COUNTIFS([1]Desglose_BOM_Componentes!$B$3917:$B$3929,$A349,[1]Desglose_BOM_Componentes!$AE$3917:$AE$3929,"Sin precio",[1]Desglose_BOM_Componentes!$X$3917:$X$3929,"Empaquetado")&gt;0,"n.d.",SUMIFS([1]Desglose_BOM_Componentes!$AC$3917:$AC$3929,[1]Desglose_BOM_Componentes!$B$3917:$B$3929,$A349,[1]Desglose_BOM_Componentes!$X$3917:$X$3929,"Empaquetado"))</f>
        <v>0.75344791441438252</v>
      </c>
      <c r="F349" s="6">
        <f t="shared" si="32"/>
        <v>1.4837289144143826</v>
      </c>
      <c r="G349" s="4">
        <f>IF(COUNTIFS([1]Desglose_BOM_Componentes!$B$3917:$B$3929,$A349,[1]Desglose_BOM_Componentes!$AE$3917:$AE$3929,"Sin precio",[1]Desglose_BOM_Componentes!$X$3917:$X$3929,"Formulación")&gt;0,"n.d.",SUMIFS([1]Desglose_BOM_Componentes!$AD$3917:$AD$3929,[1]Desglose_BOM_Componentes!$B$3917:$B$3929,$A349,[1]Desglose_BOM_Componentes!$X$3917:$X$3929,"Formulación"))</f>
        <v>0.64231933333333324</v>
      </c>
      <c r="H349" s="4">
        <f>IF(COUNTIFS([1]Desglose_BOM_Componentes!$B$3917:$B$3929,$A349,[1]Desglose_BOM_Componentes!$AE$3917:$AE$3929,"Sin precio",[1]Desglose_BOM_Componentes!$X$3917:$X$3929,"Empaquetado")&gt;0,"n.d.",SUMIFS([1]Desglose_BOM_Componentes!$AD$3917:$AD$3929,[1]Desglose_BOM_Componentes!$B$3917:$B$3929,$A349,[1]Desglose_BOM_Componentes!$X$3917:$X$3929,"Empaquetado"))</f>
        <v>0.75344791441438252</v>
      </c>
      <c r="I349" s="6">
        <f t="shared" si="33"/>
        <v>1.3999672477477159</v>
      </c>
      <c r="J349" s="1" t="str">
        <f t="shared" si="31"/>
        <v>Completo</v>
      </c>
      <c r="K349" s="1">
        <f>COUNTIFS([1]Desglose_BOM_Componentes!$B$3917:$B$3929,$A349,[1]Desglose_BOM_Componentes!$AE$3917:$AE$3929,"Sin precio")</f>
        <v>0</v>
      </c>
      <c r="L349" s="1" t="str">
        <f>IF('[1]Precios componentes'!D80="Sin precio","GLI; ","")&amp;IF('[1]Precios componentes'!D112="Sin precio","NMGL; ","")&amp;IF('[1]Precios componentes'!D51="Sin precio","D55; ","")&amp;IF('[1]Precios componentes'!D155="Sin precio","UREL; ","")&amp;IF('[1]Precios componentes'!D110="Sin precio","NCA; ","")&amp;IF('[1]Precios componentes'!D93="Sin precio","KF78; ","")&amp;IF('[1]Precios componentes'!D111="Sin precio","NCAL;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50" spans="1:12" ht="22" customHeight="1">
      <c r="A350" s="1" t="s">
        <v>382</v>
      </c>
      <c r="B350" s="1" t="s">
        <v>18</v>
      </c>
      <c r="C350" s="1" t="s">
        <v>24</v>
      </c>
      <c r="D350" s="4">
        <f>IF(COUNTIFS([1]Desglose_BOM_Componentes!$B$3930:$B$3942,$A350,[1]Desglose_BOM_Componentes!$AE$3930:$AE$3942,"Sin precio",[1]Desglose_BOM_Componentes!$X$3930:$X$3942,"Formulación")&gt;0,"n.d.",SUMIFS([1]Desglose_BOM_Componentes!$AC$3930:$AC$3942,[1]Desglose_BOM_Componentes!$B$3930:$B$3942,$A350,[1]Desglose_BOM_Componentes!$X$3930:$X$3942,"Formulación"))</f>
        <v>0.72608099999999998</v>
      </c>
      <c r="E350" s="4">
        <f>IF(COUNTIFS([1]Desglose_BOM_Componentes!$B$3930:$B$3942,$A350,[1]Desglose_BOM_Componentes!$AE$3930:$AE$3942,"Sin precio",[1]Desglose_BOM_Componentes!$X$3930:$X$3942,"Empaquetado")&gt;0,"n.d.",SUMIFS([1]Desglose_BOM_Componentes!$AC$3930:$AC$3942,[1]Desglose_BOM_Componentes!$B$3930:$B$3942,$A350,[1]Desglose_BOM_Componentes!$X$3930:$X$3942,"Empaquetado"))</f>
        <v>0.33288466819407259</v>
      </c>
      <c r="F350" s="6">
        <f t="shared" si="32"/>
        <v>1.0631656681940727</v>
      </c>
      <c r="G350" s="4">
        <f>IF(COUNTIFS([1]Desglose_BOM_Componentes!$B$3930:$B$3942,$A350,[1]Desglose_BOM_Componentes!$AE$3930:$AE$3942,"Sin precio",[1]Desglose_BOM_Componentes!$X$3930:$X$3942,"Formulación")&gt;0,"n.d.",SUMIFS([1]Desglose_BOM_Componentes!$AD$3930:$AD$3942,[1]Desglose_BOM_Componentes!$B$3930:$B$3942,$A350,[1]Desglose_BOM_Componentes!$X$3930:$X$3942,"Formulación"))</f>
        <v>0.64231933333333324</v>
      </c>
      <c r="H350" s="4">
        <f>IF(COUNTIFS([1]Desglose_BOM_Componentes!$B$3930:$B$3942,$A350,[1]Desglose_BOM_Componentes!$AE$3930:$AE$3942,"Sin precio",[1]Desglose_BOM_Componentes!$X$3930:$X$3942,"Empaquetado")&gt;0,"n.d.",SUMIFS([1]Desglose_BOM_Componentes!$AD$3930:$AD$3942,[1]Desglose_BOM_Componentes!$B$3930:$B$3942,$A350,[1]Desglose_BOM_Componentes!$X$3930:$X$3942,"Empaquetado"))</f>
        <v>0.33288466819407259</v>
      </c>
      <c r="I350" s="6">
        <f t="shared" si="33"/>
        <v>0.97940400152740581</v>
      </c>
      <c r="J350" s="1" t="str">
        <f t="shared" si="31"/>
        <v>Completo</v>
      </c>
      <c r="K350" s="1">
        <f>COUNTIFS([1]Desglose_BOM_Componentes!$B$3930:$B$3942,$A350,[1]Desglose_BOM_Componentes!$AE$3930:$AE$3942,"Sin precio")</f>
        <v>0</v>
      </c>
      <c r="L350" s="1" t="str">
        <f>IF('[1]Precios componentes'!D80="Sin precio","GLI; ","")&amp;IF('[1]Precios componentes'!D112="Sin precio","NMGL; ","")&amp;IF('[1]Precios componentes'!D51="Sin precio","D55; ","")&amp;IF('[1]Precios componentes'!D155="Sin precio","UREL; ","")&amp;IF('[1]Precios componentes'!D110="Sin precio","NCA; ","")&amp;IF('[1]Precios componentes'!D93="Sin precio","KF78; ","")&amp;IF('[1]Precios componentes'!D111="Sin precio","NCAL;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351" spans="1:12" ht="22" customHeight="1">
      <c r="A351" s="1" t="s">
        <v>383</v>
      </c>
      <c r="B351" s="1" t="s">
        <v>18</v>
      </c>
      <c r="C351" s="1" t="s">
        <v>24</v>
      </c>
      <c r="D351" s="4">
        <f>IF(COUNTIFS([1]Desglose_BOM_Componentes!$B$3943:$B$3954,$A351,[1]Desglose_BOM_Componentes!$AE$3943:$AE$3954,"Sin precio",[1]Desglose_BOM_Componentes!$X$3943:$X$3954,"Formulación")&gt;0,"n.d.",SUMIFS([1]Desglose_BOM_Componentes!$AC$3943:$AC$3954,[1]Desglose_BOM_Componentes!$B$3943:$B$3954,$A351,[1]Desglose_BOM_Componentes!$X$3943:$X$3954,"Formulación"))</f>
        <v>0.72608099999999998</v>
      </c>
      <c r="E351" s="4">
        <f>IF(COUNTIFS([1]Desglose_BOM_Componentes!$B$3943:$B$3954,$A351,[1]Desglose_BOM_Componentes!$AE$3943:$AE$3954,"Sin precio",[1]Desglose_BOM_Componentes!$X$3943:$X$3954,"Empaquetado")&gt;0,"n.d.",SUMIFS([1]Desglose_BOM_Componentes!$AC$3943:$AC$3954,[1]Desglose_BOM_Componentes!$B$3943:$B$3954,$A351,[1]Desglose_BOM_Componentes!$X$3943:$X$3954,"Empaquetado"))</f>
        <v>0.24326489794470366</v>
      </c>
      <c r="F351" s="6">
        <f t="shared" si="32"/>
        <v>0.97354589794470359</v>
      </c>
      <c r="G351" s="4">
        <f>IF(COUNTIFS([1]Desglose_BOM_Componentes!$B$3943:$B$3954,$A351,[1]Desglose_BOM_Componentes!$AE$3943:$AE$3954,"Sin precio",[1]Desglose_BOM_Componentes!$X$3943:$X$3954,"Formulación")&gt;0,"n.d.",SUMIFS([1]Desglose_BOM_Componentes!$AD$3943:$AD$3954,[1]Desglose_BOM_Componentes!$B$3943:$B$3954,$A351,[1]Desglose_BOM_Componentes!$X$3943:$X$3954,"Formulación"))</f>
        <v>0.64231933333333324</v>
      </c>
      <c r="H351" s="4">
        <f>IF(COUNTIFS([1]Desglose_BOM_Componentes!$B$3943:$B$3954,$A351,[1]Desglose_BOM_Componentes!$AE$3943:$AE$3954,"Sin precio",[1]Desglose_BOM_Componentes!$X$3943:$X$3954,"Empaquetado")&gt;0,"n.d.",SUMIFS([1]Desglose_BOM_Componentes!$AD$3943:$AD$3954,[1]Desglose_BOM_Componentes!$B$3943:$B$3954,$A351,[1]Desglose_BOM_Componentes!$X$3943:$X$3954,"Empaquetado"))</f>
        <v>0.24326489794470366</v>
      </c>
      <c r="I351" s="6">
        <f t="shared" si="33"/>
        <v>0.88978423127803685</v>
      </c>
      <c r="J351" s="1" t="str">
        <f t="shared" si="31"/>
        <v>Completo</v>
      </c>
      <c r="K351" s="1">
        <f>COUNTIFS([1]Desglose_BOM_Componentes!$B$3943:$B$3954,$A351,[1]Desglose_BOM_Componentes!$AE$3943:$AE$3954,"Sin precio")</f>
        <v>0</v>
      </c>
      <c r="L351" s="1" t="str">
        <f>IF('[1]Precios componentes'!D80="Sin precio","GLI; ","")&amp;IF('[1]Precios componentes'!D112="Sin precio","NMGL; ","")&amp;IF('[1]Precios componentes'!D51="Sin precio","D55; ","")&amp;IF('[1]Precios componentes'!D155="Sin precio","UREL; ","")&amp;IF('[1]Precios componentes'!D110="Sin precio","NCA; ","")&amp;IF('[1]Precios componentes'!D93="Sin precio","KF78; ","")&amp;IF('[1]Precios componentes'!D111="Sin precio","NCAL;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52" spans="1:12" ht="22" customHeight="1">
      <c r="A352" s="1" t="s">
        <v>384</v>
      </c>
      <c r="B352" s="1" t="s">
        <v>18</v>
      </c>
      <c r="C352" s="1" t="s">
        <v>26</v>
      </c>
      <c r="D352" s="4">
        <f>IF(COUNTIFS([1]Desglose_BOM_Componentes!$B$3976:$B$3988,$A352,[1]Desglose_BOM_Componentes!$AE$3976:$AE$3988,"Sin precio",[1]Desglose_BOM_Componentes!$X$3976:$X$3988,"Formulación")&gt;0,"n.d.",SUMIFS([1]Desglose_BOM_Componentes!$AC$3976:$AC$3988,[1]Desglose_BOM_Componentes!$B$3976:$B$3988,$A352,[1]Desglose_BOM_Componentes!$X$3976:$X$3988,"Formulación"))</f>
        <v>0.52641499999999997</v>
      </c>
      <c r="E352" s="4">
        <f>IF(COUNTIFS([1]Desglose_BOM_Componentes!$B$3976:$B$3988,$A352,[1]Desglose_BOM_Componentes!$AE$3976:$AE$3988,"Sin precio",[1]Desglose_BOM_Componentes!$X$3976:$X$3988,"Empaquetado")&gt;0,"n.d.",SUMIFS([1]Desglose_BOM_Componentes!$AC$3976:$AC$3988,[1]Desglose_BOM_Componentes!$B$3976:$B$3988,$A352,[1]Desglose_BOM_Componentes!$X$3976:$X$3988,"Empaquetado"))</f>
        <v>0.31516221752740592</v>
      </c>
      <c r="F352" s="6">
        <f t="shared" si="32"/>
        <v>0.84577721752740587</v>
      </c>
      <c r="G352" s="4">
        <f>IF(COUNTIFS([1]Desglose_BOM_Componentes!$B$3976:$B$3988,$A352,[1]Desglose_BOM_Componentes!$AE$3976:$AE$3988,"Sin precio",[1]Desglose_BOM_Componentes!$X$3976:$X$3988,"Formulación")&gt;0,"n.d.",SUMIFS([1]Desglose_BOM_Componentes!$AD$3976:$AD$3988,[1]Desglose_BOM_Componentes!$B$3976:$B$3988,$A352,[1]Desglose_BOM_Componentes!$X$3976:$X$3988,"Formulación"))</f>
        <v>0.48476000000000008</v>
      </c>
      <c r="H352" s="4">
        <f>IF(COUNTIFS([1]Desglose_BOM_Componentes!$B$3976:$B$3988,$A352,[1]Desglose_BOM_Componentes!$AE$3976:$AE$3988,"Sin precio",[1]Desglose_BOM_Componentes!$X$3976:$X$3988,"Empaquetado")&gt;0,"n.d.",SUMIFS([1]Desglose_BOM_Componentes!$AD$3976:$AD$3988,[1]Desglose_BOM_Componentes!$B$3976:$B$3988,$A352,[1]Desglose_BOM_Componentes!$X$3976:$X$3988,"Empaquetado"))</f>
        <v>0.31516221752740592</v>
      </c>
      <c r="I352" s="6">
        <f t="shared" si="33"/>
        <v>0.80412221752740598</v>
      </c>
      <c r="J352" s="1" t="str">
        <f t="shared" si="31"/>
        <v>Completo</v>
      </c>
      <c r="K352" s="1">
        <f>COUNTIFS([1]Desglose_BOM_Componentes!$B$3976:$B$3988,$A352,[1]Desglose_BOM_Componentes!$AE$3976:$AE$3988,"Sin precio")</f>
        <v>0</v>
      </c>
      <c r="L352" s="1" t="str">
        <f>IF('[1]Precios componentes'!D111="Sin precio","NCAL; ","")&amp;IF('[1]Precios componentes'!D121="Sin precio","RAD; ","")&amp;IF('[1]Precios componentes'!D80="Sin precio","GLI; ","")&amp;IF('[1]Precios componentes'!D112="Sin precio","NMGL; ","")&amp;IF('[1]Precios componentes'!D93="Sin precio","KF78; ","")&amp;IF('[1]Precios componentes'!D13="Sin precio","AMO; ","")&amp;IF('[1]Precios componentes'!D26="Sin precio","BOCAL;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componentes'!D150="Sin precio","TPD63IV; ","")&amp;IF('[1]Precios componentes'!D34="Sin precio","CAG; ","")</f>
        <v/>
      </c>
    </row>
    <row r="353" spans="1:12" ht="22" customHeight="1">
      <c r="A353" s="1" t="s">
        <v>385</v>
      </c>
      <c r="B353" s="1" t="s">
        <v>18</v>
      </c>
      <c r="C353" s="1" t="s">
        <v>24</v>
      </c>
      <c r="D353" s="4">
        <f>IF(COUNTIFS([1]Desglose_BOM_Componentes!$B$3989:$B$4003,$A353,[1]Desglose_BOM_Componentes!$AE$3989:$AE$4003,"Sin precio",[1]Desglose_BOM_Componentes!$X$3989:$X$4003,"Formulación")&gt;0,"n.d.",SUMIFS([1]Desglose_BOM_Componentes!$AC$3989:$AC$4003,[1]Desglose_BOM_Componentes!$B$3989:$B$4003,$A353,[1]Desglose_BOM_Componentes!$X$3989:$X$4003,"Formulación"))</f>
        <v>0.68412500000000009</v>
      </c>
      <c r="E353" s="4">
        <f>IF(COUNTIFS([1]Desglose_BOM_Componentes!$B$3989:$B$4003,$A353,[1]Desglose_BOM_Componentes!$AE$3989:$AE$4003,"Sin precio",[1]Desglose_BOM_Componentes!$X$3989:$X$4003,"Empaquetado")&gt;0,"n.d.",SUMIFS([1]Desglose_BOM_Componentes!$AC$3989:$AC$4003,[1]Desglose_BOM_Componentes!$B$3989:$B$4003,$A353,[1]Desglose_BOM_Componentes!$X$3989:$X$4003,"Empaquetado"))</f>
        <v>0.30863970152740589</v>
      </c>
      <c r="F353" s="6">
        <f t="shared" si="32"/>
        <v>0.99696470152740591</v>
      </c>
      <c r="G353" s="4">
        <f>IF(COUNTIFS([1]Desglose_BOM_Componentes!$B$3989:$B$4003,$A353,[1]Desglose_BOM_Componentes!$AE$3989:$AE$4003,"Sin precio",[1]Desglose_BOM_Componentes!$X$3989:$X$4003,"Formulación")&gt;0,"n.d.",SUMIFS([1]Desglose_BOM_Componentes!$AD$3989:$AD$4003,[1]Desglose_BOM_Componentes!$B$3989:$B$4003,$A353,[1]Desglose_BOM_Componentes!$X$3989:$X$4003,"Formulación"))</f>
        <v>0.60060809523809522</v>
      </c>
      <c r="H353" s="4">
        <f>IF(COUNTIFS([1]Desglose_BOM_Componentes!$B$3989:$B$4003,$A353,[1]Desglose_BOM_Componentes!$AE$3989:$AE$4003,"Sin precio",[1]Desglose_BOM_Componentes!$X$3989:$X$4003,"Empaquetado")&gt;0,"n.d.",SUMIFS([1]Desglose_BOM_Componentes!$AD$3989:$AD$4003,[1]Desglose_BOM_Componentes!$B$3989:$B$4003,$A353,[1]Desglose_BOM_Componentes!$X$3989:$X$4003,"Empaquetado"))</f>
        <v>0.30863970152740589</v>
      </c>
      <c r="I353" s="6">
        <f t="shared" si="33"/>
        <v>0.91344779676550103</v>
      </c>
      <c r="J353" s="1" t="str">
        <f t="shared" si="31"/>
        <v>Completo</v>
      </c>
      <c r="K353" s="1">
        <f>COUNTIFS([1]Desglose_BOM_Componentes!$B$3989:$B$4003,$A353,[1]Desglose_BOM_Componentes!$AE$3989:$AE$4003,"Sin precio")</f>
        <v>0</v>
      </c>
      <c r="L353" s="1" t="str">
        <f>IF('[1]Precios componentes'!D93="Sin precio","KF78; ","")&amp;IF('[1]Precios componentes'!D13="Sin precio","AMO; ","")&amp;IF('[1]Precios componentes'!D104="Sin precio","MAL; ","")&amp;IF('[1]Precios componentes'!D80="Sin precio","GLI; ","")&amp;IF('[1]Precios componentes'!D79="Sin precio","GLBE; ","")&amp;IF('[1]Precios componentes'!D130="Sin precio","SFEL; ","")&amp;IF('[1]Precios componentes'!D121="Sin precio","RAD; ","")&amp;IF('[1]Precios componentes'!D84="Sin precio","GLUSO; ","")&amp;IF('[1]Precios componentes'!D137="Sin precio","SOBRE 5L; ","")&amp;IF('[1]Precios componentes'!D95="Sin precio","KIA250; ","")&amp;IF('[1]Precios componentes'!D115="Sin precio","PAL; ","")&amp;IF('[1]Precios componentes'!D149="Sin precio","TPD63I; ","")&amp;IF('[1]Precios componentes'!D63="Sin precio","ENV5220G; ","")&amp;IF('[1]Precios componentes'!D7="Sin precio",".; ","")&amp;IF('[1]Precios componentes'!D34="Sin precio","CAG; ","")</f>
        <v/>
      </c>
    </row>
    <row r="354" spans="1:12" ht="22" customHeight="1">
      <c r="A354" s="1" t="s">
        <v>386</v>
      </c>
      <c r="B354" s="1" t="s">
        <v>18</v>
      </c>
      <c r="C354" s="1" t="s">
        <v>24</v>
      </c>
      <c r="D354" s="4">
        <f>IF(COUNTIFS([1]Desglose_BOM_Componentes!$B$4004:$B$4017,$A354,[1]Desglose_BOM_Componentes!$AE$4004:$AE$4017,"Sin precio",[1]Desglose_BOM_Componentes!$X$4004:$X$4017,"Formulación")&gt;0,"n.d.",SUMIFS([1]Desglose_BOM_Componentes!$AC$4004:$AC$4017,[1]Desglose_BOM_Componentes!$B$4004:$B$4017,$A354,[1]Desglose_BOM_Componentes!$X$4004:$X$4017,"Formulación"))</f>
        <v>0.68412500000000009</v>
      </c>
      <c r="E354" s="4">
        <f>IF(COUNTIFS([1]Desglose_BOM_Componentes!$B$4004:$B$4017,$A354,[1]Desglose_BOM_Componentes!$AE$4004:$AE$4017,"Sin precio",[1]Desglose_BOM_Componentes!$X$4004:$X$4017,"Empaquetado")&gt;0,"n.d.",SUMIFS([1]Desglose_BOM_Componentes!$AC$4004:$AC$4017,[1]Desglose_BOM_Componentes!$B$4004:$B$4017,$A354,[1]Desglose_BOM_Componentes!$X$4004:$X$4017,"Empaquetado"))</f>
        <v>0.23608280727404046</v>
      </c>
      <c r="F354" s="6">
        <f t="shared" si="32"/>
        <v>0.92440780727404048</v>
      </c>
      <c r="G354" s="4">
        <f>IF(COUNTIFS([1]Desglose_BOM_Componentes!$B$4004:$B$4017,$A354,[1]Desglose_BOM_Componentes!$AE$4004:$AE$4017,"Sin precio",[1]Desglose_BOM_Componentes!$X$4004:$X$4017,"Formulación")&gt;0,"n.d.",SUMIFS([1]Desglose_BOM_Componentes!$AD$4004:$AD$4017,[1]Desglose_BOM_Componentes!$B$4004:$B$4017,$A354,[1]Desglose_BOM_Componentes!$X$4004:$X$4017,"Formulación"))</f>
        <v>0.60060809523809522</v>
      </c>
      <c r="H354" s="4">
        <f>IF(COUNTIFS([1]Desglose_BOM_Componentes!$B$4004:$B$4017,$A354,[1]Desglose_BOM_Componentes!$AE$4004:$AE$4017,"Sin precio",[1]Desglose_BOM_Componentes!$X$4004:$X$4017,"Empaquetado")&gt;0,"n.d.",SUMIFS([1]Desglose_BOM_Componentes!$AD$4004:$AD$4017,[1]Desglose_BOM_Componentes!$B$4004:$B$4017,$A354,[1]Desglose_BOM_Componentes!$X$4004:$X$4017,"Empaquetado"))</f>
        <v>0.23608280727404046</v>
      </c>
      <c r="I354" s="6">
        <f t="shared" si="33"/>
        <v>0.84089090251213561</v>
      </c>
      <c r="J354" s="1" t="str">
        <f t="shared" si="31"/>
        <v>Completo</v>
      </c>
      <c r="K354" s="1">
        <f>COUNTIFS([1]Desglose_BOM_Componentes!$B$4004:$B$4017,$A354,[1]Desglose_BOM_Componentes!$AE$4004:$AE$4017,"Sin precio")</f>
        <v>0</v>
      </c>
      <c r="L354" s="1" t="str">
        <f>IF('[1]Precios componentes'!D93="Sin precio","KF78; ","")&amp;IF('[1]Precios componentes'!D13="Sin precio","AMO; ","")&amp;IF('[1]Precios componentes'!D104="Sin precio","MAL; ","")&amp;IF('[1]Precios componentes'!D80="Sin precio","GLI; ","")&amp;IF('[1]Precios componentes'!D79="Sin precio","GLBE; ","")&amp;IF('[1]Precios componentes'!D130="Sin precio","SFEL; ","")&amp;IF('[1]Precios componentes'!D121="Sin precio","RAD; ","")&amp;IF('[1]Precios componentes'!D84="Sin precio","GLUSO; ","")&amp;IF('[1]Precios componentes'!D136="Sin precio","SOBRE 20L; ","")&amp;IF('[1]Precios componentes'!D115="Sin precio","PAL; ","")&amp;IF('[1]Precios componentes'!D95="Sin precio","KIA250; ","")&amp;IF('[1]Precios componentes'!D7="Sin precio",".; ","")&amp;IF('[1]Precios componentes'!D61="Sin precio","ENV20; ","")&amp;IF('[1]Precios componentes'!D146="Sin precio","TPD61I; ","")</f>
        <v/>
      </c>
    </row>
    <row r="355" spans="1:12" ht="22" customHeight="1">
      <c r="A355" s="1" t="s">
        <v>387</v>
      </c>
      <c r="B355" s="1" t="s">
        <v>18</v>
      </c>
      <c r="C355" s="1" t="s">
        <v>24</v>
      </c>
      <c r="D355" s="4">
        <f>IF(COUNTIFS([1]Desglose_BOM_Componentes!$B$4027:$B$4037,$A355,[1]Desglose_BOM_Componentes!$AE$4027:$AE$4037,"Sin precio",[1]Desglose_BOM_Componentes!$X$4027:$X$4037,"Formulación")&gt;0,"n.d.",SUMIFS([1]Desglose_BOM_Componentes!$AC$4027:$AC$4037,[1]Desglose_BOM_Componentes!$B$4027:$B$4037,$A355,[1]Desglose_BOM_Componentes!$X$4027:$X$4037,"Formulación"))</f>
        <v>0.38912000000000002</v>
      </c>
      <c r="E355" s="4">
        <f>IF(COUNTIFS([1]Desglose_BOM_Componentes!$B$4027:$B$4037,$A355,[1]Desglose_BOM_Componentes!$AE$4027:$AE$4037,"Sin precio",[1]Desglose_BOM_Componentes!$X$4027:$X$4037,"Empaquetado")&gt;0,"n.d.",SUMIFS([1]Desglose_BOM_Componentes!$AC$4027:$AC$4037,[1]Desglose_BOM_Componentes!$B$4027:$B$4037,$A355,[1]Desglose_BOM_Componentes!$X$4027:$X$4037,"Empaquetado"))</f>
        <v>0.32773970152740589</v>
      </c>
      <c r="F355" s="6">
        <f t="shared" si="32"/>
        <v>0.72105970152740584</v>
      </c>
      <c r="G355" s="4">
        <f>IF(COUNTIFS([1]Desglose_BOM_Componentes!$B$4027:$B$4037,$A355,[1]Desglose_BOM_Componentes!$AE$4027:$AE$4037,"Sin precio",[1]Desglose_BOM_Componentes!$X$4027:$X$4037,"Formulación")&gt;0,"n.d.",SUMIFS([1]Desglose_BOM_Componentes!$AD$4027:$AD$4037,[1]Desglose_BOM_Componentes!$B$4027:$B$4037,$A355,[1]Desglose_BOM_Componentes!$X$4027:$X$4037,"Formulación"))</f>
        <v>0.38798000000000005</v>
      </c>
      <c r="H355" s="4">
        <f>IF(COUNTIFS([1]Desglose_BOM_Componentes!$B$4027:$B$4037,$A355,[1]Desglose_BOM_Componentes!$AE$4027:$AE$4037,"Sin precio",[1]Desglose_BOM_Componentes!$X$4027:$X$4037,"Empaquetado")&gt;0,"n.d.",SUMIFS([1]Desglose_BOM_Componentes!$AD$4027:$AD$4037,[1]Desglose_BOM_Componentes!$B$4027:$B$4037,$A355,[1]Desglose_BOM_Componentes!$X$4027:$X$4037,"Empaquetado"))</f>
        <v>0.32773970152740589</v>
      </c>
      <c r="I355" s="6">
        <f t="shared" si="33"/>
        <v>0.71991970152740592</v>
      </c>
      <c r="J355" s="1" t="str">
        <f t="shared" si="31"/>
        <v>Completo</v>
      </c>
      <c r="K355" s="1">
        <f>COUNTIFS([1]Desglose_BOM_Componentes!$B$4027:$B$4037,$A355,[1]Desglose_BOM_Componentes!$AE$4027:$AE$4037,"Sin precio")</f>
        <v>0</v>
      </c>
      <c r="L355" s="1" t="str">
        <f>IF('[1]Precios componentes'!D103="Sin precio","LIGNOAM; ","")&amp;IF('[1]Precios componentes'!D133="Sin precio","SMN; ","")&amp;IF('[1]Precios componentes'!D80="Sin precio","GLI; ","")&amp;IF('[1]Precios componentes'!D141="Sin precio","SZMO; ","")&amp;IF('[1]Precios componentes'!D93="Sin precio","KF78;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componentes'!D151="Sin precio","TPD63VS; ","")&amp;IF('[1]Precios componentes'!D34="Sin precio","CAG; ","")</f>
        <v/>
      </c>
    </row>
    <row r="356" spans="1:12" ht="22" customHeight="1">
      <c r="A356" s="1" t="s">
        <v>388</v>
      </c>
      <c r="B356" s="1" t="s">
        <v>18</v>
      </c>
      <c r="C356" s="1" t="s">
        <v>24</v>
      </c>
      <c r="D356" s="4">
        <f>IF(COUNTIFS([1]Desglose_BOM_Componentes!$B$4038:$B$4047,$A356,[1]Desglose_BOM_Componentes!$AE$4038:$AE$4047,"Sin precio",[1]Desglose_BOM_Componentes!$X$4038:$X$4047,"Formulación")&gt;0,"n.d.",SUMIFS([1]Desglose_BOM_Componentes!$AC$4038:$AC$4047,[1]Desglose_BOM_Componentes!$B$4038:$B$4047,$A356,[1]Desglose_BOM_Componentes!$X$4038:$X$4047,"Formulación"))</f>
        <v>0.38912000000000002</v>
      </c>
      <c r="E356" s="4">
        <f>IF(COUNTIFS([1]Desglose_BOM_Componentes!$B$4038:$B$4047,$A356,[1]Desglose_BOM_Componentes!$AE$4038:$AE$4047,"Sin precio",[1]Desglose_BOM_Componentes!$X$4038:$X$4047,"Empaquetado")&gt;0,"n.d.",SUMIFS([1]Desglose_BOM_Componentes!$AC$4038:$AC$4047,[1]Desglose_BOM_Componentes!$B$4038:$B$4047,$A356,[1]Desglose_BOM_Componentes!$X$4038:$X$4047,"Empaquetado"))</f>
        <v>0.24321450944470363</v>
      </c>
      <c r="F356" s="6">
        <f t="shared" si="32"/>
        <v>0.63653450944470369</v>
      </c>
      <c r="G356" s="4">
        <f>IF(COUNTIFS([1]Desglose_BOM_Componentes!$B$4038:$B$4047,$A356,[1]Desglose_BOM_Componentes!$AE$4038:$AE$4047,"Sin precio",[1]Desglose_BOM_Componentes!$X$4038:$X$4047,"Formulación")&gt;0,"n.d.",SUMIFS([1]Desglose_BOM_Componentes!$AD$4038:$AD$4047,[1]Desglose_BOM_Componentes!$B$4038:$B$4047,$A356,[1]Desglose_BOM_Componentes!$X$4038:$X$4047,"Formulación"))</f>
        <v>0.38798000000000005</v>
      </c>
      <c r="H356" s="4">
        <f>IF(COUNTIFS([1]Desglose_BOM_Componentes!$B$4038:$B$4047,$A356,[1]Desglose_BOM_Componentes!$AE$4038:$AE$4047,"Sin precio",[1]Desglose_BOM_Componentes!$X$4038:$X$4047,"Empaquetado")&gt;0,"n.d.",SUMIFS([1]Desglose_BOM_Componentes!$AD$4038:$AD$4047,[1]Desglose_BOM_Componentes!$B$4038:$B$4047,$A356,[1]Desglose_BOM_Componentes!$X$4038:$X$4047,"Empaquetado"))</f>
        <v>0.24321450944470363</v>
      </c>
      <c r="I356" s="6">
        <f t="shared" si="33"/>
        <v>0.63539450944470366</v>
      </c>
      <c r="J356" s="1" t="str">
        <f t="shared" si="31"/>
        <v>Completo</v>
      </c>
      <c r="K356" s="1">
        <f>COUNTIFS([1]Desglose_BOM_Componentes!$B$4038:$B$4047,$A356,[1]Desglose_BOM_Componentes!$AE$4038:$AE$4047,"Sin precio")</f>
        <v>0</v>
      </c>
      <c r="L356" s="1" t="str">
        <f>IF('[1]Precios componentes'!D103="Sin precio","LIGNOAM; ","")&amp;IF('[1]Precios componentes'!D133="Sin precio","SMN; ","")&amp;IF('[1]Precios componentes'!D80="Sin precio","GLI; ","")&amp;IF('[1]Precios componentes'!D141="Sin precio","SZMO; ","")&amp;IF('[1]Precios componentes'!D93="Sin precio","KF78;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57" spans="1:12" ht="22" customHeight="1">
      <c r="A357" s="1" t="s">
        <v>389</v>
      </c>
      <c r="B357" s="1" t="s">
        <v>18</v>
      </c>
      <c r="C357" s="1" t="s">
        <v>24</v>
      </c>
      <c r="D357" s="4">
        <f>IF(COUNTIFS([1]Desglose_BOM_Componentes!$B$4055:$B$4066,$A357,[1]Desglose_BOM_Componentes!$AE$4055:$AE$4066,"Sin precio",[1]Desglose_BOM_Componentes!$X$4055:$X$4066,"Formulación")&gt;0,"n.d.",SUMIFS([1]Desglose_BOM_Componentes!$AC$4055:$AC$4066,[1]Desglose_BOM_Componentes!$B$4055:$B$4066,$A357,[1]Desglose_BOM_Componentes!$X$4055:$X$4066,"Formulación"))</f>
        <v>1.3454199999999998</v>
      </c>
      <c r="E357" s="4">
        <f>IF(COUNTIFS([1]Desglose_BOM_Componentes!$B$4055:$B$4066,$A357,[1]Desglose_BOM_Componentes!$AE$4055:$AE$4066,"Sin precio",[1]Desglose_BOM_Componentes!$X$4055:$X$4066,"Empaquetado")&gt;0,"n.d.",SUMIFS([1]Desglose_BOM_Componentes!$AC$4055:$AC$4066,[1]Desglose_BOM_Componentes!$B$4055:$B$4066,$A357,[1]Desglose_BOM_Componentes!$X$4055:$X$4066,"Empaquetado"))</f>
        <v>1.0934479144143825</v>
      </c>
      <c r="F357" s="6">
        <f t="shared" si="32"/>
        <v>2.4430679144143825</v>
      </c>
      <c r="G357" s="4">
        <f>IF(COUNTIFS([1]Desglose_BOM_Componentes!$B$4055:$B$4066,$A357,[1]Desglose_BOM_Componentes!$AE$4055:$AE$4066,"Sin precio",[1]Desglose_BOM_Componentes!$X$4055:$X$4066,"Formulación")&gt;0,"n.d.",SUMIFS([1]Desglose_BOM_Componentes!$AD$4055:$AD$4066,[1]Desglose_BOM_Componentes!$B$4055:$B$4066,$A357,[1]Desglose_BOM_Componentes!$X$4055:$X$4066,"Formulación"))</f>
        <v>1.0153886428571428</v>
      </c>
      <c r="H357" s="4">
        <f>IF(COUNTIFS([1]Desglose_BOM_Componentes!$B$4055:$B$4066,$A357,[1]Desglose_BOM_Componentes!$AE$4055:$AE$4066,"Sin precio",[1]Desglose_BOM_Componentes!$X$4055:$X$4066,"Empaquetado")&gt;0,"n.d.",SUMIFS([1]Desglose_BOM_Componentes!$AD$4055:$AD$4066,[1]Desglose_BOM_Componentes!$B$4055:$B$4066,$A357,[1]Desglose_BOM_Componentes!$X$4055:$X$4066,"Empaquetado"))</f>
        <v>0.96281458108104911</v>
      </c>
      <c r="I357" s="6">
        <f t="shared" si="33"/>
        <v>1.9824032239381919</v>
      </c>
      <c r="J357" s="1" t="str">
        <f t="shared" si="31"/>
        <v>Completo</v>
      </c>
      <c r="K357" s="1">
        <f>COUNTIFS([1]Desglose_BOM_Componentes!$B$4055:$B$4066,$A357,[1]Desglose_BOM_Componentes!$AE$4055:$AE$4066,"Sin precio")</f>
        <v>0</v>
      </c>
      <c r="L357" s="1" t="str">
        <f>IF('[1]Precios componentes'!D11="Sin precio","AGUA; ","")&amp;IF('[1]Precios componentes'!D106="Sin precio","MEA; ","")&amp;IF('[1]Precios componentes'!D155="Sin precio","UREL; ","")&amp;IF('[1]Precios componentes'!D81="Sin precio","GLINA;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componentes'!D7="Sin precio",".; ","")&amp;IF('[1]Precios componentes'!D145="Sin precio","TPD40IV; ","")&amp;IF('[1]Precios componentes'!D60="Sin precio","ENV1D; ","")&amp;IF('[1]Precios componentes'!D94="Sin precio","KIA220; ","")</f>
        <v/>
      </c>
    </row>
    <row r="358" spans="1:12" ht="22" customHeight="1">
      <c r="A358" s="1" t="s">
        <v>390</v>
      </c>
      <c r="B358" s="1" t="s">
        <v>18</v>
      </c>
      <c r="C358" s="1" t="s">
        <v>19</v>
      </c>
      <c r="D358" s="4">
        <f>IF(COUNTIFS([1]Desglose_BOM_Componentes!$B$4067:$B$4078,$A358,[1]Desglose_BOM_Componentes!$AE$4067:$AE$4078,"Sin precio",[1]Desglose_BOM_Componentes!$X$4067:$X$4078,"Formulación")&gt;0,"n.d.",SUMIFS([1]Desglose_BOM_Componentes!$AC$4067:$AC$4078,[1]Desglose_BOM_Componentes!$B$4067:$B$4078,$A358,[1]Desglose_BOM_Componentes!$X$4067:$X$4078,"Formulación"))</f>
        <v>1.3454199999999998</v>
      </c>
      <c r="E358" s="4">
        <f>IF(COUNTIFS([1]Desglose_BOM_Componentes!$B$4067:$B$4078,$A358,[1]Desglose_BOM_Componentes!$AE$4067:$AE$4078,"Sin precio",[1]Desglose_BOM_Componentes!$X$4067:$X$4078,"Empaquetado")&gt;0,"n.d.",SUMIFS([1]Desglose_BOM_Componentes!$AC$4067:$AC$4078,[1]Desglose_BOM_Componentes!$B$4067:$B$4078,$A358,[1]Desglose_BOM_Componentes!$X$4067:$X$4078,"Empaquetado"))</f>
        <v>1.0934479144143825</v>
      </c>
      <c r="F358" s="6">
        <f t="shared" si="32"/>
        <v>2.4430679144143825</v>
      </c>
      <c r="G358" s="4">
        <f>IF(COUNTIFS([1]Desglose_BOM_Componentes!$B$4067:$B$4078,$A358,[1]Desglose_BOM_Componentes!$AE$4067:$AE$4078,"Sin precio",[1]Desglose_BOM_Componentes!$X$4067:$X$4078,"Formulación")&gt;0,"n.d.",SUMIFS([1]Desglose_BOM_Componentes!$AD$4067:$AD$4078,[1]Desglose_BOM_Componentes!$B$4067:$B$4078,$A358,[1]Desglose_BOM_Componentes!$X$4067:$X$4078,"Formulación"))</f>
        <v>1.0153886428571428</v>
      </c>
      <c r="H358" s="4">
        <f>IF(COUNTIFS([1]Desglose_BOM_Componentes!$B$4067:$B$4078,$A358,[1]Desglose_BOM_Componentes!$AE$4067:$AE$4078,"Sin precio",[1]Desglose_BOM_Componentes!$X$4067:$X$4078,"Empaquetado")&gt;0,"n.d.",SUMIFS([1]Desglose_BOM_Componentes!$AD$4067:$AD$4078,[1]Desglose_BOM_Componentes!$B$4067:$B$4078,$A358,[1]Desglose_BOM_Componentes!$X$4067:$X$4078,"Empaquetado"))</f>
        <v>0.96281458108104911</v>
      </c>
      <c r="I358" s="6">
        <f t="shared" si="33"/>
        <v>1.9824032239381919</v>
      </c>
      <c r="J358" s="1" t="str">
        <f t="shared" si="31"/>
        <v>Completo</v>
      </c>
      <c r="K358" s="1">
        <f>COUNTIFS([1]Desglose_BOM_Componentes!$B$4067:$B$4078,$A358,[1]Desglose_BOM_Componentes!$AE$4067:$AE$4078,"Sin precio")</f>
        <v>0</v>
      </c>
      <c r="L358" s="1" t="str">
        <f>IF('[1]Precios componentes'!D11="Sin precio","AGUA; ","")&amp;IF('[1]Precios componentes'!D106="Sin precio","MEA; ","")&amp;IF('[1]Precios componentes'!D155="Sin precio","UREL; ","")&amp;IF('[1]Precios componentes'!D81="Sin precio","GLINA; ","")&amp;IF('[1]Precios componentes'!D76="Sin precio","FOI; ","")&amp;IF('[1]Precios componentes'!D134="Sin precio","SOBRE 1L; ","")&amp;IF('[1]Precios componentes'!D115="Sin precio","PAL; ","")&amp;IF('[1]Precios componentes'!D33="Sin precio","C1L; ","")&amp;IF('[1]Precios componentes'!D7="Sin precio",".; ","")&amp;IF('[1]Precios componentes'!D145="Sin precio","TPD40IV; ","")&amp;IF('[1]Precios componentes'!D60="Sin precio","ENV1D; ","")&amp;IF('[1]Precios componentes'!D94="Sin precio","KIA220; ","")</f>
        <v/>
      </c>
    </row>
    <row r="359" spans="1:12" ht="22" customHeight="1">
      <c r="A359" s="1" t="s">
        <v>391</v>
      </c>
      <c r="B359" s="1" t="s">
        <v>18</v>
      </c>
      <c r="C359" s="1" t="s">
        <v>24</v>
      </c>
      <c r="D359" s="4">
        <f>IF(COUNTIFS([1]Desglose_BOM_Componentes!$B$4079:$B$4090,$A359,[1]Desglose_BOM_Componentes!$AE$4079:$AE$4090,"Sin precio",[1]Desglose_BOM_Componentes!$X$4079:$X$4090,"Formulación")&gt;0,"n.d.",SUMIFS([1]Desglose_BOM_Componentes!$AC$4079:$AC$4090,[1]Desglose_BOM_Componentes!$B$4079:$B$4090,$A359,[1]Desglose_BOM_Componentes!$X$4079:$X$4090,"Formulación"))</f>
        <v>1.3454199999999998</v>
      </c>
      <c r="E359" s="4">
        <f>IF(COUNTIFS([1]Desglose_BOM_Componentes!$B$4079:$B$4090,$A359,[1]Desglose_BOM_Componentes!$AE$4079:$AE$4090,"Sin precio",[1]Desglose_BOM_Componentes!$X$4079:$X$4090,"Empaquetado")&gt;0,"n.d.",SUMIFS([1]Desglose_BOM_Componentes!$AC$4079:$AC$4090,[1]Desglose_BOM_Componentes!$B$4079:$B$4090,$A359,[1]Desglose_BOM_Componentes!$X$4079:$X$4090,"Empaquetado"))</f>
        <v>0.3138622175274059</v>
      </c>
      <c r="F359" s="6">
        <f t="shared" si="32"/>
        <v>1.6634822175274058</v>
      </c>
      <c r="G359" s="4">
        <f>IF(COUNTIFS([1]Desglose_BOM_Componentes!$B$4079:$B$4090,$A359,[1]Desglose_BOM_Componentes!$AE$4079:$AE$4090,"Sin precio",[1]Desglose_BOM_Componentes!$X$4079:$X$4090,"Formulación")&gt;0,"n.d.",SUMIFS([1]Desglose_BOM_Componentes!$AD$4079:$AD$4090,[1]Desglose_BOM_Componentes!$B$4079:$B$4090,$A359,[1]Desglose_BOM_Componentes!$X$4079:$X$4090,"Formulación"))</f>
        <v>1.0153886428571428</v>
      </c>
      <c r="H359" s="4">
        <f>IF(COUNTIFS([1]Desglose_BOM_Componentes!$B$4079:$B$4090,$A359,[1]Desglose_BOM_Componentes!$AE$4079:$AE$4090,"Sin precio",[1]Desglose_BOM_Componentes!$X$4079:$X$4090,"Empaquetado")&gt;0,"n.d.",SUMIFS([1]Desglose_BOM_Componentes!$AD$4079:$AD$4090,[1]Desglose_BOM_Componentes!$B$4079:$B$4090,$A359,[1]Desglose_BOM_Componentes!$X$4079:$X$4090,"Empaquetado"))</f>
        <v>0.3138622175274059</v>
      </c>
      <c r="I359" s="6">
        <f t="shared" si="33"/>
        <v>1.3334508603845487</v>
      </c>
      <c r="J359" s="1" t="str">
        <f t="shared" si="31"/>
        <v>Completo</v>
      </c>
      <c r="K359" s="1">
        <f>COUNTIFS([1]Desglose_BOM_Componentes!$B$4079:$B$4090,$A359,[1]Desglose_BOM_Componentes!$AE$4079:$AE$4090,"Sin precio")</f>
        <v>0</v>
      </c>
      <c r="L359" s="1" t="str">
        <f>IF('[1]Precios componentes'!D11="Sin precio","AGUA; ","")&amp;IF('[1]Precios componentes'!D106="Sin precio","MEA; ","")&amp;IF('[1]Precios componentes'!D155="Sin precio","UREL; ","")&amp;IF('[1]Precios componentes'!D81="Sin precio","GLINA; ","")&amp;IF('[1]Precios componentes'!D76="Sin precio","FOI; ","")&amp;IF('[1]Precios componentes'!D137="Sin precio","SOBRE 5L; ","")&amp;IF('[1]Precios componentes'!D95="Sin precio","KIA250; ","")&amp;IF('[1]Precios componentes'!D115="Sin precio","PAL; ","")&amp;IF('[1]Precios componentes'!D149="Sin precio","TPD63I; ","")&amp;IF('[1]Precios componentes'!D63="Sin precio","ENV5220G; ","")&amp;IF('[1]Precios componentes'!D7="Sin precio",".; ","")&amp;IF('[1]Precios componentes'!D34="Sin precio","CAG; ","")</f>
        <v/>
      </c>
    </row>
    <row r="360" spans="1:12" ht="22" customHeight="1">
      <c r="A360" s="1" t="s">
        <v>392</v>
      </c>
      <c r="B360" s="1" t="s">
        <v>18</v>
      </c>
      <c r="C360" s="1" t="s">
        <v>26</v>
      </c>
      <c r="D360" s="4">
        <f>IF(COUNTIFS([1]Desglose_BOM_Componentes!$B$4091:$B$4102,$A360,[1]Desglose_BOM_Componentes!$AE$4091:$AE$4102,"Sin precio",[1]Desglose_BOM_Componentes!$X$4091:$X$4102,"Formulación")&gt;0,"n.d.",SUMIFS([1]Desglose_BOM_Componentes!$AC$4091:$AC$4102,[1]Desglose_BOM_Componentes!$B$4091:$B$4102,$A360,[1]Desglose_BOM_Componentes!$X$4091:$X$4102,"Formulación"))</f>
        <v>1.3454199999999998</v>
      </c>
      <c r="E360" s="4">
        <f>IF(COUNTIFS([1]Desglose_BOM_Componentes!$B$4091:$B$4102,$A360,[1]Desglose_BOM_Componentes!$AE$4091:$AE$4102,"Sin precio",[1]Desglose_BOM_Componentes!$X$4091:$X$4102,"Empaquetado")&gt;0,"n.d.",SUMIFS([1]Desglose_BOM_Componentes!$AC$4091:$AC$4102,[1]Desglose_BOM_Componentes!$B$4091:$B$4102,$A360,[1]Desglose_BOM_Componentes!$X$4091:$X$4102,"Empaquetado"))</f>
        <v>0.3138622175274059</v>
      </c>
      <c r="F360" s="6">
        <f t="shared" si="32"/>
        <v>1.6634822175274058</v>
      </c>
      <c r="G360" s="4">
        <f>IF(COUNTIFS([1]Desglose_BOM_Componentes!$B$4091:$B$4102,$A360,[1]Desglose_BOM_Componentes!$AE$4091:$AE$4102,"Sin precio",[1]Desglose_BOM_Componentes!$X$4091:$X$4102,"Formulación")&gt;0,"n.d.",SUMIFS([1]Desglose_BOM_Componentes!$AD$4091:$AD$4102,[1]Desglose_BOM_Componentes!$B$4091:$B$4102,$A360,[1]Desglose_BOM_Componentes!$X$4091:$X$4102,"Formulación"))</f>
        <v>1.0153886428571428</v>
      </c>
      <c r="H360" s="4">
        <f>IF(COUNTIFS([1]Desglose_BOM_Componentes!$B$4091:$B$4102,$A360,[1]Desglose_BOM_Componentes!$AE$4091:$AE$4102,"Sin precio",[1]Desglose_BOM_Componentes!$X$4091:$X$4102,"Empaquetado")&gt;0,"n.d.",SUMIFS([1]Desglose_BOM_Componentes!$AD$4091:$AD$4102,[1]Desglose_BOM_Componentes!$B$4091:$B$4102,$A360,[1]Desglose_BOM_Componentes!$X$4091:$X$4102,"Empaquetado"))</f>
        <v>0.3138622175274059</v>
      </c>
      <c r="I360" s="6">
        <f t="shared" si="33"/>
        <v>1.3334508603845487</v>
      </c>
      <c r="J360" s="1" t="str">
        <f t="shared" si="31"/>
        <v>Completo</v>
      </c>
      <c r="K360" s="1">
        <f>COUNTIFS([1]Desglose_BOM_Componentes!$B$4091:$B$4102,$A360,[1]Desglose_BOM_Componentes!$AE$4091:$AE$4102,"Sin precio")</f>
        <v>0</v>
      </c>
      <c r="L360" s="1" t="str">
        <f>IF('[1]Precios componentes'!D11="Sin precio","AGUA; ","")&amp;IF('[1]Precios componentes'!D106="Sin precio","MEA; ","")&amp;IF('[1]Precios componentes'!D155="Sin precio","UREL; ","")&amp;IF('[1]Precios componentes'!D81="Sin precio","GLINA; ","")&amp;IF('[1]Precios componentes'!D76="Sin precio","FOI; ","")&amp;IF('[1]Precios componentes'!D137="Sin precio","SOBRE 5L; ","")&amp;IF('[1]Precios componentes'!D95="Sin precio","KIA250; ","")&amp;IF('[1]Precios componentes'!D115="Sin precio","PAL; ","")&amp;IF('[1]Precios componentes'!D149="Sin precio","TPD63I; ","")&amp;IF('[1]Precios componentes'!D63="Sin precio","ENV5220G; ","")&amp;IF('[1]Precios componentes'!D7="Sin precio",".; ","")&amp;IF('[1]Precios componentes'!D34="Sin precio","CAG; ","")</f>
        <v/>
      </c>
    </row>
    <row r="361" spans="1:12" ht="22" customHeight="1">
      <c r="A361" s="1" t="s">
        <v>393</v>
      </c>
      <c r="B361" s="1" t="s">
        <v>18</v>
      </c>
      <c r="C361" s="1" t="s">
        <v>24</v>
      </c>
      <c r="D361" s="4">
        <f>IF(COUNTIFS([1]Desglose_BOM_Componentes!$B$4103:$B$4113,$A361,[1]Desglose_BOM_Componentes!$AE$4103:$AE$4113,"Sin precio",[1]Desglose_BOM_Componentes!$X$4103:$X$4113,"Formulación")&gt;0,"n.d.",SUMIFS([1]Desglose_BOM_Componentes!$AC$4103:$AC$4113,[1]Desglose_BOM_Componentes!$B$4103:$B$4113,$A361,[1]Desglose_BOM_Componentes!$X$4103:$X$4113,"Formulación"))</f>
        <v>1.3454199999999998</v>
      </c>
      <c r="E361" s="4">
        <f>IF(COUNTIFS([1]Desglose_BOM_Componentes!$B$4103:$B$4113,$A361,[1]Desglose_BOM_Componentes!$AE$4103:$AE$4113,"Sin precio",[1]Desglose_BOM_Componentes!$X$4103:$X$4113,"Empaquetado")&gt;0,"n.d.",SUMIFS([1]Desglose_BOM_Componentes!$AC$4103:$AC$4113,[1]Desglose_BOM_Componentes!$B$4103:$B$4113,$A361,[1]Desglose_BOM_Componentes!$X$4103:$X$4113,"Empaquetado"))</f>
        <v>0.24771450944470363</v>
      </c>
      <c r="F361" s="6">
        <f t="shared" si="32"/>
        <v>1.5973345094447033</v>
      </c>
      <c r="G361" s="4">
        <f>IF(COUNTIFS([1]Desglose_BOM_Componentes!$B$4103:$B$4113,$A361,[1]Desglose_BOM_Componentes!$AE$4103:$AE$4113,"Sin precio",[1]Desglose_BOM_Componentes!$X$4103:$X$4113,"Formulación")&gt;0,"n.d.",SUMIFS([1]Desglose_BOM_Componentes!$AD$4103:$AD$4113,[1]Desglose_BOM_Componentes!$B$4103:$B$4113,$A361,[1]Desglose_BOM_Componentes!$X$4103:$X$4113,"Formulación"))</f>
        <v>1.0153886428571428</v>
      </c>
      <c r="H361" s="4">
        <f>IF(COUNTIFS([1]Desglose_BOM_Componentes!$B$4103:$B$4113,$A361,[1]Desglose_BOM_Componentes!$AE$4103:$AE$4113,"Sin precio",[1]Desglose_BOM_Componentes!$X$4103:$X$4113,"Empaquetado")&gt;0,"n.d.",SUMIFS([1]Desglose_BOM_Componentes!$AD$4103:$AD$4113,[1]Desglose_BOM_Componentes!$B$4103:$B$4113,$A361,[1]Desglose_BOM_Componentes!$X$4103:$X$4113,"Empaquetado"))</f>
        <v>0.24771450944470363</v>
      </c>
      <c r="I361" s="6">
        <f t="shared" si="33"/>
        <v>1.2673031523018463</v>
      </c>
      <c r="J361" s="1" t="str">
        <f t="shared" si="31"/>
        <v>Completo</v>
      </c>
      <c r="K361" s="1">
        <f>COUNTIFS([1]Desglose_BOM_Componentes!$B$4103:$B$4113,$A361,[1]Desglose_BOM_Componentes!$AE$4103:$AE$4113,"Sin precio")</f>
        <v>0</v>
      </c>
      <c r="L361" s="1" t="str">
        <f>IF('[1]Precios componentes'!D11="Sin precio","AGUA; ","")&amp;IF('[1]Precios componentes'!D106="Sin precio","MEA; ","")&amp;IF('[1]Precios componentes'!D155="Sin precio","UREL; ","")&amp;IF('[1]Precios componentes'!D81="Sin precio","GLINA;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componentes'!D7="Sin precio",".; ","")&amp;IF('[1]Precios componentes'!D61="Sin precio","ENV20; ","")&amp;IF('[1]Precios componentes'!D148="Sin precio","TPD61VS; ","")</f>
        <v/>
      </c>
    </row>
    <row r="362" spans="1:12" ht="22" customHeight="1">
      <c r="A362" s="1" t="s">
        <v>394</v>
      </c>
      <c r="B362" s="1" t="s">
        <v>18</v>
      </c>
      <c r="C362" s="1" t="s">
        <v>26</v>
      </c>
      <c r="D362" s="4">
        <f>IF(COUNTIFS([1]Desglose_BOM_Componentes!$B$4114:$B$4124,$A362,[1]Desglose_BOM_Componentes!$AE$4114:$AE$4124,"Sin precio",[1]Desglose_BOM_Componentes!$X$4114:$X$4124,"Formulación")&gt;0,"n.d.",SUMIFS([1]Desglose_BOM_Componentes!$AC$4114:$AC$4124,[1]Desglose_BOM_Componentes!$B$4114:$B$4124,$A362,[1]Desglose_BOM_Componentes!$X$4114:$X$4124,"Formulación"))</f>
        <v>1.3454199999999998</v>
      </c>
      <c r="E362" s="4">
        <f>IF(COUNTIFS([1]Desglose_BOM_Componentes!$B$4114:$B$4124,$A362,[1]Desglose_BOM_Componentes!$AE$4114:$AE$4124,"Sin precio",[1]Desglose_BOM_Componentes!$X$4114:$X$4124,"Empaquetado")&gt;0,"n.d.",SUMIFS([1]Desglose_BOM_Componentes!$AC$4114:$AC$4124,[1]Desglose_BOM_Componentes!$B$4114:$B$4124,$A362,[1]Desglose_BOM_Componentes!$X$4114:$X$4124,"Empaquetado"))</f>
        <v>0.24771450944470363</v>
      </c>
      <c r="F362" s="6">
        <f t="shared" si="32"/>
        <v>1.5973345094447033</v>
      </c>
      <c r="G362" s="4">
        <f>IF(COUNTIFS([1]Desglose_BOM_Componentes!$B$4114:$B$4124,$A362,[1]Desglose_BOM_Componentes!$AE$4114:$AE$4124,"Sin precio",[1]Desglose_BOM_Componentes!$X$4114:$X$4124,"Formulación")&gt;0,"n.d.",SUMIFS([1]Desglose_BOM_Componentes!$AD$4114:$AD$4124,[1]Desglose_BOM_Componentes!$B$4114:$B$4124,$A362,[1]Desglose_BOM_Componentes!$X$4114:$X$4124,"Formulación"))</f>
        <v>1.0153886428571428</v>
      </c>
      <c r="H362" s="4">
        <f>IF(COUNTIFS([1]Desglose_BOM_Componentes!$B$4114:$B$4124,$A362,[1]Desglose_BOM_Componentes!$AE$4114:$AE$4124,"Sin precio",[1]Desglose_BOM_Componentes!$X$4114:$X$4124,"Empaquetado")&gt;0,"n.d.",SUMIFS([1]Desglose_BOM_Componentes!$AD$4114:$AD$4124,[1]Desglose_BOM_Componentes!$B$4114:$B$4124,$A362,[1]Desglose_BOM_Componentes!$X$4114:$X$4124,"Empaquetado"))</f>
        <v>0.24771450944470363</v>
      </c>
      <c r="I362" s="6">
        <f t="shared" si="33"/>
        <v>1.2673031523018463</v>
      </c>
      <c r="J362" s="1" t="str">
        <f t="shared" si="31"/>
        <v>Completo</v>
      </c>
      <c r="K362" s="1">
        <f>COUNTIFS([1]Desglose_BOM_Componentes!$B$4114:$B$4124,$A362,[1]Desglose_BOM_Componentes!$AE$4114:$AE$4124,"Sin precio")</f>
        <v>0</v>
      </c>
      <c r="L362" s="1" t="str">
        <f>IF('[1]Precios componentes'!D11="Sin precio","AGUA; ","")&amp;IF('[1]Precios componentes'!D106="Sin precio","MEA; ","")&amp;IF('[1]Precios componentes'!D155="Sin precio","UREL; ","")&amp;IF('[1]Precios componentes'!D81="Sin precio","GLINA;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componentes'!D7="Sin precio",".; ","")&amp;IF('[1]Precios componentes'!D61="Sin precio","ENV20; ","")&amp;IF('[1]Precios componentes'!D148="Sin precio","TPD61VS; ","")</f>
        <v/>
      </c>
    </row>
    <row r="363" spans="1:12" ht="22" customHeight="1">
      <c r="A363" s="1" t="s">
        <v>395</v>
      </c>
      <c r="B363" s="1" t="s">
        <v>18</v>
      </c>
      <c r="C363" s="1" t="s">
        <v>24</v>
      </c>
      <c r="D363" s="4">
        <f>IF(COUNTIFS([1]Desglose_BOM_Componentes!$B$4125:$B$4137,$A363,[1]Desglose_BOM_Componentes!$AE$4125:$AE$4137,"Sin precio",[1]Desglose_BOM_Componentes!$X$4125:$X$4137,"Formulación")&gt;0,"n.d.",SUMIFS([1]Desglose_BOM_Componentes!$AC$4125:$AC$4137,[1]Desglose_BOM_Componentes!$B$4125:$B$4137,$A363,[1]Desglose_BOM_Componentes!$X$4125:$X$4137,"Formulación"))</f>
        <v>0.56299700000000008</v>
      </c>
      <c r="E363" s="4">
        <f>IF(COUNTIFS([1]Desglose_BOM_Componentes!$B$4125:$B$4137,$A363,[1]Desglose_BOM_Componentes!$AE$4125:$AE$4137,"Sin precio",[1]Desglose_BOM_Componentes!$X$4125:$X$4137,"Empaquetado")&gt;0,"n.d.",SUMIFS([1]Desglose_BOM_Componentes!$AC$4125:$AC$4137,[1]Desglose_BOM_Componentes!$B$4125:$B$4137,$A363,[1]Desglose_BOM_Componentes!$X$4125:$X$4137,"Empaquetado"))</f>
        <v>0.33284480152740586</v>
      </c>
      <c r="F363" s="6">
        <f t="shared" si="32"/>
        <v>0.90004180152740587</v>
      </c>
      <c r="G363" s="4">
        <f>IF(COUNTIFS([1]Desglose_BOM_Componentes!$B$4125:$B$4137,$A363,[1]Desglose_BOM_Componentes!$AE$4125:$AE$4137,"Sin precio",[1]Desglose_BOM_Componentes!$X$4125:$X$4137,"Formulación")&gt;0,"n.d.",SUMIFS([1]Desglose_BOM_Componentes!$AD$4125:$AD$4137,[1]Desglose_BOM_Componentes!$B$4125:$B$4137,$A363,[1]Desglose_BOM_Componentes!$X$4125:$X$4137,"Formulación"))</f>
        <v>0.4902806666666667</v>
      </c>
      <c r="H363" s="4">
        <f>IF(COUNTIFS([1]Desglose_BOM_Componentes!$B$4125:$B$4137,$A363,[1]Desglose_BOM_Componentes!$AE$4125:$AE$4137,"Sin precio",[1]Desglose_BOM_Componentes!$X$4125:$X$4137,"Empaquetado")&gt;0,"n.d.",SUMIFS([1]Desglose_BOM_Componentes!$AD$4125:$AD$4137,[1]Desglose_BOM_Componentes!$B$4125:$B$4137,$A363,[1]Desglose_BOM_Componentes!$X$4125:$X$4137,"Empaquetado"))</f>
        <v>0.33284480152740586</v>
      </c>
      <c r="I363" s="6">
        <f t="shared" si="33"/>
        <v>0.82732546819407249</v>
      </c>
      <c r="J363" s="1" t="str">
        <f t="shared" si="31"/>
        <v>Completo</v>
      </c>
      <c r="K363" s="1">
        <f>COUNTIFS([1]Desglose_BOM_Componentes!$B$4125:$B$4137,$A363,[1]Desglose_BOM_Componentes!$AE$4125:$AE$4137,"Sin precio")</f>
        <v>0</v>
      </c>
      <c r="L363" s="1" t="str">
        <f>IF('[1]Precios componentes'!D80="Sin precio","GLI; ","")&amp;IF('[1]Precios componentes'!D72="Sin precio","FMA; ","")&amp;IF('[1]Precios componentes'!D109="Sin precio","NAM; ","")&amp;IF('[1]Precios componentes'!D103="Sin precio","LIGNOAM; ","")&amp;IF('[1]Precios componentes'!D93="Sin precio","KF78; ","")&amp;IF('[1]Precios componentes'!D155="Sin precio","UREL; ","")&amp;IF('[1]Precios componentes'!D76="Sin precio","FOI; ","")&amp;IF('[1]Precios componentes'!D137="Sin precio","SOBRE 5L; ","")&amp;IF('[1]Precios componentes'!D95="Sin precio","KIA250; ","")&amp;IF('[1]Precios componentes'!D115="Sin precio","PAL; ","")&amp;IF('[1]Precios componentes'!D63="Sin precio","ENV5220G; ","")&amp;IF('[1]Precios componentes'!D151="Sin precio","TPD63VS; ","")&amp;IF('[1]Precios componentes'!D34="Sin precio","CAG; ","")</f>
        <v/>
      </c>
    </row>
    <row r="364" spans="1:12" ht="22" customHeight="1">
      <c r="A364" s="1" t="s">
        <v>396</v>
      </c>
      <c r="B364" s="1" t="s">
        <v>18</v>
      </c>
      <c r="C364" s="1" t="s">
        <v>24</v>
      </c>
      <c r="D364" s="4">
        <f>IF(COUNTIFS([1]Desglose_BOM_Componentes!$B$4138:$B$4149,$A364,[1]Desglose_BOM_Componentes!$AE$4138:$AE$4149,"Sin precio",[1]Desglose_BOM_Componentes!$X$4138:$X$4149,"Formulación")&gt;0,"n.d.",SUMIFS([1]Desglose_BOM_Componentes!$AC$4138:$AC$4149,[1]Desglose_BOM_Componentes!$B$4138:$B$4149,$A364,[1]Desglose_BOM_Componentes!$X$4138:$X$4149,"Formulación"))</f>
        <v>0.56299700000000008</v>
      </c>
      <c r="E364" s="4">
        <f>IF(COUNTIFS([1]Desglose_BOM_Componentes!$B$4138:$B$4149,$A364,[1]Desglose_BOM_Componentes!$AE$4138:$AE$4149,"Sin precio",[1]Desglose_BOM_Componentes!$X$4138:$X$4149,"Empaquetado")&gt;0,"n.d.",SUMIFS([1]Desglose_BOM_Componentes!$AC$4138:$AC$4149,[1]Desglose_BOM_Componentes!$B$4138:$B$4149,$A364,[1]Desglose_BOM_Componentes!$X$4138:$X$4149,"Empaquetado"))</f>
        <v>0.24059068544470363</v>
      </c>
      <c r="F364" s="6">
        <f t="shared" si="32"/>
        <v>0.8077876854447037</v>
      </c>
      <c r="G364" s="4">
        <f>IF(COUNTIFS([1]Desglose_BOM_Componentes!$B$4138:$B$4149,$A364,[1]Desglose_BOM_Componentes!$AE$4138:$AE$4149,"Sin precio",[1]Desglose_BOM_Componentes!$X$4138:$X$4149,"Formulación")&gt;0,"n.d.",SUMIFS([1]Desglose_BOM_Componentes!$AD$4138:$AD$4149,[1]Desglose_BOM_Componentes!$B$4138:$B$4149,$A364,[1]Desglose_BOM_Componentes!$X$4138:$X$4149,"Formulación"))</f>
        <v>0.4902806666666667</v>
      </c>
      <c r="H364" s="4">
        <f>IF(COUNTIFS([1]Desglose_BOM_Componentes!$B$4138:$B$4149,$A364,[1]Desglose_BOM_Componentes!$AE$4138:$AE$4149,"Sin precio",[1]Desglose_BOM_Componentes!$X$4138:$X$4149,"Empaquetado")&gt;0,"n.d.",SUMIFS([1]Desglose_BOM_Componentes!$AD$4138:$AD$4149,[1]Desglose_BOM_Componentes!$B$4138:$B$4149,$A364,[1]Desglose_BOM_Componentes!$X$4138:$X$4149,"Empaquetado"))</f>
        <v>0.24059068544470363</v>
      </c>
      <c r="I364" s="6">
        <f t="shared" si="33"/>
        <v>0.73507135211137031</v>
      </c>
      <c r="J364" s="1" t="str">
        <f t="shared" si="31"/>
        <v>Completo</v>
      </c>
      <c r="K364" s="1">
        <f>COUNTIFS([1]Desglose_BOM_Componentes!$B$4138:$B$4149,$A364,[1]Desglose_BOM_Componentes!$AE$4138:$AE$4149,"Sin precio")</f>
        <v>0</v>
      </c>
      <c r="L364" s="1" t="str">
        <f>IF('[1]Precios componentes'!D80="Sin precio","GLI; ","")&amp;IF('[1]Precios componentes'!D72="Sin precio","FMA; ","")&amp;IF('[1]Precios componentes'!D109="Sin precio","NAM; ","")&amp;IF('[1]Precios componentes'!D103="Sin precio","LIGNOAM; ","")&amp;IF('[1]Precios componentes'!D93="Sin precio","KF78; ","")&amp;IF('[1]Precios componentes'!D155="Sin precio","UREL; ","")&amp;IF('[1]Precios componentes'!D76="Sin precio","FOI;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65" spans="1:12" ht="22" customHeight="1">
      <c r="A365" s="1" t="s">
        <v>397</v>
      </c>
      <c r="B365" s="1" t="s">
        <v>18</v>
      </c>
      <c r="C365" s="1" t="s">
        <v>69</v>
      </c>
      <c r="D365" s="4">
        <f>IF(COUNTIFS([1]Desglose_BOM_Componentes!$B$4163:$B$4171,$A365,[1]Desglose_BOM_Componentes!$AE$4163:$AE$4171,"Sin precio",[1]Desglose_BOM_Componentes!$X$4163:$X$4171,"Formulación")&gt;0,"n.d.",SUMIFS([1]Desglose_BOM_Componentes!$AC$4163:$AC$4171,[1]Desglose_BOM_Componentes!$B$4163:$B$4171,$A365,[1]Desglose_BOM_Componentes!$X$4163:$X$4171,"Formulación"))</f>
        <v>1.4339560000000002</v>
      </c>
      <c r="E365" s="4">
        <f>IF(COUNTIFS([1]Desglose_BOM_Componentes!$B$4163:$B$4171,$A365,[1]Desglose_BOM_Componentes!$AE$4163:$AE$4171,"Sin precio",[1]Desglose_BOM_Componentes!$X$4163:$X$4171,"Empaquetado")&gt;0,"n.d.",SUMIFS([1]Desglose_BOM_Componentes!$AC$4163:$AC$4171,[1]Desglose_BOM_Componentes!$B$4163:$B$4171,$A365,[1]Desglose_BOM_Componentes!$X$4163:$X$4171,"Empaquetado"))</f>
        <v>0.75344791441438252</v>
      </c>
      <c r="F365" s="6">
        <f t="shared" si="32"/>
        <v>2.1916039144143826</v>
      </c>
      <c r="G365" s="4">
        <f>IF(COUNTIFS([1]Desglose_BOM_Componentes!$B$4163:$B$4171,$A365,[1]Desglose_BOM_Componentes!$AE$4163:$AE$4171,"Sin precio",[1]Desglose_BOM_Componentes!$X$4163:$X$4171,"Formulación")&gt;0,"n.d.",SUMIFS([1]Desglose_BOM_Componentes!$AD$4163:$AD$4171,[1]Desglose_BOM_Componentes!$B$4163:$B$4171,$A365,[1]Desglose_BOM_Componentes!$X$4163:$X$4171,"Formulación"))</f>
        <v>1.3362417142857144</v>
      </c>
      <c r="H365" s="4">
        <f>IF(COUNTIFS([1]Desglose_BOM_Componentes!$B$4163:$B$4171,$A365,[1]Desglose_BOM_Componentes!$AE$4163:$AE$4171,"Sin precio",[1]Desglose_BOM_Componentes!$X$4163:$X$4171,"Empaquetado")&gt;0,"n.d.",SUMIFS([1]Desglose_BOM_Componentes!$AD$4163:$AD$4171,[1]Desglose_BOM_Componentes!$B$4163:$B$4171,$A365,[1]Desglose_BOM_Componentes!$X$4163:$X$4171,"Empaquetado"))</f>
        <v>0.75344791441438252</v>
      </c>
      <c r="I365" s="6">
        <f t="shared" si="33"/>
        <v>2.0938896287000968</v>
      </c>
      <c r="J365" s="1" t="str">
        <f t="shared" si="31"/>
        <v>Completo</v>
      </c>
      <c r="K365" s="1">
        <f>COUNTIFS([1]Desglose_BOM_Componentes!$B$4163:$B$4171,$A365,[1]Desglose_BOM_Componentes!$AE$4163:$AE$4171,"Sin precio")</f>
        <v>0</v>
      </c>
      <c r="L365" s="1" t="str">
        <f>IF('[1]Precios componentes'!D155="Sin precio","UREL; ","")&amp;IF('[1]Precios componentes'!D77="Sin precio","FOP; ","")&amp;IF('[1]Precios componentes'!D9="Sin precio","ACIT;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66" spans="1:12" ht="22" customHeight="1">
      <c r="A366" s="1" t="s">
        <v>398</v>
      </c>
      <c r="B366" s="1" t="s">
        <v>18</v>
      </c>
      <c r="C366" s="1" t="s">
        <v>19</v>
      </c>
      <c r="D366" s="4">
        <f>IF(COUNTIFS([1]Desglose_BOM_Componentes!$B$4172:$B$4180,$A366,[1]Desglose_BOM_Componentes!$AE$4172:$AE$4180,"Sin precio",[1]Desglose_BOM_Componentes!$X$4172:$X$4180,"Formulación")&gt;0,"n.d.",SUMIFS([1]Desglose_BOM_Componentes!$AC$4172:$AC$4180,[1]Desglose_BOM_Componentes!$B$4172:$B$4180,$A366,[1]Desglose_BOM_Componentes!$X$4172:$X$4180,"Formulación"))</f>
        <v>1.4339560000000002</v>
      </c>
      <c r="E366" s="4">
        <f>IF(COUNTIFS([1]Desglose_BOM_Componentes!$B$4172:$B$4180,$A366,[1]Desglose_BOM_Componentes!$AE$4172:$AE$4180,"Sin precio",[1]Desglose_BOM_Componentes!$X$4172:$X$4180,"Empaquetado")&gt;0,"n.d.",SUMIFS([1]Desglose_BOM_Componentes!$AC$4172:$AC$4180,[1]Desglose_BOM_Componentes!$B$4172:$B$4180,$A366,[1]Desglose_BOM_Componentes!$X$4172:$X$4180,"Empaquetado"))</f>
        <v>0.75344791441438252</v>
      </c>
      <c r="F366" s="6">
        <f t="shared" si="32"/>
        <v>2.1916039144143826</v>
      </c>
      <c r="G366" s="4">
        <f>IF(COUNTIFS([1]Desglose_BOM_Componentes!$B$4172:$B$4180,$A366,[1]Desglose_BOM_Componentes!$AE$4172:$AE$4180,"Sin precio",[1]Desglose_BOM_Componentes!$X$4172:$X$4180,"Formulación")&gt;0,"n.d.",SUMIFS([1]Desglose_BOM_Componentes!$AD$4172:$AD$4180,[1]Desglose_BOM_Componentes!$B$4172:$B$4180,$A366,[1]Desglose_BOM_Componentes!$X$4172:$X$4180,"Formulación"))</f>
        <v>1.3362417142857144</v>
      </c>
      <c r="H366" s="4">
        <f>IF(COUNTIFS([1]Desglose_BOM_Componentes!$B$4172:$B$4180,$A366,[1]Desglose_BOM_Componentes!$AE$4172:$AE$4180,"Sin precio",[1]Desglose_BOM_Componentes!$X$4172:$X$4180,"Empaquetado")&gt;0,"n.d.",SUMIFS([1]Desglose_BOM_Componentes!$AD$4172:$AD$4180,[1]Desglose_BOM_Componentes!$B$4172:$B$4180,$A366,[1]Desglose_BOM_Componentes!$X$4172:$X$4180,"Empaquetado"))</f>
        <v>0.75344791441438252</v>
      </c>
      <c r="I366" s="6">
        <f t="shared" si="33"/>
        <v>2.0938896287000968</v>
      </c>
      <c r="J366" s="1" t="str">
        <f t="shared" si="31"/>
        <v>Completo</v>
      </c>
      <c r="K366" s="1">
        <f>COUNTIFS([1]Desglose_BOM_Componentes!$B$4172:$B$4180,$A366,[1]Desglose_BOM_Componentes!$AE$4172:$AE$4180,"Sin precio")</f>
        <v>0</v>
      </c>
      <c r="L366" s="1" t="str">
        <f>IF('[1]Precios componentes'!D155="Sin precio","UREL; ","")&amp;IF('[1]Precios componentes'!D77="Sin precio","FOP; ","")&amp;IF('[1]Precios componentes'!D9="Sin precio","ACIT;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67" spans="1:12" ht="22" customHeight="1">
      <c r="A367" s="1" t="s">
        <v>399</v>
      </c>
      <c r="B367" s="1" t="s">
        <v>18</v>
      </c>
      <c r="C367" s="1" t="s">
        <v>24</v>
      </c>
      <c r="D367" s="4">
        <f>IF(COUNTIFS([1]Desglose_BOM_Componentes!$B$4181:$B$4189,$A367,[1]Desglose_BOM_Componentes!$AE$4181:$AE$4189,"Sin precio",[1]Desglose_BOM_Componentes!$X$4181:$X$4189,"Formulación")&gt;0,"n.d.",SUMIFS([1]Desglose_BOM_Componentes!$AC$4181:$AC$4189,[1]Desglose_BOM_Componentes!$B$4181:$B$4189,$A367,[1]Desglose_BOM_Componentes!$X$4181:$X$4189,"Formulación"))</f>
        <v>1.4339560000000002</v>
      </c>
      <c r="E367" s="4">
        <f>IF(COUNTIFS([1]Desglose_BOM_Componentes!$B$4181:$B$4189,$A367,[1]Desglose_BOM_Componentes!$AE$4181:$AE$4189,"Sin precio",[1]Desglose_BOM_Componentes!$X$4181:$X$4189,"Empaquetado")&gt;0,"n.d.",SUMIFS([1]Desglose_BOM_Componentes!$AC$4181:$AC$4189,[1]Desglose_BOM_Componentes!$B$4181:$B$4189,$A367,[1]Desglose_BOM_Componentes!$X$4181:$X$4189,"Empaquetado"))</f>
        <v>0.30413970152740588</v>
      </c>
      <c r="F367" s="6">
        <f t="shared" si="32"/>
        <v>1.7422957015274061</v>
      </c>
      <c r="G367" s="4">
        <f>IF(COUNTIFS([1]Desglose_BOM_Componentes!$B$4181:$B$4189,$A367,[1]Desglose_BOM_Componentes!$AE$4181:$AE$4189,"Sin precio",[1]Desglose_BOM_Componentes!$X$4181:$X$4189,"Formulación")&gt;0,"n.d.",SUMIFS([1]Desglose_BOM_Componentes!$AD$4181:$AD$4189,[1]Desglose_BOM_Componentes!$B$4181:$B$4189,$A367,[1]Desglose_BOM_Componentes!$X$4181:$X$4189,"Formulación"))</f>
        <v>1.3362417142857144</v>
      </c>
      <c r="H367" s="4">
        <f>IF(COUNTIFS([1]Desglose_BOM_Componentes!$B$4181:$B$4189,$A367,[1]Desglose_BOM_Componentes!$AE$4181:$AE$4189,"Sin precio",[1]Desglose_BOM_Componentes!$X$4181:$X$4189,"Empaquetado")&gt;0,"n.d.",SUMIFS([1]Desglose_BOM_Componentes!$AD$4181:$AD$4189,[1]Desglose_BOM_Componentes!$B$4181:$B$4189,$A367,[1]Desglose_BOM_Componentes!$X$4181:$X$4189,"Empaquetado"))</f>
        <v>0.30413970152740588</v>
      </c>
      <c r="I367" s="6">
        <f t="shared" si="33"/>
        <v>1.6445814158131202</v>
      </c>
      <c r="J367" s="1" t="str">
        <f t="shared" si="31"/>
        <v>Completo</v>
      </c>
      <c r="K367" s="1">
        <f>COUNTIFS([1]Desglose_BOM_Componentes!$B$4181:$B$4189,$A367,[1]Desglose_BOM_Componentes!$AE$4181:$AE$4189,"Sin precio")</f>
        <v>0</v>
      </c>
      <c r="L367" s="1" t="str">
        <f>IF('[1]Precios componentes'!D155="Sin precio","UREL; ","")&amp;IF('[1]Precios componentes'!D77="Sin precio","FOP; ","")&amp;IF('[1]Precios componentes'!D9="Sin precio","ACIT; ","")&amp;IF('[1]Precios componentes'!D137="Sin precio","SOBRE 5L; ","")&amp;IF('[1]Precios componentes'!D95="Sin precio","KIA250; ","")&amp;IF('[1]Precios componentes'!D115="Sin precio","PAL; ","")&amp;IF('[1]Precios componentes'!D149="Sin precio","TPD63I; ","")&amp;IF('[1]Precios componentes'!D63="Sin precio","ENV5220G; ","")&amp;IF('[1]Precios componentes'!D34="Sin precio","CAG; ","")</f>
        <v/>
      </c>
    </row>
    <row r="368" spans="1:12" ht="22" customHeight="1">
      <c r="A368" s="1" t="s">
        <v>400</v>
      </c>
      <c r="B368" s="1" t="s">
        <v>18</v>
      </c>
      <c r="C368" s="1" t="s">
        <v>19</v>
      </c>
      <c r="D368" s="4">
        <f>IF(COUNTIFS([1]Desglose_BOM_Componentes!$B$4190:$B$4197,$A368,[1]Desglose_BOM_Componentes!$AE$4190:$AE$4197,"Sin precio",[1]Desglose_BOM_Componentes!$X$4190:$X$4197,"Formulación")&gt;0,"n.d.",SUMIFS([1]Desglose_BOM_Componentes!$AC$4190:$AC$4197,[1]Desglose_BOM_Componentes!$B$4190:$B$4197,$A368,[1]Desglose_BOM_Componentes!$X$4190:$X$4197,"Formulación"))</f>
        <v>1.4339560000000002</v>
      </c>
      <c r="E368" s="4">
        <f>IF(COUNTIFS([1]Desglose_BOM_Componentes!$B$4190:$B$4197,$A368,[1]Desglose_BOM_Componentes!$AE$4190:$AE$4197,"Sin precio",[1]Desglose_BOM_Componentes!$X$4190:$X$4197,"Empaquetado")&gt;0,"n.d.",SUMIFS([1]Desglose_BOM_Componentes!$AC$4190:$AC$4197,[1]Desglose_BOM_Componentes!$B$4190:$B$4197,$A368,[1]Desglose_BOM_Componentes!$X$4190:$X$4197,"Empaquetado"))</f>
        <v>0.23153241877404046</v>
      </c>
      <c r="F368" s="6">
        <f t="shared" si="32"/>
        <v>1.6696884187740406</v>
      </c>
      <c r="G368" s="4">
        <f>IF(COUNTIFS([1]Desglose_BOM_Componentes!$B$4190:$B$4197,$A368,[1]Desglose_BOM_Componentes!$AE$4190:$AE$4197,"Sin precio",[1]Desglose_BOM_Componentes!$X$4190:$X$4197,"Formulación")&gt;0,"n.d.",SUMIFS([1]Desglose_BOM_Componentes!$AD$4190:$AD$4197,[1]Desglose_BOM_Componentes!$B$4190:$B$4197,$A368,[1]Desglose_BOM_Componentes!$X$4190:$X$4197,"Formulación"))</f>
        <v>1.3362417142857144</v>
      </c>
      <c r="H368" s="4">
        <f>IF(COUNTIFS([1]Desglose_BOM_Componentes!$B$4190:$B$4197,$A368,[1]Desglose_BOM_Componentes!$AE$4190:$AE$4197,"Sin precio",[1]Desglose_BOM_Componentes!$X$4190:$X$4197,"Empaquetado")&gt;0,"n.d.",SUMIFS([1]Desglose_BOM_Componentes!$AD$4190:$AD$4197,[1]Desglose_BOM_Componentes!$B$4190:$B$4197,$A368,[1]Desglose_BOM_Componentes!$X$4190:$X$4197,"Empaquetado"))</f>
        <v>0.23153241877404046</v>
      </c>
      <c r="I368" s="6">
        <f t="shared" si="33"/>
        <v>1.5719741330597548</v>
      </c>
      <c r="J368" s="1" t="str">
        <f t="shared" si="31"/>
        <v>Completo</v>
      </c>
      <c r="K368" s="1">
        <f>COUNTIFS([1]Desglose_BOM_Componentes!$B$4190:$B$4197,$A368,[1]Desglose_BOM_Componentes!$AE$4190:$AE$4197,"Sin precio")</f>
        <v>0</v>
      </c>
      <c r="L368" s="1" t="str">
        <f>IF('[1]Precios componentes'!D155="Sin precio","UREL; ","")&amp;IF('[1]Precios componentes'!D77="Sin precio","FOP; ","")&amp;IF('[1]Precios componentes'!D9="Sin precio","ACIT;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369" spans="1:12" ht="22" customHeight="1">
      <c r="A369" s="1" t="s">
        <v>401</v>
      </c>
      <c r="B369" s="1" t="s">
        <v>18</v>
      </c>
      <c r="C369" s="1" t="s">
        <v>19</v>
      </c>
      <c r="D369" s="4">
        <f>IF(COUNTIFS([1]Desglose_BOM_Componentes!$B$4198:$B$4211,$A369,[1]Desglose_BOM_Componentes!$AE$4198:$AE$4211,"Sin precio",[1]Desglose_BOM_Componentes!$X$4198:$X$4211,"Formulación")&gt;0,"n.d.",SUMIFS([1]Desglose_BOM_Componentes!$AC$4198:$AC$4211,[1]Desglose_BOM_Componentes!$B$4198:$B$4211,$A369,[1]Desglose_BOM_Componentes!$X$4198:$X$4211,"Formulación"))</f>
        <v>1.1367399999999999</v>
      </c>
      <c r="E369" s="4">
        <f>IF(COUNTIFS([1]Desglose_BOM_Componentes!$B$4198:$B$4211,$A369,[1]Desglose_BOM_Componentes!$AE$4198:$AE$4211,"Sin precio",[1]Desglose_BOM_Componentes!$X$4198:$X$4211,"Empaquetado")&gt;0,"n.d.",SUMIFS([1]Desglose_BOM_Componentes!$AC$4198:$AC$4211,[1]Desglose_BOM_Componentes!$B$4198:$B$4211,$A369,[1]Desglose_BOM_Componentes!$X$4198:$X$4211,"Empaquetado"))</f>
        <v>1.0859479144143824</v>
      </c>
      <c r="F369" s="6">
        <f t="shared" si="32"/>
        <v>2.2268879144143821</v>
      </c>
      <c r="G369" s="4">
        <f>IF(COUNTIFS([1]Desglose_BOM_Componentes!$B$4198:$B$4211,$A369,[1]Desglose_BOM_Componentes!$AE$4198:$AE$4211,"Sin precio",[1]Desglose_BOM_Componentes!$X$4198:$X$4211,"Formulación")&gt;0,"n.d.",SUMIFS([1]Desglose_BOM_Componentes!$AD$4198:$AD$4211,[1]Desglose_BOM_Componentes!$B$4198:$B$4211,$A369,[1]Desglose_BOM_Componentes!$X$4198:$X$4211,"Formulación"))</f>
        <v>1.13323</v>
      </c>
      <c r="H369" s="4">
        <f>IF(COUNTIFS([1]Desglose_BOM_Componentes!$B$4198:$B$4211,$A369,[1]Desglose_BOM_Componentes!$AE$4198:$AE$4211,"Sin precio",[1]Desglose_BOM_Componentes!$X$4198:$X$4211,"Empaquetado")&gt;0,"n.d.",SUMIFS([1]Desglose_BOM_Componentes!$AD$4198:$AD$4211,[1]Desglose_BOM_Componentes!$B$4198:$B$4211,$A369,[1]Desglose_BOM_Componentes!$X$4198:$X$4211,"Empaquetado"))</f>
        <v>0.95531458108104916</v>
      </c>
      <c r="I369" s="6">
        <f t="shared" si="33"/>
        <v>2.0927445810810492</v>
      </c>
      <c r="J369" s="1" t="str">
        <f t="shared" si="31"/>
        <v>Completo</v>
      </c>
      <c r="K369" s="1">
        <f>COUNTIFS([1]Desglose_BOM_Componentes!$B$4198:$B$4211,$A369,[1]Desglose_BOM_Componentes!$AE$4198:$AE$4211,"Sin precio")</f>
        <v>0</v>
      </c>
      <c r="L369" s="1" t="str">
        <f>IF('[1]Precios componentes'!D93="Sin precio","KF78; ","")&amp;IF('[1]Precios componentes'!D133="Sin precio","SMN; ","")&amp;IF('[1]Precios componentes'!D80="Sin precio","GLI; ","")&amp;IF('[1]Precios componentes'!D130="Sin precio","SFEL; ","")&amp;IF('[1]Precios componentes'!D87="Sin precio","HGA-FEL; ","")&amp;IF('[1]Precios componentes'!D128="Sin precio","SCU; ","")&amp;IF('[1]Precios componentes'!D141="Sin precio","SZMO; ","")&amp;IF('[1]Precios componentes'!D27="Sin precio","BOR;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70" spans="1:12" ht="22" customHeight="1">
      <c r="A370" s="1" t="s">
        <v>402</v>
      </c>
      <c r="B370" s="1" t="s">
        <v>68</v>
      </c>
      <c r="C370" s="1" t="s">
        <v>24</v>
      </c>
      <c r="D370" s="4">
        <f>IF(COUNTIFS([1]Desglose_BOM_Componentes!$B$4212:$B$4219,$A370,[1]Desglose_BOM_Componentes!$AE$4212:$AE$4219,"Sin precio",[1]Desglose_BOM_Componentes!$X$4212:$X$4219,"Formulación")&gt;0,"n.d.",SUMIFS([1]Desglose_BOM_Componentes!$AC$4212:$AC$4219,[1]Desglose_BOM_Componentes!$B$4212:$B$4219,$A370,[1]Desglose_BOM_Componentes!$X$4212:$X$4219,"Formulación"))</f>
        <v>1.2643000000000002</v>
      </c>
      <c r="E370" s="4">
        <f>IF(COUNTIFS([1]Desglose_BOM_Componentes!$B$4212:$B$4219,$A370,[1]Desglose_BOM_Componentes!$AE$4212:$AE$4219,"Sin precio",[1]Desglose_BOM_Componentes!$X$4212:$X$4219,"Empaquetado")&gt;0,"n.d.",SUMIFS([1]Desglose_BOM_Componentes!$AC$4212:$AC$4219,[1]Desglose_BOM_Componentes!$B$4212:$B$4219,$A370,[1]Desglose_BOM_Componentes!$X$4212:$X$4219,"Empaquetado"))</f>
        <v>0.10354733439422743</v>
      </c>
      <c r="F370" s="6">
        <f>IF(K370&gt;0,"n.d.",SUM(D370:E370))</f>
        <v>1.3678473343942277</v>
      </c>
      <c r="G370" s="4">
        <f>IF(COUNTIFS([1]Desglose_BOM_Componentes!$B$4212:$B$4219,$A370,[1]Desglose_BOM_Componentes!$AE$4212:$AE$4219,"Sin precio",[1]Desglose_BOM_Componentes!$X$4212:$X$4219,"Formulación")&gt;0,"n.d.",SUMIFS([1]Desglose_BOM_Componentes!$AD$4212:$AD$4219,[1]Desglose_BOM_Componentes!$B$4212:$B$4219,$A370,[1]Desglose_BOM_Componentes!$X$4212:$X$4219,"Formulación"))</f>
        <v>1.1117380952380953</v>
      </c>
      <c r="H370" s="4">
        <f>IF(COUNTIFS([1]Desglose_BOM_Componentes!$B$4212:$B$4219,$A370,[1]Desglose_BOM_Componentes!$AE$4212:$AE$4219,"Sin precio",[1]Desglose_BOM_Componentes!$X$4212:$X$4219,"Empaquetado")&gt;0,"n.d.",SUMIFS([1]Desglose_BOM_Componentes!$AD$4212:$AD$4219,[1]Desglose_BOM_Componentes!$B$4212:$B$4219,$A370,[1]Desglose_BOM_Componentes!$X$4212:$X$4219,"Empaquetado"))</f>
        <v>0.10354733439422743</v>
      </c>
      <c r="I370" s="6">
        <f>IF(K370&gt;0,"n.d.",SUM(G370:H370))</f>
        <v>1.2152854296323228</v>
      </c>
      <c r="J370" s="1" t="str">
        <f t="shared" si="31"/>
        <v>Completo</v>
      </c>
      <c r="K370" s="1">
        <f>COUNTIFS([1]Desglose_BOM_Componentes!$B$4212:$B$4219,$A370,[1]Desglose_BOM_Componentes!$AE$4212:$AE$4219,"Sin precio")</f>
        <v>0</v>
      </c>
      <c r="L370" s="1" t="str">
        <f>IF('[1]Precios componentes'!D141="Sin precio","SZMO; ","")&amp;IF('[1]Precios componentes'!D84="Sin precio","GLUSO; ","")&amp;IF('[1]Precios componentes'!D53="Sin precio","EBRO;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371" spans="1:12" ht="22" customHeight="1">
      <c r="A371" s="1" t="s">
        <v>403</v>
      </c>
      <c r="B371" s="1" t="s">
        <v>18</v>
      </c>
      <c r="C371" s="1" t="s">
        <v>24</v>
      </c>
      <c r="D371" s="4">
        <f>IF(COUNTIFS([1]Desglose_BOM_Componentes!$B$4220:$B$4232,$A371,[1]Desglose_BOM_Componentes!$AE$4220:$AE$4232,"Sin precio",[1]Desglose_BOM_Componentes!$X$4220:$X$4232,"Formulación")&gt;0,"n.d.",SUMIFS([1]Desglose_BOM_Componentes!$AC$4220:$AC$4232,[1]Desglose_BOM_Componentes!$B$4220:$B$4232,$A371,[1]Desglose_BOM_Componentes!$X$4220:$X$4232,"Formulación"))</f>
        <v>0.94080700000000006</v>
      </c>
      <c r="E371" s="4">
        <f>IF(COUNTIFS([1]Desglose_BOM_Componentes!$B$4220:$B$4232,$A371,[1]Desglose_BOM_Componentes!$AE$4220:$AE$4232,"Sin precio",[1]Desglose_BOM_Componentes!$X$4220:$X$4232,"Empaquetado")&gt;0,"n.d.",SUMIFS([1]Desglose_BOM_Componentes!$AC$4220:$AC$4232,[1]Desglose_BOM_Componentes!$B$4220:$B$4232,$A371,[1]Desglose_BOM_Componentes!$X$4220:$X$4232,"Empaquetado"))</f>
        <v>0.75344791441438252</v>
      </c>
      <c r="F371" s="6">
        <f t="shared" ref="F371:F409" si="34">IF(K371&gt;0,"n.d.",SUM(D371:E371)+0.0042)</f>
        <v>1.6984549144143826</v>
      </c>
      <c r="G371" s="4">
        <f>IF(COUNTIFS([1]Desglose_BOM_Componentes!$B$4220:$B$4232,$A371,[1]Desglose_BOM_Componentes!$AE$4220:$AE$4232,"Sin precio",[1]Desglose_BOM_Componentes!$X$4220:$X$4232,"Formulación")&gt;0,"n.d.",SUMIFS([1]Desglose_BOM_Componentes!$AD$4220:$AD$4232,[1]Desglose_BOM_Componentes!$B$4220:$B$4232,$A371,[1]Desglose_BOM_Componentes!$X$4220:$X$4232,"Formulación"))</f>
        <v>0.8042461428571428</v>
      </c>
      <c r="H371" s="4">
        <f>IF(COUNTIFS([1]Desglose_BOM_Componentes!$B$4220:$B$4232,$A371,[1]Desglose_BOM_Componentes!$AE$4220:$AE$4232,"Sin precio",[1]Desglose_BOM_Componentes!$X$4220:$X$4232,"Empaquetado")&gt;0,"n.d.",SUMIFS([1]Desglose_BOM_Componentes!$AD$4220:$AD$4232,[1]Desglose_BOM_Componentes!$B$4220:$B$4232,$A371,[1]Desglose_BOM_Componentes!$X$4220:$X$4232,"Empaquetado"))</f>
        <v>0.75344791441438252</v>
      </c>
      <c r="I371" s="6">
        <f t="shared" ref="I371:I409" si="35">IF(K371&gt;0,"n.d.",SUM(G371:H371)+0.0042)</f>
        <v>1.5618940572715254</v>
      </c>
      <c r="J371" s="1" t="str">
        <f t="shared" si="31"/>
        <v>Completo</v>
      </c>
      <c r="K371" s="1">
        <f>COUNTIFS([1]Desglose_BOM_Componentes!$B$4220:$B$4232,$A371,[1]Desglose_BOM_Componentes!$AE$4220:$AE$4232,"Sin precio")</f>
        <v>0</v>
      </c>
      <c r="L371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72" spans="1:12" ht="22" customHeight="1">
      <c r="A372" s="1" t="s">
        <v>404</v>
      </c>
      <c r="B372" s="1" t="s">
        <v>18</v>
      </c>
      <c r="C372" s="1" t="s">
        <v>69</v>
      </c>
      <c r="D372" s="4">
        <f>IF(COUNTIFS([1]Desglose_BOM_Componentes!$B$4233:$B$4245,$A372,[1]Desglose_BOM_Componentes!$AE$4233:$AE$4245,"Sin precio",[1]Desglose_BOM_Componentes!$X$4233:$X$4245,"Formulación")&gt;0,"n.d.",SUMIFS([1]Desglose_BOM_Componentes!$AC$4233:$AC$4245,[1]Desglose_BOM_Componentes!$B$4233:$B$4245,$A372,[1]Desglose_BOM_Componentes!$X$4233:$X$4245,"Formulación"))</f>
        <v>0.94080700000000006</v>
      </c>
      <c r="E372" s="4">
        <f>IF(COUNTIFS([1]Desglose_BOM_Componentes!$B$4233:$B$4245,$A372,[1]Desglose_BOM_Componentes!$AE$4233:$AE$4245,"Sin precio",[1]Desglose_BOM_Componentes!$X$4233:$X$4245,"Empaquetado")&gt;0,"n.d.",SUMIFS([1]Desglose_BOM_Componentes!$AC$4233:$AC$4245,[1]Desglose_BOM_Componentes!$B$4233:$B$4245,$A372,[1]Desglose_BOM_Componentes!$X$4233:$X$4245,"Empaquetado"))</f>
        <v>0.75344791441438252</v>
      </c>
      <c r="F372" s="6">
        <f t="shared" si="34"/>
        <v>1.6984549144143826</v>
      </c>
      <c r="G372" s="4">
        <f>IF(COUNTIFS([1]Desglose_BOM_Componentes!$B$4233:$B$4245,$A372,[1]Desglose_BOM_Componentes!$AE$4233:$AE$4245,"Sin precio",[1]Desglose_BOM_Componentes!$X$4233:$X$4245,"Formulación")&gt;0,"n.d.",SUMIFS([1]Desglose_BOM_Componentes!$AD$4233:$AD$4245,[1]Desglose_BOM_Componentes!$B$4233:$B$4245,$A372,[1]Desglose_BOM_Componentes!$X$4233:$X$4245,"Formulación"))</f>
        <v>0.8042461428571428</v>
      </c>
      <c r="H372" s="4">
        <f>IF(COUNTIFS([1]Desglose_BOM_Componentes!$B$4233:$B$4245,$A372,[1]Desglose_BOM_Componentes!$AE$4233:$AE$4245,"Sin precio",[1]Desglose_BOM_Componentes!$X$4233:$X$4245,"Empaquetado")&gt;0,"n.d.",SUMIFS([1]Desglose_BOM_Componentes!$AD$4233:$AD$4245,[1]Desglose_BOM_Componentes!$B$4233:$B$4245,$A372,[1]Desglose_BOM_Componentes!$X$4233:$X$4245,"Empaquetado"))</f>
        <v>0.75344791441438252</v>
      </c>
      <c r="I372" s="6">
        <f t="shared" si="35"/>
        <v>1.5618940572715254</v>
      </c>
      <c r="J372" s="1" t="str">
        <f t="shared" si="31"/>
        <v>Completo</v>
      </c>
      <c r="K372" s="1">
        <f>COUNTIFS([1]Desglose_BOM_Componentes!$B$4233:$B$4245,$A372,[1]Desglose_BOM_Componentes!$AE$4233:$AE$4245,"Sin precio")</f>
        <v>0</v>
      </c>
      <c r="L372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73" spans="1:12" ht="22" customHeight="1">
      <c r="A373" s="1" t="s">
        <v>405</v>
      </c>
      <c r="B373" s="1" t="s">
        <v>18</v>
      </c>
      <c r="C373" s="1" t="s">
        <v>81</v>
      </c>
      <c r="D373" s="4">
        <f>IF(COUNTIFS([1]Desglose_BOM_Componentes!$B$4246:$B$4258,$A373,[1]Desglose_BOM_Componentes!$AE$4246:$AE$4258,"Sin precio",[1]Desglose_BOM_Componentes!$X$4246:$X$4258,"Formulación")&gt;0,"n.d.",SUMIFS([1]Desglose_BOM_Componentes!$AC$4246:$AC$4258,[1]Desglose_BOM_Componentes!$B$4246:$B$4258,$A373,[1]Desglose_BOM_Componentes!$X$4246:$X$4258,"Formulación"))</f>
        <v>0.94080700000000006</v>
      </c>
      <c r="E373" s="4">
        <f>IF(COUNTIFS([1]Desglose_BOM_Componentes!$B$4246:$B$4258,$A373,[1]Desglose_BOM_Componentes!$AE$4246:$AE$4258,"Sin precio",[1]Desglose_BOM_Componentes!$X$4246:$X$4258,"Empaquetado")&gt;0,"n.d.",SUMIFS([1]Desglose_BOM_Componentes!$AC$4246:$AC$4258,[1]Desglose_BOM_Componentes!$B$4246:$B$4258,$A373,[1]Desglose_BOM_Componentes!$X$4246:$X$4258,"Empaquetado"))</f>
        <v>0.75344791441438252</v>
      </c>
      <c r="F373" s="6">
        <f t="shared" si="34"/>
        <v>1.6984549144143826</v>
      </c>
      <c r="G373" s="4">
        <f>IF(COUNTIFS([1]Desglose_BOM_Componentes!$B$4246:$B$4258,$A373,[1]Desglose_BOM_Componentes!$AE$4246:$AE$4258,"Sin precio",[1]Desglose_BOM_Componentes!$X$4246:$X$4258,"Formulación")&gt;0,"n.d.",SUMIFS([1]Desglose_BOM_Componentes!$AD$4246:$AD$4258,[1]Desglose_BOM_Componentes!$B$4246:$B$4258,$A373,[1]Desglose_BOM_Componentes!$X$4246:$X$4258,"Formulación"))</f>
        <v>0.8042461428571428</v>
      </c>
      <c r="H373" s="4">
        <f>IF(COUNTIFS([1]Desglose_BOM_Componentes!$B$4246:$B$4258,$A373,[1]Desglose_BOM_Componentes!$AE$4246:$AE$4258,"Sin precio",[1]Desglose_BOM_Componentes!$X$4246:$X$4258,"Empaquetado")&gt;0,"n.d.",SUMIFS([1]Desglose_BOM_Componentes!$AD$4246:$AD$4258,[1]Desglose_BOM_Componentes!$B$4246:$B$4258,$A373,[1]Desglose_BOM_Componentes!$X$4246:$X$4258,"Empaquetado"))</f>
        <v>0.75344791441438252</v>
      </c>
      <c r="I373" s="6">
        <f t="shared" si="35"/>
        <v>1.5618940572715254</v>
      </c>
      <c r="J373" s="1" t="str">
        <f t="shared" si="31"/>
        <v>Completo</v>
      </c>
      <c r="K373" s="1">
        <f>COUNTIFS([1]Desglose_BOM_Componentes!$B$4246:$B$4258,$A373,[1]Desglose_BOM_Componentes!$AE$4246:$AE$4258,"Sin precio")</f>
        <v>0</v>
      </c>
      <c r="L373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74" spans="1:12" ht="22" customHeight="1">
      <c r="A374" s="1" t="s">
        <v>406</v>
      </c>
      <c r="B374" s="1" t="s">
        <v>18</v>
      </c>
      <c r="C374" s="1" t="s">
        <v>19</v>
      </c>
      <c r="D374" s="4">
        <f>IF(COUNTIFS([1]Desglose_BOM_Componentes!$B$4259:$B$4271,$A374,[1]Desglose_BOM_Componentes!$AE$4259:$AE$4271,"Sin precio",[1]Desglose_BOM_Componentes!$X$4259:$X$4271,"Formulación")&gt;0,"n.d.",SUMIFS([1]Desglose_BOM_Componentes!$AC$4259:$AC$4271,[1]Desglose_BOM_Componentes!$B$4259:$B$4271,$A374,[1]Desglose_BOM_Componentes!$X$4259:$X$4271,"Formulación"))</f>
        <v>0.94080700000000006</v>
      </c>
      <c r="E374" s="4">
        <f>IF(COUNTIFS([1]Desglose_BOM_Componentes!$B$4259:$B$4271,$A374,[1]Desglose_BOM_Componentes!$AE$4259:$AE$4271,"Sin precio",[1]Desglose_BOM_Componentes!$X$4259:$X$4271,"Empaquetado")&gt;0,"n.d.",SUMIFS([1]Desglose_BOM_Componentes!$AC$4259:$AC$4271,[1]Desglose_BOM_Componentes!$B$4259:$B$4271,$A374,[1]Desglose_BOM_Componentes!$X$4259:$X$4271,"Empaquetado"))</f>
        <v>0.75344791441438252</v>
      </c>
      <c r="F374" s="6">
        <f t="shared" si="34"/>
        <v>1.6984549144143826</v>
      </c>
      <c r="G374" s="4">
        <f>IF(COUNTIFS([1]Desglose_BOM_Componentes!$B$4259:$B$4271,$A374,[1]Desglose_BOM_Componentes!$AE$4259:$AE$4271,"Sin precio",[1]Desglose_BOM_Componentes!$X$4259:$X$4271,"Formulación")&gt;0,"n.d.",SUMIFS([1]Desglose_BOM_Componentes!$AD$4259:$AD$4271,[1]Desglose_BOM_Componentes!$B$4259:$B$4271,$A374,[1]Desglose_BOM_Componentes!$X$4259:$X$4271,"Formulación"))</f>
        <v>0.8042461428571428</v>
      </c>
      <c r="H374" s="4">
        <f>IF(COUNTIFS([1]Desglose_BOM_Componentes!$B$4259:$B$4271,$A374,[1]Desglose_BOM_Componentes!$AE$4259:$AE$4271,"Sin precio",[1]Desglose_BOM_Componentes!$X$4259:$X$4271,"Empaquetado")&gt;0,"n.d.",SUMIFS([1]Desglose_BOM_Componentes!$AD$4259:$AD$4271,[1]Desglose_BOM_Componentes!$B$4259:$B$4271,$A374,[1]Desglose_BOM_Componentes!$X$4259:$X$4271,"Empaquetado"))</f>
        <v>0.75344791441438252</v>
      </c>
      <c r="I374" s="6">
        <f t="shared" si="35"/>
        <v>1.5618940572715254</v>
      </c>
      <c r="J374" s="1" t="str">
        <f t="shared" si="31"/>
        <v>Completo</v>
      </c>
      <c r="K374" s="1">
        <f>COUNTIFS([1]Desglose_BOM_Componentes!$B$4259:$B$4271,$A374,[1]Desglose_BOM_Componentes!$AE$4259:$AE$4271,"Sin precio")</f>
        <v>0</v>
      </c>
      <c r="L374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375" spans="1:12" ht="22" customHeight="1">
      <c r="A375" s="1" t="s">
        <v>407</v>
      </c>
      <c r="B375" s="1" t="s">
        <v>18</v>
      </c>
      <c r="C375" s="1" t="s">
        <v>24</v>
      </c>
      <c r="D375" s="4">
        <f>IF(COUNTIFS([1]Desglose_BOM_Componentes!$B$4272:$B$4285,$A375,[1]Desglose_BOM_Componentes!$AE$4272:$AE$4285,"Sin precio",[1]Desglose_BOM_Componentes!$X$4272:$X$4285,"Formulación")&gt;0,"n.d.",SUMIFS([1]Desglose_BOM_Componentes!$AC$4272:$AC$4285,[1]Desglose_BOM_Componentes!$B$4272:$B$4285,$A375,[1]Desglose_BOM_Componentes!$X$4272:$X$4285,"Formulación"))</f>
        <v>0.94080700000000006</v>
      </c>
      <c r="E375" s="4">
        <f>IF(COUNTIFS([1]Desglose_BOM_Componentes!$B$4272:$B$4285,$A375,[1]Desglose_BOM_Componentes!$AE$4272:$AE$4285,"Sin precio",[1]Desglose_BOM_Componentes!$X$4272:$X$4285,"Empaquetado")&gt;0,"n.d.",SUMIFS([1]Desglose_BOM_Componentes!$AC$4272:$AC$4285,[1]Desglose_BOM_Componentes!$B$4272:$B$4285,$A375,[1]Desglose_BOM_Componentes!$X$4272:$X$4285,"Empaquetado"))</f>
        <v>0.50928466819407259</v>
      </c>
      <c r="F375" s="6">
        <f t="shared" si="34"/>
        <v>1.4542916681940725</v>
      </c>
      <c r="G375" s="4">
        <f>IF(COUNTIFS([1]Desglose_BOM_Componentes!$B$4272:$B$4285,$A375,[1]Desglose_BOM_Componentes!$AE$4272:$AE$4285,"Sin precio",[1]Desglose_BOM_Componentes!$X$4272:$X$4285,"Formulación")&gt;0,"n.d.",SUMIFS([1]Desglose_BOM_Componentes!$AD$4272:$AD$4285,[1]Desglose_BOM_Componentes!$B$4272:$B$4285,$A375,[1]Desglose_BOM_Componentes!$X$4272:$X$4285,"Formulación"))</f>
        <v>0.8042461428571428</v>
      </c>
      <c r="H375" s="4">
        <f>IF(COUNTIFS([1]Desglose_BOM_Componentes!$B$4272:$B$4285,$A375,[1]Desglose_BOM_Componentes!$AE$4272:$AE$4285,"Sin precio",[1]Desglose_BOM_Componentes!$X$4272:$X$4285,"Empaquetado")&gt;0,"n.d.",SUMIFS([1]Desglose_BOM_Componentes!$AD$4272:$AD$4285,[1]Desglose_BOM_Componentes!$B$4272:$B$4285,$A375,[1]Desglose_BOM_Componentes!$X$4272:$X$4285,"Empaquetado"))</f>
        <v>0.50928466819407259</v>
      </c>
      <c r="I375" s="6">
        <f t="shared" si="35"/>
        <v>1.3177308110512154</v>
      </c>
      <c r="J375" s="1" t="str">
        <f t="shared" si="31"/>
        <v>Completo</v>
      </c>
      <c r="K375" s="1">
        <f>COUNTIFS([1]Desglose_BOM_Componentes!$B$4272:$B$4285,$A375,[1]Desglose_BOM_Componentes!$AE$4272:$AE$4285,"Sin precio")</f>
        <v>0</v>
      </c>
      <c r="L375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componentes'!D137="Sin precio","SOBRE 5L; ","")&amp;IF('[1]Precios componentes'!D115="Sin precio","PAL; ","")&amp;IF('[1]Precios componentes'!D150="Sin precio","TPD63IV;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76" spans="1:12" ht="22" customHeight="1">
      <c r="A376" s="1" t="s">
        <v>408</v>
      </c>
      <c r="B376" s="1" t="s">
        <v>18</v>
      </c>
      <c r="C376" s="1" t="s">
        <v>69</v>
      </c>
      <c r="D376" s="4">
        <f>IF(COUNTIFS([1]Desglose_BOM_Componentes!$B$4286:$B$4299,$A376,[1]Desglose_BOM_Componentes!$AE$4286:$AE$4299,"Sin precio",[1]Desglose_BOM_Componentes!$X$4286:$X$4299,"Formulación")&gt;0,"n.d.",SUMIFS([1]Desglose_BOM_Componentes!$AC$4286:$AC$4299,[1]Desglose_BOM_Componentes!$B$4286:$B$4299,$A376,[1]Desglose_BOM_Componentes!$X$4286:$X$4299,"Formulación"))</f>
        <v>0.94080700000000006</v>
      </c>
      <c r="E376" s="4">
        <f>IF(COUNTIFS([1]Desglose_BOM_Componentes!$B$4286:$B$4299,$A376,[1]Desglose_BOM_Componentes!$AE$4286:$AE$4299,"Sin precio",[1]Desglose_BOM_Componentes!$X$4286:$X$4299,"Empaquetado")&gt;0,"n.d.",SUMIFS([1]Desglose_BOM_Componentes!$AC$4286:$AC$4299,[1]Desglose_BOM_Componentes!$B$4286:$B$4299,$A376,[1]Desglose_BOM_Componentes!$X$4286:$X$4299,"Empaquetado"))</f>
        <v>0.50928466819407259</v>
      </c>
      <c r="F376" s="6">
        <f t="shared" si="34"/>
        <v>1.4542916681940725</v>
      </c>
      <c r="G376" s="4">
        <f>IF(COUNTIFS([1]Desglose_BOM_Componentes!$B$4286:$B$4299,$A376,[1]Desglose_BOM_Componentes!$AE$4286:$AE$4299,"Sin precio",[1]Desglose_BOM_Componentes!$X$4286:$X$4299,"Formulación")&gt;0,"n.d.",SUMIFS([1]Desglose_BOM_Componentes!$AD$4286:$AD$4299,[1]Desglose_BOM_Componentes!$B$4286:$B$4299,$A376,[1]Desglose_BOM_Componentes!$X$4286:$X$4299,"Formulación"))</f>
        <v>0.8042461428571428</v>
      </c>
      <c r="H376" s="4">
        <f>IF(COUNTIFS([1]Desglose_BOM_Componentes!$B$4286:$B$4299,$A376,[1]Desglose_BOM_Componentes!$AE$4286:$AE$4299,"Sin precio",[1]Desglose_BOM_Componentes!$X$4286:$X$4299,"Empaquetado")&gt;0,"n.d.",SUMIFS([1]Desglose_BOM_Componentes!$AD$4286:$AD$4299,[1]Desglose_BOM_Componentes!$B$4286:$B$4299,$A376,[1]Desglose_BOM_Componentes!$X$4286:$X$4299,"Empaquetado"))</f>
        <v>0.50928466819407259</v>
      </c>
      <c r="I376" s="6">
        <f t="shared" si="35"/>
        <v>1.3177308110512154</v>
      </c>
      <c r="J376" s="1" t="str">
        <f t="shared" si="31"/>
        <v>Completo</v>
      </c>
      <c r="K376" s="1">
        <f>COUNTIFS([1]Desglose_BOM_Componentes!$B$4286:$B$4299,$A376,[1]Desglose_BOM_Componentes!$AE$4286:$AE$4299,"Sin precio")</f>
        <v>0</v>
      </c>
      <c r="L376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componentes'!D137="Sin precio","SOBRE 5L; ","")&amp;IF('[1]Precios componentes'!D115="Sin precio","PAL; ","")&amp;IF('[1]Precios componentes'!D150="Sin precio","TPD63IV;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77" spans="1:12" ht="22" customHeight="1">
      <c r="A377" s="1" t="s">
        <v>409</v>
      </c>
      <c r="B377" s="1" t="s">
        <v>18</v>
      </c>
      <c r="C377" s="1" t="s">
        <v>26</v>
      </c>
      <c r="D377" s="4">
        <f>IF(COUNTIFS([1]Desglose_BOM_Componentes!$B$4300:$B$4313,$A377,[1]Desglose_BOM_Componentes!$AE$4300:$AE$4313,"Sin precio",[1]Desglose_BOM_Componentes!$X$4300:$X$4313,"Formulación")&gt;0,"n.d.",SUMIFS([1]Desglose_BOM_Componentes!$AC$4300:$AC$4313,[1]Desglose_BOM_Componentes!$B$4300:$B$4313,$A377,[1]Desglose_BOM_Componentes!$X$4300:$X$4313,"Formulación"))</f>
        <v>0.94080700000000006</v>
      </c>
      <c r="E377" s="4">
        <f>IF(COUNTIFS([1]Desglose_BOM_Componentes!$B$4300:$B$4313,$A377,[1]Desglose_BOM_Componentes!$AE$4300:$AE$4313,"Sin precio",[1]Desglose_BOM_Componentes!$X$4300:$X$4313,"Empaquetado")&gt;0,"n.d.",SUMIFS([1]Desglose_BOM_Componentes!$AC$4300:$AC$4313,[1]Desglose_BOM_Componentes!$B$4300:$B$4313,$A377,[1]Desglose_BOM_Componentes!$X$4300:$X$4313,"Empaquetado"))</f>
        <v>0.50928466819407259</v>
      </c>
      <c r="F377" s="6">
        <f t="shared" si="34"/>
        <v>1.4542916681940725</v>
      </c>
      <c r="G377" s="4">
        <f>IF(COUNTIFS([1]Desglose_BOM_Componentes!$B$4300:$B$4313,$A377,[1]Desglose_BOM_Componentes!$AE$4300:$AE$4313,"Sin precio",[1]Desglose_BOM_Componentes!$X$4300:$X$4313,"Formulación")&gt;0,"n.d.",SUMIFS([1]Desglose_BOM_Componentes!$AD$4300:$AD$4313,[1]Desglose_BOM_Componentes!$B$4300:$B$4313,$A377,[1]Desglose_BOM_Componentes!$X$4300:$X$4313,"Formulación"))</f>
        <v>0.8042461428571428</v>
      </c>
      <c r="H377" s="4">
        <f>IF(COUNTIFS([1]Desglose_BOM_Componentes!$B$4300:$B$4313,$A377,[1]Desglose_BOM_Componentes!$AE$4300:$AE$4313,"Sin precio",[1]Desglose_BOM_Componentes!$X$4300:$X$4313,"Empaquetado")&gt;0,"n.d.",SUMIFS([1]Desglose_BOM_Componentes!$AD$4300:$AD$4313,[1]Desglose_BOM_Componentes!$B$4300:$B$4313,$A377,[1]Desglose_BOM_Componentes!$X$4300:$X$4313,"Empaquetado"))</f>
        <v>0.50928466819407259</v>
      </c>
      <c r="I377" s="6">
        <f t="shared" si="35"/>
        <v>1.3177308110512154</v>
      </c>
      <c r="J377" s="1" t="str">
        <f t="shared" si="31"/>
        <v>Completo</v>
      </c>
      <c r="K377" s="1">
        <f>COUNTIFS([1]Desglose_BOM_Componentes!$B$4300:$B$4313,$A377,[1]Desglose_BOM_Componentes!$AE$4300:$AE$4313,"Sin precio")</f>
        <v>0</v>
      </c>
      <c r="L377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componentes'!D137="Sin precio","SOBRE 5L; ","")&amp;IF('[1]Precios componentes'!D115="Sin precio","PAL; ","")&amp;IF('[1]Precios componentes'!D150="Sin precio","TPD63IV;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78" spans="1:12" ht="22" customHeight="1">
      <c r="A378" s="1" t="s">
        <v>410</v>
      </c>
      <c r="B378" s="1" t="s">
        <v>18</v>
      </c>
      <c r="C378" s="1" t="s">
        <v>19</v>
      </c>
      <c r="D378" s="4">
        <f>IF(COUNTIFS([1]Desglose_BOM_Componentes!$B$4314:$B$4327,$A378,[1]Desglose_BOM_Componentes!$AE$4314:$AE$4327,"Sin precio",[1]Desglose_BOM_Componentes!$X$4314:$X$4327,"Formulación")&gt;0,"n.d.",SUMIFS([1]Desglose_BOM_Componentes!$AC$4314:$AC$4327,[1]Desglose_BOM_Componentes!$B$4314:$B$4327,$A378,[1]Desglose_BOM_Componentes!$X$4314:$X$4327,"Formulación"))</f>
        <v>0.94080700000000006</v>
      </c>
      <c r="E378" s="4">
        <f>IF(COUNTIFS([1]Desglose_BOM_Componentes!$B$4314:$B$4327,$A378,[1]Desglose_BOM_Componentes!$AE$4314:$AE$4327,"Sin precio",[1]Desglose_BOM_Componentes!$X$4314:$X$4327,"Empaquetado")&gt;0,"n.d.",SUMIFS([1]Desglose_BOM_Componentes!$AC$4314:$AC$4327,[1]Desglose_BOM_Componentes!$B$4314:$B$4327,$A378,[1]Desglose_BOM_Componentes!$X$4314:$X$4327,"Empaquetado"))</f>
        <v>0.50928466819407259</v>
      </c>
      <c r="F378" s="6">
        <f t="shared" si="34"/>
        <v>1.4542916681940725</v>
      </c>
      <c r="G378" s="4">
        <f>IF(COUNTIFS([1]Desglose_BOM_Componentes!$B$4314:$B$4327,$A378,[1]Desglose_BOM_Componentes!$AE$4314:$AE$4327,"Sin precio",[1]Desglose_BOM_Componentes!$X$4314:$X$4327,"Formulación")&gt;0,"n.d.",SUMIFS([1]Desglose_BOM_Componentes!$AD$4314:$AD$4327,[1]Desglose_BOM_Componentes!$B$4314:$B$4327,$A378,[1]Desglose_BOM_Componentes!$X$4314:$X$4327,"Formulación"))</f>
        <v>0.8042461428571428</v>
      </c>
      <c r="H378" s="4">
        <f>IF(COUNTIFS([1]Desglose_BOM_Componentes!$B$4314:$B$4327,$A378,[1]Desglose_BOM_Componentes!$AE$4314:$AE$4327,"Sin precio",[1]Desglose_BOM_Componentes!$X$4314:$X$4327,"Empaquetado")&gt;0,"n.d.",SUMIFS([1]Desglose_BOM_Componentes!$AD$4314:$AD$4327,[1]Desglose_BOM_Componentes!$B$4314:$B$4327,$A378,[1]Desglose_BOM_Componentes!$X$4314:$X$4327,"Empaquetado"))</f>
        <v>0.50928466819407259</v>
      </c>
      <c r="I378" s="6">
        <f t="shared" si="35"/>
        <v>1.3177308110512154</v>
      </c>
      <c r="J378" s="1" t="str">
        <f t="shared" si="31"/>
        <v>Completo</v>
      </c>
      <c r="K378" s="1">
        <f>COUNTIFS([1]Desglose_BOM_Componentes!$B$4314:$B$4327,$A378,[1]Desglose_BOM_Componentes!$AE$4314:$AE$4327,"Sin precio")</f>
        <v>0</v>
      </c>
      <c r="L378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componentes'!D137="Sin precio","SOBRE 5L; ","")&amp;IF('[1]Precios componentes'!D115="Sin precio","PAL; ","")&amp;IF('[1]Precios componentes'!D150="Sin precio","TPD63IV;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79" spans="1:12" ht="22" customHeight="1">
      <c r="A379" s="1" t="s">
        <v>411</v>
      </c>
      <c r="B379" s="1" t="s">
        <v>18</v>
      </c>
      <c r="C379" s="1" t="s">
        <v>24</v>
      </c>
      <c r="D379" s="4">
        <f>IF(COUNTIFS([1]Desglose_BOM_Componentes!$B$4328:$B$4339,$A379,[1]Desglose_BOM_Componentes!$AE$4328:$AE$4339,"Sin precio",[1]Desglose_BOM_Componentes!$X$4328:$X$4339,"Formulación")&gt;0,"n.d.",SUMIFS([1]Desglose_BOM_Componentes!$AC$4328:$AC$4339,[1]Desglose_BOM_Componentes!$B$4328:$B$4339,$A379,[1]Desglose_BOM_Componentes!$X$4328:$X$4339,"Formulación"))</f>
        <v>0.94080700000000006</v>
      </c>
      <c r="E379" s="4">
        <f>IF(COUNTIFS([1]Desglose_BOM_Componentes!$B$4328:$B$4339,$A379,[1]Desglose_BOM_Componentes!$AE$4328:$AE$4339,"Sin precio",[1]Desglose_BOM_Componentes!$X$4328:$X$4339,"Empaquetado")&gt;0,"n.d.",SUMIFS([1]Desglose_BOM_Componentes!$AC$4328:$AC$4339,[1]Desglose_BOM_Componentes!$B$4328:$B$4339,$A379,[1]Desglose_BOM_Componentes!$X$4328:$X$4339,"Empaquetado"))</f>
        <v>0.23158280727404049</v>
      </c>
      <c r="F379" s="6">
        <f t="shared" si="34"/>
        <v>1.1765898072740406</v>
      </c>
      <c r="G379" s="4">
        <f>IF(COUNTIFS([1]Desglose_BOM_Componentes!$B$4328:$B$4339,$A379,[1]Desglose_BOM_Componentes!$AE$4328:$AE$4339,"Sin precio",[1]Desglose_BOM_Componentes!$X$4328:$X$4339,"Formulación")&gt;0,"n.d.",SUMIFS([1]Desglose_BOM_Componentes!$AD$4328:$AD$4339,[1]Desglose_BOM_Componentes!$B$4328:$B$4339,$A379,[1]Desglose_BOM_Componentes!$X$4328:$X$4339,"Formulación"))</f>
        <v>0.8042461428571428</v>
      </c>
      <c r="H379" s="4">
        <f>IF(COUNTIFS([1]Desglose_BOM_Componentes!$B$4328:$B$4339,$A379,[1]Desglose_BOM_Componentes!$AE$4328:$AE$4339,"Sin precio",[1]Desglose_BOM_Componentes!$X$4328:$X$4339,"Empaquetado")&gt;0,"n.d.",SUMIFS([1]Desglose_BOM_Componentes!$AD$4328:$AD$4339,[1]Desglose_BOM_Componentes!$B$4328:$B$4339,$A379,[1]Desglose_BOM_Componentes!$X$4328:$X$4339,"Empaquetado"))</f>
        <v>0.23158280727404049</v>
      </c>
      <c r="I379" s="6">
        <f t="shared" si="35"/>
        <v>1.0400289501311832</v>
      </c>
      <c r="J379" s="1" t="str">
        <f t="shared" si="31"/>
        <v>Completo</v>
      </c>
      <c r="K379" s="1">
        <f>COUNTIFS([1]Desglose_BOM_Componentes!$B$4328:$B$4339,$A379,[1]Desglose_BOM_Componentes!$AE$4328:$AE$4339,"Sin precio")</f>
        <v>0</v>
      </c>
      <c r="L379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380" spans="1:12" ht="22" customHeight="1">
      <c r="A380" s="1" t="s">
        <v>412</v>
      </c>
      <c r="B380" s="1" t="s">
        <v>18</v>
      </c>
      <c r="C380" s="1" t="s">
        <v>26</v>
      </c>
      <c r="D380" s="4">
        <f>IF(COUNTIFS([1]Desglose_BOM_Componentes!$B$4340:$B$4351,$A380,[1]Desglose_BOM_Componentes!$AE$4340:$AE$4351,"Sin precio",[1]Desglose_BOM_Componentes!$X$4340:$X$4351,"Formulación")&gt;0,"n.d.",SUMIFS([1]Desglose_BOM_Componentes!$AC$4340:$AC$4351,[1]Desglose_BOM_Componentes!$B$4340:$B$4351,$A380,[1]Desglose_BOM_Componentes!$X$4340:$X$4351,"Formulación"))</f>
        <v>0.94080700000000006</v>
      </c>
      <c r="E380" s="4">
        <f>IF(COUNTIFS([1]Desglose_BOM_Componentes!$B$4340:$B$4351,$A380,[1]Desglose_BOM_Componentes!$AE$4340:$AE$4351,"Sin precio",[1]Desglose_BOM_Componentes!$X$4340:$X$4351,"Empaquetado")&gt;0,"n.d.",SUMIFS([1]Desglose_BOM_Componentes!$AC$4340:$AC$4351,[1]Desglose_BOM_Componentes!$B$4340:$B$4351,$A380,[1]Desglose_BOM_Componentes!$X$4340:$X$4351,"Empaquetado"))</f>
        <v>0.23158280727404049</v>
      </c>
      <c r="F380" s="6">
        <f t="shared" si="34"/>
        <v>1.1765898072740406</v>
      </c>
      <c r="G380" s="4">
        <f>IF(COUNTIFS([1]Desglose_BOM_Componentes!$B$4340:$B$4351,$A380,[1]Desglose_BOM_Componentes!$AE$4340:$AE$4351,"Sin precio",[1]Desglose_BOM_Componentes!$X$4340:$X$4351,"Formulación")&gt;0,"n.d.",SUMIFS([1]Desglose_BOM_Componentes!$AD$4340:$AD$4351,[1]Desglose_BOM_Componentes!$B$4340:$B$4351,$A380,[1]Desglose_BOM_Componentes!$X$4340:$X$4351,"Formulación"))</f>
        <v>0.8042461428571428</v>
      </c>
      <c r="H380" s="4">
        <f>IF(COUNTIFS([1]Desglose_BOM_Componentes!$B$4340:$B$4351,$A380,[1]Desglose_BOM_Componentes!$AE$4340:$AE$4351,"Sin precio",[1]Desglose_BOM_Componentes!$X$4340:$X$4351,"Empaquetado")&gt;0,"n.d.",SUMIFS([1]Desglose_BOM_Componentes!$AD$4340:$AD$4351,[1]Desglose_BOM_Componentes!$B$4340:$B$4351,$A380,[1]Desglose_BOM_Componentes!$X$4340:$X$4351,"Empaquetado"))</f>
        <v>0.23158280727404049</v>
      </c>
      <c r="I380" s="6">
        <f t="shared" si="35"/>
        <v>1.0400289501311832</v>
      </c>
      <c r="J380" s="1" t="str">
        <f t="shared" si="31"/>
        <v>Completo</v>
      </c>
      <c r="K380" s="1">
        <f>COUNTIFS([1]Desglose_BOM_Componentes!$B$4340:$B$4351,$A380,[1]Desglose_BOM_Componentes!$AE$4340:$AE$4351,"Sin precio")</f>
        <v>0</v>
      </c>
      <c r="L380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381" spans="1:12" ht="22" customHeight="1">
      <c r="A381" s="1" t="s">
        <v>413</v>
      </c>
      <c r="B381" s="1" t="s">
        <v>18</v>
      </c>
      <c r="C381" s="1" t="s">
        <v>19</v>
      </c>
      <c r="D381" s="4">
        <f>IF(COUNTIFS([1]Desglose_BOM_Componentes!$B$4352:$B$4363,$A381,[1]Desglose_BOM_Componentes!$AE$4352:$AE$4363,"Sin precio",[1]Desglose_BOM_Componentes!$X$4352:$X$4363,"Formulación")&gt;0,"n.d.",SUMIFS([1]Desglose_BOM_Componentes!$AC$4352:$AC$4363,[1]Desglose_BOM_Componentes!$B$4352:$B$4363,$A381,[1]Desglose_BOM_Componentes!$X$4352:$X$4363,"Formulación"))</f>
        <v>0.94080700000000006</v>
      </c>
      <c r="E381" s="4">
        <f>IF(COUNTIFS([1]Desglose_BOM_Componentes!$B$4352:$B$4363,$A381,[1]Desglose_BOM_Componentes!$AE$4352:$AE$4363,"Sin precio",[1]Desglose_BOM_Componentes!$X$4352:$X$4363,"Empaquetado")&gt;0,"n.d.",SUMIFS([1]Desglose_BOM_Componentes!$AC$4352:$AC$4363,[1]Desglose_BOM_Componentes!$B$4352:$B$4363,$A381,[1]Desglose_BOM_Componentes!$X$4352:$X$4363,"Empaquetado"))</f>
        <v>0.23158280727404049</v>
      </c>
      <c r="F381" s="6">
        <f t="shared" si="34"/>
        <v>1.1765898072740406</v>
      </c>
      <c r="G381" s="4">
        <f>IF(COUNTIFS([1]Desglose_BOM_Componentes!$B$4352:$B$4363,$A381,[1]Desglose_BOM_Componentes!$AE$4352:$AE$4363,"Sin precio",[1]Desglose_BOM_Componentes!$X$4352:$X$4363,"Formulación")&gt;0,"n.d.",SUMIFS([1]Desglose_BOM_Componentes!$AD$4352:$AD$4363,[1]Desglose_BOM_Componentes!$B$4352:$B$4363,$A381,[1]Desglose_BOM_Componentes!$X$4352:$X$4363,"Formulación"))</f>
        <v>0.8042461428571428</v>
      </c>
      <c r="H381" s="4">
        <f>IF(COUNTIFS([1]Desglose_BOM_Componentes!$B$4352:$B$4363,$A381,[1]Desglose_BOM_Componentes!$AE$4352:$AE$4363,"Sin precio",[1]Desglose_BOM_Componentes!$X$4352:$X$4363,"Empaquetado")&gt;0,"n.d.",SUMIFS([1]Desglose_BOM_Componentes!$AD$4352:$AD$4363,[1]Desglose_BOM_Componentes!$B$4352:$B$4363,$A381,[1]Desglose_BOM_Componentes!$X$4352:$X$4363,"Empaquetado"))</f>
        <v>0.23158280727404049</v>
      </c>
      <c r="I381" s="6">
        <f t="shared" si="35"/>
        <v>1.0400289501311832</v>
      </c>
      <c r="J381" s="1" t="str">
        <f t="shared" si="31"/>
        <v>Completo</v>
      </c>
      <c r="K381" s="1">
        <f>COUNTIFS([1]Desglose_BOM_Componentes!$B$4352:$B$4363,$A381,[1]Desglose_BOM_Componentes!$AE$4352:$AE$4363,"Sin precio")</f>
        <v>0</v>
      </c>
      <c r="L381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componentes'!D146="Sin precio","TPD61I; ","")</f>
        <v/>
      </c>
    </row>
    <row r="382" spans="1:12" ht="22" customHeight="1">
      <c r="A382" s="1" t="s">
        <v>414</v>
      </c>
      <c r="B382" s="1" t="s">
        <v>18</v>
      </c>
      <c r="C382" s="1" t="s">
        <v>24</v>
      </c>
      <c r="D382" s="4">
        <f>IF(COUNTIFS([1]Desglose_BOM_Componentes!$B$4364:$B$4376,$A382,[1]Desglose_BOM_Componentes!$AE$4364:$AE$4376,"Sin precio",[1]Desglose_BOM_Componentes!$X$4364:$X$4376,"Formulación")&gt;0,"n.d.",SUMIFS([1]Desglose_BOM_Componentes!$AC$4364:$AC$4376,[1]Desglose_BOM_Componentes!$B$4364:$B$4376,$A382,[1]Desglose_BOM_Componentes!$X$4364:$X$4376,"Formulación"))</f>
        <v>0.94080700000000006</v>
      </c>
      <c r="E382" s="4">
        <f>IF(COUNTIFS([1]Desglose_BOM_Componentes!$B$4364:$B$4376,$A382,[1]Desglose_BOM_Componentes!$AE$4364:$AE$4376,"Sin precio",[1]Desglose_BOM_Componentes!$X$4364:$X$4376,"Empaquetado")&gt;0,"n.d.",SUMIFS([1]Desglose_BOM_Componentes!$AC$4364:$AC$4376,[1]Desglose_BOM_Componentes!$B$4364:$B$4376,$A382,[1]Desglose_BOM_Componentes!$X$4364:$X$4376,"Empaquetado"))</f>
        <v>0.19508731331430246</v>
      </c>
      <c r="F382" s="6">
        <f t="shared" si="34"/>
        <v>1.1400943133143024</v>
      </c>
      <c r="G382" s="4">
        <f>IF(COUNTIFS([1]Desglose_BOM_Componentes!$B$4364:$B$4376,$A382,[1]Desglose_BOM_Componentes!$AE$4364:$AE$4376,"Sin precio",[1]Desglose_BOM_Componentes!$X$4364:$X$4376,"Formulación")&gt;0,"n.d.",SUMIFS([1]Desglose_BOM_Componentes!$AD$4364:$AD$4376,[1]Desglose_BOM_Componentes!$B$4364:$B$4376,$A382,[1]Desglose_BOM_Componentes!$X$4364:$X$4376,"Formulación"))</f>
        <v>0.8042461428571428</v>
      </c>
      <c r="H382" s="4">
        <f>IF(COUNTIFS([1]Desglose_BOM_Componentes!$B$4364:$B$4376,$A382,[1]Desglose_BOM_Componentes!$AE$4364:$AE$4376,"Sin precio",[1]Desglose_BOM_Componentes!$X$4364:$X$4376,"Empaquetado")&gt;0,"n.d.",SUMIFS([1]Desglose_BOM_Componentes!$AD$4364:$AD$4376,[1]Desglose_BOM_Componentes!$B$4364:$B$4376,$A382,[1]Desglose_BOM_Componentes!$X$4364:$X$4376,"Empaquetado"))</f>
        <v>0.19508731331430246</v>
      </c>
      <c r="I382" s="6">
        <f t="shared" si="35"/>
        <v>1.0035334561714453</v>
      </c>
      <c r="J382" s="1" t="str">
        <f t="shared" si="31"/>
        <v>Completo</v>
      </c>
      <c r="K382" s="1">
        <f>COUNTIFS([1]Desglose_BOM_Componentes!$B$4364:$B$4376,$A382,[1]Desglose_BOM_Componentes!$AE$4364:$AE$4376,"Sin precio")</f>
        <v>0</v>
      </c>
      <c r="L382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383" spans="1:12" ht="22" customHeight="1">
      <c r="A383" s="1" t="s">
        <v>415</v>
      </c>
      <c r="B383" s="1" t="s">
        <v>18</v>
      </c>
      <c r="C383" s="1" t="s">
        <v>19</v>
      </c>
      <c r="D383" s="4">
        <f>IF(COUNTIFS([1]Desglose_BOM_Componentes!$B$4377:$B$4389,$A383,[1]Desglose_BOM_Componentes!$AE$4377:$AE$4389,"Sin precio",[1]Desglose_BOM_Componentes!$X$4377:$X$4389,"Formulación")&gt;0,"n.d.",SUMIFS([1]Desglose_BOM_Componentes!$AC$4377:$AC$4389,[1]Desglose_BOM_Componentes!$B$4377:$B$4389,$A383,[1]Desglose_BOM_Componentes!$X$4377:$X$4389,"Formulación"))</f>
        <v>0.94080700000000006</v>
      </c>
      <c r="E383" s="4">
        <f>IF(COUNTIFS([1]Desglose_BOM_Componentes!$B$4377:$B$4389,$A383,[1]Desglose_BOM_Componentes!$AE$4377:$AE$4389,"Sin precio",[1]Desglose_BOM_Componentes!$X$4377:$X$4389,"Empaquetado")&gt;0,"n.d.",SUMIFS([1]Desglose_BOM_Componentes!$AC$4377:$AC$4389,[1]Desglose_BOM_Componentes!$B$4377:$B$4389,$A383,[1]Desglose_BOM_Componentes!$X$4377:$X$4389,"Empaquetado"))</f>
        <v>0.19508731331430246</v>
      </c>
      <c r="F383" s="6">
        <f t="shared" si="34"/>
        <v>1.1400943133143024</v>
      </c>
      <c r="G383" s="4">
        <f>IF(COUNTIFS([1]Desglose_BOM_Componentes!$B$4377:$B$4389,$A383,[1]Desglose_BOM_Componentes!$AE$4377:$AE$4389,"Sin precio",[1]Desglose_BOM_Componentes!$X$4377:$X$4389,"Formulación")&gt;0,"n.d.",SUMIFS([1]Desglose_BOM_Componentes!$AD$4377:$AD$4389,[1]Desglose_BOM_Componentes!$B$4377:$B$4389,$A383,[1]Desglose_BOM_Componentes!$X$4377:$X$4389,"Formulación"))</f>
        <v>0.8042461428571428</v>
      </c>
      <c r="H383" s="4">
        <f>IF(COUNTIFS([1]Desglose_BOM_Componentes!$B$4377:$B$4389,$A383,[1]Desglose_BOM_Componentes!$AE$4377:$AE$4389,"Sin precio",[1]Desglose_BOM_Componentes!$X$4377:$X$4389,"Empaquetado")&gt;0,"n.d.",SUMIFS([1]Desglose_BOM_Componentes!$AD$4377:$AD$4389,[1]Desglose_BOM_Componentes!$B$4377:$B$4389,$A383,[1]Desglose_BOM_Componentes!$X$4377:$X$4389,"Empaquetado"))</f>
        <v>0.19508731331430246</v>
      </c>
      <c r="I383" s="6">
        <f t="shared" si="35"/>
        <v>1.0035334561714453</v>
      </c>
      <c r="J383" s="1" t="str">
        <f t="shared" si="31"/>
        <v>Completo</v>
      </c>
      <c r="K383" s="1">
        <f>COUNTIFS([1]Desglose_BOM_Componentes!$B$4377:$B$4389,$A383,[1]Desglose_BOM_Componentes!$AE$4377:$AE$4389,"Sin precio")</f>
        <v>0</v>
      </c>
      <c r="L383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componentes'!D95="Sin precio","KIA250; ","")&amp;IF('[1]Precios componentes'!D38="Sin precio","CAPSU; ","")&amp;IF('[1]Precios componentes'!D18="Sin precio","B200; ","")&amp;IF('[1]Precios componentes'!D115="Sin precio","PAL; ","")&amp;IF('[1]Precios componentes'!D19="Sin precio","B200GRIF; ","")&amp;IF('[1]Precios componentes'!D20="Sin precio","B200TP; ","")</f>
        <v/>
      </c>
    </row>
    <row r="384" spans="1:12" ht="22" customHeight="1">
      <c r="A384" s="1" t="s">
        <v>416</v>
      </c>
      <c r="B384" s="1" t="s">
        <v>18</v>
      </c>
      <c r="C384" s="1" t="s">
        <v>24</v>
      </c>
      <c r="D384" s="4">
        <f>IF(COUNTIFS([1]Desglose_BOM_Componentes!$B$4390:$B$4398,$A384,[1]Desglose_BOM_Componentes!$AE$4390:$AE$4398,"Sin precio",[1]Desglose_BOM_Componentes!$X$4390:$X$4398,"Formulación")&gt;0,"n.d.",SUMIFS([1]Desglose_BOM_Componentes!$AC$4390:$AC$4398,[1]Desglose_BOM_Componentes!$B$4390:$B$4398,$A384,[1]Desglose_BOM_Componentes!$X$4390:$X$4398,"Formulación"))</f>
        <v>0.94080700000000006</v>
      </c>
      <c r="E384" s="4">
        <f>IF(COUNTIFS([1]Desglose_BOM_Componentes!$B$4390:$B$4398,$A384,[1]Desglose_BOM_Componentes!$AE$4390:$AE$4398,"Sin precio",[1]Desglose_BOM_Componentes!$X$4390:$X$4398,"Empaquetado")&gt;0,"n.d.",SUMIFS([1]Desglose_BOM_Componentes!$AC$4390:$AC$4398,[1]Desglose_BOM_Componentes!$B$4390:$B$4398,$A384,[1]Desglose_BOM_Componentes!$X$4390:$X$4398,"Empaquetado"))</f>
        <v>6.994759378174159E-2</v>
      </c>
      <c r="F384" s="6">
        <f t="shared" si="34"/>
        <v>1.0149545937817417</v>
      </c>
      <c r="G384" s="4">
        <f>IF(COUNTIFS([1]Desglose_BOM_Componentes!$B$4390:$B$4398,$A384,[1]Desglose_BOM_Componentes!$AE$4390:$AE$4398,"Sin precio",[1]Desglose_BOM_Componentes!$X$4390:$X$4398,"Formulación")&gt;0,"n.d.",SUMIFS([1]Desglose_BOM_Componentes!$AD$4390:$AD$4398,[1]Desglose_BOM_Componentes!$B$4390:$B$4398,$A384,[1]Desglose_BOM_Componentes!$X$4390:$X$4398,"Formulación"))</f>
        <v>0.8042461428571428</v>
      </c>
      <c r="H384" s="4">
        <f>IF(COUNTIFS([1]Desglose_BOM_Componentes!$B$4390:$B$4398,$A384,[1]Desglose_BOM_Componentes!$AE$4390:$AE$4398,"Sin precio",[1]Desglose_BOM_Componentes!$X$4390:$X$4398,"Empaquetado")&gt;0,"n.d.",SUMIFS([1]Desglose_BOM_Componentes!$AD$4390:$AD$4398,[1]Desglose_BOM_Componentes!$B$4390:$B$4398,$A384,[1]Desglose_BOM_Componentes!$X$4390:$X$4398,"Empaquetado"))</f>
        <v>6.994759378174159E-2</v>
      </c>
      <c r="I384" s="6">
        <f t="shared" si="35"/>
        <v>0.87839373663888431</v>
      </c>
      <c r="J384" s="1" t="str">
        <f t="shared" si="31"/>
        <v>Completo</v>
      </c>
      <c r="K384" s="1">
        <f>COUNTIFS([1]Desglose_BOM_Componentes!$B$4390:$B$4398,$A384,[1]Desglose_BOM_Componentes!$AE$4390:$AE$4398,"Sin precio")</f>
        <v>0</v>
      </c>
      <c r="L384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componentes'!D31="Sin precio","C1000R; ","")&amp;IF('[1]Precios componentes'!D95="Sin precio","KIA250; ","")</f>
        <v/>
      </c>
    </row>
    <row r="385" spans="1:12" ht="22" customHeight="1">
      <c r="A385" s="1" t="s">
        <v>417</v>
      </c>
      <c r="B385" s="1" t="s">
        <v>18</v>
      </c>
      <c r="C385" s="1" t="s">
        <v>21</v>
      </c>
      <c r="D385" s="4">
        <f>IF(COUNTIFS([1]Desglose_BOM_Componentes!$B$4399:$B$4407,$A385,[1]Desglose_BOM_Componentes!$AE$4399:$AE$4407,"Sin precio",[1]Desglose_BOM_Componentes!$X$4399:$X$4407,"Formulación")&gt;0,"n.d.",SUMIFS([1]Desglose_BOM_Componentes!$AC$4399:$AC$4407,[1]Desglose_BOM_Componentes!$B$4399:$B$4407,$A385,[1]Desglose_BOM_Componentes!$X$4399:$X$4407,"Formulación"))</f>
        <v>0.94080700000000006</v>
      </c>
      <c r="E385" s="4">
        <f>IF(COUNTIFS([1]Desglose_BOM_Componentes!$B$4399:$B$4407,$A385,[1]Desglose_BOM_Componentes!$AE$4399:$AE$4407,"Sin precio",[1]Desglose_BOM_Componentes!$X$4399:$X$4407,"Empaquetado")&gt;0,"n.d.",SUMIFS([1]Desglose_BOM_Componentes!$AC$4399:$AC$4407,[1]Desglose_BOM_Componentes!$B$4399:$B$4407,$A385,[1]Desglose_BOM_Componentes!$X$4399:$X$4407,"Empaquetado"))</f>
        <v>6.994759378174159E-2</v>
      </c>
      <c r="F385" s="6">
        <f t="shared" si="34"/>
        <v>1.0149545937817417</v>
      </c>
      <c r="G385" s="4">
        <f>IF(COUNTIFS([1]Desglose_BOM_Componentes!$B$4399:$B$4407,$A385,[1]Desglose_BOM_Componentes!$AE$4399:$AE$4407,"Sin precio",[1]Desglose_BOM_Componentes!$X$4399:$X$4407,"Formulación")&gt;0,"n.d.",SUMIFS([1]Desglose_BOM_Componentes!$AD$4399:$AD$4407,[1]Desglose_BOM_Componentes!$B$4399:$B$4407,$A385,[1]Desglose_BOM_Componentes!$X$4399:$X$4407,"Formulación"))</f>
        <v>0.8042461428571428</v>
      </c>
      <c r="H385" s="4">
        <f>IF(COUNTIFS([1]Desglose_BOM_Componentes!$B$4399:$B$4407,$A385,[1]Desglose_BOM_Componentes!$AE$4399:$AE$4407,"Sin precio",[1]Desglose_BOM_Componentes!$X$4399:$X$4407,"Empaquetado")&gt;0,"n.d.",SUMIFS([1]Desglose_BOM_Componentes!$AD$4399:$AD$4407,[1]Desglose_BOM_Componentes!$B$4399:$B$4407,$A385,[1]Desglose_BOM_Componentes!$X$4399:$X$4407,"Empaquetado"))</f>
        <v>6.994759378174159E-2</v>
      </c>
      <c r="I385" s="6">
        <f t="shared" si="35"/>
        <v>0.87839373663888431</v>
      </c>
      <c r="J385" s="1" t="str">
        <f t="shared" si="31"/>
        <v>Completo</v>
      </c>
      <c r="K385" s="1">
        <f>COUNTIFS([1]Desglose_BOM_Componentes!$B$4399:$B$4407,$A385,[1]Desglose_BOM_Componentes!$AE$4399:$AE$4407,"Sin precio")</f>
        <v>0</v>
      </c>
      <c r="L385" s="1" t="str">
        <f>IF('[1]Precios componentes'!D93="Sin precio","KF78; ","")&amp;IF('[1]Precios componentes'!D54="Sin precio","EDT; ","")&amp;IF('[1]Precios componentes'!D90="Sin precio","HPOL; ","")&amp;IF('[1]Precios componentes'!D104="Sin precio","MAL; ","")&amp;IF('[1]Precios componentes'!D77="Sin precio","FOP; ","")&amp;IF('[1]Precios componentes'!D24="Sin precio","BET; ","")&amp;IF('[1]Precios componentes'!D48="Sin precio","CTRE0020; ","")&amp;IF('[1]Precios componentes'!D31="Sin precio","C1000R; ","")&amp;IF('[1]Precios componentes'!D95="Sin precio","KIA250; ","")</f>
        <v/>
      </c>
    </row>
    <row r="386" spans="1:12" ht="22" customHeight="1">
      <c r="A386" s="1" t="s">
        <v>418</v>
      </c>
      <c r="B386" s="1" t="s">
        <v>18</v>
      </c>
      <c r="C386" s="1" t="s">
        <v>84</v>
      </c>
      <c r="D386" s="4">
        <f>IF(COUNTIFS([1]Desglose_BOM_Componentes!$B$4408:$B$4421,$A386,[1]Desglose_BOM_Componentes!$AE$4408:$AE$4421,"Sin precio",[1]Desglose_BOM_Componentes!$X$4408:$X$4421,"Formulación")&gt;0,"n.d.",SUMIFS([1]Desglose_BOM_Componentes!$AC$4408:$AC$4421,[1]Desglose_BOM_Componentes!$B$4408:$B$4421,$A386,[1]Desglose_BOM_Componentes!$X$4408:$X$4421,"Formulación"))</f>
        <v>3.7584557377049181</v>
      </c>
      <c r="E386" s="4">
        <f>IF(COUNTIFS([1]Desglose_BOM_Componentes!$B$4408:$B$4421,$A386,[1]Desglose_BOM_Componentes!$AE$4408:$AE$4421,"Sin precio",[1]Desglose_BOM_Componentes!$X$4408:$X$4421,"Empaquetado")&gt;0,"n.d.",SUMIFS([1]Desglose_BOM_Componentes!$AC$4408:$AC$4421,[1]Desglose_BOM_Componentes!$B$4408:$B$4421,$A386,[1]Desglose_BOM_Componentes!$X$4408:$X$4421,"Empaquetado"))</f>
        <v>1.0859479144143824</v>
      </c>
      <c r="F386" s="6">
        <f t="shared" si="34"/>
        <v>4.8486036521193006</v>
      </c>
      <c r="G386" s="4">
        <f>IF(COUNTIFS([1]Desglose_BOM_Componentes!$B$4408:$B$4421,$A386,[1]Desglose_BOM_Componentes!$AE$4408:$AE$4421,"Sin precio",[1]Desglose_BOM_Componentes!$X$4408:$X$4421,"Formulación")&gt;0,"n.d.",SUMIFS([1]Desglose_BOM_Componentes!$AD$4408:$AD$4421,[1]Desglose_BOM_Componentes!$B$4408:$B$4421,$A386,[1]Desglose_BOM_Componentes!$X$4408:$X$4421,"Formulación"))</f>
        <v>3.6891497377049176</v>
      </c>
      <c r="H386" s="4">
        <f>IF(COUNTIFS([1]Desglose_BOM_Componentes!$B$4408:$B$4421,$A386,[1]Desglose_BOM_Componentes!$AE$4408:$AE$4421,"Sin precio",[1]Desglose_BOM_Componentes!$X$4408:$X$4421,"Empaquetado")&gt;0,"n.d.",SUMIFS([1]Desglose_BOM_Componentes!$AD$4408:$AD$4421,[1]Desglose_BOM_Componentes!$B$4408:$B$4421,$A386,[1]Desglose_BOM_Componentes!$X$4408:$X$4421,"Empaquetado"))</f>
        <v>0.95531458108104916</v>
      </c>
      <c r="I386" s="6">
        <f t="shared" si="35"/>
        <v>4.6486643187859666</v>
      </c>
      <c r="J386" s="1" t="str">
        <f t="shared" si="31"/>
        <v>Completo</v>
      </c>
      <c r="K386" s="1">
        <f>COUNTIFS([1]Desglose_BOM_Componentes!$B$4408:$B$4421,$A386,[1]Desglose_BOM_Componentes!$AE$4408:$AE$4421,"Sin precio")</f>
        <v>0</v>
      </c>
      <c r="L386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87" spans="1:12" ht="22" customHeight="1">
      <c r="A387" s="1" t="s">
        <v>419</v>
      </c>
      <c r="B387" s="1" t="s">
        <v>18</v>
      </c>
      <c r="C387" s="1" t="s">
        <v>69</v>
      </c>
      <c r="D387" s="4">
        <f>IF(COUNTIFS([1]Desglose_BOM_Componentes!$B$4422:$B$4435,$A387,[1]Desglose_BOM_Componentes!$AE$4422:$AE$4435,"Sin precio",[1]Desglose_BOM_Componentes!$X$4422:$X$4435,"Formulación")&gt;0,"n.d.",SUMIFS([1]Desglose_BOM_Componentes!$AC$4422:$AC$4435,[1]Desglose_BOM_Componentes!$B$4422:$B$4435,$A387,[1]Desglose_BOM_Componentes!$X$4422:$X$4435,"Formulación"))</f>
        <v>3.7584557377049181</v>
      </c>
      <c r="E387" s="4">
        <f>IF(COUNTIFS([1]Desglose_BOM_Componentes!$B$4422:$B$4435,$A387,[1]Desglose_BOM_Componentes!$AE$4422:$AE$4435,"Sin precio",[1]Desglose_BOM_Componentes!$X$4422:$X$4435,"Empaquetado")&gt;0,"n.d.",SUMIFS([1]Desglose_BOM_Componentes!$AC$4422:$AC$4435,[1]Desglose_BOM_Componentes!$B$4422:$B$4435,$A387,[1]Desglose_BOM_Componentes!$X$4422:$X$4435,"Empaquetado"))</f>
        <v>1.0859479144143824</v>
      </c>
      <c r="F387" s="6">
        <f t="shared" si="34"/>
        <v>4.8486036521193006</v>
      </c>
      <c r="G387" s="4">
        <f>IF(COUNTIFS([1]Desglose_BOM_Componentes!$B$4422:$B$4435,$A387,[1]Desglose_BOM_Componentes!$AE$4422:$AE$4435,"Sin precio",[1]Desglose_BOM_Componentes!$X$4422:$X$4435,"Formulación")&gt;0,"n.d.",SUMIFS([1]Desglose_BOM_Componentes!$AD$4422:$AD$4435,[1]Desglose_BOM_Componentes!$B$4422:$B$4435,$A387,[1]Desglose_BOM_Componentes!$X$4422:$X$4435,"Formulación"))</f>
        <v>3.6891497377049176</v>
      </c>
      <c r="H387" s="4">
        <f>IF(COUNTIFS([1]Desglose_BOM_Componentes!$B$4422:$B$4435,$A387,[1]Desglose_BOM_Componentes!$AE$4422:$AE$4435,"Sin precio",[1]Desglose_BOM_Componentes!$X$4422:$X$4435,"Empaquetado")&gt;0,"n.d.",SUMIFS([1]Desglose_BOM_Componentes!$AD$4422:$AD$4435,[1]Desglose_BOM_Componentes!$B$4422:$B$4435,$A387,[1]Desglose_BOM_Componentes!$X$4422:$X$4435,"Empaquetado"))</f>
        <v>0.95531458108104916</v>
      </c>
      <c r="I387" s="6">
        <f t="shared" si="35"/>
        <v>4.6486643187859666</v>
      </c>
      <c r="J387" s="1" t="str">
        <f t="shared" si="31"/>
        <v>Completo</v>
      </c>
      <c r="K387" s="1">
        <f>COUNTIFS([1]Desglose_BOM_Componentes!$B$4422:$B$4435,$A387,[1]Desglose_BOM_Componentes!$AE$4422:$AE$4435,"Sin precio")</f>
        <v>0</v>
      </c>
      <c r="L387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88" spans="1:12" ht="22" customHeight="1">
      <c r="A388" s="1" t="s">
        <v>420</v>
      </c>
      <c r="B388" s="1" t="s">
        <v>18</v>
      </c>
      <c r="C388" s="1" t="s">
        <v>79</v>
      </c>
      <c r="D388" s="4">
        <f>IF(COUNTIFS([1]Desglose_BOM_Componentes!$B$4436:$B$4449,$A388,[1]Desglose_BOM_Componentes!$AE$4436:$AE$4449,"Sin precio",[1]Desglose_BOM_Componentes!$X$4436:$X$4449,"Formulación")&gt;0,"n.d.",SUMIFS([1]Desglose_BOM_Componentes!$AC$4436:$AC$4449,[1]Desglose_BOM_Componentes!$B$4436:$B$4449,$A388,[1]Desglose_BOM_Componentes!$X$4436:$X$4449,"Formulación"))</f>
        <v>3.7584557377049181</v>
      </c>
      <c r="E388" s="4">
        <f>IF(COUNTIFS([1]Desglose_BOM_Componentes!$B$4436:$B$4449,$A388,[1]Desglose_BOM_Componentes!$AE$4436:$AE$4449,"Sin precio",[1]Desglose_BOM_Componentes!$X$4436:$X$4449,"Empaquetado")&gt;0,"n.d.",SUMIFS([1]Desglose_BOM_Componentes!$AC$4436:$AC$4449,[1]Desglose_BOM_Componentes!$B$4436:$B$4449,$A388,[1]Desglose_BOM_Componentes!$X$4436:$X$4449,"Empaquetado"))</f>
        <v>1.0859479144143824</v>
      </c>
      <c r="F388" s="6">
        <f t="shared" si="34"/>
        <v>4.8486036521193006</v>
      </c>
      <c r="G388" s="4">
        <f>IF(COUNTIFS([1]Desglose_BOM_Componentes!$B$4436:$B$4449,$A388,[1]Desglose_BOM_Componentes!$AE$4436:$AE$4449,"Sin precio",[1]Desglose_BOM_Componentes!$X$4436:$X$4449,"Formulación")&gt;0,"n.d.",SUMIFS([1]Desglose_BOM_Componentes!$AD$4436:$AD$4449,[1]Desglose_BOM_Componentes!$B$4436:$B$4449,$A388,[1]Desglose_BOM_Componentes!$X$4436:$X$4449,"Formulación"))</f>
        <v>3.6891497377049176</v>
      </c>
      <c r="H388" s="4">
        <f>IF(COUNTIFS([1]Desglose_BOM_Componentes!$B$4436:$B$4449,$A388,[1]Desglose_BOM_Componentes!$AE$4436:$AE$4449,"Sin precio",[1]Desglose_BOM_Componentes!$X$4436:$X$4449,"Empaquetado")&gt;0,"n.d.",SUMIFS([1]Desglose_BOM_Componentes!$AD$4436:$AD$4449,[1]Desglose_BOM_Componentes!$B$4436:$B$4449,$A388,[1]Desglose_BOM_Componentes!$X$4436:$X$4449,"Empaquetado"))</f>
        <v>0.95531458108104916</v>
      </c>
      <c r="I388" s="6">
        <f t="shared" si="35"/>
        <v>4.6486643187859666</v>
      </c>
      <c r="J388" s="1" t="str">
        <f t="shared" si="31"/>
        <v>Completo</v>
      </c>
      <c r="K388" s="1">
        <f>COUNTIFS([1]Desglose_BOM_Componentes!$B$4436:$B$4449,$A388,[1]Desglose_BOM_Componentes!$AE$4436:$AE$4449,"Sin precio")</f>
        <v>0</v>
      </c>
      <c r="L388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89" spans="1:12" ht="22" customHeight="1">
      <c r="A389" s="1" t="s">
        <v>421</v>
      </c>
      <c r="B389" s="1" t="s">
        <v>18</v>
      </c>
      <c r="C389" s="1" t="s">
        <v>71</v>
      </c>
      <c r="D389" s="4">
        <f>IF(COUNTIFS([1]Desglose_BOM_Componentes!$B$4450:$B$4463,$A389,[1]Desglose_BOM_Componentes!$AE$4450:$AE$4463,"Sin precio",[1]Desglose_BOM_Componentes!$X$4450:$X$4463,"Formulación")&gt;0,"n.d.",SUMIFS([1]Desglose_BOM_Componentes!$AC$4450:$AC$4463,[1]Desglose_BOM_Componentes!$B$4450:$B$4463,$A389,[1]Desglose_BOM_Componentes!$X$4450:$X$4463,"Formulación"))</f>
        <v>3.7584557377049181</v>
      </c>
      <c r="E389" s="4">
        <f>IF(COUNTIFS([1]Desglose_BOM_Componentes!$B$4450:$B$4463,$A389,[1]Desglose_BOM_Componentes!$AE$4450:$AE$4463,"Sin precio",[1]Desglose_BOM_Componentes!$X$4450:$X$4463,"Empaquetado")&gt;0,"n.d.",SUMIFS([1]Desglose_BOM_Componentes!$AC$4450:$AC$4463,[1]Desglose_BOM_Componentes!$B$4450:$B$4463,$A389,[1]Desglose_BOM_Componentes!$X$4450:$X$4463,"Empaquetado"))</f>
        <v>1.0859479144143824</v>
      </c>
      <c r="F389" s="6">
        <f t="shared" si="34"/>
        <v>4.8486036521193006</v>
      </c>
      <c r="G389" s="4">
        <f>IF(COUNTIFS([1]Desglose_BOM_Componentes!$B$4450:$B$4463,$A389,[1]Desglose_BOM_Componentes!$AE$4450:$AE$4463,"Sin precio",[1]Desglose_BOM_Componentes!$X$4450:$X$4463,"Formulación")&gt;0,"n.d.",SUMIFS([1]Desglose_BOM_Componentes!$AD$4450:$AD$4463,[1]Desglose_BOM_Componentes!$B$4450:$B$4463,$A389,[1]Desglose_BOM_Componentes!$X$4450:$X$4463,"Formulación"))</f>
        <v>3.6891497377049176</v>
      </c>
      <c r="H389" s="4">
        <f>IF(COUNTIFS([1]Desglose_BOM_Componentes!$B$4450:$B$4463,$A389,[1]Desglose_BOM_Componentes!$AE$4450:$AE$4463,"Sin precio",[1]Desglose_BOM_Componentes!$X$4450:$X$4463,"Empaquetado")&gt;0,"n.d.",SUMIFS([1]Desglose_BOM_Componentes!$AD$4450:$AD$4463,[1]Desglose_BOM_Componentes!$B$4450:$B$4463,$A389,[1]Desglose_BOM_Componentes!$X$4450:$X$4463,"Empaquetado"))</f>
        <v>0.95531458108104916</v>
      </c>
      <c r="I389" s="6">
        <f t="shared" si="35"/>
        <v>4.6486643187859666</v>
      </c>
      <c r="J389" s="1" t="str">
        <f t="shared" ref="J389:J444" si="36">IF(K389=0,"Completo","Pendiente")</f>
        <v>Completo</v>
      </c>
      <c r="K389" s="1">
        <f>COUNTIFS([1]Desglose_BOM_Componentes!$B$4450:$B$4463,$A389,[1]Desglose_BOM_Componentes!$AE$4450:$AE$4463,"Sin precio")</f>
        <v>0</v>
      </c>
      <c r="L389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90" spans="1:12" ht="22" customHeight="1">
      <c r="A390" s="1" t="s">
        <v>422</v>
      </c>
      <c r="B390" s="1" t="s">
        <v>18</v>
      </c>
      <c r="C390" s="1" t="s">
        <v>15</v>
      </c>
      <c r="D390" s="4">
        <f>IF(COUNTIFS([1]Desglose_BOM_Componentes!$B$4464:$B$4477,$A390,[1]Desglose_BOM_Componentes!$AE$4464:$AE$4477,"Sin precio",[1]Desglose_BOM_Componentes!$X$4464:$X$4477,"Formulación")&gt;0,"n.d.",SUMIFS([1]Desglose_BOM_Componentes!$AC$4464:$AC$4477,[1]Desglose_BOM_Componentes!$B$4464:$B$4477,$A390,[1]Desglose_BOM_Componentes!$X$4464:$X$4477,"Formulación"))</f>
        <v>3.7584557377049181</v>
      </c>
      <c r="E390" s="4">
        <f>IF(COUNTIFS([1]Desglose_BOM_Componentes!$B$4464:$B$4477,$A390,[1]Desglose_BOM_Componentes!$AE$4464:$AE$4477,"Sin precio",[1]Desglose_BOM_Componentes!$X$4464:$X$4477,"Empaquetado")&gt;0,"n.d.",SUMIFS([1]Desglose_BOM_Componentes!$AC$4464:$AC$4477,[1]Desglose_BOM_Componentes!$B$4464:$B$4477,$A390,[1]Desglose_BOM_Componentes!$X$4464:$X$4477,"Empaquetado"))</f>
        <v>1.0859479144143824</v>
      </c>
      <c r="F390" s="6">
        <f t="shared" si="34"/>
        <v>4.8486036521193006</v>
      </c>
      <c r="G390" s="4">
        <f>IF(COUNTIFS([1]Desglose_BOM_Componentes!$B$4464:$B$4477,$A390,[1]Desglose_BOM_Componentes!$AE$4464:$AE$4477,"Sin precio",[1]Desglose_BOM_Componentes!$X$4464:$X$4477,"Formulación")&gt;0,"n.d.",SUMIFS([1]Desglose_BOM_Componentes!$AD$4464:$AD$4477,[1]Desglose_BOM_Componentes!$B$4464:$B$4477,$A390,[1]Desglose_BOM_Componentes!$X$4464:$X$4477,"Formulación"))</f>
        <v>3.6891497377049176</v>
      </c>
      <c r="H390" s="4">
        <f>IF(COUNTIFS([1]Desglose_BOM_Componentes!$B$4464:$B$4477,$A390,[1]Desglose_BOM_Componentes!$AE$4464:$AE$4477,"Sin precio",[1]Desglose_BOM_Componentes!$X$4464:$X$4477,"Empaquetado")&gt;0,"n.d.",SUMIFS([1]Desglose_BOM_Componentes!$AD$4464:$AD$4477,[1]Desglose_BOM_Componentes!$B$4464:$B$4477,$A390,[1]Desglose_BOM_Componentes!$X$4464:$X$4477,"Empaquetado"))</f>
        <v>0.95531458108104916</v>
      </c>
      <c r="I390" s="6">
        <f t="shared" si="35"/>
        <v>4.6486643187859666</v>
      </c>
      <c r="J390" s="1" t="str">
        <f t="shared" si="36"/>
        <v>Completo</v>
      </c>
      <c r="K390" s="1">
        <f>COUNTIFS([1]Desglose_BOM_Componentes!$B$4464:$B$4477,$A390,[1]Desglose_BOM_Componentes!$AE$4464:$AE$4477,"Sin precio")</f>
        <v>0</v>
      </c>
      <c r="L390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391" spans="1:12" ht="22" customHeight="1">
      <c r="A391" s="1" t="s">
        <v>423</v>
      </c>
      <c r="B391" s="1" t="s">
        <v>18</v>
      </c>
      <c r="C391" s="1" t="s">
        <v>24</v>
      </c>
      <c r="D391" s="4">
        <f>IF(COUNTIFS([1]Desglose_BOM_Componentes!$B$4478:$B$4491,$A391,[1]Desglose_BOM_Componentes!$AE$4478:$AE$4491,"Sin precio",[1]Desglose_BOM_Componentes!$X$4478:$X$4491,"Formulación")&gt;0,"n.d.",SUMIFS([1]Desglose_BOM_Componentes!$AC$4478:$AC$4491,[1]Desglose_BOM_Componentes!$B$4478:$B$4491,$A391,[1]Desglose_BOM_Componentes!$X$4478:$X$4491,"Formulación"))</f>
        <v>3.7584557377049181</v>
      </c>
      <c r="E391" s="4">
        <f>IF(COUNTIFS([1]Desglose_BOM_Componentes!$B$4478:$B$4491,$A391,[1]Desglose_BOM_Componentes!$AE$4478:$AE$4491,"Sin precio",[1]Desglose_BOM_Componentes!$X$4478:$X$4491,"Empaquetado")&gt;0,"n.d.",SUMIFS([1]Desglose_BOM_Componentes!$AC$4478:$AC$4491,[1]Desglose_BOM_Componentes!$B$4478:$B$4491,$A391,[1]Desglose_BOM_Componentes!$X$4478:$X$4491,"Empaquetado"))</f>
        <v>0.33288466819407259</v>
      </c>
      <c r="F391" s="6">
        <f t="shared" si="34"/>
        <v>4.0955404058989906</v>
      </c>
      <c r="G391" s="4">
        <f>IF(COUNTIFS([1]Desglose_BOM_Componentes!$B$4478:$B$4491,$A391,[1]Desglose_BOM_Componentes!$AE$4478:$AE$4491,"Sin precio",[1]Desglose_BOM_Componentes!$X$4478:$X$4491,"Formulación")&gt;0,"n.d.",SUMIFS([1]Desglose_BOM_Componentes!$AD$4478:$AD$4491,[1]Desglose_BOM_Componentes!$B$4478:$B$4491,$A391,[1]Desglose_BOM_Componentes!$X$4478:$X$4491,"Formulación"))</f>
        <v>3.6891497377049176</v>
      </c>
      <c r="H391" s="4">
        <f>IF(COUNTIFS([1]Desglose_BOM_Componentes!$B$4478:$B$4491,$A391,[1]Desglose_BOM_Componentes!$AE$4478:$AE$4491,"Sin precio",[1]Desglose_BOM_Componentes!$X$4478:$X$4491,"Empaquetado")&gt;0,"n.d.",SUMIFS([1]Desglose_BOM_Componentes!$AD$4478:$AD$4491,[1]Desglose_BOM_Componentes!$B$4478:$B$4491,$A391,[1]Desglose_BOM_Componentes!$X$4478:$X$4491,"Empaquetado"))</f>
        <v>0.33288466819407259</v>
      </c>
      <c r="I391" s="6">
        <f t="shared" si="35"/>
        <v>4.0262344058989905</v>
      </c>
      <c r="J391" s="1" t="str">
        <f t="shared" si="36"/>
        <v>Completo</v>
      </c>
      <c r="K391" s="1">
        <f>COUNTIFS([1]Desglose_BOM_Componentes!$B$4478:$B$4491,$A391,[1]Desglose_BOM_Componentes!$AE$4478:$AE$4491,"Sin precio")</f>
        <v>0</v>
      </c>
      <c r="L391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392" spans="1:12" ht="22" customHeight="1">
      <c r="A392" s="1" t="s">
        <v>424</v>
      </c>
      <c r="B392" s="1" t="s">
        <v>18</v>
      </c>
      <c r="C392" s="1" t="s">
        <v>79</v>
      </c>
      <c r="D392" s="4">
        <f>IF(COUNTIFS([1]Desglose_BOM_Componentes!$B$4492:$B$4505,$A392,[1]Desglose_BOM_Componentes!$AE$4492:$AE$4505,"Sin precio",[1]Desglose_BOM_Componentes!$X$4492:$X$4505,"Formulación")&gt;0,"n.d.",SUMIFS([1]Desglose_BOM_Componentes!$AC$4492:$AC$4505,[1]Desglose_BOM_Componentes!$B$4492:$B$4505,$A392,[1]Desglose_BOM_Componentes!$X$4492:$X$4505,"Formulación"))</f>
        <v>3.7584557377049181</v>
      </c>
      <c r="E392" s="4">
        <f>IF(COUNTIFS([1]Desglose_BOM_Componentes!$B$4492:$B$4505,$A392,[1]Desglose_BOM_Componentes!$AE$4492:$AE$4505,"Sin precio",[1]Desglose_BOM_Componentes!$X$4492:$X$4505,"Empaquetado")&gt;0,"n.d.",SUMIFS([1]Desglose_BOM_Componentes!$AC$4492:$AC$4505,[1]Desglose_BOM_Componentes!$B$4492:$B$4505,$A392,[1]Desglose_BOM_Componentes!$X$4492:$X$4505,"Empaquetado"))</f>
        <v>0.33288466819407259</v>
      </c>
      <c r="F392" s="6">
        <f t="shared" si="34"/>
        <v>4.0955404058989906</v>
      </c>
      <c r="G392" s="4">
        <f>IF(COUNTIFS([1]Desglose_BOM_Componentes!$B$4492:$B$4505,$A392,[1]Desglose_BOM_Componentes!$AE$4492:$AE$4505,"Sin precio",[1]Desglose_BOM_Componentes!$X$4492:$X$4505,"Formulación")&gt;0,"n.d.",SUMIFS([1]Desglose_BOM_Componentes!$AD$4492:$AD$4505,[1]Desglose_BOM_Componentes!$B$4492:$B$4505,$A392,[1]Desglose_BOM_Componentes!$X$4492:$X$4505,"Formulación"))</f>
        <v>3.6891497377049176</v>
      </c>
      <c r="H392" s="4">
        <f>IF(COUNTIFS([1]Desglose_BOM_Componentes!$B$4492:$B$4505,$A392,[1]Desglose_BOM_Componentes!$AE$4492:$AE$4505,"Sin precio",[1]Desglose_BOM_Componentes!$X$4492:$X$4505,"Empaquetado")&gt;0,"n.d.",SUMIFS([1]Desglose_BOM_Componentes!$AD$4492:$AD$4505,[1]Desglose_BOM_Componentes!$B$4492:$B$4505,$A392,[1]Desglose_BOM_Componentes!$X$4492:$X$4505,"Empaquetado"))</f>
        <v>0.33288466819407259</v>
      </c>
      <c r="I392" s="6">
        <f t="shared" si="35"/>
        <v>4.0262344058989905</v>
      </c>
      <c r="J392" s="1" t="str">
        <f t="shared" si="36"/>
        <v>Completo</v>
      </c>
      <c r="K392" s="1">
        <f>COUNTIFS([1]Desglose_BOM_Componentes!$B$4492:$B$4505,$A392,[1]Desglose_BOM_Componentes!$AE$4492:$AE$4505,"Sin precio")</f>
        <v>0</v>
      </c>
      <c r="L392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393" spans="1:12" ht="22" customHeight="1">
      <c r="A393" s="1" t="s">
        <v>425</v>
      </c>
      <c r="B393" s="1" t="s">
        <v>18</v>
      </c>
      <c r="C393" s="1" t="s">
        <v>26</v>
      </c>
      <c r="D393" s="4">
        <f>IF(COUNTIFS([1]Desglose_BOM_Componentes!$B$4506:$B$4519,$A393,[1]Desglose_BOM_Componentes!$AE$4506:$AE$4519,"Sin precio",[1]Desglose_BOM_Componentes!$X$4506:$X$4519,"Formulación")&gt;0,"n.d.",SUMIFS([1]Desglose_BOM_Componentes!$AC$4506:$AC$4519,[1]Desglose_BOM_Componentes!$B$4506:$B$4519,$A393,[1]Desglose_BOM_Componentes!$X$4506:$X$4519,"Formulación"))</f>
        <v>3.7584557377049181</v>
      </c>
      <c r="E393" s="4">
        <f>IF(COUNTIFS([1]Desglose_BOM_Componentes!$B$4506:$B$4519,$A393,[1]Desglose_BOM_Componentes!$AE$4506:$AE$4519,"Sin precio",[1]Desglose_BOM_Componentes!$X$4506:$X$4519,"Empaquetado")&gt;0,"n.d.",SUMIFS([1]Desglose_BOM_Componentes!$AC$4506:$AC$4519,[1]Desglose_BOM_Componentes!$B$4506:$B$4519,$A393,[1]Desglose_BOM_Componentes!$X$4506:$X$4519,"Empaquetado"))</f>
        <v>0.33288466819407259</v>
      </c>
      <c r="F393" s="6">
        <f t="shared" si="34"/>
        <v>4.0955404058989906</v>
      </c>
      <c r="G393" s="4">
        <f>IF(COUNTIFS([1]Desglose_BOM_Componentes!$B$4506:$B$4519,$A393,[1]Desglose_BOM_Componentes!$AE$4506:$AE$4519,"Sin precio",[1]Desglose_BOM_Componentes!$X$4506:$X$4519,"Formulación")&gt;0,"n.d.",SUMIFS([1]Desglose_BOM_Componentes!$AD$4506:$AD$4519,[1]Desglose_BOM_Componentes!$B$4506:$B$4519,$A393,[1]Desglose_BOM_Componentes!$X$4506:$X$4519,"Formulación"))</f>
        <v>3.6891497377049176</v>
      </c>
      <c r="H393" s="4">
        <f>IF(COUNTIFS([1]Desglose_BOM_Componentes!$B$4506:$B$4519,$A393,[1]Desglose_BOM_Componentes!$AE$4506:$AE$4519,"Sin precio",[1]Desglose_BOM_Componentes!$X$4506:$X$4519,"Empaquetado")&gt;0,"n.d.",SUMIFS([1]Desglose_BOM_Componentes!$AD$4506:$AD$4519,[1]Desglose_BOM_Componentes!$B$4506:$B$4519,$A393,[1]Desglose_BOM_Componentes!$X$4506:$X$4519,"Empaquetado"))</f>
        <v>0.33288466819407259</v>
      </c>
      <c r="I393" s="6">
        <f t="shared" si="35"/>
        <v>4.0262344058989905</v>
      </c>
      <c r="J393" s="1" t="str">
        <f t="shared" si="36"/>
        <v>Completo</v>
      </c>
      <c r="K393" s="1">
        <f>COUNTIFS([1]Desglose_BOM_Componentes!$B$4506:$B$4519,$A393,[1]Desglose_BOM_Componentes!$AE$4506:$AE$4519,"Sin precio")</f>
        <v>0</v>
      </c>
      <c r="L393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componentes'!D115="Sin precio","PAL; ","")&amp;IF('[1]Precios componentes'!D137="Sin precio","SOBRE 5L;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394" spans="1:12" ht="22" customHeight="1">
      <c r="A394" s="1" t="s">
        <v>426</v>
      </c>
      <c r="B394" s="1" t="s">
        <v>18</v>
      </c>
      <c r="C394" s="1" t="s">
        <v>24</v>
      </c>
      <c r="D394" s="4">
        <f>IF(COUNTIFS([1]Desglose_BOM_Componentes!$B$4520:$B$4532,$A394,[1]Desglose_BOM_Componentes!$AE$4520:$AE$4532,"Sin precio",[1]Desglose_BOM_Componentes!$X$4520:$X$4532,"Formulación")&gt;0,"n.d.",SUMIFS([1]Desglose_BOM_Componentes!$AC$4520:$AC$4532,[1]Desglose_BOM_Componentes!$B$4520:$B$4532,$A394,[1]Desglose_BOM_Componentes!$X$4520:$X$4532,"Formulación"))</f>
        <v>3.7584557377049181</v>
      </c>
      <c r="E394" s="4">
        <f>IF(COUNTIFS([1]Desglose_BOM_Componentes!$B$4520:$B$4532,$A394,[1]Desglose_BOM_Componentes!$AE$4520:$AE$4532,"Sin precio",[1]Desglose_BOM_Componentes!$X$4520:$X$4532,"Empaquetado")&gt;0,"n.d.",SUMIFS([1]Desglose_BOM_Componentes!$AC$4520:$AC$4532,[1]Desglose_BOM_Componentes!$B$4520:$B$4532,$A394,[1]Desglose_BOM_Componentes!$X$4520:$X$4532,"Empaquetado"))</f>
        <v>0.24326489794470366</v>
      </c>
      <c r="F394" s="6">
        <f t="shared" si="34"/>
        <v>4.0059206356496215</v>
      </c>
      <c r="G394" s="4">
        <f>IF(COUNTIFS([1]Desglose_BOM_Componentes!$B$4520:$B$4532,$A394,[1]Desglose_BOM_Componentes!$AE$4520:$AE$4532,"Sin precio",[1]Desglose_BOM_Componentes!$X$4520:$X$4532,"Formulación")&gt;0,"n.d.",SUMIFS([1]Desglose_BOM_Componentes!$AD$4520:$AD$4532,[1]Desglose_BOM_Componentes!$B$4520:$B$4532,$A394,[1]Desglose_BOM_Componentes!$X$4520:$X$4532,"Formulación"))</f>
        <v>3.6891497377049176</v>
      </c>
      <c r="H394" s="4">
        <f>IF(COUNTIFS([1]Desglose_BOM_Componentes!$B$4520:$B$4532,$A394,[1]Desglose_BOM_Componentes!$AE$4520:$AE$4532,"Sin precio",[1]Desglose_BOM_Componentes!$X$4520:$X$4532,"Empaquetado")&gt;0,"n.d.",SUMIFS([1]Desglose_BOM_Componentes!$AD$4520:$AD$4532,[1]Desglose_BOM_Componentes!$B$4520:$B$4532,$A394,[1]Desglose_BOM_Componentes!$X$4520:$X$4532,"Empaquetado"))</f>
        <v>0.24326489794470366</v>
      </c>
      <c r="I394" s="6">
        <f t="shared" si="35"/>
        <v>3.9366146356496214</v>
      </c>
      <c r="J394" s="1" t="str">
        <f t="shared" si="36"/>
        <v>Completo</v>
      </c>
      <c r="K394" s="1">
        <f>COUNTIFS([1]Desglose_BOM_Componentes!$B$4520:$B$4532,$A394,[1]Desglose_BOM_Componentes!$AE$4520:$AE$4532,"Sin precio")</f>
        <v>0</v>
      </c>
      <c r="L394" s="1" t="str">
        <f>IF('[1]Precios componentes'!D93="Sin precio","KF78; ","")&amp;IF('[1]Precios componentes'!D24="Sin precio","BET; ","")&amp;IF('[1]Precios componentes'!D124="Sin precio","SAC; ","")&amp;IF('[1]Precios componentes'!D16="Sin precio","ATC; ","")&amp;IF('[1]Precios componentes'!D158="Sin precio","XT48; ","")&amp;IF('[1]Precios componentes'!D77="Sin precio","FOP; ","")&amp;IF('[1]Precios componentes'!D54="Sin precio","EDT; ","")&amp;IF('[1]Precios componentes'!D105="Sin precio","MAN; ","")&amp;IF('[1]Precios componentes'!D136="Sin precio","SOBRE 20L; ","")&amp;IF('[1]Precios componentes'!D115="Sin precio","PAL; ","")&amp;IF('[1]Precios componentes'!D95="Sin precio","KIA250; ","")&amp;IF('[1]Precios componentes'!D61="Sin precio","ENV20; ","")&amp;IF('[1]Precios componentes'!D148="Sin precio","TPD61VS; ","")</f>
        <v/>
      </c>
    </row>
    <row r="395" spans="1:12" ht="22" customHeight="1">
      <c r="A395" s="1" t="s">
        <v>427</v>
      </c>
      <c r="B395" s="1" t="s">
        <v>18</v>
      </c>
      <c r="C395" s="1" t="s">
        <v>24</v>
      </c>
      <c r="D395" s="4">
        <f>IF(COUNTIFS([1]Desglose_BOM_Componentes!$B$4543:$B$4555,$A395,[1]Desglose_BOM_Componentes!$AE$4543:$AE$4555,"Sin precio",[1]Desglose_BOM_Componentes!$X$4543:$X$4555,"Formulación")&gt;0,"n.d.",SUMIFS([1]Desglose_BOM_Componentes!$AC$4543:$AC$4555,[1]Desglose_BOM_Componentes!$B$4543:$B$4555,$A395,[1]Desglose_BOM_Componentes!$X$4543:$X$4555,"Formulación"))</f>
        <v>0.38573825</v>
      </c>
      <c r="E395" s="4">
        <f>IF(COUNTIFS([1]Desglose_BOM_Componentes!$B$4543:$B$4555,$A395,[1]Desglose_BOM_Componentes!$AE$4543:$AE$4555,"Sin precio",[1]Desglose_BOM_Componentes!$X$4543:$X$4555,"Empaquetado")&gt;0,"n.d.",SUMIFS([1]Desglose_BOM_Componentes!$AC$4543:$AC$4555,[1]Desglose_BOM_Componentes!$B$4543:$B$4555,$A395,[1]Desglose_BOM_Componentes!$X$4543:$X$4555,"Empaquetado"))</f>
        <v>0.30928466819407252</v>
      </c>
      <c r="F395" s="6">
        <f t="shared" si="34"/>
        <v>0.69922291819407256</v>
      </c>
      <c r="G395" s="4">
        <f>IF(COUNTIFS([1]Desglose_BOM_Componentes!$B$4543:$B$4555,$A395,[1]Desglose_BOM_Componentes!$AE$4543:$AE$4555,"Sin precio",[1]Desglose_BOM_Componentes!$X$4543:$X$4555,"Formulación")&gt;0,"n.d.",SUMIFS([1]Desglose_BOM_Componentes!$AD$4543:$AD$4555,[1]Desglose_BOM_Componentes!$B$4543:$B$4555,$A395,[1]Desglose_BOM_Componentes!$X$4543:$X$4555,"Formulación"))</f>
        <v>0.35682741666666673</v>
      </c>
      <c r="H395" s="4">
        <f>IF(COUNTIFS([1]Desglose_BOM_Componentes!$B$4543:$B$4555,$A395,[1]Desglose_BOM_Componentes!$AE$4543:$AE$4555,"Sin precio",[1]Desglose_BOM_Componentes!$X$4543:$X$4555,"Empaquetado")&gt;0,"n.d.",SUMIFS([1]Desglose_BOM_Componentes!$AD$4543:$AD$4555,[1]Desglose_BOM_Componentes!$B$4543:$B$4555,$A395,[1]Desglose_BOM_Componentes!$X$4543:$X$4555,"Empaquetado"))</f>
        <v>0.30928466819407252</v>
      </c>
      <c r="I395" s="6">
        <f t="shared" si="35"/>
        <v>0.67031208486073923</v>
      </c>
      <c r="J395" s="1" t="str">
        <f t="shared" si="36"/>
        <v>Completo</v>
      </c>
      <c r="K395" s="1">
        <f>COUNTIFS([1]Desglose_BOM_Componentes!$B$4543:$B$4555,$A395,[1]Desglose_BOM_Componentes!$AE$4543:$AE$4555,"Sin precio")</f>
        <v>0</v>
      </c>
      <c r="L395" s="1" t="str">
        <f>IF('[1]Precios componentes'!D13="Sin precio","AMO; ","")&amp;IF('[1]Precios componentes'!D111="Sin precio","NCAL; ","")&amp;IF('[1]Precios componentes'!D26="Sin precio","BOCAL; ","")&amp;IF('[1]Precios componentes'!D112="Sin precio","NMGL; ","")&amp;IF('[1]Precios componentes'!D93="Sin precio","KF78; ","")&amp;IF('[1]Precios componentes'!D121="Sin precio","RAD; ","")&amp;IF('[1]Precios componentes'!D79="Sin precio","GLBE; ","")&amp;IF('[1]Precios componentes'!D137="Sin precio","SOBRE 5L; ","")&amp;IF('[1]Precios componentes'!D115="Sin precio","PAL; ","")&amp;IF('[1]Precios componentes'!D95="Sin precio","KIA250; ","")&amp;IF('[1]Precios componentes'!D149="Sin precio","TPD63I; ","")&amp;IF('[1]Precios componentes'!D63="Sin precio","ENV5220G; ","")&amp;IF('[1]Precios componentes'!D34="Sin precio","CAG; ","")</f>
        <v/>
      </c>
    </row>
    <row r="396" spans="1:12" ht="22" customHeight="1">
      <c r="A396" s="1" t="s">
        <v>428</v>
      </c>
      <c r="B396" s="1" t="s">
        <v>18</v>
      </c>
      <c r="C396" s="1" t="s">
        <v>24</v>
      </c>
      <c r="D396" s="4">
        <f>IF(COUNTIFS([1]Desglose_BOM_Componentes!$B$4556:$B$4567,$A396,[1]Desglose_BOM_Componentes!$AE$4556:$AE$4567,"Sin precio",[1]Desglose_BOM_Componentes!$X$4556:$X$4567,"Formulación")&gt;0,"n.d.",SUMIFS([1]Desglose_BOM_Componentes!$AC$4556:$AC$4567,[1]Desglose_BOM_Componentes!$B$4556:$B$4567,$A396,[1]Desglose_BOM_Componentes!$X$4556:$X$4567,"Formulación"))</f>
        <v>0.38573825</v>
      </c>
      <c r="E396" s="4">
        <f>IF(COUNTIFS([1]Desglose_BOM_Componentes!$B$4556:$B$4567,$A396,[1]Desglose_BOM_Componentes!$AE$4556:$AE$4567,"Sin precio",[1]Desglose_BOM_Componentes!$X$4556:$X$4567,"Empaquetado")&gt;0,"n.d.",SUMIFS([1]Desglose_BOM_Componentes!$AC$4556:$AC$4567,[1]Desglose_BOM_Componentes!$B$4556:$B$4567,$A396,[1]Desglose_BOM_Componentes!$X$4556:$X$4567,"Empaquetado"))</f>
        <v>0.23158280727404046</v>
      </c>
      <c r="F396" s="6">
        <f t="shared" si="34"/>
        <v>0.62152105727404039</v>
      </c>
      <c r="G396" s="4">
        <f>IF(COUNTIFS([1]Desglose_BOM_Componentes!$B$4556:$B$4567,$A396,[1]Desglose_BOM_Componentes!$AE$4556:$AE$4567,"Sin precio",[1]Desglose_BOM_Componentes!$X$4556:$X$4567,"Formulación")&gt;0,"n.d.",SUMIFS([1]Desglose_BOM_Componentes!$AD$4556:$AD$4567,[1]Desglose_BOM_Componentes!$B$4556:$B$4567,$A396,[1]Desglose_BOM_Componentes!$X$4556:$X$4567,"Formulación"))</f>
        <v>0.35682741666666673</v>
      </c>
      <c r="H396" s="4">
        <f>IF(COUNTIFS([1]Desglose_BOM_Componentes!$B$4556:$B$4567,$A396,[1]Desglose_BOM_Componentes!$AE$4556:$AE$4567,"Sin precio",[1]Desglose_BOM_Componentes!$X$4556:$X$4567,"Empaquetado")&gt;0,"n.d.",SUMIFS([1]Desglose_BOM_Componentes!$AD$4556:$AD$4567,[1]Desglose_BOM_Componentes!$B$4556:$B$4567,$A396,[1]Desglose_BOM_Componentes!$X$4556:$X$4567,"Empaquetado"))</f>
        <v>0.23158280727404046</v>
      </c>
      <c r="I396" s="6">
        <f t="shared" si="35"/>
        <v>0.59261022394070717</v>
      </c>
      <c r="J396" s="1" t="str">
        <f t="shared" si="36"/>
        <v>Completo</v>
      </c>
      <c r="K396" s="1">
        <f>COUNTIFS([1]Desglose_BOM_Componentes!$B$4556:$B$4567,$A396,[1]Desglose_BOM_Componentes!$AE$4556:$AE$4567,"Sin precio")</f>
        <v>0</v>
      </c>
      <c r="L396" s="1" t="str">
        <f>IF('[1]Precios componentes'!D13="Sin precio","AMO; ","")&amp;IF('[1]Precios componentes'!D111="Sin precio","NCAL; ","")&amp;IF('[1]Precios componentes'!D26="Sin precio","BOCAL; ","")&amp;IF('[1]Precios componentes'!D112="Sin precio","NMGL; ","")&amp;IF('[1]Precios componentes'!D93="Sin precio","KF78; ","")&amp;IF('[1]Precios componentes'!D121="Sin precio","RAD; ","")&amp;IF('[1]Precios componentes'!D79="Sin precio","GLBE; ","")&amp;IF('[1]Precios componentes'!D136="Sin precio","SOBRE 20L; ","")&amp;IF('[1]Precios componentes'!D115="Sin precio","PAL; ","")&amp;IF('[1]Precios componentes'!D95="Sin precio","KIA250; ","")&amp;IF('[1]Precios componentes'!D146="Sin precio","TPD61I; ","")&amp;IF('[1]Precios componentes'!D61="Sin precio","ENV20; ","")</f>
        <v/>
      </c>
    </row>
    <row r="397" spans="1:12" ht="22" customHeight="1">
      <c r="A397" s="1" t="s">
        <v>429</v>
      </c>
      <c r="B397" s="1" t="s">
        <v>18</v>
      </c>
      <c r="C397" s="1" t="s">
        <v>188</v>
      </c>
      <c r="D397" s="4">
        <f>IF(COUNTIFS([1]Desglose_BOM_Componentes!$B$4590:$B$4597,$A397,[1]Desglose_BOM_Componentes!$AE$4590:$AE$4597,"Sin precio",[1]Desglose_BOM_Componentes!$X$4590:$X$4597,"Formulación")&gt;0,"n.d.",SUMIFS([1]Desglose_BOM_Componentes!$AC$4590:$AC$4597,[1]Desglose_BOM_Componentes!$B$4590:$B$4597,$A397,[1]Desglose_BOM_Componentes!$X$4590:$X$4597,"Formulación"))</f>
        <v>3.8003879999999999</v>
      </c>
      <c r="E397" s="4">
        <f>IF(COUNTIFS([1]Desglose_BOM_Componentes!$B$4590:$B$4597,$A397,[1]Desglose_BOM_Componentes!$AE$4590:$AE$4597,"Sin precio",[1]Desglose_BOM_Componentes!$X$4590:$X$4597,"Empaquetado")&gt;0,"n.d.",SUMIFS([1]Desglose_BOM_Componentes!$AC$4590:$AC$4597,[1]Desglose_BOM_Componentes!$B$4590:$B$4597,$A397,[1]Desglose_BOM_Componentes!$X$4590:$X$4597,"Empaquetado"))</f>
        <v>0.90089800050253677</v>
      </c>
      <c r="F397" s="6">
        <f t="shared" si="34"/>
        <v>4.7054860005025363</v>
      </c>
      <c r="G397" s="4">
        <f>IF(COUNTIFS([1]Desglose_BOM_Componentes!$B$4590:$B$4597,$A397,[1]Desglose_BOM_Componentes!$AE$4590:$AE$4597,"Sin precio",[1]Desglose_BOM_Componentes!$X$4590:$X$4597,"Formulación")&gt;0,"n.d.",SUMIFS([1]Desglose_BOM_Componentes!$AD$4590:$AD$4597,[1]Desglose_BOM_Componentes!$B$4590:$B$4597,$A397,[1]Desglose_BOM_Componentes!$X$4590:$X$4597,"Formulación"))</f>
        <v>3.7310759</v>
      </c>
      <c r="H397" s="4">
        <f>IF(COUNTIFS([1]Desglose_BOM_Componentes!$B$4590:$B$4597,$A397,[1]Desglose_BOM_Componentes!$AE$4590:$AE$4597,"Sin precio",[1]Desglose_BOM_Componentes!$X$4590:$X$4597,"Empaquetado")&gt;0,"n.d.",SUMIFS([1]Desglose_BOM_Componentes!$AD$4590:$AD$4597,[1]Desglose_BOM_Componentes!$B$4590:$B$4597,$A397,[1]Desglose_BOM_Componentes!$X$4590:$X$4597,"Empaquetado"))</f>
        <v>0.90089800050253677</v>
      </c>
      <c r="I397" s="6">
        <f t="shared" si="35"/>
        <v>4.6361739005025369</v>
      </c>
      <c r="J397" s="1" t="str">
        <f t="shared" si="36"/>
        <v>Completo</v>
      </c>
      <c r="K397" s="1">
        <f>COUNTIFS([1]Desglose_BOM_Componentes!$B$4590:$B$4597,$A397,[1]Desglose_BOM_Componentes!$AE$4590:$AE$4597,"Sin precio")</f>
        <v>0</v>
      </c>
      <c r="L397" s="1" t="str">
        <f>IF('[1]Precios componentes'!D28="Sin precio","BORL; ","")&amp;IF('[1]Precios componentes'!D140="Sin precio","SPR;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398" spans="1:12" ht="22" customHeight="1">
      <c r="A398" s="1" t="s">
        <v>430</v>
      </c>
      <c r="B398" s="1" t="s">
        <v>18</v>
      </c>
      <c r="C398" s="1" t="s">
        <v>21</v>
      </c>
      <c r="D398" s="4">
        <f>IF(COUNTIFS([1]Desglose_BOM_Componentes!$B$4598:$B$4606,$A398,[1]Desglose_BOM_Componentes!$AE$4598:$AE$4606,"Sin precio",[1]Desglose_BOM_Componentes!$X$4598:$X$4606,"Formulación")&gt;0,"n.d.",SUMIFS([1]Desglose_BOM_Componentes!$AC$4598:$AC$4606,[1]Desglose_BOM_Componentes!$B$4598:$B$4606,$A398,[1]Desglose_BOM_Componentes!$X$4598:$X$4606,"Formulación"))</f>
        <v>5.3365</v>
      </c>
      <c r="E398" s="4">
        <f>IF(COUNTIFS([1]Desglose_BOM_Componentes!$B$4598:$B$4606,$A398,[1]Desglose_BOM_Componentes!$AE$4598:$AE$4606,"Sin precio",[1]Desglose_BOM_Componentes!$X$4598:$X$4606,"Empaquetado")&gt;0,"n.d.",SUMIFS([1]Desglose_BOM_Componentes!$AC$4598:$AC$4606,[1]Desglose_BOM_Componentes!$B$4598:$B$4606,$A398,[1]Desglose_BOM_Componentes!$X$4598:$X$4606,"Empaquetado"))</f>
        <v>0.90089800050253677</v>
      </c>
      <c r="F398" s="6">
        <f t="shared" si="34"/>
        <v>6.2415980005025364</v>
      </c>
      <c r="G398" s="4">
        <f>IF(COUNTIFS([1]Desglose_BOM_Componentes!$B$4598:$B$4606,$A398,[1]Desglose_BOM_Componentes!$AE$4598:$AE$4606,"Sin precio",[1]Desglose_BOM_Componentes!$X$4598:$X$4606,"Formulación")&gt;0,"n.d.",SUMIFS([1]Desglose_BOM_Componentes!$AD$4598:$AD$4606,[1]Desglose_BOM_Componentes!$B$4598:$B$4606,$A398,[1]Desglose_BOM_Componentes!$X$4598:$X$4606,"Formulación"))</f>
        <v>5.2797400000000003</v>
      </c>
      <c r="H398" s="4">
        <f>IF(COUNTIFS([1]Desglose_BOM_Componentes!$B$4598:$B$4606,$A398,[1]Desglose_BOM_Componentes!$AE$4598:$AE$4606,"Sin precio",[1]Desglose_BOM_Componentes!$X$4598:$X$4606,"Empaquetado")&gt;0,"n.d.",SUMIFS([1]Desglose_BOM_Componentes!$AD$4598:$AD$4606,[1]Desglose_BOM_Componentes!$B$4598:$B$4606,$A398,[1]Desglose_BOM_Componentes!$X$4598:$X$4606,"Empaquetado"))</f>
        <v>0.90089800050253677</v>
      </c>
      <c r="I398" s="6">
        <f t="shared" si="35"/>
        <v>6.1848380005025367</v>
      </c>
      <c r="J398" s="1" t="str">
        <f t="shared" si="36"/>
        <v>Completo</v>
      </c>
      <c r="K398" s="1">
        <f>COUNTIFS([1]Desglose_BOM_Componentes!$B$4598:$B$4606,$A398,[1]Desglose_BOM_Componentes!$AE$4598:$AE$4606,"Sin precio")</f>
        <v>0</v>
      </c>
      <c r="L398" s="1" t="str">
        <f>IF('[1]Precios componentes'!D140="Sin precio","SPR; ","")&amp;IF('[1]Precios componentes'!D46="Sin precio","CMN; ","")&amp;IF('[1]Precios componentes'!D50="Sin precio","CZN;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399" spans="1:12" ht="22" customHeight="1">
      <c r="A399" s="1" t="s">
        <v>431</v>
      </c>
      <c r="B399" s="1" t="s">
        <v>18</v>
      </c>
      <c r="C399" s="1" t="s">
        <v>19</v>
      </c>
      <c r="D399" s="4">
        <f>IF(COUNTIFS([1]Desglose_BOM_Componentes!$B$4607:$B$4615,$A399,[1]Desglose_BOM_Componentes!$AE$4607:$AE$4615,"Sin precio",[1]Desglose_BOM_Componentes!$X$4607:$X$4615,"Formulación")&gt;0,"n.d.",SUMIFS([1]Desglose_BOM_Componentes!$AC$4607:$AC$4615,[1]Desglose_BOM_Componentes!$B$4607:$B$4615,$A399,[1]Desglose_BOM_Componentes!$X$4607:$X$4615,"Formulación"))</f>
        <v>5.3365</v>
      </c>
      <c r="E399" s="4">
        <f>IF(COUNTIFS([1]Desglose_BOM_Componentes!$B$4607:$B$4615,$A399,[1]Desglose_BOM_Componentes!$AE$4607:$AE$4615,"Sin precio",[1]Desglose_BOM_Componentes!$X$4607:$X$4615,"Empaquetado")&gt;0,"n.d.",SUMIFS([1]Desglose_BOM_Componentes!$AC$4607:$AC$4615,[1]Desglose_BOM_Componentes!$B$4607:$B$4615,$A399,[1]Desglose_BOM_Componentes!$X$4607:$X$4615,"Empaquetado"))</f>
        <v>0.90089800050253677</v>
      </c>
      <c r="F399" s="6">
        <f t="shared" si="34"/>
        <v>6.2415980005025364</v>
      </c>
      <c r="G399" s="4">
        <f>IF(COUNTIFS([1]Desglose_BOM_Componentes!$B$4607:$B$4615,$A399,[1]Desglose_BOM_Componentes!$AE$4607:$AE$4615,"Sin precio",[1]Desglose_BOM_Componentes!$X$4607:$X$4615,"Formulación")&gt;0,"n.d.",SUMIFS([1]Desglose_BOM_Componentes!$AD$4607:$AD$4615,[1]Desglose_BOM_Componentes!$B$4607:$B$4615,$A399,[1]Desglose_BOM_Componentes!$X$4607:$X$4615,"Formulación"))</f>
        <v>5.2797400000000003</v>
      </c>
      <c r="H399" s="4">
        <f>IF(COUNTIFS([1]Desglose_BOM_Componentes!$B$4607:$B$4615,$A399,[1]Desglose_BOM_Componentes!$AE$4607:$AE$4615,"Sin precio",[1]Desglose_BOM_Componentes!$X$4607:$X$4615,"Empaquetado")&gt;0,"n.d.",SUMIFS([1]Desglose_BOM_Componentes!$AD$4607:$AD$4615,[1]Desglose_BOM_Componentes!$B$4607:$B$4615,$A399,[1]Desglose_BOM_Componentes!$X$4607:$X$4615,"Empaquetado"))</f>
        <v>0.90089800050253677</v>
      </c>
      <c r="I399" s="6">
        <f t="shared" si="35"/>
        <v>6.1848380005025367</v>
      </c>
      <c r="J399" s="1" t="str">
        <f t="shared" si="36"/>
        <v>Completo</v>
      </c>
      <c r="K399" s="1">
        <f>COUNTIFS([1]Desglose_BOM_Componentes!$B$4607:$B$4615,$A399,[1]Desglose_BOM_Componentes!$AE$4607:$AE$4615,"Sin precio")</f>
        <v>0</v>
      </c>
      <c r="L399" s="1" t="str">
        <f>IF('[1]Precios componentes'!D140="Sin precio","SPR; ","")&amp;IF('[1]Precios componentes'!D46="Sin precio","CMN; ","")&amp;IF('[1]Precios componentes'!D50="Sin precio","CZN;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400" spans="1:12" ht="22" customHeight="1">
      <c r="A400" s="1" t="s">
        <v>432</v>
      </c>
      <c r="B400" s="1" t="s">
        <v>18</v>
      </c>
      <c r="C400" s="1" t="s">
        <v>24</v>
      </c>
      <c r="D400" s="4">
        <f>IF(COUNTIFS([1]Desglose_BOM_Componentes!$B$4655:$B$4662,$A400,[1]Desglose_BOM_Componentes!$AE$4655:$AE$4662,"Sin precio",[1]Desglose_BOM_Componentes!$X$4655:$X$4662,"Formulación")&gt;0,"n.d.",SUMIFS([1]Desglose_BOM_Componentes!$AC$4655:$AC$4662,[1]Desglose_BOM_Componentes!$B$4655:$B$4662,$A400,[1]Desglose_BOM_Componentes!$X$4655:$X$4662,"Formulación"))</f>
        <v>4.6128080000000002</v>
      </c>
      <c r="E400" s="4">
        <f>IF(COUNTIFS([1]Desglose_BOM_Componentes!$B$4655:$B$4662,$A400,[1]Desglose_BOM_Componentes!$AE$4655:$AE$4662,"Sin precio",[1]Desglose_BOM_Componentes!$X$4655:$X$4662,"Empaquetado")&gt;0,"n.d.",SUMIFS([1]Desglose_BOM_Componentes!$AC$4655:$AC$4662,[1]Desglose_BOM_Componentes!$B$4655:$B$4662,$A400,[1]Desglose_BOM_Componentes!$X$4655:$X$4662,"Empaquetado"))</f>
        <v>0.90089800050253677</v>
      </c>
      <c r="F400" s="6">
        <f t="shared" si="34"/>
        <v>5.5179060005025367</v>
      </c>
      <c r="G400" s="4">
        <f>IF(COUNTIFS([1]Desglose_BOM_Componentes!$B$4655:$B$4662,$A400,[1]Desglose_BOM_Componentes!$AE$4655:$AE$4662,"Sin precio",[1]Desglose_BOM_Componentes!$X$4655:$X$4662,"Formulación")&gt;0,"n.d.",SUMIFS([1]Desglose_BOM_Componentes!$AD$4655:$AD$4662,[1]Desglose_BOM_Componentes!$B$4655:$B$4662,$A400,[1]Desglose_BOM_Componentes!$X$4655:$X$4662,"Formulación"))</f>
        <v>4.5852194000000006</v>
      </c>
      <c r="H400" s="4">
        <f>IF(COUNTIFS([1]Desglose_BOM_Componentes!$B$4655:$B$4662,$A400,[1]Desglose_BOM_Componentes!$AE$4655:$AE$4662,"Sin precio",[1]Desglose_BOM_Componentes!$X$4655:$X$4662,"Empaquetado")&gt;0,"n.d.",SUMIFS([1]Desglose_BOM_Componentes!$AD$4655:$AD$4662,[1]Desglose_BOM_Componentes!$B$4655:$B$4662,$A400,[1]Desglose_BOM_Componentes!$X$4655:$X$4662,"Empaquetado"))</f>
        <v>0.90089800050253677</v>
      </c>
      <c r="I400" s="6">
        <f t="shared" si="35"/>
        <v>5.490317400502537</v>
      </c>
      <c r="J400" s="1" t="str">
        <f t="shared" si="36"/>
        <v>Completo</v>
      </c>
      <c r="K400" s="1">
        <f>COUNTIFS([1]Desglose_BOM_Componentes!$B$4655:$B$4662,$A400,[1]Desglose_BOM_Componentes!$AE$4655:$AE$4662,"Sin precio")</f>
        <v>0</v>
      </c>
      <c r="L400" s="1" t="str">
        <f>IF('[1]Precios componentes'!D28="Sin precio","BORL; ","")&amp;IF('[1]Precios componentes'!D140="Sin precio","SPR;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401" spans="1:12" ht="22" customHeight="1">
      <c r="A401" s="1" t="s">
        <v>433</v>
      </c>
      <c r="B401" s="1" t="s">
        <v>18</v>
      </c>
      <c r="C401" s="1" t="s">
        <v>69</v>
      </c>
      <c r="D401" s="4">
        <f>IF(COUNTIFS([1]Desglose_BOM_Componentes!$B$4663:$B$4670,$A401,[1]Desglose_BOM_Componentes!$AE$4663:$AE$4670,"Sin precio",[1]Desglose_BOM_Componentes!$X$4663:$X$4670,"Formulación")&gt;0,"n.d.",SUMIFS([1]Desglose_BOM_Componentes!$AC$4663:$AC$4670,[1]Desglose_BOM_Componentes!$B$4663:$B$4670,$A401,[1]Desglose_BOM_Componentes!$X$4663:$X$4670,"Formulación"))</f>
        <v>4.6128080000000002</v>
      </c>
      <c r="E401" s="4">
        <f>IF(COUNTIFS([1]Desglose_BOM_Componentes!$B$4663:$B$4670,$A401,[1]Desglose_BOM_Componentes!$AE$4663:$AE$4670,"Sin precio",[1]Desglose_BOM_Componentes!$X$4663:$X$4670,"Empaquetado")&gt;0,"n.d.",SUMIFS([1]Desglose_BOM_Componentes!$AC$4663:$AC$4670,[1]Desglose_BOM_Componentes!$B$4663:$B$4670,$A401,[1]Desglose_BOM_Componentes!$X$4663:$X$4670,"Empaquetado"))</f>
        <v>0.90089800050253677</v>
      </c>
      <c r="F401" s="6">
        <f t="shared" si="34"/>
        <v>5.5179060005025367</v>
      </c>
      <c r="G401" s="4">
        <f>IF(COUNTIFS([1]Desglose_BOM_Componentes!$B$4663:$B$4670,$A401,[1]Desglose_BOM_Componentes!$AE$4663:$AE$4670,"Sin precio",[1]Desglose_BOM_Componentes!$X$4663:$X$4670,"Formulación")&gt;0,"n.d.",SUMIFS([1]Desglose_BOM_Componentes!$AD$4663:$AD$4670,[1]Desglose_BOM_Componentes!$B$4663:$B$4670,$A401,[1]Desglose_BOM_Componentes!$X$4663:$X$4670,"Formulación"))</f>
        <v>4.5852194000000006</v>
      </c>
      <c r="H401" s="4">
        <f>IF(COUNTIFS([1]Desglose_BOM_Componentes!$B$4663:$B$4670,$A401,[1]Desglose_BOM_Componentes!$AE$4663:$AE$4670,"Sin precio",[1]Desglose_BOM_Componentes!$X$4663:$X$4670,"Empaquetado")&gt;0,"n.d.",SUMIFS([1]Desglose_BOM_Componentes!$AD$4663:$AD$4670,[1]Desglose_BOM_Componentes!$B$4663:$B$4670,$A401,[1]Desglose_BOM_Componentes!$X$4663:$X$4670,"Empaquetado"))</f>
        <v>0.90089800050253677</v>
      </c>
      <c r="I401" s="6">
        <f t="shared" si="35"/>
        <v>5.490317400502537</v>
      </c>
      <c r="J401" s="1" t="str">
        <f t="shared" si="36"/>
        <v>Completo</v>
      </c>
      <c r="K401" s="1">
        <f>COUNTIFS([1]Desglose_BOM_Componentes!$B$4663:$B$4670,$A401,[1]Desglose_BOM_Componentes!$AE$4663:$AE$4670,"Sin precio")</f>
        <v>0</v>
      </c>
      <c r="L401" s="1" t="str">
        <f>IF('[1]Precios componentes'!D28="Sin precio","BORL; ","")&amp;IF('[1]Precios componentes'!D140="Sin precio","SPR;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402" spans="1:12" ht="22" customHeight="1">
      <c r="A402" s="1" t="s">
        <v>434</v>
      </c>
      <c r="B402" s="1" t="s">
        <v>18</v>
      </c>
      <c r="C402" s="1" t="s">
        <v>32</v>
      </c>
      <c r="D402" s="4">
        <f>IF(COUNTIFS([1]Desglose_BOM_Componentes!$B$4671:$B$4678,$A402,[1]Desglose_BOM_Componentes!$AE$4671:$AE$4678,"Sin precio",[1]Desglose_BOM_Componentes!$X$4671:$X$4678,"Formulación")&gt;0,"n.d.",SUMIFS([1]Desglose_BOM_Componentes!$AC$4671:$AC$4678,[1]Desglose_BOM_Componentes!$B$4671:$B$4678,$A402,[1]Desglose_BOM_Componentes!$X$4671:$X$4678,"Formulación"))</f>
        <v>4.6128080000000002</v>
      </c>
      <c r="E402" s="4">
        <f>IF(COUNTIFS([1]Desglose_BOM_Componentes!$B$4671:$B$4678,$A402,[1]Desglose_BOM_Componentes!$AE$4671:$AE$4678,"Sin precio",[1]Desglose_BOM_Componentes!$X$4671:$X$4678,"Empaquetado")&gt;0,"n.d.",SUMIFS([1]Desglose_BOM_Componentes!$AC$4671:$AC$4678,[1]Desglose_BOM_Componentes!$B$4671:$B$4678,$A402,[1]Desglose_BOM_Componentes!$X$4671:$X$4678,"Empaquetado"))</f>
        <v>0.90089800050253677</v>
      </c>
      <c r="F402" s="6">
        <f t="shared" si="34"/>
        <v>5.5179060005025367</v>
      </c>
      <c r="G402" s="4">
        <f>IF(COUNTIFS([1]Desglose_BOM_Componentes!$B$4671:$B$4678,$A402,[1]Desglose_BOM_Componentes!$AE$4671:$AE$4678,"Sin precio",[1]Desglose_BOM_Componentes!$X$4671:$X$4678,"Formulación")&gt;0,"n.d.",SUMIFS([1]Desglose_BOM_Componentes!$AD$4671:$AD$4678,[1]Desglose_BOM_Componentes!$B$4671:$B$4678,$A402,[1]Desglose_BOM_Componentes!$X$4671:$X$4678,"Formulación"))</f>
        <v>4.5852194000000006</v>
      </c>
      <c r="H402" s="4">
        <f>IF(COUNTIFS([1]Desglose_BOM_Componentes!$B$4671:$B$4678,$A402,[1]Desglose_BOM_Componentes!$AE$4671:$AE$4678,"Sin precio",[1]Desglose_BOM_Componentes!$X$4671:$X$4678,"Empaquetado")&gt;0,"n.d.",SUMIFS([1]Desglose_BOM_Componentes!$AD$4671:$AD$4678,[1]Desglose_BOM_Componentes!$B$4671:$B$4678,$A402,[1]Desglose_BOM_Componentes!$X$4671:$X$4678,"Empaquetado"))</f>
        <v>0.90089800050253677</v>
      </c>
      <c r="I402" s="6">
        <f t="shared" si="35"/>
        <v>5.490317400502537</v>
      </c>
      <c r="J402" s="1" t="str">
        <f t="shared" si="36"/>
        <v>Completo</v>
      </c>
      <c r="K402" s="1">
        <f>COUNTIFS([1]Desglose_BOM_Componentes!$B$4671:$B$4678,$A402,[1]Desglose_BOM_Componentes!$AE$4671:$AE$4678,"Sin precio")</f>
        <v>0</v>
      </c>
      <c r="L402" s="1" t="str">
        <f>IF('[1]Precios componentes'!D28="Sin precio","BORL; ","")&amp;IF('[1]Precios componentes'!D140="Sin precio","SPR;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403" spans="1:12" ht="22" customHeight="1">
      <c r="A403" s="1" t="s">
        <v>435</v>
      </c>
      <c r="B403" s="1" t="s">
        <v>18</v>
      </c>
      <c r="C403" s="1" t="s">
        <v>26</v>
      </c>
      <c r="D403" s="4">
        <f>IF(COUNTIFS([1]Desglose_BOM_Componentes!$B$4679:$B$4686,$A403,[1]Desglose_BOM_Componentes!$AE$4679:$AE$4686,"Sin precio",[1]Desglose_BOM_Componentes!$X$4679:$X$4686,"Formulación")&gt;0,"n.d.",SUMIFS([1]Desglose_BOM_Componentes!$AC$4679:$AC$4686,[1]Desglose_BOM_Componentes!$B$4679:$B$4686,$A403,[1]Desglose_BOM_Componentes!$X$4679:$X$4686,"Formulación"))</f>
        <v>4.6128080000000002</v>
      </c>
      <c r="E403" s="4">
        <f>IF(COUNTIFS([1]Desglose_BOM_Componentes!$B$4679:$B$4686,$A403,[1]Desglose_BOM_Componentes!$AE$4679:$AE$4686,"Sin precio",[1]Desglose_BOM_Componentes!$X$4679:$X$4686,"Empaquetado")&gt;0,"n.d.",SUMIFS([1]Desglose_BOM_Componentes!$AC$4679:$AC$4686,[1]Desglose_BOM_Componentes!$B$4679:$B$4686,$A403,[1]Desglose_BOM_Componentes!$X$4679:$X$4686,"Empaquetado"))</f>
        <v>0.90089800050253677</v>
      </c>
      <c r="F403" s="6">
        <f t="shared" si="34"/>
        <v>5.5179060005025367</v>
      </c>
      <c r="G403" s="4">
        <f>IF(COUNTIFS([1]Desglose_BOM_Componentes!$B$4679:$B$4686,$A403,[1]Desglose_BOM_Componentes!$AE$4679:$AE$4686,"Sin precio",[1]Desglose_BOM_Componentes!$X$4679:$X$4686,"Formulación")&gt;0,"n.d.",SUMIFS([1]Desglose_BOM_Componentes!$AD$4679:$AD$4686,[1]Desglose_BOM_Componentes!$B$4679:$B$4686,$A403,[1]Desglose_BOM_Componentes!$X$4679:$X$4686,"Formulación"))</f>
        <v>4.5852194000000006</v>
      </c>
      <c r="H403" s="4">
        <f>IF(COUNTIFS([1]Desglose_BOM_Componentes!$B$4679:$B$4686,$A403,[1]Desglose_BOM_Componentes!$AE$4679:$AE$4686,"Sin precio",[1]Desglose_BOM_Componentes!$X$4679:$X$4686,"Empaquetado")&gt;0,"n.d.",SUMIFS([1]Desglose_BOM_Componentes!$AD$4679:$AD$4686,[1]Desglose_BOM_Componentes!$B$4679:$B$4686,$A403,[1]Desglose_BOM_Componentes!$X$4679:$X$4686,"Empaquetado"))</f>
        <v>0.90089800050253677</v>
      </c>
      <c r="I403" s="6">
        <f t="shared" si="35"/>
        <v>5.490317400502537</v>
      </c>
      <c r="J403" s="1" t="str">
        <f t="shared" si="36"/>
        <v>Completo</v>
      </c>
      <c r="K403" s="1">
        <f>COUNTIFS([1]Desglose_BOM_Componentes!$B$4679:$B$4686,$A403,[1]Desglose_BOM_Componentes!$AE$4679:$AE$4686,"Sin precio")</f>
        <v>0</v>
      </c>
      <c r="L403" s="1" t="str">
        <f>IF('[1]Precios componentes'!D28="Sin precio","BORL; ","")&amp;IF('[1]Precios componentes'!D140="Sin precio","SPR;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404" spans="1:12" ht="22" customHeight="1">
      <c r="A404" s="1" t="s">
        <v>436</v>
      </c>
      <c r="B404" s="1" t="s">
        <v>18</v>
      </c>
      <c r="C404" s="1" t="s">
        <v>24</v>
      </c>
      <c r="D404" s="4">
        <f>IF(COUNTIFS([1]Desglose_BOM_Componentes!$B$4687:$B$4694,$A404,[1]Desglose_BOM_Componentes!$AE$4687:$AE$4694,"Sin precio",[1]Desglose_BOM_Componentes!$X$4687:$X$4694,"Formulación")&gt;0,"n.d.",SUMIFS([1]Desglose_BOM_Componentes!$AC$4687:$AC$4694,[1]Desglose_BOM_Componentes!$B$4687:$B$4694,$A404,[1]Desglose_BOM_Componentes!$X$4687:$X$4694,"Formulación"))</f>
        <v>4.6128080000000002</v>
      </c>
      <c r="E404" s="4">
        <f>IF(COUNTIFS([1]Desglose_BOM_Componentes!$B$4687:$B$4694,$A404,[1]Desglose_BOM_Componentes!$AE$4687:$AE$4694,"Sin precio",[1]Desglose_BOM_Componentes!$X$4687:$X$4694,"Empaquetado")&gt;0,"n.d.",SUMIFS([1]Desglose_BOM_Componentes!$AC$4687:$AC$4694,[1]Desglose_BOM_Componentes!$B$4687:$B$4694,$A404,[1]Desglose_BOM_Componentes!$X$4687:$X$4694,"Empaquetado"))</f>
        <v>0.33288466819407259</v>
      </c>
      <c r="F404" s="6">
        <f t="shared" si="34"/>
        <v>4.9498926681940727</v>
      </c>
      <c r="G404" s="4">
        <f>IF(COUNTIFS([1]Desglose_BOM_Componentes!$B$4687:$B$4694,$A404,[1]Desglose_BOM_Componentes!$AE$4687:$AE$4694,"Sin precio",[1]Desglose_BOM_Componentes!$X$4687:$X$4694,"Formulación")&gt;0,"n.d.",SUMIFS([1]Desglose_BOM_Componentes!$AD$4687:$AD$4694,[1]Desglose_BOM_Componentes!$B$4687:$B$4694,$A404,[1]Desglose_BOM_Componentes!$X$4687:$X$4694,"Formulación"))</f>
        <v>4.5852194000000006</v>
      </c>
      <c r="H404" s="4">
        <f>IF(COUNTIFS([1]Desglose_BOM_Componentes!$B$4687:$B$4694,$A404,[1]Desglose_BOM_Componentes!$AE$4687:$AE$4694,"Sin precio",[1]Desglose_BOM_Componentes!$X$4687:$X$4694,"Empaquetado")&gt;0,"n.d.",SUMIFS([1]Desglose_BOM_Componentes!$AD$4687:$AD$4694,[1]Desglose_BOM_Componentes!$B$4687:$B$4694,$A404,[1]Desglose_BOM_Componentes!$X$4687:$X$4694,"Empaquetado"))</f>
        <v>0.33288466819407259</v>
      </c>
      <c r="I404" s="6">
        <f t="shared" si="35"/>
        <v>4.9223040681940731</v>
      </c>
      <c r="J404" s="1" t="str">
        <f t="shared" si="36"/>
        <v>Completo</v>
      </c>
      <c r="K404" s="1">
        <f>COUNTIFS([1]Desglose_BOM_Componentes!$B$4687:$B$4694,$A404,[1]Desglose_BOM_Componentes!$AE$4687:$AE$4694,"Sin precio")</f>
        <v>0</v>
      </c>
      <c r="L404" s="1" t="str">
        <f>IF('[1]Precios componentes'!D28="Sin precio","BORL; ","")&amp;IF('[1]Precios componentes'!D140="Sin precio","SPR;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405" spans="1:12" ht="22" customHeight="1">
      <c r="A405" s="1" t="s">
        <v>437</v>
      </c>
      <c r="B405" s="1" t="s">
        <v>18</v>
      </c>
      <c r="C405" s="1" t="s">
        <v>24</v>
      </c>
      <c r="D405" s="4">
        <f>IF(COUNTIFS([1]Desglose_BOM_Componentes!$B$4695:$B$4701,$A405,[1]Desglose_BOM_Componentes!$AE$4695:$AE$4701,"Sin precio",[1]Desglose_BOM_Componentes!$X$4695:$X$4701,"Formulación")&gt;0,"n.d.",SUMIFS([1]Desglose_BOM_Componentes!$AC$4695:$AC$4701,[1]Desglose_BOM_Componentes!$B$4695:$B$4701,$A405,[1]Desglose_BOM_Componentes!$X$4695:$X$4701,"Formulación"))</f>
        <v>4.6128080000000002</v>
      </c>
      <c r="E405" s="4">
        <f>IF(COUNTIFS([1]Desglose_BOM_Componentes!$B$4695:$B$4701,$A405,[1]Desglose_BOM_Componentes!$AE$4695:$AE$4701,"Sin precio",[1]Desglose_BOM_Componentes!$X$4695:$X$4701,"Empaquetado")&gt;0,"n.d.",SUMIFS([1]Desglose_BOM_Componentes!$AC$4695:$AC$4701,[1]Desglose_BOM_Componentes!$B$4695:$B$4701,$A405,[1]Desglose_BOM_Componentes!$X$4695:$X$4701,"Empaquetado"))</f>
        <v>0.24326489794470363</v>
      </c>
      <c r="F405" s="6">
        <f t="shared" si="34"/>
        <v>4.8602728979447036</v>
      </c>
      <c r="G405" s="4">
        <f>IF(COUNTIFS([1]Desglose_BOM_Componentes!$B$4695:$B$4701,$A405,[1]Desglose_BOM_Componentes!$AE$4695:$AE$4701,"Sin precio",[1]Desglose_BOM_Componentes!$X$4695:$X$4701,"Formulación")&gt;0,"n.d.",SUMIFS([1]Desglose_BOM_Componentes!$AD$4695:$AD$4701,[1]Desglose_BOM_Componentes!$B$4695:$B$4701,$A405,[1]Desglose_BOM_Componentes!$X$4695:$X$4701,"Formulación"))</f>
        <v>4.5852194000000006</v>
      </c>
      <c r="H405" s="4">
        <f>IF(COUNTIFS([1]Desglose_BOM_Componentes!$B$4695:$B$4701,$A405,[1]Desglose_BOM_Componentes!$AE$4695:$AE$4701,"Sin precio",[1]Desglose_BOM_Componentes!$X$4695:$X$4701,"Empaquetado")&gt;0,"n.d.",SUMIFS([1]Desglose_BOM_Componentes!$AD$4695:$AD$4701,[1]Desglose_BOM_Componentes!$B$4695:$B$4701,$A405,[1]Desglose_BOM_Componentes!$X$4695:$X$4701,"Empaquetado"))</f>
        <v>0.24326489794470363</v>
      </c>
      <c r="I405" s="6">
        <f t="shared" si="35"/>
        <v>4.832684297944704</v>
      </c>
      <c r="J405" s="1" t="str">
        <f t="shared" si="36"/>
        <v>Completo</v>
      </c>
      <c r="K405" s="1">
        <f>COUNTIFS([1]Desglose_BOM_Componentes!$B$4695:$B$4701,$A405,[1]Desglose_BOM_Componentes!$AE$4695:$AE$4701,"Sin precio")</f>
        <v>0</v>
      </c>
      <c r="L405" s="1" t="str">
        <f>IF('[1]Precios componentes'!D28="Sin precio","BORL; ","")&amp;IF('[1]Precios componentes'!D140="Sin precio","SPR; ","")&amp;IF('[1]Precios componentes'!D136="Sin precio","SOBRE 20L; ","")&amp;IF('[1]Precios componentes'!D115="Sin precio","PAL; ","")&amp;IF('[1]Precios componentes'!D95="Sin precio","KIA250; ","")&amp;IF('[1]Precios componentes'!D148="Sin precio","TPD61VS; ","")&amp;IF('[1]Precios componentes'!D61="Sin precio","ENV20; ","")</f>
        <v/>
      </c>
    </row>
    <row r="406" spans="1:12" ht="22" customHeight="1">
      <c r="A406" s="1" t="s">
        <v>438</v>
      </c>
      <c r="B406" s="1" t="s">
        <v>18</v>
      </c>
      <c r="C406" s="1" t="s">
        <v>26</v>
      </c>
      <c r="D406" s="4">
        <f>IF(COUNTIFS([1]Desglose_BOM_Componentes!$B$4702:$B$4708,$A406,[1]Desglose_BOM_Componentes!$AE$4702:$AE$4708,"Sin precio",[1]Desglose_BOM_Componentes!$X$4702:$X$4708,"Formulación")&gt;0,"n.d.",SUMIFS([1]Desglose_BOM_Componentes!$AC$4702:$AC$4708,[1]Desglose_BOM_Componentes!$B$4702:$B$4708,$A406,[1]Desglose_BOM_Componentes!$X$4702:$X$4708,"Formulación"))</f>
        <v>4.6128080000000002</v>
      </c>
      <c r="E406" s="4">
        <f>IF(COUNTIFS([1]Desglose_BOM_Componentes!$B$4702:$B$4708,$A406,[1]Desglose_BOM_Componentes!$AE$4702:$AE$4708,"Sin precio",[1]Desglose_BOM_Componentes!$X$4702:$X$4708,"Empaquetado")&gt;0,"n.d.",SUMIFS([1]Desglose_BOM_Componentes!$AC$4702:$AC$4708,[1]Desglose_BOM_Componentes!$B$4702:$B$4708,$A406,[1]Desglose_BOM_Componentes!$X$4702:$X$4708,"Empaquetado"))</f>
        <v>0.24326489794470363</v>
      </c>
      <c r="F406" s="6">
        <f t="shared" si="34"/>
        <v>4.8602728979447036</v>
      </c>
      <c r="G406" s="4">
        <f>IF(COUNTIFS([1]Desglose_BOM_Componentes!$B$4702:$B$4708,$A406,[1]Desglose_BOM_Componentes!$AE$4702:$AE$4708,"Sin precio",[1]Desglose_BOM_Componentes!$X$4702:$X$4708,"Formulación")&gt;0,"n.d.",SUMIFS([1]Desglose_BOM_Componentes!$AD$4702:$AD$4708,[1]Desglose_BOM_Componentes!$B$4702:$B$4708,$A406,[1]Desglose_BOM_Componentes!$X$4702:$X$4708,"Formulación"))</f>
        <v>4.5852194000000006</v>
      </c>
      <c r="H406" s="4">
        <f>IF(COUNTIFS([1]Desglose_BOM_Componentes!$B$4702:$B$4708,$A406,[1]Desglose_BOM_Componentes!$AE$4702:$AE$4708,"Sin precio",[1]Desglose_BOM_Componentes!$X$4702:$X$4708,"Empaquetado")&gt;0,"n.d.",SUMIFS([1]Desglose_BOM_Componentes!$AD$4702:$AD$4708,[1]Desglose_BOM_Componentes!$B$4702:$B$4708,$A406,[1]Desglose_BOM_Componentes!$X$4702:$X$4708,"Empaquetado"))</f>
        <v>0.24326489794470363</v>
      </c>
      <c r="I406" s="6">
        <f t="shared" si="35"/>
        <v>4.832684297944704</v>
      </c>
      <c r="J406" s="1" t="str">
        <f t="shared" si="36"/>
        <v>Completo</v>
      </c>
      <c r="K406" s="1">
        <f>COUNTIFS([1]Desglose_BOM_Componentes!$B$4702:$B$4708,$A406,[1]Desglose_BOM_Componentes!$AE$4702:$AE$4708,"Sin precio")</f>
        <v>0</v>
      </c>
      <c r="L406" s="1" t="str">
        <f>IF('[1]Precios componentes'!D28="Sin precio","BORL; ","")&amp;IF('[1]Precios componentes'!D140="Sin precio","SPR; ","")&amp;IF('[1]Precios componentes'!D136="Sin precio","SOBRE 20L; ","")&amp;IF('[1]Precios componentes'!D115="Sin precio","PAL; ","")&amp;IF('[1]Precios componentes'!D95="Sin precio","KIA250; ","")&amp;IF('[1]Precios componentes'!D148="Sin precio","TPD61VS; ","")&amp;IF('[1]Precios componentes'!D61="Sin precio","ENV20; ","")</f>
        <v/>
      </c>
    </row>
    <row r="407" spans="1:12" ht="22" customHeight="1">
      <c r="A407" s="1" t="s">
        <v>439</v>
      </c>
      <c r="B407" s="1" t="s">
        <v>18</v>
      </c>
      <c r="C407" s="1" t="s">
        <v>21</v>
      </c>
      <c r="D407" s="4">
        <f>IF(COUNTIFS([1]Desglose_BOM_Componentes!$B$4616:$B$4624,$A407,[1]Desglose_BOM_Componentes!$AE$4616:$AE$4624,"Sin precio",[1]Desglose_BOM_Componentes!$X$4616:$X$4624,"Formulación")&gt;0,"n.d.",SUMIFS([1]Desglose_BOM_Componentes!$AC$4616:$AC$4624,[1]Desglose_BOM_Componentes!$B$4616:$B$4624,$A407,[1]Desglose_BOM_Componentes!$X$4616:$X$4624,"Formulación"))</f>
        <v>5.3365</v>
      </c>
      <c r="E407" s="4">
        <f>IF(COUNTIFS([1]Desglose_BOM_Componentes!$B$4616:$B$4624,$A407,[1]Desglose_BOM_Componentes!$AE$4616:$AE$4624,"Sin precio",[1]Desglose_BOM_Componentes!$X$4616:$X$4624,"Empaquetado")&gt;0,"n.d.",SUMIFS([1]Desglose_BOM_Componentes!$AC$4616:$AC$4624,[1]Desglose_BOM_Componentes!$B$4616:$B$4624,$A407,[1]Desglose_BOM_Componentes!$X$4616:$X$4624,"Empaquetado"))</f>
        <v>0.33288466819407259</v>
      </c>
      <c r="F407" s="6">
        <f t="shared" si="34"/>
        <v>5.6735846681940725</v>
      </c>
      <c r="G407" s="4">
        <f>IF(COUNTIFS([1]Desglose_BOM_Componentes!$B$4616:$B$4624,$A407,[1]Desglose_BOM_Componentes!$AE$4616:$AE$4624,"Sin precio",[1]Desglose_BOM_Componentes!$X$4616:$X$4624,"Formulación")&gt;0,"n.d.",SUMIFS([1]Desglose_BOM_Componentes!$AD$4616:$AD$4624,[1]Desglose_BOM_Componentes!$B$4616:$B$4624,$A407,[1]Desglose_BOM_Componentes!$X$4616:$X$4624,"Formulación"))</f>
        <v>5.2797400000000003</v>
      </c>
      <c r="H407" s="4">
        <f>IF(COUNTIFS([1]Desglose_BOM_Componentes!$B$4616:$B$4624,$A407,[1]Desglose_BOM_Componentes!$AE$4616:$AE$4624,"Sin precio",[1]Desglose_BOM_Componentes!$X$4616:$X$4624,"Empaquetado")&gt;0,"n.d.",SUMIFS([1]Desglose_BOM_Componentes!$AD$4616:$AD$4624,[1]Desglose_BOM_Componentes!$B$4616:$B$4624,$A407,[1]Desglose_BOM_Componentes!$X$4616:$X$4624,"Empaquetado"))</f>
        <v>0.33288466819407259</v>
      </c>
      <c r="I407" s="6">
        <f t="shared" si="35"/>
        <v>5.6168246681940728</v>
      </c>
      <c r="J407" s="1" t="str">
        <f t="shared" si="36"/>
        <v>Completo</v>
      </c>
      <c r="K407" s="1">
        <f>COUNTIFS([1]Desglose_BOM_Componentes!$B$4616:$B$4624,$A407,[1]Desglose_BOM_Componentes!$AE$4616:$AE$4624,"Sin precio")</f>
        <v>0</v>
      </c>
      <c r="L407" s="1" t="str">
        <f>IF('[1]Precios componentes'!D140="Sin precio","SPR; ","")&amp;IF('[1]Precios componentes'!D46="Sin precio","CMN; ","")&amp;IF('[1]Precios componentes'!D50="Sin precio","CZN;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408" spans="1:12" ht="22" customHeight="1">
      <c r="A408" s="1" t="s">
        <v>440</v>
      </c>
      <c r="B408" s="1" t="s">
        <v>18</v>
      </c>
      <c r="C408" s="1" t="s">
        <v>21</v>
      </c>
      <c r="D408" s="4">
        <f>IF(COUNTIFS([1]Desglose_BOM_Componentes!$B$4625:$B$4632,$A408,[1]Desglose_BOM_Componentes!$AE$4625:$AE$4632,"Sin precio",[1]Desglose_BOM_Componentes!$X$4625:$X$4632,"Formulación")&gt;0,"n.d.",SUMIFS([1]Desglose_BOM_Componentes!$AC$4625:$AC$4632,[1]Desglose_BOM_Componentes!$B$4625:$B$4632,$A408,[1]Desglose_BOM_Componentes!$X$4625:$X$4632,"Formulación"))</f>
        <v>5.3365</v>
      </c>
      <c r="E408" s="4">
        <f>IF(COUNTIFS([1]Desglose_BOM_Componentes!$B$4625:$B$4632,$A408,[1]Desglose_BOM_Componentes!$AE$4625:$AE$4632,"Sin precio",[1]Desglose_BOM_Componentes!$X$4625:$X$4632,"Empaquetado")&gt;0,"n.d.",SUMIFS([1]Desglose_BOM_Componentes!$AC$4625:$AC$4632,[1]Desglose_BOM_Componentes!$B$4625:$B$4632,$A408,[1]Desglose_BOM_Componentes!$X$4625:$X$4632,"Empaquetado"))</f>
        <v>0.24326489794470363</v>
      </c>
      <c r="F408" s="6">
        <f t="shared" si="34"/>
        <v>5.5839648979447034</v>
      </c>
      <c r="G408" s="4">
        <f>IF(COUNTIFS([1]Desglose_BOM_Componentes!$B$4625:$B$4632,$A408,[1]Desglose_BOM_Componentes!$AE$4625:$AE$4632,"Sin precio",[1]Desglose_BOM_Componentes!$X$4625:$X$4632,"Formulación")&gt;0,"n.d.",SUMIFS([1]Desglose_BOM_Componentes!$AD$4625:$AD$4632,[1]Desglose_BOM_Componentes!$B$4625:$B$4632,$A408,[1]Desglose_BOM_Componentes!$X$4625:$X$4632,"Formulación"))</f>
        <v>5.2797400000000003</v>
      </c>
      <c r="H408" s="4">
        <f>IF(COUNTIFS([1]Desglose_BOM_Componentes!$B$4625:$B$4632,$A408,[1]Desglose_BOM_Componentes!$AE$4625:$AE$4632,"Sin precio",[1]Desglose_BOM_Componentes!$X$4625:$X$4632,"Empaquetado")&gt;0,"n.d.",SUMIFS([1]Desglose_BOM_Componentes!$AD$4625:$AD$4632,[1]Desglose_BOM_Componentes!$B$4625:$B$4632,$A408,[1]Desglose_BOM_Componentes!$X$4625:$X$4632,"Empaquetado"))</f>
        <v>0.24326489794470363</v>
      </c>
      <c r="I408" s="6">
        <f t="shared" si="35"/>
        <v>5.5272048979447037</v>
      </c>
      <c r="J408" s="1" t="str">
        <f t="shared" si="36"/>
        <v>Completo</v>
      </c>
      <c r="K408" s="1">
        <f>COUNTIFS([1]Desglose_BOM_Componentes!$B$4625:$B$4632,$A408,[1]Desglose_BOM_Componentes!$AE$4625:$AE$4632,"Sin precio")</f>
        <v>0</v>
      </c>
      <c r="L408" s="1" t="str">
        <f>IF('[1]Precios componentes'!D140="Sin precio","SPR; ","")&amp;IF('[1]Precios componentes'!D46="Sin precio","CMN; ","")&amp;IF('[1]Precios componentes'!D50="Sin precio","CZN; ","")&amp;IF('[1]Precios componentes'!D136="Sin precio","SOBRE 20L; ","")&amp;IF('[1]Precios componentes'!D115="Sin precio","PAL; ","")&amp;IF('[1]Precios componentes'!D61="Sin precio","ENV20; ","")&amp;IF('[1]Precios componentes'!D95="Sin precio","KIA250; ","")&amp;IF('[1]Precios componentes'!D148="Sin precio","TPD61VS; ","")</f>
        <v/>
      </c>
    </row>
    <row r="409" spans="1:12" ht="22" customHeight="1">
      <c r="A409" s="1" t="s">
        <v>441</v>
      </c>
      <c r="B409" s="1" t="s">
        <v>18</v>
      </c>
      <c r="C409" s="1" t="s">
        <v>19</v>
      </c>
      <c r="D409" s="4">
        <f>IF(COUNTIFS([1]Desglose_BOM_Componentes!$B$4633:$B$4640,$A409,[1]Desglose_BOM_Componentes!$AE$4633:$AE$4640,"Sin precio",[1]Desglose_BOM_Componentes!$X$4633:$X$4640,"Formulación")&gt;0,"n.d.",SUMIFS([1]Desglose_BOM_Componentes!$AC$4633:$AC$4640,[1]Desglose_BOM_Componentes!$B$4633:$B$4640,$A409,[1]Desglose_BOM_Componentes!$X$4633:$X$4640,"Formulación"))</f>
        <v>5.3365</v>
      </c>
      <c r="E409" s="4">
        <f>IF(COUNTIFS([1]Desglose_BOM_Componentes!$B$4633:$B$4640,$A409,[1]Desglose_BOM_Componentes!$AE$4633:$AE$4640,"Sin precio",[1]Desglose_BOM_Componentes!$X$4633:$X$4640,"Empaquetado")&gt;0,"n.d.",SUMIFS([1]Desglose_BOM_Componentes!$AC$4633:$AC$4640,[1]Desglose_BOM_Componentes!$B$4633:$B$4640,$A409,[1]Desglose_BOM_Componentes!$X$4633:$X$4640,"Empaquetado"))</f>
        <v>0.24326489794470363</v>
      </c>
      <c r="F409" s="6">
        <f t="shared" si="34"/>
        <v>5.5839648979447034</v>
      </c>
      <c r="G409" s="4">
        <f>IF(COUNTIFS([1]Desglose_BOM_Componentes!$B$4633:$B$4640,$A409,[1]Desglose_BOM_Componentes!$AE$4633:$AE$4640,"Sin precio",[1]Desglose_BOM_Componentes!$X$4633:$X$4640,"Formulación")&gt;0,"n.d.",SUMIFS([1]Desglose_BOM_Componentes!$AD$4633:$AD$4640,[1]Desglose_BOM_Componentes!$B$4633:$B$4640,$A409,[1]Desglose_BOM_Componentes!$X$4633:$X$4640,"Formulación"))</f>
        <v>5.2797400000000003</v>
      </c>
      <c r="H409" s="4">
        <f>IF(COUNTIFS([1]Desglose_BOM_Componentes!$B$4633:$B$4640,$A409,[1]Desglose_BOM_Componentes!$AE$4633:$AE$4640,"Sin precio",[1]Desglose_BOM_Componentes!$X$4633:$X$4640,"Empaquetado")&gt;0,"n.d.",SUMIFS([1]Desglose_BOM_Componentes!$AD$4633:$AD$4640,[1]Desglose_BOM_Componentes!$B$4633:$B$4640,$A409,[1]Desglose_BOM_Componentes!$X$4633:$X$4640,"Empaquetado"))</f>
        <v>0.24326489794470363</v>
      </c>
      <c r="I409" s="6">
        <f t="shared" si="35"/>
        <v>5.5272048979447037</v>
      </c>
      <c r="J409" s="1" t="str">
        <f t="shared" si="36"/>
        <v>Completo</v>
      </c>
      <c r="K409" s="1">
        <f>COUNTIFS([1]Desglose_BOM_Componentes!$B$4633:$B$4640,$A409,[1]Desglose_BOM_Componentes!$AE$4633:$AE$4640,"Sin precio")</f>
        <v>0</v>
      </c>
      <c r="L409" s="1" t="str">
        <f>IF('[1]Precios componentes'!D140="Sin precio","SPR; ","")&amp;IF('[1]Precios componentes'!D46="Sin precio","CMN; ","")&amp;IF('[1]Precios componentes'!D50="Sin precio","CZN; ","")&amp;IF('[1]Precios componentes'!D136="Sin precio","SOBRE 20L; ","")&amp;IF('[1]Precios componentes'!D115="Sin precio","PAL; ","")&amp;IF('[1]Precios componentes'!D61="Sin precio","ENV20; ","")&amp;IF('[1]Precios componentes'!D95="Sin precio","KIA250; ","")&amp;IF('[1]Precios componentes'!D148="Sin precio","TPD61VS; ","")</f>
        <v/>
      </c>
    </row>
    <row r="410" spans="1:12" ht="22" customHeight="1">
      <c r="A410" s="1" t="s">
        <v>442</v>
      </c>
      <c r="B410" s="1" t="s">
        <v>68</v>
      </c>
      <c r="C410" s="1" t="s">
        <v>21</v>
      </c>
      <c r="D410" s="4">
        <f>IF(COUNTIFS([1]Desglose_BOM_Componentes!$B$4709:$B$4720,$A410,[1]Desglose_BOM_Componentes!$AE$4709:$AE$4720,"Sin precio",[1]Desglose_BOM_Componentes!$X$4709:$X$4720,"Formulación")&gt;0,"n.d.",SUMIFS([1]Desglose_BOM_Componentes!$AC$4709:$AC$4720,[1]Desglose_BOM_Componentes!$B$4709:$B$4720,$A410,[1]Desglose_BOM_Componentes!$X$4709:$X$4720,"Formulación"))</f>
        <v>1.1044150000000004</v>
      </c>
      <c r="E410" s="4">
        <f>IF(COUNTIFS([1]Desglose_BOM_Componentes!$B$4709:$B$4720,$A410,[1]Desglose_BOM_Componentes!$AE$4709:$AE$4720,"Sin precio",[1]Desglose_BOM_Componentes!$X$4709:$X$4720,"Empaquetado")&gt;0,"n.d.",SUMIFS([1]Desglose_BOM_Componentes!$AC$4709:$AC$4720,[1]Desglose_BOM_Componentes!$B$4709:$B$4720,$A410,[1]Desglose_BOM_Componentes!$X$4709:$X$4720,"Empaquetado"))</f>
        <v>0.17183679579759836</v>
      </c>
      <c r="F410" s="6">
        <f t="shared" ref="F410:F429" si="37">IF(K410&gt;0,"n.d.",SUM(D410:E410))</f>
        <v>1.2762517957975987</v>
      </c>
      <c r="G410" s="4">
        <f>IF(COUNTIFS([1]Desglose_BOM_Componentes!$B$4709:$B$4720,$A410,[1]Desglose_BOM_Componentes!$AE$4709:$AE$4720,"Sin precio",[1]Desglose_BOM_Componentes!$X$4709:$X$4720,"Formulación")&gt;0,"n.d.",SUMIFS([1]Desglose_BOM_Componentes!$AD$4709:$AD$4720,[1]Desglose_BOM_Componentes!$B$4709:$B$4720,$A410,[1]Desglose_BOM_Componentes!$X$4709:$X$4720,"Formulación"))</f>
        <v>0.87386807142857137</v>
      </c>
      <c r="H410" s="4">
        <f>IF(COUNTIFS([1]Desglose_BOM_Componentes!$B$4709:$B$4720,$A410,[1]Desglose_BOM_Componentes!$AE$4709:$AE$4720,"Sin precio",[1]Desglose_BOM_Componentes!$X$4709:$X$4720,"Empaquetado")&gt;0,"n.d.",SUMIFS([1]Desglose_BOM_Componentes!$AD$4709:$AD$4720,[1]Desglose_BOM_Componentes!$B$4709:$B$4720,$A410,[1]Desglose_BOM_Componentes!$X$4709:$X$4720,"Empaquetado"))</f>
        <v>0.17183679579759836</v>
      </c>
      <c r="I410" s="6">
        <f t="shared" ref="I410:I429" si="38">IF(K410&gt;0,"n.d.",SUM(G410:H410))</f>
        <v>1.0457048672261697</v>
      </c>
      <c r="J410" s="1" t="str">
        <f t="shared" si="36"/>
        <v>Completo</v>
      </c>
      <c r="K410" s="1">
        <f>COUNTIFS([1]Desglose_BOM_Componentes!$B$4709:$B$4720,$A410,[1]Desglose_BOM_Componentes!$AE$4709:$AE$4720,"Sin precio")</f>
        <v>0</v>
      </c>
      <c r="L410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componentes'!D94="Sin precio","KIA220; ","")&amp;IF('[1]Precios componentes'!D134="Sin precio","SOBRE 1L; ","")&amp;IF('[1]Precios componentes'!D115="Sin precio","PAL; ","")&amp;IF('[1]Precios componentes'!D33="Sin precio","C1L; ","")&amp;IF('[1]Precios componentes'!D70="Sin precio","ETQVP165; ","")&amp;IF('[1]Precios componentes'!D97="Sin precio","LAM1; ","")</f>
        <v/>
      </c>
    </row>
    <row r="411" spans="1:12" ht="22" customHeight="1">
      <c r="A411" s="1" t="s">
        <v>443</v>
      </c>
      <c r="B411" s="1" t="s">
        <v>68</v>
      </c>
      <c r="C411" s="1" t="s">
        <v>69</v>
      </c>
      <c r="D411" s="4">
        <f>IF(COUNTIFS([1]Desglose_BOM_Componentes!$B$4721:$B$4732,$A411,[1]Desglose_BOM_Componentes!$AE$4721:$AE$4732,"Sin precio",[1]Desglose_BOM_Componentes!$X$4721:$X$4732,"Formulación")&gt;0,"n.d.",SUMIFS([1]Desglose_BOM_Componentes!$AC$4721:$AC$4732,[1]Desglose_BOM_Componentes!$B$4721:$B$4732,$A411,[1]Desglose_BOM_Componentes!$X$4721:$X$4732,"Formulación"))</f>
        <v>1.1044150000000004</v>
      </c>
      <c r="E411" s="4">
        <f>IF(COUNTIFS([1]Desglose_BOM_Componentes!$B$4721:$B$4732,$A411,[1]Desglose_BOM_Componentes!$AE$4721:$AE$4732,"Sin precio",[1]Desglose_BOM_Componentes!$X$4721:$X$4732,"Empaquetado")&gt;0,"n.d.",SUMIFS([1]Desglose_BOM_Componentes!$AC$4721:$AC$4732,[1]Desglose_BOM_Componentes!$B$4721:$B$4732,$A411,[1]Desglose_BOM_Componentes!$X$4721:$X$4732,"Empaquetado"))</f>
        <v>0.17183679579759836</v>
      </c>
      <c r="F411" s="6">
        <f t="shared" si="37"/>
        <v>1.2762517957975987</v>
      </c>
      <c r="G411" s="4">
        <f>IF(COUNTIFS([1]Desglose_BOM_Componentes!$B$4721:$B$4732,$A411,[1]Desglose_BOM_Componentes!$AE$4721:$AE$4732,"Sin precio",[1]Desglose_BOM_Componentes!$X$4721:$X$4732,"Formulación")&gt;0,"n.d.",SUMIFS([1]Desglose_BOM_Componentes!$AD$4721:$AD$4732,[1]Desglose_BOM_Componentes!$B$4721:$B$4732,$A411,[1]Desglose_BOM_Componentes!$X$4721:$X$4732,"Formulación"))</f>
        <v>0.87386807142857137</v>
      </c>
      <c r="H411" s="4">
        <f>IF(COUNTIFS([1]Desglose_BOM_Componentes!$B$4721:$B$4732,$A411,[1]Desglose_BOM_Componentes!$AE$4721:$AE$4732,"Sin precio",[1]Desglose_BOM_Componentes!$X$4721:$X$4732,"Empaquetado")&gt;0,"n.d.",SUMIFS([1]Desglose_BOM_Componentes!$AD$4721:$AD$4732,[1]Desglose_BOM_Componentes!$B$4721:$B$4732,$A411,[1]Desglose_BOM_Componentes!$X$4721:$X$4732,"Empaquetado"))</f>
        <v>0.17183679579759836</v>
      </c>
      <c r="I411" s="6">
        <f t="shared" si="38"/>
        <v>1.0457048672261697</v>
      </c>
      <c r="J411" s="1" t="str">
        <f t="shared" si="36"/>
        <v>Completo</v>
      </c>
      <c r="K411" s="1">
        <f>COUNTIFS([1]Desglose_BOM_Componentes!$B$4721:$B$4732,$A411,[1]Desglose_BOM_Componentes!$AE$4721:$AE$4732,"Sin precio")</f>
        <v>0</v>
      </c>
      <c r="L411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componentes'!D94="Sin precio","KIA220; ","")&amp;IF('[1]Precios componentes'!D134="Sin precio","SOBRE 1L; ","")&amp;IF('[1]Precios componentes'!D115="Sin precio","PAL; ","")&amp;IF('[1]Precios componentes'!D33="Sin precio","C1L; ","")&amp;IF('[1]Precios componentes'!D70="Sin precio","ETQVP165; ","")&amp;IF('[1]Precios componentes'!D97="Sin precio","LAM1; ","")</f>
        <v/>
      </c>
    </row>
    <row r="412" spans="1:12" ht="22" customHeight="1">
      <c r="A412" s="1" t="s">
        <v>444</v>
      </c>
      <c r="B412" s="1" t="s">
        <v>68</v>
      </c>
      <c r="C412" s="1" t="s">
        <v>81</v>
      </c>
      <c r="D412" s="4">
        <f>IF(COUNTIFS([1]Desglose_BOM_Componentes!$B$4733:$B$4744,$A412,[1]Desglose_BOM_Componentes!$AE$4733:$AE$4744,"Sin precio",[1]Desglose_BOM_Componentes!$X$4733:$X$4744,"Formulación")&gt;0,"n.d.",SUMIFS([1]Desglose_BOM_Componentes!$AC$4733:$AC$4744,[1]Desglose_BOM_Componentes!$B$4733:$B$4744,$A412,[1]Desglose_BOM_Componentes!$X$4733:$X$4744,"Formulación"))</f>
        <v>1.1044150000000004</v>
      </c>
      <c r="E412" s="4">
        <f>IF(COUNTIFS([1]Desglose_BOM_Componentes!$B$4733:$B$4744,$A412,[1]Desglose_BOM_Componentes!$AE$4733:$AE$4744,"Sin precio",[1]Desglose_BOM_Componentes!$X$4733:$X$4744,"Empaquetado")&gt;0,"n.d.",SUMIFS([1]Desglose_BOM_Componentes!$AC$4733:$AC$4744,[1]Desglose_BOM_Componentes!$B$4733:$B$4744,$A412,[1]Desglose_BOM_Componentes!$X$4733:$X$4744,"Empaquetado"))</f>
        <v>0.17183679579759836</v>
      </c>
      <c r="F412" s="6">
        <f t="shared" si="37"/>
        <v>1.2762517957975987</v>
      </c>
      <c r="G412" s="4">
        <f>IF(COUNTIFS([1]Desglose_BOM_Componentes!$B$4733:$B$4744,$A412,[1]Desglose_BOM_Componentes!$AE$4733:$AE$4744,"Sin precio",[1]Desglose_BOM_Componentes!$X$4733:$X$4744,"Formulación")&gt;0,"n.d.",SUMIFS([1]Desglose_BOM_Componentes!$AD$4733:$AD$4744,[1]Desglose_BOM_Componentes!$B$4733:$B$4744,$A412,[1]Desglose_BOM_Componentes!$X$4733:$X$4744,"Formulación"))</f>
        <v>0.87386807142857137</v>
      </c>
      <c r="H412" s="4">
        <f>IF(COUNTIFS([1]Desglose_BOM_Componentes!$B$4733:$B$4744,$A412,[1]Desglose_BOM_Componentes!$AE$4733:$AE$4744,"Sin precio",[1]Desglose_BOM_Componentes!$X$4733:$X$4744,"Empaquetado")&gt;0,"n.d.",SUMIFS([1]Desglose_BOM_Componentes!$AD$4733:$AD$4744,[1]Desglose_BOM_Componentes!$B$4733:$B$4744,$A412,[1]Desglose_BOM_Componentes!$X$4733:$X$4744,"Empaquetado"))</f>
        <v>0.17183679579759836</v>
      </c>
      <c r="I412" s="6">
        <f t="shared" si="38"/>
        <v>1.0457048672261697</v>
      </c>
      <c r="J412" s="1" t="str">
        <f t="shared" si="36"/>
        <v>Completo</v>
      </c>
      <c r="K412" s="1">
        <f>COUNTIFS([1]Desglose_BOM_Componentes!$B$4733:$B$4744,$A412,[1]Desglose_BOM_Componentes!$AE$4733:$AE$4744,"Sin precio")</f>
        <v>0</v>
      </c>
      <c r="L412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componentes'!D94="Sin precio","KIA220; ","")&amp;IF('[1]Precios componentes'!D134="Sin precio","SOBRE 1L; ","")&amp;IF('[1]Precios componentes'!D115="Sin precio","PAL; ","")&amp;IF('[1]Precios componentes'!D33="Sin precio","C1L; ","")&amp;IF('[1]Precios componentes'!D70="Sin precio","ETQVP165; ","")&amp;IF('[1]Precios componentes'!D97="Sin precio","LAM1; ","")</f>
        <v/>
      </c>
    </row>
    <row r="413" spans="1:12" ht="22" customHeight="1">
      <c r="A413" s="1" t="s">
        <v>445</v>
      </c>
      <c r="B413" s="1" t="s">
        <v>68</v>
      </c>
      <c r="C413" s="1" t="s">
        <v>19</v>
      </c>
      <c r="D413" s="4">
        <f>IF(COUNTIFS([1]Desglose_BOM_Componentes!$B$4745:$B$4756,$A413,[1]Desglose_BOM_Componentes!$AE$4745:$AE$4756,"Sin precio",[1]Desglose_BOM_Componentes!$X$4745:$X$4756,"Formulación")&gt;0,"n.d.",SUMIFS([1]Desglose_BOM_Componentes!$AC$4745:$AC$4756,[1]Desglose_BOM_Componentes!$B$4745:$B$4756,$A413,[1]Desglose_BOM_Componentes!$X$4745:$X$4756,"Formulación"))</f>
        <v>1.1044150000000004</v>
      </c>
      <c r="E413" s="4">
        <f>IF(COUNTIFS([1]Desglose_BOM_Componentes!$B$4745:$B$4756,$A413,[1]Desglose_BOM_Componentes!$AE$4745:$AE$4756,"Sin precio",[1]Desglose_BOM_Componentes!$X$4745:$X$4756,"Empaquetado")&gt;0,"n.d.",SUMIFS([1]Desglose_BOM_Componentes!$AC$4745:$AC$4756,[1]Desglose_BOM_Componentes!$B$4745:$B$4756,$A413,[1]Desglose_BOM_Componentes!$X$4745:$X$4756,"Empaquetado"))</f>
        <v>0.17183679579759836</v>
      </c>
      <c r="F413" s="6">
        <f t="shared" si="37"/>
        <v>1.2762517957975987</v>
      </c>
      <c r="G413" s="4">
        <f>IF(COUNTIFS([1]Desglose_BOM_Componentes!$B$4745:$B$4756,$A413,[1]Desglose_BOM_Componentes!$AE$4745:$AE$4756,"Sin precio",[1]Desglose_BOM_Componentes!$X$4745:$X$4756,"Formulación")&gt;0,"n.d.",SUMIFS([1]Desglose_BOM_Componentes!$AD$4745:$AD$4756,[1]Desglose_BOM_Componentes!$B$4745:$B$4756,$A413,[1]Desglose_BOM_Componentes!$X$4745:$X$4756,"Formulación"))</f>
        <v>0.87386807142857137</v>
      </c>
      <c r="H413" s="4">
        <f>IF(COUNTIFS([1]Desglose_BOM_Componentes!$B$4745:$B$4756,$A413,[1]Desglose_BOM_Componentes!$AE$4745:$AE$4756,"Sin precio",[1]Desglose_BOM_Componentes!$X$4745:$X$4756,"Empaquetado")&gt;0,"n.d.",SUMIFS([1]Desglose_BOM_Componentes!$AD$4745:$AD$4756,[1]Desglose_BOM_Componentes!$B$4745:$B$4756,$A413,[1]Desglose_BOM_Componentes!$X$4745:$X$4756,"Empaquetado"))</f>
        <v>0.17183679579759836</v>
      </c>
      <c r="I413" s="6">
        <f t="shared" si="38"/>
        <v>1.0457048672261697</v>
      </c>
      <c r="J413" s="1" t="str">
        <f t="shared" si="36"/>
        <v>Completo</v>
      </c>
      <c r="K413" s="1">
        <f>COUNTIFS([1]Desglose_BOM_Componentes!$B$4745:$B$4756,$A413,[1]Desglose_BOM_Componentes!$AE$4745:$AE$4756,"Sin precio")</f>
        <v>0</v>
      </c>
      <c r="L413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componentes'!D94="Sin precio","KIA220; ","")&amp;IF('[1]Precios componentes'!D134="Sin precio","SOBRE 1L; ","")&amp;IF('[1]Precios componentes'!D115="Sin precio","PAL; ","")&amp;IF('[1]Precios componentes'!D33="Sin precio","C1L; ","")&amp;IF('[1]Precios componentes'!D70="Sin precio","ETQVP165; ","")&amp;IF('[1]Precios componentes'!D97="Sin precio","LAM1; ","")</f>
        <v/>
      </c>
    </row>
    <row r="414" spans="1:12" ht="22" customHeight="1">
      <c r="A414" s="1" t="s">
        <v>446</v>
      </c>
      <c r="B414" s="1" t="s">
        <v>68</v>
      </c>
      <c r="C414" s="1" t="s">
        <v>24</v>
      </c>
      <c r="D414" s="4">
        <f>IF(COUNTIFS([1]Desglose_BOM_Componentes!$B$4757:$B$4767,$A414,[1]Desglose_BOM_Componentes!$AE$4757:$AE$4767,"Sin precio",[1]Desglose_BOM_Componentes!$X$4757:$X$4767,"Formulación")&gt;0,"n.d.",SUMIFS([1]Desglose_BOM_Componentes!$AC$4757:$AC$4767,[1]Desglose_BOM_Componentes!$B$4757:$B$4767,$A414,[1]Desglose_BOM_Componentes!$X$4757:$X$4767,"Formulación"))</f>
        <v>1.1044150000000004</v>
      </c>
      <c r="E414" s="4">
        <f>IF(COUNTIFS([1]Desglose_BOM_Componentes!$B$4757:$B$4767,$A414,[1]Desglose_BOM_Componentes!$AE$4757:$AE$4767,"Sin precio",[1]Desglose_BOM_Componentes!$X$4757:$X$4767,"Empaquetado")&gt;0,"n.d.",SUMIFS([1]Desglose_BOM_Componentes!$AC$4757:$AC$4767,[1]Desglose_BOM_Componentes!$B$4757:$B$4767,$A414,[1]Desglose_BOM_Componentes!$X$4757:$X$4767,"Empaquetado"))</f>
        <v>0.10354733439422743</v>
      </c>
      <c r="F414" s="6">
        <f t="shared" si="37"/>
        <v>1.2079623343942278</v>
      </c>
      <c r="G414" s="4">
        <f>IF(COUNTIFS([1]Desglose_BOM_Componentes!$B$4757:$B$4767,$A414,[1]Desglose_BOM_Componentes!$AE$4757:$AE$4767,"Sin precio",[1]Desglose_BOM_Componentes!$X$4757:$X$4767,"Formulación")&gt;0,"n.d.",SUMIFS([1]Desglose_BOM_Componentes!$AD$4757:$AD$4767,[1]Desglose_BOM_Componentes!$B$4757:$B$4767,$A414,[1]Desglose_BOM_Componentes!$X$4757:$X$4767,"Formulación"))</f>
        <v>0.87386807142857137</v>
      </c>
      <c r="H414" s="4">
        <f>IF(COUNTIFS([1]Desglose_BOM_Componentes!$B$4757:$B$4767,$A414,[1]Desglose_BOM_Componentes!$AE$4757:$AE$4767,"Sin precio",[1]Desglose_BOM_Componentes!$X$4757:$X$4767,"Empaquetado")&gt;0,"n.d.",SUMIFS([1]Desglose_BOM_Componentes!$AD$4757:$AD$4767,[1]Desglose_BOM_Componentes!$B$4757:$B$4767,$A414,[1]Desglose_BOM_Componentes!$X$4757:$X$4767,"Empaquetado"))</f>
        <v>0.10354733439422743</v>
      </c>
      <c r="I414" s="6">
        <f t="shared" si="38"/>
        <v>0.97741540582279884</v>
      </c>
      <c r="J414" s="1" t="str">
        <f t="shared" si="36"/>
        <v>Completo</v>
      </c>
      <c r="K414" s="1">
        <f>COUNTIFS([1]Desglose_BOM_Componentes!$B$4757:$B$4767,$A414,[1]Desglose_BOM_Componentes!$AE$4757:$AE$4767,"Sin precio")</f>
        <v>0</v>
      </c>
      <c r="L414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415" spans="1:12" ht="22" customHeight="1">
      <c r="A415" s="1" t="s">
        <v>447</v>
      </c>
      <c r="B415" s="1" t="s">
        <v>68</v>
      </c>
      <c r="C415" s="1" t="s">
        <v>21</v>
      </c>
      <c r="D415" s="4">
        <f>IF(COUNTIFS([1]Desglose_BOM_Componentes!$B$4768:$B$4778,$A415,[1]Desglose_BOM_Componentes!$AE$4768:$AE$4778,"Sin precio",[1]Desglose_BOM_Componentes!$X$4768:$X$4778,"Formulación")&gt;0,"n.d.",SUMIFS([1]Desglose_BOM_Componentes!$AC$4768:$AC$4778,[1]Desglose_BOM_Componentes!$B$4768:$B$4778,$A415,[1]Desglose_BOM_Componentes!$X$4768:$X$4778,"Formulación"))</f>
        <v>1.1044150000000004</v>
      </c>
      <c r="E415" s="4">
        <f>IF(COUNTIFS([1]Desglose_BOM_Componentes!$B$4768:$B$4778,$A415,[1]Desglose_BOM_Componentes!$AE$4768:$AE$4778,"Sin precio",[1]Desglose_BOM_Componentes!$X$4768:$X$4778,"Empaquetado")&gt;0,"n.d.",SUMIFS([1]Desglose_BOM_Componentes!$AC$4768:$AC$4778,[1]Desglose_BOM_Componentes!$B$4768:$B$4778,$A415,[1]Desglose_BOM_Componentes!$X$4768:$X$4778,"Empaquetado"))</f>
        <v>0.10354733439422743</v>
      </c>
      <c r="F415" s="6">
        <f t="shared" si="37"/>
        <v>1.2079623343942278</v>
      </c>
      <c r="G415" s="4">
        <f>IF(COUNTIFS([1]Desglose_BOM_Componentes!$B$4768:$B$4778,$A415,[1]Desglose_BOM_Componentes!$AE$4768:$AE$4778,"Sin precio",[1]Desglose_BOM_Componentes!$X$4768:$X$4778,"Formulación")&gt;0,"n.d.",SUMIFS([1]Desglose_BOM_Componentes!$AD$4768:$AD$4778,[1]Desglose_BOM_Componentes!$B$4768:$B$4778,$A415,[1]Desglose_BOM_Componentes!$X$4768:$X$4778,"Formulación"))</f>
        <v>0.87386807142857137</v>
      </c>
      <c r="H415" s="4">
        <f>IF(COUNTIFS([1]Desglose_BOM_Componentes!$B$4768:$B$4778,$A415,[1]Desglose_BOM_Componentes!$AE$4768:$AE$4778,"Sin precio",[1]Desglose_BOM_Componentes!$X$4768:$X$4778,"Empaquetado")&gt;0,"n.d.",SUMIFS([1]Desglose_BOM_Componentes!$AD$4768:$AD$4778,[1]Desglose_BOM_Componentes!$B$4768:$B$4778,$A415,[1]Desglose_BOM_Componentes!$X$4768:$X$4778,"Empaquetado"))</f>
        <v>0.10354733439422743</v>
      </c>
      <c r="I415" s="6">
        <f t="shared" si="38"/>
        <v>0.97741540582279884</v>
      </c>
      <c r="J415" s="1" t="str">
        <f t="shared" si="36"/>
        <v>Completo</v>
      </c>
      <c r="K415" s="1">
        <f>COUNTIFS([1]Desglose_BOM_Componentes!$B$4768:$B$4778,$A415,[1]Desglose_BOM_Componentes!$AE$4768:$AE$4778,"Sin precio")</f>
        <v>0</v>
      </c>
      <c r="L415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416" spans="1:12" ht="22" customHeight="1">
      <c r="A416" s="1" t="s">
        <v>448</v>
      </c>
      <c r="B416" s="1" t="s">
        <v>68</v>
      </c>
      <c r="C416" s="1" t="s">
        <v>26</v>
      </c>
      <c r="D416" s="4">
        <f>IF(COUNTIFS([1]Desglose_BOM_Componentes!$B$4779:$B$4789,$A416,[1]Desglose_BOM_Componentes!$AE$4779:$AE$4789,"Sin precio",[1]Desglose_BOM_Componentes!$X$4779:$X$4789,"Formulación")&gt;0,"n.d.",SUMIFS([1]Desglose_BOM_Componentes!$AC$4779:$AC$4789,[1]Desglose_BOM_Componentes!$B$4779:$B$4789,$A416,[1]Desglose_BOM_Componentes!$X$4779:$X$4789,"Formulación"))</f>
        <v>1.1044150000000004</v>
      </c>
      <c r="E416" s="4">
        <f>IF(COUNTIFS([1]Desglose_BOM_Componentes!$B$4779:$B$4789,$A416,[1]Desglose_BOM_Componentes!$AE$4779:$AE$4789,"Sin precio",[1]Desglose_BOM_Componentes!$X$4779:$X$4789,"Empaquetado")&gt;0,"n.d.",SUMIFS([1]Desglose_BOM_Componentes!$AC$4779:$AC$4789,[1]Desglose_BOM_Componentes!$B$4779:$B$4789,$A416,[1]Desglose_BOM_Componentes!$X$4779:$X$4789,"Empaquetado"))</f>
        <v>0.10354733439422743</v>
      </c>
      <c r="F416" s="6">
        <f t="shared" si="37"/>
        <v>1.2079623343942278</v>
      </c>
      <c r="G416" s="4">
        <f>IF(COUNTIFS([1]Desglose_BOM_Componentes!$B$4779:$B$4789,$A416,[1]Desglose_BOM_Componentes!$AE$4779:$AE$4789,"Sin precio",[1]Desglose_BOM_Componentes!$X$4779:$X$4789,"Formulación")&gt;0,"n.d.",SUMIFS([1]Desglose_BOM_Componentes!$AD$4779:$AD$4789,[1]Desglose_BOM_Componentes!$B$4779:$B$4789,$A416,[1]Desglose_BOM_Componentes!$X$4779:$X$4789,"Formulación"))</f>
        <v>0.87386807142857137</v>
      </c>
      <c r="H416" s="4">
        <f>IF(COUNTIFS([1]Desglose_BOM_Componentes!$B$4779:$B$4789,$A416,[1]Desglose_BOM_Componentes!$AE$4779:$AE$4789,"Sin precio",[1]Desglose_BOM_Componentes!$X$4779:$X$4789,"Empaquetado")&gt;0,"n.d.",SUMIFS([1]Desglose_BOM_Componentes!$AD$4779:$AD$4789,[1]Desglose_BOM_Componentes!$B$4779:$B$4789,$A416,[1]Desglose_BOM_Componentes!$X$4779:$X$4789,"Empaquetado"))</f>
        <v>0.10354733439422743</v>
      </c>
      <c r="I416" s="6">
        <f t="shared" si="38"/>
        <v>0.97741540582279884</v>
      </c>
      <c r="J416" s="1" t="str">
        <f t="shared" si="36"/>
        <v>Completo</v>
      </c>
      <c r="K416" s="1">
        <f>COUNTIFS([1]Desglose_BOM_Componentes!$B$4779:$B$4789,$A416,[1]Desglose_BOM_Componentes!$AE$4779:$AE$4789,"Sin precio")</f>
        <v>0</v>
      </c>
      <c r="L416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417" spans="1:12" ht="22" customHeight="1">
      <c r="A417" s="1" t="s">
        <v>449</v>
      </c>
      <c r="B417" s="1" t="s">
        <v>68</v>
      </c>
      <c r="C417" s="1" t="s">
        <v>135</v>
      </c>
      <c r="D417" s="4">
        <f>IF(COUNTIFS([1]Desglose_BOM_Componentes!$B$4790:$B$4800,$A417,[1]Desglose_BOM_Componentes!$AE$4790:$AE$4800,"Sin precio",[1]Desglose_BOM_Componentes!$X$4790:$X$4800,"Formulación")&gt;0,"n.d.",SUMIFS([1]Desglose_BOM_Componentes!$AC$4790:$AC$4800,[1]Desglose_BOM_Componentes!$B$4790:$B$4800,$A417,[1]Desglose_BOM_Componentes!$X$4790:$X$4800,"Formulación"))</f>
        <v>1.1044150000000004</v>
      </c>
      <c r="E417" s="4">
        <f>IF(COUNTIFS([1]Desglose_BOM_Componentes!$B$4790:$B$4800,$A417,[1]Desglose_BOM_Componentes!$AE$4790:$AE$4800,"Sin precio",[1]Desglose_BOM_Componentes!$X$4790:$X$4800,"Empaquetado")&gt;0,"n.d.",SUMIFS([1]Desglose_BOM_Componentes!$AC$4790:$AC$4800,[1]Desglose_BOM_Componentes!$B$4790:$B$4800,$A417,[1]Desglose_BOM_Componentes!$X$4790:$X$4800,"Empaquetado"))</f>
        <v>0.10354733439422743</v>
      </c>
      <c r="F417" s="6">
        <f t="shared" si="37"/>
        <v>1.2079623343942278</v>
      </c>
      <c r="G417" s="4">
        <f>IF(COUNTIFS([1]Desglose_BOM_Componentes!$B$4790:$B$4800,$A417,[1]Desglose_BOM_Componentes!$AE$4790:$AE$4800,"Sin precio",[1]Desglose_BOM_Componentes!$X$4790:$X$4800,"Formulación")&gt;0,"n.d.",SUMIFS([1]Desglose_BOM_Componentes!$AD$4790:$AD$4800,[1]Desglose_BOM_Componentes!$B$4790:$B$4800,$A417,[1]Desglose_BOM_Componentes!$X$4790:$X$4800,"Formulación"))</f>
        <v>0.87386807142857137</v>
      </c>
      <c r="H417" s="4">
        <f>IF(COUNTIFS([1]Desglose_BOM_Componentes!$B$4790:$B$4800,$A417,[1]Desglose_BOM_Componentes!$AE$4790:$AE$4800,"Sin precio",[1]Desglose_BOM_Componentes!$X$4790:$X$4800,"Empaquetado")&gt;0,"n.d.",SUMIFS([1]Desglose_BOM_Componentes!$AD$4790:$AD$4800,[1]Desglose_BOM_Componentes!$B$4790:$B$4800,$A417,[1]Desglose_BOM_Componentes!$X$4790:$X$4800,"Empaquetado"))</f>
        <v>0.10354733439422743</v>
      </c>
      <c r="I417" s="6">
        <f t="shared" si="38"/>
        <v>0.97741540582279884</v>
      </c>
      <c r="J417" s="1" t="str">
        <f t="shared" si="36"/>
        <v>Completo</v>
      </c>
      <c r="K417" s="1">
        <f>COUNTIFS([1]Desglose_BOM_Componentes!$B$4790:$B$4800,$A417,[1]Desglose_BOM_Componentes!$AE$4790:$AE$4800,"Sin precio")</f>
        <v>0</v>
      </c>
      <c r="L417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418" spans="1:12" ht="22" customHeight="1">
      <c r="A418" s="1" t="s">
        <v>450</v>
      </c>
      <c r="B418" s="1" t="s">
        <v>68</v>
      </c>
      <c r="C418" s="1" t="s">
        <v>24</v>
      </c>
      <c r="D418" s="4">
        <f>IF(COUNTIFS([1]Desglose_BOM_Componentes!$B$4801:$B$4811,$A418,[1]Desglose_BOM_Componentes!$AE$4801:$AE$4811,"Sin precio",[1]Desglose_BOM_Componentes!$X$4801:$X$4811,"Formulación")&gt;0,"n.d.",SUMIFS([1]Desglose_BOM_Componentes!$AC$4801:$AC$4811,[1]Desglose_BOM_Componentes!$B$4801:$B$4811,$A418,[1]Desglose_BOM_Componentes!$X$4801:$X$4811,"Formulación"))</f>
        <v>1.1044150000000004</v>
      </c>
      <c r="E418" s="4">
        <f>IF(COUNTIFS([1]Desglose_BOM_Componentes!$B$4801:$B$4811,$A418,[1]Desglose_BOM_Componentes!$AE$4801:$AE$4811,"Sin precio",[1]Desglose_BOM_Componentes!$X$4801:$X$4811,"Empaquetado")&gt;0,"n.d.",SUMIFS([1]Desglose_BOM_Componentes!$AC$4801:$AC$4811,[1]Desglose_BOM_Componentes!$B$4801:$B$4811,$A418,[1]Desglose_BOM_Componentes!$X$4801:$X$4811,"Empaquetado"))</f>
        <v>8.4236514913074143E-2</v>
      </c>
      <c r="F418" s="6">
        <f t="shared" si="37"/>
        <v>1.1886515149130745</v>
      </c>
      <c r="G418" s="4">
        <f>IF(COUNTIFS([1]Desglose_BOM_Componentes!$B$4801:$B$4811,$A418,[1]Desglose_BOM_Componentes!$AE$4801:$AE$4811,"Sin precio",[1]Desglose_BOM_Componentes!$X$4801:$X$4811,"Formulación")&gt;0,"n.d.",SUMIFS([1]Desglose_BOM_Componentes!$AD$4801:$AD$4811,[1]Desglose_BOM_Componentes!$B$4801:$B$4811,$A418,[1]Desglose_BOM_Componentes!$X$4801:$X$4811,"Formulación"))</f>
        <v>0.87386807142857137</v>
      </c>
      <c r="H418" s="4">
        <f>IF(COUNTIFS([1]Desglose_BOM_Componentes!$B$4801:$B$4811,$A418,[1]Desglose_BOM_Componentes!$AE$4801:$AE$4811,"Sin precio",[1]Desglose_BOM_Componentes!$X$4801:$X$4811,"Empaquetado")&gt;0,"n.d.",SUMIFS([1]Desglose_BOM_Componentes!$AD$4801:$AD$4811,[1]Desglose_BOM_Componentes!$B$4801:$B$4811,$A418,[1]Desglose_BOM_Componentes!$X$4801:$X$4811,"Empaquetado"))</f>
        <v>8.4236514913074143E-2</v>
      </c>
      <c r="I418" s="6">
        <f t="shared" si="38"/>
        <v>0.95810458634164553</v>
      </c>
      <c r="J418" s="1" t="str">
        <f t="shared" si="36"/>
        <v>Completo</v>
      </c>
      <c r="K418" s="1">
        <f>COUNTIFS([1]Desglose_BOM_Componentes!$B$4801:$B$4811,$A418,[1]Desglose_BOM_Componentes!$AE$4801:$AE$4811,"Sin precio")</f>
        <v>0</v>
      </c>
      <c r="L418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componentes'!D135="Sin precio","SOBRE 20 K; ","")&amp;IF('[1]Precios componentes'!D115="Sin precio","PAL; ","")&amp;IF('[1]Precios componentes'!D99="Sin precio","LAM3; ","")&amp;IF('[1]Precios componentes'!D94="Sin precio","KIA220; ","")&amp;IF('[1]Precios componentes'!D34="Sin precio","CAG; ","")</f>
        <v/>
      </c>
    </row>
    <row r="419" spans="1:12" ht="22" customHeight="1">
      <c r="A419" s="1" t="s">
        <v>451</v>
      </c>
      <c r="B419" s="1" t="s">
        <v>68</v>
      </c>
      <c r="C419" s="1" t="s">
        <v>84</v>
      </c>
      <c r="D419" s="4">
        <f>IF(COUNTIFS([1]Desglose_BOM_Componentes!$B$4812:$B$4822,$A419,[1]Desglose_BOM_Componentes!$AE$4812:$AE$4822,"Sin precio",[1]Desglose_BOM_Componentes!$X$4812:$X$4822,"Formulación")&gt;0,"n.d.",SUMIFS([1]Desglose_BOM_Componentes!$AC$4812:$AC$4822,[1]Desglose_BOM_Componentes!$B$4812:$B$4822,$A419,[1]Desglose_BOM_Componentes!$X$4812:$X$4822,"Formulación"))</f>
        <v>1.1044150000000004</v>
      </c>
      <c r="E419" s="4">
        <f>IF(COUNTIFS([1]Desglose_BOM_Componentes!$B$4812:$B$4822,$A419,[1]Desglose_BOM_Componentes!$AE$4812:$AE$4822,"Sin precio",[1]Desglose_BOM_Componentes!$X$4812:$X$4822,"Empaquetado")&gt;0,"n.d.",SUMIFS([1]Desglose_BOM_Componentes!$AC$4812:$AC$4822,[1]Desglose_BOM_Componentes!$B$4812:$B$4822,$A419,[1]Desglose_BOM_Componentes!$X$4812:$X$4822,"Empaquetado"))</f>
        <v>8.4236514913074143E-2</v>
      </c>
      <c r="F419" s="6">
        <f t="shared" si="37"/>
        <v>1.1886515149130745</v>
      </c>
      <c r="G419" s="4">
        <f>IF(COUNTIFS([1]Desglose_BOM_Componentes!$B$4812:$B$4822,$A419,[1]Desglose_BOM_Componentes!$AE$4812:$AE$4822,"Sin precio",[1]Desglose_BOM_Componentes!$X$4812:$X$4822,"Formulación")&gt;0,"n.d.",SUMIFS([1]Desglose_BOM_Componentes!$AD$4812:$AD$4822,[1]Desglose_BOM_Componentes!$B$4812:$B$4822,$A419,[1]Desglose_BOM_Componentes!$X$4812:$X$4822,"Formulación"))</f>
        <v>0.87386807142857137</v>
      </c>
      <c r="H419" s="4">
        <f>IF(COUNTIFS([1]Desglose_BOM_Componentes!$B$4812:$B$4822,$A419,[1]Desglose_BOM_Componentes!$AE$4812:$AE$4822,"Sin precio",[1]Desglose_BOM_Componentes!$X$4812:$X$4822,"Empaquetado")&gt;0,"n.d.",SUMIFS([1]Desglose_BOM_Componentes!$AD$4812:$AD$4822,[1]Desglose_BOM_Componentes!$B$4812:$B$4822,$A419,[1]Desglose_BOM_Componentes!$X$4812:$X$4822,"Empaquetado"))</f>
        <v>8.4236514913074143E-2</v>
      </c>
      <c r="I419" s="6">
        <f t="shared" si="38"/>
        <v>0.95810458634164553</v>
      </c>
      <c r="J419" s="1" t="str">
        <f t="shared" si="36"/>
        <v>Completo</v>
      </c>
      <c r="K419" s="1">
        <f>COUNTIFS([1]Desglose_BOM_Componentes!$B$4812:$B$4822,$A419,[1]Desglose_BOM_Componentes!$AE$4812:$AE$4822,"Sin precio")</f>
        <v>0</v>
      </c>
      <c r="L419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componentes'!D135="Sin precio","SOBRE 20 K; ","")&amp;IF('[1]Precios componentes'!D115="Sin precio","PAL; ","")&amp;IF('[1]Precios componentes'!D99="Sin precio","LAM3; ","")&amp;IF('[1]Precios componentes'!D94="Sin precio","KIA220; ","")&amp;IF('[1]Precios componentes'!D34="Sin precio","CAG; ","")</f>
        <v/>
      </c>
    </row>
    <row r="420" spans="1:12" ht="22" customHeight="1">
      <c r="A420" s="1" t="s">
        <v>452</v>
      </c>
      <c r="B420" s="1" t="s">
        <v>68</v>
      </c>
      <c r="C420" s="1" t="s">
        <v>21</v>
      </c>
      <c r="D420" s="4">
        <f>IF(COUNTIFS([1]Desglose_BOM_Componentes!$B$4823:$B$4833,$A420,[1]Desglose_BOM_Componentes!$AE$4823:$AE$4833,"Sin precio",[1]Desglose_BOM_Componentes!$X$4823:$X$4833,"Formulación")&gt;0,"n.d.",SUMIFS([1]Desglose_BOM_Componentes!$AC$4823:$AC$4833,[1]Desglose_BOM_Componentes!$B$4823:$B$4833,$A420,[1]Desglose_BOM_Componentes!$X$4823:$X$4833,"Formulación"))</f>
        <v>1.1044150000000004</v>
      </c>
      <c r="E420" s="4">
        <f>IF(COUNTIFS([1]Desglose_BOM_Componentes!$B$4823:$B$4833,$A420,[1]Desglose_BOM_Componentes!$AE$4823:$AE$4833,"Sin precio",[1]Desglose_BOM_Componentes!$X$4823:$X$4833,"Empaquetado")&gt;0,"n.d.",SUMIFS([1]Desglose_BOM_Componentes!$AC$4823:$AC$4833,[1]Desglose_BOM_Componentes!$B$4823:$B$4833,$A420,[1]Desglose_BOM_Componentes!$X$4823:$X$4833,"Empaquetado"))</f>
        <v>8.4236514913074143E-2</v>
      </c>
      <c r="F420" s="6">
        <f t="shared" si="37"/>
        <v>1.1886515149130745</v>
      </c>
      <c r="G420" s="4">
        <f>IF(COUNTIFS([1]Desglose_BOM_Componentes!$B$4823:$B$4833,$A420,[1]Desglose_BOM_Componentes!$AE$4823:$AE$4833,"Sin precio",[1]Desglose_BOM_Componentes!$X$4823:$X$4833,"Formulación")&gt;0,"n.d.",SUMIFS([1]Desglose_BOM_Componentes!$AD$4823:$AD$4833,[1]Desglose_BOM_Componentes!$B$4823:$B$4833,$A420,[1]Desglose_BOM_Componentes!$X$4823:$X$4833,"Formulación"))</f>
        <v>0.87386807142857137</v>
      </c>
      <c r="H420" s="4">
        <f>IF(COUNTIFS([1]Desglose_BOM_Componentes!$B$4823:$B$4833,$A420,[1]Desglose_BOM_Componentes!$AE$4823:$AE$4833,"Sin precio",[1]Desglose_BOM_Componentes!$X$4823:$X$4833,"Empaquetado")&gt;0,"n.d.",SUMIFS([1]Desglose_BOM_Componentes!$AD$4823:$AD$4833,[1]Desglose_BOM_Componentes!$B$4823:$B$4833,$A420,[1]Desglose_BOM_Componentes!$X$4823:$X$4833,"Empaquetado"))</f>
        <v>8.4236514913074143E-2</v>
      </c>
      <c r="I420" s="6">
        <f t="shared" si="38"/>
        <v>0.95810458634164553</v>
      </c>
      <c r="J420" s="1" t="str">
        <f t="shared" si="36"/>
        <v>Completo</v>
      </c>
      <c r="K420" s="1">
        <f>COUNTIFS([1]Desglose_BOM_Componentes!$B$4823:$B$4833,$A420,[1]Desglose_BOM_Componentes!$AE$4823:$AE$4833,"Sin precio")</f>
        <v>0</v>
      </c>
      <c r="L420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componentes'!D135="Sin precio","SOBRE 20 K; ","")&amp;IF('[1]Precios componentes'!D115="Sin precio","PAL; ","")&amp;IF('[1]Precios componentes'!D99="Sin precio","LAM3; ","")&amp;IF('[1]Precios componentes'!D94="Sin precio","KIA220; ","")&amp;IF('[1]Precios componentes'!D34="Sin precio","CAG; ","")</f>
        <v/>
      </c>
    </row>
    <row r="421" spans="1:12" ht="22" customHeight="1">
      <c r="A421" s="1" t="s">
        <v>453</v>
      </c>
      <c r="B421" s="1" t="s">
        <v>68</v>
      </c>
      <c r="C421" s="1" t="s">
        <v>26</v>
      </c>
      <c r="D421" s="4">
        <f>IF(COUNTIFS([1]Desglose_BOM_Componentes!$B$4834:$B$4844,$A421,[1]Desglose_BOM_Componentes!$AE$4834:$AE$4844,"Sin precio",[1]Desglose_BOM_Componentes!$X$4834:$X$4844,"Formulación")&gt;0,"n.d.",SUMIFS([1]Desglose_BOM_Componentes!$AC$4834:$AC$4844,[1]Desglose_BOM_Componentes!$B$4834:$B$4844,$A421,[1]Desglose_BOM_Componentes!$X$4834:$X$4844,"Formulación"))</f>
        <v>1.1044150000000004</v>
      </c>
      <c r="E421" s="4">
        <f>IF(COUNTIFS([1]Desglose_BOM_Componentes!$B$4834:$B$4844,$A421,[1]Desglose_BOM_Componentes!$AE$4834:$AE$4844,"Sin precio",[1]Desglose_BOM_Componentes!$X$4834:$X$4844,"Empaquetado")&gt;0,"n.d.",SUMIFS([1]Desglose_BOM_Componentes!$AC$4834:$AC$4844,[1]Desglose_BOM_Componentes!$B$4834:$B$4844,$A421,[1]Desglose_BOM_Componentes!$X$4834:$X$4844,"Empaquetado"))</f>
        <v>8.4236514913074143E-2</v>
      </c>
      <c r="F421" s="6">
        <f t="shared" si="37"/>
        <v>1.1886515149130745</v>
      </c>
      <c r="G421" s="4">
        <f>IF(COUNTIFS([1]Desglose_BOM_Componentes!$B$4834:$B$4844,$A421,[1]Desglose_BOM_Componentes!$AE$4834:$AE$4844,"Sin precio",[1]Desglose_BOM_Componentes!$X$4834:$X$4844,"Formulación")&gt;0,"n.d.",SUMIFS([1]Desglose_BOM_Componentes!$AD$4834:$AD$4844,[1]Desglose_BOM_Componentes!$B$4834:$B$4844,$A421,[1]Desglose_BOM_Componentes!$X$4834:$X$4844,"Formulación"))</f>
        <v>0.87386807142857137</v>
      </c>
      <c r="H421" s="4">
        <f>IF(COUNTIFS([1]Desglose_BOM_Componentes!$B$4834:$B$4844,$A421,[1]Desglose_BOM_Componentes!$AE$4834:$AE$4844,"Sin precio",[1]Desglose_BOM_Componentes!$X$4834:$X$4844,"Empaquetado")&gt;0,"n.d.",SUMIFS([1]Desglose_BOM_Componentes!$AD$4834:$AD$4844,[1]Desglose_BOM_Componentes!$B$4834:$B$4844,$A421,[1]Desglose_BOM_Componentes!$X$4834:$X$4844,"Empaquetado"))</f>
        <v>8.4236514913074143E-2</v>
      </c>
      <c r="I421" s="6">
        <f t="shared" si="38"/>
        <v>0.95810458634164553</v>
      </c>
      <c r="J421" s="1" t="str">
        <f t="shared" si="36"/>
        <v>Completo</v>
      </c>
      <c r="K421" s="1">
        <f>COUNTIFS([1]Desglose_BOM_Componentes!$B$4834:$B$4844,$A421,[1]Desglose_BOM_Componentes!$AE$4834:$AE$4844,"Sin precio")</f>
        <v>0</v>
      </c>
      <c r="L421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componentes'!D135="Sin precio","SOBRE 20 K; ","")&amp;IF('[1]Precios componentes'!D115="Sin precio","PAL; ","")&amp;IF('[1]Precios componentes'!D99="Sin precio","LAM3; ","")&amp;IF('[1]Precios componentes'!D94="Sin precio","KIA220; ","")&amp;IF('[1]Precios componentes'!D34="Sin precio","CAG; ","")</f>
        <v/>
      </c>
    </row>
    <row r="422" spans="1:12" ht="22" customHeight="1">
      <c r="A422" s="1" t="s">
        <v>454</v>
      </c>
      <c r="B422" s="1" t="s">
        <v>68</v>
      </c>
      <c r="C422" s="1" t="s">
        <v>19</v>
      </c>
      <c r="D422" s="4">
        <f>IF(COUNTIFS([1]Desglose_BOM_Componentes!$B$4845:$B$4855,$A422,[1]Desglose_BOM_Componentes!$AE$4845:$AE$4855,"Sin precio",[1]Desglose_BOM_Componentes!$X$4845:$X$4855,"Formulación")&gt;0,"n.d.",SUMIFS([1]Desglose_BOM_Componentes!$AC$4845:$AC$4855,[1]Desglose_BOM_Componentes!$B$4845:$B$4855,$A422,[1]Desglose_BOM_Componentes!$X$4845:$X$4855,"Formulación"))</f>
        <v>1.1044150000000004</v>
      </c>
      <c r="E422" s="4">
        <f>IF(COUNTIFS([1]Desglose_BOM_Componentes!$B$4845:$B$4855,$A422,[1]Desglose_BOM_Componentes!$AE$4845:$AE$4855,"Sin precio",[1]Desglose_BOM_Componentes!$X$4845:$X$4855,"Empaquetado")&gt;0,"n.d.",SUMIFS([1]Desglose_BOM_Componentes!$AC$4845:$AC$4855,[1]Desglose_BOM_Componentes!$B$4845:$B$4855,$A422,[1]Desglose_BOM_Componentes!$X$4845:$X$4855,"Empaquetado"))</f>
        <v>8.4236514913074143E-2</v>
      </c>
      <c r="F422" s="6">
        <f t="shared" si="37"/>
        <v>1.1886515149130745</v>
      </c>
      <c r="G422" s="4">
        <f>IF(COUNTIFS([1]Desglose_BOM_Componentes!$B$4845:$B$4855,$A422,[1]Desglose_BOM_Componentes!$AE$4845:$AE$4855,"Sin precio",[1]Desglose_BOM_Componentes!$X$4845:$X$4855,"Formulación")&gt;0,"n.d.",SUMIFS([1]Desglose_BOM_Componentes!$AD$4845:$AD$4855,[1]Desglose_BOM_Componentes!$B$4845:$B$4855,$A422,[1]Desglose_BOM_Componentes!$X$4845:$X$4855,"Formulación"))</f>
        <v>0.87386807142857137</v>
      </c>
      <c r="H422" s="4">
        <f>IF(COUNTIFS([1]Desglose_BOM_Componentes!$B$4845:$B$4855,$A422,[1]Desglose_BOM_Componentes!$AE$4845:$AE$4855,"Sin precio",[1]Desglose_BOM_Componentes!$X$4845:$X$4855,"Empaquetado")&gt;0,"n.d.",SUMIFS([1]Desglose_BOM_Componentes!$AD$4845:$AD$4855,[1]Desglose_BOM_Componentes!$B$4845:$B$4855,$A422,[1]Desglose_BOM_Componentes!$X$4845:$X$4855,"Empaquetado"))</f>
        <v>8.4236514913074143E-2</v>
      </c>
      <c r="I422" s="6">
        <f t="shared" si="38"/>
        <v>0.95810458634164553</v>
      </c>
      <c r="J422" s="1" t="str">
        <f t="shared" si="36"/>
        <v>Completo</v>
      </c>
      <c r="K422" s="1">
        <f>COUNTIFS([1]Desglose_BOM_Componentes!$B$4845:$B$4855,$A422,[1]Desglose_BOM_Componentes!$AE$4845:$AE$4855,"Sin precio")</f>
        <v>0</v>
      </c>
      <c r="L422" s="1" t="str">
        <f>IF('[1]Precios componentes'!D43="Sin precio","CLORPO; ","")&amp;IF('[1]Precios componentes'!D113="Sin precio","NPO; ","")&amp;IF('[1]Precios componentes'!D104="Sin precio","MAL; ","")&amp;IF('[1]Precios componentes'!D80="Sin precio","GLI; ","")&amp;IF('[1]Precios componentes'!D40="Sin precio","CCB; ","")&amp;IF('[1]Precios componentes'!D74="Sin precio","FOCA; ","")&amp;IF('[1]Precios componentes'!D135="Sin precio","SOBRE 20 K; ","")&amp;IF('[1]Precios componentes'!D115="Sin precio","PAL; ","")&amp;IF('[1]Precios componentes'!D99="Sin precio","LAM3; ","")&amp;IF('[1]Precios componentes'!D94="Sin precio","KIA220; ","")&amp;IF('[1]Precios componentes'!D34="Sin precio","CAG; ","")</f>
        <v/>
      </c>
    </row>
    <row r="423" spans="1:12" ht="22" customHeight="1">
      <c r="A423" s="1" t="s">
        <v>455</v>
      </c>
      <c r="B423" s="1" t="s">
        <v>68</v>
      </c>
      <c r="C423" s="1" t="s">
        <v>24</v>
      </c>
      <c r="D423" s="4">
        <f>IF(COUNTIFS([1]Desglose_BOM_Componentes!$B$4856:$B$4865,$A423,[1]Desglose_BOM_Componentes!$AE$4856:$AE$4865,"Sin precio",[1]Desglose_BOM_Componentes!$X$4856:$X$4865,"Formulación")&gt;0,"n.d.",SUMIFS([1]Desglose_BOM_Componentes!$AC$4856:$AC$4865,[1]Desglose_BOM_Componentes!$B$4856:$B$4865,$A423,[1]Desglose_BOM_Componentes!$X$4856:$X$4865,"Formulación"))</f>
        <v>1.8887100000000001</v>
      </c>
      <c r="E423" s="4">
        <f>IF(COUNTIFS([1]Desglose_BOM_Componentes!$B$4856:$B$4865,$A423,[1]Desglose_BOM_Componentes!$AE$4856:$AE$4865,"Sin precio",[1]Desglose_BOM_Componentes!$X$4856:$X$4865,"Empaquetado")&gt;0,"n.d.",SUMIFS([1]Desglose_BOM_Componentes!$AC$4856:$AC$4865,[1]Desglose_BOM_Componentes!$B$4856:$B$4865,$A423,[1]Desglose_BOM_Componentes!$X$4856:$X$4865,"Empaquetado"))</f>
        <v>0.10354733439422743</v>
      </c>
      <c r="F423" s="6">
        <f t="shared" si="37"/>
        <v>1.9922573343942276</v>
      </c>
      <c r="G423" s="4">
        <f>IF(COUNTIFS([1]Desglose_BOM_Componentes!$B$4856:$B$4865,$A423,[1]Desglose_BOM_Componentes!$AE$4856:$AE$4865,"Sin precio",[1]Desglose_BOM_Componentes!$X$4856:$X$4865,"Formulación")&gt;0,"n.d.",SUMIFS([1]Desglose_BOM_Componentes!$AD$4856:$AD$4865,[1]Desglose_BOM_Componentes!$B$4856:$B$4865,$A423,[1]Desglose_BOM_Componentes!$X$4856:$X$4865,"Formulación"))</f>
        <v>1.3441217857142858</v>
      </c>
      <c r="H423" s="4">
        <f>IF(COUNTIFS([1]Desglose_BOM_Componentes!$B$4856:$B$4865,$A423,[1]Desglose_BOM_Componentes!$AE$4856:$AE$4865,"Sin precio",[1]Desglose_BOM_Componentes!$X$4856:$X$4865,"Empaquetado")&gt;0,"n.d.",SUMIFS([1]Desglose_BOM_Componentes!$AD$4856:$AD$4865,[1]Desglose_BOM_Componentes!$B$4856:$B$4865,$A423,[1]Desglose_BOM_Componentes!$X$4856:$X$4865,"Empaquetado"))</f>
        <v>0.10354733439422743</v>
      </c>
      <c r="I423" s="6">
        <f t="shared" si="38"/>
        <v>1.4476691201085132</v>
      </c>
      <c r="J423" s="1" t="str">
        <f t="shared" si="36"/>
        <v>Completo</v>
      </c>
      <c r="K423" s="1">
        <f>COUNTIFS([1]Desglose_BOM_Componentes!$B$4856:$B$4865,$A423,[1]Desglose_BOM_Componentes!$AE$4856:$AE$4865,"Sin precio")</f>
        <v>0</v>
      </c>
      <c r="L423" s="1" t="str">
        <f>IF('[1]Precios componentes'!D107="Sin precio","MGO; ","")&amp;IF('[1]Precios componentes'!D40="Sin precio","CCB; ","")&amp;IF('[1]Precios componentes'!D45="Sin precio","CMG; ","")&amp;IF('[1]Precios componentes'!D10="Sin precio","ADI; ","")&amp;IF('[1]Precios componentes'!D104="Sin precio","MAL;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424" spans="1:12" ht="22" customHeight="1">
      <c r="A424" s="1" t="s">
        <v>456</v>
      </c>
      <c r="B424" s="1" t="s">
        <v>68</v>
      </c>
      <c r="C424" s="1" t="s">
        <v>19</v>
      </c>
      <c r="D424" s="4">
        <f>IF(COUNTIFS([1]Desglose_BOM_Componentes!$B$4866:$B$4875,$A424,[1]Desglose_BOM_Componentes!$AE$4866:$AE$4875,"Sin precio",[1]Desglose_BOM_Componentes!$X$4866:$X$4875,"Formulación")&gt;0,"n.d.",SUMIFS([1]Desglose_BOM_Componentes!$AC$4866:$AC$4875,[1]Desglose_BOM_Componentes!$B$4866:$B$4875,$A424,[1]Desglose_BOM_Componentes!$X$4866:$X$4875,"Formulación"))</f>
        <v>1.8887100000000001</v>
      </c>
      <c r="E424" s="4">
        <f>IF(COUNTIFS([1]Desglose_BOM_Componentes!$B$4866:$B$4875,$A424,[1]Desglose_BOM_Componentes!$AE$4866:$AE$4875,"Sin precio",[1]Desglose_BOM_Componentes!$X$4866:$X$4875,"Empaquetado")&gt;0,"n.d.",SUMIFS([1]Desglose_BOM_Componentes!$AC$4866:$AC$4875,[1]Desglose_BOM_Componentes!$B$4866:$B$4875,$A424,[1]Desglose_BOM_Componentes!$X$4866:$X$4875,"Empaquetado"))</f>
        <v>0.10354733439422743</v>
      </c>
      <c r="F424" s="6">
        <f t="shared" si="37"/>
        <v>1.9922573343942276</v>
      </c>
      <c r="G424" s="4">
        <f>IF(COUNTIFS([1]Desglose_BOM_Componentes!$B$4866:$B$4875,$A424,[1]Desglose_BOM_Componentes!$AE$4866:$AE$4875,"Sin precio",[1]Desglose_BOM_Componentes!$X$4866:$X$4875,"Formulación")&gt;0,"n.d.",SUMIFS([1]Desglose_BOM_Componentes!$AD$4866:$AD$4875,[1]Desglose_BOM_Componentes!$B$4866:$B$4875,$A424,[1]Desglose_BOM_Componentes!$X$4866:$X$4875,"Formulación"))</f>
        <v>1.3441217857142858</v>
      </c>
      <c r="H424" s="4">
        <f>IF(COUNTIFS([1]Desglose_BOM_Componentes!$B$4866:$B$4875,$A424,[1]Desglose_BOM_Componentes!$AE$4866:$AE$4875,"Sin precio",[1]Desglose_BOM_Componentes!$X$4866:$X$4875,"Empaquetado")&gt;0,"n.d.",SUMIFS([1]Desglose_BOM_Componentes!$AD$4866:$AD$4875,[1]Desglose_BOM_Componentes!$B$4866:$B$4875,$A424,[1]Desglose_BOM_Componentes!$X$4866:$X$4875,"Empaquetado"))</f>
        <v>0.10354733439422743</v>
      </c>
      <c r="I424" s="6">
        <f t="shared" si="38"/>
        <v>1.4476691201085132</v>
      </c>
      <c r="J424" s="1" t="str">
        <f t="shared" si="36"/>
        <v>Completo</v>
      </c>
      <c r="K424" s="1">
        <f>COUNTIFS([1]Desglose_BOM_Componentes!$B$4866:$B$4875,$A424,[1]Desglose_BOM_Componentes!$AE$4866:$AE$4875,"Sin precio")</f>
        <v>0</v>
      </c>
      <c r="L424" s="1" t="str">
        <f>IF('[1]Precios componentes'!D107="Sin precio","MGO; ","")&amp;IF('[1]Precios componentes'!D40="Sin precio","CCB; ","")&amp;IF('[1]Precios componentes'!D45="Sin precio","CMG; ","")&amp;IF('[1]Precios componentes'!D10="Sin precio","ADI; ","")&amp;IF('[1]Precios componentes'!D104="Sin precio","MAL; ","")&amp;IF('[1]Precios componentes'!D137="Sin precio","SOBRE 5L; ","")&amp;IF('[1]Precios componentes'!D115="Sin precio","PAL; ","")&amp;IF('[1]Precios componentes'!D94="Sin precio","KIA220; ","")&amp;IF('[1]Precios componentes'!D34="Sin precio","CAG; ","")&amp;IF('[1]Precios componentes'!D98="Sin precio","LAM2; ","")</f>
        <v/>
      </c>
    </row>
    <row r="425" spans="1:12" ht="22" customHeight="1">
      <c r="A425" s="1" t="s">
        <v>457</v>
      </c>
      <c r="B425" s="1" t="s">
        <v>68</v>
      </c>
      <c r="C425" s="1" t="s">
        <v>116</v>
      </c>
      <c r="D425" s="4">
        <f>IF(COUNTIFS([1]Desglose_BOM_Componentes!$B$4876:$B$4885,$A425,[1]Desglose_BOM_Componentes!$AE$4876:$AE$4885,"Sin precio",[1]Desglose_BOM_Componentes!$X$4876:$X$4885,"Formulación")&gt;0,"n.d.",SUMIFS([1]Desglose_BOM_Componentes!$AC$4876:$AC$4885,[1]Desglose_BOM_Componentes!$B$4876:$B$4885,$A425,[1]Desglose_BOM_Componentes!$X$4876:$X$4885,"Formulación"))</f>
        <v>1.3248599999999999</v>
      </c>
      <c r="E425" s="4">
        <f>IF(COUNTIFS([1]Desglose_BOM_Componentes!$B$4876:$B$4885,$A425,[1]Desglose_BOM_Componentes!$AE$4876:$AE$4885,"Sin precio",[1]Desglose_BOM_Componentes!$X$4876:$X$4885,"Empaquetado")&gt;0,"n.d.",SUMIFS([1]Desglose_BOM_Componentes!$AC$4876:$AC$4885,[1]Desglose_BOM_Componentes!$B$4876:$B$4885,$A425,[1]Desglose_BOM_Componentes!$X$4876:$X$4885,"Empaquetado"))</f>
        <v>0.17737936672317164</v>
      </c>
      <c r="F425" s="6">
        <f t="shared" si="37"/>
        <v>1.5022393667231715</v>
      </c>
      <c r="G425" s="4">
        <f>IF(COUNTIFS([1]Desglose_BOM_Componentes!$B$4876:$B$4885,$A425,[1]Desglose_BOM_Componentes!$AE$4876:$AE$4885,"Sin precio",[1]Desglose_BOM_Componentes!$X$4876:$X$4885,"Formulación")&gt;0,"n.d.",SUMIFS([1]Desglose_BOM_Componentes!$AD$4876:$AD$4885,[1]Desglose_BOM_Componentes!$B$4876:$B$4885,$A425,[1]Desglose_BOM_Componentes!$X$4876:$X$4885,"Formulación"))</f>
        <v>1.0455657142857142</v>
      </c>
      <c r="H425" s="4">
        <f>IF(COUNTIFS([1]Desglose_BOM_Componentes!$B$4876:$B$4885,$A425,[1]Desglose_BOM_Componentes!$AE$4876:$AE$4885,"Sin precio",[1]Desglose_BOM_Componentes!$X$4876:$X$4885,"Empaquetado")&gt;0,"n.d.",SUMIFS([1]Desglose_BOM_Componentes!$AD$4876:$AD$4885,[1]Desglose_BOM_Componentes!$B$4876:$B$4885,$A425,[1]Desglose_BOM_Componentes!$X$4876:$X$4885,"Empaquetado"))</f>
        <v>0.17737936672317164</v>
      </c>
      <c r="I425" s="6">
        <f t="shared" si="38"/>
        <v>1.2229450810088858</v>
      </c>
      <c r="J425" s="1" t="str">
        <f t="shared" si="36"/>
        <v>Completo</v>
      </c>
      <c r="K425" s="1">
        <f>COUNTIFS([1]Desglose_BOM_Componentes!$B$4876:$B$4885,$A425,[1]Desglose_BOM_Componentes!$AE$4876:$AE$4885,"Sin precio")</f>
        <v>0</v>
      </c>
      <c r="L425" s="1" t="str">
        <f>IF('[1]Precios componentes'!D113="Sin precio","NPO; ","")&amp;IF('[1]Precios componentes'!D104="Sin precio","MAL; ","")&amp;IF('[1]Precios componentes'!D80="Sin precio","GLI; ","")&amp;IF('[1]Precios componentes'!D40="Sin precio","CCB; ","")&amp;IF('[1]Precios componentes'!D134="Sin precio","SOBRE 1L; ","")&amp;IF('[1]Precios componentes'!D115="Sin precio","PAL; ","")&amp;IF('[1]Precios componentes'!D33="Sin precio","C1L; ","")&amp;IF('[1]Precios componentes'!D94="Sin precio","KIA220; ","")&amp;IF('[1]Precios componentes'!D97="Sin precio","LAM1; ","")&amp;IF('[1]Precios componentes'!D70="Sin precio","ETQVP165; ","")</f>
        <v/>
      </c>
    </row>
    <row r="426" spans="1:12" ht="22" customHeight="1">
      <c r="A426" s="1" t="s">
        <v>458</v>
      </c>
      <c r="B426" s="1" t="s">
        <v>68</v>
      </c>
      <c r="C426" s="1" t="s">
        <v>116</v>
      </c>
      <c r="D426" s="4">
        <f>IF(COUNTIFS([1]Desglose_BOM_Componentes!$B$4886:$B$4894,$A426,[1]Desglose_BOM_Componentes!$AE$4886:$AE$4894,"Sin precio",[1]Desglose_BOM_Componentes!$X$4886:$X$4894,"Formulación")&gt;0,"n.d.",SUMIFS([1]Desglose_BOM_Componentes!$AC$4886:$AC$4894,[1]Desglose_BOM_Componentes!$B$4886:$B$4894,$A426,[1]Desglose_BOM_Componentes!$X$4886:$X$4894,"Formulación"))</f>
        <v>1.3248599999999999</v>
      </c>
      <c r="E426" s="4">
        <f>IF(COUNTIFS([1]Desglose_BOM_Componentes!$B$4886:$B$4894,$A426,[1]Desglose_BOM_Componentes!$AE$4886:$AE$4894,"Sin precio",[1]Desglose_BOM_Componentes!$X$4886:$X$4894,"Empaquetado")&gt;0,"n.d.",SUMIFS([1]Desglose_BOM_Componentes!$AC$4886:$AC$4894,[1]Desglose_BOM_Componentes!$B$4886:$B$4894,$A426,[1]Desglose_BOM_Componentes!$X$4886:$X$4894,"Empaquetado"))</f>
        <v>8.7140414104372371E-2</v>
      </c>
      <c r="F426" s="6">
        <f t="shared" si="37"/>
        <v>1.4120004141043723</v>
      </c>
      <c r="G426" s="4">
        <f>IF(COUNTIFS([1]Desglose_BOM_Componentes!$B$4886:$B$4894,$A426,[1]Desglose_BOM_Componentes!$AE$4886:$AE$4894,"Sin precio",[1]Desglose_BOM_Componentes!$X$4886:$X$4894,"Formulación")&gt;0,"n.d.",SUMIFS([1]Desglose_BOM_Componentes!$AD$4886:$AD$4894,[1]Desglose_BOM_Componentes!$B$4886:$B$4894,$A426,[1]Desglose_BOM_Componentes!$X$4886:$X$4894,"Formulación"))</f>
        <v>1.0455657142857142</v>
      </c>
      <c r="H426" s="4">
        <f>IF(COUNTIFS([1]Desglose_BOM_Componentes!$B$4886:$B$4894,$A426,[1]Desglose_BOM_Componentes!$AE$4886:$AE$4894,"Sin precio",[1]Desglose_BOM_Componentes!$X$4886:$X$4894,"Empaquetado")&gt;0,"n.d.",SUMIFS([1]Desglose_BOM_Componentes!$AD$4886:$AD$4894,[1]Desglose_BOM_Componentes!$B$4886:$B$4894,$A426,[1]Desglose_BOM_Componentes!$X$4886:$X$4894,"Empaquetado"))</f>
        <v>8.7140414104372371E-2</v>
      </c>
      <c r="I426" s="6">
        <f t="shared" si="38"/>
        <v>1.1327061283900866</v>
      </c>
      <c r="J426" s="1" t="str">
        <f t="shared" si="36"/>
        <v>Completo</v>
      </c>
      <c r="K426" s="1">
        <f>COUNTIFS([1]Desglose_BOM_Componentes!$B$4886:$B$4894,$A426,[1]Desglose_BOM_Componentes!$AE$4886:$AE$4894,"Sin precio")</f>
        <v>0</v>
      </c>
      <c r="L426" s="1" t="str">
        <f>IF('[1]Precios componentes'!D113="Sin precio","NPO; ","")&amp;IF('[1]Precios componentes'!D104="Sin precio","MAL; ","")&amp;IF('[1]Precios componentes'!D80="Sin precio","GLI; ","")&amp;IF('[1]Precios componentes'!D40="Sin precio","CCB; ","")&amp;IF('[1]Precios componentes'!D115="Sin precio","PAL; ","")&amp;IF('[1]Precios componentes'!D137="Sin precio","SOBRE 5L; ","")&amp;IF('[1]Precios componentes'!D69="Sin precio","ETQEGSAL; ","")&amp;IF('[1]Precios componentes'!D34="Sin precio","CAG; ","")&amp;IF('[1]Precios componentes'!D98="Sin precio","LAM2; ","")</f>
        <v/>
      </c>
    </row>
    <row r="427" spans="1:12" ht="22" customHeight="1">
      <c r="A427" s="1" t="s">
        <v>459</v>
      </c>
      <c r="B427" s="1" t="s">
        <v>68</v>
      </c>
      <c r="C427" s="1" t="s">
        <v>32</v>
      </c>
      <c r="D427" s="4">
        <f>IF(COUNTIFS([1]Desglose_BOM_Componentes!$B$4895:$B$4903,$A427,[1]Desglose_BOM_Componentes!$AE$4895:$AE$4903,"Sin precio",[1]Desglose_BOM_Componentes!$X$4895:$X$4903,"Formulación")&gt;0,"n.d.",SUMIFS([1]Desglose_BOM_Componentes!$AC$4895:$AC$4903,[1]Desglose_BOM_Componentes!$B$4895:$B$4903,$A427,[1]Desglose_BOM_Componentes!$X$4895:$X$4903,"Formulación"))</f>
        <v>1.3248599999999999</v>
      </c>
      <c r="E427" s="4">
        <f>IF(COUNTIFS([1]Desglose_BOM_Componentes!$B$4895:$B$4903,$A427,[1]Desglose_BOM_Componentes!$AE$4895:$AE$4903,"Sin precio",[1]Desglose_BOM_Componentes!$X$4895:$X$4903,"Empaquetado")&gt;0,"n.d.",SUMIFS([1]Desglose_BOM_Componentes!$AC$4895:$AC$4903,[1]Desglose_BOM_Componentes!$B$4895:$B$4903,$A427,[1]Desglose_BOM_Componentes!$X$4895:$X$4903,"Empaquetado"))</f>
        <v>8.7140414104372371E-2</v>
      </c>
      <c r="F427" s="6">
        <f t="shared" si="37"/>
        <v>1.4120004141043723</v>
      </c>
      <c r="G427" s="4">
        <f>IF(COUNTIFS([1]Desglose_BOM_Componentes!$B$4895:$B$4903,$A427,[1]Desglose_BOM_Componentes!$AE$4895:$AE$4903,"Sin precio",[1]Desglose_BOM_Componentes!$X$4895:$X$4903,"Formulación")&gt;0,"n.d.",SUMIFS([1]Desglose_BOM_Componentes!$AD$4895:$AD$4903,[1]Desglose_BOM_Componentes!$B$4895:$B$4903,$A427,[1]Desglose_BOM_Componentes!$X$4895:$X$4903,"Formulación"))</f>
        <v>1.0455657142857142</v>
      </c>
      <c r="H427" s="4">
        <f>IF(COUNTIFS([1]Desglose_BOM_Componentes!$B$4895:$B$4903,$A427,[1]Desglose_BOM_Componentes!$AE$4895:$AE$4903,"Sin precio",[1]Desglose_BOM_Componentes!$X$4895:$X$4903,"Empaquetado")&gt;0,"n.d.",SUMIFS([1]Desglose_BOM_Componentes!$AD$4895:$AD$4903,[1]Desglose_BOM_Componentes!$B$4895:$B$4903,$A427,[1]Desglose_BOM_Componentes!$X$4895:$X$4903,"Empaquetado"))</f>
        <v>8.7140414104372371E-2</v>
      </c>
      <c r="I427" s="6">
        <f t="shared" si="38"/>
        <v>1.1327061283900866</v>
      </c>
      <c r="J427" s="1" t="str">
        <f t="shared" si="36"/>
        <v>Completo</v>
      </c>
      <c r="K427" s="1">
        <f>COUNTIFS([1]Desglose_BOM_Componentes!$B$4895:$B$4903,$A427,[1]Desglose_BOM_Componentes!$AE$4895:$AE$4903,"Sin precio")</f>
        <v>0</v>
      </c>
      <c r="L427" s="1" t="str">
        <f>IF('[1]Precios componentes'!D113="Sin precio","NPO; ","")&amp;IF('[1]Precios componentes'!D104="Sin precio","MAL; ","")&amp;IF('[1]Precios componentes'!D80="Sin precio","GLI; ","")&amp;IF('[1]Precios componentes'!D40="Sin precio","CCB; ","")&amp;IF('[1]Precios componentes'!D115="Sin precio","PAL; ","")&amp;IF('[1]Precios componentes'!D137="Sin precio","SOBRE 5L; ","")&amp;IF('[1]Precios componentes'!D69="Sin precio","ETQEGSAL; ","")&amp;IF('[1]Precios componentes'!D34="Sin precio","CAG; ","")&amp;IF('[1]Precios componentes'!D98="Sin precio","LAM2; ","")</f>
        <v/>
      </c>
    </row>
    <row r="428" spans="1:12" ht="22" customHeight="1">
      <c r="A428" s="1" t="s">
        <v>460</v>
      </c>
      <c r="B428" s="1" t="s">
        <v>68</v>
      </c>
      <c r="C428" s="1" t="s">
        <v>188</v>
      </c>
      <c r="D428" s="4">
        <f>IF(COUNTIFS([1]Desglose_BOM_Componentes!$B$4904:$B$4912,$A428,[1]Desglose_BOM_Componentes!$AE$4904:$AE$4912,"Sin precio",[1]Desglose_BOM_Componentes!$X$4904:$X$4912,"Formulación")&gt;0,"n.d.",SUMIFS([1]Desglose_BOM_Componentes!$AC$4904:$AC$4912,[1]Desglose_BOM_Componentes!$B$4904:$B$4912,$A428,[1]Desglose_BOM_Componentes!$X$4904:$X$4912,"Formulación"))</f>
        <v>1.3248599999999999</v>
      </c>
      <c r="E428" s="4">
        <f>IF(COUNTIFS([1]Desglose_BOM_Componentes!$B$4904:$B$4912,$A428,[1]Desglose_BOM_Componentes!$AE$4904:$AE$4912,"Sin precio",[1]Desglose_BOM_Componentes!$X$4904:$X$4912,"Empaquetado")&gt;0,"n.d.",SUMIFS([1]Desglose_BOM_Componentes!$AC$4904:$AC$4912,[1]Desglose_BOM_Componentes!$B$4904:$B$4912,$A428,[1]Desglose_BOM_Componentes!$X$4904:$X$4912,"Empaquetado"))</f>
        <v>8.7140414104372371E-2</v>
      </c>
      <c r="F428" s="6">
        <f t="shared" si="37"/>
        <v>1.4120004141043723</v>
      </c>
      <c r="G428" s="4">
        <f>IF(COUNTIFS([1]Desglose_BOM_Componentes!$B$4904:$B$4912,$A428,[1]Desglose_BOM_Componentes!$AE$4904:$AE$4912,"Sin precio",[1]Desglose_BOM_Componentes!$X$4904:$X$4912,"Formulación")&gt;0,"n.d.",SUMIFS([1]Desglose_BOM_Componentes!$AD$4904:$AD$4912,[1]Desglose_BOM_Componentes!$B$4904:$B$4912,$A428,[1]Desglose_BOM_Componentes!$X$4904:$X$4912,"Formulación"))</f>
        <v>1.0455657142857142</v>
      </c>
      <c r="H428" s="4">
        <f>IF(COUNTIFS([1]Desglose_BOM_Componentes!$B$4904:$B$4912,$A428,[1]Desglose_BOM_Componentes!$AE$4904:$AE$4912,"Sin precio",[1]Desglose_BOM_Componentes!$X$4904:$X$4912,"Empaquetado")&gt;0,"n.d.",SUMIFS([1]Desglose_BOM_Componentes!$AD$4904:$AD$4912,[1]Desglose_BOM_Componentes!$B$4904:$B$4912,$A428,[1]Desglose_BOM_Componentes!$X$4904:$X$4912,"Empaquetado"))</f>
        <v>8.7140414104372371E-2</v>
      </c>
      <c r="I428" s="6">
        <f t="shared" si="38"/>
        <v>1.1327061283900866</v>
      </c>
      <c r="J428" s="1" t="str">
        <f t="shared" si="36"/>
        <v>Completo</v>
      </c>
      <c r="K428" s="1">
        <f>COUNTIFS([1]Desglose_BOM_Componentes!$B$4904:$B$4912,$A428,[1]Desglose_BOM_Componentes!$AE$4904:$AE$4912,"Sin precio")</f>
        <v>0</v>
      </c>
      <c r="L428" s="1" t="str">
        <f>IF('[1]Precios componentes'!D113="Sin precio","NPO; ","")&amp;IF('[1]Precios componentes'!D104="Sin precio","MAL; ","")&amp;IF('[1]Precios componentes'!D80="Sin precio","GLI; ","")&amp;IF('[1]Precios componentes'!D40="Sin precio","CCB; ","")&amp;IF('[1]Precios componentes'!D115="Sin precio","PAL; ","")&amp;IF('[1]Precios componentes'!D137="Sin precio","SOBRE 5L; ","")&amp;IF('[1]Precios componentes'!D69="Sin precio","ETQEGSAL; ","")&amp;IF('[1]Precios componentes'!D34="Sin precio","CAG; ","")&amp;IF('[1]Precios componentes'!D98="Sin precio","LAM2; ","")</f>
        <v/>
      </c>
    </row>
    <row r="429" spans="1:12" ht="22" customHeight="1">
      <c r="A429" s="1" t="s">
        <v>461</v>
      </c>
      <c r="B429" s="1" t="s">
        <v>68</v>
      </c>
      <c r="C429" s="1" t="s">
        <v>32</v>
      </c>
      <c r="D429" s="4">
        <f>IF(COUNTIFS([1]Desglose_BOM_Componentes!$B$4913:$B$4921,$A429,[1]Desglose_BOM_Componentes!$AE$4913:$AE$4921,"Sin precio",[1]Desglose_BOM_Componentes!$X$4913:$X$4921,"Formulación")&gt;0,"n.d.",SUMIFS([1]Desglose_BOM_Componentes!$AC$4913:$AC$4921,[1]Desglose_BOM_Componentes!$B$4913:$B$4921,$A429,[1]Desglose_BOM_Componentes!$X$4913:$X$4921,"Formulación"))</f>
        <v>1.3248599999999999</v>
      </c>
      <c r="E429" s="4">
        <f>IF(COUNTIFS([1]Desglose_BOM_Componentes!$B$4913:$B$4921,$A429,[1]Desglose_BOM_Componentes!$AE$4913:$AE$4921,"Sin precio",[1]Desglose_BOM_Componentes!$X$4913:$X$4921,"Empaquetado")&gt;0,"n.d.",SUMIFS([1]Desglose_BOM_Componentes!$AC$4913:$AC$4921,[1]Desglose_BOM_Componentes!$B$4913:$B$4921,$A429,[1]Desglose_BOM_Componentes!$X$4913:$X$4921,"Empaquetado"))</f>
        <v>7.982061763046544E-2</v>
      </c>
      <c r="F429" s="6">
        <f t="shared" si="37"/>
        <v>1.4046806176304654</v>
      </c>
      <c r="G429" s="4">
        <f>IF(COUNTIFS([1]Desglose_BOM_Componentes!$B$4913:$B$4921,$A429,[1]Desglose_BOM_Componentes!$AE$4913:$AE$4921,"Sin precio",[1]Desglose_BOM_Componentes!$X$4913:$X$4921,"Formulación")&gt;0,"n.d.",SUMIFS([1]Desglose_BOM_Componentes!$AD$4913:$AD$4921,[1]Desglose_BOM_Componentes!$B$4913:$B$4921,$A429,[1]Desglose_BOM_Componentes!$X$4913:$X$4921,"Formulación"))</f>
        <v>1.0455657142857142</v>
      </c>
      <c r="H429" s="4">
        <f>IF(COUNTIFS([1]Desglose_BOM_Componentes!$B$4913:$B$4921,$A429,[1]Desglose_BOM_Componentes!$AE$4913:$AE$4921,"Sin precio",[1]Desglose_BOM_Componentes!$X$4913:$X$4921,"Empaquetado")&gt;0,"n.d.",SUMIFS([1]Desglose_BOM_Componentes!$AD$4913:$AD$4921,[1]Desglose_BOM_Componentes!$B$4913:$B$4921,$A429,[1]Desglose_BOM_Componentes!$X$4913:$X$4921,"Empaquetado"))</f>
        <v>7.982061763046544E-2</v>
      </c>
      <c r="I429" s="6">
        <f t="shared" si="38"/>
        <v>1.1253863319161796</v>
      </c>
      <c r="J429" s="1" t="str">
        <f t="shared" si="36"/>
        <v>Completo</v>
      </c>
      <c r="K429" s="1">
        <f>COUNTIFS([1]Desglose_BOM_Componentes!$B$4913:$B$4921,$A429,[1]Desglose_BOM_Componentes!$AE$4913:$AE$4921,"Sin precio")</f>
        <v>0</v>
      </c>
      <c r="L429" s="1" t="str">
        <f>IF('[1]Precios componentes'!D113="Sin precio","NPO; ","")&amp;IF('[1]Precios componentes'!D104="Sin precio","MAL; ","")&amp;IF('[1]Precios componentes'!D80="Sin precio","GLI; ","")&amp;IF('[1]Precios componentes'!D40="Sin precio","CCB; ","")&amp;IF('[1]Precios componentes'!D115="Sin precio","PAL; ","")&amp;IF('[1]Precios componentes'!D135="Sin precio","SOBRE 20 K; ","")&amp;IF('[1]Precios componentes'!D69="Sin precio","ETQEGSAL; ","")&amp;IF('[1]Precios componentes'!D99="Sin precio","LAM3; ","")&amp;IF('[1]Precios componentes'!D34="Sin precio","CAG; ","")</f>
        <v/>
      </c>
    </row>
    <row r="430" spans="1:12" ht="22" customHeight="1">
      <c r="A430" s="1" t="s">
        <v>462</v>
      </c>
      <c r="B430" s="1" t="s">
        <v>18</v>
      </c>
      <c r="C430" s="1" t="s">
        <v>69</v>
      </c>
      <c r="D430" s="4">
        <f>IF(COUNTIFS([1]Desglose_BOM_Componentes!$B$4922:$B$4933,$A430,[1]Desglose_BOM_Componentes!$AE$4922:$AE$4933,"Sin precio",[1]Desglose_BOM_Componentes!$X$4922:$X$4933,"Formulación")&gt;0,"n.d.",SUMIFS([1]Desglose_BOM_Componentes!$AC$4922:$AC$4933,[1]Desglose_BOM_Componentes!$B$4922:$B$4933,$A430,[1]Desglose_BOM_Componentes!$X$4922:$X$4933,"Formulación"))</f>
        <v>1.4442160606060606</v>
      </c>
      <c r="E430" s="4">
        <f>IF(COUNTIFS([1]Desglose_BOM_Componentes!$B$4922:$B$4933,$A430,[1]Desglose_BOM_Componentes!$AE$4922:$AE$4933,"Sin precio",[1]Desglose_BOM_Componentes!$X$4922:$X$4933,"Empaquetado")&gt;0,"n.d.",SUMIFS([1]Desglose_BOM_Componentes!$AC$4922:$AC$4933,[1]Desglose_BOM_Componentes!$B$4922:$B$4933,$A430,[1]Desglose_BOM_Componentes!$X$4922:$X$4933,"Empaquetado"))</f>
        <v>0.75344791441438252</v>
      </c>
      <c r="F430" s="6">
        <f t="shared" ref="F430:F444" si="39">IF(K430&gt;0,"n.d.",SUM(D430:E430)+0.0042)</f>
        <v>2.201863975020443</v>
      </c>
      <c r="G430" s="4">
        <f>IF(COUNTIFS([1]Desglose_BOM_Componentes!$B$4922:$B$4933,$A430,[1]Desglose_BOM_Componentes!$AE$4922:$AE$4933,"Sin precio",[1]Desglose_BOM_Componentes!$X$4922:$X$4933,"Formulación")&gt;0,"n.d.",SUMIFS([1]Desglose_BOM_Componentes!$AD$4922:$AD$4933,[1]Desglose_BOM_Componentes!$B$4922:$B$4933,$A430,[1]Desglose_BOM_Componentes!$X$4922:$X$4933,"Formulación"))</f>
        <v>1.3261398606060606</v>
      </c>
      <c r="H430" s="4">
        <f>IF(COUNTIFS([1]Desglose_BOM_Componentes!$B$4922:$B$4933,$A430,[1]Desglose_BOM_Componentes!$AE$4922:$AE$4933,"Sin precio",[1]Desglose_BOM_Componentes!$X$4922:$X$4933,"Empaquetado")&gt;0,"n.d.",SUMIFS([1]Desglose_BOM_Componentes!$AD$4922:$AD$4933,[1]Desglose_BOM_Componentes!$B$4922:$B$4933,$A430,[1]Desglose_BOM_Componentes!$X$4922:$X$4933,"Empaquetado"))</f>
        <v>0.75344791441438252</v>
      </c>
      <c r="I430" s="6">
        <f t="shared" ref="I430:I444" si="40">IF(K430&gt;0,"n.d.",SUM(G430:H430)+0.0042)</f>
        <v>2.083787775020443</v>
      </c>
      <c r="J430" s="1" t="str">
        <f t="shared" si="36"/>
        <v>Completo</v>
      </c>
      <c r="K430" s="1">
        <f>COUNTIFS([1]Desglose_BOM_Componentes!$B$4922:$B$4933,$A430,[1]Desglose_BOM_Componentes!$AE$4922:$AE$4933,"Sin precio")</f>
        <v>0</v>
      </c>
      <c r="L430" s="1" t="str">
        <f>IF('[1]Precios componentes'!D13="Sin precio","AMO; ","")&amp;IF('[1]Precios componentes'!D17="Sin precio","AV24; ","")&amp;IF('[1]Precios componentes'!D126="Sin precio","SALI; ","")&amp;IF('[1]Precios componentes'!D157="Sin precio","XT; ","")&amp;IF('[1]Precios componentes'!D72="Sin precio","FMA; ","")&amp;IF('[1]Precios componentes'!D93="Sin precio","KF78; ","")&amp;IF('[1]Precios componentes'!D134="Sin precio","SOBRE 1L; ","")&amp;IF('[1]Precios componentes'!D115="Sin precio","PAL; ","")&amp;IF('[1]Precios componentes'!D33="Sin precio","C1L; ","")&amp;IF('[1]Precios componentes'!D60="Sin precio","ENV1D; ","")&amp;IF('[1]Precios componentes'!D144="Sin precio","TPD40I; ","")&amp;IF('[1]Precios componentes'!D94="Sin precio","KIA220; ","")</f>
        <v/>
      </c>
    </row>
    <row r="431" spans="1:12" ht="22" customHeight="1">
      <c r="A431" s="1" t="s">
        <v>463</v>
      </c>
      <c r="B431" s="1" t="s">
        <v>18</v>
      </c>
      <c r="C431" s="1" t="s">
        <v>24</v>
      </c>
      <c r="D431" s="4">
        <f>IF(COUNTIFS([1]Desglose_BOM_Componentes!$B$4934:$B$4945,$A431,[1]Desglose_BOM_Componentes!$AE$4934:$AE$4945,"Sin precio",[1]Desglose_BOM_Componentes!$X$4934:$X$4945,"Formulación")&gt;0,"n.d.",SUMIFS([1]Desglose_BOM_Componentes!$AC$4934:$AC$4945,[1]Desglose_BOM_Componentes!$B$4934:$B$4945,$A431,[1]Desglose_BOM_Componentes!$X$4934:$X$4945,"Formulación"))</f>
        <v>1.4442160606060606</v>
      </c>
      <c r="E431" s="4">
        <f>IF(COUNTIFS([1]Desglose_BOM_Componentes!$B$4934:$B$4945,$A431,[1]Desglose_BOM_Componentes!$AE$4934:$AE$4945,"Sin precio",[1]Desglose_BOM_Componentes!$X$4934:$X$4945,"Empaquetado")&gt;0,"n.d.",SUMIFS([1]Desglose_BOM_Componentes!$AC$4934:$AC$4945,[1]Desglose_BOM_Componentes!$B$4934:$B$4945,$A431,[1]Desglose_BOM_Componentes!$X$4934:$X$4945,"Empaquetado"))</f>
        <v>0.33288466819407259</v>
      </c>
      <c r="F431" s="6">
        <f t="shared" si="39"/>
        <v>1.781300728800133</v>
      </c>
      <c r="G431" s="4">
        <f>IF(COUNTIFS([1]Desglose_BOM_Componentes!$B$4934:$B$4945,$A431,[1]Desglose_BOM_Componentes!$AE$4934:$AE$4945,"Sin precio",[1]Desglose_BOM_Componentes!$X$4934:$X$4945,"Formulación")&gt;0,"n.d.",SUMIFS([1]Desglose_BOM_Componentes!$AD$4934:$AD$4945,[1]Desglose_BOM_Componentes!$B$4934:$B$4945,$A431,[1]Desglose_BOM_Componentes!$X$4934:$X$4945,"Formulación"))</f>
        <v>1.3261398606060606</v>
      </c>
      <c r="H431" s="4">
        <f>IF(COUNTIFS([1]Desglose_BOM_Componentes!$B$4934:$B$4945,$A431,[1]Desglose_BOM_Componentes!$AE$4934:$AE$4945,"Sin precio",[1]Desglose_BOM_Componentes!$X$4934:$X$4945,"Empaquetado")&gt;0,"n.d.",SUMIFS([1]Desglose_BOM_Componentes!$AD$4934:$AD$4945,[1]Desglose_BOM_Componentes!$B$4934:$B$4945,$A431,[1]Desglose_BOM_Componentes!$X$4934:$X$4945,"Empaquetado"))</f>
        <v>0.33288466819407259</v>
      </c>
      <c r="I431" s="6">
        <f t="shared" si="40"/>
        <v>1.6632245288001331</v>
      </c>
      <c r="J431" s="1" t="str">
        <f t="shared" si="36"/>
        <v>Completo</v>
      </c>
      <c r="K431" s="1">
        <f>COUNTIFS([1]Desglose_BOM_Componentes!$B$4934:$B$4945,$A431,[1]Desglose_BOM_Componentes!$AE$4934:$AE$4945,"Sin precio")</f>
        <v>0</v>
      </c>
      <c r="L431" s="1" t="str">
        <f>IF('[1]Precios componentes'!D13="Sin precio","AMO; ","")&amp;IF('[1]Precios componentes'!D17="Sin precio","AV24; ","")&amp;IF('[1]Precios componentes'!D126="Sin precio","SALI; ","")&amp;IF('[1]Precios componentes'!D157="Sin precio","XT; ","")&amp;IF('[1]Precios componentes'!D72="Sin precio","FMA; ","")&amp;IF('[1]Precios componentes'!D93="Sin precio","KF78;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432" spans="1:12" ht="22" customHeight="1">
      <c r="A432" s="1" t="s">
        <v>464</v>
      </c>
      <c r="B432" s="1" t="s">
        <v>18</v>
      </c>
      <c r="C432" s="1" t="s">
        <v>24</v>
      </c>
      <c r="D432" s="4">
        <f>IF(COUNTIFS([1]Desglose_BOM_Componentes!$B$4946:$B$4955,$A432,[1]Desglose_BOM_Componentes!$AE$4946:$AE$4955,"Sin precio",[1]Desglose_BOM_Componentes!$X$4946:$X$4955,"Formulación")&gt;0,"n.d.",SUMIFS([1]Desglose_BOM_Componentes!$AC$4946:$AC$4955,[1]Desglose_BOM_Componentes!$B$4946:$B$4955,$A432,[1]Desglose_BOM_Componentes!$X$4946:$X$4955,"Formulación"))</f>
        <v>1.42492</v>
      </c>
      <c r="E432" s="4">
        <f>IF(COUNTIFS([1]Desglose_BOM_Componentes!$B$4946:$B$4955,$A432,[1]Desglose_BOM_Componentes!$AE$4946:$AE$4955,"Sin precio",[1]Desglose_BOM_Componentes!$X$4946:$X$4955,"Empaquetado")&gt;0,"n.d.",SUMIFS([1]Desglose_BOM_Componentes!$AC$4946:$AC$4955,[1]Desglose_BOM_Componentes!$B$4946:$B$4955,$A432,[1]Desglose_BOM_Componentes!$X$4946:$X$4955,"Empaquetado"))</f>
        <v>0.90089800050253677</v>
      </c>
      <c r="F432" s="6">
        <f t="shared" si="39"/>
        <v>2.3300180005025366</v>
      </c>
      <c r="G432" s="4">
        <f>IF(COUNTIFS([1]Desglose_BOM_Componentes!$B$4946:$B$4955,$A432,[1]Desglose_BOM_Componentes!$AE$4946:$AE$4955,"Sin precio",[1]Desglose_BOM_Componentes!$X$4946:$X$4955,"Formulación")&gt;0,"n.d.",SUMIFS([1]Desglose_BOM_Componentes!$AD$4946:$AD$4955,[1]Desglose_BOM_Componentes!$B$4946:$B$4955,$A432,[1]Desglose_BOM_Componentes!$X$4946:$X$4955,"Formulación"))</f>
        <v>1.2867579999999998</v>
      </c>
      <c r="H432" s="4">
        <f>IF(COUNTIFS([1]Desglose_BOM_Componentes!$B$4946:$B$4955,$A432,[1]Desglose_BOM_Componentes!$AE$4946:$AE$4955,"Sin precio",[1]Desglose_BOM_Componentes!$X$4946:$X$4955,"Empaquetado")&gt;0,"n.d.",SUMIFS([1]Desglose_BOM_Componentes!$AD$4946:$AD$4955,[1]Desglose_BOM_Componentes!$B$4946:$B$4955,$A432,[1]Desglose_BOM_Componentes!$X$4946:$X$4955,"Empaquetado"))</f>
        <v>0.90089800050253677</v>
      </c>
      <c r="I432" s="6">
        <f t="shared" si="40"/>
        <v>2.1918560005025367</v>
      </c>
      <c r="J432" s="1" t="str">
        <f t="shared" si="36"/>
        <v>Completo</v>
      </c>
      <c r="K432" s="1">
        <f>COUNTIFS([1]Desglose_BOM_Componentes!$B$4946:$B$4955,$A432,[1]Desglose_BOM_Componentes!$AE$4946:$AE$4955,"Sin precio")</f>
        <v>0</v>
      </c>
      <c r="L432" s="1" t="str">
        <f>IF('[1]Precios componentes'!D54="Sin precio","EDT; ","")&amp;IF('[1]Precios componentes'!D90="Sin precio","HPOL; ","")&amp;IF('[1]Precios componentes'!D153="Sin precio","TRP; ","")&amp;IF('[1]Precios componentes'!D104="Sin precio","MAL;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433" spans="1:12" ht="22" customHeight="1">
      <c r="A433" s="1" t="s">
        <v>465</v>
      </c>
      <c r="B433" s="1" t="s">
        <v>18</v>
      </c>
      <c r="C433" s="1" t="s">
        <v>95</v>
      </c>
      <c r="D433" s="4">
        <f>IF(COUNTIFS([1]Desglose_BOM_Componentes!$B$4956:$B$4965,$A433,[1]Desglose_BOM_Componentes!$AE$4956:$AE$4965,"Sin precio",[1]Desglose_BOM_Componentes!$X$4956:$X$4965,"Formulación")&gt;0,"n.d.",SUMIFS([1]Desglose_BOM_Componentes!$AC$4956:$AC$4965,[1]Desglose_BOM_Componentes!$B$4956:$B$4965,$A433,[1]Desglose_BOM_Componentes!$X$4956:$X$4965,"Formulación"))</f>
        <v>1.42492</v>
      </c>
      <c r="E433" s="4">
        <f>IF(COUNTIFS([1]Desglose_BOM_Componentes!$B$4956:$B$4965,$A433,[1]Desglose_BOM_Componentes!$AE$4956:$AE$4965,"Sin precio",[1]Desglose_BOM_Componentes!$X$4956:$X$4965,"Empaquetado")&gt;0,"n.d.",SUMIFS([1]Desglose_BOM_Componentes!$AC$4956:$AC$4965,[1]Desglose_BOM_Componentes!$B$4956:$B$4965,$A433,[1]Desglose_BOM_Componentes!$X$4956:$X$4965,"Empaquetado"))</f>
        <v>0.90089800050253677</v>
      </c>
      <c r="F433" s="6">
        <f t="shared" si="39"/>
        <v>2.3300180005025366</v>
      </c>
      <c r="G433" s="4">
        <f>IF(COUNTIFS([1]Desglose_BOM_Componentes!$B$4956:$B$4965,$A433,[1]Desglose_BOM_Componentes!$AE$4956:$AE$4965,"Sin precio",[1]Desglose_BOM_Componentes!$X$4956:$X$4965,"Formulación")&gt;0,"n.d.",SUMIFS([1]Desglose_BOM_Componentes!$AD$4956:$AD$4965,[1]Desglose_BOM_Componentes!$B$4956:$B$4965,$A433,[1]Desglose_BOM_Componentes!$X$4956:$X$4965,"Formulación"))</f>
        <v>1.2867579999999998</v>
      </c>
      <c r="H433" s="4">
        <f>IF(COUNTIFS([1]Desglose_BOM_Componentes!$B$4956:$B$4965,$A433,[1]Desglose_BOM_Componentes!$AE$4956:$AE$4965,"Sin precio",[1]Desglose_BOM_Componentes!$X$4956:$X$4965,"Empaquetado")&gt;0,"n.d.",SUMIFS([1]Desglose_BOM_Componentes!$AD$4956:$AD$4965,[1]Desglose_BOM_Componentes!$B$4956:$B$4965,$A433,[1]Desglose_BOM_Componentes!$X$4956:$X$4965,"Empaquetado"))</f>
        <v>0.90089800050253677</v>
      </c>
      <c r="I433" s="6">
        <f t="shared" si="40"/>
        <v>2.1918560005025367</v>
      </c>
      <c r="J433" s="1" t="str">
        <f t="shared" si="36"/>
        <v>Completo</v>
      </c>
      <c r="K433" s="1">
        <f>COUNTIFS([1]Desglose_BOM_Componentes!$B$4956:$B$4965,$A433,[1]Desglose_BOM_Componentes!$AE$4956:$AE$4965,"Sin precio")</f>
        <v>0</v>
      </c>
      <c r="L433" s="1" t="str">
        <f>IF('[1]Precios componentes'!D54="Sin precio","EDT; ","")&amp;IF('[1]Precios componentes'!D90="Sin precio","HPOL; ","")&amp;IF('[1]Precios componentes'!D153="Sin precio","TRP; ","")&amp;IF('[1]Precios componentes'!D104="Sin precio","MAL; ","")&amp;IF('[1]Precios componentes'!D134="Sin precio","SOBRE 1L; ","")&amp;IF('[1]Precios componentes'!D115="Sin precio","PAL; ","")&amp;IF('[1]Precios componentes'!D33="Sin precio","C1L; ","")&amp;IF('[1]Precios componentes'!D144="Sin precio","TPD40I; ","")&amp;IF('[1]Precios componentes'!D94="Sin precio","KIA220; ","")&amp;IF('[1]Precios componentes'!D59="Sin precio","ENV1C; ","")</f>
        <v/>
      </c>
    </row>
    <row r="434" spans="1:12" ht="22" customHeight="1">
      <c r="A434" s="1" t="s">
        <v>466</v>
      </c>
      <c r="B434" s="1" t="s">
        <v>18</v>
      </c>
      <c r="C434" s="1" t="s">
        <v>24</v>
      </c>
      <c r="D434" s="4">
        <f>IF(COUNTIFS([1]Desglose_BOM_Componentes!$B$4966:$B$4975,$A434,[1]Desglose_BOM_Componentes!$AE$4966:$AE$4975,"Sin precio",[1]Desglose_BOM_Componentes!$X$4966:$X$4975,"Formulación")&gt;0,"n.d.",SUMIFS([1]Desglose_BOM_Componentes!$AC$4966:$AC$4975,[1]Desglose_BOM_Componentes!$B$4966:$B$4975,$A434,[1]Desglose_BOM_Componentes!$X$4966:$X$4975,"Formulación"))</f>
        <v>1.42492</v>
      </c>
      <c r="E434" s="4">
        <f>IF(COUNTIFS([1]Desglose_BOM_Componentes!$B$4966:$B$4975,$A434,[1]Desglose_BOM_Componentes!$AE$4966:$AE$4975,"Sin precio",[1]Desglose_BOM_Componentes!$X$4966:$X$4975,"Empaquetado")&gt;0,"n.d.",SUMIFS([1]Desglose_BOM_Componentes!$AC$4966:$AC$4975,[1]Desglose_BOM_Componentes!$B$4966:$B$4975,$A434,[1]Desglose_BOM_Componentes!$X$4966:$X$4975,"Empaquetado"))</f>
        <v>0.33288466819407259</v>
      </c>
      <c r="F434" s="6">
        <f t="shared" si="39"/>
        <v>1.7620046681940726</v>
      </c>
      <c r="G434" s="4">
        <f>IF(COUNTIFS([1]Desglose_BOM_Componentes!$B$4966:$B$4975,$A434,[1]Desglose_BOM_Componentes!$AE$4966:$AE$4975,"Sin precio",[1]Desglose_BOM_Componentes!$X$4966:$X$4975,"Formulación")&gt;0,"n.d.",SUMIFS([1]Desglose_BOM_Componentes!$AD$4966:$AD$4975,[1]Desglose_BOM_Componentes!$B$4966:$B$4975,$A434,[1]Desglose_BOM_Componentes!$X$4966:$X$4975,"Formulación"))</f>
        <v>1.2867579999999998</v>
      </c>
      <c r="H434" s="4">
        <f>IF(COUNTIFS([1]Desglose_BOM_Componentes!$B$4966:$B$4975,$A434,[1]Desglose_BOM_Componentes!$AE$4966:$AE$4975,"Sin precio",[1]Desglose_BOM_Componentes!$X$4966:$X$4975,"Empaquetado")&gt;0,"n.d.",SUMIFS([1]Desglose_BOM_Componentes!$AD$4966:$AD$4975,[1]Desglose_BOM_Componentes!$B$4966:$B$4975,$A434,[1]Desglose_BOM_Componentes!$X$4966:$X$4975,"Empaquetado"))</f>
        <v>0.33288466819407259</v>
      </c>
      <c r="I434" s="6">
        <f t="shared" si="40"/>
        <v>1.6238426681940723</v>
      </c>
      <c r="J434" s="1" t="str">
        <f t="shared" si="36"/>
        <v>Completo</v>
      </c>
      <c r="K434" s="1">
        <f>COUNTIFS([1]Desglose_BOM_Componentes!$B$4966:$B$4975,$A434,[1]Desglose_BOM_Componentes!$AE$4966:$AE$4975,"Sin precio")</f>
        <v>0</v>
      </c>
      <c r="L434" s="1" t="str">
        <f>IF('[1]Precios componentes'!D54="Sin precio","EDT; ","")&amp;IF('[1]Precios componentes'!D90="Sin precio","HPOL; ","")&amp;IF('[1]Precios componentes'!D153="Sin precio","TRP; ","")&amp;IF('[1]Precios componentes'!D104="Sin precio","MAL;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componentes'!D151="Sin precio","TPD63VS; ","")&amp;IF('[1]Precios componentes'!D34="Sin precio","CAG; ","")</f>
        <v/>
      </c>
    </row>
    <row r="435" spans="1:12" ht="22" customHeight="1">
      <c r="A435" s="1" t="s">
        <v>467</v>
      </c>
      <c r="B435" s="1" t="s">
        <v>18</v>
      </c>
      <c r="C435" s="1" t="s">
        <v>362</v>
      </c>
      <c r="D435" s="4">
        <f>IF(COUNTIFS([1]Desglose_BOM_Componentes!$B$4976:$B$4993,$A435,[1]Desglose_BOM_Componentes!$AE$4976:$AE$4993,"Sin precio",[1]Desglose_BOM_Componentes!$X$4976:$X$4993,"Formulación")&gt;0,"n.d.",SUMIFS([1]Desglose_BOM_Componentes!$AC$4976:$AC$4993,[1]Desglose_BOM_Componentes!$B$4976:$B$4993,$A435,[1]Desglose_BOM_Componentes!$X$4976:$X$4993,"Formulación"))</f>
        <v>2.0788550000000003</v>
      </c>
      <c r="E435" s="4">
        <f>IF(COUNTIFS([1]Desglose_BOM_Componentes!$B$4976:$B$4993,$A435,[1]Desglose_BOM_Componentes!$AE$4976:$AE$4993,"Sin precio",[1]Desglose_BOM_Componentes!$X$4976:$X$4993,"Empaquetado")&gt;0,"n.d.",SUMIFS([1]Desglose_BOM_Componentes!$AC$4976:$AC$4993,[1]Desglose_BOM_Componentes!$B$4976:$B$4993,$A435,[1]Desglose_BOM_Componentes!$X$4976:$X$4993,"Empaquetado"))</f>
        <v>1.0820362982527663</v>
      </c>
      <c r="F435" s="6">
        <f t="shared" si="39"/>
        <v>3.1650912982527668</v>
      </c>
      <c r="G435" s="4">
        <f>IF(COUNTIFS([1]Desglose_BOM_Componentes!$B$4976:$B$4993,$A435,[1]Desglose_BOM_Componentes!$AE$4976:$AE$4993,"Sin precio",[1]Desglose_BOM_Componentes!$X$4976:$X$4993,"Formulación")&gt;0,"n.d.",SUMIFS([1]Desglose_BOM_Componentes!$AD$4976:$AD$4993,[1]Desglose_BOM_Componentes!$B$4976:$B$4993,$A435,[1]Desglose_BOM_Componentes!$X$4976:$X$4993,"Formulación"))</f>
        <v>1.8990990952380953</v>
      </c>
      <c r="H435" s="4">
        <f>IF(COUNTIFS([1]Desglose_BOM_Componentes!$B$4976:$B$4993,$A435,[1]Desglose_BOM_Componentes!$AE$4976:$AE$4993,"Sin precio",[1]Desglose_BOM_Componentes!$X$4976:$X$4993,"Empaquetado")&gt;0,"n.d.",SUMIFS([1]Desglose_BOM_Componentes!$AD$4976:$AD$4993,[1]Desglose_BOM_Componentes!$B$4976:$B$4993,$A435,[1]Desglose_BOM_Componentes!$X$4976:$X$4993,"Empaquetado"))</f>
        <v>0.95140296491943299</v>
      </c>
      <c r="I435" s="6">
        <f t="shared" si="40"/>
        <v>2.8547020601575284</v>
      </c>
      <c r="J435" s="1" t="str">
        <f t="shared" si="36"/>
        <v>Completo</v>
      </c>
      <c r="K435" s="1">
        <f>COUNTIFS([1]Desglose_BOM_Componentes!$B$4976:$B$4993,$A435,[1]Desglose_BOM_Componentes!$AE$4976:$AE$4993,"Sin precio")</f>
        <v>0</v>
      </c>
      <c r="L435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componentes'!D134="Sin precio","SOBRE 1L; ","")&amp;IF('[1]Precios componentes'!D115="Sin precio","PAL; ","")&amp;IF('[1]Precios componentes'!D33="Sin precio","C1L; ","")&amp;IF('[1]Precios componentes'!D145="Sin precio","TPD40IV; ","")&amp;IF('[1]Precios componentes'!D60="Sin precio","ENV1D; ","")&amp;IF('[1]Precios componentes'!D94="Sin precio","KIA220; ","")</f>
        <v/>
      </c>
    </row>
    <row r="436" spans="1:12" ht="22" customHeight="1">
      <c r="A436" s="1" t="s">
        <v>468</v>
      </c>
      <c r="B436" s="1" t="s">
        <v>18</v>
      </c>
      <c r="C436" s="1" t="s">
        <v>362</v>
      </c>
      <c r="D436" s="4">
        <f>IF(COUNTIFS([1]Desglose_BOM_Componentes!$B$4994:$B$5011,$A436,[1]Desglose_BOM_Componentes!$AE$4994:$AE$5011,"Sin precio",[1]Desglose_BOM_Componentes!$X$4994:$X$5011,"Formulación")&gt;0,"n.d.",SUMIFS([1]Desglose_BOM_Componentes!$AC$4994:$AC$5011,[1]Desglose_BOM_Componentes!$B$4994:$B$5011,$A436,[1]Desglose_BOM_Componentes!$X$4994:$X$5011,"Formulación"))</f>
        <v>2.0788550000000003</v>
      </c>
      <c r="E436" s="4">
        <f>IF(COUNTIFS([1]Desglose_BOM_Componentes!$B$4994:$B$5011,$A436,[1]Desglose_BOM_Componentes!$AE$4994:$AE$5011,"Sin precio",[1]Desglose_BOM_Componentes!$X$4994:$X$5011,"Empaquetado")&gt;0,"n.d.",SUMIFS([1]Desglose_BOM_Componentes!$AC$4994:$AC$5011,[1]Desglose_BOM_Componentes!$B$4994:$B$5011,$A436,[1]Desglose_BOM_Componentes!$X$4994:$X$5011,"Empaquetado"))</f>
        <v>0.30539100152740584</v>
      </c>
      <c r="F436" s="6">
        <f t="shared" si="39"/>
        <v>2.3884460015274063</v>
      </c>
      <c r="G436" s="4">
        <f>IF(COUNTIFS([1]Desglose_BOM_Componentes!$B$4994:$B$5011,$A436,[1]Desglose_BOM_Componentes!$AE$4994:$AE$5011,"Sin precio",[1]Desglose_BOM_Componentes!$X$4994:$X$5011,"Formulación")&gt;0,"n.d.",SUMIFS([1]Desglose_BOM_Componentes!$AD$4994:$AD$5011,[1]Desglose_BOM_Componentes!$B$4994:$B$5011,$A436,[1]Desglose_BOM_Componentes!$X$4994:$X$5011,"Formulación"))</f>
        <v>1.8990990952380953</v>
      </c>
      <c r="H436" s="4">
        <f>IF(COUNTIFS([1]Desglose_BOM_Componentes!$B$4994:$B$5011,$A436,[1]Desglose_BOM_Componentes!$AE$4994:$AE$5011,"Sin precio",[1]Desglose_BOM_Componentes!$X$4994:$X$5011,"Empaquetado")&gt;0,"n.d.",SUMIFS([1]Desglose_BOM_Componentes!$AD$4994:$AD$5011,[1]Desglose_BOM_Componentes!$B$4994:$B$5011,$A436,[1]Desglose_BOM_Componentes!$X$4994:$X$5011,"Empaquetado"))</f>
        <v>0.30539100152740584</v>
      </c>
      <c r="I436" s="6">
        <f t="shared" si="40"/>
        <v>2.2086900967655012</v>
      </c>
      <c r="J436" s="1" t="str">
        <f t="shared" si="36"/>
        <v>Completo</v>
      </c>
      <c r="K436" s="1">
        <f>COUNTIFS([1]Desglose_BOM_Componentes!$B$4994:$B$5011,$A436,[1]Desglose_BOM_Componentes!$AE$4994:$AE$5011,"Sin precio")</f>
        <v>0</v>
      </c>
      <c r="L436" s="1" t="str">
        <f>IF('[1]Precios componentes'!D28="Sin precio","BORL; ","")&amp;IF('[1]Precios componentes'!D153="Sin precio","TRP; ","")&amp;IF('[1]Precios componentes'!D96="Sin precio","KIN; ","")&amp;IF('[1]Precios componentes'!D83="Sin precio","GLUMO; ","")&amp;IF('[1]Precios componentes'!D93="Sin precio","KF78; ","")&amp;IF('[1]Precios componentes'!D127="Sin precio","SBT70; ","")&amp;IF('[1]Precios componentes'!D157="Sin precio","XT; ","")&amp;IF('[1]Precios componentes'!D54="Sin precio","EDT; ","")&amp;IF('[1]Precios componentes'!D90="Sin precio","HPOL; ","")&amp;IF('[1]Precios componentes'!D8="Sin precio","ACE; ","")&amp;IF('[1]Precios componentes'!D108="Sin precio","MOSO; ","")&amp;IF('[1]Precios componentes'!D73="Sin precio","FMP; ","")&amp;IF('[1]Precios componentes'!D137="Sin precio","SOBRE 5L; ","")&amp;IF('[1]Precios componentes'!D115="Sin precio","PAL; ","")&amp;IF('[1]Precios componentes'!D95="Sin precio","KIA250; ","")&amp;IF('[1]Precios componentes'!D63="Sin precio","ENV5220G; ","")&amp;IF('[1]Precios componentes'!D34="Sin precio","CAG; ","")&amp;IF('[1]Precios componentes'!D150="Sin precio","TPD63IV; ","")</f>
        <v/>
      </c>
    </row>
    <row r="437" spans="1:12" ht="22" customHeight="1">
      <c r="A437" s="1" t="s">
        <v>469</v>
      </c>
      <c r="B437" s="1" t="s">
        <v>14</v>
      </c>
      <c r="C437" s="1" t="s">
        <v>169</v>
      </c>
      <c r="D437" s="4">
        <f>IF(COUNTIFS([1]Desglose_BOM_Componentes!$B$5012:$B$5024,$A437,[1]Desglose_BOM_Componentes!$AE$5012:$AE$5024,"Sin precio",[1]Desglose_BOM_Componentes!$X$5012:$X$5024,"Formulación")&gt;0,"n.d.",SUMIFS([1]Desglose_BOM_Componentes!$AC$5012:$AC$5024,[1]Desglose_BOM_Componentes!$B$5012:$B$5024,$A437,[1]Desglose_BOM_Componentes!$X$5012:$X$5024,"Formulación"))</f>
        <v>0.25322359999999999</v>
      </c>
      <c r="E437" s="4">
        <f>IF(COUNTIFS([1]Desglose_BOM_Componentes!$B$5012:$B$5024,$A437,[1]Desglose_BOM_Componentes!$AE$5012:$AE$5024,"Sin precio",[1]Desglose_BOM_Componentes!$X$5012:$X$5024,"Empaquetado")&gt;0,"n.d.",SUMIFS([1]Desglose_BOM_Componentes!$AC$5012:$AC$5024,[1]Desglose_BOM_Componentes!$B$5012:$B$5024,$A437,[1]Desglose_BOM_Componentes!$X$5012:$X$5024,"Empaquetado"))</f>
        <v>0.10470960000000001</v>
      </c>
      <c r="F437" s="6">
        <f t="shared" si="39"/>
        <v>0.36213319999999999</v>
      </c>
      <c r="G437" s="4">
        <f>IF(COUNTIFS([1]Desglose_BOM_Componentes!$B$5012:$B$5024,$A437,[1]Desglose_BOM_Componentes!$AE$5012:$AE$5024,"Sin precio",[1]Desglose_BOM_Componentes!$X$5012:$X$5024,"Formulación")&gt;0,"n.d.",SUMIFS([1]Desglose_BOM_Componentes!$AD$5012:$AD$5024,[1]Desglose_BOM_Componentes!$B$5012:$B$5024,$A437,[1]Desglose_BOM_Componentes!$X$5012:$X$5024,"Formulación"))</f>
        <v>0.2525636</v>
      </c>
      <c r="H437" s="4">
        <f>IF(COUNTIFS([1]Desglose_BOM_Componentes!$B$5012:$B$5024,$A437,[1]Desglose_BOM_Componentes!$AE$5012:$AE$5024,"Sin precio",[1]Desglose_BOM_Componentes!$X$5012:$X$5024,"Empaquetado")&gt;0,"n.d.",SUMIFS([1]Desglose_BOM_Componentes!$AD$5012:$AD$5024,[1]Desglose_BOM_Componentes!$B$5012:$B$5024,$A437,[1]Desglose_BOM_Componentes!$X$5012:$X$5024,"Empaquetado"))</f>
        <v>0.10470960000000001</v>
      </c>
      <c r="I437" s="6">
        <f t="shared" si="40"/>
        <v>0.36147319999999999</v>
      </c>
      <c r="J437" s="1" t="str">
        <f t="shared" si="36"/>
        <v>Completo</v>
      </c>
      <c r="K437" s="1">
        <f>COUNTIFS([1]Desglose_BOM_Componentes!$B$5012:$B$5024,$A437,[1]Desglose_BOM_Componentes!$AE$5012:$AE$5024,"Sin precio")</f>
        <v>0</v>
      </c>
      <c r="L437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componentes'!D41="Sin precio","CCB2; ","")&amp;IF('[1]Precios componentes'!D107="Sin precio","MGO; ","")&amp;IF('[1]Precios componentes'!D115="Sin precio","PAL; ","")&amp;IF('[1]Precios componentes'!D139="Sin precio","SOBREALC20; ","")&amp;IF('[1]Precios componentes'!D71="Sin precio","ETQW33; ","")&amp;IF('[1]Precios componentes'!D21="Sin precio","B20L; ","")&amp;IF('[1]Precios componentes'!D49="Sin precio","CWH; ","")</f>
        <v/>
      </c>
    </row>
    <row r="438" spans="1:12" ht="22" customHeight="1">
      <c r="A438" s="1" t="s">
        <v>470</v>
      </c>
      <c r="B438" s="1" t="s">
        <v>14</v>
      </c>
      <c r="C438" s="1" t="s">
        <v>79</v>
      </c>
      <c r="D438" s="4">
        <f>IF(COUNTIFS([1]Desglose_BOM_Componentes!$B$5025:$B$5038,$A438,[1]Desglose_BOM_Componentes!$AE$5025:$AE$5038,"Sin precio",[1]Desglose_BOM_Componentes!$X$5025:$X$5038,"Formulación")&gt;0,"n.d.",SUMIFS([1]Desglose_BOM_Componentes!$AC$5025:$AC$5038,[1]Desglose_BOM_Componentes!$B$5025:$B$5038,$A438,[1]Desglose_BOM_Componentes!$X$5025:$X$5038,"Formulación"))</f>
        <v>0.27140617857142857</v>
      </c>
      <c r="E438" s="4">
        <f>IF(COUNTIFS([1]Desglose_BOM_Componentes!$B$5025:$B$5038,$A438,[1]Desglose_BOM_Componentes!$AE$5025:$AE$5038,"Sin precio",[1]Desglose_BOM_Componentes!$X$5025:$X$5038,"Empaquetado")&gt;0,"n.d.",SUMIFS([1]Desglose_BOM_Componentes!$AC$5025:$AC$5038,[1]Desglose_BOM_Componentes!$B$5025:$B$5038,$A438,[1]Desglose_BOM_Componentes!$X$5025:$X$5038,"Empaquetado"))</f>
        <v>0.19506312277667984</v>
      </c>
      <c r="F438" s="6">
        <f t="shared" si="39"/>
        <v>0.47066930134810836</v>
      </c>
      <c r="G438" s="4">
        <f>IF(COUNTIFS([1]Desglose_BOM_Componentes!$B$5025:$B$5038,$A438,[1]Desglose_BOM_Componentes!$AE$5025:$AE$5038,"Sin precio",[1]Desglose_BOM_Componentes!$X$5025:$X$5038,"Formulación")&gt;0,"n.d.",SUMIFS([1]Desglose_BOM_Componentes!$AD$5025:$AD$5038,[1]Desglose_BOM_Componentes!$B$5025:$B$5038,$A438,[1]Desglose_BOM_Componentes!$X$5025:$X$5038,"Formulación"))</f>
        <v>0.27049317857142857</v>
      </c>
      <c r="H438" s="4">
        <f>IF(COUNTIFS([1]Desglose_BOM_Componentes!$B$5025:$B$5038,$A438,[1]Desglose_BOM_Componentes!$AE$5025:$AE$5038,"Sin precio",[1]Desglose_BOM_Componentes!$X$5025:$X$5038,"Empaquetado")&gt;0,"n.d.",SUMIFS([1]Desglose_BOM_Componentes!$AD$5025:$AD$5038,[1]Desglose_BOM_Componentes!$B$5025:$B$5038,$A438,[1]Desglose_BOM_Componentes!$X$5025:$X$5038,"Empaquetado"))</f>
        <v>0.19506312277667984</v>
      </c>
      <c r="I438" s="6">
        <f t="shared" si="40"/>
        <v>0.46975630134810842</v>
      </c>
      <c r="J438" s="1" t="str">
        <f t="shared" si="36"/>
        <v>Completo</v>
      </c>
      <c r="K438" s="1">
        <f>COUNTIFS([1]Desglose_BOM_Componentes!$B$5025:$B$5038,$A438,[1]Desglose_BOM_Componentes!$AE$5025:$AE$5038,"Sin precio")</f>
        <v>0</v>
      </c>
      <c r="L438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componentes'!D107="Sin precio","MGO;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439" spans="1:12" ht="22" customHeight="1">
      <c r="A439" s="1" t="s">
        <v>471</v>
      </c>
      <c r="B439" s="1" t="s">
        <v>14</v>
      </c>
      <c r="C439" s="1" t="s">
        <v>19</v>
      </c>
      <c r="D439" s="4">
        <f>IF(COUNTIFS([1]Desglose_BOM_Componentes!$B$5039:$B$5052,$A439,[1]Desglose_BOM_Componentes!$AE$5039:$AE$5052,"Sin precio",[1]Desglose_BOM_Componentes!$X$5039:$X$5052,"Formulación")&gt;0,"n.d.",SUMIFS([1]Desglose_BOM_Componentes!$AC$5039:$AC$5052,[1]Desglose_BOM_Componentes!$B$5039:$B$5052,$A439,[1]Desglose_BOM_Componentes!$X$5039:$X$5052,"Formulación"))</f>
        <v>0.27140617857142857</v>
      </c>
      <c r="E439" s="4">
        <f>IF(COUNTIFS([1]Desglose_BOM_Componentes!$B$5039:$B$5052,$A439,[1]Desglose_BOM_Componentes!$AE$5039:$AE$5052,"Sin precio",[1]Desglose_BOM_Componentes!$X$5039:$X$5052,"Empaquetado")&gt;0,"n.d.",SUMIFS([1]Desglose_BOM_Componentes!$AC$5039:$AC$5052,[1]Desglose_BOM_Componentes!$B$5039:$B$5052,$A439,[1]Desglose_BOM_Componentes!$X$5039:$X$5052,"Empaquetado"))</f>
        <v>0.19506312277667984</v>
      </c>
      <c r="F439" s="6">
        <f t="shared" si="39"/>
        <v>0.47066930134810836</v>
      </c>
      <c r="G439" s="4">
        <f>IF(COUNTIFS([1]Desglose_BOM_Componentes!$B$5039:$B$5052,$A439,[1]Desglose_BOM_Componentes!$AE$5039:$AE$5052,"Sin precio",[1]Desglose_BOM_Componentes!$X$5039:$X$5052,"Formulación")&gt;0,"n.d.",SUMIFS([1]Desglose_BOM_Componentes!$AD$5039:$AD$5052,[1]Desglose_BOM_Componentes!$B$5039:$B$5052,$A439,[1]Desglose_BOM_Componentes!$X$5039:$X$5052,"Formulación"))</f>
        <v>0.27049317857142857</v>
      </c>
      <c r="H439" s="4">
        <f>IF(COUNTIFS([1]Desglose_BOM_Componentes!$B$5039:$B$5052,$A439,[1]Desglose_BOM_Componentes!$AE$5039:$AE$5052,"Sin precio",[1]Desglose_BOM_Componentes!$X$5039:$X$5052,"Empaquetado")&gt;0,"n.d.",SUMIFS([1]Desglose_BOM_Componentes!$AD$5039:$AD$5052,[1]Desglose_BOM_Componentes!$B$5039:$B$5052,$A439,[1]Desglose_BOM_Componentes!$X$5039:$X$5052,"Empaquetado"))</f>
        <v>0.19506312277667984</v>
      </c>
      <c r="I439" s="6">
        <f t="shared" si="40"/>
        <v>0.46975630134810842</v>
      </c>
      <c r="J439" s="1" t="str">
        <f t="shared" si="36"/>
        <v>Completo</v>
      </c>
      <c r="K439" s="1">
        <f>COUNTIFS([1]Desglose_BOM_Componentes!$B$5039:$B$5052,$A439,[1]Desglose_BOM_Componentes!$AE$5039:$AE$5052,"Sin precio")</f>
        <v>0</v>
      </c>
      <c r="L439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componentes'!D107="Sin precio","MGO;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440" spans="1:12" ht="22" customHeight="1">
      <c r="A440" s="1" t="s">
        <v>472</v>
      </c>
      <c r="B440" s="1" t="s">
        <v>14</v>
      </c>
      <c r="C440" s="1" t="s">
        <v>15</v>
      </c>
      <c r="D440" s="4">
        <f>IF(COUNTIFS([1]Desglose_BOM_Componentes!$B$5053:$B$5066,$A440,[1]Desglose_BOM_Componentes!$AE$5053:$AE$5066,"Sin precio",[1]Desglose_BOM_Componentes!$X$5053:$X$5066,"Formulación")&gt;0,"n.d.",SUMIFS([1]Desglose_BOM_Componentes!$AC$5053:$AC$5066,[1]Desglose_BOM_Componentes!$B$5053:$B$5066,$A440,[1]Desglose_BOM_Componentes!$X$5053:$X$5066,"Formulación"))</f>
        <v>0.27140617857142857</v>
      </c>
      <c r="E440" s="4">
        <f>IF(COUNTIFS([1]Desglose_BOM_Componentes!$B$5053:$B$5066,$A440,[1]Desglose_BOM_Componentes!$AE$5053:$AE$5066,"Sin precio",[1]Desglose_BOM_Componentes!$X$5053:$X$5066,"Empaquetado")&gt;0,"n.d.",SUMIFS([1]Desglose_BOM_Componentes!$AC$5053:$AC$5066,[1]Desglose_BOM_Componentes!$B$5053:$B$5066,$A440,[1]Desglose_BOM_Componentes!$X$5053:$X$5066,"Empaquetado"))</f>
        <v>0.19506312277667984</v>
      </c>
      <c r="F440" s="6">
        <f t="shared" si="39"/>
        <v>0.47066930134810836</v>
      </c>
      <c r="G440" s="4">
        <f>IF(COUNTIFS([1]Desglose_BOM_Componentes!$B$5053:$B$5066,$A440,[1]Desglose_BOM_Componentes!$AE$5053:$AE$5066,"Sin precio",[1]Desglose_BOM_Componentes!$X$5053:$X$5066,"Formulación")&gt;0,"n.d.",SUMIFS([1]Desglose_BOM_Componentes!$AD$5053:$AD$5066,[1]Desglose_BOM_Componentes!$B$5053:$B$5066,$A440,[1]Desglose_BOM_Componentes!$X$5053:$X$5066,"Formulación"))</f>
        <v>0.27049317857142857</v>
      </c>
      <c r="H440" s="4">
        <f>IF(COUNTIFS([1]Desglose_BOM_Componentes!$B$5053:$B$5066,$A440,[1]Desglose_BOM_Componentes!$AE$5053:$AE$5066,"Sin precio",[1]Desglose_BOM_Componentes!$X$5053:$X$5066,"Empaquetado")&gt;0,"n.d.",SUMIFS([1]Desglose_BOM_Componentes!$AD$5053:$AD$5066,[1]Desglose_BOM_Componentes!$B$5053:$B$5066,$A440,[1]Desglose_BOM_Componentes!$X$5053:$X$5066,"Empaquetado"))</f>
        <v>0.19506312277667984</v>
      </c>
      <c r="I440" s="6">
        <f t="shared" si="40"/>
        <v>0.46975630134810842</v>
      </c>
      <c r="J440" s="1" t="str">
        <f t="shared" si="36"/>
        <v>Completo</v>
      </c>
      <c r="K440" s="1">
        <f>COUNTIFS([1]Desglose_BOM_Componentes!$B$5053:$B$5066,$A440,[1]Desglose_BOM_Componentes!$AE$5053:$AE$5066,"Sin precio")</f>
        <v>0</v>
      </c>
      <c r="L440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componentes'!D107="Sin precio","MGO; ","")&amp;IF('[1]Precios componentes'!D138="Sin precio","SOBREALC; ","")&amp;IF('[1]Precios componentes'!D115="Sin precio","PAL; ","")&amp;IF('[1]Precios componentes'!D94="Sin precio","KIA220; ","")&amp;IF('[1]Precios componentes'!D22="Sin precio","B5ALC; ","")&amp;IF('[1]Precios componentes'!D49="Sin precio","CWH; ","")</f>
        <v/>
      </c>
    </row>
    <row r="441" spans="1:12" ht="22" customHeight="1">
      <c r="A441" s="1" t="s">
        <v>473</v>
      </c>
      <c r="B441" s="1" t="s">
        <v>14</v>
      </c>
      <c r="C441" s="1" t="s">
        <v>24</v>
      </c>
      <c r="D441" s="4">
        <f>IF(COUNTIFS([1]Desglose_BOM_Componentes!$B$5067:$B$5079,$A441,[1]Desglose_BOM_Componentes!$AE$5067:$AE$5079,"Sin precio",[1]Desglose_BOM_Componentes!$X$5067:$X$5079,"Formulación")&gt;0,"n.d.",SUMIFS([1]Desglose_BOM_Componentes!$AC$5067:$AC$5079,[1]Desglose_BOM_Componentes!$B$5067:$B$5079,$A441,[1]Desglose_BOM_Componentes!$X$5067:$X$5079,"Formulación"))</f>
        <v>0.27140617857142857</v>
      </c>
      <c r="E441" s="4">
        <f>IF(COUNTIFS([1]Desglose_BOM_Componentes!$B$5067:$B$5079,$A441,[1]Desglose_BOM_Componentes!$AE$5067:$AE$5079,"Sin precio",[1]Desglose_BOM_Componentes!$X$5067:$X$5079,"Empaquetado")&gt;0,"n.d.",SUMIFS([1]Desglose_BOM_Componentes!$AC$5067:$AC$5079,[1]Desglose_BOM_Componentes!$B$5067:$B$5079,$A441,[1]Desglose_BOM_Componentes!$X$5067:$X$5079,"Empaquetado"))</f>
        <v>0.10269135820158104</v>
      </c>
      <c r="F441" s="6">
        <f t="shared" si="39"/>
        <v>0.37829753677300959</v>
      </c>
      <c r="G441" s="4">
        <f>IF(COUNTIFS([1]Desglose_BOM_Componentes!$B$5067:$B$5079,$A441,[1]Desglose_BOM_Componentes!$AE$5067:$AE$5079,"Sin precio",[1]Desglose_BOM_Componentes!$X$5067:$X$5079,"Formulación")&gt;0,"n.d.",SUMIFS([1]Desglose_BOM_Componentes!$AD$5067:$AD$5079,[1]Desglose_BOM_Componentes!$B$5067:$B$5079,$A441,[1]Desglose_BOM_Componentes!$X$5067:$X$5079,"Formulación"))</f>
        <v>0.27049317857142857</v>
      </c>
      <c r="H441" s="4">
        <f>IF(COUNTIFS([1]Desglose_BOM_Componentes!$B$5067:$B$5079,$A441,[1]Desglose_BOM_Componentes!$AE$5067:$AE$5079,"Sin precio",[1]Desglose_BOM_Componentes!$X$5067:$X$5079,"Empaquetado")&gt;0,"n.d.",SUMIFS([1]Desglose_BOM_Componentes!$AD$5067:$AD$5079,[1]Desglose_BOM_Componentes!$B$5067:$B$5079,$A441,[1]Desglose_BOM_Componentes!$X$5067:$X$5079,"Empaquetado"))</f>
        <v>0.10269135820158104</v>
      </c>
      <c r="I441" s="6">
        <f t="shared" si="40"/>
        <v>0.37738453677300959</v>
      </c>
      <c r="J441" s="1" t="str">
        <f t="shared" si="36"/>
        <v>Completo</v>
      </c>
      <c r="K441" s="1">
        <f>COUNTIFS([1]Desglose_BOM_Componentes!$B$5067:$B$5079,$A441,[1]Desglose_BOM_Componentes!$AE$5067:$AE$5079,"Sin precio")</f>
        <v>0</v>
      </c>
      <c r="L441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componentes'!D107="Sin precio","MGO; ","")&amp;IF('[1]Precios componentes'!D139="Sin precio","SOBREALC20; ","")&amp;IF('[1]Precios componentes'!D115="Sin precio","PAL; ","")&amp;IF('[1]Precios componentes'!D94="Sin precio","KIA220; ","")&amp;IF('[1]Precios componentes'!D21="Sin precio","B20L; ","")&amp;IF('[1]Precios componentes'!D49="Sin precio","CWH; ","")</f>
        <v/>
      </c>
    </row>
    <row r="442" spans="1:12" ht="22" customHeight="1">
      <c r="A442" s="1" t="s">
        <v>474</v>
      </c>
      <c r="B442" s="1" t="s">
        <v>14</v>
      </c>
      <c r="C442" s="1" t="s">
        <v>79</v>
      </c>
      <c r="D442" s="4">
        <f>IF(COUNTIFS([1]Desglose_BOM_Componentes!$B$5080:$B$5092,$A442,[1]Desglose_BOM_Componentes!$AE$5080:$AE$5092,"Sin precio",[1]Desglose_BOM_Componentes!$X$5080:$X$5092,"Formulación")&gt;0,"n.d.",SUMIFS([1]Desglose_BOM_Componentes!$AC$5080:$AC$5092,[1]Desglose_BOM_Componentes!$B$5080:$B$5092,$A442,[1]Desglose_BOM_Componentes!$X$5080:$X$5092,"Formulación"))</f>
        <v>0.27140617857142857</v>
      </c>
      <c r="E442" s="4">
        <f>IF(COUNTIFS([1]Desglose_BOM_Componentes!$B$5080:$B$5092,$A442,[1]Desglose_BOM_Componentes!$AE$5080:$AE$5092,"Sin precio",[1]Desglose_BOM_Componentes!$X$5080:$X$5092,"Empaquetado")&gt;0,"n.d.",SUMIFS([1]Desglose_BOM_Componentes!$AC$5080:$AC$5092,[1]Desglose_BOM_Componentes!$B$5080:$B$5092,$A442,[1]Desglose_BOM_Componentes!$X$5080:$X$5092,"Empaquetado"))</f>
        <v>0.10269135820158104</v>
      </c>
      <c r="F442" s="6">
        <f t="shared" si="39"/>
        <v>0.37829753677300959</v>
      </c>
      <c r="G442" s="4">
        <f>IF(COUNTIFS([1]Desglose_BOM_Componentes!$B$5080:$B$5092,$A442,[1]Desglose_BOM_Componentes!$AE$5080:$AE$5092,"Sin precio",[1]Desglose_BOM_Componentes!$X$5080:$X$5092,"Formulación")&gt;0,"n.d.",SUMIFS([1]Desglose_BOM_Componentes!$AD$5080:$AD$5092,[1]Desglose_BOM_Componentes!$B$5080:$B$5092,$A442,[1]Desglose_BOM_Componentes!$X$5080:$X$5092,"Formulación"))</f>
        <v>0.27049317857142857</v>
      </c>
      <c r="H442" s="4">
        <f>IF(COUNTIFS([1]Desglose_BOM_Componentes!$B$5080:$B$5092,$A442,[1]Desglose_BOM_Componentes!$AE$5080:$AE$5092,"Sin precio",[1]Desglose_BOM_Componentes!$X$5080:$X$5092,"Empaquetado")&gt;0,"n.d.",SUMIFS([1]Desglose_BOM_Componentes!$AD$5080:$AD$5092,[1]Desglose_BOM_Componentes!$B$5080:$B$5092,$A442,[1]Desglose_BOM_Componentes!$X$5080:$X$5092,"Empaquetado"))</f>
        <v>0.10269135820158104</v>
      </c>
      <c r="I442" s="6">
        <f t="shared" si="40"/>
        <v>0.37738453677300959</v>
      </c>
      <c r="J442" s="1" t="str">
        <f t="shared" si="36"/>
        <v>Completo</v>
      </c>
      <c r="K442" s="1">
        <f>COUNTIFS([1]Desglose_BOM_Componentes!$B$5080:$B$5092,$A442,[1]Desglose_BOM_Componentes!$AE$5080:$AE$5092,"Sin precio")</f>
        <v>0</v>
      </c>
      <c r="L442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componentes'!D107="Sin precio","MGO; ","")&amp;IF('[1]Precios componentes'!D139="Sin precio","SOBREALC20; ","")&amp;IF('[1]Precios componentes'!D115="Sin precio","PAL; ","")&amp;IF('[1]Precios componentes'!D94="Sin precio","KIA220; ","")&amp;IF('[1]Precios componentes'!D21="Sin precio","B20L; ","")&amp;IF('[1]Precios componentes'!D49="Sin precio","CWH; ","")</f>
        <v/>
      </c>
    </row>
    <row r="443" spans="1:12" ht="22" customHeight="1">
      <c r="A443" s="1" t="s">
        <v>475</v>
      </c>
      <c r="B443" s="1" t="s">
        <v>14</v>
      </c>
      <c r="C443" s="1" t="s">
        <v>26</v>
      </c>
      <c r="D443" s="4">
        <f>IF(COUNTIFS([1]Desglose_BOM_Componentes!$B$5093:$B$5105,$A443,[1]Desglose_BOM_Componentes!$AE$5093:$AE$5105,"Sin precio",[1]Desglose_BOM_Componentes!$X$5093:$X$5105,"Formulación")&gt;0,"n.d.",SUMIFS([1]Desglose_BOM_Componentes!$AC$5093:$AC$5105,[1]Desglose_BOM_Componentes!$B$5093:$B$5105,$A443,[1]Desglose_BOM_Componentes!$X$5093:$X$5105,"Formulación"))</f>
        <v>0.27140617857142857</v>
      </c>
      <c r="E443" s="4">
        <f>IF(COUNTIFS([1]Desglose_BOM_Componentes!$B$5093:$B$5105,$A443,[1]Desglose_BOM_Componentes!$AE$5093:$AE$5105,"Sin precio",[1]Desglose_BOM_Componentes!$X$5093:$X$5105,"Empaquetado")&gt;0,"n.d.",SUMIFS([1]Desglose_BOM_Componentes!$AC$5093:$AC$5105,[1]Desglose_BOM_Componentes!$B$5093:$B$5105,$A443,[1]Desglose_BOM_Componentes!$X$5093:$X$5105,"Empaquetado"))</f>
        <v>0.10269135820158104</v>
      </c>
      <c r="F443" s="6">
        <f t="shared" si="39"/>
        <v>0.37829753677300959</v>
      </c>
      <c r="G443" s="4">
        <f>IF(COUNTIFS([1]Desglose_BOM_Componentes!$B$5093:$B$5105,$A443,[1]Desglose_BOM_Componentes!$AE$5093:$AE$5105,"Sin precio",[1]Desglose_BOM_Componentes!$X$5093:$X$5105,"Formulación")&gt;0,"n.d.",SUMIFS([1]Desglose_BOM_Componentes!$AD$5093:$AD$5105,[1]Desglose_BOM_Componentes!$B$5093:$B$5105,$A443,[1]Desglose_BOM_Componentes!$X$5093:$X$5105,"Formulación"))</f>
        <v>0.27049317857142857</v>
      </c>
      <c r="H443" s="4">
        <f>IF(COUNTIFS([1]Desglose_BOM_Componentes!$B$5093:$B$5105,$A443,[1]Desglose_BOM_Componentes!$AE$5093:$AE$5105,"Sin precio",[1]Desglose_BOM_Componentes!$X$5093:$X$5105,"Empaquetado")&gt;0,"n.d.",SUMIFS([1]Desglose_BOM_Componentes!$AD$5093:$AD$5105,[1]Desglose_BOM_Componentes!$B$5093:$B$5105,$A443,[1]Desglose_BOM_Componentes!$X$5093:$X$5105,"Empaquetado"))</f>
        <v>0.10269135820158104</v>
      </c>
      <c r="I443" s="6">
        <f t="shared" si="40"/>
        <v>0.37738453677300959</v>
      </c>
      <c r="J443" s="1" t="str">
        <f t="shared" si="36"/>
        <v>Completo</v>
      </c>
      <c r="K443" s="1">
        <f>COUNTIFS([1]Desglose_BOM_Componentes!$B$5093:$B$5105,$A443,[1]Desglose_BOM_Componentes!$AE$5093:$AE$5105,"Sin precio")</f>
        <v>0</v>
      </c>
      <c r="L443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componentes'!D107="Sin precio","MGO; ","")&amp;IF('[1]Precios componentes'!D139="Sin precio","SOBREALC20; ","")&amp;IF('[1]Precios componentes'!D115="Sin precio","PAL; ","")&amp;IF('[1]Precios componentes'!D94="Sin precio","KIA220; ","")&amp;IF('[1]Precios componentes'!D21="Sin precio","B20L; ","")&amp;IF('[1]Precios componentes'!D49="Sin precio","CWH; ","")</f>
        <v/>
      </c>
    </row>
    <row r="444" spans="1:12" ht="22" customHeight="1">
      <c r="A444" s="1" t="s">
        <v>476</v>
      </c>
      <c r="B444" s="1" t="s">
        <v>14</v>
      </c>
      <c r="C444" s="1" t="s">
        <v>19</v>
      </c>
      <c r="D444" s="4">
        <f>IF(COUNTIFS([1]Desglose_BOM_Componentes!$B$5106:$B$5118,$A444,[1]Desglose_BOM_Componentes!$AE$5106:$AE$5118,"Sin precio",[1]Desglose_BOM_Componentes!$X$5106:$X$5118,"Formulación")&gt;0,"n.d.",SUMIFS([1]Desglose_BOM_Componentes!$AC$5106:$AC$5118,[1]Desglose_BOM_Componentes!$B$5106:$B$5118,$A444,[1]Desglose_BOM_Componentes!$X$5106:$X$5118,"Formulación"))</f>
        <v>0.27140617857142857</v>
      </c>
      <c r="E444" s="4">
        <f>IF(COUNTIFS([1]Desglose_BOM_Componentes!$B$5106:$B$5118,$A444,[1]Desglose_BOM_Componentes!$AE$5106:$AE$5118,"Sin precio",[1]Desglose_BOM_Componentes!$X$5106:$X$5118,"Empaquetado")&gt;0,"n.d.",SUMIFS([1]Desglose_BOM_Componentes!$AC$5106:$AC$5118,[1]Desglose_BOM_Componentes!$B$5106:$B$5118,$A444,[1]Desglose_BOM_Componentes!$X$5106:$X$5118,"Empaquetado"))</f>
        <v>0.10269135820158104</v>
      </c>
      <c r="F444" s="6">
        <f t="shared" si="39"/>
        <v>0.37829753677300959</v>
      </c>
      <c r="G444" s="4">
        <f>IF(COUNTIFS([1]Desglose_BOM_Componentes!$B$5106:$B$5118,$A444,[1]Desglose_BOM_Componentes!$AE$5106:$AE$5118,"Sin precio",[1]Desglose_BOM_Componentes!$X$5106:$X$5118,"Formulación")&gt;0,"n.d.",SUMIFS([1]Desglose_BOM_Componentes!$AD$5106:$AD$5118,[1]Desglose_BOM_Componentes!$B$5106:$B$5118,$A444,[1]Desglose_BOM_Componentes!$X$5106:$X$5118,"Formulación"))</f>
        <v>0.27049317857142857</v>
      </c>
      <c r="H444" s="4">
        <f>IF(COUNTIFS([1]Desglose_BOM_Componentes!$B$5106:$B$5118,$A444,[1]Desglose_BOM_Componentes!$AE$5106:$AE$5118,"Sin precio",[1]Desglose_BOM_Componentes!$X$5106:$X$5118,"Empaquetado")&gt;0,"n.d.",SUMIFS([1]Desglose_BOM_Componentes!$AD$5106:$AD$5118,[1]Desglose_BOM_Componentes!$B$5106:$B$5118,$A444,[1]Desglose_BOM_Componentes!$X$5106:$X$5118,"Empaquetado"))</f>
        <v>0.10269135820158104</v>
      </c>
      <c r="I444" s="6">
        <f t="shared" si="40"/>
        <v>0.37738453677300959</v>
      </c>
      <c r="J444" s="1" t="str">
        <f t="shared" si="36"/>
        <v>Completo</v>
      </c>
      <c r="K444" s="1">
        <f>COUNTIFS([1]Desglose_BOM_Componentes!$B$5106:$B$5118,$A444,[1]Desglose_BOM_Componentes!$AE$5106:$AE$5118,"Sin precio")</f>
        <v>0</v>
      </c>
      <c r="L444" s="1" t="str">
        <f>IF('[1]Precios componentes'!D15="Sin precio","AR; ","")&amp;IF('[1]Precios componentes'!D11="Sin precio","AGUA; ","")&amp;IF('[1]Precios componentes'!D52="Sin precio","DECL; ","")&amp;IF('[1]Precios componentes'!D117="Sin precio","POI; ","")&amp;IF('[1]Precios componentes'!D143="Sin precio","TIB; ","")&amp;IF('[1]Precios componentes'!D85="Sin precio","HCA; ","")&amp;IF('[1]Precios componentes'!D107="Sin precio","MGO; ","")&amp;IF('[1]Precios componentes'!D139="Sin precio","SOBREALC20; ","")&amp;IF('[1]Precios componentes'!D115="Sin precio","PAL; ","")&amp;IF('[1]Precios componentes'!D94="Sin precio","KIA220; ","")&amp;IF('[1]Precios componentes'!D21="Sin precio","B20L; ","")&amp;IF('[1]Precios componentes'!D49="Sin precio","CWH; ","")</f>
        <v/>
      </c>
    </row>
  </sheetData>
  <conditionalFormatting sqref="J5:K444">
    <cfRule type="expression" dxfId="0" priority="1">
      <formula>$K5&gt;0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Costes 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2026-10-07T12:08:59Z</dcterms:created>
  <dcterms:modified xsi:type="dcterms:W3CDTF">2026-10-07T12:10:39Z</dcterms:modified>
</cp:coreProperties>
</file>