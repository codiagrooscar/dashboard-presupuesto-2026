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Budget Septiembre (Unidades) vs Pedidos Reales a Fecha 22/09/2026 | Generado: 23/09/2026 12:32</t>
        </is>
      </c>
    </row>
    <row r="5" ht="18" customHeight="1">
      <c r="B5" s="3" t="inlineStr">
        <is>
          <t>BUDGET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170,801 u</t>
        </is>
      </c>
      <c r="E6" s="4" t="n"/>
      <c r="F6" s="9" t="inlineStr">
        <is>
          <t>99.0%</t>
        </is>
      </c>
      <c r="G6" s="4" t="n"/>
      <c r="H6" s="10" t="inlineStr">
        <is>
          <t>34,884 u</t>
        </is>
      </c>
      <c r="I6" s="4" t="n"/>
      <c r="J6" s="7" t="inlineStr">
        <is>
          <t>90,844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Budget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10</v>
      </c>
      <c r="D10" s="15" t="n">
        <v>2199.351043172263</v>
      </c>
      <c r="E10" s="15" t="n">
        <v>10110</v>
      </c>
      <c r="F10" s="15" t="n">
        <v>10110</v>
      </c>
      <c r="G10" s="15" t="n">
        <v>0</v>
      </c>
      <c r="H10" s="15">
        <f>MAX(0, D10-E10)</f>
        <v/>
      </c>
      <c r="I10" s="15">
        <f>E10-D10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5</v>
      </c>
      <c r="D11" s="19" t="n">
        <v>35864.58994193666</v>
      </c>
      <c r="E11" s="19" t="n">
        <v>51772</v>
      </c>
      <c r="F11" s="19" t="n">
        <v>2556</v>
      </c>
      <c r="G11" s="19" t="n">
        <v>49216</v>
      </c>
      <c r="H11" s="19">
        <f>MAX(0, D11-E11)</f>
        <v/>
      </c>
      <c r="I11" s="19">
        <f>E11-D11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3</v>
      </c>
      <c r="D12" s="15" t="n">
        <v>20774.3873965849</v>
      </c>
      <c r="E12" s="15" t="n">
        <v>12806</v>
      </c>
      <c r="F12" s="15" t="n">
        <v>12806</v>
      </c>
      <c r="G12" s="15" t="n">
        <v>0</v>
      </c>
      <c r="H12" s="15">
        <f>MAX(0, D12-E12)</f>
        <v/>
      </c>
      <c r="I12" s="15">
        <f>E12-D12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8</v>
      </c>
      <c r="D13" s="19" t="n">
        <v>16210.73398200246</v>
      </c>
      <c r="E13" s="19" t="n">
        <v>25575</v>
      </c>
      <c r="F13" s="19" t="n">
        <v>25575</v>
      </c>
      <c r="G13" s="19" t="n">
        <v>0</v>
      </c>
      <c r="H13" s="19">
        <f>MAX(0, D13-E13)</f>
        <v/>
      </c>
      <c r="I13" s="19">
        <f>E13-D13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1</v>
      </c>
      <c r="D14" s="15" t="n">
        <v>37407.92765671444</v>
      </c>
      <c r="E14" s="15" t="n">
        <v>32828</v>
      </c>
      <c r="F14" s="15" t="n">
        <v>0</v>
      </c>
      <c r="G14" s="15" t="n">
        <v>32828</v>
      </c>
      <c r="H14" s="15">
        <f>MAX(0, D14-E14)</f>
        <v/>
      </c>
      <c r="I14" s="15">
        <f>E14-D14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16438.25305543407</v>
      </c>
      <c r="E15" s="19" t="n">
        <v>5860</v>
      </c>
      <c r="F15" s="19" t="n">
        <v>5860</v>
      </c>
      <c r="G15" s="19" t="n">
        <v>0</v>
      </c>
      <c r="H15" s="19">
        <f>MAX(0, D15-E15)</f>
        <v/>
      </c>
      <c r="I15" s="19">
        <f>E15-D15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3</v>
      </c>
      <c r="D16" s="15" t="n">
        <v>43607.8224077259</v>
      </c>
      <c r="E16" s="15" t="n">
        <v>31850</v>
      </c>
      <c r="F16" s="15" t="n">
        <v>23050</v>
      </c>
      <c r="G16" s="15" t="n">
        <v>8800</v>
      </c>
      <c r="H16" s="15">
        <f>MAX(0, D16-E16)</f>
        <v/>
      </c>
      <c r="I16" s="15">
        <f>E16-D16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2,199 u</t>
        </is>
      </c>
      <c r="C6" s="4" t="n"/>
      <c r="D6" s="26" t="inlineStr">
        <is>
          <t>10,110 u</t>
        </is>
      </c>
      <c r="E6" s="4" t="n"/>
      <c r="F6" s="26" t="inlineStr">
        <is>
          <t>459.7%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910.0762937264537</v>
      </c>
      <c r="F10" s="15" t="n">
        <v>1280</v>
      </c>
      <c r="G10" s="15" t="n">
        <v>1280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910.0762937264537</v>
      </c>
      <c r="F11" s="19" t="n">
        <v>1920</v>
      </c>
      <c r="G11" s="19" t="n">
        <v>1920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Superado</t>
        </is>
      </c>
    </row>
    <row r="12">
      <c r="B12" s="28" t="inlineStr">
        <is>
          <t>AGROTÉCNICA DEL NORTE, S.L</t>
        </is>
      </c>
      <c r="C12" s="29" t="inlineStr">
        <is>
          <t>A-50(2)0005</t>
        </is>
      </c>
      <c r="D12" s="28" t="inlineStr">
        <is>
          <t>CODIORGAN-A50, 5 KG</t>
        </is>
      </c>
      <c r="E12" s="15" t="n">
        <v>0</v>
      </c>
      <c r="F12" s="15" t="n">
        <v>300</v>
      </c>
      <c r="G12" s="15" t="n">
        <v>300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AGROTÉCNICA DEL NORTE, S.L</t>
        </is>
      </c>
      <c r="C13" s="32" t="inlineStr">
        <is>
          <t>AGRMG0005</t>
        </is>
      </c>
      <c r="D13" s="31" t="inlineStr">
        <is>
          <t>AGROXIGREEN-MG, 5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AGROVEYCA,S.L</t>
        </is>
      </c>
      <c r="C14" s="29" t="inlineStr">
        <is>
          <t>A-50(2)0005</t>
        </is>
      </c>
      <c r="D14" s="28" t="inlineStr">
        <is>
          <t>CODIORGAN-A50, 5 KG</t>
        </is>
      </c>
      <c r="E14" s="15" t="n">
        <v>0</v>
      </c>
      <c r="F14" s="15" t="n">
        <v>400</v>
      </c>
      <c r="G14" s="15" t="n">
        <v>400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AGROVEYCA,S.L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379.1984557193557</v>
      </c>
      <c r="F15" s="19" t="n">
        <v>320</v>
      </c>
      <c r="G15" s="19" t="n">
        <v>320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3" t="inlineStr">
        <is>
          <t>En Curso</t>
        </is>
      </c>
    </row>
    <row r="16">
      <c r="B16" s="28" t="inlineStr">
        <is>
          <t>ASOC. HORTICULTORES DE VILLA DEL PRADO</t>
        </is>
      </c>
      <c r="C16" s="29" t="inlineStr">
        <is>
          <t>A-50(2)0005</t>
        </is>
      </c>
      <c r="D16" s="28" t="inlineStr">
        <is>
          <t>CODIORGAN A-50, 5 KG</t>
        </is>
      </c>
      <c r="E16" s="15" t="n">
        <v>0</v>
      </c>
      <c r="F16" s="15" t="n">
        <v>50</v>
      </c>
      <c r="G16" s="15" t="n">
        <v>50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ASOC. HORTICULTORES DE VILLA DEL PRADO</t>
        </is>
      </c>
      <c r="C17" s="32" t="inlineStr">
        <is>
          <t>AVAN0005</t>
        </is>
      </c>
      <c r="D17" s="31" t="inlineStr">
        <is>
          <t>FLORAMEC AVANCE, 5 L</t>
        </is>
      </c>
      <c r="E17" s="19" t="n">
        <v>0</v>
      </c>
      <c r="F17" s="19" t="n">
        <v>100</v>
      </c>
      <c r="G17" s="19" t="n">
        <v>100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ASOC. HORTICULTORES DE VILLA DEL PRADO</t>
        </is>
      </c>
      <c r="C18" s="29" t="inlineStr">
        <is>
          <t>C-CU0005</t>
        </is>
      </c>
      <c r="D18" s="28" t="inlineStr">
        <is>
          <t>CODICOBRE, 5 L</t>
        </is>
      </c>
      <c r="E18" s="15" t="n">
        <v>0</v>
      </c>
      <c r="F18" s="15" t="n">
        <v>20</v>
      </c>
      <c r="G18" s="15" t="n">
        <v>20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ASOC. HORTICULTORES DE VILLA DEL PRADO</t>
        </is>
      </c>
      <c r="C19" s="32" t="inlineStr">
        <is>
          <t>S0020</t>
        </is>
      </c>
      <c r="D19" s="31" t="inlineStr">
        <is>
          <t>SALWAX STAR, 20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BARDENAS COMERCIAL, S.L.</t>
        </is>
      </c>
      <c r="C20" s="29" t="inlineStr">
        <is>
          <t>AGRMG0005</t>
        </is>
      </c>
      <c r="D20" s="28" t="inlineStr">
        <is>
          <t>AGROXIGREEN-MG, 5 L</t>
        </is>
      </c>
      <c r="E20" s="15" t="n">
        <v>0</v>
      </c>
      <c r="F20" s="15" t="n">
        <v>300</v>
      </c>
      <c r="G20" s="15" t="n">
        <v>300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BARDENAS COMERCIAL,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300</v>
      </c>
      <c r="G21" s="19" t="n">
        <v>300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COMERCIAL NORTE AGROCAMPO, S.L.</t>
        </is>
      </c>
      <c r="C22" s="29" t="inlineStr">
        <is>
          <t>A-50(2)0020</t>
        </is>
      </c>
      <c r="D22" s="28" t="inlineStr">
        <is>
          <t>CODIORGAN-A50, 20 KG</t>
        </is>
      </c>
      <c r="E22" s="15" t="n">
        <v>0</v>
      </c>
      <c r="F22" s="15" t="n">
        <v>40</v>
      </c>
      <c r="G22" s="15" t="n">
        <v>40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>COMERCIAL NORTE AGROCAMPO, S.L.</t>
        </is>
      </c>
      <c r="C23" s="32" t="inlineStr">
        <is>
          <t>AN0005</t>
        </is>
      </c>
      <c r="D23" s="31" t="inlineStr">
        <is>
          <t>ALCAPLANT NEW, 5 KG</t>
        </is>
      </c>
      <c r="E23" s="19" t="n">
        <v>0</v>
      </c>
      <c r="F23" s="19" t="n">
        <v>20</v>
      </c>
      <c r="G23" s="19" t="n">
        <v>20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COMERCIAL NORTE AGROCAMPO, S.L.</t>
        </is>
      </c>
      <c r="C24" s="29" t="inlineStr">
        <is>
          <t>BR-590005</t>
        </is>
      </c>
      <c r="D24" s="28" t="inlineStr">
        <is>
          <t>BR-59, 5 KG</t>
        </is>
      </c>
      <c r="E24" s="15" t="n">
        <v>0</v>
      </c>
      <c r="F24" s="15" t="n">
        <v>60</v>
      </c>
      <c r="G24" s="15" t="n">
        <v>60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COMERCIAL NORTE AGROCAMPO, S.L.</t>
        </is>
      </c>
      <c r="C25" s="32" t="inlineStr">
        <is>
          <t>BROTA0020</t>
        </is>
      </c>
      <c r="D25" s="31" t="inlineStr">
        <is>
          <t>BROTAMEC, 20 L</t>
        </is>
      </c>
      <c r="E25" s="19" t="n">
        <v>0</v>
      </c>
      <c r="F25" s="19" t="n">
        <v>20</v>
      </c>
      <c r="G25" s="19" t="n">
        <v>20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COMERCIAL NORTE AGROCAMPO, S.L.</t>
        </is>
      </c>
      <c r="C26" s="29" t="inlineStr">
        <is>
          <t>C-CU0005</t>
        </is>
      </c>
      <c r="D26" s="28" t="inlineStr">
        <is>
          <t>CODICOBRE, 5 L</t>
        </is>
      </c>
      <c r="E26" s="15" t="n">
        <v>0</v>
      </c>
      <c r="F26" s="15" t="n">
        <v>20</v>
      </c>
      <c r="G26" s="15" t="n">
        <v>20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COMERCIAL NORTE AGROCAMPO, S.L.</t>
        </is>
      </c>
      <c r="C27" s="32" t="inlineStr">
        <is>
          <t>PT0020</t>
        </is>
      </c>
      <c r="D27" s="31" t="inlineStr">
        <is>
          <t>AGROPOTASION, 20 L</t>
        </is>
      </c>
      <c r="E27" s="19" t="n">
        <v>0</v>
      </c>
      <c r="F27" s="19" t="n">
        <v>20</v>
      </c>
      <c r="G27" s="19" t="n">
        <v>20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COMERCIAL NORTE AGROCAMPO, S.L.</t>
        </is>
      </c>
      <c r="C28" s="29" t="inlineStr">
        <is>
          <t>S0020</t>
        </is>
      </c>
      <c r="D28" s="28" t="inlineStr">
        <is>
          <t>SALWAX STAR, 20 L</t>
        </is>
      </c>
      <c r="E28" s="15" t="n">
        <v>0</v>
      </c>
      <c r="F28" s="15" t="n">
        <v>40</v>
      </c>
      <c r="G28" s="15" t="n">
        <v>40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MAJ AGROQUIMICOS S.L.</t>
        </is>
      </c>
      <c r="C29" s="32" t="inlineStr">
        <is>
          <t>CPLUS0005</t>
        </is>
      </c>
      <c r="D29" s="31" t="inlineStr">
        <is>
          <t>CALCIPLUS,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SAFIAGRO, S.A.</t>
        </is>
      </c>
      <c r="C30" s="29" t="inlineStr">
        <is>
          <t>AGXK0020</t>
        </is>
      </c>
      <c r="D30" s="28" t="inlineStr">
        <is>
          <t>AGROXILATO-K, 20 L</t>
        </is>
      </c>
      <c r="E30" s="15" t="n">
        <v>0</v>
      </c>
      <c r="F30" s="15" t="n">
        <v>640</v>
      </c>
      <c r="G30" s="15" t="n">
        <v>640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T.J AGRICULTURA S.L.</t>
        </is>
      </c>
      <c r="C31" s="32" t="inlineStr">
        <is>
          <t>AN0020</t>
        </is>
      </c>
      <c r="D31" s="31" t="inlineStr">
        <is>
          <t>ALCAPLANT NEW, 20 KG</t>
        </is>
      </c>
      <c r="E31" s="19" t="n">
        <v>0</v>
      </c>
      <c r="F31" s="19" t="n">
        <v>600</v>
      </c>
      <c r="G31" s="19" t="n">
        <v>600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T.J AGRICULTURA S.L.</t>
        </is>
      </c>
      <c r="C32" s="29" t="inlineStr">
        <is>
          <t>SS0020</t>
        </is>
      </c>
      <c r="D32" s="28" t="inlineStr">
        <is>
          <t>SALWAX-CA, 20 KG</t>
        </is>
      </c>
      <c r="E32" s="15" t="n">
        <v>0</v>
      </c>
      <c r="F32" s="15" t="n">
        <v>500</v>
      </c>
      <c r="G32" s="15" t="n">
        <v>500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VILLALTA SATIVUM,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0</v>
      </c>
      <c r="F33" s="19" t="n">
        <v>2800</v>
      </c>
      <c r="G33" s="19" t="n">
        <v>2800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 ht="24" customHeight="1">
      <c r="B34" s="21" t="inlineStr">
        <is>
          <t>TOTAL ALFONSO</t>
        </is>
      </c>
      <c r="C34" s="34" t="inlineStr">
        <is>
          <t>279 líneas</t>
        </is>
      </c>
      <c r="D34" s="35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35,865 u</t>
        </is>
      </c>
      <c r="C6" s="4" t="n"/>
      <c r="D6" s="26" t="inlineStr">
        <is>
          <t>51,772 u</t>
        </is>
      </c>
      <c r="E6" s="4" t="n"/>
      <c r="F6" s="26" t="inlineStr">
        <is>
          <t>144.4%</t>
        </is>
      </c>
      <c r="G6" s="4" t="n"/>
      <c r="H6" s="26" t="inlineStr">
        <is>
          <t>0 u</t>
        </is>
      </c>
      <c r="I6" s="4" t="n"/>
      <c r="J6" s="25" t="inlineStr">
        <is>
          <t>49,216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663.5972975088725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1895.992278596779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284.3988417895168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AGZNP0005</t>
        </is>
      </c>
      <c r="D13" s="31" t="inlineStr">
        <is>
          <t>AGROXILATO-ZN PLUS, 5 KG</t>
        </is>
      </c>
      <c r="E13" s="19" t="n">
        <v>0</v>
      </c>
      <c r="F13" s="19" t="n">
        <v>100</v>
      </c>
      <c r="G13" s="19" t="n">
        <v>100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AGRONEW FITO, S.L.</t>
        </is>
      </c>
      <c r="C14" s="29" t="inlineStr">
        <is>
          <t>ANAE0020</t>
        </is>
      </c>
      <c r="D14" s="28" t="inlineStr">
        <is>
          <t>ALCAPLANT NEW AE, 20 KG</t>
        </is>
      </c>
      <c r="E14" s="15" t="n">
        <v>2085.591506456457</v>
      </c>
      <c r="F14" s="15" t="n">
        <v>1100</v>
      </c>
      <c r="G14" s="15" t="n">
        <v>1100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AGRONEW FITO,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1820.152587452907</v>
      </c>
      <c r="F15" s="19" t="n">
        <v>640</v>
      </c>
      <c r="G15" s="19" t="n">
        <v>640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7" t="inlineStr">
        <is>
          <t>Rezagado</t>
        </is>
      </c>
    </row>
    <row r="16">
      <c r="B16" s="28" t="inlineStr">
        <is>
          <t>AGRONEW FITO, S.L.</t>
        </is>
      </c>
      <c r="C16" s="29" t="inlineStr">
        <is>
          <t>S1000</t>
        </is>
      </c>
      <c r="D16" s="28" t="inlineStr">
        <is>
          <t>SAL-WAX STAR, 1000 L</t>
        </is>
      </c>
      <c r="E16" s="15" t="n">
        <v>4739.980696491946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AGROREBOLLO, S.L.</t>
        </is>
      </c>
      <c r="C17" s="32" t="inlineStr">
        <is>
          <t>AGZNP0005</t>
        </is>
      </c>
      <c r="D17" s="31" t="inlineStr">
        <is>
          <t>AGROXILATO ZN PLUS, 5 KG</t>
        </is>
      </c>
      <c r="E17" s="19" t="n">
        <v>473.9980696491947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AGROSER BERNARDINO,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1042.795753228228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A-50(2)0020</t>
        </is>
      </c>
      <c r="D19" s="31" t="inlineStr">
        <is>
          <t>CODIORGAN-A50, 20 KG</t>
        </is>
      </c>
      <c r="E19" s="19" t="n">
        <v>189.5992278596779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6" t="inlineStr">
        <is>
          <t>Sin Pedido</t>
        </is>
      </c>
    </row>
    <row r="20">
      <c r="B20" s="28" t="inlineStr">
        <is>
          <t>AGROTRAPICHE, S.L.U</t>
        </is>
      </c>
      <c r="C20" s="29" t="inlineStr">
        <is>
          <t>AGZNP0005</t>
        </is>
      </c>
      <c r="D20" s="28" t="inlineStr">
        <is>
          <t>AGROXILATO-ZN PLUS, 5 KG</t>
        </is>
      </c>
      <c r="E20" s="15" t="n">
        <v>284.3988417895168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AGXK0020</t>
        </is>
      </c>
      <c r="D21" s="31" t="inlineStr">
        <is>
          <t>AGROXILATO-K, 20 L</t>
        </is>
      </c>
      <c r="E21" s="19" t="n">
        <v>94.79961392983893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6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AVAN0005</t>
        </is>
      </c>
      <c r="D22" s="28" t="inlineStr">
        <is>
          <t>FLORAMEC AVANCE, 5 L</t>
        </is>
      </c>
      <c r="E22" s="15" t="n">
        <v>284.3988417895168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AVAN0020</t>
        </is>
      </c>
      <c r="D23" s="31" t="inlineStr">
        <is>
          <t>FLORAMEC AVANCE, 20 L</t>
        </is>
      </c>
      <c r="E23" s="19" t="n">
        <v>189.5992278596779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AGRUPACION DE LABRADORES DEL POZUELO, SA</t>
        </is>
      </c>
      <c r="C24" s="29" t="inlineStr">
        <is>
          <t>C-CU0005</t>
        </is>
      </c>
      <c r="D24" s="28" t="inlineStr">
        <is>
          <t>CODICOBRE, 5 L</t>
        </is>
      </c>
      <c r="E24" s="15" t="n">
        <v>189.5992278596779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18959.92278596778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DOTRA GULF TRADING COMPANY</t>
        </is>
      </c>
      <c r="C26" s="29" t="inlineStr">
        <is>
          <t>AQUOMAR0005</t>
        </is>
      </c>
      <c r="D26" s="28" t="inlineStr">
        <is>
          <t>AQUOM ARABIA, 5 L</t>
        </is>
      </c>
      <c r="E26" s="15" t="n">
        <v>0</v>
      </c>
      <c r="F26" s="15" t="n">
        <v>400</v>
      </c>
      <c r="G26" s="15" t="n">
        <v>0</v>
      </c>
      <c r="H26" s="15" t="n">
        <v>400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DOTRA GULF TRADING COMPANY</t>
        </is>
      </c>
      <c r="C27" s="32" t="inlineStr">
        <is>
          <t>AVAN0001</t>
        </is>
      </c>
      <c r="D27" s="31" t="inlineStr">
        <is>
          <t>FLORAMEC AVANCE, 1 L</t>
        </is>
      </c>
      <c r="E27" s="19" t="n">
        <v>0</v>
      </c>
      <c r="F27" s="19" t="n">
        <v>504</v>
      </c>
      <c r="G27" s="19" t="n">
        <v>0</v>
      </c>
      <c r="H27" s="19" t="n">
        <v>504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DOTRA GULF TRADING COMPANY</t>
        </is>
      </c>
      <c r="C28" s="29" t="inlineStr">
        <is>
          <t>BIO0005</t>
        </is>
      </c>
      <c r="D28" s="28" t="inlineStr">
        <is>
          <t>BIORAD-20, 5L</t>
        </is>
      </c>
      <c r="E28" s="15" t="n">
        <v>0</v>
      </c>
      <c r="F28" s="15" t="n">
        <v>800</v>
      </c>
      <c r="G28" s="15" t="n">
        <v>0</v>
      </c>
      <c r="H28" s="15" t="n">
        <v>800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DOTRA GULF TRADING COMPANY</t>
        </is>
      </c>
      <c r="C29" s="32" t="inlineStr">
        <is>
          <t>SPAR0001</t>
        </is>
      </c>
      <c r="D29" s="31" t="inlineStr">
        <is>
          <t>SPRINTENE ARABIA, 1 L</t>
        </is>
      </c>
      <c r="E29" s="19" t="n">
        <v>0</v>
      </c>
      <c r="F29" s="19" t="n">
        <v>1080</v>
      </c>
      <c r="G29" s="19" t="n">
        <v>0</v>
      </c>
      <c r="H29" s="19" t="n">
        <v>1080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DOTRA GULF TRADING COMPANY</t>
        </is>
      </c>
      <c r="C30" s="29" t="inlineStr">
        <is>
          <t>SSEG0005</t>
        </is>
      </c>
      <c r="D30" s="28" t="inlineStr">
        <is>
          <t>SALWAX CALCIO EGIPTO, 5 KG</t>
        </is>
      </c>
      <c r="E30" s="15" t="n">
        <v>0</v>
      </c>
      <c r="F30" s="15" t="n">
        <v>17500</v>
      </c>
      <c r="G30" s="15" t="n">
        <v>0</v>
      </c>
      <c r="H30" s="15" t="n">
        <v>17500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INIESTA DEL PINO DISTRIBUCIONES S.L.U</t>
        </is>
      </c>
      <c r="C31" s="32" t="inlineStr">
        <is>
          <t>AGXK0020</t>
        </is>
      </c>
      <c r="D31" s="31" t="inlineStr">
        <is>
          <t>AGROXILATO-K, 20 L</t>
        </is>
      </c>
      <c r="E31" s="19" t="n">
        <v>606.7175291509692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INIESTA DEL PINO DISTRIBUCIONES S.L.U</t>
        </is>
      </c>
      <c r="C32" s="29" t="inlineStr">
        <is>
          <t>TRI0005</t>
        </is>
      </c>
      <c r="D32" s="28" t="inlineStr">
        <is>
          <t>TRIFENO-94, 5L</t>
        </is>
      </c>
      <c r="E32" s="15" t="n">
        <v>56.87976835790336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SC MARCOSER S.R.L.</t>
        </is>
      </c>
      <c r="C33" s="32" t="inlineStr">
        <is>
          <t>A-500001</t>
        </is>
      </c>
      <c r="D33" s="31" t="inlineStr">
        <is>
          <t>CODIORGAN  A-50</t>
        </is>
      </c>
      <c r="E33" s="19" t="n">
        <v>0</v>
      </c>
      <c r="F33" s="19" t="n">
        <v>1056</v>
      </c>
      <c r="G33" s="19" t="n">
        <v>0</v>
      </c>
      <c r="H33" s="19" t="n">
        <v>1056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SC MARCOSER S.R.L.</t>
        </is>
      </c>
      <c r="C34" s="29" t="inlineStr">
        <is>
          <t>AGMG0001</t>
        </is>
      </c>
      <c r="D34" s="28" t="inlineStr">
        <is>
          <t>AGROXILATO Mg</t>
        </is>
      </c>
      <c r="E34" s="15" t="n">
        <v>0</v>
      </c>
      <c r="F34" s="15" t="n">
        <v>528</v>
      </c>
      <c r="G34" s="15" t="n">
        <v>0</v>
      </c>
      <c r="H34" s="15" t="n">
        <v>528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SC MARCOSER S.R.L.</t>
        </is>
      </c>
      <c r="C35" s="32" t="inlineStr">
        <is>
          <t>AGXKAEP0001</t>
        </is>
      </c>
      <c r="D35" s="31" t="inlineStr">
        <is>
          <t>BIOCULTURE POTASIO PLUS, 1 L</t>
        </is>
      </c>
      <c r="E35" s="19" t="n">
        <v>0</v>
      </c>
      <c r="F35" s="19" t="n">
        <v>396</v>
      </c>
      <c r="G35" s="19" t="n">
        <v>0</v>
      </c>
      <c r="H35" s="19" t="n">
        <v>396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SC MARCOSER S.R.L.</t>
        </is>
      </c>
      <c r="C36" s="29" t="inlineStr">
        <is>
          <t>BIO0001</t>
        </is>
      </c>
      <c r="D36" s="28" t="inlineStr">
        <is>
          <t>BIORAD-20</t>
        </is>
      </c>
      <c r="E36" s="15" t="n">
        <v>0</v>
      </c>
      <c r="F36" s="15" t="n">
        <v>792</v>
      </c>
      <c r="G36" s="15" t="n">
        <v>0</v>
      </c>
      <c r="H36" s="15" t="n">
        <v>792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SC MARCOSER S.R.L.</t>
        </is>
      </c>
      <c r="C37" s="32" t="inlineStr">
        <is>
          <t>BIO0005</t>
        </is>
      </c>
      <c r="D37" s="31" t="inlineStr">
        <is>
          <t>BIORAD-20</t>
        </is>
      </c>
      <c r="E37" s="19" t="n">
        <v>0</v>
      </c>
      <c r="F37" s="19" t="n">
        <v>600</v>
      </c>
      <c r="G37" s="19" t="n">
        <v>0</v>
      </c>
      <c r="H37" s="19" t="n">
        <v>600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SC MARCOSER S.R.L.</t>
        </is>
      </c>
      <c r="C38" s="29" t="inlineStr">
        <is>
          <t>BIO0020</t>
        </is>
      </c>
      <c r="D38" s="28" t="inlineStr">
        <is>
          <t>BIORAD-20</t>
        </is>
      </c>
      <c r="E38" s="15" t="n">
        <v>0</v>
      </c>
      <c r="F38" s="15" t="n">
        <v>640</v>
      </c>
      <c r="G38" s="15" t="n">
        <v>0</v>
      </c>
      <c r="H38" s="15" t="n">
        <v>640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SC MARCOSER S.R.L.</t>
        </is>
      </c>
      <c r="C39" s="32" t="inlineStr">
        <is>
          <t>C-L0001</t>
        </is>
      </c>
      <c r="D39" s="31" t="inlineStr">
        <is>
          <t>CODIBOR-L</t>
        </is>
      </c>
      <c r="E39" s="19" t="n">
        <v>0</v>
      </c>
      <c r="F39" s="19" t="n">
        <v>792</v>
      </c>
      <c r="G39" s="19" t="n">
        <v>0</v>
      </c>
      <c r="H39" s="19" t="n">
        <v>792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Extra Budget</t>
        </is>
      </c>
    </row>
    <row r="40">
      <c r="B40" s="28" t="inlineStr">
        <is>
          <t>SC MARCOSER S.R.L.</t>
        </is>
      </c>
      <c r="C40" s="29" t="inlineStr">
        <is>
          <t>P-5X0020RU</t>
        </is>
      </c>
      <c r="D40" s="28" t="inlineStr">
        <is>
          <t>P.M.S. 5x, 20 L</t>
        </is>
      </c>
      <c r="E40" s="15" t="n">
        <v>0</v>
      </c>
      <c r="F40" s="15" t="n">
        <v>640</v>
      </c>
      <c r="G40" s="15" t="n">
        <v>0</v>
      </c>
      <c r="H40" s="15" t="n">
        <v>640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Extra Budget</t>
        </is>
      </c>
    </row>
    <row r="41">
      <c r="B41" s="31" t="inlineStr">
        <is>
          <t>SC MARCOSER S.R.L.</t>
        </is>
      </c>
      <c r="C41" s="32" t="inlineStr">
        <is>
          <t>SPCE0001</t>
        </is>
      </c>
      <c r="D41" s="31" t="inlineStr">
        <is>
          <t>SPRINTENE</t>
        </is>
      </c>
      <c r="E41" s="19" t="n">
        <v>0</v>
      </c>
      <c r="F41" s="19" t="n">
        <v>792</v>
      </c>
      <c r="G41" s="19" t="n">
        <v>0</v>
      </c>
      <c r="H41" s="19" t="n">
        <v>792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>
      <c r="B42" s="28" t="inlineStr">
        <is>
          <t>SC MARCOSER S.R.L.</t>
        </is>
      </c>
      <c r="C42" s="29" t="inlineStr">
        <is>
          <t>SPCE0020</t>
        </is>
      </c>
      <c r="D42" s="28" t="inlineStr">
        <is>
          <t>SPRINTENE</t>
        </is>
      </c>
      <c r="E42" s="15" t="n">
        <v>0</v>
      </c>
      <c r="F42" s="15" t="n">
        <v>640</v>
      </c>
      <c r="G42" s="15" t="n">
        <v>0</v>
      </c>
      <c r="H42" s="15" t="n">
        <v>640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Extra Budget</t>
        </is>
      </c>
    </row>
    <row r="43">
      <c r="B43" s="31" t="inlineStr">
        <is>
          <t>SC MARCOSER S.R.L.</t>
        </is>
      </c>
      <c r="C43" s="32" t="inlineStr">
        <is>
          <t>SS0001</t>
        </is>
      </c>
      <c r="D43" s="31" t="inlineStr">
        <is>
          <t>SAL-WAX Ca</t>
        </is>
      </c>
      <c r="E43" s="19" t="n">
        <v>0</v>
      </c>
      <c r="F43" s="19" t="n">
        <v>1056</v>
      </c>
      <c r="G43" s="19" t="n">
        <v>0</v>
      </c>
      <c r="H43" s="19" t="n">
        <v>1056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>
      <c r="B44" s="28" t="inlineStr">
        <is>
          <t>SERVIAGRI´ 97, S.L.</t>
        </is>
      </c>
      <c r="C44" s="29" t="inlineStr">
        <is>
          <t>AGXK0005</t>
        </is>
      </c>
      <c r="D44" s="28" t="inlineStr">
        <is>
          <t>AGROXILATO-K, 5 L</t>
        </is>
      </c>
      <c r="E44" s="15" t="n">
        <v>189.5992278596779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F44-E44</f>
        <v/>
      </c>
      <c r="K44" s="16">
        <f>IF(E44&gt;0, F44/E44, IF(F44&gt;0, 1, 0))</f>
        <v/>
      </c>
      <c r="L44" s="36" t="inlineStr">
        <is>
          <t>Sin Pedido</t>
        </is>
      </c>
    </row>
    <row r="45">
      <c r="B45" s="31" t="inlineStr">
        <is>
          <t>SERVIAGRI´ 97, S.L.</t>
        </is>
      </c>
      <c r="C45" s="32" t="inlineStr">
        <is>
          <t>AGXK0020</t>
        </is>
      </c>
      <c r="D45" s="31" t="inlineStr">
        <is>
          <t>AGROXILATO-K, 20 L</t>
        </is>
      </c>
      <c r="E45" s="19" t="n">
        <v>0</v>
      </c>
      <c r="F45" s="19" t="n">
        <v>120</v>
      </c>
      <c r="G45" s="19" t="n">
        <v>120</v>
      </c>
      <c r="H45" s="19" t="n">
        <v>0</v>
      </c>
      <c r="I45" s="19">
        <f>MAX(0, E45-F45)</f>
        <v/>
      </c>
      <c r="J45" s="19">
        <f>F45-E45</f>
        <v/>
      </c>
      <c r="K45" s="20">
        <f>IF(E45&gt;0, F45/E45, IF(F45&gt;0, 1, 0))</f>
        <v/>
      </c>
      <c r="L45" s="30" t="inlineStr">
        <is>
          <t>Extra Budget</t>
        </is>
      </c>
    </row>
    <row r="46">
      <c r="B46" s="28" t="inlineStr">
        <is>
          <t>SERVIAGRI´ 97, S.L.</t>
        </is>
      </c>
      <c r="C46" s="29" t="inlineStr">
        <is>
          <t>AVAN0005</t>
        </is>
      </c>
      <c r="D46" s="28" t="inlineStr">
        <is>
          <t>FLORAMEC AVANCE, 5 L</t>
        </is>
      </c>
      <c r="E46" s="15" t="n">
        <v>94.79961392983893</v>
      </c>
      <c r="F46" s="15" t="n">
        <v>120</v>
      </c>
      <c r="G46" s="15" t="n">
        <v>120</v>
      </c>
      <c r="H46" s="15" t="n">
        <v>0</v>
      </c>
      <c r="I46" s="15">
        <f>MAX(0, E46-F46)</f>
        <v/>
      </c>
      <c r="J46" s="15">
        <f>F46-E46</f>
        <v/>
      </c>
      <c r="K46" s="16">
        <f>IF(E46&gt;0, F46/E46, IF(F46&gt;0, 1, 0))</f>
        <v/>
      </c>
      <c r="L46" s="30" t="inlineStr">
        <is>
          <t>Superado</t>
        </is>
      </c>
    </row>
    <row r="47">
      <c r="B47" s="31" t="inlineStr">
        <is>
          <t>SERVIAGRI´ 97, S.L.</t>
        </is>
      </c>
      <c r="C47" s="32" t="inlineStr">
        <is>
          <t>B0001</t>
        </is>
      </c>
      <c r="D47" s="31" t="inlineStr">
        <is>
          <t>BOROCAL,1 L</t>
        </is>
      </c>
      <c r="E47" s="19" t="n">
        <v>11.37595367158067</v>
      </c>
      <c r="F47" s="19" t="n">
        <v>12</v>
      </c>
      <c r="G47" s="19" t="n">
        <v>12</v>
      </c>
      <c r="H47" s="19" t="n">
        <v>0</v>
      </c>
      <c r="I47" s="19">
        <f>MAX(0, E47-F47)</f>
        <v/>
      </c>
      <c r="J47" s="19">
        <f>F47-E47</f>
        <v/>
      </c>
      <c r="K47" s="20">
        <f>IF(E47&gt;0, F47/E47, IF(F47&gt;0, 1, 0))</f>
        <v/>
      </c>
      <c r="L47" s="30" t="inlineStr">
        <is>
          <t>Superado</t>
        </is>
      </c>
    </row>
    <row r="48">
      <c r="B48" s="28" t="inlineStr">
        <is>
          <t>SERVIAGRI´ 97, S.L.</t>
        </is>
      </c>
      <c r="C48" s="29" t="inlineStr">
        <is>
          <t>BIO0005</t>
        </is>
      </c>
      <c r="D48" s="28" t="inlineStr">
        <is>
          <t>BIORAD-20, 5L</t>
        </is>
      </c>
      <c r="E48" s="15" t="n">
        <v>284.3988417895168</v>
      </c>
      <c r="F48" s="15" t="n">
        <v>0</v>
      </c>
      <c r="G48" s="15" t="n">
        <v>0</v>
      </c>
      <c r="H48" s="15" t="n">
        <v>0</v>
      </c>
      <c r="I48" s="15">
        <f>MAX(0, E48-F48)</f>
        <v/>
      </c>
      <c r="J48" s="15">
        <f>F48-E48</f>
        <v/>
      </c>
      <c r="K48" s="16">
        <f>IF(E48&gt;0, F48/E48, IF(F48&gt;0, 1, 0))</f>
        <v/>
      </c>
      <c r="L48" s="36" t="inlineStr">
        <is>
          <t>Sin Pedido</t>
        </is>
      </c>
    </row>
    <row r="49">
      <c r="B49" s="31" t="inlineStr">
        <is>
          <t>SERVIAGRI´ 97, S.L.</t>
        </is>
      </c>
      <c r="C49" s="32" t="inlineStr">
        <is>
          <t>BROTA0001</t>
        </is>
      </c>
      <c r="D49" s="31" t="inlineStr">
        <is>
          <t>BROTAMEC, 1 L</t>
        </is>
      </c>
      <c r="E49" s="19" t="n">
        <v>0</v>
      </c>
      <c r="F49" s="19" t="n">
        <v>24</v>
      </c>
      <c r="G49" s="19" t="n">
        <v>24</v>
      </c>
      <c r="H49" s="19" t="n">
        <v>0</v>
      </c>
      <c r="I49" s="19">
        <f>MAX(0, E49-F49)</f>
        <v/>
      </c>
      <c r="J49" s="19">
        <f>F49-E49</f>
        <v/>
      </c>
      <c r="K49" s="20">
        <f>IF(E49&gt;0, F49/E49, IF(F49&gt;0, 1, 0))</f>
        <v/>
      </c>
      <c r="L49" s="30" t="inlineStr">
        <is>
          <t>Extra Budget</t>
        </is>
      </c>
    </row>
    <row r="50">
      <c r="B50" s="28" t="inlineStr">
        <is>
          <t>SERVIAGRI´ 97, S.L.</t>
        </is>
      </c>
      <c r="C50" s="29" t="inlineStr">
        <is>
          <t>BROTA0005</t>
        </is>
      </c>
      <c r="D50" s="28" t="inlineStr">
        <is>
          <t>BROTAMEC, 5 L</t>
        </is>
      </c>
      <c r="E50" s="15" t="n">
        <v>0</v>
      </c>
      <c r="F50" s="15" t="n">
        <v>100</v>
      </c>
      <c r="G50" s="15" t="n">
        <v>100</v>
      </c>
      <c r="H50" s="15" t="n">
        <v>0</v>
      </c>
      <c r="I50" s="15">
        <f>MAX(0, E50-F50)</f>
        <v/>
      </c>
      <c r="J50" s="15">
        <f>F50-E50</f>
        <v/>
      </c>
      <c r="K50" s="16">
        <f>IF(E50&gt;0, F50/E50, IF(F50&gt;0, 1, 0))</f>
        <v/>
      </c>
      <c r="L50" s="30" t="inlineStr">
        <is>
          <t>Extra Budget</t>
        </is>
      </c>
    </row>
    <row r="51">
      <c r="B51" s="31" t="inlineStr">
        <is>
          <t>SERVIAGRI´ 97, S.L.</t>
        </is>
      </c>
      <c r="C51" s="32" t="inlineStr">
        <is>
          <t>FTK0005</t>
        </is>
      </c>
      <c r="D51" s="31" t="inlineStr">
        <is>
          <t>FITOKONTROL CA FLOW, 5 KG</t>
        </is>
      </c>
      <c r="E51" s="19" t="n">
        <v>284.3988417895168</v>
      </c>
      <c r="F51" s="19" t="n">
        <v>160</v>
      </c>
      <c r="G51" s="19" t="n">
        <v>160</v>
      </c>
      <c r="H51" s="19" t="n">
        <v>0</v>
      </c>
      <c r="I51" s="19">
        <f>MAX(0, E51-F51)</f>
        <v/>
      </c>
      <c r="J51" s="19">
        <f>F51-E51</f>
        <v/>
      </c>
      <c r="K51" s="20">
        <f>IF(E51&gt;0, F51/E51, IF(F51&gt;0, 1, 0))</f>
        <v/>
      </c>
      <c r="L51" s="33" t="inlineStr">
        <is>
          <t>En Curso</t>
        </is>
      </c>
    </row>
    <row r="52">
      <c r="B52" s="28" t="inlineStr">
        <is>
          <t>SERVIAGRI´ 97, S.L.</t>
        </is>
      </c>
      <c r="C52" s="29" t="inlineStr">
        <is>
          <t>JF0005</t>
        </is>
      </c>
      <c r="D52" s="28" t="inlineStr">
        <is>
          <t>CODIGIN-FOS, 5 L</t>
        </is>
      </c>
      <c r="E52" s="15" t="n">
        <v>94.79961392983893</v>
      </c>
      <c r="F52" s="15" t="n">
        <v>120</v>
      </c>
      <c r="G52" s="15" t="n">
        <v>120</v>
      </c>
      <c r="H52" s="15" t="n">
        <v>0</v>
      </c>
      <c r="I52" s="15">
        <f>MAX(0, E52-F52)</f>
        <v/>
      </c>
      <c r="J52" s="15">
        <f>F52-E52</f>
        <v/>
      </c>
      <c r="K52" s="16">
        <f>IF(E52&gt;0, F52/E52, IF(F52&gt;0, 1, 0))</f>
        <v/>
      </c>
      <c r="L52" s="30" t="inlineStr">
        <is>
          <t>Superado</t>
        </is>
      </c>
    </row>
    <row r="53">
      <c r="B53" s="31" t="inlineStr">
        <is>
          <t>SERVIAGRI´ 97, S.L.</t>
        </is>
      </c>
      <c r="C53" s="32" t="inlineStr">
        <is>
          <t>SSAE0005</t>
        </is>
      </c>
      <c r="D53" s="31" t="inlineStr">
        <is>
          <t>MAGNIFIC-VIETS-AE, 5 KG</t>
        </is>
      </c>
      <c r="E53" s="19" t="n">
        <v>0</v>
      </c>
      <c r="F53" s="19" t="n">
        <v>60</v>
      </c>
      <c r="G53" s="19" t="n">
        <v>60</v>
      </c>
      <c r="H53" s="19" t="n">
        <v>0</v>
      </c>
      <c r="I53" s="19">
        <f>MAX(0, E53-F53)</f>
        <v/>
      </c>
      <c r="J53" s="19">
        <f>F53-E53</f>
        <v/>
      </c>
      <c r="K53" s="20">
        <f>IF(E53&gt;0, F53/E53, IF(F53&gt;0, 1, 0))</f>
        <v/>
      </c>
      <c r="L53" s="30" t="inlineStr">
        <is>
          <t>Extra Budget</t>
        </is>
      </c>
    </row>
    <row r="54">
      <c r="B54" s="28" t="inlineStr">
        <is>
          <t>TRATAMIENTOS AGRICOLAS BRENES, S.L.</t>
        </is>
      </c>
      <c r="C54" s="29" t="inlineStr">
        <is>
          <t>WHITE0020</t>
        </is>
      </c>
      <c r="D54" s="28" t="inlineStr">
        <is>
          <t>AGROWHITE, 20 KG</t>
        </is>
      </c>
      <c r="E54" s="15" t="n">
        <v>1042.795753228228</v>
      </c>
      <c r="F54" s="15" t="n">
        <v>0</v>
      </c>
      <c r="G54" s="15" t="n">
        <v>0</v>
      </c>
      <c r="H54" s="15" t="n">
        <v>0</v>
      </c>
      <c r="I54" s="15">
        <f>MAX(0, E54-F54)</f>
        <v/>
      </c>
      <c r="J54" s="15">
        <f>F54-E54</f>
        <v/>
      </c>
      <c r="K54" s="16">
        <f>IF(E54&gt;0, F54/E54, IF(F54&gt;0, 1, 0))</f>
        <v/>
      </c>
      <c r="L54" s="36" t="inlineStr">
        <is>
          <t>Sin Pedido</t>
        </is>
      </c>
    </row>
    <row r="55" ht="24" customHeight="1">
      <c r="B55" s="21" t="inlineStr">
        <is>
          <t>TOTAL GARCÍA</t>
        </is>
      </c>
      <c r="C55" s="34" t="inlineStr">
        <is>
          <t>233 líneas</t>
        </is>
      </c>
      <c r="D55" s="35" t="inlineStr"/>
      <c r="E55" s="23">
        <f>SUM(E10:E54)</f>
        <v/>
      </c>
      <c r="F55" s="23">
        <f>SUM(F10:F54)</f>
        <v/>
      </c>
      <c r="G55" s="23">
        <f>SUM(G10:G54)</f>
        <v/>
      </c>
      <c r="H55" s="23">
        <f>SUM(H10:H54)</f>
        <v/>
      </c>
      <c r="I55" s="23">
        <f>SUM(I10:I54)</f>
        <v/>
      </c>
      <c r="J55" s="23">
        <f>SUM(J10:J54)</f>
        <v/>
      </c>
      <c r="K55" s="24">
        <f>IF(E55&gt;0, F55/E55, 0)</f>
        <v/>
      </c>
      <c r="L55" s="22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20,774 u</t>
        </is>
      </c>
      <c r="C6" s="4" t="n"/>
      <c r="D6" s="25" t="inlineStr">
        <is>
          <t>12,806 u</t>
        </is>
      </c>
      <c r="E6" s="4" t="n"/>
      <c r="F6" s="38" t="inlineStr">
        <is>
          <t>61.6%</t>
        </is>
      </c>
      <c r="G6" s="4" t="n"/>
      <c r="H6" s="38" t="inlineStr">
        <is>
          <t>7,968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189.5992278596779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AGN0005</t>
        </is>
      </c>
      <c r="D11" s="31" t="inlineStr">
        <is>
          <t>AGROXILATO N, 5 L</t>
        </is>
      </c>
      <c r="E11" s="19" t="n">
        <v>0</v>
      </c>
      <c r="F11" s="19" t="n">
        <v>20</v>
      </c>
      <c r="G11" s="19" t="n">
        <v>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CAMPOEJIDO S.C.A.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1820.152587452907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AVAN0005</t>
        </is>
      </c>
      <c r="D13" s="31" t="inlineStr">
        <is>
          <t>FLORAMEC AVANCE, 5 L</t>
        </is>
      </c>
      <c r="E13" s="19" t="n">
        <v>284.3988417895168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AVAN0020</t>
        </is>
      </c>
      <c r="D14" s="28" t="inlineStr">
        <is>
          <t>FLORAMEC AVANCE, 20 L</t>
        </is>
      </c>
      <c r="E14" s="15" t="n">
        <v>910.0762937264537</v>
      </c>
      <c r="F14" s="15" t="n">
        <v>640</v>
      </c>
      <c r="G14" s="15" t="n">
        <v>640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606.7175291509692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56.87976835790336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284.3988417895168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45.50381468632268</v>
      </c>
      <c r="F18" s="15" t="n">
        <v>36</v>
      </c>
      <c r="G18" s="15" t="n">
        <v>36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3" t="inlineStr">
        <is>
          <t>En Curso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379.1984557193557</v>
      </c>
      <c r="F19" s="19" t="n">
        <v>700</v>
      </c>
      <c r="G19" s="19" t="n">
        <v>700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Superado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758.3969114387114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7" t="inlineStr">
        <is>
          <t>Rezagado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1213.435058301938</v>
      </c>
      <c r="F21" s="19" t="n">
        <v>640</v>
      </c>
      <c r="G21" s="19" t="n">
        <v>640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3" t="inlineStr">
        <is>
          <t>En Curso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94.79961392983893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3033.587645754846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606.7175291509692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94.79961392983893</v>
      </c>
      <c r="F25" s="19" t="n">
        <v>100</v>
      </c>
      <c r="G25" s="19" t="n">
        <v>100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3033.587645754846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6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379.1984557193557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6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1137.595367158067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6" t="inlineStr">
        <is>
          <t>Sin Pedido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189.5992278596779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6" t="inlineStr">
        <is>
          <t>Sin Pedido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284.3988417895168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606.7175291509692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1213.435058301938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94.79961392983893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6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1175.515212730003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AGXK1000</t>
        </is>
      </c>
      <c r="D35" s="31" t="inlineStr">
        <is>
          <t>AGROXILATO-K, 1000 L</t>
        </is>
      </c>
      <c r="E35" s="19" t="n">
        <v>0</v>
      </c>
      <c r="F35" s="19" t="n">
        <v>8000</v>
      </c>
      <c r="G35" s="19" t="n">
        <v>8000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GUIVARTO AGRICOLA, S.L.</t>
        </is>
      </c>
      <c r="C36" s="29" t="inlineStr">
        <is>
          <t>AGZNP0005</t>
        </is>
      </c>
      <c r="D36" s="28" t="inlineStr">
        <is>
          <t>AGROXILATO-ZN PLUS, 5 KG</t>
        </is>
      </c>
      <c r="E36" s="15" t="n">
        <v>47.39980696491946</v>
      </c>
      <c r="F36" s="15" t="n">
        <v>50</v>
      </c>
      <c r="G36" s="15" t="n">
        <v>50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Superado</t>
        </is>
      </c>
    </row>
    <row r="37">
      <c r="B37" s="31" t="inlineStr">
        <is>
          <t>GUIVARTO AGRICOLA, S.L.</t>
        </is>
      </c>
      <c r="C37" s="32" t="inlineStr">
        <is>
          <t>AQUOM0005</t>
        </is>
      </c>
      <c r="D37" s="31" t="inlineStr">
        <is>
          <t>AQUOM, 5 L</t>
        </is>
      </c>
      <c r="E37" s="19" t="n">
        <v>189.5992278596779</v>
      </c>
      <c r="F37" s="19" t="n">
        <v>200</v>
      </c>
      <c r="G37" s="19" t="n">
        <v>200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AVAN0020</t>
        </is>
      </c>
      <c r="D38" s="28" t="inlineStr">
        <is>
          <t>FLORAMEC AVANCE, 20 L</t>
        </is>
      </c>
      <c r="E38" s="15" t="n">
        <v>606.7175291509692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Superado</t>
        </is>
      </c>
    </row>
    <row r="39">
      <c r="B39" s="31" t="inlineStr">
        <is>
          <t>GUIVARTO AGRICOLA, S.L.</t>
        </is>
      </c>
      <c r="C39" s="32" t="inlineStr">
        <is>
          <t>BEY0020</t>
        </is>
      </c>
      <c r="D39" s="31" t="inlineStr">
        <is>
          <t>FLORAMEC PLUS 20 L</t>
        </is>
      </c>
      <c r="E39" s="19" t="n">
        <v>75.83969114387115</v>
      </c>
      <c r="F39" s="19" t="n">
        <v>80</v>
      </c>
      <c r="G39" s="19" t="n">
        <v>80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GUIVARTO AGRICOLA, S.L.</t>
        </is>
      </c>
      <c r="C40" s="29" t="inlineStr">
        <is>
          <t>BROTA0005</t>
        </is>
      </c>
      <c r="D40" s="28" t="inlineStr">
        <is>
          <t>BROTAMEC, 5 L</t>
        </is>
      </c>
      <c r="E40" s="15" t="n">
        <v>568.7976835790336</v>
      </c>
      <c r="F40" s="15" t="n">
        <v>600</v>
      </c>
      <c r="G40" s="15" t="n">
        <v>600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Superado</t>
        </is>
      </c>
    </row>
    <row r="41">
      <c r="B41" s="31" t="inlineStr">
        <is>
          <t>GUIVARTO AGRICOLA, S.L.</t>
        </is>
      </c>
      <c r="C41" s="32" t="inlineStr">
        <is>
          <t>C-M-P0001</t>
        </is>
      </c>
      <c r="D41" s="31" t="inlineStr">
        <is>
          <t>CODIFOL Mo-PLUS, 1 L</t>
        </is>
      </c>
      <c r="E41" s="19" t="n">
        <v>34.12786101474202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6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FTK0005</t>
        </is>
      </c>
      <c r="D42" s="28" t="inlineStr">
        <is>
          <t>FITOKONTROL CA FLOW, 5 KG</t>
        </is>
      </c>
      <c r="E42" s="15" t="n">
        <v>758.3969114387114</v>
      </c>
      <c r="F42" s="15" t="n">
        <v>800</v>
      </c>
      <c r="G42" s="15" t="n">
        <v>800</v>
      </c>
      <c r="H42" s="15" t="n">
        <v>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Superado</t>
        </is>
      </c>
    </row>
    <row r="43">
      <c r="B43" s="31" t="inlineStr">
        <is>
          <t>SUCA, S.C.A.</t>
        </is>
      </c>
      <c r="C43" s="32" t="inlineStr">
        <is>
          <t>AVAN0020</t>
        </is>
      </c>
      <c r="D43" s="31" t="inlineStr">
        <is>
          <t>FLORAMEC AVANCE, 20 L</t>
        </is>
      </c>
      <c r="E43" s="19" t="n">
        <v>0</v>
      </c>
      <c r="F43" s="19" t="n">
        <v>200</v>
      </c>
      <c r="G43" s="19" t="n">
        <v>200</v>
      </c>
      <c r="H43" s="19" t="n">
        <v>0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 ht="24" customHeight="1">
      <c r="B44" s="21" t="inlineStr">
        <is>
          <t>TOTAL IRENE</t>
        </is>
      </c>
      <c r="C44" s="34" t="inlineStr">
        <is>
          <t>89 líneas</t>
        </is>
      </c>
      <c r="D44" s="35" t="inlineStr"/>
      <c r="E44" s="23">
        <f>SUM(E10:E43)</f>
        <v/>
      </c>
      <c r="F44" s="23">
        <f>SUM(F10:F43)</f>
        <v/>
      </c>
      <c r="G44" s="23">
        <f>SUM(G10:G43)</f>
        <v/>
      </c>
      <c r="H44" s="23">
        <f>SUM(H10:H43)</f>
        <v/>
      </c>
      <c r="I44" s="23">
        <f>SUM(I10:I43)</f>
        <v/>
      </c>
      <c r="J44" s="23">
        <f>SUM(J10:J43)</f>
        <v/>
      </c>
      <c r="K44" s="24">
        <f>IF(E44&gt;0, F44/E44, 0)</f>
        <v/>
      </c>
      <c r="L44" s="22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16,211 u</t>
        </is>
      </c>
      <c r="C6" s="4" t="n"/>
      <c r="D6" s="26" t="inlineStr">
        <is>
          <t>25,575 u</t>
        </is>
      </c>
      <c r="E6" s="4" t="n"/>
      <c r="F6" s="26" t="inlineStr">
        <is>
          <t>157.8%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1516.793822877423</v>
      </c>
      <c r="F10" s="15" t="n">
        <v>1600</v>
      </c>
      <c r="G10" s="15" t="n">
        <v>1600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AGROQUIMICAS DRAGO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0</v>
      </c>
      <c r="F11" s="19" t="n">
        <v>1000</v>
      </c>
      <c r="G11" s="19" t="n">
        <v>1000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AGROQUIMICAS DRAGO S.L.</t>
        </is>
      </c>
      <c r="C12" s="29" t="inlineStr">
        <is>
          <t>AN0020</t>
        </is>
      </c>
      <c r="D12" s="28" t="inlineStr">
        <is>
          <t>ALCAPLANT NEW, 20 KG</t>
        </is>
      </c>
      <c r="E12" s="15" t="n">
        <v>1042.795753228228</v>
      </c>
      <c r="F12" s="15" t="n">
        <v>1100</v>
      </c>
      <c r="G12" s="15" t="n">
        <v>1100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B0005</t>
        </is>
      </c>
      <c r="D13" s="31" t="inlineStr">
        <is>
          <t>BOROCAL, 5 L</t>
        </is>
      </c>
      <c r="E13" s="19" t="n">
        <v>0</v>
      </c>
      <c r="F13" s="19" t="n">
        <v>40</v>
      </c>
      <c r="G13" s="19" t="n">
        <v>40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AGROQUIMICAS DRAGO S.L.</t>
        </is>
      </c>
      <c r="C14" s="29" t="inlineStr">
        <is>
          <t>B0020</t>
        </is>
      </c>
      <c r="D14" s="28" t="inlineStr">
        <is>
          <t>BOROCAL, 20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AGROQUIMICAS DRAGO S.L.</t>
        </is>
      </c>
      <c r="C15" s="32" t="inlineStr">
        <is>
          <t>CALCIO0020</t>
        </is>
      </c>
      <c r="D15" s="31" t="inlineStr">
        <is>
          <t>CALCIAMEC, 20 KG</t>
        </is>
      </c>
      <c r="E15" s="19" t="n">
        <v>0</v>
      </c>
      <c r="F15" s="19" t="n">
        <v>60</v>
      </c>
      <c r="G15" s="19" t="n">
        <v>60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>AGROQUIMICAS DRAGO S.L.</t>
        </is>
      </c>
      <c r="C16" s="29" t="inlineStr">
        <is>
          <t>CM3M0005</t>
        </is>
      </c>
      <c r="D16" s="28" t="inlineStr">
        <is>
          <t>TENSOLINE-MAX, 5 L</t>
        </is>
      </c>
      <c r="E16" s="15" t="n">
        <v>0</v>
      </c>
      <c r="F16" s="15" t="n">
        <v>60</v>
      </c>
      <c r="G16" s="15" t="n">
        <v>60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AGROQUIMICAS DRAGO S.L.</t>
        </is>
      </c>
      <c r="C17" s="32" t="inlineStr">
        <is>
          <t>CPLUS0020</t>
        </is>
      </c>
      <c r="D17" s="31" t="inlineStr">
        <is>
          <t>CALCIPLUS,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AGROQUIMICAS DRAGO S.L.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0</v>
      </c>
      <c r="F18" s="15" t="n">
        <v>40</v>
      </c>
      <c r="G18" s="15" t="n">
        <v>40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AGROQUIMICAS DRAGO S.L.</t>
        </is>
      </c>
      <c r="C19" s="32" t="inlineStr">
        <is>
          <t>PHD0005</t>
        </is>
      </c>
      <c r="D19" s="31" t="inlineStr">
        <is>
          <t>PH-DOWNER, 5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ALMENDRALIA IBÉRICA, S.L.U.</t>
        </is>
      </c>
      <c r="C20" s="29" t="inlineStr">
        <is>
          <t>AN0020</t>
        </is>
      </c>
      <c r="D20" s="28" t="inlineStr">
        <is>
          <t>ALCAPLANT NEW, 20 KG</t>
        </is>
      </c>
      <c r="E20" s="15" t="n">
        <v>0</v>
      </c>
      <c r="F20" s="15" t="n">
        <v>1100</v>
      </c>
      <c r="G20" s="15" t="n">
        <v>1100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CABRERA MORALES FRANCISCO</t>
        </is>
      </c>
      <c r="C21" s="32" t="inlineStr">
        <is>
          <t>A-50(2)0005</t>
        </is>
      </c>
      <c r="D21" s="31" t="inlineStr">
        <is>
          <t>CODIORGAN A-50, 5 KG</t>
        </is>
      </c>
      <c r="E21" s="19" t="n">
        <v>0</v>
      </c>
      <c r="F21" s="19" t="n">
        <v>375</v>
      </c>
      <c r="G21" s="19" t="n">
        <v>375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CABRERA MORALES FRANCISCO</t>
        </is>
      </c>
      <c r="C22" s="29" t="inlineStr">
        <is>
          <t>ANAE0005</t>
        </is>
      </c>
      <c r="D22" s="28" t="inlineStr">
        <is>
          <t>ALCAPLANT NEW AE, 5 KG</t>
        </is>
      </c>
      <c r="E22" s="15" t="n">
        <v>6256.77451936937</v>
      </c>
      <c r="F22" s="15" t="n">
        <v>4400</v>
      </c>
      <c r="G22" s="15" t="n">
        <v>4400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3" t="inlineStr">
        <is>
          <t>En Curso</t>
        </is>
      </c>
    </row>
    <row r="23">
      <c r="B23" s="31" t="inlineStr">
        <is>
          <t>CABRERA MORALES FRANCISCO</t>
        </is>
      </c>
      <c r="C23" s="32" t="inlineStr">
        <is>
          <t>BIO0005</t>
        </is>
      </c>
      <c r="D23" s="31" t="inlineStr">
        <is>
          <t>BIORAD-20, 5L</t>
        </is>
      </c>
      <c r="E23" s="19" t="n">
        <v>0</v>
      </c>
      <c r="F23" s="19" t="n">
        <v>600</v>
      </c>
      <c r="G23" s="19" t="n">
        <v>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CABRERA MORALES FRANCISCO</t>
        </is>
      </c>
      <c r="C24" s="29" t="inlineStr">
        <is>
          <t>BIO0020</t>
        </is>
      </c>
      <c r="D24" s="28" t="inlineStr">
        <is>
          <t>BIORAD-20, 20 L</t>
        </is>
      </c>
      <c r="E24" s="15" t="n">
        <v>0</v>
      </c>
      <c r="F24" s="15" t="n">
        <v>1280</v>
      </c>
      <c r="G24" s="15" t="n">
        <v>1280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CABRERA MORALES FRANCISCO</t>
        </is>
      </c>
      <c r="C25" s="32" t="inlineStr">
        <is>
          <t>C-L0005</t>
        </is>
      </c>
      <c r="D25" s="31" t="inlineStr">
        <is>
          <t>CODIBOR-L, 5 L</t>
        </is>
      </c>
      <c r="E25" s="19" t="n">
        <v>0</v>
      </c>
      <c r="F25" s="19" t="n">
        <v>200</v>
      </c>
      <c r="G25" s="19" t="n">
        <v>200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CODIMED EXPORT, S.L.</t>
        </is>
      </c>
      <c r="C26" s="29" t="inlineStr">
        <is>
          <t>C-L0005</t>
        </is>
      </c>
      <c r="D26" s="28" t="inlineStr">
        <is>
          <t>CODIBOR-L, 5 L</t>
        </is>
      </c>
      <c r="E26" s="15" t="n">
        <v>189.5992278596779</v>
      </c>
      <c r="F26" s="15" t="n">
        <v>200</v>
      </c>
      <c r="G26" s="15" t="n">
        <v>200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Superado</t>
        </is>
      </c>
    </row>
    <row r="27">
      <c r="B27" s="31" t="inlineStr">
        <is>
          <t>CODIMED EXPORT, S.L.</t>
        </is>
      </c>
      <c r="C27" s="32" t="inlineStr">
        <is>
          <t>C-L0020</t>
        </is>
      </c>
      <c r="D27" s="31" t="inlineStr">
        <is>
          <t>CODIBOR-L, 20 L</t>
        </is>
      </c>
      <c r="E27" s="19" t="n">
        <v>606.7175291509692</v>
      </c>
      <c r="F27" s="19" t="n">
        <v>640</v>
      </c>
      <c r="G27" s="19" t="n">
        <v>640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Superado</t>
        </is>
      </c>
    </row>
    <row r="28">
      <c r="B28" s="28" t="inlineStr">
        <is>
          <t>CODIMED EXPORT, S.L.</t>
        </is>
      </c>
      <c r="C28" s="29" t="inlineStr">
        <is>
          <t>PT0005</t>
        </is>
      </c>
      <c r="D28" s="28" t="inlineStr">
        <is>
          <t>AGROPOTASION, 5 L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CODIMED EXPORT, S.L.</t>
        </is>
      </c>
      <c r="C29" s="32" t="inlineStr">
        <is>
          <t>PT0020</t>
        </is>
      </c>
      <c r="D29" s="31" t="inlineStr">
        <is>
          <t>AGROPOTASION, 20 L</t>
        </is>
      </c>
      <c r="E29" s="19" t="n">
        <v>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CODIMED EXPORT, S.L.</t>
        </is>
      </c>
      <c r="C30" s="29" t="inlineStr">
        <is>
          <t>SPCE2B0020</t>
        </is>
      </c>
      <c r="D30" s="28" t="inlineStr">
        <is>
          <t>SPRINTENE CON BORO, 20 L</t>
        </is>
      </c>
      <c r="E30" s="15" t="n">
        <v>0</v>
      </c>
      <c r="F30" s="15" t="n">
        <v>320</v>
      </c>
      <c r="G30" s="15" t="n">
        <v>320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FINCA DOÑA ANA C.B.</t>
        </is>
      </c>
      <c r="C31" s="32" t="inlineStr">
        <is>
          <t>A-50(2)0020</t>
        </is>
      </c>
      <c r="D31" s="31" t="inlineStr">
        <is>
          <t>CODIORGAN-A50, 20 KG</t>
        </is>
      </c>
      <c r="E31" s="19" t="n">
        <v>0</v>
      </c>
      <c r="F31" s="19" t="n">
        <v>120</v>
      </c>
      <c r="G31" s="19" t="n">
        <v>120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FINCA DOÑA ANA C.B.</t>
        </is>
      </c>
      <c r="C32" s="29" t="inlineStr">
        <is>
          <t>C-CU1000</t>
        </is>
      </c>
      <c r="D32" s="28" t="inlineStr">
        <is>
          <t>CODICOBRE, 1000 L</t>
        </is>
      </c>
      <c r="E32" s="15" t="n">
        <v>0</v>
      </c>
      <c r="F32" s="15" t="n">
        <v>1000</v>
      </c>
      <c r="G32" s="15" t="n">
        <v>1000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FITOSANITARIOS CARCAIXENT, S.L.</t>
        </is>
      </c>
      <c r="C33" s="32" t="inlineStr">
        <is>
          <t>C-CU0005</t>
        </is>
      </c>
      <c r="D33" s="31" t="inlineStr">
        <is>
          <t>CODICOBRE, 5 L</t>
        </is>
      </c>
      <c r="E33" s="19" t="n">
        <v>0</v>
      </c>
      <c r="F33" s="19" t="n">
        <v>100</v>
      </c>
      <c r="G33" s="19" t="n">
        <v>100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FITOSANITARIOS CARCAIXENT, S.L.</t>
        </is>
      </c>
      <c r="C34" s="29" t="inlineStr">
        <is>
          <t>G30020</t>
        </is>
      </c>
      <c r="D34" s="28" t="inlineStr">
        <is>
          <t>GREEN-UP, 20 L</t>
        </is>
      </c>
      <c r="E34" s="15" t="n">
        <v>0</v>
      </c>
      <c r="F34" s="15" t="n">
        <v>200</v>
      </c>
      <c r="G34" s="15" t="n">
        <v>200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FITOSANITARIOS CARCAIXENT, S.L.</t>
        </is>
      </c>
      <c r="C35" s="32" t="inlineStr">
        <is>
          <t>HST0020</t>
        </is>
      </c>
      <c r="D35" s="31" t="inlineStr">
        <is>
          <t>HIDROSTRESS-40, 20 L</t>
        </is>
      </c>
      <c r="E35" s="19" t="n">
        <v>0</v>
      </c>
      <c r="F35" s="19" t="n">
        <v>100</v>
      </c>
      <c r="G35" s="19" t="n">
        <v>100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FITOSANITARIOS CARCAIXENT, S.L.</t>
        </is>
      </c>
      <c r="C36" s="29" t="inlineStr">
        <is>
          <t>PT0005</t>
        </is>
      </c>
      <c r="D36" s="28" t="inlineStr">
        <is>
          <t>AGROPOTASION, 5 L</t>
        </is>
      </c>
      <c r="E36" s="15" t="n">
        <v>0</v>
      </c>
      <c r="F36" s="15" t="n">
        <v>600</v>
      </c>
      <c r="G36" s="15" t="n">
        <v>600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FITOSANITARIOS CARCAIXENT, S.L.</t>
        </is>
      </c>
      <c r="C37" s="32" t="inlineStr">
        <is>
          <t>PT0020</t>
        </is>
      </c>
      <c r="D37" s="31" t="inlineStr">
        <is>
          <t>AGROPOTASION, 20 L</t>
        </is>
      </c>
      <c r="E37" s="19" t="n">
        <v>0</v>
      </c>
      <c r="F37" s="19" t="n">
        <v>1920</v>
      </c>
      <c r="G37" s="19" t="n">
        <v>1920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FITOSANITARIOS DRAGO S.L.U</t>
        </is>
      </c>
      <c r="C38" s="29" t="inlineStr">
        <is>
          <t>AGXK1000</t>
        </is>
      </c>
      <c r="D38" s="28" t="inlineStr">
        <is>
          <t>AGROXILATO-K, 1000 L</t>
        </is>
      </c>
      <c r="E38" s="15" t="n">
        <v>0</v>
      </c>
      <c r="F38" s="15" t="n">
        <v>2000</v>
      </c>
      <c r="G38" s="15" t="n">
        <v>2000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FITOXENT S.C.L.V.</t>
        </is>
      </c>
      <c r="C39" s="32" t="inlineStr">
        <is>
          <t>FTK0005</t>
        </is>
      </c>
      <c r="D39" s="31" t="inlineStr">
        <is>
          <t>FITOKONTROL CA FLOW, 5 KG</t>
        </is>
      </c>
      <c r="E39" s="19" t="n">
        <v>4171.183012912913</v>
      </c>
      <c r="F39" s="19" t="n">
        <v>4400</v>
      </c>
      <c r="G39" s="19" t="n">
        <v>4400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FITOXENT S.C.L.V.</t>
        </is>
      </c>
      <c r="C40" s="29" t="inlineStr">
        <is>
          <t>PT0020</t>
        </is>
      </c>
      <c r="D40" s="28" t="inlineStr">
        <is>
          <t>AGROPOTASION, 20 L</t>
        </is>
      </c>
      <c r="E40" s="15" t="n">
        <v>2426.870116603877</v>
      </c>
      <c r="F40" s="15" t="n">
        <v>1280</v>
      </c>
      <c r="G40" s="15" t="n">
        <v>1280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3" t="inlineStr">
        <is>
          <t>En Curso</t>
        </is>
      </c>
    </row>
    <row r="41">
      <c r="B41" s="31" t="inlineStr">
        <is>
          <t>FITOXENT S.C.L.V.</t>
        </is>
      </c>
      <c r="C41" s="32" t="inlineStr">
        <is>
          <t>S0020</t>
        </is>
      </c>
      <c r="D41" s="31" t="inlineStr">
        <is>
          <t>SALWAX STAR, 20 L</t>
        </is>
      </c>
      <c r="E41" s="19" t="n">
        <v>0</v>
      </c>
      <c r="F41" s="19" t="n">
        <v>200</v>
      </c>
      <c r="G41" s="19" t="n">
        <v>200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 ht="24" customHeight="1">
      <c r="B42" s="21" t="inlineStr">
        <is>
          <t>TOTAL JAVIER</t>
        </is>
      </c>
      <c r="C42" s="34" t="inlineStr">
        <is>
          <t>182 líneas</t>
        </is>
      </c>
      <c r="D42" s="35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37,408 u</t>
        </is>
      </c>
      <c r="C6" s="4" t="n"/>
      <c r="D6" s="25" t="inlineStr">
        <is>
          <t>32,828 u</t>
        </is>
      </c>
      <c r="E6" s="4" t="n"/>
      <c r="F6" s="38" t="inlineStr">
        <is>
          <t>87.8%</t>
        </is>
      </c>
      <c r="G6" s="4" t="n"/>
      <c r="H6" s="38" t="inlineStr">
        <is>
          <t>4,580 u</t>
        </is>
      </c>
      <c r="I6" s="4" t="n"/>
      <c r="J6" s="25" t="inlineStr">
        <is>
          <t>32,828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DOGA TARIM TIC.SAN.VE TUR.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5213.978766141141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DOGA TARIM TIC.SAN.VE TUR.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9479.961392983892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DOGA TARIM TIC.SAN.VE TUR.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9479.961392983892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DOGA TARIM TIC.SAN.VE TUR.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1895.992278596779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AN0005</t>
        </is>
      </c>
      <c r="D14" s="28" t="inlineStr">
        <is>
          <t>ALCAPLANT NEW</t>
        </is>
      </c>
      <c r="E14" s="15" t="n">
        <v>0</v>
      </c>
      <c r="F14" s="15" t="n">
        <v>3300</v>
      </c>
      <c r="G14" s="15" t="n">
        <v>0</v>
      </c>
      <c r="H14" s="15" t="n">
        <v>3300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ÇITAR ÇIÇEK TARIM TIC. LTD. STI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0</v>
      </c>
      <c r="F15" s="19" t="n">
        <v>10060</v>
      </c>
      <c r="G15" s="19" t="n">
        <v>0</v>
      </c>
      <c r="H15" s="19" t="n">
        <v>10060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>ÇITAR ÇIÇEK TARIM TIC. LTD. STI</t>
        </is>
      </c>
      <c r="C16" s="29" t="inlineStr">
        <is>
          <t>BIO1000</t>
        </is>
      </c>
      <c r="D16" s="28" t="inlineStr">
        <is>
          <t>BIORAD-20, 1000 L</t>
        </is>
      </c>
      <c r="E16" s="15" t="n">
        <v>0</v>
      </c>
      <c r="F16" s="15" t="n">
        <v>11000</v>
      </c>
      <c r="G16" s="15" t="n">
        <v>0</v>
      </c>
      <c r="H16" s="15" t="n">
        <v>11000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ÇITAR ÇIÇEK TARIM TIC. LTD. STI</t>
        </is>
      </c>
      <c r="C17" s="32" t="inlineStr">
        <is>
          <t>C-CU1000</t>
        </is>
      </c>
      <c r="D17" s="31" t="inlineStr">
        <is>
          <t>CODICOBRE, 1000 L</t>
        </is>
      </c>
      <c r="E17" s="19" t="n">
        <v>0</v>
      </c>
      <c r="F17" s="19" t="n">
        <v>1000</v>
      </c>
      <c r="G17" s="19" t="n">
        <v>0</v>
      </c>
      <c r="H17" s="19" t="n">
        <v>1000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ÇITAR ÇIÇEK TARIM TIC. LTD. STI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9479.961392983892</v>
      </c>
      <c r="F18" s="15" t="n">
        <v>5500</v>
      </c>
      <c r="G18" s="15" t="n">
        <v>0</v>
      </c>
      <c r="H18" s="15" t="n">
        <v>5500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3" t="inlineStr">
        <is>
          <t>En Curso</t>
        </is>
      </c>
    </row>
    <row r="19">
      <c r="B19" s="31" t="inlineStr">
        <is>
          <t>ÇITAR ÇIÇEK TARIM TIC. LTD. STI</t>
        </is>
      </c>
      <c r="C19" s="32" t="inlineStr">
        <is>
          <t>RUN0001</t>
        </is>
      </c>
      <c r="D19" s="31" t="inlineStr">
        <is>
          <t>RUN STRESS, 1 L</t>
        </is>
      </c>
      <c r="E19" s="19" t="n">
        <v>1858.072433024843</v>
      </c>
      <c r="F19" s="19" t="n">
        <v>1968</v>
      </c>
      <c r="G19" s="19" t="n">
        <v>0</v>
      </c>
      <c r="H19" s="19" t="n">
        <v>1968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Superado</t>
        </is>
      </c>
    </row>
    <row r="20" ht="24" customHeight="1">
      <c r="B20" s="21" t="inlineStr">
        <is>
          <t>TOTAL MEHMET</t>
        </is>
      </c>
      <c r="C20" s="34" t="inlineStr">
        <is>
          <t>65 líneas</t>
        </is>
      </c>
      <c r="D20" s="35" t="inlineStr"/>
      <c r="E20" s="23">
        <f>SUM(E10:E19)</f>
        <v/>
      </c>
      <c r="F20" s="23">
        <f>SUM(F10:F19)</f>
        <v/>
      </c>
      <c r="G20" s="23">
        <f>SUM(G10:G19)</f>
        <v/>
      </c>
      <c r="H20" s="23">
        <f>SUM(H10:H19)</f>
        <v/>
      </c>
      <c r="I20" s="23">
        <f>SUM(I10:I19)</f>
        <v/>
      </c>
      <c r="J20" s="23">
        <f>SUM(J10:J19)</f>
        <v/>
      </c>
      <c r="K20" s="24">
        <f>IF(E20&gt;0, F20/E20, 0)</f>
        <v/>
      </c>
      <c r="L20" s="22">
        <f>IF(K20&gt;=1,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16,438 u</t>
        </is>
      </c>
      <c r="C6" s="4" t="n"/>
      <c r="D6" s="25" t="inlineStr">
        <is>
          <t>5,860 u</t>
        </is>
      </c>
      <c r="E6" s="4" t="n"/>
      <c r="F6" s="38" t="inlineStr">
        <is>
          <t>35.6%</t>
        </is>
      </c>
      <c r="G6" s="4" t="n"/>
      <c r="H6" s="38" t="inlineStr">
        <is>
          <t>10,578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606.7175291509692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284.3988417895168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1213.435058301938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1213.435058301938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2426.870116603877</v>
      </c>
      <c r="F14" s="15" t="n">
        <v>1920</v>
      </c>
      <c r="G14" s="15" t="n">
        <v>1920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COMERCIAL TÉCNICA FITOCARTHAGO, S.L.</t>
        </is>
      </c>
      <c r="C15" s="32" t="inlineStr">
        <is>
          <t>AGXK0200</t>
        </is>
      </c>
      <c r="D15" s="31" t="inlineStr">
        <is>
          <t>AGROXILATO-K, 200 L</t>
        </is>
      </c>
      <c r="E15" s="19" t="n">
        <v>379.1984557193557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AGXK1000</t>
        </is>
      </c>
      <c r="D16" s="28" t="inlineStr">
        <is>
          <t>AGROXILATO-K, 1000 L</t>
        </is>
      </c>
      <c r="E16" s="15" t="n">
        <v>1895.992278596779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2085.591506456457</v>
      </c>
      <c r="F17" s="19" t="n">
        <v>2200</v>
      </c>
      <c r="G17" s="19" t="n">
        <v>2200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Superado</t>
        </is>
      </c>
    </row>
    <row r="18">
      <c r="B18" s="28" t="inlineStr">
        <is>
          <t>COMERCIAL TÉCNICA FITOCARTHAGO, S.L.</t>
        </is>
      </c>
      <c r="C18" s="29" t="inlineStr">
        <is>
          <t>AQUOM0020</t>
        </is>
      </c>
      <c r="D18" s="28" t="inlineStr">
        <is>
          <t>AQUOM, 20 L</t>
        </is>
      </c>
      <c r="E18" s="15" t="n">
        <v>0</v>
      </c>
      <c r="F18" s="15" t="n">
        <v>200</v>
      </c>
      <c r="G18" s="15" t="n">
        <v>200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COMERCIAL TÉCNICA FITOCARTHAGO, S.L.</t>
        </is>
      </c>
      <c r="C19" s="32" t="inlineStr">
        <is>
          <t>S0020</t>
        </is>
      </c>
      <c r="D19" s="31" t="inlineStr">
        <is>
          <t>SAL-WAX STAR, 20 L</t>
        </is>
      </c>
      <c r="E19" s="19" t="n">
        <v>606.7175291509692</v>
      </c>
      <c r="F19" s="19" t="n">
        <v>640</v>
      </c>
      <c r="G19" s="19" t="n">
        <v>640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Superado</t>
        </is>
      </c>
    </row>
    <row r="20">
      <c r="B20" s="28" t="inlineStr">
        <is>
          <t>COMERCIAL TÉCNICA FITOCARTHAGO, S.L.</t>
        </is>
      </c>
      <c r="C20" s="29" t="inlineStr">
        <is>
          <t>S0200</t>
        </is>
      </c>
      <c r="D20" s="28" t="inlineStr">
        <is>
          <t>SAL-WAX STAR, 200 L</t>
        </is>
      </c>
      <c r="E20" s="15" t="n">
        <v>379.1984557193557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COMERCIAL TÉCNICA FITOCARTHAGO, S.L.</t>
        </is>
      </c>
      <c r="C21" s="32" t="inlineStr">
        <is>
          <t>S1000</t>
        </is>
      </c>
      <c r="D21" s="31" t="inlineStr">
        <is>
          <t>SAL-WAX STAR, 1000 L</t>
        </is>
      </c>
      <c r="E21" s="19" t="n">
        <v>4739.980696491946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6" t="inlineStr">
        <is>
          <t>Sin Pedido</t>
        </is>
      </c>
    </row>
    <row r="22">
      <c r="B22" s="28" t="inlineStr">
        <is>
          <t>COMERCIAL TÉCNICA FITOCARTHAGO, S.L.</t>
        </is>
      </c>
      <c r="C22" s="29" t="inlineStr">
        <is>
          <t>SPCE2B0020</t>
        </is>
      </c>
      <c r="D22" s="28" t="inlineStr">
        <is>
          <t>SPRINTENE CON BORO, 20 L</t>
        </is>
      </c>
      <c r="E22" s="15" t="n">
        <v>606.7175291509692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SS0020</t>
        </is>
      </c>
      <c r="D23" s="31" t="inlineStr">
        <is>
          <t>SAL-WAX-Ca sólido, 20 KG</t>
        </is>
      </c>
      <c r="E23" s="19" t="n">
        <v>0</v>
      </c>
      <c r="F23" s="19" t="n">
        <v>400</v>
      </c>
      <c r="G23" s="19" t="n">
        <v>400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FITOMURCIA S.L.</t>
        </is>
      </c>
      <c r="C24" s="29" t="inlineStr">
        <is>
          <t>SPCE2B0020</t>
        </is>
      </c>
      <c r="D24" s="28" t="inlineStr">
        <is>
          <t>SPRINTENE CON BORO, 20 L</t>
        </is>
      </c>
      <c r="E24" s="15" t="n">
        <v>0</v>
      </c>
      <c r="F24" s="15" t="n">
        <v>200</v>
      </c>
      <c r="G24" s="15" t="n">
        <v>200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FITOMURCIA S.L.</t>
        </is>
      </c>
      <c r="C25" s="32" t="inlineStr">
        <is>
          <t>SS0005</t>
        </is>
      </c>
      <c r="D25" s="31" t="inlineStr">
        <is>
          <t>SAL-WAX-Ca sólido, 5 KG</t>
        </is>
      </c>
      <c r="E25" s="19" t="n">
        <v>0</v>
      </c>
      <c r="F25" s="19" t="n">
        <v>300</v>
      </c>
      <c r="G25" s="19" t="n">
        <v>300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 ht="24" customHeight="1">
      <c r="B26" s="21" t="inlineStr">
        <is>
          <t>TOTAL PEDRO</t>
        </is>
      </c>
      <c r="C26" s="34" t="inlineStr">
        <is>
          <t>103 líneas</t>
        </is>
      </c>
      <c r="D26" s="35" t="inlineStr"/>
      <c r="E26" s="23">
        <f>SUM(E10:E25)</f>
        <v/>
      </c>
      <c r="F26" s="23">
        <f>SUM(F10:F25)</f>
        <v/>
      </c>
      <c r="G26" s="23">
        <f>SUM(G10:G25)</f>
        <v/>
      </c>
      <c r="H26" s="23">
        <f>SUM(H10:H25)</f>
        <v/>
      </c>
      <c r="I26" s="23">
        <f>SUM(I10:I25)</f>
        <v/>
      </c>
      <c r="J26" s="23">
        <f>SUM(J10:J25)</f>
        <v/>
      </c>
      <c r="K26" s="24">
        <f>IF(E26&gt;0, F26/E26, 0)</f>
        <v/>
      </c>
      <c r="L26" s="22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32" customWidth="1" min="4" max="4"/>
    <col width="14" customWidth="1" min="5" max="5"/>
    <col width="14" customWidth="1" min="6" max="6"/>
    <col width="13" customWidth="1" min="7" max="7"/>
    <col width="13" customWidth="1" min="8" max="8"/>
    <col width="16" customWidth="1" min="9" max="9"/>
    <col width="15" customWidth="1" min="10" max="10"/>
    <col width="12" customWidth="1" min="11" max="11"/>
    <col width="14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22/09/2026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43,608 u</t>
        </is>
      </c>
      <c r="C6" s="4" t="n"/>
      <c r="D6" s="25" t="inlineStr">
        <is>
          <t>31,850 u</t>
        </is>
      </c>
      <c r="E6" s="4" t="n"/>
      <c r="F6" s="38" t="inlineStr">
        <is>
          <t>73.0%</t>
        </is>
      </c>
      <c r="G6" s="4" t="n"/>
      <c r="H6" s="38" t="inlineStr">
        <is>
          <t>11,758 u</t>
        </is>
      </c>
      <c r="I6" s="4" t="n"/>
      <c r="J6" s="25" t="inlineStr">
        <is>
          <t>8,800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Conseguir (u)</t>
        </is>
      </c>
      <c r="J9" s="12" t="inlineStr">
        <is>
          <t>Desviación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AIFAR S.P.A</t>
        </is>
      </c>
      <c r="C10" s="29" t="inlineStr">
        <is>
          <t>FIORI1000</t>
        </is>
      </c>
      <c r="D10" s="28" t="inlineStr">
        <is>
          <t>RADIFIORI, 1000 L</t>
        </is>
      </c>
      <c r="E10" s="15" t="n">
        <v>0</v>
      </c>
      <c r="F10" s="15" t="n">
        <v>3000</v>
      </c>
      <c r="G10" s="15" t="n">
        <v>3000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Extra Budget</t>
        </is>
      </c>
    </row>
    <row r="11">
      <c r="B11" s="31" t="inlineStr">
        <is>
          <t>ECUAQUIMICA</t>
        </is>
      </c>
      <c r="C11" s="32" t="inlineStr">
        <is>
          <t>AN0005</t>
        </is>
      </c>
      <c r="D11" s="31" t="inlineStr">
        <is>
          <t>ALCAPLANT NEW</t>
        </is>
      </c>
      <c r="E11" s="19" t="n">
        <v>0</v>
      </c>
      <c r="F11" s="19" t="n">
        <v>2200</v>
      </c>
      <c r="G11" s="19" t="n">
        <v>0</v>
      </c>
      <c r="H11" s="19" t="n">
        <v>2200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ECUAQUIMICA</t>
        </is>
      </c>
      <c r="C12" s="29" t="inlineStr">
        <is>
          <t>AN0020</t>
        </is>
      </c>
      <c r="D12" s="28" t="inlineStr">
        <is>
          <t>ALCAPLANT NEW</t>
        </is>
      </c>
      <c r="E12" s="15" t="n">
        <v>0</v>
      </c>
      <c r="F12" s="15" t="n">
        <v>6600</v>
      </c>
      <c r="G12" s="15" t="n">
        <v>0</v>
      </c>
      <c r="H12" s="15" t="n">
        <v>6600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EUROFERTIL, S.A.</t>
        </is>
      </c>
      <c r="C13" s="32" t="inlineStr">
        <is>
          <t>F-A1000</t>
        </is>
      </c>
      <c r="D13" s="31" t="inlineStr">
        <is>
          <t>FITOLIN AGRO</t>
        </is>
      </c>
      <c r="E13" s="19" t="n">
        <v>1895.992278596779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 xml:space="preserve">EUROFERTIL, S.A.    </t>
        </is>
      </c>
      <c r="C14" s="29" t="inlineStr">
        <is>
          <t>AGXCR1000</t>
        </is>
      </c>
      <c r="D14" s="28" t="inlineStr">
        <is>
          <t>AGROXILATO-K, 1000 L</t>
        </is>
      </c>
      <c r="E14" s="15" t="n">
        <v>0</v>
      </c>
      <c r="F14" s="15" t="n">
        <v>3000</v>
      </c>
      <c r="G14" s="15" t="n">
        <v>3000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 xml:space="preserve">EUROFERTIL, S.A.    </t>
        </is>
      </c>
      <c r="C15" s="32" t="inlineStr">
        <is>
          <t>AN0005</t>
        </is>
      </c>
      <c r="D15" s="31" t="inlineStr">
        <is>
          <t>ALCAPLANT, 5 KG</t>
        </is>
      </c>
      <c r="E15" s="19" t="n">
        <v>0</v>
      </c>
      <c r="F15" s="19" t="n">
        <v>3300</v>
      </c>
      <c r="G15" s="19" t="n">
        <v>3300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 xml:space="preserve">EUROFERTIL, S.A.    </t>
        </is>
      </c>
      <c r="C16" s="29" t="inlineStr">
        <is>
          <t>AN0020</t>
        </is>
      </c>
      <c r="D16" s="28" t="inlineStr">
        <is>
          <t>ALCAPLANT, 20 KG</t>
        </is>
      </c>
      <c r="E16" s="15" t="n">
        <v>0</v>
      </c>
      <c r="F16" s="15" t="n">
        <v>4400</v>
      </c>
      <c r="G16" s="15" t="n">
        <v>4400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 xml:space="preserve">EUROFERTIL, S.A.    </t>
        </is>
      </c>
      <c r="C17" s="32" t="inlineStr">
        <is>
          <t>B1000</t>
        </is>
      </c>
      <c r="D17" s="31" t="inlineStr">
        <is>
          <t>FORTALEZA, 1000 L</t>
        </is>
      </c>
      <c r="E17" s="19" t="n">
        <v>0</v>
      </c>
      <c r="F17" s="19" t="n">
        <v>2000</v>
      </c>
      <c r="G17" s="19" t="n">
        <v>2000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 xml:space="preserve">EUROFERTIL, S.A.    </t>
        </is>
      </c>
      <c r="C18" s="29" t="inlineStr">
        <is>
          <t>C-CU1000</t>
        </is>
      </c>
      <c r="D18" s="28" t="inlineStr">
        <is>
          <t>CODICOBRE, 1000 L</t>
        </is>
      </c>
      <c r="E18" s="15" t="n">
        <v>0</v>
      </c>
      <c r="F18" s="15" t="n">
        <v>1000</v>
      </c>
      <c r="G18" s="15" t="n">
        <v>1000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 xml:space="preserve">EUROFERTIL, S.A.    </t>
        </is>
      </c>
      <c r="C19" s="32" t="inlineStr">
        <is>
          <t>CODIR1000</t>
        </is>
      </c>
      <c r="D19" s="31" t="inlineStr">
        <is>
          <t>CODIRESIST, 1000 L</t>
        </is>
      </c>
      <c r="E19" s="19" t="n">
        <v>0</v>
      </c>
      <c r="F19" s="19" t="n">
        <v>1000</v>
      </c>
      <c r="G19" s="19" t="n">
        <v>1000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 xml:space="preserve">EUROFERTIL, S.A.    </t>
        </is>
      </c>
      <c r="C20" s="29" t="inlineStr">
        <is>
          <t>DECA0005</t>
        </is>
      </c>
      <c r="D20" s="28" t="inlineStr">
        <is>
          <t>DEFENS-CA-AE, 5 KG</t>
        </is>
      </c>
      <c r="E20" s="15" t="n">
        <v>0</v>
      </c>
      <c r="F20" s="15" t="n">
        <v>750</v>
      </c>
      <c r="G20" s="15" t="n">
        <v>750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 xml:space="preserve">EUROFERTIL, S.A.    </t>
        </is>
      </c>
      <c r="C21" s="32" t="inlineStr">
        <is>
          <t>F-A1000</t>
        </is>
      </c>
      <c r="D21" s="31" t="inlineStr">
        <is>
          <t xml:space="preserve">FITOLIN AGRO, 1000 L </t>
        </is>
      </c>
      <c r="E21" s="19" t="n">
        <v>0</v>
      </c>
      <c r="F21" s="19" t="n">
        <v>1000</v>
      </c>
      <c r="G21" s="19" t="n">
        <v>1000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 xml:space="preserve">EUROFERTIL, S.A.    </t>
        </is>
      </c>
      <c r="C22" s="29" t="inlineStr">
        <is>
          <t>NB1000</t>
        </is>
      </c>
      <c r="D22" s="28" t="inlineStr">
        <is>
          <t>NITROBALANCE, 1000 L</t>
        </is>
      </c>
      <c r="E22" s="15" t="n">
        <v>0</v>
      </c>
      <c r="F22" s="15" t="n">
        <v>2000</v>
      </c>
      <c r="G22" s="15" t="n">
        <v>2000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 xml:space="preserve">EUROFERTIL, S.A.    </t>
        </is>
      </c>
      <c r="C23" s="32" t="inlineStr">
        <is>
          <t>SS0020</t>
        </is>
      </c>
      <c r="D23" s="31" t="inlineStr">
        <is>
          <t>SAL WAX MAX, 20 KG</t>
        </is>
      </c>
      <c r="E23" s="19" t="n">
        <v>0</v>
      </c>
      <c r="F23" s="19" t="n">
        <v>1600</v>
      </c>
      <c r="G23" s="19" t="n">
        <v>1600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LEKKERBIO B.V.</t>
        </is>
      </c>
      <c r="C24" s="29" t="inlineStr">
        <is>
          <t>AO0020</t>
        </is>
      </c>
      <c r="D24" s="28" t="inlineStr">
        <is>
          <t>ALCAPLANT NEW</t>
        </is>
      </c>
      <c r="E24" s="15" t="n">
        <v>41711.83012912912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 ht="24" customHeight="1">
      <c r="B25" s="21" t="inlineStr">
        <is>
          <t>TOTAL RICARDO</t>
        </is>
      </c>
      <c r="C25" s="34" t="inlineStr">
        <is>
          <t>125 líneas</t>
        </is>
      </c>
      <c r="D25" s="35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2026-09-23T10:32:14Z</dcterms:created>
  <dcterms:modified xmlns:dcterms="http://purl.org/dc/terms/" xmlns:xsi="http://www.w3.org/2001/XMLSchema-instance" xsi:type="dcterms:W3CDTF">2026-09-23T10:32:14Z</dcterms:modified>
</cp:coreProperties>
</file>