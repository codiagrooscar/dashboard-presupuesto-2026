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Budget Septiembre (Unidades) vs Pedidos Reales a Fecha 25/09/2026 | Generado: 25/09/2026 07:24</t>
        </is>
      </c>
    </row>
    <row r="5" ht="18" customHeight="1">
      <c r="B5" s="3" t="inlineStr">
        <is>
          <t>BUDGET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186,385 u</t>
        </is>
      </c>
      <c r="E6" s="4" t="n"/>
      <c r="F6" s="8" t="inlineStr">
        <is>
          <t>102.4%</t>
        </is>
      </c>
      <c r="G6" s="4" t="n"/>
      <c r="H6" s="9" t="inlineStr">
        <is>
          <t>39,570 u</t>
        </is>
      </c>
      <c r="I6" s="4" t="n"/>
      <c r="J6" s="7" t="inlineStr">
        <is>
          <t>103,628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Budget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10</v>
      </c>
      <c r="D10" s="14" t="n">
        <v>2320</v>
      </c>
      <c r="E10" s="14" t="n">
        <v>10110</v>
      </c>
      <c r="F10" s="14" t="n">
        <v>10110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5</v>
      </c>
      <c r="D11" s="18" t="n">
        <v>37832</v>
      </c>
      <c r="E11" s="18" t="n">
        <v>52772</v>
      </c>
      <c r="F11" s="18" t="n">
        <v>3556</v>
      </c>
      <c r="G11" s="18" t="n">
        <v>49216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12806</v>
      </c>
      <c r="F12" s="14" t="n">
        <v>12806</v>
      </c>
      <c r="G12" s="14" t="n">
        <v>0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38359</v>
      </c>
      <c r="F13" s="18" t="n">
        <v>25575</v>
      </c>
      <c r="G13" s="18" t="n">
        <v>12784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32828</v>
      </c>
      <c r="F14" s="14" t="n">
        <v>0</v>
      </c>
      <c r="G14" s="14" t="n">
        <v>32828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7660</v>
      </c>
      <c r="F15" s="18" t="n">
        <v>7660</v>
      </c>
      <c r="G15" s="18" t="n">
        <v>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31850</v>
      </c>
      <c r="F16" s="14" t="n">
        <v>23050</v>
      </c>
      <c r="G16" s="14" t="n">
        <v>8800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10,110 u</t>
        </is>
      </c>
      <c r="E6" s="4" t="n"/>
      <c r="F6" s="25" t="inlineStr">
        <is>
          <t>435.8%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AGROTÉCNICA DEL NORTE, S.L</t>
        </is>
      </c>
      <c r="C12" s="28" t="inlineStr">
        <is>
          <t>A-50(2)0005</t>
        </is>
      </c>
      <c r="D12" s="27" t="inlineStr">
        <is>
          <t>CODIORGAN-A50, 5 KG</t>
        </is>
      </c>
      <c r="E12" s="14" t="n">
        <v>0</v>
      </c>
      <c r="F12" s="14" t="n">
        <v>300</v>
      </c>
      <c r="G12" s="14" t="n">
        <v>300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Budget</t>
        </is>
      </c>
    </row>
    <row r="13">
      <c r="B13" s="30" t="inlineStr">
        <is>
          <t>AGROTÉCNICA DEL NORTE, S.L</t>
        </is>
      </c>
      <c r="C13" s="31" t="inlineStr">
        <is>
          <t>AGRMG0005</t>
        </is>
      </c>
      <c r="D13" s="30" t="inlineStr">
        <is>
          <t>AGROXIGREEN-MG, 5 L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AGROVEYCA,S.L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400</v>
      </c>
      <c r="G14" s="14" t="n">
        <v>400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>AGROVEYCA,S.L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400</v>
      </c>
      <c r="F15" s="18" t="n">
        <v>320</v>
      </c>
      <c r="G15" s="18" t="n">
        <v>320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ASOC. HORTICULTORES DE VILLA DEL PRADO</t>
        </is>
      </c>
      <c r="C16" s="28" t="inlineStr">
        <is>
          <t>A-50(2)0005</t>
        </is>
      </c>
      <c r="D16" s="27" t="inlineStr">
        <is>
          <t>CODIORGAN A-50, 5 KG</t>
        </is>
      </c>
      <c r="E16" s="14" t="n">
        <v>0</v>
      </c>
      <c r="F16" s="14" t="n">
        <v>50</v>
      </c>
      <c r="G16" s="14" t="n">
        <v>50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>ASOC. HORTICULTORES DE VILLA DEL PRADO</t>
        </is>
      </c>
      <c r="C17" s="31" t="inlineStr">
        <is>
          <t>AVAN0005</t>
        </is>
      </c>
      <c r="D17" s="30" t="inlineStr">
        <is>
          <t>FLORAMEC AVANCE, 5 L</t>
        </is>
      </c>
      <c r="E17" s="18" t="n">
        <v>0</v>
      </c>
      <c r="F17" s="18" t="n">
        <v>100</v>
      </c>
      <c r="G17" s="18" t="n">
        <v>100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>ASOC. HORTICULTORES DE VILLA DEL PRADO</t>
        </is>
      </c>
      <c r="C18" s="28" t="inlineStr">
        <is>
          <t>C-CU0005</t>
        </is>
      </c>
      <c r="D18" s="27" t="inlineStr">
        <is>
          <t>CODICOBRE, 5 L</t>
        </is>
      </c>
      <c r="E18" s="14" t="n">
        <v>0</v>
      </c>
      <c r="F18" s="14" t="n">
        <v>20</v>
      </c>
      <c r="G18" s="14" t="n">
        <v>20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ASOC. HORTICULTORES DE VILLA DEL PRADO</t>
        </is>
      </c>
      <c r="C19" s="31" t="inlineStr">
        <is>
          <t>S0020</t>
        </is>
      </c>
      <c r="D19" s="30" t="inlineStr">
        <is>
          <t>SALWAX STAR, 20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BARDENAS COMERCIAL, S.L.</t>
        </is>
      </c>
      <c r="C20" s="28" t="inlineStr">
        <is>
          <t>AGRMG0005</t>
        </is>
      </c>
      <c r="D20" s="27" t="inlineStr">
        <is>
          <t>AGROXIGREEN-MG, 5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BARDENAS COMERCIAL, S.L.</t>
        </is>
      </c>
      <c r="C21" s="31" t="inlineStr">
        <is>
          <t>PT0005</t>
        </is>
      </c>
      <c r="D21" s="30" t="inlineStr">
        <is>
          <t>AGROPOTASION, 5 L</t>
        </is>
      </c>
      <c r="E21" s="18" t="n">
        <v>0</v>
      </c>
      <c r="F21" s="18" t="n">
        <v>300</v>
      </c>
      <c r="G21" s="18" t="n">
        <v>300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COMERCIAL NORTE AGROCAMPO, S.L.</t>
        </is>
      </c>
      <c r="C22" s="28" t="inlineStr">
        <is>
          <t>A-50(2)0020</t>
        </is>
      </c>
      <c r="D22" s="27" t="inlineStr">
        <is>
          <t>CODIORGAN-A50, 20 KG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Budget</t>
        </is>
      </c>
    </row>
    <row r="23">
      <c r="B23" s="30" t="inlineStr">
        <is>
          <t>COMERCIAL NORTE AGROCAMPO, S.L.</t>
        </is>
      </c>
      <c r="C23" s="31" t="inlineStr">
        <is>
          <t>AN0005</t>
        </is>
      </c>
      <c r="D23" s="30" t="inlineStr">
        <is>
          <t>ALCAPLANT NEW, 5 KG</t>
        </is>
      </c>
      <c r="E23" s="18" t="n">
        <v>0</v>
      </c>
      <c r="F23" s="18" t="n">
        <v>20</v>
      </c>
      <c r="G23" s="18" t="n">
        <v>20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COMERCIAL NORTE AGROCAMPO, S.L.</t>
        </is>
      </c>
      <c r="C24" s="28" t="inlineStr">
        <is>
          <t>BR-590005</t>
        </is>
      </c>
      <c r="D24" s="27" t="inlineStr">
        <is>
          <t>BR-59, 5 KG</t>
        </is>
      </c>
      <c r="E24" s="14" t="n">
        <v>0</v>
      </c>
      <c r="F24" s="14" t="n">
        <v>60</v>
      </c>
      <c r="G24" s="14" t="n">
        <v>60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Budget</t>
        </is>
      </c>
    </row>
    <row r="25">
      <c r="B25" s="30" t="inlineStr">
        <is>
          <t>COMERCIAL NORTE AGROCAMPO, S.L.</t>
        </is>
      </c>
      <c r="C25" s="31" t="inlineStr">
        <is>
          <t>BROTA0020</t>
        </is>
      </c>
      <c r="D25" s="30" t="inlineStr">
        <is>
          <t>BROTAMEC, 20 L</t>
        </is>
      </c>
      <c r="E25" s="18" t="n">
        <v>0</v>
      </c>
      <c r="F25" s="18" t="n">
        <v>20</v>
      </c>
      <c r="G25" s="18" t="n">
        <v>20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Budget</t>
        </is>
      </c>
    </row>
    <row r="26">
      <c r="B26" s="27" t="inlineStr">
        <is>
          <t>COMERCIAL NORTE AGROCAMPO, S.L.</t>
        </is>
      </c>
      <c r="C26" s="28" t="inlineStr">
        <is>
          <t>C-CU0005</t>
        </is>
      </c>
      <c r="D26" s="27" t="inlineStr">
        <is>
          <t>CODICOBRE, 5 L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COMERCIAL NORTE AGROCAMPO, S.L.</t>
        </is>
      </c>
      <c r="C27" s="31" t="inlineStr">
        <is>
          <t>PT0020</t>
        </is>
      </c>
      <c r="D27" s="30" t="inlineStr">
        <is>
          <t>AGROPOTASION, 20 L</t>
        </is>
      </c>
      <c r="E27" s="18" t="n">
        <v>0</v>
      </c>
      <c r="F27" s="18" t="n">
        <v>20</v>
      </c>
      <c r="G27" s="18" t="n">
        <v>20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COMERCIAL NORTE AGROCAMPO, S.L.</t>
        </is>
      </c>
      <c r="C28" s="28" t="inlineStr">
        <is>
          <t>S0020</t>
        </is>
      </c>
      <c r="D28" s="27" t="inlineStr">
        <is>
          <t>SALWAX STAR, 20 L</t>
        </is>
      </c>
      <c r="E28" s="14" t="n">
        <v>0</v>
      </c>
      <c r="F28" s="14" t="n">
        <v>40</v>
      </c>
      <c r="G28" s="14" t="n">
        <v>40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MAJ AGROQUIMICOS S.L.</t>
        </is>
      </c>
      <c r="C29" s="31" t="inlineStr">
        <is>
          <t>CPLUS0005</t>
        </is>
      </c>
      <c r="D29" s="30" t="inlineStr">
        <is>
          <t>CALCIPLUS,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SAFIAGRO, S.A.</t>
        </is>
      </c>
      <c r="C30" s="28" t="inlineStr">
        <is>
          <t>AGXK0020</t>
        </is>
      </c>
      <c r="D30" s="27" t="inlineStr">
        <is>
          <t>AGROXILATO-K, 20 L</t>
        </is>
      </c>
      <c r="E30" s="14" t="n">
        <v>0</v>
      </c>
      <c r="F30" s="14" t="n">
        <v>640</v>
      </c>
      <c r="G30" s="14" t="n">
        <v>640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T.J AGRICULTURA S.L.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Budget</t>
        </is>
      </c>
    </row>
    <row r="32">
      <c r="B32" s="27" t="inlineStr">
        <is>
          <t>T.J AGRICULTURA S.L.</t>
        </is>
      </c>
      <c r="C32" s="28" t="inlineStr">
        <is>
          <t>SS0020</t>
        </is>
      </c>
      <c r="D32" s="27" t="inlineStr">
        <is>
          <t>SALWAX-CA, 20 KG</t>
        </is>
      </c>
      <c r="E32" s="14" t="n">
        <v>0</v>
      </c>
      <c r="F32" s="14" t="n">
        <v>500</v>
      </c>
      <c r="G32" s="14" t="n">
        <v>500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Budget</t>
        </is>
      </c>
    </row>
    <row r="33">
      <c r="B33" s="30" t="inlineStr">
        <is>
          <t>VILLALTA SATIVUM, S.L.</t>
        </is>
      </c>
      <c r="C33" s="31" t="inlineStr">
        <is>
          <t>WHITE0020</t>
        </is>
      </c>
      <c r="D33" s="30" t="inlineStr">
        <is>
          <t>AGROWHITE, 20 KG</t>
        </is>
      </c>
      <c r="E33" s="18" t="n">
        <v>0</v>
      </c>
      <c r="F33" s="18" t="n">
        <v>2800</v>
      </c>
      <c r="G33" s="18" t="n">
        <v>2800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 ht="24" customHeight="1">
      <c r="B34" s="20" t="inlineStr">
        <is>
          <t>TOTAL ALFONSO</t>
        </is>
      </c>
      <c r="C34" s="33" t="inlineStr">
        <is>
          <t>279 líneas</t>
        </is>
      </c>
      <c r="D34" s="34" t="inlineStr"/>
      <c r="E34" s="22">
        <f>SUM(E10:E33)</f>
        <v/>
      </c>
      <c r="F34" s="22">
        <f>SUM(F10:F33)</f>
        <v/>
      </c>
      <c r="G34" s="22">
        <f>SUM(G10:G33)</f>
        <v/>
      </c>
      <c r="H34" s="22">
        <f>SUM(H10:H33)</f>
        <v/>
      </c>
      <c r="I34" s="22">
        <f>SUM(I10:I33)</f>
        <v/>
      </c>
      <c r="J34" s="22">
        <f>SUM(J10:J33)</f>
        <v/>
      </c>
      <c r="K34" s="23">
        <f>IF(E34&gt;0, F34/E34, 0)</f>
        <v/>
      </c>
      <c r="L34" s="21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52,772 u</t>
        </is>
      </c>
      <c r="E6" s="4" t="n"/>
      <c r="F6" s="25" t="inlineStr">
        <is>
          <t>139.5%</t>
        </is>
      </c>
      <c r="G6" s="4" t="n"/>
      <c r="H6" s="25" t="inlineStr">
        <is>
          <t>0 u</t>
        </is>
      </c>
      <c r="I6" s="4" t="n"/>
      <c r="J6" s="24" t="inlineStr">
        <is>
          <t>49,216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6" t="inlineStr">
        <is>
          <t>Rezagado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5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0</v>
      </c>
      <c r="H25" s="18" t="n">
        <v>21000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0</v>
      </c>
      <c r="H26" s="14" t="n">
        <v>400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0</v>
      </c>
      <c r="H27" s="18" t="n">
        <v>504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0</v>
      </c>
      <c r="H28" s="14" t="n">
        <v>800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0</v>
      </c>
      <c r="H29" s="18" t="n">
        <v>1080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0</v>
      </c>
      <c r="H30" s="14" t="n">
        <v>17500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INIESTA DEL PINO DISTRIBUCIONES S.L.U</t>
        </is>
      </c>
      <c r="C31" s="31" t="inlineStr">
        <is>
          <t>AGXK0020</t>
        </is>
      </c>
      <c r="D31" s="30" t="inlineStr">
        <is>
          <t>AGROXILATO-K,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INIESTA DEL PINO DISTRIBUCIONES S.L.U</t>
        </is>
      </c>
      <c r="C32" s="28" t="inlineStr">
        <is>
          <t>TRI0005</t>
        </is>
      </c>
      <c r="D32" s="27" t="inlineStr">
        <is>
          <t>TRIFENO-94, 5L</t>
        </is>
      </c>
      <c r="E32" s="14" t="n">
        <v>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SC MARCOSER S.R.L.</t>
        </is>
      </c>
      <c r="C33" s="31" t="inlineStr">
        <is>
          <t>A-500001</t>
        </is>
      </c>
      <c r="D33" s="30" t="inlineStr">
        <is>
          <t>CODIORGAN  A-50</t>
        </is>
      </c>
      <c r="E33" s="18" t="n">
        <v>0</v>
      </c>
      <c r="F33" s="18" t="n">
        <v>1056</v>
      </c>
      <c r="G33" s="18" t="n">
        <v>0</v>
      </c>
      <c r="H33" s="18" t="n">
        <v>1056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>
      <c r="B34" s="27" t="inlineStr">
        <is>
          <t>SC MARCOSER S.R.L.</t>
        </is>
      </c>
      <c r="C34" s="28" t="inlineStr">
        <is>
          <t>AGMG0001</t>
        </is>
      </c>
      <c r="D34" s="27" t="inlineStr">
        <is>
          <t>AGROXILATO Mg</t>
        </is>
      </c>
      <c r="E34" s="14" t="n">
        <v>0</v>
      </c>
      <c r="F34" s="14" t="n">
        <v>528</v>
      </c>
      <c r="G34" s="14" t="n">
        <v>0</v>
      </c>
      <c r="H34" s="14" t="n">
        <v>528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Budget</t>
        </is>
      </c>
    </row>
    <row r="35">
      <c r="B35" s="30" t="inlineStr">
        <is>
          <t>SC MARCOSER S.R.L.</t>
        </is>
      </c>
      <c r="C35" s="31" t="inlineStr">
        <is>
          <t>AGXKAEP0001</t>
        </is>
      </c>
      <c r="D35" s="30" t="inlineStr">
        <is>
          <t>BIOCULTURE POTASIO PLUS, 1 L</t>
        </is>
      </c>
      <c r="E35" s="18" t="n">
        <v>0</v>
      </c>
      <c r="F35" s="18" t="n">
        <v>396</v>
      </c>
      <c r="G35" s="18" t="n">
        <v>0</v>
      </c>
      <c r="H35" s="18" t="n">
        <v>396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SC MARCOSER S.R.L.</t>
        </is>
      </c>
      <c r="C36" s="28" t="inlineStr">
        <is>
          <t>BIO0001</t>
        </is>
      </c>
      <c r="D36" s="27" t="inlineStr">
        <is>
          <t>BIORAD-20</t>
        </is>
      </c>
      <c r="E36" s="14" t="n">
        <v>0</v>
      </c>
      <c r="F36" s="14" t="n">
        <v>792</v>
      </c>
      <c r="G36" s="14" t="n">
        <v>0</v>
      </c>
      <c r="H36" s="14" t="n">
        <v>792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Budget</t>
        </is>
      </c>
    </row>
    <row r="37">
      <c r="B37" s="30" t="inlineStr">
        <is>
          <t>SC MARCOSER S.R.L.</t>
        </is>
      </c>
      <c r="C37" s="31" t="inlineStr">
        <is>
          <t>BIO0005</t>
        </is>
      </c>
      <c r="D37" s="30" t="inlineStr">
        <is>
          <t>BIORAD-20</t>
        </is>
      </c>
      <c r="E37" s="18" t="n">
        <v>0</v>
      </c>
      <c r="F37" s="18" t="n">
        <v>600</v>
      </c>
      <c r="G37" s="18" t="n">
        <v>0</v>
      </c>
      <c r="H37" s="18" t="n">
        <v>600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Budget</t>
        </is>
      </c>
    </row>
    <row r="38">
      <c r="B38" s="27" t="inlineStr">
        <is>
          <t>SC MARCOSER S.R.L.</t>
        </is>
      </c>
      <c r="C38" s="28" t="inlineStr">
        <is>
          <t>BIO0020</t>
        </is>
      </c>
      <c r="D38" s="27" t="inlineStr">
        <is>
          <t>BIORAD-20</t>
        </is>
      </c>
      <c r="E38" s="14" t="n">
        <v>0</v>
      </c>
      <c r="F38" s="14" t="n">
        <v>640</v>
      </c>
      <c r="G38" s="14" t="n">
        <v>0</v>
      </c>
      <c r="H38" s="14" t="n">
        <v>640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Budget</t>
        </is>
      </c>
    </row>
    <row r="39">
      <c r="B39" s="30" t="inlineStr">
        <is>
          <t>SC MARCOSER S.R.L.</t>
        </is>
      </c>
      <c r="C39" s="31" t="inlineStr">
        <is>
          <t>C-L0001</t>
        </is>
      </c>
      <c r="D39" s="30" t="inlineStr">
        <is>
          <t>CODIBOR-L</t>
        </is>
      </c>
      <c r="E39" s="18" t="n">
        <v>0</v>
      </c>
      <c r="F39" s="18" t="n">
        <v>792</v>
      </c>
      <c r="G39" s="18" t="n">
        <v>0</v>
      </c>
      <c r="H39" s="18" t="n">
        <v>792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Budget</t>
        </is>
      </c>
    </row>
    <row r="40">
      <c r="B40" s="27" t="inlineStr">
        <is>
          <t>SC MARCOSER S.R.L.</t>
        </is>
      </c>
      <c r="C40" s="28" t="inlineStr">
        <is>
          <t>P-5X0020RU</t>
        </is>
      </c>
      <c r="D40" s="27" t="inlineStr">
        <is>
          <t>P.M.S. 5x, 20 L</t>
        </is>
      </c>
      <c r="E40" s="14" t="n">
        <v>0</v>
      </c>
      <c r="F40" s="14" t="n">
        <v>640</v>
      </c>
      <c r="G40" s="14" t="n">
        <v>0</v>
      </c>
      <c r="H40" s="14" t="n">
        <v>640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Budget</t>
        </is>
      </c>
    </row>
    <row r="41">
      <c r="B41" s="30" t="inlineStr">
        <is>
          <t>SC MARCOSER S.R.L.</t>
        </is>
      </c>
      <c r="C41" s="31" t="inlineStr">
        <is>
          <t>SPCE0001</t>
        </is>
      </c>
      <c r="D41" s="30" t="inlineStr">
        <is>
          <t>SPRINTENE</t>
        </is>
      </c>
      <c r="E41" s="18" t="n">
        <v>0</v>
      </c>
      <c r="F41" s="18" t="n">
        <v>792</v>
      </c>
      <c r="G41" s="18" t="n">
        <v>0</v>
      </c>
      <c r="H41" s="18" t="n">
        <v>792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Budget</t>
        </is>
      </c>
    </row>
    <row r="42">
      <c r="B42" s="27" t="inlineStr">
        <is>
          <t>SC MARCOSER S.R.L.</t>
        </is>
      </c>
      <c r="C42" s="28" t="inlineStr">
        <is>
          <t>SPCE0020</t>
        </is>
      </c>
      <c r="D42" s="27" t="inlineStr">
        <is>
          <t>SPRINTENE</t>
        </is>
      </c>
      <c r="E42" s="14" t="n">
        <v>0</v>
      </c>
      <c r="F42" s="14" t="n">
        <v>640</v>
      </c>
      <c r="G42" s="14" t="n">
        <v>0</v>
      </c>
      <c r="H42" s="14" t="n">
        <v>640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Budget</t>
        </is>
      </c>
    </row>
    <row r="43">
      <c r="B43" s="30" t="inlineStr">
        <is>
          <t>SC MARCOSER S.R.L.</t>
        </is>
      </c>
      <c r="C43" s="31" t="inlineStr">
        <is>
          <t>SS0001</t>
        </is>
      </c>
      <c r="D43" s="30" t="inlineStr">
        <is>
          <t>SAL-WAX Ca</t>
        </is>
      </c>
      <c r="E43" s="18" t="n">
        <v>0</v>
      </c>
      <c r="F43" s="18" t="n">
        <v>1056</v>
      </c>
      <c r="G43" s="18" t="n">
        <v>0</v>
      </c>
      <c r="H43" s="18" t="n">
        <v>1056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>
      <c r="B44" s="27" t="inlineStr">
        <is>
          <t>SERVIAGRI´ 97, S.L.</t>
        </is>
      </c>
      <c r="C44" s="28" t="inlineStr">
        <is>
          <t>AGXK0005</t>
        </is>
      </c>
      <c r="D44" s="27" t="inlineStr">
        <is>
          <t>AGROXILATO-K, 5 L</t>
        </is>
      </c>
      <c r="E44" s="14" t="n">
        <v>200</v>
      </c>
      <c r="F44" s="14" t="n">
        <v>0</v>
      </c>
      <c r="G44" s="14" t="n">
        <v>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35" t="inlineStr">
        <is>
          <t>Sin Pedido</t>
        </is>
      </c>
    </row>
    <row r="45">
      <c r="B45" s="30" t="inlineStr">
        <is>
          <t>SERVIAGRI´ 97, S.L.</t>
        </is>
      </c>
      <c r="C45" s="31" t="inlineStr">
        <is>
          <t>AGXK0020</t>
        </is>
      </c>
      <c r="D45" s="30" t="inlineStr">
        <is>
          <t>AGROXILATO-K, 20 L</t>
        </is>
      </c>
      <c r="E45" s="18" t="n">
        <v>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Budget</t>
        </is>
      </c>
    </row>
    <row r="46">
      <c r="B46" s="27" t="inlineStr">
        <is>
          <t>SERVIAGRI´ 97, S.L.</t>
        </is>
      </c>
      <c r="C46" s="28" t="inlineStr">
        <is>
          <t>AVAN0005</t>
        </is>
      </c>
      <c r="D46" s="27" t="inlineStr">
        <is>
          <t>FLORAMEC AVANCE, 5 L</t>
        </is>
      </c>
      <c r="E46" s="14" t="n">
        <v>100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SERVIAGRI´ 97, S.L.</t>
        </is>
      </c>
      <c r="C47" s="31" t="inlineStr">
        <is>
          <t>B0001</t>
        </is>
      </c>
      <c r="D47" s="30" t="inlineStr">
        <is>
          <t>BOROCAL,1 L</t>
        </is>
      </c>
      <c r="E47" s="18" t="n">
        <v>12</v>
      </c>
      <c r="F47" s="18" t="n">
        <v>12</v>
      </c>
      <c r="G47" s="18" t="n">
        <v>12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BIO0005</t>
        </is>
      </c>
      <c r="D48" s="27" t="inlineStr">
        <is>
          <t>BIORAD-20, 5L</t>
        </is>
      </c>
      <c r="E48" s="14" t="n">
        <v>300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SERVIAGRI´ 97, S.L.</t>
        </is>
      </c>
      <c r="C49" s="31" t="inlineStr">
        <is>
          <t>BROTA0001</t>
        </is>
      </c>
      <c r="D49" s="30" t="inlineStr">
        <is>
          <t>BROTAMEC, 1 L</t>
        </is>
      </c>
      <c r="E49" s="18" t="n">
        <v>0</v>
      </c>
      <c r="F49" s="18" t="n">
        <v>24</v>
      </c>
      <c r="G49" s="18" t="n">
        <v>24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29" t="inlineStr">
        <is>
          <t>Extra Budget</t>
        </is>
      </c>
    </row>
    <row r="50">
      <c r="B50" s="27" t="inlineStr">
        <is>
          <t>SERVIAGRI´ 97, S.L.</t>
        </is>
      </c>
      <c r="C50" s="28" t="inlineStr">
        <is>
          <t>BROTA0005</t>
        </is>
      </c>
      <c r="D50" s="27" t="inlineStr">
        <is>
          <t>BROTAMEC, 5 L</t>
        </is>
      </c>
      <c r="E50" s="14" t="n">
        <v>0</v>
      </c>
      <c r="F50" s="14" t="n">
        <v>100</v>
      </c>
      <c r="G50" s="14" t="n">
        <v>100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Budget</t>
        </is>
      </c>
    </row>
    <row r="51">
      <c r="B51" s="30" t="inlineStr">
        <is>
          <t>SERVIAGRI´ 97, S.L.</t>
        </is>
      </c>
      <c r="C51" s="31" t="inlineStr">
        <is>
          <t>FTK0005</t>
        </is>
      </c>
      <c r="D51" s="30" t="inlineStr">
        <is>
          <t>FITOKONTROL CA FLOW, 5 KG</t>
        </is>
      </c>
      <c r="E51" s="18" t="n">
        <v>300</v>
      </c>
      <c r="F51" s="18" t="n">
        <v>160</v>
      </c>
      <c r="G51" s="18" t="n">
        <v>160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32" t="inlineStr">
        <is>
          <t>En Curso</t>
        </is>
      </c>
    </row>
    <row r="52">
      <c r="B52" s="27" t="inlineStr">
        <is>
          <t>SERVIAGRI´ 97, S.L.</t>
        </is>
      </c>
      <c r="C52" s="28" t="inlineStr">
        <is>
          <t>JF0005</t>
        </is>
      </c>
      <c r="D52" s="27" t="inlineStr">
        <is>
          <t>CODIGIN-FOS, 5 L</t>
        </is>
      </c>
      <c r="E52" s="14" t="n">
        <v>100</v>
      </c>
      <c r="F52" s="14" t="n">
        <v>120</v>
      </c>
      <c r="G52" s="14" t="n">
        <v>120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29" t="inlineStr">
        <is>
          <t>Superado</t>
        </is>
      </c>
    </row>
    <row r="53">
      <c r="B53" s="30" t="inlineStr">
        <is>
          <t>SERVIAGRI´ 97, S.L.</t>
        </is>
      </c>
      <c r="C53" s="31" t="inlineStr">
        <is>
          <t>SSAE0005</t>
        </is>
      </c>
      <c r="D53" s="30" t="inlineStr">
        <is>
          <t>MAGNIFIC-VIETS-AE, 5 KG</t>
        </is>
      </c>
      <c r="E53" s="18" t="n">
        <v>0</v>
      </c>
      <c r="F53" s="18" t="n">
        <v>60</v>
      </c>
      <c r="G53" s="18" t="n">
        <v>60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Extra Budget</t>
        </is>
      </c>
    </row>
    <row r="54">
      <c r="B54" s="27" t="inlineStr">
        <is>
          <t>TRATAMIENTOS AGRICOLAS BRENES, S.L.</t>
        </is>
      </c>
      <c r="C54" s="28" t="inlineStr">
        <is>
          <t>WHITE0020</t>
        </is>
      </c>
      <c r="D54" s="27" t="inlineStr">
        <is>
          <t>AGROWHITE, 20 KG</t>
        </is>
      </c>
      <c r="E54" s="14" t="n">
        <v>1100</v>
      </c>
      <c r="F54" s="14" t="n">
        <v>0</v>
      </c>
      <c r="G54" s="14" t="n">
        <v>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35" t="inlineStr">
        <is>
          <t>Sin Pedido</t>
        </is>
      </c>
    </row>
    <row r="55" ht="24" customHeight="1">
      <c r="B55" s="20" t="inlineStr">
        <is>
          <t>TOTAL GARCÍA</t>
        </is>
      </c>
      <c r="C55" s="33" t="inlineStr">
        <is>
          <t>234 líneas</t>
        </is>
      </c>
      <c r="D55" s="34" t="inlineStr"/>
      <c r="E55" s="22">
        <f>SUM(E10:E54)</f>
        <v/>
      </c>
      <c r="F55" s="22">
        <f>SUM(F10:F54)</f>
        <v/>
      </c>
      <c r="G55" s="22">
        <f>SUM(G10:G54)</f>
        <v/>
      </c>
      <c r="H55" s="22">
        <f>SUM(H10:H54)</f>
        <v/>
      </c>
      <c r="I55" s="22">
        <f>SUM(I10:I54)</f>
        <v/>
      </c>
      <c r="J55" s="22">
        <f>SUM(J10:J54)</f>
        <v/>
      </c>
      <c r="K55" s="23">
        <f>IF(E55&gt;0, F55/E55, 0)</f>
        <v/>
      </c>
      <c r="L55" s="21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12,806 u</t>
        </is>
      </c>
      <c r="E6" s="4" t="n"/>
      <c r="F6" s="37" t="inlineStr">
        <is>
          <t>58.4%</t>
        </is>
      </c>
      <c r="G6" s="4" t="n"/>
      <c r="H6" s="37" t="inlineStr">
        <is>
          <t>9,108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640</v>
      </c>
      <c r="G14" s="14" t="n">
        <v>640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700</v>
      </c>
      <c r="G19" s="18" t="n">
        <v>700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6" t="inlineStr">
        <is>
          <t>Rezagado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640</v>
      </c>
      <c r="G21" s="18" t="n">
        <v>640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2" t="inlineStr">
        <is>
          <t>En Curso</t>
        </is>
      </c>
    </row>
    <row r="22">
      <c r="B22" s="27" t="inlineStr">
        <is>
          <t>CAMPOEJIDO S.C.A.</t>
        </is>
      </c>
      <c r="C22" s="28" t="inlineStr">
        <is>
          <t>PHD0005</t>
        </is>
      </c>
      <c r="D22" s="27" t="inlineStr">
        <is>
          <t>PH-DOWNER, 5 L</t>
        </is>
      </c>
      <c r="E22" s="14" t="n">
        <v>100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CAMPOEJIDO S.C.A.</t>
        </is>
      </c>
      <c r="C23" s="31" t="inlineStr">
        <is>
          <t>PIV0020</t>
        </is>
      </c>
      <c r="D23" s="30" t="inlineStr">
        <is>
          <t>PGR IV, 20 L</t>
        </is>
      </c>
      <c r="E23" s="18" t="n">
        <v>3200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S0020</t>
        </is>
      </c>
      <c r="D24" s="27" t="inlineStr">
        <is>
          <t>SAL-WAX STAR, 20 L</t>
        </is>
      </c>
      <c r="E24" s="14" t="n">
        <v>640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CAMPOEJIDO S.C.A.</t>
        </is>
      </c>
      <c r="C25" s="31" t="inlineStr">
        <is>
          <t>TRI0005</t>
        </is>
      </c>
      <c r="D25" s="30" t="inlineStr">
        <is>
          <t>TRIFENO-94, 5L</t>
        </is>
      </c>
      <c r="E25" s="18" t="n">
        <v>100</v>
      </c>
      <c r="F25" s="18" t="n">
        <v>100</v>
      </c>
      <c r="G25" s="18" t="n">
        <v>100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COOP.AGRIC. SAN ISIDRO S.C.A.</t>
        </is>
      </c>
      <c r="C26" s="28" t="inlineStr">
        <is>
          <t>AGXK0020</t>
        </is>
      </c>
      <c r="D26" s="27" t="inlineStr">
        <is>
          <t>AGROXILATO-K, 20 L</t>
        </is>
      </c>
      <c r="E26" s="14" t="n">
        <v>3200</v>
      </c>
      <c r="F26" s="14" t="n">
        <v>0</v>
      </c>
      <c r="G26" s="14" t="n">
        <v>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35" t="inlineStr">
        <is>
          <t>Sin Pedido</t>
        </is>
      </c>
    </row>
    <row r="27">
      <c r="B27" s="30" t="inlineStr">
        <is>
          <t>COOP.AGRIC. SAN ISIDRO S.C.A.</t>
        </is>
      </c>
      <c r="C27" s="31" t="inlineStr">
        <is>
          <t>AGXK0200</t>
        </is>
      </c>
      <c r="D27" s="30" t="inlineStr">
        <is>
          <t>AGROXILATO-K, 200 L</t>
        </is>
      </c>
      <c r="E27" s="18" t="n">
        <v>400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AVAN0005</t>
        </is>
      </c>
      <c r="D28" s="27" t="inlineStr">
        <is>
          <t>FLORAMEC AVANCE, 5 L</t>
        </is>
      </c>
      <c r="E28" s="14" t="n">
        <v>1200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C-L0005</t>
        </is>
      </c>
      <c r="D29" s="30" t="inlineStr">
        <is>
          <t>CODIBOR-L, 5 L</t>
        </is>
      </c>
      <c r="E29" s="18" t="n">
        <v>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C-MB0005</t>
        </is>
      </c>
      <c r="D30" s="27" t="inlineStr">
        <is>
          <t>CODIFOL-MB, 5 L</t>
        </is>
      </c>
      <c r="E30" s="14" t="n">
        <v>300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CPLUS0020</t>
        </is>
      </c>
      <c r="D31" s="30" t="inlineStr">
        <is>
          <t>CALCIPLUS,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PIV0020</t>
        </is>
      </c>
      <c r="D32" s="27" t="inlineStr">
        <is>
          <t>PGR IV, 20 L</t>
        </is>
      </c>
      <c r="E32" s="14" t="n">
        <v>1280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GUIVARTO AGRICOLA, S.L.</t>
        </is>
      </c>
      <c r="C33" s="31" t="inlineStr">
        <is>
          <t>A-50(2)0005</t>
        </is>
      </c>
      <c r="D33" s="30" t="inlineStr">
        <is>
          <t>CODIORGAN A-50, 5 KG</t>
        </is>
      </c>
      <c r="E33" s="18" t="n">
        <v>100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AGXK0020</t>
        </is>
      </c>
      <c r="D34" s="27" t="inlineStr">
        <is>
          <t>AGROXILATO-K, 20 L</t>
        </is>
      </c>
      <c r="E34" s="14" t="n">
        <v>1240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AGXK1000</t>
        </is>
      </c>
      <c r="D35" s="30" t="inlineStr">
        <is>
          <t>AGROXILATO-K, 1000 L</t>
        </is>
      </c>
      <c r="E35" s="18" t="n">
        <v>0</v>
      </c>
      <c r="F35" s="18" t="n">
        <v>8000</v>
      </c>
      <c r="G35" s="18" t="n">
        <v>8000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GUIVARTO AGRICOLA, S.L.</t>
        </is>
      </c>
      <c r="C36" s="28" t="inlineStr">
        <is>
          <t>AGZNP0005</t>
        </is>
      </c>
      <c r="D36" s="27" t="inlineStr">
        <is>
          <t>AGROXILATO-ZN PLUS, 5 KG</t>
        </is>
      </c>
      <c r="E36" s="14" t="n">
        <v>50</v>
      </c>
      <c r="F36" s="14" t="n">
        <v>50</v>
      </c>
      <c r="G36" s="14" t="n">
        <v>50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Superado</t>
        </is>
      </c>
    </row>
    <row r="37">
      <c r="B37" s="30" t="inlineStr">
        <is>
          <t>GUIVARTO AGRICOLA, S.L.</t>
        </is>
      </c>
      <c r="C37" s="31" t="inlineStr">
        <is>
          <t>AQUOM0005</t>
        </is>
      </c>
      <c r="D37" s="30" t="inlineStr">
        <is>
          <t>AQUOM, 5 L</t>
        </is>
      </c>
      <c r="E37" s="18" t="n">
        <v>200</v>
      </c>
      <c r="F37" s="18" t="n">
        <v>200</v>
      </c>
      <c r="G37" s="18" t="n">
        <v>200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AVAN0020</t>
        </is>
      </c>
      <c r="D38" s="27" t="inlineStr">
        <is>
          <t>FLORAMEC AVANCE, 20 L</t>
        </is>
      </c>
      <c r="E38" s="14" t="n">
        <v>640</v>
      </c>
      <c r="F38" s="14" t="n">
        <v>640</v>
      </c>
      <c r="G38" s="14" t="n">
        <v>640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BEY0020</t>
        </is>
      </c>
      <c r="D39" s="30" t="inlineStr">
        <is>
          <t>FLORAMEC PLUS 20 L</t>
        </is>
      </c>
      <c r="E39" s="18" t="n">
        <v>80</v>
      </c>
      <c r="F39" s="18" t="n">
        <v>80</v>
      </c>
      <c r="G39" s="18" t="n">
        <v>80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BROTA0005</t>
        </is>
      </c>
      <c r="D40" s="27" t="inlineStr">
        <is>
          <t>BROTAMEC, 5 L</t>
        </is>
      </c>
      <c r="E40" s="14" t="n">
        <v>600</v>
      </c>
      <c r="F40" s="14" t="n">
        <v>600</v>
      </c>
      <c r="G40" s="14" t="n">
        <v>600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C-M-P0001</t>
        </is>
      </c>
      <c r="D41" s="30" t="inlineStr">
        <is>
          <t>CODIFOL Mo-PLUS, 1 L</t>
        </is>
      </c>
      <c r="E41" s="18" t="n">
        <v>36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35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FTK0005</t>
        </is>
      </c>
      <c r="D42" s="27" t="inlineStr">
        <is>
          <t>FITOKONTROL CA FLOW, 5 KG</t>
        </is>
      </c>
      <c r="E42" s="14" t="n">
        <v>800</v>
      </c>
      <c r="F42" s="14" t="n">
        <v>800</v>
      </c>
      <c r="G42" s="14" t="n">
        <v>800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SUCA, S.C.A.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0</v>
      </c>
      <c r="F43" s="18" t="n">
        <v>200</v>
      </c>
      <c r="G43" s="18" t="n">
        <v>200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 ht="24" customHeight="1">
      <c r="B44" s="20" t="inlineStr">
        <is>
          <t>TOTAL IRENE</t>
        </is>
      </c>
      <c r="C44" s="33" t="inlineStr">
        <is>
          <t>89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38,359 u</t>
        </is>
      </c>
      <c r="E6" s="4" t="n"/>
      <c r="F6" s="25" t="inlineStr">
        <is>
          <t>224.3%</t>
        </is>
      </c>
      <c r="G6" s="4" t="n"/>
      <c r="H6" s="25" t="inlineStr">
        <is>
          <t>0 u</t>
        </is>
      </c>
      <c r="I6" s="4" t="n"/>
      <c r="J6" s="24" t="inlineStr">
        <is>
          <t>12,784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1600</v>
      </c>
      <c r="G10" s="14" t="n">
        <v>1600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Budget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AGROQUIMICAS DRAGO S.L.</t>
        </is>
      </c>
      <c r="C19" s="31" t="inlineStr">
        <is>
          <t>PHD0005</t>
        </is>
      </c>
      <c r="D19" s="30" t="inlineStr">
        <is>
          <t>PH-DOWNER, 5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ALMENDRALIA IBÉRICA, S.L.U.</t>
        </is>
      </c>
      <c r="C20" s="28" t="inlineStr">
        <is>
          <t>AN0020</t>
        </is>
      </c>
      <c r="D20" s="27" t="inlineStr">
        <is>
          <t>ALCAPLANT NEW, 20 KG</t>
        </is>
      </c>
      <c r="E20" s="14" t="n">
        <v>0</v>
      </c>
      <c r="F20" s="14" t="n">
        <v>1100</v>
      </c>
      <c r="G20" s="14" t="n">
        <v>1100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CABRERA MORALES FRANCISCO</t>
        </is>
      </c>
      <c r="C21" s="31" t="inlineStr">
        <is>
          <t>A-50(2)0005</t>
        </is>
      </c>
      <c r="D21" s="30" t="inlineStr">
        <is>
          <t>CODIORGAN A-50, 5 KG</t>
        </is>
      </c>
      <c r="E21" s="18" t="n">
        <v>0</v>
      </c>
      <c r="F21" s="18" t="n">
        <v>375</v>
      </c>
      <c r="G21" s="18" t="n">
        <v>375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CABRERA MORALES FRANCISCO</t>
        </is>
      </c>
      <c r="C22" s="28" t="inlineStr">
        <is>
          <t>ANAE0005</t>
        </is>
      </c>
      <c r="D22" s="27" t="inlineStr">
        <is>
          <t>ALCAPLANT NEW AE, 5 KG</t>
        </is>
      </c>
      <c r="E22" s="14" t="n">
        <v>6600</v>
      </c>
      <c r="F22" s="14" t="n">
        <v>4400</v>
      </c>
      <c r="G22" s="14" t="n">
        <v>4400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2" t="inlineStr">
        <is>
          <t>En Curso</t>
        </is>
      </c>
    </row>
    <row r="23">
      <c r="B23" s="30" t="inlineStr">
        <is>
          <t>CABRERA MORALES FRANCISCO</t>
        </is>
      </c>
      <c r="C23" s="31" t="inlineStr">
        <is>
          <t>BIO0005</t>
        </is>
      </c>
      <c r="D23" s="30" t="inlineStr">
        <is>
          <t>BIORAD-20, 5L</t>
        </is>
      </c>
      <c r="E23" s="18" t="n">
        <v>0</v>
      </c>
      <c r="F23" s="18" t="n">
        <v>600</v>
      </c>
      <c r="G23" s="18" t="n">
        <v>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CABRERA MORALES FRANCISCO</t>
        </is>
      </c>
      <c r="C24" s="28" t="inlineStr">
        <is>
          <t>BIO0020</t>
        </is>
      </c>
      <c r="D24" s="27" t="inlineStr">
        <is>
          <t>BIORAD-20, 20 L</t>
        </is>
      </c>
      <c r="E24" s="14" t="n">
        <v>0</v>
      </c>
      <c r="F24" s="14" t="n">
        <v>1280</v>
      </c>
      <c r="G24" s="14" t="n">
        <v>1280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Budget</t>
        </is>
      </c>
    </row>
    <row r="25">
      <c r="B25" s="30" t="inlineStr">
        <is>
          <t>CABRERA MORALES FRANCISCO</t>
        </is>
      </c>
      <c r="C25" s="31" t="inlineStr">
        <is>
          <t>C-L0005</t>
        </is>
      </c>
      <c r="D25" s="30" t="inlineStr">
        <is>
          <t>CODIBOR-L, 5 L</t>
        </is>
      </c>
      <c r="E25" s="18" t="n">
        <v>0</v>
      </c>
      <c r="F25" s="18" t="n">
        <v>200</v>
      </c>
      <c r="G25" s="18" t="n">
        <v>200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Budget</t>
        </is>
      </c>
    </row>
    <row r="26">
      <c r="B26" s="27" t="inlineStr">
        <is>
          <t>CODIMED EXPORT, S.L.</t>
        </is>
      </c>
      <c r="C26" s="28" t="inlineStr">
        <is>
          <t>C-L0005</t>
        </is>
      </c>
      <c r="D26" s="27" t="inlineStr">
        <is>
          <t>CODIBOR-L, 5 L</t>
        </is>
      </c>
      <c r="E26" s="14" t="n">
        <v>200</v>
      </c>
      <c r="F26" s="14" t="n">
        <v>200</v>
      </c>
      <c r="G26" s="14" t="n">
        <v>200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CODIMED EXPORT, S.L.</t>
        </is>
      </c>
      <c r="C27" s="31" t="inlineStr">
        <is>
          <t>C-L0020</t>
        </is>
      </c>
      <c r="D27" s="30" t="inlineStr">
        <is>
          <t>CODIBOR-L, 20 L</t>
        </is>
      </c>
      <c r="E27" s="18" t="n">
        <v>640</v>
      </c>
      <c r="F27" s="18" t="n">
        <v>640</v>
      </c>
      <c r="G27" s="18" t="n">
        <v>640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Superado</t>
        </is>
      </c>
    </row>
    <row r="28">
      <c r="B28" s="27" t="inlineStr">
        <is>
          <t>CODIMED EXPORT, S.L.</t>
        </is>
      </c>
      <c r="C28" s="28" t="inlineStr">
        <is>
          <t>PT0005</t>
        </is>
      </c>
      <c r="D28" s="27" t="inlineStr">
        <is>
          <t>AGROPOTASION, 5 L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CODIMED EXPORT, S.L.</t>
        </is>
      </c>
      <c r="C29" s="31" t="inlineStr">
        <is>
          <t>PT0020</t>
        </is>
      </c>
      <c r="D29" s="30" t="inlineStr">
        <is>
          <t>AGROPOTASION, 20 L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CODIMED EXPORT, S.L.</t>
        </is>
      </c>
      <c r="C30" s="28" t="inlineStr">
        <is>
          <t>SPCE2B0020</t>
        </is>
      </c>
      <c r="D30" s="27" t="inlineStr">
        <is>
          <t>SPRINTENE CON BORO,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FINCA DOÑA ANA C.B.</t>
        </is>
      </c>
      <c r="C31" s="31" t="inlineStr">
        <is>
          <t>A-50(2)0020</t>
        </is>
      </c>
      <c r="D31" s="30" t="inlineStr">
        <is>
          <t>CODIORGAN-A50, 20 KG</t>
        </is>
      </c>
      <c r="E31" s="18" t="n">
        <v>0</v>
      </c>
      <c r="F31" s="18" t="n">
        <v>120</v>
      </c>
      <c r="G31" s="18" t="n">
        <v>120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Budget</t>
        </is>
      </c>
    </row>
    <row r="32">
      <c r="B32" s="27" t="inlineStr">
        <is>
          <t>FINCA DOÑA ANA C.B.</t>
        </is>
      </c>
      <c r="C32" s="28" t="inlineStr">
        <is>
          <t>C-CU1000</t>
        </is>
      </c>
      <c r="D32" s="27" t="inlineStr">
        <is>
          <t>CODICOBRE, 1000 L</t>
        </is>
      </c>
      <c r="E32" s="14" t="n">
        <v>0</v>
      </c>
      <c r="F32" s="14" t="n">
        <v>1000</v>
      </c>
      <c r="G32" s="14" t="n">
        <v>1000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Budget</t>
        </is>
      </c>
    </row>
    <row r="33">
      <c r="B33" s="30" t="inlineStr">
        <is>
          <t>FITOSANITARIOS CARCAIXENT, S.L.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100</v>
      </c>
      <c r="G33" s="18" t="n">
        <v>100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>
      <c r="B34" s="27" t="inlineStr">
        <is>
          <t>FITOSANITARIOS CARCAIXENT, S.L.</t>
        </is>
      </c>
      <c r="C34" s="28" t="inlineStr">
        <is>
          <t>G30020</t>
        </is>
      </c>
      <c r="D34" s="27" t="inlineStr">
        <is>
          <t>GREEN-UP, 20 L</t>
        </is>
      </c>
      <c r="E34" s="14" t="n">
        <v>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Budget</t>
        </is>
      </c>
    </row>
    <row r="35">
      <c r="B35" s="30" t="inlineStr">
        <is>
          <t>FITOSANITARIOS CARCAIXENT, S.L.</t>
        </is>
      </c>
      <c r="C35" s="31" t="inlineStr">
        <is>
          <t>HST0020</t>
        </is>
      </c>
      <c r="D35" s="30" t="inlineStr">
        <is>
          <t>HIDROSTRESS-40, 20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FITOSANITARIOS CARCAIXENT, S.L.</t>
        </is>
      </c>
      <c r="C36" s="28" t="inlineStr">
        <is>
          <t>PT0005</t>
        </is>
      </c>
      <c r="D36" s="27" t="inlineStr">
        <is>
          <t>AGROPOTASION, 5 L</t>
        </is>
      </c>
      <c r="E36" s="14" t="n">
        <v>0</v>
      </c>
      <c r="F36" s="14" t="n">
        <v>600</v>
      </c>
      <c r="G36" s="14" t="n">
        <v>600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Budget</t>
        </is>
      </c>
    </row>
    <row r="37">
      <c r="B37" s="30" t="inlineStr">
        <is>
          <t>FITOSANITARIOS CARCAIXENT, S.L.</t>
        </is>
      </c>
      <c r="C37" s="31" t="inlineStr">
        <is>
          <t>PT0020</t>
        </is>
      </c>
      <c r="D37" s="30" t="inlineStr">
        <is>
          <t>AGROPOTASION, 20 L</t>
        </is>
      </c>
      <c r="E37" s="18" t="n">
        <v>0</v>
      </c>
      <c r="F37" s="18" t="n">
        <v>1920</v>
      </c>
      <c r="G37" s="18" t="n">
        <v>1920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Budget</t>
        </is>
      </c>
    </row>
    <row r="38">
      <c r="B38" s="27" t="inlineStr">
        <is>
          <t>FITOSANITARIOS DRAGO S.L.U</t>
        </is>
      </c>
      <c r="C38" s="28" t="inlineStr">
        <is>
          <t>AGXK0200</t>
        </is>
      </c>
      <c r="D38" s="27" t="inlineStr">
        <is>
          <t>AGROXILATO-K, 200 L</t>
        </is>
      </c>
      <c r="E38" s="14" t="n">
        <v>0</v>
      </c>
      <c r="F38" s="14" t="n">
        <v>1600</v>
      </c>
      <c r="G38" s="14" t="n">
        <v>0</v>
      </c>
      <c r="H38" s="14" t="n">
        <v>1600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Budget</t>
        </is>
      </c>
    </row>
    <row r="39">
      <c r="B39" s="30" t="inlineStr">
        <is>
          <t>FITOSANITARIOS DRAGO S.L.U</t>
        </is>
      </c>
      <c r="C39" s="31" t="inlineStr">
        <is>
          <t>AGXK1000</t>
        </is>
      </c>
      <c r="D39" s="30" t="inlineStr">
        <is>
          <t>AGROXILATO-K, 1000 L</t>
        </is>
      </c>
      <c r="E39" s="18" t="n">
        <v>0</v>
      </c>
      <c r="F39" s="18" t="n">
        <v>10000</v>
      </c>
      <c r="G39" s="18" t="n">
        <v>2000</v>
      </c>
      <c r="H39" s="18" t="n">
        <v>8000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Budget</t>
        </is>
      </c>
    </row>
    <row r="40">
      <c r="B40" s="27" t="inlineStr">
        <is>
          <t>FITOSANITARIOS DRAGO S.L.U</t>
        </is>
      </c>
      <c r="C40" s="28" t="inlineStr">
        <is>
          <t>C-CU0001</t>
        </is>
      </c>
      <c r="D40" s="27" t="inlineStr">
        <is>
          <t>CODICOBRE, 1 L</t>
        </is>
      </c>
      <c r="E40" s="14" t="n">
        <v>0</v>
      </c>
      <c r="F40" s="14" t="n">
        <v>24</v>
      </c>
      <c r="G40" s="14" t="n">
        <v>0</v>
      </c>
      <c r="H40" s="14" t="n">
        <v>24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Budget</t>
        </is>
      </c>
    </row>
    <row r="41">
      <c r="B41" s="30" t="inlineStr">
        <is>
          <t>FITOSANITARIOS DRAGO S.L.U</t>
        </is>
      </c>
      <c r="C41" s="31" t="inlineStr">
        <is>
          <t>JF0020</t>
        </is>
      </c>
      <c r="D41" s="30" t="inlineStr">
        <is>
          <t>DRAGO-FOS, 20 L</t>
        </is>
      </c>
      <c r="E41" s="18" t="n">
        <v>0</v>
      </c>
      <c r="F41" s="18" t="n">
        <v>1280</v>
      </c>
      <c r="G41" s="18" t="n">
        <v>0</v>
      </c>
      <c r="H41" s="18" t="n">
        <v>1280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Budget</t>
        </is>
      </c>
    </row>
    <row r="42">
      <c r="B42" s="27" t="inlineStr">
        <is>
          <t>FITOSANITARIOS DRAGO S.L.U</t>
        </is>
      </c>
      <c r="C42" s="28" t="inlineStr">
        <is>
          <t>PHD0005</t>
        </is>
      </c>
      <c r="D42" s="27" t="inlineStr">
        <is>
          <t xml:space="preserve">PH-DOWNER, 5 L   </t>
        </is>
      </c>
      <c r="E42" s="14" t="n">
        <v>0</v>
      </c>
      <c r="F42" s="14" t="n">
        <v>400</v>
      </c>
      <c r="G42" s="14" t="n">
        <v>0</v>
      </c>
      <c r="H42" s="14" t="n">
        <v>400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Budget</t>
        </is>
      </c>
    </row>
    <row r="43">
      <c r="B43" s="30" t="inlineStr">
        <is>
          <t>FITOSANITARIOS DRAGO S.L.U</t>
        </is>
      </c>
      <c r="C43" s="31" t="inlineStr">
        <is>
          <t>PHD0020</t>
        </is>
      </c>
      <c r="D43" s="30" t="inlineStr">
        <is>
          <t>PH-DOWNER, 20 L</t>
        </is>
      </c>
      <c r="E43" s="18" t="n">
        <v>0</v>
      </c>
      <c r="F43" s="18" t="n">
        <v>640</v>
      </c>
      <c r="G43" s="18" t="n">
        <v>0</v>
      </c>
      <c r="H43" s="18" t="n">
        <v>640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>
      <c r="B44" s="27" t="inlineStr">
        <is>
          <t>FITOSANITARIOS DRAGO S.L.U</t>
        </is>
      </c>
      <c r="C44" s="28" t="inlineStr">
        <is>
          <t>S0200</t>
        </is>
      </c>
      <c r="D44" s="27" t="inlineStr">
        <is>
          <t>SAL-WAX STAR, 200 L</t>
        </is>
      </c>
      <c r="E44" s="14" t="n">
        <v>0</v>
      </c>
      <c r="F44" s="14" t="n">
        <v>800</v>
      </c>
      <c r="G44" s="14" t="n">
        <v>0</v>
      </c>
      <c r="H44" s="14" t="n">
        <v>800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Budget</t>
        </is>
      </c>
    </row>
    <row r="45">
      <c r="B45" s="30" t="inlineStr">
        <is>
          <t>FITOSANITARIOS DRAGO S.L.U</t>
        </is>
      </c>
      <c r="C45" s="31" t="inlineStr">
        <is>
          <t>SS0020</t>
        </is>
      </c>
      <c r="D45" s="30" t="inlineStr">
        <is>
          <t>SALWAX-CA, 20 KG</t>
        </is>
      </c>
      <c r="E45" s="18" t="n">
        <v>0</v>
      </c>
      <c r="F45" s="18" t="n">
        <v>40</v>
      </c>
      <c r="G45" s="18" t="n">
        <v>0</v>
      </c>
      <c r="H45" s="18" t="n">
        <v>40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Budget</t>
        </is>
      </c>
    </row>
    <row r="46">
      <c r="B46" s="27" t="inlineStr">
        <is>
          <t>FITOXENT S.C.L.V.</t>
        </is>
      </c>
      <c r="C46" s="28" t="inlineStr">
        <is>
          <t>FTK0005</t>
        </is>
      </c>
      <c r="D46" s="27" t="inlineStr">
        <is>
          <t>FITOKONTROL CA FLOW, 5 KG</t>
        </is>
      </c>
      <c r="E46" s="14" t="n">
        <v>4400</v>
      </c>
      <c r="F46" s="14" t="n">
        <v>4400</v>
      </c>
      <c r="G46" s="14" t="n">
        <v>4400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FITOXENT S.C.L.V.</t>
        </is>
      </c>
      <c r="C47" s="31" t="inlineStr">
        <is>
          <t>PT0020</t>
        </is>
      </c>
      <c r="D47" s="30" t="inlineStr">
        <is>
          <t>AGROPOTASION, 20 L</t>
        </is>
      </c>
      <c r="E47" s="18" t="n">
        <v>2560</v>
      </c>
      <c r="F47" s="18" t="n">
        <v>1280</v>
      </c>
      <c r="G47" s="18" t="n">
        <v>1280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32" t="inlineStr">
        <is>
          <t>En Curso</t>
        </is>
      </c>
    </row>
    <row r="48">
      <c r="B48" s="27" t="inlineStr">
        <is>
          <t>FITOXENT S.C.L.V.</t>
        </is>
      </c>
      <c r="C48" s="28" t="inlineStr">
        <is>
          <t>S0020</t>
        </is>
      </c>
      <c r="D48" s="27" t="inlineStr">
        <is>
          <t>SALWAX STAR, 20 L</t>
        </is>
      </c>
      <c r="E48" s="14" t="n">
        <v>0</v>
      </c>
      <c r="F48" s="14" t="n">
        <v>200</v>
      </c>
      <c r="G48" s="14" t="n">
        <v>200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Budget</t>
        </is>
      </c>
    </row>
    <row r="49" ht="24" customHeight="1">
      <c r="B49" s="20" t="inlineStr">
        <is>
          <t>TOTAL JAVIER</t>
        </is>
      </c>
      <c r="C49" s="33" t="inlineStr">
        <is>
          <t>184 líneas</t>
        </is>
      </c>
      <c r="D49" s="34" t="inlineStr"/>
      <c r="E49" s="22">
        <f>SUM(E10:E48)</f>
        <v/>
      </c>
      <c r="F49" s="22">
        <f>SUM(F10:F48)</f>
        <v/>
      </c>
      <c r="G49" s="22">
        <f>SUM(G10:G48)</f>
        <v/>
      </c>
      <c r="H49" s="22">
        <f>SUM(H10:H48)</f>
        <v/>
      </c>
      <c r="I49" s="22">
        <f>SUM(I10:I48)</f>
        <v/>
      </c>
      <c r="J49" s="22">
        <f>SUM(J10:J48)</f>
        <v/>
      </c>
      <c r="K49" s="23">
        <f>IF(E49&gt;0, F49/E49, 0)</f>
        <v/>
      </c>
      <c r="L49" s="21">
        <f>IF(K49&gt;=1,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32,828 u</t>
        </is>
      </c>
      <c r="E6" s="4" t="n"/>
      <c r="F6" s="37" t="inlineStr">
        <is>
          <t>83.2%</t>
        </is>
      </c>
      <c r="G6" s="4" t="n"/>
      <c r="H6" s="37" t="inlineStr">
        <is>
          <t>6,632 u</t>
        </is>
      </c>
      <c r="I6" s="4" t="n"/>
      <c r="J6" s="24" t="inlineStr">
        <is>
          <t>32,828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3300</v>
      </c>
      <c r="G10" s="14" t="n">
        <v>0</v>
      </c>
      <c r="H10" s="14" t="n">
        <v>3300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0</v>
      </c>
      <c r="H13" s="18" t="n">
        <v>1000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0</v>
      </c>
      <c r="H14" s="14" t="n">
        <v>5500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1968</v>
      </c>
      <c r="G15" s="18" t="n">
        <v>0</v>
      </c>
      <c r="H15" s="18" t="n">
        <v>1968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Superado</t>
        </is>
      </c>
    </row>
    <row r="16" ht="24" customHeight="1">
      <c r="B16" s="20" t="inlineStr">
        <is>
          <t>TOTAL MEHMET</t>
        </is>
      </c>
      <c r="C16" s="33" t="inlineStr">
        <is>
          <t>61 líneas</t>
        </is>
      </c>
      <c r="D16" s="34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7,660 u</t>
        </is>
      </c>
      <c r="E6" s="4" t="n"/>
      <c r="F6" s="37" t="inlineStr">
        <is>
          <t>44.2%</t>
        </is>
      </c>
      <c r="G6" s="4" t="n"/>
      <c r="H6" s="37" t="inlineStr">
        <is>
          <t>9,680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FITOMURCIA S.L.</t>
        </is>
      </c>
      <c r="C27" s="31" t="inlineStr">
        <is>
          <t>SPCE2B0020</t>
        </is>
      </c>
      <c r="D27" s="30" t="inlineStr">
        <is>
          <t>SPRINTENE CON BORO,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FITOMURCIA S.L.</t>
        </is>
      </c>
      <c r="C28" s="28" t="inlineStr">
        <is>
          <t>SS0005</t>
        </is>
      </c>
      <c r="D28" s="27" t="inlineStr">
        <is>
          <t>SAL-WAX-Ca sólido, 5 KG</t>
        </is>
      </c>
      <c r="E28" s="14" t="n">
        <v>0</v>
      </c>
      <c r="F28" s="14" t="n">
        <v>300</v>
      </c>
      <c r="G28" s="14" t="n">
        <v>300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 ht="24" customHeight="1">
      <c r="B29" s="20" t="inlineStr">
        <is>
          <t>TOTAL PEDRO</t>
        </is>
      </c>
      <c r="C29" s="33" t="inlineStr">
        <is>
          <t>105 líneas</t>
        </is>
      </c>
      <c r="D29" s="34" t="inlineStr"/>
      <c r="E29" s="22">
        <f>SUM(E10:E28)</f>
        <v/>
      </c>
      <c r="F29" s="22">
        <f>SUM(F10:F28)</f>
        <v/>
      </c>
      <c r="G29" s="22">
        <f>SUM(G10:G28)</f>
        <v/>
      </c>
      <c r="H29" s="22">
        <f>SUM(H10:H28)</f>
        <v/>
      </c>
      <c r="I29" s="22">
        <f>SUM(I10:I28)</f>
        <v/>
      </c>
      <c r="J29" s="22">
        <f>SUM(J10:J28)</f>
        <v/>
      </c>
      <c r="K29" s="23">
        <f>IF(E29&gt;0, F29/E29, 0)</f>
        <v/>
      </c>
      <c r="L29" s="21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4" t="inlineStr">
        <is>
          <t>31,850 u</t>
        </is>
      </c>
      <c r="E6" s="4" t="n"/>
      <c r="F6" s="37" t="inlineStr">
        <is>
          <t>69.2%</t>
        </is>
      </c>
      <c r="G6" s="4" t="n"/>
      <c r="H6" s="37" t="inlineStr">
        <is>
          <t>14,150 u</t>
        </is>
      </c>
      <c r="I6" s="4" t="n"/>
      <c r="J6" s="24" t="inlineStr">
        <is>
          <t>8,800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Budget</t>
        </is>
      </c>
    </row>
    <row r="11">
      <c r="B11" s="30" t="inlineStr">
        <is>
          <t>ECUAQUIMICA</t>
        </is>
      </c>
      <c r="C11" s="31" t="inlineStr">
        <is>
          <t>AN0005</t>
        </is>
      </c>
      <c r="D11" s="30" t="inlineStr">
        <is>
          <t>ALCAPLANT NEW</t>
        </is>
      </c>
      <c r="E11" s="18" t="n">
        <v>0</v>
      </c>
      <c r="F11" s="18" t="n">
        <v>2200</v>
      </c>
      <c r="G11" s="18" t="n">
        <v>0</v>
      </c>
      <c r="H11" s="18" t="n">
        <v>2200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ECUAQUIMICA</t>
        </is>
      </c>
      <c r="C12" s="28" t="inlineStr">
        <is>
          <t>AN0020</t>
        </is>
      </c>
      <c r="D12" s="27" t="inlineStr">
        <is>
          <t>ALCAPLANT NEW</t>
        </is>
      </c>
      <c r="E12" s="14" t="n">
        <v>0</v>
      </c>
      <c r="F12" s="14" t="n">
        <v>6600</v>
      </c>
      <c r="G12" s="14" t="n">
        <v>0</v>
      </c>
      <c r="H12" s="14" t="n">
        <v>6600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Budget</t>
        </is>
      </c>
    </row>
    <row r="13">
      <c r="B13" s="30" t="inlineStr">
        <is>
          <t>EUROFERTIL, S.A.</t>
        </is>
      </c>
      <c r="C13" s="31" t="inlineStr">
        <is>
          <t>F-A1000</t>
        </is>
      </c>
      <c r="D13" s="30" t="inlineStr">
        <is>
          <t>FITOLIN AGRO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 xml:space="preserve">EUROFERTIL, S.A.    </t>
        </is>
      </c>
      <c r="C14" s="28" t="inlineStr">
        <is>
          <t>AGXCR1000</t>
        </is>
      </c>
      <c r="D14" s="27" t="inlineStr">
        <is>
          <t>AGROXILATO-K, 1000 L</t>
        </is>
      </c>
      <c r="E14" s="14" t="n">
        <v>0</v>
      </c>
      <c r="F14" s="14" t="n">
        <v>3000</v>
      </c>
      <c r="G14" s="14" t="n">
        <v>3000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 xml:space="preserve">EUROFERTIL, S.A.    </t>
        </is>
      </c>
      <c r="C15" s="31" t="inlineStr">
        <is>
          <t>AN0005</t>
        </is>
      </c>
      <c r="D15" s="30" t="inlineStr">
        <is>
          <t>ALCAPLANT, 5 KG</t>
        </is>
      </c>
      <c r="E15" s="18" t="n">
        <v>0</v>
      </c>
      <c r="F15" s="18" t="n">
        <v>3300</v>
      </c>
      <c r="G15" s="18" t="n">
        <v>3300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Budget</t>
        </is>
      </c>
    </row>
    <row r="16">
      <c r="B16" s="27" t="inlineStr">
        <is>
          <t xml:space="preserve">EUROFERTIL, S.A.    </t>
        </is>
      </c>
      <c r="C16" s="28" t="inlineStr">
        <is>
          <t>AN0020</t>
        </is>
      </c>
      <c r="D16" s="27" t="inlineStr">
        <is>
          <t>ALCAPLANT, 20 KG</t>
        </is>
      </c>
      <c r="E16" s="14" t="n">
        <v>0</v>
      </c>
      <c r="F16" s="14" t="n">
        <v>4400</v>
      </c>
      <c r="G16" s="14" t="n">
        <v>4400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 xml:space="preserve">EUROFERTIL, S.A.    </t>
        </is>
      </c>
      <c r="C17" s="31" t="inlineStr">
        <is>
          <t>B1000</t>
        </is>
      </c>
      <c r="D17" s="30" t="inlineStr">
        <is>
          <t>FORTALEZA, 1000 L</t>
        </is>
      </c>
      <c r="E17" s="18" t="n">
        <v>0</v>
      </c>
      <c r="F17" s="18" t="n">
        <v>2000</v>
      </c>
      <c r="G17" s="18" t="n">
        <v>2000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 xml:space="preserve">EUROFERTIL, S.A.    </t>
        </is>
      </c>
      <c r="C18" s="28" t="inlineStr">
        <is>
          <t>C-CU1000</t>
        </is>
      </c>
      <c r="D18" s="27" t="inlineStr">
        <is>
          <t>CODICOBRE, 1000 L</t>
        </is>
      </c>
      <c r="E18" s="14" t="n">
        <v>0</v>
      </c>
      <c r="F18" s="14" t="n">
        <v>1000</v>
      </c>
      <c r="G18" s="14" t="n">
        <v>1000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 xml:space="preserve">EUROFERTIL, S.A.    </t>
        </is>
      </c>
      <c r="C19" s="31" t="inlineStr">
        <is>
          <t>CODIR1000</t>
        </is>
      </c>
      <c r="D19" s="30" t="inlineStr">
        <is>
          <t>CODIRESIST, 1000 L</t>
        </is>
      </c>
      <c r="E19" s="18" t="n">
        <v>0</v>
      </c>
      <c r="F19" s="18" t="n">
        <v>1000</v>
      </c>
      <c r="G19" s="18" t="n">
        <v>1000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 xml:space="preserve">EUROFERTIL, S.A.    </t>
        </is>
      </c>
      <c r="C20" s="28" t="inlineStr">
        <is>
          <t>DECA0005</t>
        </is>
      </c>
      <c r="D20" s="27" t="inlineStr">
        <is>
          <t>DEFENS-CA-AE, 5 KG</t>
        </is>
      </c>
      <c r="E20" s="14" t="n">
        <v>0</v>
      </c>
      <c r="F20" s="14" t="n">
        <v>750</v>
      </c>
      <c r="G20" s="14" t="n">
        <v>750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 xml:space="preserve">EUROFERTIL, S.A.    </t>
        </is>
      </c>
      <c r="C21" s="31" t="inlineStr">
        <is>
          <t>F-A1000</t>
        </is>
      </c>
      <c r="D21" s="30" t="inlineStr">
        <is>
          <t xml:space="preserve">FITOLIN AGRO, 1000 L 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 xml:space="preserve">EUROFERTIL, S.A.    </t>
        </is>
      </c>
      <c r="C22" s="28" t="inlineStr">
        <is>
          <t>NB1000</t>
        </is>
      </c>
      <c r="D22" s="27" t="inlineStr">
        <is>
          <t>NITROBALANCE, 1000 L</t>
        </is>
      </c>
      <c r="E22" s="14" t="n">
        <v>0</v>
      </c>
      <c r="F22" s="14" t="n">
        <v>2000</v>
      </c>
      <c r="G22" s="14" t="n">
        <v>2000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Budget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1600</v>
      </c>
      <c r="G23" s="18" t="n">
        <v>1600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LEKKERBIO B.V.</t>
        </is>
      </c>
      <c r="C24" s="28" t="inlineStr">
        <is>
          <t>AO0020</t>
        </is>
      </c>
      <c r="D24" s="27" t="inlineStr">
        <is>
          <t>ALCAPLANT NEW</t>
        </is>
      </c>
      <c r="E24" s="14" t="n">
        <v>44000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 ht="24" customHeight="1">
      <c r="B25" s="20" t="inlineStr">
        <is>
          <t>TOTAL RICARDO</t>
        </is>
      </c>
      <c r="C25" s="33" t="inlineStr">
        <is>
          <t>125 líneas</t>
        </is>
      </c>
      <c r="D25" s="34" t="inlineStr"/>
      <c r="E25" s="22">
        <f>SUM(E10:E24)</f>
        <v/>
      </c>
      <c r="F25" s="22">
        <f>SUM(F10:F24)</f>
        <v/>
      </c>
      <c r="G25" s="22">
        <f>SUM(G10:G24)</f>
        <v/>
      </c>
      <c r="H25" s="22">
        <f>SUM(H10:H24)</f>
        <v/>
      </c>
      <c r="I25" s="22">
        <f>SUM(I10:I24)</f>
        <v/>
      </c>
      <c r="J25" s="22">
        <f>SUM(J10:J24)</f>
        <v/>
      </c>
      <c r="K25" s="23">
        <f>IF(E25&gt;0, F25/E25, 0)</f>
        <v/>
      </c>
      <c r="L25" s="21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2026-09-25T05:24:18Z</dcterms:created>
  <dcterms:modified xmlns:dcterms="http://purl.org/dc/terms/" xmlns:xsi="http://www.w3.org/2001/XMLSchema-instance" xsi:type="dcterms:W3CDTF">2026-09-25T05:24:19Z</dcterms:modified>
</cp:coreProperties>
</file>