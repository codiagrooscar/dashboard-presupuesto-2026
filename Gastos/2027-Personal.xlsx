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groquimicacodiagro365-my.sharepoint.com/personal/oscar_ocampo_codiagro_com/Documents/Escritorio/Presupuesto 2026/Calsif Comerciales/Gastos/"/>
    </mc:Choice>
  </mc:AlternateContent>
  <xr:revisionPtr revIDLastSave="0" documentId="8_{A1C01B74-FB66-491B-937C-182823C1BD75}" xr6:coauthVersionLast="47" xr6:coauthVersionMax="47" xr10:uidLastSave="{00000000-0000-0000-0000-000000000000}"/>
  <bookViews>
    <workbookView xWindow="-25710" yWindow="-110" windowWidth="25820" windowHeight="13900" xr2:uid="{4FCA4D82-D3C1-4ADB-B653-D493E264E577}"/>
  </bookViews>
  <sheets>
    <sheet name="Personal" sheetId="5" r:id="rId1"/>
    <sheet name="Hoja2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53" i="5" l="1"/>
  <c r="AO53" i="5"/>
  <c r="AP52" i="5"/>
  <c r="AP51" i="5"/>
  <c r="AP50" i="5"/>
  <c r="AN45" i="5"/>
  <c r="AO45" i="5"/>
  <c r="BI3" i="5"/>
  <c r="AB22" i="5"/>
  <c r="AC22" i="5"/>
  <c r="H22" i="5"/>
  <c r="AE22" i="5" s="1"/>
  <c r="AN42" i="5"/>
  <c r="AA22" i="5" l="1"/>
  <c r="AL22" i="5"/>
  <c r="AK22" i="5"/>
  <c r="AJ22" i="5"/>
  <c r="AI22" i="5"/>
  <c r="AH22" i="5"/>
  <c r="AG22" i="5"/>
  <c r="AD22" i="5"/>
  <c r="AF22" i="5"/>
  <c r="BE38" i="5"/>
  <c r="BE39" i="5"/>
  <c r="BE40" i="5"/>
  <c r="BE41" i="5"/>
  <c r="BE33" i="5"/>
  <c r="BI33" i="5" s="1"/>
  <c r="BE34" i="5"/>
  <c r="BI34" i="5" s="1"/>
  <c r="BE35" i="5"/>
  <c r="BI35" i="5" s="1"/>
  <c r="BE36" i="5"/>
  <c r="BI36" i="5" s="1"/>
  <c r="BE37" i="5"/>
  <c r="BI37" i="5" s="1"/>
  <c r="H36" i="5" l="1"/>
  <c r="H35" i="5"/>
  <c r="H32" i="5"/>
  <c r="H31" i="5"/>
  <c r="H30" i="5"/>
  <c r="H29" i="5"/>
  <c r="H28" i="5"/>
  <c r="H25" i="5"/>
  <c r="AO25" i="5"/>
  <c r="H24" i="5"/>
  <c r="H23" i="5"/>
  <c r="AO22" i="5"/>
  <c r="AP22" i="5" s="1"/>
  <c r="H21" i="5"/>
  <c r="H20" i="5"/>
  <c r="H19" i="5"/>
  <c r="H18" i="5"/>
  <c r="H16" i="5"/>
  <c r="H15" i="5"/>
  <c r="H14" i="5"/>
  <c r="H13" i="5"/>
  <c r="H37" i="5"/>
  <c r="H34" i="5"/>
  <c r="H33" i="5"/>
  <c r="H27" i="5"/>
  <c r="H26" i="5"/>
  <c r="H12" i="5"/>
  <c r="H17" i="5"/>
  <c r="H10" i="5"/>
  <c r="H9" i="5"/>
  <c r="H11" i="5"/>
  <c r="H8" i="5"/>
  <c r="H7" i="5"/>
  <c r="H6" i="5"/>
  <c r="BE7" i="5"/>
  <c r="BI7" i="5" s="1"/>
  <c r="BE8" i="5"/>
  <c r="BI8" i="5" s="1"/>
  <c r="BE9" i="5"/>
  <c r="BI9" i="5" s="1"/>
  <c r="BE10" i="5"/>
  <c r="BI10" i="5" s="1"/>
  <c r="BE11" i="5"/>
  <c r="BI11" i="5" s="1"/>
  <c r="BE12" i="5"/>
  <c r="BI12" i="5" s="1"/>
  <c r="BE13" i="5"/>
  <c r="BI13" i="5" s="1"/>
  <c r="BE14" i="5"/>
  <c r="BI14" i="5" s="1"/>
  <c r="BE15" i="5"/>
  <c r="BI15" i="5" s="1"/>
  <c r="BE16" i="5"/>
  <c r="BI16" i="5" s="1"/>
  <c r="BE17" i="5"/>
  <c r="BI17" i="5" s="1"/>
  <c r="BE18" i="5"/>
  <c r="BI18" i="5" s="1"/>
  <c r="BE19" i="5"/>
  <c r="BI19" i="5" s="1"/>
  <c r="BE20" i="5"/>
  <c r="BI20" i="5" s="1"/>
  <c r="BE21" i="5"/>
  <c r="BI21" i="5" s="1"/>
  <c r="BE22" i="5"/>
  <c r="BI22" i="5" s="1"/>
  <c r="BE23" i="5"/>
  <c r="BI23" i="5" s="1"/>
  <c r="BE24" i="5"/>
  <c r="BI24" i="5" s="1"/>
  <c r="BE25" i="5"/>
  <c r="BI25" i="5" s="1"/>
  <c r="BE26" i="5"/>
  <c r="BI26" i="5" s="1"/>
  <c r="BE27" i="5"/>
  <c r="BI27" i="5" s="1"/>
  <c r="BE28" i="5"/>
  <c r="BI28" i="5" s="1"/>
  <c r="BE29" i="5"/>
  <c r="BI29" i="5" s="1"/>
  <c r="BE30" i="5"/>
  <c r="BI30" i="5" s="1"/>
  <c r="BE31" i="5"/>
  <c r="BI31" i="5" s="1"/>
  <c r="BE32" i="5"/>
  <c r="BI32" i="5" s="1"/>
  <c r="BE6" i="5"/>
  <c r="AE28" i="5" l="1"/>
  <c r="AG28" i="5"/>
  <c r="AH28" i="5"/>
  <c r="AI28" i="5"/>
  <c r="AD28" i="5"/>
  <c r="AB28" i="5"/>
  <c r="AC28" i="5"/>
  <c r="AF28" i="5"/>
  <c r="AL28" i="5"/>
  <c r="AJ28" i="5"/>
  <c r="AK28" i="5"/>
  <c r="AA28" i="5"/>
  <c r="AO24" i="5"/>
  <c r="AP24" i="5" s="1"/>
  <c r="AA24" i="5"/>
  <c r="AB24" i="5"/>
  <c r="AC24" i="5"/>
  <c r="AJ24" i="5"/>
  <c r="AI24" i="5"/>
  <c r="AK24" i="5"/>
  <c r="AE24" i="5"/>
  <c r="AG24" i="5"/>
  <c r="AL24" i="5"/>
  <c r="AH24" i="5"/>
  <c r="AD24" i="5"/>
  <c r="AF24" i="5"/>
  <c r="AO6" i="5"/>
  <c r="AK6" i="5"/>
  <c r="AA6" i="5"/>
  <c r="AI6" i="5"/>
  <c r="AD6" i="5"/>
  <c r="AG6" i="5"/>
  <c r="AH6" i="5"/>
  <c r="AJ6" i="5"/>
  <c r="AL6" i="5"/>
  <c r="AB6" i="5"/>
  <c r="AC6" i="5"/>
  <c r="AE6" i="5"/>
  <c r="AF6" i="5"/>
  <c r="AO14" i="5"/>
  <c r="AP14" i="5" s="1"/>
  <c r="AF14" i="5"/>
  <c r="AL14" i="5"/>
  <c r="AK14" i="5"/>
  <c r="AA14" i="5"/>
  <c r="AE14" i="5"/>
  <c r="AG14" i="5"/>
  <c r="AI14" i="5"/>
  <c r="AJ14" i="5"/>
  <c r="AH14" i="5"/>
  <c r="AB14" i="5"/>
  <c r="AC14" i="5"/>
  <c r="AD14" i="5"/>
  <c r="AO29" i="5"/>
  <c r="AP29" i="5" s="1"/>
  <c r="AC29" i="5"/>
  <c r="AE29" i="5"/>
  <c r="AF29" i="5"/>
  <c r="AG29" i="5"/>
  <c r="AL29" i="5"/>
  <c r="AI29" i="5"/>
  <c r="AA29" i="5"/>
  <c r="AB29" i="5"/>
  <c r="AD29" i="5"/>
  <c r="AH29" i="5"/>
  <c r="AJ29" i="5"/>
  <c r="AK29" i="5"/>
  <c r="AO21" i="5"/>
  <c r="AP21" i="5" s="1"/>
  <c r="AE21" i="5"/>
  <c r="AG21" i="5"/>
  <c r="AH21" i="5"/>
  <c r="AI21" i="5"/>
  <c r="AL21" i="5"/>
  <c r="AB21" i="5"/>
  <c r="AA21" i="5"/>
  <c r="AC21" i="5"/>
  <c r="AD21" i="5"/>
  <c r="AF21" i="5"/>
  <c r="AJ21" i="5"/>
  <c r="AK21" i="5"/>
  <c r="AO33" i="5"/>
  <c r="AP33" i="5" s="1"/>
  <c r="AI33" i="5"/>
  <c r="AK33" i="5"/>
  <c r="AL33" i="5"/>
  <c r="AA33" i="5"/>
  <c r="AB33" i="5"/>
  <c r="AG33" i="5"/>
  <c r="AH33" i="5"/>
  <c r="AC33" i="5"/>
  <c r="AD33" i="5"/>
  <c r="AE33" i="5"/>
  <c r="AF33" i="5"/>
  <c r="AJ33" i="5"/>
  <c r="AO34" i="5"/>
  <c r="AP34" i="5" s="1"/>
  <c r="AG34" i="5"/>
  <c r="AH34" i="5"/>
  <c r="AI34" i="5"/>
  <c r="AJ34" i="5"/>
  <c r="AK34" i="5"/>
  <c r="AF34" i="5"/>
  <c r="AB34" i="5"/>
  <c r="AA34" i="5"/>
  <c r="AC34" i="5"/>
  <c r="AD34" i="5"/>
  <c r="AE34" i="5"/>
  <c r="AL34" i="5"/>
  <c r="AO37" i="5"/>
  <c r="AP37" i="5" s="1"/>
  <c r="AB37" i="5"/>
  <c r="AC37" i="5"/>
  <c r="AD37" i="5"/>
  <c r="AE37" i="5"/>
  <c r="AG37" i="5"/>
  <c r="AA37" i="5"/>
  <c r="AF37" i="5"/>
  <c r="AH37" i="5"/>
  <c r="AI37" i="5"/>
  <c r="AJ37" i="5"/>
  <c r="AK37" i="5"/>
  <c r="AL37" i="5"/>
  <c r="AO13" i="5"/>
  <c r="AC13" i="5"/>
  <c r="AD13" i="5"/>
  <c r="AE13" i="5"/>
  <c r="AB13" i="5"/>
  <c r="AA13" i="5"/>
  <c r="AF13" i="5"/>
  <c r="AJ13" i="5"/>
  <c r="AG13" i="5"/>
  <c r="AH13" i="5"/>
  <c r="AI13" i="5"/>
  <c r="AK13" i="5"/>
  <c r="AL13" i="5"/>
  <c r="AI7" i="5"/>
  <c r="AK7" i="5"/>
  <c r="AL7" i="5"/>
  <c r="AC7" i="5"/>
  <c r="AE7" i="5"/>
  <c r="AH7" i="5"/>
  <c r="AD7" i="5"/>
  <c r="AG7" i="5"/>
  <c r="AJ7" i="5"/>
  <c r="AF7" i="5"/>
  <c r="AA7" i="5"/>
  <c r="AB7" i="5"/>
  <c r="AO11" i="5"/>
  <c r="AP11" i="5" s="1"/>
  <c r="AF11" i="5"/>
  <c r="AH11" i="5"/>
  <c r="AI11" i="5"/>
  <c r="AJ11" i="5"/>
  <c r="AB11" i="5"/>
  <c r="AE11" i="5"/>
  <c r="AC11" i="5"/>
  <c r="AD11" i="5"/>
  <c r="AA11" i="5"/>
  <c r="AG11" i="5"/>
  <c r="AK11" i="5"/>
  <c r="AO18" i="5"/>
  <c r="AP18" i="5" s="1"/>
  <c r="AL18" i="5"/>
  <c r="AB18" i="5"/>
  <c r="AA18" i="5"/>
  <c r="AC18" i="5"/>
  <c r="AE18" i="5"/>
  <c r="AG18" i="5"/>
  <c r="AI18" i="5"/>
  <c r="AD18" i="5"/>
  <c r="AF18" i="5"/>
  <c r="AH18" i="5"/>
  <c r="AJ18" i="5"/>
  <c r="AK18" i="5"/>
  <c r="AO32" i="5"/>
  <c r="AP32" i="5" s="1"/>
  <c r="AK32" i="5"/>
  <c r="AA32" i="5"/>
  <c r="AH32" i="5"/>
  <c r="AG32" i="5"/>
  <c r="AI32" i="5"/>
  <c r="AL32" i="5"/>
  <c r="AJ32" i="5"/>
  <c r="AE32" i="5"/>
  <c r="AB32" i="5"/>
  <c r="AC32" i="5"/>
  <c r="AD32" i="5"/>
  <c r="AF32" i="5"/>
  <c r="AO17" i="5"/>
  <c r="AC17" i="5"/>
  <c r="AA17" i="5"/>
  <c r="AD17" i="5"/>
  <c r="AE17" i="5"/>
  <c r="AF17" i="5"/>
  <c r="AH17" i="5"/>
  <c r="AG17" i="5"/>
  <c r="AJ17" i="5"/>
  <c r="AL17" i="5"/>
  <c r="AB17" i="5"/>
  <c r="AI17" i="5"/>
  <c r="AK17" i="5"/>
  <c r="AO12" i="5"/>
  <c r="AP12" i="5" s="1"/>
  <c r="AD12" i="5"/>
  <c r="AF12" i="5"/>
  <c r="AG12" i="5"/>
  <c r="AH12" i="5"/>
  <c r="AK12" i="5"/>
  <c r="AA12" i="5"/>
  <c r="AL12" i="5"/>
  <c r="AE12" i="5"/>
  <c r="AB12" i="5"/>
  <c r="AC12" i="5"/>
  <c r="AI12" i="5"/>
  <c r="AJ12" i="5"/>
  <c r="AO27" i="5"/>
  <c r="AP27" i="5" s="1"/>
  <c r="AG27" i="5"/>
  <c r="AI27" i="5"/>
  <c r="AJ27" i="5"/>
  <c r="AK27" i="5"/>
  <c r="AF27" i="5"/>
  <c r="AA27" i="5"/>
  <c r="AH27" i="5"/>
  <c r="AD27" i="5"/>
  <c r="AL27" i="5"/>
  <c r="AC27" i="5"/>
  <c r="AE27" i="5"/>
  <c r="AB27" i="5"/>
  <c r="AO28" i="5"/>
  <c r="AP28" i="5" s="1"/>
  <c r="AO15" i="5"/>
  <c r="AP15" i="5" s="1"/>
  <c r="AG15" i="5"/>
  <c r="AI15" i="5"/>
  <c r="AJ15" i="5"/>
  <c r="AK15" i="5"/>
  <c r="AA15" i="5"/>
  <c r="AB15" i="5"/>
  <c r="AF15" i="5"/>
  <c r="AH15" i="5"/>
  <c r="AL15" i="5"/>
  <c r="AC15" i="5"/>
  <c r="AE15" i="5"/>
  <c r="AD15" i="5"/>
  <c r="AO31" i="5"/>
  <c r="AP31" i="5" s="1"/>
  <c r="AA31" i="5"/>
  <c r="AB31" i="5"/>
  <c r="AC31" i="5"/>
  <c r="AF31" i="5"/>
  <c r="AD31" i="5"/>
  <c r="AE31" i="5"/>
  <c r="AG31" i="5"/>
  <c r="AH31" i="5"/>
  <c r="AI31" i="5"/>
  <c r="AJ31" i="5"/>
  <c r="AK31" i="5"/>
  <c r="AL31" i="5"/>
  <c r="AO9" i="5"/>
  <c r="AP9" i="5" s="1"/>
  <c r="AB9" i="5"/>
  <c r="AC9" i="5"/>
  <c r="AD9" i="5"/>
  <c r="AH9" i="5"/>
  <c r="AA9" i="5"/>
  <c r="AF9" i="5"/>
  <c r="AJ9" i="5"/>
  <c r="AK9" i="5"/>
  <c r="AL9" i="5"/>
  <c r="AE9" i="5"/>
  <c r="AG9" i="5"/>
  <c r="AI9" i="5"/>
  <c r="AO19" i="5"/>
  <c r="AI19" i="5"/>
  <c r="AA19" i="5"/>
  <c r="AK19" i="5"/>
  <c r="AL19" i="5"/>
  <c r="AF19" i="5"/>
  <c r="AG19" i="5"/>
  <c r="AH19" i="5"/>
  <c r="AJ19" i="5"/>
  <c r="AD19" i="5"/>
  <c r="AC19" i="5"/>
  <c r="AE19" i="5"/>
  <c r="AB19" i="5"/>
  <c r="AO35" i="5"/>
  <c r="AE35" i="5"/>
  <c r="AF35" i="5"/>
  <c r="AG35" i="5"/>
  <c r="AH35" i="5"/>
  <c r="AI35" i="5"/>
  <c r="AB35" i="5"/>
  <c r="AJ35" i="5"/>
  <c r="AK35" i="5"/>
  <c r="AA35" i="5"/>
  <c r="AC35" i="5"/>
  <c r="AD35" i="5"/>
  <c r="AL35" i="5"/>
  <c r="AO26" i="5"/>
  <c r="AP26" i="5" s="1"/>
  <c r="AH26" i="5"/>
  <c r="AK26" i="5"/>
  <c r="AL26" i="5"/>
  <c r="AA26" i="5"/>
  <c r="AB26" i="5"/>
  <c r="AC26" i="5"/>
  <c r="AF26" i="5"/>
  <c r="AE26" i="5"/>
  <c r="AE2" i="5" s="1"/>
  <c r="AI26" i="5"/>
  <c r="AD26" i="5"/>
  <c r="AG26" i="5"/>
  <c r="AJ26" i="5"/>
  <c r="AO23" i="5"/>
  <c r="AP23" i="5" s="1"/>
  <c r="AB23" i="5"/>
  <c r="AC23" i="5"/>
  <c r="AD23" i="5"/>
  <c r="AG23" i="5"/>
  <c r="AK23" i="5"/>
  <c r="AA23" i="5"/>
  <c r="AE23" i="5"/>
  <c r="AH23" i="5"/>
  <c r="AL23" i="5"/>
  <c r="AF23" i="5"/>
  <c r="AI23" i="5"/>
  <c r="AJ23" i="5"/>
  <c r="AK25" i="5"/>
  <c r="AA25" i="5"/>
  <c r="AD25" i="5"/>
  <c r="AH25" i="5"/>
  <c r="AB25" i="5"/>
  <c r="AE25" i="5"/>
  <c r="AG25" i="5"/>
  <c r="AJ25" i="5"/>
  <c r="AC25" i="5"/>
  <c r="AF25" i="5"/>
  <c r="AI25" i="5"/>
  <c r="AL25" i="5"/>
  <c r="BI6" i="5"/>
  <c r="BI38" i="5" s="1"/>
  <c r="AO46" i="5" s="1"/>
  <c r="AP46" i="5" s="1"/>
  <c r="BE42" i="5"/>
  <c r="AO30" i="5"/>
  <c r="AC30" i="5"/>
  <c r="AD30" i="5"/>
  <c r="AE30" i="5"/>
  <c r="AF30" i="5"/>
  <c r="AI30" i="5"/>
  <c r="AK30" i="5"/>
  <c r="AL30" i="5"/>
  <c r="AA30" i="5"/>
  <c r="AG30" i="5"/>
  <c r="AJ30" i="5"/>
  <c r="AB30" i="5"/>
  <c r="AH30" i="5"/>
  <c r="AO8" i="5"/>
  <c r="AP8" i="5" s="1"/>
  <c r="AG8" i="5"/>
  <c r="AI8" i="5"/>
  <c r="AJ8" i="5"/>
  <c r="AK8" i="5"/>
  <c r="AC8" i="5"/>
  <c r="AB8" i="5"/>
  <c r="AD8" i="5"/>
  <c r="AE8" i="5"/>
  <c r="AF8" i="5"/>
  <c r="AH8" i="5"/>
  <c r="AL8" i="5"/>
  <c r="AL2" i="5" s="1"/>
  <c r="AA8" i="5"/>
  <c r="AO16" i="5"/>
  <c r="AD16" i="5"/>
  <c r="AF16" i="5"/>
  <c r="AG16" i="5"/>
  <c r="AA16" i="5"/>
  <c r="AH16" i="5"/>
  <c r="AB16" i="5"/>
  <c r="AK16" i="5"/>
  <c r="AC16" i="5"/>
  <c r="AJ16" i="5"/>
  <c r="AE16" i="5"/>
  <c r="AI16" i="5"/>
  <c r="AL16" i="5"/>
  <c r="AO10" i="5"/>
  <c r="AP10" i="5" s="1"/>
  <c r="AJ10" i="5"/>
  <c r="AL10" i="5"/>
  <c r="AG10" i="5"/>
  <c r="AH10" i="5"/>
  <c r="AI10" i="5"/>
  <c r="AK10" i="5"/>
  <c r="AA10" i="5"/>
  <c r="AF10" i="5"/>
  <c r="AB10" i="5"/>
  <c r="AC10" i="5"/>
  <c r="AC2" i="5" s="1"/>
  <c r="AD10" i="5"/>
  <c r="AE10" i="5"/>
  <c r="AO20" i="5"/>
  <c r="AP20" i="5" s="1"/>
  <c r="AG20" i="5"/>
  <c r="AI20" i="5"/>
  <c r="AJ20" i="5"/>
  <c r="AK20" i="5"/>
  <c r="AD20" i="5"/>
  <c r="AF20" i="5"/>
  <c r="AB20" i="5"/>
  <c r="AC20" i="5"/>
  <c r="AE20" i="5"/>
  <c r="AH20" i="5"/>
  <c r="AL20" i="5"/>
  <c r="AA20" i="5"/>
  <c r="AO36" i="5"/>
  <c r="AC36" i="5"/>
  <c r="AD36" i="5"/>
  <c r="AE36" i="5"/>
  <c r="AF36" i="5"/>
  <c r="AG36" i="5"/>
  <c r="AJ36" i="5"/>
  <c r="AH36" i="5"/>
  <c r="AK36" i="5"/>
  <c r="AB36" i="5"/>
  <c r="AI36" i="5"/>
  <c r="AL36" i="5"/>
  <c r="AA36" i="5"/>
  <c r="AP30" i="5"/>
  <c r="AP17" i="5"/>
  <c r="AP25" i="5"/>
  <c r="AP16" i="5"/>
  <c r="AP35" i="5"/>
  <c r="AP13" i="5"/>
  <c r="AP19" i="5"/>
  <c r="AO7" i="5"/>
  <c r="BF7" i="5"/>
  <c r="BH7" i="5" s="1"/>
  <c r="BF8" i="5"/>
  <c r="BF9" i="5"/>
  <c r="BF10" i="5"/>
  <c r="BF11" i="5"/>
  <c r="BF12" i="5"/>
  <c r="BF13" i="5"/>
  <c r="BF14" i="5"/>
  <c r="BF15" i="5"/>
  <c r="BF16" i="5"/>
  <c r="BF17" i="5"/>
  <c r="BF18" i="5"/>
  <c r="BF19" i="5"/>
  <c r="BF20" i="5"/>
  <c r="BF21" i="5"/>
  <c r="BF22" i="5"/>
  <c r="BF23" i="5"/>
  <c r="BF24" i="5"/>
  <c r="BF25" i="5"/>
  <c r="BF26" i="5"/>
  <c r="BF27" i="5"/>
  <c r="BF28" i="5"/>
  <c r="BF29" i="5"/>
  <c r="BF30" i="5"/>
  <c r="BF31" i="5"/>
  <c r="BF32" i="5"/>
  <c r="BF33" i="5"/>
  <c r="BF34" i="5"/>
  <c r="BF35" i="5"/>
  <c r="BF36" i="5"/>
  <c r="BF37" i="5"/>
  <c r="BF6" i="5"/>
  <c r="BD2" i="5"/>
  <c r="BG2" i="5"/>
  <c r="BC2" i="5"/>
  <c r="BB2" i="5"/>
  <c r="BA2" i="5"/>
  <c r="AZ2" i="5"/>
  <c r="AY2" i="5"/>
  <c r="AX2" i="5"/>
  <c r="AW2" i="5"/>
  <c r="AV2" i="5"/>
  <c r="AU2" i="5"/>
  <c r="AT2" i="5"/>
  <c r="AS2" i="5"/>
  <c r="AM2" i="5"/>
  <c r="AD2" i="5" l="1"/>
  <c r="AH2" i="5"/>
  <c r="AJ2" i="5"/>
  <c r="AG2" i="5"/>
  <c r="AB2" i="5"/>
  <c r="AF2" i="5"/>
  <c r="AI2" i="5"/>
  <c r="AK2" i="5"/>
  <c r="AR32" i="5"/>
  <c r="BH32" i="5"/>
  <c r="AR17" i="5"/>
  <c r="BH17" i="5"/>
  <c r="AR16" i="5"/>
  <c r="BH16" i="5"/>
  <c r="AR13" i="5"/>
  <c r="BH13" i="5"/>
  <c r="AR26" i="5"/>
  <c r="BH26" i="5"/>
  <c r="AR12" i="5"/>
  <c r="BH12" i="5"/>
  <c r="AP36" i="5"/>
  <c r="AR20" i="5"/>
  <c r="BH20" i="5"/>
  <c r="AP6" i="5"/>
  <c r="AO42" i="5"/>
  <c r="AR28" i="5"/>
  <c r="BH28" i="5"/>
  <c r="AR27" i="5"/>
  <c r="BH27" i="5"/>
  <c r="AR11" i="5"/>
  <c r="BH11" i="5"/>
  <c r="AR19" i="5"/>
  <c r="BH19" i="5"/>
  <c r="AR29" i="5"/>
  <c r="BH29" i="5"/>
  <c r="BF38" i="5"/>
  <c r="AR38" i="5" s="1"/>
  <c r="BH6" i="5"/>
  <c r="AR33" i="5"/>
  <c r="BH33" i="5"/>
  <c r="AR30" i="5"/>
  <c r="BH30" i="5"/>
  <c r="AR10" i="5"/>
  <c r="BH10" i="5"/>
  <c r="AR37" i="5"/>
  <c r="BH37" i="5"/>
  <c r="AR23" i="5"/>
  <c r="BH23" i="5"/>
  <c r="AR9" i="5"/>
  <c r="BH9" i="5"/>
  <c r="AR34" i="5"/>
  <c r="BH34" i="5"/>
  <c r="AR18" i="5"/>
  <c r="BH18" i="5"/>
  <c r="AR14" i="5"/>
  <c r="BH14" i="5"/>
  <c r="AR25" i="5"/>
  <c r="BH25" i="5"/>
  <c r="AR24" i="5"/>
  <c r="BH24" i="5"/>
  <c r="AR36" i="5"/>
  <c r="BH36" i="5"/>
  <c r="AO47" i="5" s="1"/>
  <c r="AP47" i="5" s="1"/>
  <c r="AR22" i="5"/>
  <c r="BH22" i="5"/>
  <c r="AR8" i="5"/>
  <c r="BH8" i="5"/>
  <c r="AR31" i="5"/>
  <c r="BH31" i="5"/>
  <c r="AR15" i="5"/>
  <c r="BH15" i="5"/>
  <c r="AR35" i="5"/>
  <c r="BH35" i="5"/>
  <c r="AR21" i="5"/>
  <c r="BH21" i="5"/>
  <c r="AR7" i="5"/>
  <c r="AP7" i="5"/>
  <c r="AR6" i="5"/>
  <c r="BE2" i="5"/>
  <c r="BF42" i="5" l="1"/>
  <c r="BF2" i="5" s="1"/>
  <c r="BH38" i="5"/>
  <c r="AA2" i="5"/>
  <c r="AN2" i="5"/>
  <c r="AR2" i="5"/>
  <c r="AO48" i="5" l="1"/>
  <c r="AP48" i="5" s="1"/>
  <c r="AP45" i="5"/>
  <c r="AO2" i="5" l="1"/>
  <c r="AP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tc={0C8792B5-6387-418E-B582-66768C975A9C}</author>
  </authors>
  <commentList>
    <comment ref="AO45" authorId="0" shapeId="0" xr:uid="{0C8792B5-6387-418E-B582-66768C975A9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50% García Com</t>
      </text>
    </comment>
  </commentList>
</comments>
</file>

<file path=xl/sharedStrings.xml><?xml version="1.0" encoding="utf-8"?>
<sst xmlns="http://schemas.openxmlformats.org/spreadsheetml/2006/main" count="315" uniqueCount="103">
  <si>
    <t>Año</t>
  </si>
  <si>
    <t>Mes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</si>
  <si>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</si>
  <si>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</si>
  <si>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</si>
  <si>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</si>
  <si>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</si>
  <si>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</si>
  <si>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</si>
  <si>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</si>
  <si>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</si>
  <si>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</si>
  <si>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</si>
  <si>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</si>
  <si>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Nombre</t>
  </si>
  <si>
    <t>Departamento</t>
  </si>
  <si>
    <t>Centro de coste</t>
  </si>
  <si>
    <t>640 - Sueldos y salarios</t>
  </si>
  <si>
    <t>642 - Seguridad social</t>
  </si>
  <si>
    <t>Tipo de contrato</t>
  </si>
  <si>
    <t>Empresa</t>
  </si>
  <si>
    <t>Contrato personal</t>
  </si>
  <si>
    <t>Mercantil</t>
  </si>
  <si>
    <t>Laboral</t>
  </si>
  <si>
    <t>Salario bruto
ANUAL (€)</t>
  </si>
  <si>
    <t>Variable
ANUAL (€)</t>
  </si>
  <si>
    <t>Norma de reparto</t>
  </si>
  <si>
    <t>Imma L</t>
  </si>
  <si>
    <t>Responsable dpto</t>
  </si>
  <si>
    <t>2027</t>
  </si>
  <si>
    <t>LB-CALID</t>
  </si>
  <si>
    <t>COMERC</t>
  </si>
  <si>
    <t>COMP-MPL</t>
  </si>
  <si>
    <t>FINANZAS</t>
  </si>
  <si>
    <t>MKT</t>
  </si>
  <si>
    <t>OP-PR</t>
  </si>
  <si>
    <t>QSHE</t>
  </si>
  <si>
    <t>R+D</t>
  </si>
  <si>
    <t>REG</t>
  </si>
  <si>
    <t>RRHH</t>
  </si>
  <si>
    <t>TEC</t>
  </si>
  <si>
    <t>TECNICO</t>
  </si>
  <si>
    <t>TICS</t>
  </si>
  <si>
    <t>AGROQUIMICA CODIAGRO, S.L.</t>
  </si>
  <si>
    <t>AQUA BRASIL</t>
  </si>
  <si>
    <t>B.N.A S.P.A</t>
  </si>
  <si>
    <t>Ceres</t>
  </si>
  <si>
    <t>MANVERT MAROC</t>
  </si>
  <si>
    <t>Manvert Mexico</t>
  </si>
  <si>
    <t>SUSTAINABLE AGRO SOLUTIONS MEXICO</t>
  </si>
  <si>
    <t>Sustainable Agro Solutions, S.A.U.</t>
  </si>
  <si>
    <t>SUSTAINABLE AGROBIO SOLUTIONS WORLDWIDE, S.L.U.</t>
  </si>
  <si>
    <t>ALBIOL CALVO ENRIQUE</t>
  </si>
  <si>
    <t>ANDREU SELMA, ANTONIO</t>
  </si>
  <si>
    <t>ARANEGA FERRERES, OSCAR</t>
  </si>
  <si>
    <t>ARIÑO ALMELA SAMUEL</t>
  </si>
  <si>
    <t>CABEZA RAMIREZ, DANIEL</t>
  </si>
  <si>
    <t>CASTILLO PRADES, ALEJANDRO</t>
  </si>
  <si>
    <t>COLICA, ALECU</t>
  </si>
  <si>
    <t>EDO BOU JAVIER</t>
  </si>
  <si>
    <t>FLOR AZNAR, MANUEL</t>
  </si>
  <si>
    <t>GARCIA CLEMENTE, IRENE MARIA</t>
  </si>
  <si>
    <t>GARCIA SANCHEZ, JUAN ANTONIO</t>
  </si>
  <si>
    <t>GONZALEZ UBEDA, CRISTIAN</t>
  </si>
  <si>
    <t>MORO AMORES, JAIME</t>
  </si>
  <si>
    <t>NAVARRO CORREDOR, RAQUEL</t>
  </si>
  <si>
    <t>OCAMPO OTERO, OSCAR DAVID</t>
  </si>
  <si>
    <t>PAREDES MARTINEZ, JAVIER</t>
  </si>
  <si>
    <t>PEREZ SANTAMAR FERRER, RICARDO</t>
  </si>
  <si>
    <t>PORTA SANUY PEDRO</t>
  </si>
  <si>
    <t>ROCA LOPEZ MARTA</t>
  </si>
  <si>
    <t>ROMERO CARRION, EVA</t>
  </si>
  <si>
    <t>SUESTA EDO, IVAN</t>
  </si>
  <si>
    <t>TRILLES ESTEVE, ALMA</t>
  </si>
  <si>
    <t>VALLS AGUSTINA MIGUEL ANGEL</t>
  </si>
  <si>
    <t>VARAS RUBIANO, ESTER</t>
  </si>
  <si>
    <t>VERTEDOR FERNANDEZ ALBERTO</t>
  </si>
  <si>
    <t>CONTABLE</t>
  </si>
  <si>
    <t>PRADES DEL CAMPO JORGE</t>
  </si>
  <si>
    <t>LOMBARDO MARCOS ARIEL</t>
  </si>
  <si>
    <t>MEDINA BERNAL PEDRO JAVIER</t>
  </si>
  <si>
    <t>BARBERA RAMO GUILLERMO</t>
  </si>
  <si>
    <t>REGULATORY</t>
  </si>
  <si>
    <t>COMERCIAL</t>
  </si>
  <si>
    <t>budget</t>
  </si>
  <si>
    <t>estos importes son con la seguridad social incluida??</t>
  </si>
  <si>
    <t>+</t>
  </si>
  <si>
    <t>RUIZ CESPEDES, NIEVES</t>
  </si>
  <si>
    <t>AMELA MELIA, RAUL</t>
  </si>
  <si>
    <t>BARREDA MAS, CARLOS</t>
  </si>
  <si>
    <t>VALLS RAMBLA, OSCAR</t>
  </si>
  <si>
    <r>
      <t xml:space="preserve">Gasto de personal 2026: </t>
    </r>
    <r>
      <rPr>
        <b/>
        <sz val="11"/>
        <color theme="1"/>
        <rFont val="Segoe UI"/>
        <family val="2"/>
      </rPr>
      <t>2.195.328 €</t>
    </r>
  </si>
  <si>
    <r>
      <t xml:space="preserve">Previsión gasto de personal 2027: </t>
    </r>
    <r>
      <rPr>
        <b/>
        <sz val="11"/>
        <color theme="1"/>
        <rFont val="Segoe UI"/>
        <family val="2"/>
      </rPr>
      <t>2.391.608 €</t>
    </r>
  </si>
  <si>
    <r>
      <t xml:space="preserve">Incremento absoluto: </t>
    </r>
    <r>
      <rPr>
        <b/>
        <sz val="11"/>
        <color theme="1"/>
        <rFont val="Segoe UI"/>
        <family val="2"/>
      </rPr>
      <t>196.280 €</t>
    </r>
  </si>
  <si>
    <r>
      <t xml:space="preserve">Incremento porcentual: </t>
    </r>
    <r>
      <rPr>
        <b/>
        <sz val="11"/>
        <color theme="1"/>
        <rFont val="Segoe UI"/>
        <family val="2"/>
      </rPr>
      <t>8,94 %</t>
    </r>
  </si>
  <si>
    <t>coste  2026</t>
  </si>
  <si>
    <t>TOTSL COSTE 2026 (F+V+B+SS)SIN EXTRA ITEMS</t>
  </si>
  <si>
    <t>TOPE 62000</t>
  </si>
  <si>
    <t>2027 TOPADO</t>
  </si>
  <si>
    <t>2026 TOPADO</t>
  </si>
  <si>
    <t>IPC</t>
  </si>
  <si>
    <t>NUEVOS(S+SS)</t>
  </si>
  <si>
    <t>INCREMENTO VTAS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</si>
</sst>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###0"/>
    <numFmt numFmtId="165" formatCode="#,###,##0.00;\-#,###,##0.00;"/>
    <numFmt numFmtId="166" formatCode="#,##0\ &quot;€&quot;"/>
    <numFmt numFmtId="167" formatCode="#,##0.00\ &quot;€&quot;"/>
    <numFmt numFmtId="168" formatCode="#,##0.00\ _€"/>
  </numFmts>
  <fonts count="20" x14ac:knownFonts="1">
    <font>
      <sz val="11"/>
      <color theme="1"/>
      <name val="Calibri"/>
      <family val="2"/>
      <scheme val="minor"/>
    </font>
    <font>
      <b/>
      <sz val="8"/>
      <color theme="0"/>
      <name val="Arial"/>
      <family val="2"/>
    </font>
    <font>
      <sz val="8"/>
      <color indexed="8"/>
      <name val="Arial"/>
      <family val="2"/>
    </font>
    <font>
      <sz val="8"/>
      <name val="Calibri"/>
      <family val="2"/>
      <scheme val="minor"/>
    </font>
    <font>
      <b/>
      <sz val="8"/>
      <color rgb="FFFF0000"/>
      <name val="Arial"/>
      <family val="2"/>
    </font>
    <font>
      <sz val="9"/>
      <color indexed="8"/>
      <name val="Arial"/>
      <family val="2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  <font>
      <sz val="9"/>
      <color rgb="FF000000"/>
      <name val="Arial"/>
      <family val="2"/>
    </font>
    <font>
      <sz val="10"/>
      <color indexed="8"/>
      <name val="Arial"/>
      <family val="2"/>
    </font>
    <font>
      <sz val="10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0"/>
      <color rgb="FF000000"/>
      <name val="Arial"/>
      <family val="2"/>
    </font>
    <font>
      <sz val="16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indexed="8"/>
      <name val="Arial"/>
      <family val="2"/>
    </font>
    <font>
      <b/>
      <sz val="18"/>
      <color indexed="8"/>
      <name val="Arial"/>
      <family val="2"/>
    </font>
    <font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rgb="FF0000CC"/>
      </left>
      <right style="thin">
        <color rgb="FF0000CC"/>
      </right>
      <top style="thin">
        <color rgb="FF0000CC"/>
      </top>
      <bottom style="thin">
        <color rgb="FF0000CC"/>
      </bottom>
      <diagonal/>
    </border>
    <border>
      <left style="thin">
        <color rgb="FF0000CC"/>
      </left>
      <right/>
      <top style="thin">
        <color rgb="FF0000CC"/>
      </top>
      <bottom style="thin">
        <color rgb="FF0000CC"/>
      </bottom>
      <diagonal/>
    </border>
    <border>
      <left/>
      <right/>
      <top style="thin">
        <color rgb="FF0000CC"/>
      </top>
      <bottom style="thin">
        <color rgb="FF0000CC"/>
      </bottom>
      <diagonal/>
    </border>
    <border>
      <left/>
      <right style="thin">
        <color rgb="FF0000CC"/>
      </right>
      <top style="thin">
        <color rgb="FF0000CC"/>
      </top>
      <bottom style="thin">
        <color rgb="FF0000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CC"/>
      </left>
      <right style="thin">
        <color rgb="FF0000CC"/>
      </right>
      <top style="thin">
        <color rgb="FF0000CC"/>
      </top>
      <bottom/>
      <diagonal/>
    </border>
    <border>
      <left style="thin">
        <color rgb="FF0000CC"/>
      </left>
      <right style="thin">
        <color rgb="FF0000CC"/>
      </right>
      <top/>
      <bottom style="thin">
        <color rgb="FF0000CC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CC"/>
      </left>
      <right/>
      <top style="thin">
        <color indexed="64"/>
      </top>
      <bottom style="thin">
        <color rgb="FF0000CC"/>
      </bottom>
      <diagonal/>
    </border>
    <border>
      <left/>
      <right/>
      <top style="thin">
        <color indexed="64"/>
      </top>
      <bottom style="thin">
        <color rgb="FF0000CC"/>
      </bottom>
      <diagonal/>
    </border>
    <border>
      <left/>
      <right style="thin">
        <color rgb="FF0000CC"/>
      </right>
      <top style="thin">
        <color indexed="64"/>
      </top>
      <bottom style="thin">
        <color rgb="FF0000CC"/>
      </bottom>
      <diagonal/>
    </border>
  </borders>
  <cellStyleXfs count="3">
    <xf numFmtId="0" fontId="0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</cellStyleXfs>
  <cellXfs count="110">
    <xf numFmtId="0" fontId="0" fillId="0" borderId="0" xfId="0"/>
    <xf numFmtId="164" fontId="2" fillId="0" borderId="1" xfId="0" applyNumberFormat="1" applyFont="1" applyBorder="1" applyAlignment="1">
      <alignment horizontal="center" vertical="center"/>
    </xf>
    <xf numFmtId="0" fontId="4" fillId="0" borderId="0" xfId="0" applyFont="1"/>
    <xf numFmtId="164" fontId="4" fillId="0" borderId="0" xfId="0" applyNumberFormat="1" applyFont="1"/>
    <xf numFmtId="4" fontId="2" fillId="0" borderId="1" xfId="0" applyNumberFormat="1" applyFont="1" applyBorder="1" applyAlignment="1">
      <alignment horizontal="center" vertical="center"/>
    </xf>
    <xf numFmtId="4" fontId="0" fillId="0" borderId="0" xfId="0" applyNumberForma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49" fontId="1" fillId="2" borderId="6" xfId="0" applyNumberFormat="1" applyFon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 vertical="center"/>
    </xf>
    <xf numFmtId="0" fontId="6" fillId="0" borderId="5" xfId="0" applyFont="1" applyBorder="1"/>
    <xf numFmtId="4" fontId="5" fillId="0" borderId="5" xfId="0" applyNumberFormat="1" applyFont="1" applyBorder="1" applyAlignment="1">
      <alignment horizontal="center" vertical="center"/>
    </xf>
    <xf numFmtId="4" fontId="5" fillId="3" borderId="5" xfId="0" applyNumberFormat="1" applyFont="1" applyFill="1" applyBorder="1" applyAlignment="1">
      <alignment horizontal="center" vertical="center"/>
    </xf>
    <xf numFmtId="0" fontId="7" fillId="0" borderId="5" xfId="0" applyFont="1" applyBorder="1"/>
    <xf numFmtId="0" fontId="8" fillId="0" borderId="5" xfId="0" applyFont="1" applyBorder="1" applyAlignment="1">
      <alignment vertical="center"/>
    </xf>
    <xf numFmtId="0" fontId="6" fillId="4" borderId="5" xfId="0" applyFont="1" applyFill="1" applyBorder="1"/>
    <xf numFmtId="164" fontId="5" fillId="4" borderId="5" xfId="0" applyNumberFormat="1" applyFont="1" applyFill="1" applyBorder="1" applyAlignment="1">
      <alignment horizontal="center" vertical="center"/>
    </xf>
    <xf numFmtId="164" fontId="5" fillId="0" borderId="5" xfId="0" applyNumberFormat="1" applyFont="1" applyBorder="1" applyAlignment="1">
      <alignment horizontal="right" vertical="center"/>
    </xf>
    <xf numFmtId="165" fontId="6" fillId="5" borderId="5" xfId="0" applyNumberFormat="1" applyFont="1" applyFill="1" applyBorder="1" applyAlignment="1">
      <alignment horizontal="right"/>
    </xf>
    <xf numFmtId="4" fontId="5" fillId="0" borderId="5" xfId="0" applyNumberFormat="1" applyFont="1" applyBorder="1" applyAlignment="1">
      <alignment horizontal="right" vertical="center"/>
    </xf>
    <xf numFmtId="164" fontId="5" fillId="4" borderId="5" xfId="0" applyNumberFormat="1" applyFont="1" applyFill="1" applyBorder="1" applyAlignment="1">
      <alignment horizontal="right" vertical="center"/>
    </xf>
    <xf numFmtId="4" fontId="5" fillId="4" borderId="5" xfId="0" applyNumberFormat="1" applyFont="1" applyFill="1" applyBorder="1" applyAlignment="1">
      <alignment horizontal="right" vertical="center"/>
    </xf>
    <xf numFmtId="4" fontId="5" fillId="5" borderId="5" xfId="0" applyNumberFormat="1" applyFont="1" applyFill="1" applyBorder="1" applyAlignment="1">
      <alignment horizontal="right" vertical="center"/>
    </xf>
    <xf numFmtId="4" fontId="0" fillId="0" borderId="0" xfId="0" applyNumberFormat="1" applyAlignment="1">
      <alignment horizontal="right"/>
    </xf>
    <xf numFmtId="166" fontId="5" fillId="0" borderId="5" xfId="0" applyNumberFormat="1" applyFont="1" applyBorder="1" applyAlignment="1">
      <alignment horizontal="right" vertical="center"/>
    </xf>
    <xf numFmtId="167" fontId="9" fillId="5" borderId="5" xfId="0" applyNumberFormat="1" applyFont="1" applyFill="1" applyBorder="1" applyAlignment="1">
      <alignment horizontal="right" vertical="center"/>
    </xf>
    <xf numFmtId="167" fontId="9" fillId="5" borderId="1" xfId="0" applyNumberFormat="1" applyFont="1" applyFill="1" applyBorder="1" applyAlignment="1">
      <alignment horizontal="right" vertical="center"/>
    </xf>
    <xf numFmtId="3" fontId="4" fillId="0" borderId="0" xfId="0" applyNumberFormat="1" applyFont="1" applyAlignment="1">
      <alignment horizontal="right" vertical="center"/>
    </xf>
    <xf numFmtId="3" fontId="4" fillId="0" borderId="0" xfId="0" applyNumberFormat="1" applyFont="1" applyAlignment="1">
      <alignment horizontal="right"/>
    </xf>
    <xf numFmtId="3" fontId="0" fillId="0" borderId="0" xfId="0" applyNumberFormat="1" applyAlignment="1">
      <alignment horizontal="right"/>
    </xf>
    <xf numFmtId="3" fontId="1" fillId="2" borderId="6" xfId="0" applyNumberFormat="1" applyFont="1" applyFill="1" applyBorder="1" applyAlignment="1">
      <alignment horizontal="right" vertical="center"/>
    </xf>
    <xf numFmtId="3" fontId="5" fillId="0" borderId="5" xfId="0" applyNumberFormat="1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0" fontId="0" fillId="0" borderId="5" xfId="0" applyBorder="1"/>
    <xf numFmtId="167" fontId="10" fillId="5" borderId="5" xfId="0" applyNumberFormat="1" applyFont="1" applyFill="1" applyBorder="1" applyAlignment="1">
      <alignment horizontal="right" vertical="center"/>
    </xf>
    <xf numFmtId="3" fontId="5" fillId="0" borderId="9" xfId="0" applyNumberFormat="1" applyFont="1" applyBorder="1" applyAlignment="1">
      <alignment horizontal="right" vertical="center"/>
    </xf>
    <xf numFmtId="164" fontId="5" fillId="0" borderId="9" xfId="0" applyNumberFormat="1" applyFont="1" applyBorder="1" applyAlignment="1">
      <alignment horizontal="center" vertical="center"/>
    </xf>
    <xf numFmtId="3" fontId="0" fillId="0" borderId="5" xfId="0" applyNumberFormat="1" applyBorder="1" applyAlignment="1">
      <alignment horizontal="right"/>
    </xf>
    <xf numFmtId="3" fontId="0" fillId="0" borderId="5" xfId="0" applyNumberFormat="1" applyBorder="1"/>
    <xf numFmtId="166" fontId="5" fillId="0" borderId="8" xfId="0" applyNumberFormat="1" applyFont="1" applyBorder="1" applyAlignment="1">
      <alignment horizontal="center" vertical="center"/>
    </xf>
    <xf numFmtId="166" fontId="5" fillId="0" borderId="5" xfId="0" applyNumberFormat="1" applyFont="1" applyBorder="1" applyAlignment="1">
      <alignment horizontal="center" vertical="center"/>
    </xf>
    <xf numFmtId="167" fontId="5" fillId="0" borderId="5" xfId="0" applyNumberFormat="1" applyFont="1" applyBorder="1" applyAlignment="1">
      <alignment horizontal="right" vertical="center"/>
    </xf>
    <xf numFmtId="49" fontId="1" fillId="2" borderId="0" xfId="0" applyNumberFormat="1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right" vertical="center"/>
    </xf>
    <xf numFmtId="166" fontId="5" fillId="0" borderId="9" xfId="0" applyNumberFormat="1" applyFont="1" applyBorder="1" applyAlignment="1">
      <alignment horizontal="right" vertical="center"/>
    </xf>
    <xf numFmtId="164" fontId="5" fillId="5" borderId="5" xfId="0" applyNumberFormat="1" applyFont="1" applyFill="1" applyBorder="1" applyAlignment="1">
      <alignment horizontal="center" vertical="center"/>
    </xf>
    <xf numFmtId="164" fontId="5" fillId="5" borderId="5" xfId="0" applyNumberFormat="1" applyFont="1" applyFill="1" applyBorder="1" applyAlignment="1">
      <alignment horizontal="left" vertical="center"/>
    </xf>
    <xf numFmtId="0" fontId="11" fillId="0" borderId="0" xfId="0" applyFont="1" applyAlignment="1">
      <alignment vertical="center"/>
    </xf>
    <xf numFmtId="166" fontId="5" fillId="4" borderId="8" xfId="0" applyNumberFormat="1" applyFont="1" applyFill="1" applyBorder="1" applyAlignment="1">
      <alignment horizontal="center" vertical="center"/>
    </xf>
    <xf numFmtId="164" fontId="5" fillId="6" borderId="5" xfId="0" applyNumberFormat="1" applyFont="1" applyFill="1" applyBorder="1" applyAlignment="1">
      <alignment horizontal="center" vertical="center"/>
    </xf>
    <xf numFmtId="0" fontId="6" fillId="6" borderId="5" xfId="0" applyFont="1" applyFill="1" applyBorder="1"/>
    <xf numFmtId="164" fontId="5" fillId="6" borderId="5" xfId="0" applyNumberFormat="1" applyFont="1" applyFill="1" applyBorder="1" applyAlignment="1">
      <alignment horizontal="right" vertical="center"/>
    </xf>
    <xf numFmtId="165" fontId="6" fillId="6" borderId="5" xfId="0" applyNumberFormat="1" applyFont="1" applyFill="1" applyBorder="1" applyAlignment="1">
      <alignment horizontal="right"/>
    </xf>
    <xf numFmtId="4" fontId="5" fillId="6" borderId="5" xfId="0" applyNumberFormat="1" applyFont="1" applyFill="1" applyBorder="1" applyAlignment="1">
      <alignment horizontal="right" vertical="center"/>
    </xf>
    <xf numFmtId="166" fontId="5" fillId="6" borderId="5" xfId="0" applyNumberFormat="1" applyFont="1" applyFill="1" applyBorder="1" applyAlignment="1">
      <alignment horizontal="center" vertical="center"/>
    </xf>
    <xf numFmtId="4" fontId="13" fillId="7" borderId="10" xfId="0" applyNumberFormat="1" applyFont="1" applyFill="1" applyBorder="1"/>
    <xf numFmtId="164" fontId="5" fillId="8" borderId="5" xfId="0" applyNumberFormat="1" applyFont="1" applyFill="1" applyBorder="1" applyAlignment="1">
      <alignment horizontal="center" vertical="center"/>
    </xf>
    <xf numFmtId="0" fontId="6" fillId="8" borderId="5" xfId="0" applyFont="1" applyFill="1" applyBorder="1"/>
    <xf numFmtId="164" fontId="5" fillId="8" borderId="5" xfId="0" applyNumberFormat="1" applyFont="1" applyFill="1" applyBorder="1" applyAlignment="1">
      <alignment horizontal="right" vertical="center"/>
    </xf>
    <xf numFmtId="165" fontId="6" fillId="8" borderId="5" xfId="0" applyNumberFormat="1" applyFont="1" applyFill="1" applyBorder="1" applyAlignment="1">
      <alignment horizontal="right"/>
    </xf>
    <xf numFmtId="4" fontId="5" fillId="8" borderId="5" xfId="0" applyNumberFormat="1" applyFont="1" applyFill="1" applyBorder="1" applyAlignment="1">
      <alignment horizontal="right" vertical="center"/>
    </xf>
    <xf numFmtId="166" fontId="5" fillId="8" borderId="5" xfId="0" applyNumberFormat="1" applyFont="1" applyFill="1" applyBorder="1" applyAlignment="1">
      <alignment horizontal="center" vertical="center"/>
    </xf>
    <xf numFmtId="168" fontId="14" fillId="0" borderId="5" xfId="0" applyNumberFormat="1" applyFont="1" applyBorder="1" applyAlignment="1">
      <alignment horizontal="right" vertical="center"/>
    </xf>
    <xf numFmtId="168" fontId="14" fillId="0" borderId="5" xfId="0" applyNumberFormat="1" applyFont="1" applyBorder="1" applyAlignment="1">
      <alignment horizontal="center" vertical="center"/>
    </xf>
    <xf numFmtId="0" fontId="0" fillId="6" borderId="0" xfId="0" applyFill="1"/>
    <xf numFmtId="4" fontId="5" fillId="6" borderId="5" xfId="0" applyNumberFormat="1" applyFont="1" applyFill="1" applyBorder="1" applyAlignment="1">
      <alignment horizontal="center" vertical="center"/>
    </xf>
    <xf numFmtId="0" fontId="7" fillId="6" borderId="5" xfId="0" applyFont="1" applyFill="1" applyBorder="1"/>
    <xf numFmtId="0" fontId="0" fillId="6" borderId="5" xfId="0" applyFill="1" applyBorder="1"/>
    <xf numFmtId="167" fontId="9" fillId="6" borderId="5" xfId="0" applyNumberFormat="1" applyFont="1" applyFill="1" applyBorder="1" applyAlignment="1">
      <alignment horizontal="right" vertical="center"/>
    </xf>
    <xf numFmtId="166" fontId="5" fillId="6" borderId="8" xfId="0" applyNumberFormat="1" applyFont="1" applyFill="1" applyBorder="1" applyAlignment="1">
      <alignment horizontal="center" vertical="center"/>
    </xf>
    <xf numFmtId="167" fontId="5" fillId="6" borderId="5" xfId="0" applyNumberFormat="1" applyFont="1" applyFill="1" applyBorder="1" applyAlignment="1">
      <alignment horizontal="right" vertical="center"/>
    </xf>
    <xf numFmtId="3" fontId="0" fillId="6" borderId="5" xfId="0" applyNumberFormat="1" applyFill="1" applyBorder="1" applyAlignment="1">
      <alignment horizontal="right"/>
    </xf>
    <xf numFmtId="3" fontId="0" fillId="6" borderId="5" xfId="0" applyNumberFormat="1" applyFill="1" applyBorder="1"/>
    <xf numFmtId="166" fontId="5" fillId="6" borderId="5" xfId="0" applyNumberFormat="1" applyFont="1" applyFill="1" applyBorder="1" applyAlignment="1">
      <alignment horizontal="right" vertical="center"/>
    </xf>
    <xf numFmtId="0" fontId="0" fillId="8" borderId="0" xfId="0" applyFill="1"/>
    <xf numFmtId="4" fontId="5" fillId="8" borderId="5" xfId="0" applyNumberFormat="1" applyFont="1" applyFill="1" applyBorder="1" applyAlignment="1">
      <alignment horizontal="center" vertical="center"/>
    </xf>
    <xf numFmtId="0" fontId="7" fillId="8" borderId="5" xfId="0" applyFont="1" applyFill="1" applyBorder="1"/>
    <xf numFmtId="0" fontId="0" fillId="8" borderId="5" xfId="0" applyFill="1" applyBorder="1"/>
    <xf numFmtId="167" fontId="9" fillId="8" borderId="5" xfId="0" applyNumberFormat="1" applyFont="1" applyFill="1" applyBorder="1" applyAlignment="1">
      <alignment horizontal="right" vertical="center"/>
    </xf>
    <xf numFmtId="166" fontId="5" fillId="8" borderId="8" xfId="0" applyNumberFormat="1" applyFont="1" applyFill="1" applyBorder="1" applyAlignment="1">
      <alignment horizontal="center" vertical="center"/>
    </xf>
    <xf numFmtId="167" fontId="5" fillId="8" borderId="5" xfId="0" applyNumberFormat="1" applyFont="1" applyFill="1" applyBorder="1" applyAlignment="1">
      <alignment horizontal="right" vertical="center"/>
    </xf>
    <xf numFmtId="3" fontId="0" fillId="8" borderId="5" xfId="0" applyNumberFormat="1" applyFill="1" applyBorder="1" applyAlignment="1">
      <alignment horizontal="right"/>
    </xf>
    <xf numFmtId="3" fontId="0" fillId="8" borderId="5" xfId="0" applyNumberFormat="1" applyFill="1" applyBorder="1"/>
    <xf numFmtId="166" fontId="5" fillId="8" borderId="5" xfId="0" applyNumberFormat="1" applyFont="1" applyFill="1" applyBorder="1" applyAlignment="1">
      <alignment horizontal="right" vertical="center"/>
    </xf>
    <xf numFmtId="49" fontId="1" fillId="2" borderId="2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0" fontId="16" fillId="0" borderId="0" xfId="0" applyFont="1"/>
    <xf numFmtId="43" fontId="0" fillId="0" borderId="0" xfId="1" applyFont="1"/>
    <xf numFmtId="43" fontId="4" fillId="0" borderId="0" xfId="1" applyFont="1"/>
    <xf numFmtId="43" fontId="1" fillId="2" borderId="6" xfId="1" applyFont="1" applyFill="1" applyBorder="1" applyAlignment="1">
      <alignment horizontal="center" vertical="center"/>
    </xf>
    <xf numFmtId="43" fontId="1" fillId="2" borderId="0" xfId="1" applyFont="1" applyFill="1" applyAlignment="1">
      <alignment horizontal="center" vertical="center"/>
    </xf>
    <xf numFmtId="43" fontId="16" fillId="0" borderId="0" xfId="1" applyFont="1"/>
    <xf numFmtId="164" fontId="17" fillId="0" borderId="7" xfId="0" applyNumberFormat="1" applyFont="1" applyBorder="1" applyAlignment="1">
      <alignment horizontal="center" vertical="center"/>
    </xf>
    <xf numFmtId="4" fontId="17" fillId="0" borderId="7" xfId="0" applyNumberFormat="1" applyFont="1" applyBorder="1" applyAlignment="1">
      <alignment horizontal="center" vertical="center"/>
    </xf>
    <xf numFmtId="164" fontId="17" fillId="0" borderId="11" xfId="0" applyNumberFormat="1" applyFont="1" applyBorder="1" applyAlignment="1">
      <alignment horizontal="center" vertical="center"/>
    </xf>
    <xf numFmtId="0" fontId="16" fillId="0" borderId="12" xfId="0" applyFont="1" applyBorder="1" applyAlignment="1">
      <alignment vertical="center"/>
    </xf>
    <xf numFmtId="0" fontId="16" fillId="0" borderId="13" xfId="0" applyFont="1" applyBorder="1" applyAlignment="1">
      <alignment vertical="center"/>
    </xf>
    <xf numFmtId="168" fontId="18" fillId="0" borderId="7" xfId="0" applyNumberFormat="1" applyFont="1" applyBorder="1" applyAlignment="1">
      <alignment horizontal="center" vertical="center"/>
    </xf>
    <xf numFmtId="3" fontId="17" fillId="0" borderId="7" xfId="0" applyNumberFormat="1" applyFont="1" applyBorder="1" applyAlignment="1">
      <alignment horizontal="right" vertical="center"/>
    </xf>
    <xf numFmtId="10" fontId="17" fillId="0" borderId="7" xfId="2" applyNumberFormat="1" applyFont="1" applyBorder="1" applyAlignment="1">
      <alignment horizontal="center" vertical="center"/>
    </xf>
    <xf numFmtId="168" fontId="18" fillId="0" borderId="7" xfId="0" applyNumberFormat="1" applyFont="1" applyBorder="1" applyAlignment="1">
      <alignment horizontal="right" vertical="center"/>
    </xf>
    <xf numFmtId="10" fontId="2" fillId="0" borderId="1" xfId="2" applyNumberFormat="1" applyFont="1" applyBorder="1" applyAlignment="1">
      <alignment horizontal="center" vertical="center"/>
    </xf>
    <xf numFmtId="43" fontId="5" fillId="0" borderId="5" xfId="1" applyFont="1" applyBorder="1" applyAlignment="1">
      <alignment horizontal="center" vertical="center"/>
    </xf>
    <xf numFmtId="43" fontId="17" fillId="0" borderId="7" xfId="1" applyFont="1" applyBorder="1" applyAlignment="1">
      <alignment horizontal="center" vertical="center"/>
    </xf>
    <xf numFmtId="43" fontId="2" fillId="0" borderId="1" xfId="1" applyFont="1" applyBorder="1" applyAlignment="1">
      <alignment horizontal="center" vertical="center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Oscar Ocampo" id="{890ADEA9-AC27-4FFD-8461-A503EEB9184D}" userId="S::oscar.ocampo@codiagro.com::49379c83-d9d4-4467-9f98-24dbbf676e59" providerId="AD"/>
</personList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O45" dT="2026-09-29T12:16:38.95" personId="{890ADEA9-AC27-4FFD-8461-A503EEB9184D}" id="{0C8792B5-6387-418E-B582-66768C975A9C}">
    <text>Descuento 50% García Com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B8B52-2469-4397-BDB4-1DE4FA1C3DF9}">
  <dimension ref="A1:BI910"/>
  <sheetViews>
    <sheetView showGridLines="0" tabSelected="1" topLeftCell="AJ34" zoomScaleNormal="100" workbookViewId="0">
      <selection activeCell="AQ53" sqref="AQ53"/>
    </sheetView>
  </sheetViews>
  <sheetFormatPr baseColWidth="10" defaultRowHeight="14.5" x14ac:dyDescent="0.35"/>
  <cols>
    <col min="2" max="2" width="26.7265625" bestFit="1" customWidth="1"/>
    <col min="3" max="3" width="33" bestFit="1" customWidth="1"/>
    <col min="4" max="4" width="12.1796875" bestFit="1" customWidth="1"/>
    <col min="5" max="5" width="14.81640625" bestFit="1" customWidth="1"/>
    <col min="6" max="6" width="13.7265625" bestFit="1" customWidth="1"/>
    <col min="7" max="7" width="13.7265625" customWidth="1"/>
    <col min="8" max="8" width="12.26953125" style="5" bestFit="1" customWidth="1"/>
    <col min="9" max="9" width="11.7265625" style="5" customWidth="1"/>
    <col min="10" max="24" width="7.1796875" style="5" hidden="1" customWidth="1"/>
    <col min="25" max="25" width="11.81640625" style="5" hidden="1" customWidth="1"/>
    <col min="26" max="26" width="0" hidden="1" customWidth="1"/>
    <col min="27" max="34" width="7.81640625" bestFit="1" customWidth="1"/>
    <col min="35" max="35" width="10.26953125" bestFit="1" customWidth="1"/>
    <col min="36" max="38" width="7.81640625" bestFit="1" customWidth="1"/>
    <col min="39" max="39" width="27.26953125" customWidth="1"/>
    <col min="40" max="41" width="24.453125" bestFit="1" customWidth="1"/>
    <col min="42" max="42" width="8.81640625" bestFit="1" customWidth="1"/>
    <col min="44" max="44" width="9.26953125" bestFit="1" customWidth="1"/>
    <col min="45" max="45" width="10.08984375" bestFit="1" customWidth="1"/>
    <col min="46" max="48" width="9.26953125" bestFit="1" customWidth="1"/>
    <col min="49" max="49" width="10.26953125" customWidth="1"/>
    <col min="50" max="55" width="9.26953125" bestFit="1" customWidth="1"/>
    <col min="56" max="56" width="6.81640625" style="31" bestFit="1" customWidth="1"/>
    <col min="57" max="57" width="7.81640625" bestFit="1" customWidth="1"/>
    <col min="58" max="58" width="8.08984375" bestFit="1" customWidth="1"/>
    <col min="59" max="59" width="7.1796875" hidden="1" customWidth="1"/>
    <col min="60" max="60" width="11.08984375" style="92" bestFit="1" customWidth="1"/>
    <col min="61" max="61" width="11.26953125" style="92" bestFit="1" customWidth="1"/>
  </cols>
  <sheetData>
    <row r="1" spans="1:61" x14ac:dyDescent="0.35"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AA1" s="6" t="s">
        <v>27</v>
      </c>
      <c r="AB1" s="6" t="s">
        <v>27</v>
      </c>
      <c r="AC1" s="6" t="s">
        <v>27</v>
      </c>
      <c r="AD1" s="6" t="s">
        <v>27</v>
      </c>
      <c r="AE1" s="6" t="s">
        <v>27</v>
      </c>
      <c r="AF1" s="6" t="s">
        <v>27</v>
      </c>
      <c r="AG1" s="6" t="s">
        <v>27</v>
      </c>
      <c r="AH1" s="6" t="s">
        <v>27</v>
      </c>
      <c r="AI1" s="6" t="s">
        <v>27</v>
      </c>
      <c r="AJ1" s="6" t="s">
        <v>27</v>
      </c>
      <c r="AK1" s="6" t="s">
        <v>27</v>
      </c>
      <c r="AL1" s="6" t="s">
        <v>27</v>
      </c>
      <c r="AM1" s="6" t="s">
        <v>27</v>
      </c>
      <c r="AN1" s="6" t="s">
        <v>27</v>
      </c>
      <c r="AO1" s="6" t="s">
        <v>27</v>
      </c>
      <c r="AP1" s="6" t="s">
        <v>27</v>
      </c>
      <c r="AR1" s="6" t="s">
        <v>27</v>
      </c>
      <c r="AS1" s="6" t="s">
        <v>27</v>
      </c>
      <c r="AT1" s="6" t="s">
        <v>27</v>
      </c>
      <c r="AU1" s="6" t="s">
        <v>27</v>
      </c>
      <c r="AV1" s="6" t="s">
        <v>27</v>
      </c>
      <c r="AW1" s="6" t="s">
        <v>27</v>
      </c>
      <c r="AX1" s="6" t="s">
        <v>27</v>
      </c>
      <c r="AY1" s="6" t="s">
        <v>27</v>
      </c>
      <c r="AZ1" s="6" t="s">
        <v>27</v>
      </c>
      <c r="BA1" s="6" t="s">
        <v>27</v>
      </c>
      <c r="BB1" s="6" t="s">
        <v>27</v>
      </c>
      <c r="BC1" s="6" t="s">
        <v>27</v>
      </c>
      <c r="BD1" s="29" t="s">
        <v>27</v>
      </c>
      <c r="BE1" s="6" t="s">
        <v>27</v>
      </c>
      <c r="BF1" s="6" t="s">
        <v>27</v>
      </c>
      <c r="BG1" s="6" t="s">
        <v>27</v>
      </c>
    </row>
    <row r="2" spans="1:61" s="2" customFormat="1" ht="31.5" x14ac:dyDescent="0.25">
      <c r="J2" s="7" t="s">
        <v>28</v>
      </c>
      <c r="K2" s="7" t="s">
        <v>28</v>
      </c>
      <c r="L2" s="7" t="s">
        <v>28</v>
      </c>
      <c r="M2" s="7" t="s">
        <v>28</v>
      </c>
      <c r="N2" s="7" t="s">
        <v>28</v>
      </c>
      <c r="O2" s="7" t="s">
        <v>28</v>
      </c>
      <c r="P2" s="7" t="s">
        <v>28</v>
      </c>
      <c r="Q2" s="7" t="s">
        <v>28</v>
      </c>
      <c r="R2" s="7" t="s">
        <v>28</v>
      </c>
      <c r="S2" s="7" t="s">
        <v>28</v>
      </c>
      <c r="T2" s="7" t="s">
        <v>28</v>
      </c>
      <c r="U2" s="7" t="s">
        <v>28</v>
      </c>
      <c r="V2" s="7" t="s">
        <v>28</v>
      </c>
      <c r="W2" s="7" t="s">
        <v>28</v>
      </c>
      <c r="X2" s="7" t="s">
        <v>28</v>
      </c>
      <c r="Y2" s="7" t="s">
        <v>28</v>
      </c>
      <c r="AA2" s="3">
        <f>SUM(AA6:AA910)</f>
        <v>141400.83333333331</v>
      </c>
      <c r="AB2" s="3">
        <f>SUM(AB6:AB910)</f>
        <v>141400.83333333331</v>
      </c>
      <c r="AC2" s="3">
        <f>SUM(AC6:AC910)</f>
        <v>141400.83333333331</v>
      </c>
      <c r="AD2" s="3">
        <f>SUM(AD6:AD910)</f>
        <v>141400.83333333331</v>
      </c>
      <c r="AE2" s="3">
        <f>SUM(AE6:AE910)</f>
        <v>141400.83333333331</v>
      </c>
      <c r="AF2" s="3">
        <f>SUM(AF6:AF910)</f>
        <v>175555.8333333334</v>
      </c>
      <c r="AG2" s="3">
        <f>SUM(AG6:AG910)</f>
        <v>141400.83333333331</v>
      </c>
      <c r="AH2" s="3">
        <f>SUM(AH6:AH910)</f>
        <v>141400.83333333331</v>
      </c>
      <c r="AI2" s="3">
        <f>SUM(AI6:AI910)</f>
        <v>197626.83333333337</v>
      </c>
      <c r="AJ2" s="3">
        <f>SUM(AJ6:AJ910)</f>
        <v>141400.83333333331</v>
      </c>
      <c r="AK2" s="3">
        <f>SUM(AK6:AK910)</f>
        <v>141400.83333333331</v>
      </c>
      <c r="AL2" s="3">
        <f>SUM(AL6:AL910)</f>
        <v>199400.83333333337</v>
      </c>
      <c r="AM2" s="3">
        <f>SUM(AM6:AM910)</f>
        <v>0</v>
      </c>
      <c r="AN2" s="3">
        <f>SUM(AN6:AN910)</f>
        <v>7351676.3563999999</v>
      </c>
      <c r="AO2" s="3">
        <f>SUM(AO6:AO910)</f>
        <v>8639180.1236000005</v>
      </c>
      <c r="AP2" s="3">
        <f>SUM(AP6:AP910)</f>
        <v>1934479.5087477737</v>
      </c>
      <c r="AR2" s="3">
        <f>SUM(AR6:AR910)</f>
        <v>99204.053333333315</v>
      </c>
      <c r="AS2" s="3">
        <f>SUM(AS6:AS910)</f>
        <v>46908.949333333345</v>
      </c>
      <c r="AT2" s="3">
        <f>SUM(AT6:AT910)</f>
        <v>46908.949333333345</v>
      </c>
      <c r="AU2" s="3">
        <f>SUM(AU6:AU910)</f>
        <v>46908.949333333345</v>
      </c>
      <c r="AV2" s="3">
        <f>SUM(AV6:AV910)</f>
        <v>46908.949333333345</v>
      </c>
      <c r="AW2" s="3">
        <f>SUM(AW6:AW910)</f>
        <v>46908.949333333345</v>
      </c>
      <c r="AX2" s="3">
        <f>SUM(AX6:AX910)</f>
        <v>46908.949333333345</v>
      </c>
      <c r="AY2" s="3">
        <f>SUM(AY6:AY910)</f>
        <v>46908.949333333345</v>
      </c>
      <c r="AZ2" s="3">
        <f>SUM(AZ6:AZ910)</f>
        <v>46908.949333333345</v>
      </c>
      <c r="BA2" s="3">
        <f>SUM(BA6:BA910)</f>
        <v>46908.949333333345</v>
      </c>
      <c r="BB2" s="3">
        <f>SUM(BB6:BB910)</f>
        <v>46908.949333333345</v>
      </c>
      <c r="BC2" s="3">
        <f>SUM(BC6:BC910)</f>
        <v>46908.949333333345</v>
      </c>
      <c r="BD2" s="30">
        <f>SUM(BD6:BD910)</f>
        <v>0</v>
      </c>
      <c r="BE2" s="3">
        <f>SUM(BE6:BE910)</f>
        <v>1077205.1455999999</v>
      </c>
      <c r="BF2" s="3">
        <f>SUM(BF6:BF910)</f>
        <v>2380897.2799999998</v>
      </c>
      <c r="BG2" s="3">
        <f>SUM(BG6:BG910)</f>
        <v>0</v>
      </c>
      <c r="BH2" s="93"/>
      <c r="BI2" s="93"/>
    </row>
    <row r="3" spans="1:61" ht="21" x14ac:dyDescent="0.35">
      <c r="B3" s="7" t="s">
        <v>28</v>
      </c>
      <c r="C3" s="7" t="s">
        <v>28</v>
      </c>
      <c r="D3" s="7" t="s">
        <v>28</v>
      </c>
      <c r="E3" s="6" t="s">
        <v>27</v>
      </c>
      <c r="F3" s="6" t="s">
        <v>27</v>
      </c>
      <c r="G3" s="7" t="s">
        <v>28</v>
      </c>
      <c r="H3" s="6" t="s">
        <v>27</v>
      </c>
      <c r="I3" s="6" t="s">
        <v>27</v>
      </c>
      <c r="J3" s="88" t="s">
        <v>29</v>
      </c>
      <c r="K3" s="89"/>
      <c r="L3" s="89"/>
      <c r="M3" s="89"/>
      <c r="N3" s="89"/>
      <c r="O3" s="89"/>
      <c r="P3" s="89"/>
      <c r="Q3" s="89"/>
      <c r="R3" s="89"/>
      <c r="S3" s="89"/>
      <c r="T3" s="89"/>
      <c r="U3" s="90"/>
      <c r="V3"/>
      <c r="W3"/>
      <c r="X3"/>
      <c r="Y3"/>
      <c r="AA3" s="88" t="s">
        <v>17</v>
      </c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90"/>
      <c r="AR3" s="88" t="s">
        <v>18</v>
      </c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90"/>
      <c r="BH3" s="92" t="s">
        <v>97</v>
      </c>
      <c r="BI3" s="96">
        <f>62000*0.32</f>
        <v>19840</v>
      </c>
    </row>
    <row r="4" spans="1:61" ht="21" x14ac:dyDescent="0.35">
      <c r="B4" s="8" t="s">
        <v>20</v>
      </c>
      <c r="C4" s="8" t="s">
        <v>14</v>
      </c>
      <c r="D4" s="8" t="s">
        <v>15</v>
      </c>
      <c r="E4" s="8" t="s">
        <v>26</v>
      </c>
      <c r="F4" s="8" t="s">
        <v>16</v>
      </c>
      <c r="G4" s="8" t="s">
        <v>19</v>
      </c>
      <c r="H4" s="9" t="s">
        <v>24</v>
      </c>
      <c r="I4" s="9" t="s">
        <v>25</v>
      </c>
      <c r="J4" s="8" t="s">
        <v>2</v>
      </c>
      <c r="K4" s="8" t="s">
        <v>3</v>
      </c>
      <c r="L4" s="8" t="s">
        <v>4</v>
      </c>
      <c r="M4" s="8" t="s">
        <v>5</v>
      </c>
      <c r="N4" s="8" t="s">
        <v>6</v>
      </c>
      <c r="O4" s="8" t="s">
        <v>7</v>
      </c>
      <c r="P4" s="8" t="s">
        <v>8</v>
      </c>
      <c r="Q4" s="8" t="s">
        <v>9</v>
      </c>
      <c r="R4" s="8" t="s">
        <v>10</v>
      </c>
      <c r="S4" s="8" t="s">
        <v>11</v>
      </c>
      <c r="T4" s="8" t="s">
        <v>12</v>
      </c>
      <c r="U4" s="8" t="s">
        <v>13</v>
      </c>
      <c r="V4" s="10">
        <v>2028</v>
      </c>
      <c r="W4" s="10">
        <v>2029</v>
      </c>
      <c r="X4" s="10">
        <v>2030</v>
      </c>
      <c r="Y4" s="10">
        <v>2031</v>
      </c>
      <c r="AA4" s="8" t="s">
        <v>2</v>
      </c>
      <c r="AB4" s="8" t="s">
        <v>3</v>
      </c>
      <c r="AC4" s="8" t="s">
        <v>4</v>
      </c>
      <c r="AD4" s="8" t="s">
        <v>5</v>
      </c>
      <c r="AE4" s="8" t="s">
        <v>6</v>
      </c>
      <c r="AF4" s="8" t="s">
        <v>7</v>
      </c>
      <c r="AG4" s="8" t="s">
        <v>8</v>
      </c>
      <c r="AH4" s="8" t="s">
        <v>9</v>
      </c>
      <c r="AI4" s="8" t="s">
        <v>10</v>
      </c>
      <c r="AJ4" s="8" t="s">
        <v>11</v>
      </c>
      <c r="AK4" s="8" t="s">
        <v>12</v>
      </c>
      <c r="AL4" s="8" t="s">
        <v>13</v>
      </c>
      <c r="AM4" s="10">
        <v>2025</v>
      </c>
      <c r="AN4" s="10">
        <v>2026</v>
      </c>
      <c r="AO4" s="10">
        <v>2027</v>
      </c>
      <c r="AP4" s="10">
        <v>2028</v>
      </c>
      <c r="AR4" s="8" t="s">
        <v>2</v>
      </c>
      <c r="AS4" s="8" t="s">
        <v>3</v>
      </c>
      <c r="AT4" s="8" t="s">
        <v>4</v>
      </c>
      <c r="AU4" s="8" t="s">
        <v>5</v>
      </c>
      <c r="AV4" s="8" t="s">
        <v>6</v>
      </c>
      <c r="AW4" s="8" t="s">
        <v>7</v>
      </c>
      <c r="AX4" s="8" t="s">
        <v>8</v>
      </c>
      <c r="AY4" s="8" t="s">
        <v>9</v>
      </c>
      <c r="AZ4" s="8" t="s">
        <v>10</v>
      </c>
      <c r="BA4" s="8" t="s">
        <v>11</v>
      </c>
      <c r="BB4" s="8" t="s">
        <v>12</v>
      </c>
      <c r="BC4" s="8" t="s">
        <v>13</v>
      </c>
      <c r="BD4" s="32">
        <v>2025</v>
      </c>
      <c r="BE4" s="10">
        <v>2026</v>
      </c>
      <c r="BF4" s="10">
        <v>2027</v>
      </c>
      <c r="BG4" s="10">
        <v>2028</v>
      </c>
      <c r="BH4" s="94" t="s">
        <v>98</v>
      </c>
      <c r="BI4" s="94" t="s">
        <v>99</v>
      </c>
    </row>
    <row r="5" spans="1:61" x14ac:dyDescent="0.35">
      <c r="B5" s="44"/>
      <c r="C5" s="44"/>
      <c r="D5" s="44"/>
      <c r="E5" s="44"/>
      <c r="F5" s="44"/>
      <c r="G5" s="44"/>
      <c r="H5" s="45"/>
      <c r="I5" s="45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6"/>
      <c r="W5" s="46"/>
      <c r="X5" s="46"/>
      <c r="Y5" s="46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6"/>
      <c r="AN5" s="46"/>
      <c r="AO5" s="46"/>
      <c r="AP5" s="46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4"/>
      <c r="BC5" s="44"/>
      <c r="BD5" s="47"/>
      <c r="BE5" s="46"/>
      <c r="BF5" s="46"/>
      <c r="BG5" s="46"/>
      <c r="BH5" s="95"/>
      <c r="BI5" s="95"/>
    </row>
    <row r="6" spans="1:61" x14ac:dyDescent="0.35">
      <c r="A6" t="s">
        <v>86</v>
      </c>
      <c r="B6" s="11" t="s">
        <v>43</v>
      </c>
      <c r="C6" s="12" t="s">
        <v>52</v>
      </c>
      <c r="D6" s="11" t="s">
        <v>32</v>
      </c>
      <c r="E6" s="11"/>
      <c r="F6" s="11"/>
      <c r="G6" s="19" t="s">
        <v>23</v>
      </c>
      <c r="H6" s="20">
        <f>30000+(30000*4%)</f>
        <v>31200</v>
      </c>
      <c r="I6" s="21">
        <v>0</v>
      </c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5"/>
      <c r="AA6" s="42">
        <f>$H$6/12</f>
        <v>2600</v>
      </c>
      <c r="AB6" s="42">
        <f t="shared" ref="AB6:AL6" si="0">$H$6/12</f>
        <v>2600</v>
      </c>
      <c r="AC6" s="42">
        <f t="shared" si="0"/>
        <v>2600</v>
      </c>
      <c r="AD6" s="42">
        <f t="shared" si="0"/>
        <v>2600</v>
      </c>
      <c r="AE6" s="42">
        <f t="shared" si="0"/>
        <v>2600</v>
      </c>
      <c r="AF6" s="42">
        <f t="shared" si="0"/>
        <v>2600</v>
      </c>
      <c r="AG6" s="42">
        <f t="shared" si="0"/>
        <v>2600</v>
      </c>
      <c r="AH6" s="42">
        <f t="shared" si="0"/>
        <v>2600</v>
      </c>
      <c r="AI6" s="42">
        <f t="shared" si="0"/>
        <v>2600</v>
      </c>
      <c r="AJ6" s="42">
        <f t="shared" si="0"/>
        <v>2600</v>
      </c>
      <c r="AK6" s="42">
        <f t="shared" si="0"/>
        <v>2600</v>
      </c>
      <c r="AL6" s="42">
        <f t="shared" si="0"/>
        <v>2600</v>
      </c>
      <c r="AM6" s="35"/>
      <c r="AN6" s="27">
        <v>19171.88</v>
      </c>
      <c r="AO6" s="52">
        <f>H6+I6</f>
        <v>31200</v>
      </c>
      <c r="AP6" s="42">
        <f>AO6+(AO6*4%)</f>
        <v>32448</v>
      </c>
      <c r="AQ6" s="15"/>
      <c r="AR6" s="43">
        <f>BF6/12</f>
        <v>832</v>
      </c>
      <c r="AS6" s="43">
        <v>800</v>
      </c>
      <c r="AT6" s="43">
        <v>800</v>
      </c>
      <c r="AU6" s="43">
        <v>800</v>
      </c>
      <c r="AV6" s="43">
        <v>800</v>
      </c>
      <c r="AW6" s="43">
        <v>800</v>
      </c>
      <c r="AX6" s="43">
        <v>800</v>
      </c>
      <c r="AY6" s="43">
        <v>800</v>
      </c>
      <c r="AZ6" s="43">
        <v>800</v>
      </c>
      <c r="BA6" s="43">
        <v>800</v>
      </c>
      <c r="BB6" s="43">
        <v>800</v>
      </c>
      <c r="BC6" s="43">
        <v>800</v>
      </c>
      <c r="BD6" s="39"/>
      <c r="BE6" s="40">
        <f t="shared" ref="BE6:BE41" si="1">AN6*32%</f>
        <v>6135.0016000000005</v>
      </c>
      <c r="BF6" s="26">
        <f t="shared" ref="BF6:BF37" si="2" xml:space="preserve"> (H6+I6)*32%</f>
        <v>9984</v>
      </c>
      <c r="BG6" s="11"/>
      <c r="BH6" s="92">
        <f>IF(BF6&lt;$BI$3,BF6,$BI$3)</f>
        <v>9984</v>
      </c>
      <c r="BI6" s="92">
        <f>IF(BE6&lt;$BI$3,BE6,$BI$3)</f>
        <v>6135.0016000000005</v>
      </c>
    </row>
    <row r="7" spans="1:61" s="68" customFormat="1" x14ac:dyDescent="0.35">
      <c r="A7" s="68" t="s">
        <v>86</v>
      </c>
      <c r="B7" s="53" t="s">
        <v>43</v>
      </c>
      <c r="C7" s="54" t="s">
        <v>53</v>
      </c>
      <c r="D7" s="53" t="s">
        <v>34</v>
      </c>
      <c r="E7" s="53"/>
      <c r="F7" s="53"/>
      <c r="G7" s="55" t="s">
        <v>23</v>
      </c>
      <c r="H7" s="56">
        <f>83000+(83000*4%)</f>
        <v>86320</v>
      </c>
      <c r="I7" s="57">
        <v>11385</v>
      </c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70"/>
      <c r="AA7" s="58">
        <f>$H$7/12</f>
        <v>7193.333333333333</v>
      </c>
      <c r="AB7" s="58">
        <f t="shared" ref="AB7:AL7" si="3">$H$7/12</f>
        <v>7193.333333333333</v>
      </c>
      <c r="AC7" s="58">
        <f t="shared" si="3"/>
        <v>7193.333333333333</v>
      </c>
      <c r="AD7" s="58">
        <f t="shared" si="3"/>
        <v>7193.333333333333</v>
      </c>
      <c r="AE7" s="58">
        <f t="shared" si="3"/>
        <v>7193.333333333333</v>
      </c>
      <c r="AF7" s="58">
        <f>($H$7/12)+11385</f>
        <v>18578.333333333332</v>
      </c>
      <c r="AG7" s="58">
        <f t="shared" si="3"/>
        <v>7193.333333333333</v>
      </c>
      <c r="AH7" s="58">
        <f t="shared" si="3"/>
        <v>7193.333333333333</v>
      </c>
      <c r="AI7" s="58">
        <f t="shared" si="3"/>
        <v>7193.333333333333</v>
      </c>
      <c r="AJ7" s="58">
        <f t="shared" si="3"/>
        <v>7193.333333333333</v>
      </c>
      <c r="AK7" s="58">
        <f t="shared" si="3"/>
        <v>7193.333333333333</v>
      </c>
      <c r="AL7" s="58">
        <f t="shared" si="3"/>
        <v>7193.333333333333</v>
      </c>
      <c r="AM7" s="71"/>
      <c r="AN7" s="72">
        <v>93689</v>
      </c>
      <c r="AO7" s="73">
        <f t="shared" ref="AO7:AO37" si="4">H7+I7</f>
        <v>97705</v>
      </c>
      <c r="AP7" s="58">
        <f t="shared" ref="AP7:AP37" si="5">AO7+(AO7*4%)</f>
        <v>101613.2</v>
      </c>
      <c r="AQ7" s="70"/>
      <c r="AR7" s="74">
        <f t="shared" ref="AR7:AR38" si="6">BF7/12</f>
        <v>2605.4666666666667</v>
      </c>
      <c r="AS7" s="74">
        <v>2480</v>
      </c>
      <c r="AT7" s="74">
        <v>2480</v>
      </c>
      <c r="AU7" s="74">
        <v>2480</v>
      </c>
      <c r="AV7" s="74">
        <v>2480</v>
      </c>
      <c r="AW7" s="74">
        <v>2480</v>
      </c>
      <c r="AX7" s="74">
        <v>2480</v>
      </c>
      <c r="AY7" s="74">
        <v>2480</v>
      </c>
      <c r="AZ7" s="74">
        <v>2480</v>
      </c>
      <c r="BA7" s="74">
        <v>2480</v>
      </c>
      <c r="BB7" s="74">
        <v>2480</v>
      </c>
      <c r="BC7" s="74">
        <v>2480</v>
      </c>
      <c r="BD7" s="75"/>
      <c r="BE7" s="76">
        <f t="shared" si="1"/>
        <v>29980.48</v>
      </c>
      <c r="BF7" s="77">
        <f t="shared" si="2"/>
        <v>31265.600000000002</v>
      </c>
      <c r="BG7" s="53"/>
      <c r="BH7" s="92">
        <f t="shared" ref="BH7:BH37" si="7">IF(BF7&lt;$BI$3,BF7,$BI$3)</f>
        <v>19840</v>
      </c>
      <c r="BI7" s="92">
        <f t="shared" ref="BI7:BI37" si="8">IF(BE7&lt;$BI$3,BE7,$BI$3)</f>
        <v>19840</v>
      </c>
    </row>
    <row r="8" spans="1:61" x14ac:dyDescent="0.35">
      <c r="B8" s="11" t="s">
        <v>43</v>
      </c>
      <c r="C8" s="12" t="s">
        <v>54</v>
      </c>
      <c r="D8" s="11" t="s">
        <v>35</v>
      </c>
      <c r="E8" s="11"/>
      <c r="F8" s="11"/>
      <c r="G8" s="19" t="s">
        <v>23</v>
      </c>
      <c r="H8" s="20">
        <f>33000+(33000*4%)</f>
        <v>34320</v>
      </c>
      <c r="I8" s="21">
        <v>0</v>
      </c>
      <c r="J8" s="13"/>
      <c r="K8" s="13"/>
      <c r="L8" s="13"/>
      <c r="M8" s="13"/>
      <c r="N8" s="13"/>
      <c r="O8" s="13"/>
      <c r="P8" s="13"/>
      <c r="Q8" s="13"/>
      <c r="R8" s="14"/>
      <c r="S8" s="14"/>
      <c r="T8" s="14"/>
      <c r="U8" s="14"/>
      <c r="V8" s="14"/>
      <c r="W8" s="14"/>
      <c r="X8" s="14"/>
      <c r="Y8" s="14"/>
      <c r="Z8" s="15"/>
      <c r="AA8" s="42">
        <f>$H8/12</f>
        <v>2860</v>
      </c>
      <c r="AB8" s="42">
        <f t="shared" ref="AB8:AL8" si="9">$H8/12</f>
        <v>2860</v>
      </c>
      <c r="AC8" s="42">
        <f t="shared" si="9"/>
        <v>2860</v>
      </c>
      <c r="AD8" s="42">
        <f t="shared" si="9"/>
        <v>2860</v>
      </c>
      <c r="AE8" s="42">
        <f t="shared" si="9"/>
        <v>2860</v>
      </c>
      <c r="AF8" s="42">
        <f t="shared" si="9"/>
        <v>2860</v>
      </c>
      <c r="AG8" s="42">
        <f t="shared" si="9"/>
        <v>2860</v>
      </c>
      <c r="AH8" s="42">
        <f t="shared" si="9"/>
        <v>2860</v>
      </c>
      <c r="AI8" s="42">
        <f t="shared" si="9"/>
        <v>2860</v>
      </c>
      <c r="AJ8" s="42">
        <f t="shared" si="9"/>
        <v>2860</v>
      </c>
      <c r="AK8" s="42">
        <f t="shared" si="9"/>
        <v>2860</v>
      </c>
      <c r="AL8" s="42">
        <f t="shared" si="9"/>
        <v>2860</v>
      </c>
      <c r="AM8" s="35"/>
      <c r="AN8" s="27">
        <v>32678.48</v>
      </c>
      <c r="AO8" s="52">
        <f t="shared" si="4"/>
        <v>34320</v>
      </c>
      <c r="AP8" s="42">
        <f t="shared" si="5"/>
        <v>35692.800000000003</v>
      </c>
      <c r="AQ8" s="15"/>
      <c r="AR8" s="43">
        <f t="shared" si="6"/>
        <v>915.19999999999993</v>
      </c>
      <c r="AS8" s="43">
        <v>880</v>
      </c>
      <c r="AT8" s="43">
        <v>880</v>
      </c>
      <c r="AU8" s="43">
        <v>880</v>
      </c>
      <c r="AV8" s="43">
        <v>880</v>
      </c>
      <c r="AW8" s="43">
        <v>880</v>
      </c>
      <c r="AX8" s="43">
        <v>880</v>
      </c>
      <c r="AY8" s="43">
        <v>880</v>
      </c>
      <c r="AZ8" s="43">
        <v>880</v>
      </c>
      <c r="BA8" s="43">
        <v>880</v>
      </c>
      <c r="BB8" s="43">
        <v>880</v>
      </c>
      <c r="BC8" s="43">
        <v>880</v>
      </c>
      <c r="BD8" s="39"/>
      <c r="BE8" s="40">
        <f t="shared" si="1"/>
        <v>10457.113600000001</v>
      </c>
      <c r="BF8" s="26">
        <f t="shared" si="2"/>
        <v>10982.4</v>
      </c>
      <c r="BG8" s="11"/>
      <c r="BH8" s="92">
        <f t="shared" si="7"/>
        <v>10982.4</v>
      </c>
      <c r="BI8" s="92">
        <f t="shared" si="8"/>
        <v>10457.113600000001</v>
      </c>
    </row>
    <row r="9" spans="1:61" x14ac:dyDescent="0.35">
      <c r="B9" s="11" t="s">
        <v>43</v>
      </c>
      <c r="C9" s="12" t="s">
        <v>55</v>
      </c>
      <c r="D9" s="11" t="s">
        <v>35</v>
      </c>
      <c r="E9" s="11"/>
      <c r="F9" s="11"/>
      <c r="G9" s="19" t="s">
        <v>23</v>
      </c>
      <c r="H9" s="20">
        <f>31000+(31000*4%)</f>
        <v>32240</v>
      </c>
      <c r="I9" s="21">
        <v>0</v>
      </c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5"/>
      <c r="AA9" s="42">
        <f>$H$9/12</f>
        <v>2686.6666666666665</v>
      </c>
      <c r="AB9" s="42">
        <f t="shared" ref="AB9:AL9" si="10">$H$9/12</f>
        <v>2686.6666666666665</v>
      </c>
      <c r="AC9" s="42">
        <f t="shared" si="10"/>
        <v>2686.6666666666665</v>
      </c>
      <c r="AD9" s="42">
        <f t="shared" si="10"/>
        <v>2686.6666666666665</v>
      </c>
      <c r="AE9" s="42">
        <f t="shared" si="10"/>
        <v>2686.6666666666665</v>
      </c>
      <c r="AF9" s="42">
        <f t="shared" si="10"/>
        <v>2686.6666666666665</v>
      </c>
      <c r="AG9" s="42">
        <f t="shared" si="10"/>
        <v>2686.6666666666665</v>
      </c>
      <c r="AH9" s="42">
        <f t="shared" si="10"/>
        <v>2686.6666666666665</v>
      </c>
      <c r="AI9" s="42">
        <f t="shared" si="10"/>
        <v>2686.6666666666665</v>
      </c>
      <c r="AJ9" s="42">
        <f t="shared" si="10"/>
        <v>2686.6666666666665</v>
      </c>
      <c r="AK9" s="42">
        <f t="shared" si="10"/>
        <v>2686.6666666666665</v>
      </c>
      <c r="AL9" s="42">
        <f t="shared" si="10"/>
        <v>2686.6666666666665</v>
      </c>
      <c r="AM9" s="35"/>
      <c r="AN9" s="27">
        <v>14000</v>
      </c>
      <c r="AO9" s="52">
        <f t="shared" si="4"/>
        <v>32240</v>
      </c>
      <c r="AP9" s="42">
        <f t="shared" si="5"/>
        <v>33529.599999999999</v>
      </c>
      <c r="AQ9" s="15"/>
      <c r="AR9" s="43">
        <f t="shared" si="6"/>
        <v>859.73333333333346</v>
      </c>
      <c r="AS9" s="43">
        <v>826.66666666666663</v>
      </c>
      <c r="AT9" s="43">
        <v>826.66666666666663</v>
      </c>
      <c r="AU9" s="43">
        <v>826.66666666666663</v>
      </c>
      <c r="AV9" s="43">
        <v>826.66666666666663</v>
      </c>
      <c r="AW9" s="43">
        <v>826.66666666666663</v>
      </c>
      <c r="AX9" s="43">
        <v>826.66666666666663</v>
      </c>
      <c r="AY9" s="43">
        <v>826.66666666666663</v>
      </c>
      <c r="AZ9" s="43">
        <v>826.66666666666663</v>
      </c>
      <c r="BA9" s="43">
        <v>826.66666666666663</v>
      </c>
      <c r="BB9" s="43">
        <v>826.66666666666663</v>
      </c>
      <c r="BC9" s="43">
        <v>826.66666666666663</v>
      </c>
      <c r="BD9" s="39"/>
      <c r="BE9" s="40">
        <f t="shared" si="1"/>
        <v>4480</v>
      </c>
      <c r="BF9" s="26">
        <f t="shared" si="2"/>
        <v>10316.800000000001</v>
      </c>
      <c r="BG9" s="11"/>
      <c r="BH9" s="92">
        <f t="shared" si="7"/>
        <v>10316.800000000001</v>
      </c>
      <c r="BI9" s="92">
        <f t="shared" si="8"/>
        <v>4480</v>
      </c>
    </row>
    <row r="10" spans="1:61" x14ac:dyDescent="0.35">
      <c r="B10" s="11" t="s">
        <v>43</v>
      </c>
      <c r="C10" s="12" t="s">
        <v>56</v>
      </c>
      <c r="D10" s="11" t="s">
        <v>35</v>
      </c>
      <c r="E10" s="11"/>
      <c r="F10" s="11"/>
      <c r="G10" s="19" t="s">
        <v>23</v>
      </c>
      <c r="H10" s="20">
        <f>31000+(31000*4%)</f>
        <v>32240</v>
      </c>
      <c r="I10" s="21">
        <v>0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5"/>
      <c r="AA10" s="42">
        <f>$H$10/12</f>
        <v>2686.6666666666665</v>
      </c>
      <c r="AB10" s="42">
        <f t="shared" ref="AB10:AL10" si="11">$H$10/12</f>
        <v>2686.6666666666665</v>
      </c>
      <c r="AC10" s="42">
        <f t="shared" si="11"/>
        <v>2686.6666666666665</v>
      </c>
      <c r="AD10" s="42">
        <f t="shared" si="11"/>
        <v>2686.6666666666665</v>
      </c>
      <c r="AE10" s="42">
        <f t="shared" si="11"/>
        <v>2686.6666666666665</v>
      </c>
      <c r="AF10" s="42">
        <f t="shared" si="11"/>
        <v>2686.6666666666665</v>
      </c>
      <c r="AG10" s="42">
        <f t="shared" si="11"/>
        <v>2686.6666666666665</v>
      </c>
      <c r="AH10" s="42">
        <f t="shared" si="11"/>
        <v>2686.6666666666665</v>
      </c>
      <c r="AI10" s="42">
        <f t="shared" si="11"/>
        <v>2686.6666666666665</v>
      </c>
      <c r="AJ10" s="42">
        <f t="shared" si="11"/>
        <v>2686.6666666666665</v>
      </c>
      <c r="AK10" s="42">
        <f t="shared" si="11"/>
        <v>2686.6666666666665</v>
      </c>
      <c r="AL10" s="42">
        <f t="shared" si="11"/>
        <v>2686.6666666666665</v>
      </c>
      <c r="AM10" s="35"/>
      <c r="AN10" s="27">
        <v>30801.919999999998</v>
      </c>
      <c r="AO10" s="52">
        <f t="shared" si="4"/>
        <v>32240</v>
      </c>
      <c r="AP10" s="42">
        <f t="shared" si="5"/>
        <v>33529.599999999999</v>
      </c>
      <c r="AQ10" s="15"/>
      <c r="AR10" s="43">
        <f t="shared" si="6"/>
        <v>859.73333333333346</v>
      </c>
      <c r="AS10" s="43">
        <v>826.66666666666663</v>
      </c>
      <c r="AT10" s="43">
        <v>826.66666666666663</v>
      </c>
      <c r="AU10" s="43">
        <v>826.66666666666663</v>
      </c>
      <c r="AV10" s="43">
        <v>826.66666666666663</v>
      </c>
      <c r="AW10" s="43">
        <v>826.66666666666663</v>
      </c>
      <c r="AX10" s="43">
        <v>826.66666666666663</v>
      </c>
      <c r="AY10" s="43">
        <v>826.66666666666663</v>
      </c>
      <c r="AZ10" s="43">
        <v>826.66666666666663</v>
      </c>
      <c r="BA10" s="43">
        <v>826.66666666666663</v>
      </c>
      <c r="BB10" s="43">
        <v>826.66666666666663</v>
      </c>
      <c r="BC10" s="43">
        <v>826.66666666666663</v>
      </c>
      <c r="BD10" s="39"/>
      <c r="BE10" s="40">
        <f t="shared" si="1"/>
        <v>9856.6144000000004</v>
      </c>
      <c r="BF10" s="26">
        <f t="shared" si="2"/>
        <v>10316.800000000001</v>
      </c>
      <c r="BG10" s="11"/>
      <c r="BH10" s="92">
        <f t="shared" si="7"/>
        <v>10316.800000000001</v>
      </c>
      <c r="BI10" s="92">
        <f t="shared" si="8"/>
        <v>9856.6144000000004</v>
      </c>
    </row>
    <row r="11" spans="1:61" x14ac:dyDescent="0.35">
      <c r="B11" s="11" t="s">
        <v>43</v>
      </c>
      <c r="C11" s="12" t="s">
        <v>57</v>
      </c>
      <c r="D11" s="11" t="s">
        <v>35</v>
      </c>
      <c r="E11" s="11"/>
      <c r="F11" s="11"/>
      <c r="G11" s="19" t="s">
        <v>23</v>
      </c>
      <c r="H11" s="20">
        <f t="shared" ref="H11" si="12">31000+(31000*4%)</f>
        <v>32240</v>
      </c>
      <c r="I11" s="21">
        <v>0</v>
      </c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5"/>
      <c r="AA11" s="42">
        <f>$H$11/12</f>
        <v>2686.6666666666665</v>
      </c>
      <c r="AB11" s="42">
        <f t="shared" ref="AB11:AK11" si="13">$H$11/12</f>
        <v>2686.6666666666665</v>
      </c>
      <c r="AC11" s="42">
        <f t="shared" si="13"/>
        <v>2686.6666666666665</v>
      </c>
      <c r="AD11" s="42">
        <f t="shared" si="13"/>
        <v>2686.6666666666665</v>
      </c>
      <c r="AE11" s="42">
        <f t="shared" si="13"/>
        <v>2686.6666666666665</v>
      </c>
      <c r="AF11" s="42">
        <f t="shared" si="13"/>
        <v>2686.6666666666665</v>
      </c>
      <c r="AG11" s="42">
        <f t="shared" si="13"/>
        <v>2686.6666666666665</v>
      </c>
      <c r="AH11" s="42">
        <f t="shared" si="13"/>
        <v>2686.6666666666665</v>
      </c>
      <c r="AI11" s="42">
        <f t="shared" si="13"/>
        <v>2686.6666666666665</v>
      </c>
      <c r="AJ11" s="42">
        <f t="shared" si="13"/>
        <v>2686.6666666666665</v>
      </c>
      <c r="AK11" s="42">
        <f t="shared" si="13"/>
        <v>2686.6666666666665</v>
      </c>
      <c r="AL11" s="42">
        <v>2686.6666666666665</v>
      </c>
      <c r="AM11" s="35"/>
      <c r="AN11" s="27">
        <v>20735.04</v>
      </c>
      <c r="AO11" s="52">
        <f t="shared" si="4"/>
        <v>32240</v>
      </c>
      <c r="AP11" s="42">
        <f t="shared" si="5"/>
        <v>33529.599999999999</v>
      </c>
      <c r="AQ11" s="15"/>
      <c r="AR11" s="43">
        <f t="shared" si="6"/>
        <v>859.73333333333346</v>
      </c>
      <c r="AS11" s="43">
        <v>826.66666666666663</v>
      </c>
      <c r="AT11" s="43">
        <v>826.66666666666663</v>
      </c>
      <c r="AU11" s="43">
        <v>826.66666666666663</v>
      </c>
      <c r="AV11" s="43">
        <v>826.66666666666663</v>
      </c>
      <c r="AW11" s="43">
        <v>826.66666666666663</v>
      </c>
      <c r="AX11" s="43">
        <v>826.66666666666663</v>
      </c>
      <c r="AY11" s="43">
        <v>826.66666666666663</v>
      </c>
      <c r="AZ11" s="43">
        <v>826.66666666666663</v>
      </c>
      <c r="BA11" s="43">
        <v>826.66666666666663</v>
      </c>
      <c r="BB11" s="43">
        <v>826.66666666666663</v>
      </c>
      <c r="BC11" s="43">
        <v>826.66666666666663</v>
      </c>
      <c r="BD11" s="39"/>
      <c r="BE11" s="40">
        <f t="shared" si="1"/>
        <v>6635.2128000000002</v>
      </c>
      <c r="BF11" s="26">
        <f t="shared" si="2"/>
        <v>10316.800000000001</v>
      </c>
      <c r="BG11" s="11"/>
      <c r="BH11" s="92">
        <f t="shared" si="7"/>
        <v>10316.800000000001</v>
      </c>
      <c r="BI11" s="92">
        <f t="shared" si="8"/>
        <v>6635.2128000000002</v>
      </c>
    </row>
    <row r="12" spans="1:61" x14ac:dyDescent="0.35">
      <c r="B12" s="11" t="s">
        <v>43</v>
      </c>
      <c r="C12" s="12" t="s">
        <v>58</v>
      </c>
      <c r="D12" s="11" t="s">
        <v>35</v>
      </c>
      <c r="E12" s="11"/>
      <c r="F12" s="11"/>
      <c r="G12" s="19" t="s">
        <v>23</v>
      </c>
      <c r="H12" s="20">
        <f>35000+(35000*4%)</f>
        <v>36400</v>
      </c>
      <c r="I12" s="21">
        <v>0</v>
      </c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5"/>
      <c r="AA12" s="42">
        <f>$H$12/12</f>
        <v>3033.3333333333335</v>
      </c>
      <c r="AB12" s="42">
        <f t="shared" ref="AB12:AL12" si="14">$H$12/12</f>
        <v>3033.3333333333335</v>
      </c>
      <c r="AC12" s="42">
        <f t="shared" si="14"/>
        <v>3033.3333333333335</v>
      </c>
      <c r="AD12" s="42">
        <f t="shared" si="14"/>
        <v>3033.3333333333335</v>
      </c>
      <c r="AE12" s="42">
        <f t="shared" si="14"/>
        <v>3033.3333333333335</v>
      </c>
      <c r="AF12" s="42">
        <f t="shared" si="14"/>
        <v>3033.3333333333335</v>
      </c>
      <c r="AG12" s="42">
        <f t="shared" si="14"/>
        <v>3033.3333333333335</v>
      </c>
      <c r="AH12" s="42">
        <f t="shared" si="14"/>
        <v>3033.3333333333335</v>
      </c>
      <c r="AI12" s="42">
        <f t="shared" si="14"/>
        <v>3033.3333333333335</v>
      </c>
      <c r="AJ12" s="42">
        <f t="shared" si="14"/>
        <v>3033.3333333333335</v>
      </c>
      <c r="AK12" s="42">
        <f t="shared" si="14"/>
        <v>3033.3333333333335</v>
      </c>
      <c r="AL12" s="42">
        <f t="shared" si="14"/>
        <v>3033.3333333333335</v>
      </c>
      <c r="AM12" s="35"/>
      <c r="AN12" s="27">
        <v>46023.96</v>
      </c>
      <c r="AO12" s="52">
        <f t="shared" si="4"/>
        <v>36400</v>
      </c>
      <c r="AP12" s="42">
        <f t="shared" si="5"/>
        <v>37856</v>
      </c>
      <c r="AQ12" s="15"/>
      <c r="AR12" s="43">
        <f t="shared" si="6"/>
        <v>970.66666666666663</v>
      </c>
      <c r="AS12" s="43">
        <v>933.33333333333337</v>
      </c>
      <c r="AT12" s="43">
        <v>933.33333333333337</v>
      </c>
      <c r="AU12" s="43">
        <v>933.33333333333337</v>
      </c>
      <c r="AV12" s="43">
        <v>933.33333333333337</v>
      </c>
      <c r="AW12" s="43">
        <v>933.33333333333337</v>
      </c>
      <c r="AX12" s="43">
        <v>933.33333333333337</v>
      </c>
      <c r="AY12" s="43">
        <v>933.33333333333337</v>
      </c>
      <c r="AZ12" s="43">
        <v>933.33333333333337</v>
      </c>
      <c r="BA12" s="43">
        <v>933.33333333333337</v>
      </c>
      <c r="BB12" s="43">
        <v>933.33333333333337</v>
      </c>
      <c r="BC12" s="43">
        <v>933.33333333333337</v>
      </c>
      <c r="BD12" s="39"/>
      <c r="BE12" s="40">
        <f t="shared" si="1"/>
        <v>14727.6672</v>
      </c>
      <c r="BF12" s="26">
        <f t="shared" si="2"/>
        <v>11648</v>
      </c>
      <c r="BG12" s="11"/>
      <c r="BH12" s="92">
        <f t="shared" si="7"/>
        <v>11648</v>
      </c>
      <c r="BI12" s="92">
        <f t="shared" si="8"/>
        <v>14727.6672</v>
      </c>
    </row>
    <row r="13" spans="1:61" x14ac:dyDescent="0.35">
      <c r="A13" t="s">
        <v>86</v>
      </c>
      <c r="B13" s="11" t="s">
        <v>43</v>
      </c>
      <c r="C13" s="12" t="s">
        <v>59</v>
      </c>
      <c r="D13" s="11" t="s">
        <v>36</v>
      </c>
      <c r="E13" s="11"/>
      <c r="F13" s="11"/>
      <c r="G13" s="19" t="s">
        <v>23</v>
      </c>
      <c r="H13" s="20">
        <f>39000+(39000*4%)</f>
        <v>40560</v>
      </c>
      <c r="I13" s="21">
        <v>0</v>
      </c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5"/>
      <c r="AA13" s="42">
        <f>$H$13/12</f>
        <v>3380</v>
      </c>
      <c r="AB13" s="42">
        <f t="shared" ref="AB13:AL13" si="15">$H$13/12</f>
        <v>3380</v>
      </c>
      <c r="AC13" s="42">
        <f t="shared" si="15"/>
        <v>3380</v>
      </c>
      <c r="AD13" s="42">
        <f t="shared" si="15"/>
        <v>3380</v>
      </c>
      <c r="AE13" s="42">
        <f t="shared" si="15"/>
        <v>3380</v>
      </c>
      <c r="AF13" s="42">
        <f t="shared" si="15"/>
        <v>3380</v>
      </c>
      <c r="AG13" s="42">
        <f t="shared" si="15"/>
        <v>3380</v>
      </c>
      <c r="AH13" s="42">
        <f t="shared" si="15"/>
        <v>3380</v>
      </c>
      <c r="AI13" s="42">
        <f t="shared" si="15"/>
        <v>3380</v>
      </c>
      <c r="AJ13" s="42">
        <f t="shared" si="15"/>
        <v>3380</v>
      </c>
      <c r="AK13" s="42">
        <f t="shared" si="15"/>
        <v>3380</v>
      </c>
      <c r="AL13" s="42">
        <f t="shared" si="15"/>
        <v>3380</v>
      </c>
      <c r="AM13" s="35"/>
      <c r="AN13" s="27">
        <v>38700.44</v>
      </c>
      <c r="AO13" s="52">
        <f t="shared" si="4"/>
        <v>40560</v>
      </c>
      <c r="AP13" s="42">
        <f t="shared" si="5"/>
        <v>42182.400000000001</v>
      </c>
      <c r="AQ13" s="15"/>
      <c r="AR13" s="43">
        <f t="shared" si="6"/>
        <v>1081.6000000000001</v>
      </c>
      <c r="AS13" s="43">
        <v>1040</v>
      </c>
      <c r="AT13" s="43">
        <v>1040</v>
      </c>
      <c r="AU13" s="43">
        <v>1040</v>
      </c>
      <c r="AV13" s="43">
        <v>1040</v>
      </c>
      <c r="AW13" s="43">
        <v>1040</v>
      </c>
      <c r="AX13" s="43">
        <v>1040</v>
      </c>
      <c r="AY13" s="43">
        <v>1040</v>
      </c>
      <c r="AZ13" s="43">
        <v>1040</v>
      </c>
      <c r="BA13" s="43">
        <v>1040</v>
      </c>
      <c r="BB13" s="43">
        <v>1040</v>
      </c>
      <c r="BC13" s="43">
        <v>1040</v>
      </c>
      <c r="BD13" s="39"/>
      <c r="BE13" s="40">
        <f t="shared" si="1"/>
        <v>12384.140800000001</v>
      </c>
      <c r="BF13" s="26">
        <f t="shared" si="2"/>
        <v>12979.2</v>
      </c>
      <c r="BG13" s="11"/>
      <c r="BH13" s="92">
        <f t="shared" si="7"/>
        <v>12979.2</v>
      </c>
      <c r="BI13" s="92">
        <f t="shared" si="8"/>
        <v>12384.140800000001</v>
      </c>
    </row>
    <row r="14" spans="1:61" s="68" customFormat="1" x14ac:dyDescent="0.35">
      <c r="A14" s="68" t="s">
        <v>86</v>
      </c>
      <c r="B14" s="53" t="s">
        <v>43</v>
      </c>
      <c r="C14" s="54" t="s">
        <v>60</v>
      </c>
      <c r="D14" s="53" t="s">
        <v>35</v>
      </c>
      <c r="E14" s="53"/>
      <c r="F14" s="53"/>
      <c r="G14" s="55" t="s">
        <v>23</v>
      </c>
      <c r="H14" s="56">
        <f>98500+(98500*4%)</f>
        <v>102440</v>
      </c>
      <c r="I14" s="57">
        <v>55996</v>
      </c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70"/>
      <c r="AA14" s="58">
        <f>$H$14/12</f>
        <v>8536.6666666666661</v>
      </c>
      <c r="AB14" s="58">
        <f t="shared" ref="AB14:AL14" si="16">$H$14/12</f>
        <v>8536.6666666666661</v>
      </c>
      <c r="AC14" s="58">
        <f t="shared" si="16"/>
        <v>8536.6666666666661</v>
      </c>
      <c r="AD14" s="58">
        <f t="shared" si="16"/>
        <v>8536.6666666666661</v>
      </c>
      <c r="AE14" s="58">
        <f t="shared" si="16"/>
        <v>8536.6666666666661</v>
      </c>
      <c r="AF14" s="58">
        <f>($H$14/12)+22770</f>
        <v>31306.666666666664</v>
      </c>
      <c r="AG14" s="58">
        <f t="shared" si="16"/>
        <v>8536.6666666666661</v>
      </c>
      <c r="AH14" s="58">
        <f t="shared" si="16"/>
        <v>8536.6666666666661</v>
      </c>
      <c r="AI14" s="58">
        <f>($H$14/12)+33226</f>
        <v>41762.666666666664</v>
      </c>
      <c r="AJ14" s="58">
        <f t="shared" si="16"/>
        <v>8536.6666666666661</v>
      </c>
      <c r="AK14" s="58">
        <f t="shared" si="16"/>
        <v>8536.6666666666661</v>
      </c>
      <c r="AL14" s="58">
        <f t="shared" si="16"/>
        <v>8536.6666666666661</v>
      </c>
      <c r="AM14" s="71"/>
      <c r="AN14" s="72">
        <v>145457</v>
      </c>
      <c r="AO14" s="73">
        <f t="shared" si="4"/>
        <v>158436</v>
      </c>
      <c r="AP14" s="58">
        <f t="shared" si="5"/>
        <v>164773.44</v>
      </c>
      <c r="AQ14" s="70"/>
      <c r="AR14" s="74">
        <f t="shared" si="6"/>
        <v>4224.96</v>
      </c>
      <c r="AS14" s="74">
        <v>3880</v>
      </c>
      <c r="AT14" s="74">
        <v>3880</v>
      </c>
      <c r="AU14" s="74">
        <v>3880</v>
      </c>
      <c r="AV14" s="74">
        <v>3880</v>
      </c>
      <c r="AW14" s="74">
        <v>3880</v>
      </c>
      <c r="AX14" s="74">
        <v>3880</v>
      </c>
      <c r="AY14" s="74">
        <v>3880</v>
      </c>
      <c r="AZ14" s="74">
        <v>3880</v>
      </c>
      <c r="BA14" s="74">
        <v>3880</v>
      </c>
      <c r="BB14" s="74">
        <v>3880</v>
      </c>
      <c r="BC14" s="74">
        <v>3880</v>
      </c>
      <c r="BD14" s="75"/>
      <c r="BE14" s="76">
        <f t="shared" si="1"/>
        <v>46546.239999999998</v>
      </c>
      <c r="BF14" s="77">
        <f t="shared" si="2"/>
        <v>50699.520000000004</v>
      </c>
      <c r="BG14" s="53"/>
      <c r="BH14" s="92">
        <f t="shared" si="7"/>
        <v>19840</v>
      </c>
      <c r="BI14" s="92">
        <f t="shared" si="8"/>
        <v>19840</v>
      </c>
    </row>
    <row r="15" spans="1:61" s="68" customFormat="1" x14ac:dyDescent="0.35">
      <c r="A15" s="68" t="s">
        <v>86</v>
      </c>
      <c r="B15" s="53" t="s">
        <v>43</v>
      </c>
      <c r="C15" s="54" t="s">
        <v>61</v>
      </c>
      <c r="D15" s="53" t="s">
        <v>31</v>
      </c>
      <c r="E15" s="53"/>
      <c r="F15" s="53"/>
      <c r="G15" s="55" t="s">
        <v>23</v>
      </c>
      <c r="H15" s="56">
        <f>35000+(35000*4%)</f>
        <v>36400</v>
      </c>
      <c r="I15" s="57">
        <v>11385</v>
      </c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70"/>
      <c r="AA15" s="58">
        <f>$H$15/12</f>
        <v>3033.3333333333335</v>
      </c>
      <c r="AB15" s="58">
        <f t="shared" ref="AB15:AL15" si="17">$H$15/12</f>
        <v>3033.3333333333335</v>
      </c>
      <c r="AC15" s="58">
        <f t="shared" si="17"/>
        <v>3033.3333333333335</v>
      </c>
      <c r="AD15" s="58">
        <f t="shared" si="17"/>
        <v>3033.3333333333335</v>
      </c>
      <c r="AE15" s="58">
        <f t="shared" si="17"/>
        <v>3033.3333333333335</v>
      </c>
      <c r="AF15" s="58">
        <f t="shared" si="17"/>
        <v>3033.3333333333335</v>
      </c>
      <c r="AG15" s="58">
        <f t="shared" si="17"/>
        <v>3033.3333333333335</v>
      </c>
      <c r="AH15" s="58">
        <f t="shared" si="17"/>
        <v>3033.3333333333335</v>
      </c>
      <c r="AI15" s="58">
        <f t="shared" si="17"/>
        <v>3033.3333333333335</v>
      </c>
      <c r="AJ15" s="58">
        <f t="shared" si="17"/>
        <v>3033.3333333333335</v>
      </c>
      <c r="AK15" s="58">
        <f t="shared" si="17"/>
        <v>3033.3333333333335</v>
      </c>
      <c r="AL15" s="58">
        <f t="shared" si="17"/>
        <v>3033.3333333333335</v>
      </c>
      <c r="AM15" s="71"/>
      <c r="AN15" s="72">
        <v>34289.440000000002</v>
      </c>
      <c r="AO15" s="73">
        <f t="shared" si="4"/>
        <v>47785</v>
      </c>
      <c r="AP15" s="58">
        <f t="shared" si="5"/>
        <v>49696.4</v>
      </c>
      <c r="AQ15" s="70"/>
      <c r="AR15" s="74">
        <f t="shared" si="6"/>
        <v>1274.2666666666667</v>
      </c>
      <c r="AS15" s="74">
        <v>1160</v>
      </c>
      <c r="AT15" s="74">
        <v>1160</v>
      </c>
      <c r="AU15" s="74">
        <v>1160</v>
      </c>
      <c r="AV15" s="74">
        <v>1160</v>
      </c>
      <c r="AW15" s="74">
        <v>1160</v>
      </c>
      <c r="AX15" s="74">
        <v>1160</v>
      </c>
      <c r="AY15" s="74">
        <v>1160</v>
      </c>
      <c r="AZ15" s="74">
        <v>1160</v>
      </c>
      <c r="BA15" s="74">
        <v>1160</v>
      </c>
      <c r="BB15" s="74">
        <v>1160</v>
      </c>
      <c r="BC15" s="74">
        <v>1160</v>
      </c>
      <c r="BD15" s="75"/>
      <c r="BE15" s="76">
        <f t="shared" si="1"/>
        <v>10972.620800000001</v>
      </c>
      <c r="BF15" s="77">
        <f t="shared" si="2"/>
        <v>15291.2</v>
      </c>
      <c r="BG15" s="53"/>
      <c r="BH15" s="92">
        <f t="shared" si="7"/>
        <v>15291.2</v>
      </c>
      <c r="BI15" s="92">
        <f t="shared" si="8"/>
        <v>10972.620800000001</v>
      </c>
    </row>
    <row r="16" spans="1:61" s="68" customFormat="1" x14ac:dyDescent="0.35">
      <c r="A16" s="68" t="s">
        <v>86</v>
      </c>
      <c r="B16" s="53" t="s">
        <v>43</v>
      </c>
      <c r="C16" s="54" t="s">
        <v>62</v>
      </c>
      <c r="D16" s="53" t="s">
        <v>31</v>
      </c>
      <c r="E16" s="53"/>
      <c r="F16" s="53"/>
      <c r="G16" s="55" t="s">
        <v>23</v>
      </c>
      <c r="H16" s="56">
        <f>40000+(40000*4%)</f>
        <v>41600</v>
      </c>
      <c r="I16" s="57">
        <v>0</v>
      </c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70"/>
      <c r="AA16" s="58">
        <f>$H$16/12</f>
        <v>3466.6666666666665</v>
      </c>
      <c r="AB16" s="58">
        <f t="shared" ref="AB16:AL16" si="18">$H$16/12</f>
        <v>3466.6666666666665</v>
      </c>
      <c r="AC16" s="58">
        <f t="shared" si="18"/>
        <v>3466.6666666666665</v>
      </c>
      <c r="AD16" s="58">
        <f t="shared" si="18"/>
        <v>3466.6666666666665</v>
      </c>
      <c r="AE16" s="58">
        <f t="shared" si="18"/>
        <v>3466.6666666666665</v>
      </c>
      <c r="AF16" s="58">
        <f t="shared" si="18"/>
        <v>3466.6666666666665</v>
      </c>
      <c r="AG16" s="58">
        <f t="shared" si="18"/>
        <v>3466.6666666666665</v>
      </c>
      <c r="AH16" s="58">
        <f t="shared" si="18"/>
        <v>3466.6666666666665</v>
      </c>
      <c r="AI16" s="58">
        <f t="shared" si="18"/>
        <v>3466.6666666666665</v>
      </c>
      <c r="AJ16" s="58">
        <f t="shared" si="18"/>
        <v>3466.6666666666665</v>
      </c>
      <c r="AK16" s="58">
        <f t="shared" si="18"/>
        <v>3466.6666666666665</v>
      </c>
      <c r="AL16" s="58">
        <f t="shared" si="18"/>
        <v>3466.6666666666665</v>
      </c>
      <c r="AM16" s="71"/>
      <c r="AN16" s="72">
        <v>140000</v>
      </c>
      <c r="AO16" s="73">
        <f t="shared" si="4"/>
        <v>41600</v>
      </c>
      <c r="AP16" s="58">
        <f t="shared" si="5"/>
        <v>43264</v>
      </c>
      <c r="AQ16" s="70"/>
      <c r="AR16" s="74">
        <f t="shared" si="6"/>
        <v>1109.3333333333333</v>
      </c>
      <c r="AS16" s="74">
        <v>1600</v>
      </c>
      <c r="AT16" s="74">
        <v>1600</v>
      </c>
      <c r="AU16" s="74">
        <v>1600</v>
      </c>
      <c r="AV16" s="74">
        <v>1600</v>
      </c>
      <c r="AW16" s="74">
        <v>1600</v>
      </c>
      <c r="AX16" s="74">
        <v>1600</v>
      </c>
      <c r="AY16" s="74">
        <v>1600</v>
      </c>
      <c r="AZ16" s="74">
        <v>1600</v>
      </c>
      <c r="BA16" s="74">
        <v>1600</v>
      </c>
      <c r="BB16" s="74">
        <v>1600</v>
      </c>
      <c r="BC16" s="74">
        <v>1600</v>
      </c>
      <c r="BD16" s="75"/>
      <c r="BE16" s="76">
        <f t="shared" si="1"/>
        <v>44800</v>
      </c>
      <c r="BF16" s="77">
        <f t="shared" si="2"/>
        <v>13312</v>
      </c>
      <c r="BG16" s="53"/>
      <c r="BH16" s="92">
        <f t="shared" si="7"/>
        <v>13312</v>
      </c>
      <c r="BI16" s="92">
        <f t="shared" si="8"/>
        <v>19840</v>
      </c>
    </row>
    <row r="17" spans="1:61" x14ac:dyDescent="0.35">
      <c r="B17" s="11" t="s">
        <v>43</v>
      </c>
      <c r="C17" s="12" t="s">
        <v>63</v>
      </c>
      <c r="D17" s="11" t="s">
        <v>35</v>
      </c>
      <c r="E17" s="11"/>
      <c r="F17" s="11"/>
      <c r="G17" s="19" t="s">
        <v>23</v>
      </c>
      <c r="H17" s="20">
        <f>31000+(31000*4%)</f>
        <v>32240</v>
      </c>
      <c r="I17" s="21">
        <v>0</v>
      </c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5"/>
      <c r="AA17" s="42">
        <f>$H$17/12</f>
        <v>2686.6666666666665</v>
      </c>
      <c r="AB17" s="42">
        <f t="shared" ref="AB17:AL17" si="19">$H$17/12</f>
        <v>2686.6666666666665</v>
      </c>
      <c r="AC17" s="42">
        <f t="shared" si="19"/>
        <v>2686.6666666666665</v>
      </c>
      <c r="AD17" s="42">
        <f t="shared" si="19"/>
        <v>2686.6666666666665</v>
      </c>
      <c r="AE17" s="42">
        <f t="shared" si="19"/>
        <v>2686.6666666666665</v>
      </c>
      <c r="AF17" s="42">
        <f t="shared" si="19"/>
        <v>2686.6666666666665</v>
      </c>
      <c r="AG17" s="42">
        <f t="shared" si="19"/>
        <v>2686.6666666666665</v>
      </c>
      <c r="AH17" s="42">
        <f t="shared" si="19"/>
        <v>2686.6666666666665</v>
      </c>
      <c r="AI17" s="42">
        <f t="shared" si="19"/>
        <v>2686.6666666666665</v>
      </c>
      <c r="AJ17" s="42">
        <f t="shared" si="19"/>
        <v>2686.6666666666665</v>
      </c>
      <c r="AK17" s="42">
        <f t="shared" si="19"/>
        <v>2686.6666666666665</v>
      </c>
      <c r="AL17" s="42">
        <f t="shared" si="19"/>
        <v>2686.6666666666665</v>
      </c>
      <c r="AM17" s="35"/>
      <c r="AN17" s="27">
        <v>30596.48</v>
      </c>
      <c r="AO17" s="52">
        <f t="shared" si="4"/>
        <v>32240</v>
      </c>
      <c r="AP17" s="42">
        <f t="shared" si="5"/>
        <v>33529.599999999999</v>
      </c>
      <c r="AQ17" s="15"/>
      <c r="AR17" s="43">
        <f t="shared" si="6"/>
        <v>859.73333333333346</v>
      </c>
      <c r="AS17" s="43">
        <v>826.66666666666663</v>
      </c>
      <c r="AT17" s="43">
        <v>826.66666666666663</v>
      </c>
      <c r="AU17" s="43">
        <v>826.66666666666663</v>
      </c>
      <c r="AV17" s="43">
        <v>826.66666666666663</v>
      </c>
      <c r="AW17" s="43">
        <v>826.66666666666663</v>
      </c>
      <c r="AX17" s="43">
        <v>826.66666666666663</v>
      </c>
      <c r="AY17" s="43">
        <v>826.66666666666663</v>
      </c>
      <c r="AZ17" s="43">
        <v>826.66666666666663</v>
      </c>
      <c r="BA17" s="43">
        <v>826.66666666666663</v>
      </c>
      <c r="BB17" s="43">
        <v>826.66666666666663</v>
      </c>
      <c r="BC17" s="43">
        <v>826.66666666666663</v>
      </c>
      <c r="BD17" s="39"/>
      <c r="BE17" s="40">
        <f t="shared" si="1"/>
        <v>9790.8736000000008</v>
      </c>
      <c r="BF17" s="26">
        <f t="shared" si="2"/>
        <v>10316.800000000001</v>
      </c>
      <c r="BG17" s="11"/>
      <c r="BH17" s="92">
        <f t="shared" si="7"/>
        <v>10316.800000000001</v>
      </c>
      <c r="BI17" s="92">
        <f t="shared" si="8"/>
        <v>9790.8736000000008</v>
      </c>
    </row>
    <row r="18" spans="1:61" x14ac:dyDescent="0.35">
      <c r="B18" s="11" t="s">
        <v>43</v>
      </c>
      <c r="C18" s="12" t="s">
        <v>64</v>
      </c>
      <c r="D18" s="11" t="s">
        <v>30</v>
      </c>
      <c r="E18" s="11"/>
      <c r="F18" s="11"/>
      <c r="G18" s="19" t="s">
        <v>23</v>
      </c>
      <c r="H18" s="20">
        <f>35000+(35000*4%)</f>
        <v>36400</v>
      </c>
      <c r="I18" s="21">
        <v>0</v>
      </c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5"/>
      <c r="AA18" s="42">
        <f>$H$18/12</f>
        <v>3033.3333333333335</v>
      </c>
      <c r="AB18" s="42">
        <f t="shared" ref="AB18:AL18" si="20">$H$18/12</f>
        <v>3033.3333333333335</v>
      </c>
      <c r="AC18" s="42">
        <f t="shared" si="20"/>
        <v>3033.3333333333335</v>
      </c>
      <c r="AD18" s="42">
        <f t="shared" si="20"/>
        <v>3033.3333333333335</v>
      </c>
      <c r="AE18" s="42">
        <f t="shared" si="20"/>
        <v>3033.3333333333335</v>
      </c>
      <c r="AF18" s="42">
        <f t="shared" si="20"/>
        <v>3033.3333333333335</v>
      </c>
      <c r="AG18" s="42">
        <f t="shared" si="20"/>
        <v>3033.3333333333335</v>
      </c>
      <c r="AH18" s="42">
        <f t="shared" si="20"/>
        <v>3033.3333333333335</v>
      </c>
      <c r="AI18" s="42">
        <f t="shared" si="20"/>
        <v>3033.3333333333335</v>
      </c>
      <c r="AJ18" s="42">
        <f t="shared" si="20"/>
        <v>3033.3333333333335</v>
      </c>
      <c r="AK18" s="42">
        <f t="shared" si="20"/>
        <v>3033.3333333333335</v>
      </c>
      <c r="AL18" s="42">
        <f t="shared" si="20"/>
        <v>3033.3333333333335</v>
      </c>
      <c r="AM18" s="35"/>
      <c r="AN18" s="27">
        <v>43018.47</v>
      </c>
      <c r="AO18" s="52">
        <f t="shared" si="4"/>
        <v>36400</v>
      </c>
      <c r="AP18" s="42">
        <f t="shared" si="5"/>
        <v>37856</v>
      </c>
      <c r="AQ18" s="15"/>
      <c r="AR18" s="43">
        <f t="shared" si="6"/>
        <v>970.66666666666663</v>
      </c>
      <c r="AS18" s="43">
        <v>933.33333333333337</v>
      </c>
      <c r="AT18" s="43">
        <v>933.33333333333337</v>
      </c>
      <c r="AU18" s="43">
        <v>933.33333333333337</v>
      </c>
      <c r="AV18" s="43">
        <v>933.33333333333337</v>
      </c>
      <c r="AW18" s="43">
        <v>933.33333333333337</v>
      </c>
      <c r="AX18" s="43">
        <v>933.33333333333337</v>
      </c>
      <c r="AY18" s="43">
        <v>933.33333333333337</v>
      </c>
      <c r="AZ18" s="43">
        <v>933.33333333333337</v>
      </c>
      <c r="BA18" s="43">
        <v>933.33333333333337</v>
      </c>
      <c r="BB18" s="43">
        <v>933.33333333333337</v>
      </c>
      <c r="BC18" s="43">
        <v>933.33333333333337</v>
      </c>
      <c r="BD18" s="39"/>
      <c r="BE18" s="40">
        <f t="shared" si="1"/>
        <v>13765.910400000001</v>
      </c>
      <c r="BF18" s="26">
        <f t="shared" si="2"/>
        <v>11648</v>
      </c>
      <c r="BG18" s="11"/>
      <c r="BH18" s="92">
        <f t="shared" si="7"/>
        <v>11648</v>
      </c>
      <c r="BI18" s="92">
        <f t="shared" si="8"/>
        <v>13765.910400000001</v>
      </c>
    </row>
    <row r="19" spans="1:61" x14ac:dyDescent="0.35">
      <c r="B19" s="11" t="s">
        <v>43</v>
      </c>
      <c r="C19" s="12" t="s">
        <v>65</v>
      </c>
      <c r="D19" s="11" t="s">
        <v>35</v>
      </c>
      <c r="E19" s="11"/>
      <c r="F19" s="11"/>
      <c r="G19" s="19" t="s">
        <v>23</v>
      </c>
      <c r="H19" s="20">
        <f>30000+(30000*4%)</f>
        <v>31200</v>
      </c>
      <c r="I19" s="21">
        <v>0</v>
      </c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5"/>
      <c r="AA19" s="42">
        <f>$H$19/12</f>
        <v>2600</v>
      </c>
      <c r="AB19" s="42">
        <f t="shared" ref="AB19:AL19" si="21">$H$19/12</f>
        <v>2600</v>
      </c>
      <c r="AC19" s="42">
        <f t="shared" si="21"/>
        <v>2600</v>
      </c>
      <c r="AD19" s="42">
        <f t="shared" si="21"/>
        <v>2600</v>
      </c>
      <c r="AE19" s="42">
        <f t="shared" si="21"/>
        <v>2600</v>
      </c>
      <c r="AF19" s="42">
        <f t="shared" si="21"/>
        <v>2600</v>
      </c>
      <c r="AG19" s="42">
        <f t="shared" si="21"/>
        <v>2600</v>
      </c>
      <c r="AH19" s="42">
        <f t="shared" si="21"/>
        <v>2600</v>
      </c>
      <c r="AI19" s="42">
        <f t="shared" si="21"/>
        <v>2600</v>
      </c>
      <c r="AJ19" s="42">
        <f t="shared" si="21"/>
        <v>2600</v>
      </c>
      <c r="AK19" s="42">
        <f t="shared" si="21"/>
        <v>2600</v>
      </c>
      <c r="AL19" s="42">
        <f t="shared" si="21"/>
        <v>2600</v>
      </c>
      <c r="AM19" s="35"/>
      <c r="AN19" s="27">
        <v>20000</v>
      </c>
      <c r="AO19" s="52">
        <f t="shared" si="4"/>
        <v>31200</v>
      </c>
      <c r="AP19" s="42">
        <f t="shared" si="5"/>
        <v>32448</v>
      </c>
      <c r="AQ19" s="15"/>
      <c r="AR19" s="43">
        <f t="shared" si="6"/>
        <v>832</v>
      </c>
      <c r="AS19" s="43">
        <v>452.9493333333333</v>
      </c>
      <c r="AT19" s="43">
        <v>452.9493333333333</v>
      </c>
      <c r="AU19" s="43">
        <v>452.9493333333333</v>
      </c>
      <c r="AV19" s="43">
        <v>452.9493333333333</v>
      </c>
      <c r="AW19" s="43">
        <v>452.9493333333333</v>
      </c>
      <c r="AX19" s="43">
        <v>452.9493333333333</v>
      </c>
      <c r="AY19" s="43">
        <v>452.9493333333333</v>
      </c>
      <c r="AZ19" s="43">
        <v>452.9493333333333</v>
      </c>
      <c r="BA19" s="43">
        <v>452.9493333333333</v>
      </c>
      <c r="BB19" s="43">
        <v>452.9493333333333</v>
      </c>
      <c r="BC19" s="43">
        <v>452.9493333333333</v>
      </c>
      <c r="BD19" s="39"/>
      <c r="BE19" s="40">
        <f t="shared" si="1"/>
        <v>6400</v>
      </c>
      <c r="BF19" s="26">
        <f t="shared" si="2"/>
        <v>9984</v>
      </c>
      <c r="BG19" s="11"/>
      <c r="BH19" s="92">
        <f t="shared" si="7"/>
        <v>9984</v>
      </c>
      <c r="BI19" s="92">
        <f t="shared" si="8"/>
        <v>6400</v>
      </c>
    </row>
    <row r="20" spans="1:61" x14ac:dyDescent="0.35">
      <c r="A20" t="s">
        <v>86</v>
      </c>
      <c r="B20" s="11" t="s">
        <v>43</v>
      </c>
      <c r="C20" s="12" t="s">
        <v>66</v>
      </c>
      <c r="D20" s="11" t="s">
        <v>33</v>
      </c>
      <c r="E20" s="11"/>
      <c r="F20" s="11"/>
      <c r="G20" s="19" t="s">
        <v>23</v>
      </c>
      <c r="H20" s="20">
        <f>35000+(35000*4%)</f>
        <v>36400</v>
      </c>
      <c r="I20" s="21">
        <v>3500</v>
      </c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5"/>
      <c r="AA20" s="42">
        <f>$H$20/12</f>
        <v>3033.3333333333335</v>
      </c>
      <c r="AB20" s="42">
        <f t="shared" ref="AB20:AL20" si="22">$H$20/12</f>
        <v>3033.3333333333335</v>
      </c>
      <c r="AC20" s="42">
        <f t="shared" si="22"/>
        <v>3033.3333333333335</v>
      </c>
      <c r="AD20" s="42">
        <f t="shared" si="22"/>
        <v>3033.3333333333335</v>
      </c>
      <c r="AE20" s="42">
        <f t="shared" si="22"/>
        <v>3033.3333333333335</v>
      </c>
      <c r="AF20" s="42">
        <f t="shared" si="22"/>
        <v>3033.3333333333335</v>
      </c>
      <c r="AG20" s="42">
        <f t="shared" si="22"/>
        <v>3033.3333333333335</v>
      </c>
      <c r="AH20" s="42">
        <f t="shared" si="22"/>
        <v>3033.3333333333335</v>
      </c>
      <c r="AI20" s="42">
        <f t="shared" si="22"/>
        <v>3033.3333333333335</v>
      </c>
      <c r="AJ20" s="42">
        <f t="shared" si="22"/>
        <v>3033.3333333333335</v>
      </c>
      <c r="AK20" s="42">
        <f t="shared" si="22"/>
        <v>3033.3333333333335</v>
      </c>
      <c r="AL20" s="42">
        <f t="shared" si="22"/>
        <v>3033.3333333333335</v>
      </c>
      <c r="AM20" s="35"/>
      <c r="AN20" s="27">
        <v>27617.58</v>
      </c>
      <c r="AO20" s="52">
        <f t="shared" si="4"/>
        <v>39900</v>
      </c>
      <c r="AP20" s="42">
        <f t="shared" si="5"/>
        <v>41496</v>
      </c>
      <c r="AQ20" s="15"/>
      <c r="AR20" s="43">
        <f t="shared" si="6"/>
        <v>1064</v>
      </c>
      <c r="AS20" s="43">
        <v>1026.6666666666667</v>
      </c>
      <c r="AT20" s="43">
        <v>1026.6666666666667</v>
      </c>
      <c r="AU20" s="43">
        <v>1026.6666666666667</v>
      </c>
      <c r="AV20" s="43">
        <v>1026.6666666666667</v>
      </c>
      <c r="AW20" s="43">
        <v>1026.6666666666667</v>
      </c>
      <c r="AX20" s="43">
        <v>1026.6666666666667</v>
      </c>
      <c r="AY20" s="43">
        <v>1026.6666666666667</v>
      </c>
      <c r="AZ20" s="43">
        <v>1026.6666666666667</v>
      </c>
      <c r="BA20" s="43">
        <v>1026.6666666666667</v>
      </c>
      <c r="BB20" s="43">
        <v>1026.6666666666667</v>
      </c>
      <c r="BC20" s="43">
        <v>1026.6666666666667</v>
      </c>
      <c r="BD20" s="39"/>
      <c r="BE20" s="40">
        <f t="shared" si="1"/>
        <v>8837.6256000000012</v>
      </c>
      <c r="BF20" s="26">
        <f t="shared" si="2"/>
        <v>12768</v>
      </c>
      <c r="BG20" s="11"/>
      <c r="BH20" s="92">
        <f t="shared" si="7"/>
        <v>12768</v>
      </c>
      <c r="BI20" s="92">
        <f t="shared" si="8"/>
        <v>8837.6256000000012</v>
      </c>
    </row>
    <row r="21" spans="1:61" s="78" customFormat="1" x14ac:dyDescent="0.35">
      <c r="A21" s="78" t="s">
        <v>86</v>
      </c>
      <c r="B21" s="60" t="s">
        <v>43</v>
      </c>
      <c r="C21" s="61" t="s">
        <v>67</v>
      </c>
      <c r="D21" s="60" t="s">
        <v>31</v>
      </c>
      <c r="E21" s="60"/>
      <c r="F21" s="60"/>
      <c r="G21" s="62" t="s">
        <v>23</v>
      </c>
      <c r="H21" s="63">
        <f>94000+(94000*4%)</f>
        <v>97760</v>
      </c>
      <c r="I21" s="64">
        <v>6582</v>
      </c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80"/>
      <c r="AA21" s="65">
        <f>($H$21+$I$21)/12</f>
        <v>8695.1666666666661</v>
      </c>
      <c r="AB21" s="65">
        <f t="shared" ref="AB21:AL21" si="23">($H$21+$I$21)/12</f>
        <v>8695.1666666666661</v>
      </c>
      <c r="AC21" s="65">
        <f t="shared" si="23"/>
        <v>8695.1666666666661</v>
      </c>
      <c r="AD21" s="65">
        <f t="shared" si="23"/>
        <v>8695.1666666666661</v>
      </c>
      <c r="AE21" s="65">
        <f t="shared" si="23"/>
        <v>8695.1666666666661</v>
      </c>
      <c r="AF21" s="65">
        <f t="shared" si="23"/>
        <v>8695.1666666666661</v>
      </c>
      <c r="AG21" s="65">
        <f t="shared" si="23"/>
        <v>8695.1666666666661</v>
      </c>
      <c r="AH21" s="65">
        <f t="shared" si="23"/>
        <v>8695.1666666666661</v>
      </c>
      <c r="AI21" s="65">
        <f t="shared" si="23"/>
        <v>8695.1666666666661</v>
      </c>
      <c r="AJ21" s="65">
        <f t="shared" si="23"/>
        <v>8695.1666666666661</v>
      </c>
      <c r="AK21" s="65">
        <f t="shared" si="23"/>
        <v>8695.1666666666661</v>
      </c>
      <c r="AL21" s="65">
        <f t="shared" si="23"/>
        <v>8695.1666666666661</v>
      </c>
      <c r="AM21" s="81"/>
      <c r="AN21" s="82">
        <v>97000</v>
      </c>
      <c r="AO21" s="83">
        <f t="shared" si="4"/>
        <v>104342</v>
      </c>
      <c r="AP21" s="65">
        <f t="shared" si="5"/>
        <v>108515.68</v>
      </c>
      <c r="AQ21" s="80"/>
      <c r="AR21" s="84">
        <f t="shared" si="6"/>
        <v>2782.4533333333334</v>
      </c>
      <c r="AS21" s="84">
        <v>2613.3333333333335</v>
      </c>
      <c r="AT21" s="84">
        <v>2613.3333333333335</v>
      </c>
      <c r="AU21" s="84">
        <v>2613.3333333333335</v>
      </c>
      <c r="AV21" s="84">
        <v>2613.3333333333335</v>
      </c>
      <c r="AW21" s="84">
        <v>2613.3333333333335</v>
      </c>
      <c r="AX21" s="84">
        <v>2613.3333333333335</v>
      </c>
      <c r="AY21" s="84">
        <v>2613.3333333333335</v>
      </c>
      <c r="AZ21" s="84">
        <v>2613.3333333333335</v>
      </c>
      <c r="BA21" s="84">
        <v>2613.3333333333335</v>
      </c>
      <c r="BB21" s="84">
        <v>2613.3333333333335</v>
      </c>
      <c r="BC21" s="84">
        <v>2613.3333333333335</v>
      </c>
      <c r="BD21" s="85"/>
      <c r="BE21" s="86">
        <f t="shared" si="1"/>
        <v>31040</v>
      </c>
      <c r="BF21" s="87">
        <f t="shared" si="2"/>
        <v>33389.440000000002</v>
      </c>
      <c r="BG21" s="60"/>
      <c r="BH21" s="92">
        <f t="shared" si="7"/>
        <v>19840</v>
      </c>
      <c r="BI21" s="92">
        <f t="shared" si="8"/>
        <v>19840</v>
      </c>
    </row>
    <row r="22" spans="1:61" s="78" customFormat="1" x14ac:dyDescent="0.35">
      <c r="A22" s="78" t="s">
        <v>86</v>
      </c>
      <c r="B22" s="60" t="s">
        <v>43</v>
      </c>
      <c r="C22" s="61" t="s">
        <v>68</v>
      </c>
      <c r="D22" s="60" t="s">
        <v>31</v>
      </c>
      <c r="E22" s="60"/>
      <c r="F22" s="60"/>
      <c r="G22" s="62" t="s">
        <v>23</v>
      </c>
      <c r="H22" s="63">
        <f>121500+(121500*4%)</f>
        <v>126360</v>
      </c>
      <c r="I22" s="64">
        <v>137404</v>
      </c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80"/>
      <c r="AA22" s="65">
        <f>($H$22+$I$22)/12</f>
        <v>21980.333333333332</v>
      </c>
      <c r="AB22" s="65">
        <f t="shared" ref="AB22:AL22" si="24">($H$22+$I$22)/12</f>
        <v>21980.333333333332</v>
      </c>
      <c r="AC22" s="65">
        <f t="shared" si="24"/>
        <v>21980.333333333332</v>
      </c>
      <c r="AD22" s="65">
        <f t="shared" si="24"/>
        <v>21980.333333333332</v>
      </c>
      <c r="AE22" s="65">
        <f t="shared" si="24"/>
        <v>21980.333333333332</v>
      </c>
      <c r="AF22" s="65">
        <f t="shared" si="24"/>
        <v>21980.333333333332</v>
      </c>
      <c r="AG22" s="65">
        <f t="shared" si="24"/>
        <v>21980.333333333332</v>
      </c>
      <c r="AH22" s="65">
        <f t="shared" si="24"/>
        <v>21980.333333333332</v>
      </c>
      <c r="AI22" s="65">
        <f t="shared" si="24"/>
        <v>21980.333333333332</v>
      </c>
      <c r="AJ22" s="65">
        <f t="shared" si="24"/>
        <v>21980.333333333332</v>
      </c>
      <c r="AK22" s="65">
        <f t="shared" si="24"/>
        <v>21980.333333333332</v>
      </c>
      <c r="AL22" s="65">
        <f t="shared" si="24"/>
        <v>21980.333333333332</v>
      </c>
      <c r="AM22" s="81"/>
      <c r="AN22" s="82">
        <v>236000</v>
      </c>
      <c r="AO22" s="83">
        <f t="shared" si="4"/>
        <v>263764</v>
      </c>
      <c r="AP22" s="65">
        <f t="shared" si="5"/>
        <v>274314.56</v>
      </c>
      <c r="AQ22" s="80"/>
      <c r="AR22" s="84">
        <f t="shared" si="6"/>
        <v>7033.706666666666</v>
      </c>
      <c r="AS22" s="84">
        <v>6306.666666666667</v>
      </c>
      <c r="AT22" s="84">
        <v>6306.666666666667</v>
      </c>
      <c r="AU22" s="84">
        <v>6306.666666666667</v>
      </c>
      <c r="AV22" s="84">
        <v>6306.666666666667</v>
      </c>
      <c r="AW22" s="84">
        <v>6306.666666666667</v>
      </c>
      <c r="AX22" s="84">
        <v>6306.666666666667</v>
      </c>
      <c r="AY22" s="84">
        <v>6306.666666666667</v>
      </c>
      <c r="AZ22" s="84">
        <v>6306.666666666667</v>
      </c>
      <c r="BA22" s="84">
        <v>6306.666666666667</v>
      </c>
      <c r="BB22" s="84">
        <v>6306.666666666667</v>
      </c>
      <c r="BC22" s="84">
        <v>6306.666666666667</v>
      </c>
      <c r="BD22" s="85"/>
      <c r="BE22" s="86">
        <f t="shared" si="1"/>
        <v>75520</v>
      </c>
      <c r="BF22" s="87">
        <f t="shared" si="2"/>
        <v>84404.479999999996</v>
      </c>
      <c r="BG22" s="60"/>
      <c r="BH22" s="92">
        <f t="shared" si="7"/>
        <v>19840</v>
      </c>
      <c r="BI22" s="92">
        <f t="shared" si="8"/>
        <v>19840</v>
      </c>
    </row>
    <row r="23" spans="1:61" s="68" customFormat="1" x14ac:dyDescent="0.35">
      <c r="A23" s="68" t="s">
        <v>86</v>
      </c>
      <c r="B23" s="53" t="s">
        <v>43</v>
      </c>
      <c r="C23" s="54" t="s">
        <v>69</v>
      </c>
      <c r="D23" s="53"/>
      <c r="E23" s="53"/>
      <c r="F23" s="53"/>
      <c r="G23" s="55" t="s">
        <v>23</v>
      </c>
      <c r="H23" s="56">
        <f>147000+(147000*4%)</f>
        <v>152880</v>
      </c>
      <c r="I23" s="57">
        <v>58000</v>
      </c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70"/>
      <c r="AA23" s="58">
        <f>$H$23/12</f>
        <v>12740</v>
      </c>
      <c r="AB23" s="58">
        <f t="shared" ref="AB23:AK23" si="25">$H$23/12</f>
        <v>12740</v>
      </c>
      <c r="AC23" s="58">
        <f t="shared" si="25"/>
        <v>12740</v>
      </c>
      <c r="AD23" s="58">
        <f t="shared" si="25"/>
        <v>12740</v>
      </c>
      <c r="AE23" s="58">
        <f t="shared" si="25"/>
        <v>12740</v>
      </c>
      <c r="AF23" s="58">
        <f t="shared" si="25"/>
        <v>12740</v>
      </c>
      <c r="AG23" s="58">
        <f t="shared" si="25"/>
        <v>12740</v>
      </c>
      <c r="AH23" s="58">
        <f t="shared" si="25"/>
        <v>12740</v>
      </c>
      <c r="AI23" s="58">
        <f t="shared" si="25"/>
        <v>12740</v>
      </c>
      <c r="AJ23" s="58">
        <f t="shared" si="25"/>
        <v>12740</v>
      </c>
      <c r="AK23" s="58">
        <f t="shared" si="25"/>
        <v>12740</v>
      </c>
      <c r="AL23" s="58">
        <f>($H$23/12)+I23</f>
        <v>70740</v>
      </c>
      <c r="AM23" s="71"/>
      <c r="AN23" s="72">
        <v>206000</v>
      </c>
      <c r="AO23" s="73">
        <f t="shared" si="4"/>
        <v>210880</v>
      </c>
      <c r="AP23" s="58">
        <f t="shared" si="5"/>
        <v>219315.20000000001</v>
      </c>
      <c r="AQ23" s="70"/>
      <c r="AR23" s="74">
        <f t="shared" si="6"/>
        <v>5623.4666666666672</v>
      </c>
      <c r="AS23" s="74">
        <v>5280</v>
      </c>
      <c r="AT23" s="74">
        <v>5280</v>
      </c>
      <c r="AU23" s="74">
        <v>5280</v>
      </c>
      <c r="AV23" s="74">
        <v>5280</v>
      </c>
      <c r="AW23" s="74">
        <v>5280</v>
      </c>
      <c r="AX23" s="74">
        <v>5280</v>
      </c>
      <c r="AY23" s="74">
        <v>5280</v>
      </c>
      <c r="AZ23" s="74">
        <v>5280</v>
      </c>
      <c r="BA23" s="74">
        <v>5280</v>
      </c>
      <c r="BB23" s="74">
        <v>5280</v>
      </c>
      <c r="BC23" s="74">
        <v>5280</v>
      </c>
      <c r="BD23" s="75"/>
      <c r="BE23" s="76">
        <f t="shared" si="1"/>
        <v>65920</v>
      </c>
      <c r="BF23" s="77">
        <f t="shared" si="2"/>
        <v>67481.600000000006</v>
      </c>
      <c r="BG23" s="53"/>
      <c r="BH23" s="92">
        <f t="shared" si="7"/>
        <v>19840</v>
      </c>
      <c r="BI23" s="92">
        <f t="shared" si="8"/>
        <v>19840</v>
      </c>
    </row>
    <row r="24" spans="1:61" x14ac:dyDescent="0.35">
      <c r="A24" t="s">
        <v>86</v>
      </c>
      <c r="B24" s="11" t="s">
        <v>43</v>
      </c>
      <c r="C24" s="12" t="s">
        <v>70</v>
      </c>
      <c r="D24" s="11" t="s">
        <v>31</v>
      </c>
      <c r="E24" s="11"/>
      <c r="F24" s="11"/>
      <c r="G24" s="19" t="s">
        <v>23</v>
      </c>
      <c r="H24" s="20">
        <f>30000+(30000*4%)</f>
        <v>31200</v>
      </c>
      <c r="I24" s="21">
        <v>0</v>
      </c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5"/>
      <c r="AA24" s="42">
        <f>$H$24/12</f>
        <v>2600</v>
      </c>
      <c r="AB24" s="42">
        <f t="shared" ref="AB24:AL24" si="26">$H$24/12</f>
        <v>2600</v>
      </c>
      <c r="AC24" s="42">
        <f t="shared" si="26"/>
        <v>2600</v>
      </c>
      <c r="AD24" s="42">
        <f t="shared" si="26"/>
        <v>2600</v>
      </c>
      <c r="AE24" s="42">
        <f t="shared" si="26"/>
        <v>2600</v>
      </c>
      <c r="AF24" s="42">
        <f t="shared" si="26"/>
        <v>2600</v>
      </c>
      <c r="AG24" s="42">
        <f t="shared" si="26"/>
        <v>2600</v>
      </c>
      <c r="AH24" s="42">
        <f t="shared" si="26"/>
        <v>2600</v>
      </c>
      <c r="AI24" s="42">
        <f t="shared" si="26"/>
        <v>2600</v>
      </c>
      <c r="AJ24" s="42">
        <f t="shared" si="26"/>
        <v>2600</v>
      </c>
      <c r="AK24" s="42">
        <f t="shared" si="26"/>
        <v>2600</v>
      </c>
      <c r="AL24" s="42">
        <f t="shared" si="26"/>
        <v>2600</v>
      </c>
      <c r="AM24" s="35"/>
      <c r="AN24" s="27">
        <v>18588.38</v>
      </c>
      <c r="AO24" s="52">
        <f t="shared" si="4"/>
        <v>31200</v>
      </c>
      <c r="AP24" s="42">
        <f t="shared" si="5"/>
        <v>32448</v>
      </c>
      <c r="AQ24" s="15"/>
      <c r="AR24" s="43">
        <f t="shared" si="6"/>
        <v>832</v>
      </c>
      <c r="AS24" s="43">
        <v>800</v>
      </c>
      <c r="AT24" s="43">
        <v>800</v>
      </c>
      <c r="AU24" s="43">
        <v>800</v>
      </c>
      <c r="AV24" s="43">
        <v>800</v>
      </c>
      <c r="AW24" s="43">
        <v>800</v>
      </c>
      <c r="AX24" s="43">
        <v>800</v>
      </c>
      <c r="AY24" s="43">
        <v>800</v>
      </c>
      <c r="AZ24" s="43">
        <v>800</v>
      </c>
      <c r="BA24" s="43">
        <v>800</v>
      </c>
      <c r="BB24" s="43">
        <v>800</v>
      </c>
      <c r="BC24" s="43">
        <v>800</v>
      </c>
      <c r="BD24" s="39"/>
      <c r="BE24" s="40">
        <f t="shared" si="1"/>
        <v>5948.2816000000003</v>
      </c>
      <c r="BF24" s="26">
        <f t="shared" si="2"/>
        <v>9984</v>
      </c>
      <c r="BG24" s="11"/>
      <c r="BH24" s="92">
        <f t="shared" si="7"/>
        <v>9984</v>
      </c>
      <c r="BI24" s="92">
        <f t="shared" si="8"/>
        <v>5948.2816000000003</v>
      </c>
    </row>
    <row r="25" spans="1:61" x14ac:dyDescent="0.35">
      <c r="B25" s="11" t="s">
        <v>43</v>
      </c>
      <c r="C25" s="12" t="s">
        <v>71</v>
      </c>
      <c r="D25" s="11" t="s">
        <v>30</v>
      </c>
      <c r="E25" s="11"/>
      <c r="F25" s="11"/>
      <c r="G25" s="19" t="s">
        <v>23</v>
      </c>
      <c r="H25" s="20">
        <f>33500+(33500*4%)</f>
        <v>34840</v>
      </c>
      <c r="I25" s="21">
        <v>0</v>
      </c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5"/>
      <c r="AA25" s="42">
        <f>$H$25/12</f>
        <v>2903.3333333333335</v>
      </c>
      <c r="AB25" s="42">
        <f t="shared" ref="AB25:AL25" si="27">$H$25/12</f>
        <v>2903.3333333333335</v>
      </c>
      <c r="AC25" s="42">
        <f t="shared" si="27"/>
        <v>2903.3333333333335</v>
      </c>
      <c r="AD25" s="42">
        <f t="shared" si="27"/>
        <v>2903.3333333333335</v>
      </c>
      <c r="AE25" s="42">
        <f t="shared" si="27"/>
        <v>2903.3333333333335</v>
      </c>
      <c r="AF25" s="42">
        <f t="shared" si="27"/>
        <v>2903.3333333333335</v>
      </c>
      <c r="AG25" s="42">
        <f t="shared" si="27"/>
        <v>2903.3333333333335</v>
      </c>
      <c r="AH25" s="42">
        <f t="shared" si="27"/>
        <v>2903.3333333333335</v>
      </c>
      <c r="AI25" s="42">
        <f t="shared" si="27"/>
        <v>2903.3333333333335</v>
      </c>
      <c r="AJ25" s="42">
        <f t="shared" si="27"/>
        <v>2903.3333333333335</v>
      </c>
      <c r="AK25" s="42">
        <f t="shared" si="27"/>
        <v>2903.3333333333335</v>
      </c>
      <c r="AL25" s="42">
        <f t="shared" si="27"/>
        <v>2903.3333333333335</v>
      </c>
      <c r="AM25" s="35"/>
      <c r="AN25" s="27">
        <v>24266.959999999999</v>
      </c>
      <c r="AO25" s="52">
        <f t="shared" si="4"/>
        <v>34840</v>
      </c>
      <c r="AP25" s="42">
        <f t="shared" si="5"/>
        <v>36233.599999999999</v>
      </c>
      <c r="AQ25" s="15"/>
      <c r="AR25" s="43">
        <f t="shared" si="6"/>
        <v>929.06666666666672</v>
      </c>
      <c r="AS25" s="43">
        <v>893.33333333333337</v>
      </c>
      <c r="AT25" s="43">
        <v>893.33333333333337</v>
      </c>
      <c r="AU25" s="43">
        <v>893.33333333333337</v>
      </c>
      <c r="AV25" s="43">
        <v>893.33333333333337</v>
      </c>
      <c r="AW25" s="43">
        <v>893.33333333333337</v>
      </c>
      <c r="AX25" s="43">
        <v>893.33333333333337</v>
      </c>
      <c r="AY25" s="43">
        <v>893.33333333333337</v>
      </c>
      <c r="AZ25" s="43">
        <v>893.33333333333337</v>
      </c>
      <c r="BA25" s="43">
        <v>893.33333333333337</v>
      </c>
      <c r="BB25" s="43">
        <v>893.33333333333337</v>
      </c>
      <c r="BC25" s="43">
        <v>893.33333333333337</v>
      </c>
      <c r="BD25" s="39"/>
      <c r="BE25" s="40">
        <f t="shared" si="1"/>
        <v>7765.4272000000001</v>
      </c>
      <c r="BF25" s="26">
        <f t="shared" si="2"/>
        <v>11148.800000000001</v>
      </c>
      <c r="BG25" s="11"/>
      <c r="BH25" s="92">
        <f t="shared" si="7"/>
        <v>11148.800000000001</v>
      </c>
      <c r="BI25" s="92">
        <f t="shared" si="8"/>
        <v>7765.4272000000001</v>
      </c>
    </row>
    <row r="26" spans="1:61" s="68" customFormat="1" x14ac:dyDescent="0.35">
      <c r="B26" s="53" t="s">
        <v>43</v>
      </c>
      <c r="C26" s="54" t="s">
        <v>72</v>
      </c>
      <c r="D26" s="53" t="s">
        <v>33</v>
      </c>
      <c r="E26" s="53"/>
      <c r="F26" s="53"/>
      <c r="G26" s="55" t="s">
        <v>23</v>
      </c>
      <c r="H26" s="56">
        <f>35000+(35000*4%)</f>
        <v>36400</v>
      </c>
      <c r="I26" s="57">
        <v>23000</v>
      </c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70"/>
      <c r="AA26" s="58">
        <f>$H$26/12</f>
        <v>3033.3333333333335</v>
      </c>
      <c r="AB26" s="58">
        <f t="shared" ref="AB26:AL26" si="28">$H$26/12</f>
        <v>3033.3333333333335</v>
      </c>
      <c r="AC26" s="58">
        <f t="shared" si="28"/>
        <v>3033.3333333333335</v>
      </c>
      <c r="AD26" s="58">
        <f t="shared" si="28"/>
        <v>3033.3333333333335</v>
      </c>
      <c r="AE26" s="58">
        <f t="shared" si="28"/>
        <v>3033.3333333333335</v>
      </c>
      <c r="AF26" s="58">
        <f t="shared" si="28"/>
        <v>3033.3333333333335</v>
      </c>
      <c r="AG26" s="58">
        <f t="shared" si="28"/>
        <v>3033.3333333333335</v>
      </c>
      <c r="AH26" s="58">
        <f t="shared" si="28"/>
        <v>3033.3333333333335</v>
      </c>
      <c r="AI26" s="58">
        <f>($H$26/12)+I26</f>
        <v>26033.333333333332</v>
      </c>
      <c r="AJ26" s="58">
        <f t="shared" si="28"/>
        <v>3033.3333333333335</v>
      </c>
      <c r="AK26" s="58">
        <f t="shared" si="28"/>
        <v>3033.3333333333335</v>
      </c>
      <c r="AL26" s="58">
        <f t="shared" si="28"/>
        <v>3033.3333333333335</v>
      </c>
      <c r="AM26" s="71"/>
      <c r="AN26" s="72">
        <v>97000</v>
      </c>
      <c r="AO26" s="73">
        <f t="shared" si="4"/>
        <v>59400</v>
      </c>
      <c r="AP26" s="58">
        <f t="shared" si="5"/>
        <v>61776</v>
      </c>
      <c r="AQ26" s="70"/>
      <c r="AR26" s="74">
        <f t="shared" si="6"/>
        <v>1584</v>
      </c>
      <c r="AS26" s="74">
        <v>1466.6666666666667</v>
      </c>
      <c r="AT26" s="74">
        <v>1466.6666666666667</v>
      </c>
      <c r="AU26" s="74">
        <v>1466.6666666666667</v>
      </c>
      <c r="AV26" s="74">
        <v>1466.6666666666667</v>
      </c>
      <c r="AW26" s="74">
        <v>1466.6666666666667</v>
      </c>
      <c r="AX26" s="74">
        <v>1466.6666666666667</v>
      </c>
      <c r="AY26" s="74">
        <v>1466.6666666666667</v>
      </c>
      <c r="AZ26" s="74">
        <v>1466.6666666666667</v>
      </c>
      <c r="BA26" s="74">
        <v>1466.6666666666667</v>
      </c>
      <c r="BB26" s="74">
        <v>1466.6666666666667</v>
      </c>
      <c r="BC26" s="74">
        <v>1466.6666666666667</v>
      </c>
      <c r="BD26" s="75"/>
      <c r="BE26" s="76">
        <f t="shared" si="1"/>
        <v>31040</v>
      </c>
      <c r="BF26" s="77">
        <f t="shared" si="2"/>
        <v>19008</v>
      </c>
      <c r="BG26" s="53"/>
      <c r="BH26" s="92">
        <f t="shared" si="7"/>
        <v>19008</v>
      </c>
      <c r="BI26" s="92">
        <f t="shared" si="8"/>
        <v>19840</v>
      </c>
    </row>
    <row r="27" spans="1:61" x14ac:dyDescent="0.35">
      <c r="B27" s="18" t="s">
        <v>43</v>
      </c>
      <c r="C27" s="17" t="s">
        <v>77</v>
      </c>
      <c r="D27" s="18" t="s">
        <v>33</v>
      </c>
      <c r="E27" s="18"/>
      <c r="F27" s="18"/>
      <c r="G27" s="22" t="s">
        <v>23</v>
      </c>
      <c r="H27" s="20">
        <f>35000+(35000*4%)</f>
        <v>36400</v>
      </c>
      <c r="I27" s="23">
        <v>0</v>
      </c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5"/>
      <c r="AA27" s="42">
        <f>$H$27/12</f>
        <v>3033.3333333333335</v>
      </c>
      <c r="AB27" s="42">
        <f t="shared" ref="AB27:AL27" si="29">$H$27/12</f>
        <v>3033.3333333333335</v>
      </c>
      <c r="AC27" s="42">
        <f t="shared" si="29"/>
        <v>3033.3333333333335</v>
      </c>
      <c r="AD27" s="42">
        <f t="shared" si="29"/>
        <v>3033.3333333333335</v>
      </c>
      <c r="AE27" s="42">
        <f t="shared" si="29"/>
        <v>3033.3333333333335</v>
      </c>
      <c r="AF27" s="42">
        <f t="shared" si="29"/>
        <v>3033.3333333333335</v>
      </c>
      <c r="AG27" s="42">
        <f t="shared" si="29"/>
        <v>3033.3333333333335</v>
      </c>
      <c r="AH27" s="42">
        <f t="shared" si="29"/>
        <v>3033.3333333333335</v>
      </c>
      <c r="AI27" s="42">
        <f t="shared" si="29"/>
        <v>3033.3333333333335</v>
      </c>
      <c r="AJ27" s="42">
        <f t="shared" si="29"/>
        <v>3033.3333333333335</v>
      </c>
      <c r="AK27" s="42">
        <f t="shared" si="29"/>
        <v>3033.3333333333335</v>
      </c>
      <c r="AL27" s="42">
        <f t="shared" si="29"/>
        <v>3033.3333333333335</v>
      </c>
      <c r="AM27" s="35"/>
      <c r="AN27" s="27">
        <v>0</v>
      </c>
      <c r="AO27" s="52">
        <f t="shared" si="4"/>
        <v>36400</v>
      </c>
      <c r="AP27" s="42">
        <f t="shared" si="5"/>
        <v>37856</v>
      </c>
      <c r="AQ27" s="15"/>
      <c r="AR27" s="43">
        <f t="shared" si="6"/>
        <v>970.66666666666663</v>
      </c>
      <c r="AS27" s="43">
        <v>933.33333333333337</v>
      </c>
      <c r="AT27" s="43">
        <v>933.33333333333337</v>
      </c>
      <c r="AU27" s="43">
        <v>933.33333333333337</v>
      </c>
      <c r="AV27" s="43">
        <v>933.33333333333337</v>
      </c>
      <c r="AW27" s="43">
        <v>933.33333333333337</v>
      </c>
      <c r="AX27" s="43">
        <v>933.33333333333337</v>
      </c>
      <c r="AY27" s="43">
        <v>933.33333333333337</v>
      </c>
      <c r="AZ27" s="43">
        <v>933.33333333333337</v>
      </c>
      <c r="BA27" s="43">
        <v>933.33333333333337</v>
      </c>
      <c r="BB27" s="43">
        <v>933.33333333333337</v>
      </c>
      <c r="BC27" s="43">
        <v>933.33333333333337</v>
      </c>
      <c r="BD27" s="39"/>
      <c r="BE27" s="40">
        <f t="shared" si="1"/>
        <v>0</v>
      </c>
      <c r="BF27" s="26">
        <f t="shared" si="2"/>
        <v>11648</v>
      </c>
      <c r="BG27" s="11"/>
      <c r="BH27" s="92">
        <f t="shared" si="7"/>
        <v>11648</v>
      </c>
      <c r="BI27" s="92">
        <f t="shared" si="8"/>
        <v>0</v>
      </c>
    </row>
    <row r="28" spans="1:61" x14ac:dyDescent="0.35">
      <c r="A28" t="s">
        <v>86</v>
      </c>
      <c r="B28" s="11" t="s">
        <v>43</v>
      </c>
      <c r="C28" s="12" t="s">
        <v>73</v>
      </c>
      <c r="D28" s="11" t="s">
        <v>39</v>
      </c>
      <c r="E28" s="11"/>
      <c r="F28" s="11"/>
      <c r="G28" s="19" t="s">
        <v>23</v>
      </c>
      <c r="H28" s="20">
        <f>39500+(39500*4%)</f>
        <v>41080</v>
      </c>
      <c r="I28" s="21">
        <v>0</v>
      </c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5"/>
      <c r="AA28" s="42">
        <f>$H$28/12</f>
        <v>3423.3333333333335</v>
      </c>
      <c r="AB28" s="42">
        <f t="shared" ref="AB28:AL28" si="30">$H$28/12</f>
        <v>3423.3333333333335</v>
      </c>
      <c r="AC28" s="42">
        <f t="shared" si="30"/>
        <v>3423.3333333333335</v>
      </c>
      <c r="AD28" s="42">
        <f t="shared" si="30"/>
        <v>3423.3333333333335</v>
      </c>
      <c r="AE28" s="42">
        <f t="shared" si="30"/>
        <v>3423.3333333333335</v>
      </c>
      <c r="AF28" s="42">
        <f t="shared" si="30"/>
        <v>3423.3333333333335</v>
      </c>
      <c r="AG28" s="42">
        <f t="shared" si="30"/>
        <v>3423.3333333333335</v>
      </c>
      <c r="AH28" s="42">
        <f t="shared" si="30"/>
        <v>3423.3333333333335</v>
      </c>
      <c r="AI28" s="42">
        <f t="shared" si="30"/>
        <v>3423.3333333333335</v>
      </c>
      <c r="AJ28" s="42">
        <f t="shared" si="30"/>
        <v>3423.3333333333335</v>
      </c>
      <c r="AK28" s="42">
        <f t="shared" si="30"/>
        <v>3423.3333333333335</v>
      </c>
      <c r="AL28" s="42">
        <f t="shared" si="30"/>
        <v>3423.3333333333335</v>
      </c>
      <c r="AM28" s="35"/>
      <c r="AN28" s="27">
        <v>39206.160000000003</v>
      </c>
      <c r="AO28" s="52">
        <f t="shared" si="4"/>
        <v>41080</v>
      </c>
      <c r="AP28" s="42">
        <f t="shared" si="5"/>
        <v>42723.199999999997</v>
      </c>
      <c r="AQ28" s="15"/>
      <c r="AR28" s="43">
        <f t="shared" si="6"/>
        <v>1095.4666666666667</v>
      </c>
      <c r="AS28" s="43">
        <v>1053.3333333333333</v>
      </c>
      <c r="AT28" s="43">
        <v>1053.3333333333333</v>
      </c>
      <c r="AU28" s="43">
        <v>1053.3333333333333</v>
      </c>
      <c r="AV28" s="43">
        <v>1053.3333333333333</v>
      </c>
      <c r="AW28" s="43">
        <v>1053.3333333333333</v>
      </c>
      <c r="AX28" s="43">
        <v>1053.3333333333333</v>
      </c>
      <c r="AY28" s="43">
        <v>1053.3333333333333</v>
      </c>
      <c r="AZ28" s="43">
        <v>1053.3333333333333</v>
      </c>
      <c r="BA28" s="43">
        <v>1053.3333333333333</v>
      </c>
      <c r="BB28" s="43">
        <v>1053.3333333333333</v>
      </c>
      <c r="BC28" s="43">
        <v>1053.3333333333333</v>
      </c>
      <c r="BD28" s="39"/>
      <c r="BE28" s="40">
        <f t="shared" si="1"/>
        <v>12545.971200000002</v>
      </c>
      <c r="BF28" s="26">
        <f t="shared" si="2"/>
        <v>13145.6</v>
      </c>
      <c r="BG28" s="11"/>
      <c r="BH28" s="92">
        <f t="shared" si="7"/>
        <v>13145.6</v>
      </c>
      <c r="BI28" s="92">
        <f t="shared" si="8"/>
        <v>12545.971200000002</v>
      </c>
    </row>
    <row r="29" spans="1:61" x14ac:dyDescent="0.35">
      <c r="B29" s="11" t="s">
        <v>43</v>
      </c>
      <c r="C29" s="12" t="s">
        <v>74</v>
      </c>
      <c r="D29" s="11" t="s">
        <v>35</v>
      </c>
      <c r="E29" s="11"/>
      <c r="F29" s="11"/>
      <c r="G29" s="19" t="s">
        <v>23</v>
      </c>
      <c r="H29" s="20">
        <f>36500+(36500*4%)</f>
        <v>37960</v>
      </c>
      <c r="I29" s="21">
        <v>0</v>
      </c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5"/>
      <c r="AA29" s="42">
        <f>$H$29/12</f>
        <v>3163.3333333333335</v>
      </c>
      <c r="AB29" s="42">
        <f t="shared" ref="AB29:AL29" si="31">$H$29/12</f>
        <v>3163.3333333333335</v>
      </c>
      <c r="AC29" s="42">
        <f t="shared" si="31"/>
        <v>3163.3333333333335</v>
      </c>
      <c r="AD29" s="42">
        <f t="shared" si="31"/>
        <v>3163.3333333333335</v>
      </c>
      <c r="AE29" s="42">
        <f t="shared" si="31"/>
        <v>3163.3333333333335</v>
      </c>
      <c r="AF29" s="42">
        <f t="shared" si="31"/>
        <v>3163.3333333333335</v>
      </c>
      <c r="AG29" s="42">
        <f t="shared" si="31"/>
        <v>3163.3333333333335</v>
      </c>
      <c r="AH29" s="42">
        <f t="shared" si="31"/>
        <v>3163.3333333333335</v>
      </c>
      <c r="AI29" s="42">
        <f t="shared" si="31"/>
        <v>3163.3333333333335</v>
      </c>
      <c r="AJ29" s="42">
        <f t="shared" si="31"/>
        <v>3163.3333333333335</v>
      </c>
      <c r="AK29" s="42">
        <f t="shared" si="31"/>
        <v>3163.3333333333335</v>
      </c>
      <c r="AL29" s="42">
        <f t="shared" si="31"/>
        <v>3163.3333333333335</v>
      </c>
      <c r="AM29" s="35"/>
      <c r="AN29" s="27">
        <v>36276.44</v>
      </c>
      <c r="AO29" s="52">
        <f t="shared" si="4"/>
        <v>37960</v>
      </c>
      <c r="AP29" s="42">
        <f t="shared" si="5"/>
        <v>39478.400000000001</v>
      </c>
      <c r="AQ29" s="15"/>
      <c r="AR29" s="43">
        <f t="shared" si="6"/>
        <v>1012.2666666666668</v>
      </c>
      <c r="AS29" s="43">
        <v>973.33333333333337</v>
      </c>
      <c r="AT29" s="43">
        <v>973.33333333333337</v>
      </c>
      <c r="AU29" s="43">
        <v>973.33333333333337</v>
      </c>
      <c r="AV29" s="43">
        <v>973.33333333333337</v>
      </c>
      <c r="AW29" s="43">
        <v>973.33333333333337</v>
      </c>
      <c r="AX29" s="43">
        <v>973.33333333333337</v>
      </c>
      <c r="AY29" s="43">
        <v>973.33333333333337</v>
      </c>
      <c r="AZ29" s="43">
        <v>973.33333333333337</v>
      </c>
      <c r="BA29" s="43">
        <v>973.33333333333337</v>
      </c>
      <c r="BB29" s="43">
        <v>973.33333333333337</v>
      </c>
      <c r="BC29" s="43">
        <v>973.33333333333337</v>
      </c>
      <c r="BD29" s="39"/>
      <c r="BE29" s="40">
        <f t="shared" si="1"/>
        <v>11608.460800000001</v>
      </c>
      <c r="BF29" s="26">
        <f t="shared" si="2"/>
        <v>12147.2</v>
      </c>
      <c r="BG29" s="11"/>
      <c r="BH29" s="92">
        <f t="shared" si="7"/>
        <v>12147.2</v>
      </c>
      <c r="BI29" s="92">
        <f t="shared" si="8"/>
        <v>11608.460800000001</v>
      </c>
    </row>
    <row r="30" spans="1:61" x14ac:dyDescent="0.35">
      <c r="A30" t="s">
        <v>86</v>
      </c>
      <c r="B30" s="11" t="s">
        <v>43</v>
      </c>
      <c r="C30" s="12" t="s">
        <v>75</v>
      </c>
      <c r="D30" s="11" t="s">
        <v>38</v>
      </c>
      <c r="E30" s="11"/>
      <c r="F30" s="11"/>
      <c r="G30" s="19" t="s">
        <v>23</v>
      </c>
      <c r="H30" s="20">
        <f>81100+81100*4%</f>
        <v>84344</v>
      </c>
      <c r="I30" s="21">
        <v>0</v>
      </c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5"/>
      <c r="AA30" s="42">
        <f>$H$30/12</f>
        <v>7028.666666666667</v>
      </c>
      <c r="AB30" s="42">
        <f t="shared" ref="AB30:AL30" si="32">$H$30/12</f>
        <v>7028.666666666667</v>
      </c>
      <c r="AC30" s="42">
        <f t="shared" si="32"/>
        <v>7028.666666666667</v>
      </c>
      <c r="AD30" s="42">
        <f t="shared" si="32"/>
        <v>7028.666666666667</v>
      </c>
      <c r="AE30" s="42">
        <f t="shared" si="32"/>
        <v>7028.666666666667</v>
      </c>
      <c r="AF30" s="42">
        <f t="shared" si="32"/>
        <v>7028.666666666667</v>
      </c>
      <c r="AG30" s="42">
        <f t="shared" si="32"/>
        <v>7028.666666666667</v>
      </c>
      <c r="AH30" s="42">
        <f t="shared" si="32"/>
        <v>7028.666666666667</v>
      </c>
      <c r="AI30" s="42">
        <f t="shared" si="32"/>
        <v>7028.666666666667</v>
      </c>
      <c r="AJ30" s="42">
        <f t="shared" si="32"/>
        <v>7028.666666666667</v>
      </c>
      <c r="AK30" s="42">
        <f t="shared" si="32"/>
        <v>7028.666666666667</v>
      </c>
      <c r="AL30" s="42">
        <f t="shared" si="32"/>
        <v>7028.666666666667</v>
      </c>
      <c r="AM30" s="35"/>
      <c r="AN30" s="27">
        <v>81050.600000000006</v>
      </c>
      <c r="AO30" s="52">
        <f t="shared" si="4"/>
        <v>84344</v>
      </c>
      <c r="AP30" s="42">
        <f t="shared" si="5"/>
        <v>87717.759999999995</v>
      </c>
      <c r="AQ30" s="15"/>
      <c r="AR30" s="43">
        <f t="shared" si="6"/>
        <v>2249.1733333333336</v>
      </c>
      <c r="AS30" s="43">
        <v>2162.6666666666665</v>
      </c>
      <c r="AT30" s="43">
        <v>2162.6666666666665</v>
      </c>
      <c r="AU30" s="43">
        <v>2162.6666666666665</v>
      </c>
      <c r="AV30" s="43">
        <v>2162.6666666666665</v>
      </c>
      <c r="AW30" s="43">
        <v>2162.6666666666665</v>
      </c>
      <c r="AX30" s="43">
        <v>2162.6666666666665</v>
      </c>
      <c r="AY30" s="43">
        <v>2162.6666666666665</v>
      </c>
      <c r="AZ30" s="43">
        <v>2162.6666666666665</v>
      </c>
      <c r="BA30" s="43">
        <v>2162.6666666666665</v>
      </c>
      <c r="BB30" s="43">
        <v>2162.6666666666665</v>
      </c>
      <c r="BC30" s="43">
        <v>2162.6666666666665</v>
      </c>
      <c r="BD30" s="39"/>
      <c r="BE30" s="40">
        <f t="shared" si="1"/>
        <v>25936.192000000003</v>
      </c>
      <c r="BF30" s="26">
        <f t="shared" si="2"/>
        <v>26990.080000000002</v>
      </c>
      <c r="BG30" s="11"/>
      <c r="BH30" s="92">
        <f t="shared" si="7"/>
        <v>19840</v>
      </c>
      <c r="BI30" s="92">
        <f t="shared" si="8"/>
        <v>19840</v>
      </c>
    </row>
    <row r="31" spans="1:61" x14ac:dyDescent="0.35">
      <c r="B31" s="11" t="s">
        <v>43</v>
      </c>
      <c r="C31" s="12" t="s">
        <v>76</v>
      </c>
      <c r="D31" s="11" t="s">
        <v>35</v>
      </c>
      <c r="E31" s="11"/>
      <c r="F31" s="11"/>
      <c r="G31" s="19" t="s">
        <v>23</v>
      </c>
      <c r="H31" s="20">
        <f>31000+(31000*4%)</f>
        <v>32240</v>
      </c>
      <c r="I31" s="21">
        <v>0</v>
      </c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5"/>
      <c r="AA31" s="42">
        <f>$H$31/12</f>
        <v>2686.6666666666665</v>
      </c>
      <c r="AB31" s="42">
        <f t="shared" ref="AB31:AL31" si="33">$H$31/12</f>
        <v>2686.6666666666665</v>
      </c>
      <c r="AC31" s="42">
        <f t="shared" si="33"/>
        <v>2686.6666666666665</v>
      </c>
      <c r="AD31" s="42">
        <f t="shared" si="33"/>
        <v>2686.6666666666665</v>
      </c>
      <c r="AE31" s="42">
        <f t="shared" si="33"/>
        <v>2686.6666666666665</v>
      </c>
      <c r="AF31" s="42">
        <f t="shared" si="33"/>
        <v>2686.6666666666665</v>
      </c>
      <c r="AG31" s="42">
        <f t="shared" si="33"/>
        <v>2686.6666666666665</v>
      </c>
      <c r="AH31" s="42">
        <f t="shared" si="33"/>
        <v>2686.6666666666665</v>
      </c>
      <c r="AI31" s="42">
        <f t="shared" si="33"/>
        <v>2686.6666666666665</v>
      </c>
      <c r="AJ31" s="42">
        <f t="shared" si="33"/>
        <v>2686.6666666666665</v>
      </c>
      <c r="AK31" s="42">
        <f t="shared" si="33"/>
        <v>2686.6666666666665</v>
      </c>
      <c r="AL31" s="42">
        <f t="shared" si="33"/>
        <v>2686.6666666666665</v>
      </c>
      <c r="AM31" s="35"/>
      <c r="AN31" s="27">
        <v>16921.27</v>
      </c>
      <c r="AO31" s="52">
        <f t="shared" si="4"/>
        <v>32240</v>
      </c>
      <c r="AP31" s="42">
        <f t="shared" si="5"/>
        <v>33529.599999999999</v>
      </c>
      <c r="AQ31" s="15"/>
      <c r="AR31" s="43">
        <f t="shared" si="6"/>
        <v>859.73333333333346</v>
      </c>
      <c r="AS31" s="43">
        <v>826.66666666666663</v>
      </c>
      <c r="AT31" s="43">
        <v>826.66666666666663</v>
      </c>
      <c r="AU31" s="43">
        <v>826.66666666666663</v>
      </c>
      <c r="AV31" s="43">
        <v>826.66666666666663</v>
      </c>
      <c r="AW31" s="43">
        <v>826.66666666666663</v>
      </c>
      <c r="AX31" s="43">
        <v>826.66666666666663</v>
      </c>
      <c r="AY31" s="43">
        <v>826.66666666666663</v>
      </c>
      <c r="AZ31" s="43">
        <v>826.66666666666663</v>
      </c>
      <c r="BA31" s="43">
        <v>826.66666666666663</v>
      </c>
      <c r="BB31" s="43">
        <v>826.66666666666663</v>
      </c>
      <c r="BC31" s="43">
        <v>826.66666666666663</v>
      </c>
      <c r="BD31" s="39"/>
      <c r="BE31" s="40">
        <f t="shared" si="1"/>
        <v>5414.8064000000004</v>
      </c>
      <c r="BF31" s="26">
        <f t="shared" si="2"/>
        <v>10316.800000000001</v>
      </c>
      <c r="BG31" s="11"/>
      <c r="BH31" s="92">
        <f t="shared" si="7"/>
        <v>10316.800000000001</v>
      </c>
      <c r="BI31" s="92">
        <f t="shared" si="8"/>
        <v>5414.8064000000004</v>
      </c>
    </row>
    <row r="32" spans="1:61" ht="16" x14ac:dyDescent="0.35">
      <c r="B32" s="11" t="s">
        <v>43</v>
      </c>
      <c r="C32" s="16" t="s">
        <v>78</v>
      </c>
      <c r="D32" s="11" t="s">
        <v>30</v>
      </c>
      <c r="E32" s="11"/>
      <c r="F32" s="11"/>
      <c r="G32" s="19" t="s">
        <v>23</v>
      </c>
      <c r="H32" s="24">
        <f>22500+(22500*4%)</f>
        <v>23400</v>
      </c>
      <c r="I32" s="21">
        <v>0</v>
      </c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5"/>
      <c r="AA32" s="42">
        <f>$H$32/12</f>
        <v>1950</v>
      </c>
      <c r="AB32" s="42">
        <f t="shared" ref="AB32:AL32" si="34">$H$32/12</f>
        <v>1950</v>
      </c>
      <c r="AC32" s="42">
        <f t="shared" si="34"/>
        <v>1950</v>
      </c>
      <c r="AD32" s="42">
        <f t="shared" si="34"/>
        <v>1950</v>
      </c>
      <c r="AE32" s="42">
        <f t="shared" si="34"/>
        <v>1950</v>
      </c>
      <c r="AF32" s="42">
        <f t="shared" si="34"/>
        <v>1950</v>
      </c>
      <c r="AG32" s="42">
        <f t="shared" si="34"/>
        <v>1950</v>
      </c>
      <c r="AH32" s="42">
        <f t="shared" si="34"/>
        <v>1950</v>
      </c>
      <c r="AI32" s="42">
        <f t="shared" si="34"/>
        <v>1950</v>
      </c>
      <c r="AJ32" s="42">
        <f t="shared" si="34"/>
        <v>1950</v>
      </c>
      <c r="AK32" s="42">
        <f t="shared" si="34"/>
        <v>1950</v>
      </c>
      <c r="AL32" s="42">
        <f t="shared" si="34"/>
        <v>1950</v>
      </c>
      <c r="AM32" s="35"/>
      <c r="AN32" s="36">
        <v>9375</v>
      </c>
      <c r="AO32" s="52">
        <f t="shared" si="4"/>
        <v>23400</v>
      </c>
      <c r="AP32" s="42">
        <f t="shared" si="5"/>
        <v>24336</v>
      </c>
      <c r="AQ32" s="15"/>
      <c r="AR32" s="43">
        <f t="shared" si="6"/>
        <v>624</v>
      </c>
      <c r="AS32" s="43">
        <v>600</v>
      </c>
      <c r="AT32" s="43">
        <v>600</v>
      </c>
      <c r="AU32" s="43">
        <v>600</v>
      </c>
      <c r="AV32" s="43">
        <v>600</v>
      </c>
      <c r="AW32" s="43">
        <v>600</v>
      </c>
      <c r="AX32" s="43">
        <v>600</v>
      </c>
      <c r="AY32" s="43">
        <v>600</v>
      </c>
      <c r="AZ32" s="43">
        <v>600</v>
      </c>
      <c r="BA32" s="43">
        <v>600</v>
      </c>
      <c r="BB32" s="43">
        <v>600</v>
      </c>
      <c r="BC32" s="43">
        <v>600</v>
      </c>
      <c r="BD32" s="39"/>
      <c r="BE32" s="40">
        <f t="shared" si="1"/>
        <v>3000</v>
      </c>
      <c r="BF32" s="26">
        <f t="shared" si="2"/>
        <v>7488</v>
      </c>
      <c r="BG32" s="11"/>
      <c r="BH32" s="92">
        <f t="shared" si="7"/>
        <v>7488</v>
      </c>
      <c r="BI32" s="92">
        <f t="shared" si="8"/>
        <v>3000</v>
      </c>
    </row>
    <row r="33" spans="1:61" ht="16" x14ac:dyDescent="0.35">
      <c r="A33" t="s">
        <v>86</v>
      </c>
      <c r="B33" s="11" t="s">
        <v>43</v>
      </c>
      <c r="C33" s="16" t="s">
        <v>79</v>
      </c>
      <c r="D33" s="11" t="s">
        <v>35</v>
      </c>
      <c r="E33" s="11"/>
      <c r="F33" s="11"/>
      <c r="G33" s="19" t="s">
        <v>23</v>
      </c>
      <c r="H33" s="24">
        <f>35000+(35000*4%)</f>
        <v>36400</v>
      </c>
      <c r="I33" s="21">
        <v>0</v>
      </c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5"/>
      <c r="AA33" s="42">
        <f>$H$33/12</f>
        <v>3033.3333333333335</v>
      </c>
      <c r="AB33" s="42">
        <f t="shared" ref="AB33:AL33" si="35">$H$33/12</f>
        <v>3033.3333333333335</v>
      </c>
      <c r="AC33" s="42">
        <f t="shared" si="35"/>
        <v>3033.3333333333335</v>
      </c>
      <c r="AD33" s="42">
        <f t="shared" si="35"/>
        <v>3033.3333333333335</v>
      </c>
      <c r="AE33" s="42">
        <f t="shared" si="35"/>
        <v>3033.3333333333335</v>
      </c>
      <c r="AF33" s="42">
        <f t="shared" si="35"/>
        <v>3033.3333333333335</v>
      </c>
      <c r="AG33" s="42">
        <f t="shared" si="35"/>
        <v>3033.3333333333335</v>
      </c>
      <c r="AH33" s="42">
        <f t="shared" si="35"/>
        <v>3033.3333333333335</v>
      </c>
      <c r="AI33" s="42">
        <f t="shared" si="35"/>
        <v>3033.3333333333335</v>
      </c>
      <c r="AJ33" s="42">
        <f t="shared" si="35"/>
        <v>3033.3333333333335</v>
      </c>
      <c r="AK33" s="42">
        <f t="shared" si="35"/>
        <v>3033.3333333333335</v>
      </c>
      <c r="AL33" s="42">
        <f t="shared" si="35"/>
        <v>3033.3333333333335</v>
      </c>
      <c r="AM33" s="35"/>
      <c r="AN33" s="36">
        <v>14583.35</v>
      </c>
      <c r="AO33" s="52">
        <f t="shared" si="4"/>
        <v>36400</v>
      </c>
      <c r="AP33" s="42">
        <f t="shared" si="5"/>
        <v>37856</v>
      </c>
      <c r="AQ33" s="15"/>
      <c r="AR33" s="43">
        <f t="shared" si="6"/>
        <v>970.66666666666663</v>
      </c>
      <c r="AS33" s="43">
        <v>933.33333333333337</v>
      </c>
      <c r="AT33" s="43">
        <v>933.33333333333337</v>
      </c>
      <c r="AU33" s="43">
        <v>933.33333333333337</v>
      </c>
      <c r="AV33" s="43">
        <v>933.33333333333337</v>
      </c>
      <c r="AW33" s="43">
        <v>933.33333333333337</v>
      </c>
      <c r="AX33" s="43">
        <v>933.33333333333337</v>
      </c>
      <c r="AY33" s="43">
        <v>933.33333333333337</v>
      </c>
      <c r="AZ33" s="43">
        <v>933.33333333333337</v>
      </c>
      <c r="BA33" s="43">
        <v>933.33333333333337</v>
      </c>
      <c r="BB33" s="43">
        <v>933.33333333333337</v>
      </c>
      <c r="BC33" s="43">
        <v>933.33333333333337</v>
      </c>
      <c r="BD33" s="39"/>
      <c r="BE33" s="40">
        <f t="shared" si="1"/>
        <v>4666.6720000000005</v>
      </c>
      <c r="BF33" s="26">
        <f t="shared" si="2"/>
        <v>11648</v>
      </c>
      <c r="BG33" s="11"/>
      <c r="BH33" s="92">
        <f t="shared" si="7"/>
        <v>11648</v>
      </c>
      <c r="BI33" s="92">
        <f t="shared" si="8"/>
        <v>4666.6720000000005</v>
      </c>
    </row>
    <row r="34" spans="1:61" ht="16" x14ac:dyDescent="0.35">
      <c r="A34" t="s">
        <v>86</v>
      </c>
      <c r="B34" s="11" t="s">
        <v>43</v>
      </c>
      <c r="C34" s="16" t="s">
        <v>80</v>
      </c>
      <c r="D34" s="11" t="s">
        <v>31</v>
      </c>
      <c r="E34" s="11"/>
      <c r="F34" s="11"/>
      <c r="G34" s="19" t="s">
        <v>23</v>
      </c>
      <c r="H34" s="24">
        <f>35000+(35000*4%)</f>
        <v>36400</v>
      </c>
      <c r="I34" s="21">
        <v>0</v>
      </c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5"/>
      <c r="AA34" s="42">
        <f>$H$34/12</f>
        <v>3033.3333333333335</v>
      </c>
      <c r="AB34" s="42">
        <f t="shared" ref="AB34:AL34" si="36">$H$34/12</f>
        <v>3033.3333333333335</v>
      </c>
      <c r="AC34" s="42">
        <f t="shared" si="36"/>
        <v>3033.3333333333335</v>
      </c>
      <c r="AD34" s="42">
        <f t="shared" si="36"/>
        <v>3033.3333333333335</v>
      </c>
      <c r="AE34" s="42">
        <f t="shared" si="36"/>
        <v>3033.3333333333335</v>
      </c>
      <c r="AF34" s="42">
        <f t="shared" si="36"/>
        <v>3033.3333333333335</v>
      </c>
      <c r="AG34" s="42">
        <f t="shared" si="36"/>
        <v>3033.3333333333335</v>
      </c>
      <c r="AH34" s="42">
        <f t="shared" si="36"/>
        <v>3033.3333333333335</v>
      </c>
      <c r="AI34" s="42">
        <f t="shared" si="36"/>
        <v>3033.3333333333335</v>
      </c>
      <c r="AJ34" s="42">
        <f t="shared" si="36"/>
        <v>3033.3333333333335</v>
      </c>
      <c r="AK34" s="42">
        <f t="shared" si="36"/>
        <v>3033.3333333333335</v>
      </c>
      <c r="AL34" s="42">
        <f t="shared" si="36"/>
        <v>3033.3333333333335</v>
      </c>
      <c r="AM34" s="35"/>
      <c r="AN34" s="36">
        <v>14583.35</v>
      </c>
      <c r="AO34" s="52">
        <f t="shared" si="4"/>
        <v>36400</v>
      </c>
      <c r="AP34" s="42">
        <f t="shared" si="5"/>
        <v>37856</v>
      </c>
      <c r="AQ34" s="15"/>
      <c r="AR34" s="43">
        <f t="shared" si="6"/>
        <v>970.66666666666663</v>
      </c>
      <c r="AS34" s="43">
        <v>933.33333333333337</v>
      </c>
      <c r="AT34" s="43">
        <v>933.33333333333337</v>
      </c>
      <c r="AU34" s="43">
        <v>933.33333333333337</v>
      </c>
      <c r="AV34" s="43">
        <v>933.33333333333337</v>
      </c>
      <c r="AW34" s="43">
        <v>933.33333333333337</v>
      </c>
      <c r="AX34" s="43">
        <v>933.33333333333337</v>
      </c>
      <c r="AY34" s="43">
        <v>933.33333333333337</v>
      </c>
      <c r="AZ34" s="43">
        <v>933.33333333333337</v>
      </c>
      <c r="BA34" s="43">
        <v>933.33333333333337</v>
      </c>
      <c r="BB34" s="43">
        <v>933.33333333333337</v>
      </c>
      <c r="BC34" s="43">
        <v>933.33333333333337</v>
      </c>
      <c r="BD34" s="39"/>
      <c r="BE34" s="40">
        <f t="shared" si="1"/>
        <v>4666.6720000000005</v>
      </c>
      <c r="BF34" s="26">
        <f t="shared" si="2"/>
        <v>11648</v>
      </c>
      <c r="BG34" s="11"/>
      <c r="BH34" s="92">
        <f t="shared" si="7"/>
        <v>11648</v>
      </c>
      <c r="BI34" s="92">
        <f t="shared" si="8"/>
        <v>4666.6720000000005</v>
      </c>
    </row>
    <row r="35" spans="1:61" ht="16" x14ac:dyDescent="0.35">
      <c r="A35" t="s">
        <v>86</v>
      </c>
      <c r="B35" s="11" t="s">
        <v>43</v>
      </c>
      <c r="C35" s="16" t="s">
        <v>81</v>
      </c>
      <c r="D35" s="11" t="s">
        <v>41</v>
      </c>
      <c r="E35" s="11"/>
      <c r="F35" s="11"/>
      <c r="G35" s="19" t="s">
        <v>23</v>
      </c>
      <c r="H35" s="24">
        <f>40000+(40000*4%)</f>
        <v>41600</v>
      </c>
      <c r="I35" s="21">
        <v>0</v>
      </c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5"/>
      <c r="AA35" s="42">
        <f>$H$35/12</f>
        <v>3466.6666666666665</v>
      </c>
      <c r="AB35" s="42">
        <f t="shared" ref="AB35:AL35" si="37">$H$35/12</f>
        <v>3466.6666666666665</v>
      </c>
      <c r="AC35" s="42">
        <f t="shared" si="37"/>
        <v>3466.6666666666665</v>
      </c>
      <c r="AD35" s="42">
        <f t="shared" si="37"/>
        <v>3466.6666666666665</v>
      </c>
      <c r="AE35" s="42">
        <f t="shared" si="37"/>
        <v>3466.6666666666665</v>
      </c>
      <c r="AF35" s="42">
        <f t="shared" si="37"/>
        <v>3466.6666666666665</v>
      </c>
      <c r="AG35" s="42">
        <f t="shared" si="37"/>
        <v>3466.6666666666665</v>
      </c>
      <c r="AH35" s="42">
        <f t="shared" si="37"/>
        <v>3466.6666666666665</v>
      </c>
      <c r="AI35" s="42">
        <f t="shared" si="37"/>
        <v>3466.6666666666665</v>
      </c>
      <c r="AJ35" s="42">
        <f t="shared" si="37"/>
        <v>3466.6666666666665</v>
      </c>
      <c r="AK35" s="42">
        <f t="shared" si="37"/>
        <v>3466.6666666666665</v>
      </c>
      <c r="AL35" s="42">
        <f t="shared" si="37"/>
        <v>3466.6666666666665</v>
      </c>
      <c r="AM35" s="35"/>
      <c r="AN35" s="36">
        <v>16666.669999999998</v>
      </c>
      <c r="AO35" s="52">
        <f t="shared" si="4"/>
        <v>41600</v>
      </c>
      <c r="AP35" s="42">
        <f t="shared" si="5"/>
        <v>43264</v>
      </c>
      <c r="AQ35" s="15"/>
      <c r="AR35" s="43">
        <f t="shared" si="6"/>
        <v>1109.3333333333333</v>
      </c>
      <c r="AS35" s="43">
        <v>1066.6666666666667</v>
      </c>
      <c r="AT35" s="43">
        <v>1066.6666666666667</v>
      </c>
      <c r="AU35" s="43">
        <v>1066.6666666666667</v>
      </c>
      <c r="AV35" s="43">
        <v>1066.6666666666667</v>
      </c>
      <c r="AW35" s="43">
        <v>1066.6666666666667</v>
      </c>
      <c r="AX35" s="43">
        <v>1066.6666666666667</v>
      </c>
      <c r="AY35" s="43">
        <v>1066.6666666666667</v>
      </c>
      <c r="AZ35" s="43">
        <v>1066.6666666666667</v>
      </c>
      <c r="BA35" s="43">
        <v>1066.6666666666667</v>
      </c>
      <c r="BB35" s="43">
        <v>1066.6666666666667</v>
      </c>
      <c r="BC35" s="43">
        <v>1066.6666666666667</v>
      </c>
      <c r="BD35" s="39"/>
      <c r="BE35" s="40">
        <f t="shared" si="1"/>
        <v>5333.3343999999997</v>
      </c>
      <c r="BF35" s="26">
        <f t="shared" si="2"/>
        <v>13312</v>
      </c>
      <c r="BG35" s="11"/>
      <c r="BH35" s="92">
        <f t="shared" si="7"/>
        <v>13312</v>
      </c>
      <c r="BI35" s="92">
        <f t="shared" si="8"/>
        <v>5333.3343999999997</v>
      </c>
    </row>
    <row r="36" spans="1:61" x14ac:dyDescent="0.35">
      <c r="B36" s="18" t="s">
        <v>43</v>
      </c>
      <c r="C36" s="18" t="s">
        <v>82</v>
      </c>
      <c r="D36" s="11" t="s">
        <v>38</v>
      </c>
      <c r="E36" s="11"/>
      <c r="F36" s="11"/>
      <c r="G36" s="19" t="s">
        <v>23</v>
      </c>
      <c r="H36" s="21">
        <f>24000+(24000*4%)</f>
        <v>24960</v>
      </c>
      <c r="I36" s="25">
        <v>0</v>
      </c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5"/>
      <c r="AA36" s="42">
        <f>$H$36/12</f>
        <v>2080</v>
      </c>
      <c r="AB36" s="42">
        <f t="shared" ref="AB36:AL36" si="38">$H$36/12</f>
        <v>2080</v>
      </c>
      <c r="AC36" s="42">
        <f t="shared" si="38"/>
        <v>2080</v>
      </c>
      <c r="AD36" s="42">
        <f t="shared" si="38"/>
        <v>2080</v>
      </c>
      <c r="AE36" s="42">
        <f t="shared" si="38"/>
        <v>2080</v>
      </c>
      <c r="AF36" s="42">
        <f t="shared" si="38"/>
        <v>2080</v>
      </c>
      <c r="AG36" s="42">
        <f t="shared" si="38"/>
        <v>2080</v>
      </c>
      <c r="AH36" s="42">
        <f t="shared" si="38"/>
        <v>2080</v>
      </c>
      <c r="AI36" s="42">
        <f t="shared" si="38"/>
        <v>2080</v>
      </c>
      <c r="AJ36" s="42">
        <f t="shared" si="38"/>
        <v>2080</v>
      </c>
      <c r="AK36" s="42">
        <f t="shared" si="38"/>
        <v>2080</v>
      </c>
      <c r="AL36" s="42">
        <f t="shared" si="38"/>
        <v>2080</v>
      </c>
      <c r="AM36" s="35"/>
      <c r="AN36" s="27">
        <v>0</v>
      </c>
      <c r="AO36" s="52">
        <f t="shared" si="4"/>
        <v>24960</v>
      </c>
      <c r="AP36" s="42">
        <f t="shared" si="5"/>
        <v>25958.400000000001</v>
      </c>
      <c r="AQ36" s="15"/>
      <c r="AR36" s="43">
        <f t="shared" si="6"/>
        <v>665.6</v>
      </c>
      <c r="AS36" s="43">
        <v>640</v>
      </c>
      <c r="AT36" s="43">
        <v>640</v>
      </c>
      <c r="AU36" s="43">
        <v>640</v>
      </c>
      <c r="AV36" s="43">
        <v>640</v>
      </c>
      <c r="AW36" s="43">
        <v>640</v>
      </c>
      <c r="AX36" s="43">
        <v>640</v>
      </c>
      <c r="AY36" s="43">
        <v>640</v>
      </c>
      <c r="AZ36" s="43">
        <v>640</v>
      </c>
      <c r="BA36" s="43">
        <v>640</v>
      </c>
      <c r="BB36" s="43">
        <v>640</v>
      </c>
      <c r="BC36" s="43">
        <v>640</v>
      </c>
      <c r="BD36" s="39"/>
      <c r="BE36" s="40">
        <f t="shared" si="1"/>
        <v>0</v>
      </c>
      <c r="BF36" s="26">
        <f t="shared" si="2"/>
        <v>7987.2</v>
      </c>
      <c r="BG36" s="11"/>
      <c r="BH36" s="92">
        <f t="shared" si="7"/>
        <v>7987.2</v>
      </c>
      <c r="BI36" s="92">
        <f t="shared" si="8"/>
        <v>0</v>
      </c>
    </row>
    <row r="37" spans="1:61" x14ac:dyDescent="0.35">
      <c r="B37" s="18" t="s">
        <v>43</v>
      </c>
      <c r="C37" s="18" t="s">
        <v>83</v>
      </c>
      <c r="D37" s="11" t="s">
        <v>31</v>
      </c>
      <c r="E37" s="11"/>
      <c r="F37" s="11"/>
      <c r="G37" s="19" t="s">
        <v>23</v>
      </c>
      <c r="H37" s="21">
        <f>35000+(35000*4%)</f>
        <v>36400</v>
      </c>
      <c r="I37" s="21">
        <v>0</v>
      </c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5"/>
      <c r="AA37" s="42">
        <f>$H$37/12</f>
        <v>3033.3333333333335</v>
      </c>
      <c r="AB37" s="42">
        <f t="shared" ref="AB37:AL37" si="39">$H$37/12</f>
        <v>3033.3333333333335</v>
      </c>
      <c r="AC37" s="42">
        <f t="shared" si="39"/>
        <v>3033.3333333333335</v>
      </c>
      <c r="AD37" s="42">
        <f t="shared" si="39"/>
        <v>3033.3333333333335</v>
      </c>
      <c r="AE37" s="42">
        <f t="shared" si="39"/>
        <v>3033.3333333333335</v>
      </c>
      <c r="AF37" s="42">
        <f t="shared" si="39"/>
        <v>3033.3333333333335</v>
      </c>
      <c r="AG37" s="42">
        <f t="shared" si="39"/>
        <v>3033.3333333333335</v>
      </c>
      <c r="AH37" s="42">
        <f t="shared" si="39"/>
        <v>3033.3333333333335</v>
      </c>
      <c r="AI37" s="42">
        <f t="shared" si="39"/>
        <v>3033.3333333333335</v>
      </c>
      <c r="AJ37" s="42">
        <f t="shared" si="39"/>
        <v>3033.3333333333335</v>
      </c>
      <c r="AK37" s="42">
        <f t="shared" si="39"/>
        <v>3033.3333333333335</v>
      </c>
      <c r="AL37" s="42">
        <f t="shared" si="39"/>
        <v>3033.3333333333335</v>
      </c>
      <c r="AM37" s="35"/>
      <c r="AN37" s="27">
        <v>0</v>
      </c>
      <c r="AO37" s="52">
        <f t="shared" si="4"/>
        <v>36400</v>
      </c>
      <c r="AP37" s="42">
        <f t="shared" si="5"/>
        <v>37856</v>
      </c>
      <c r="AQ37" s="15"/>
      <c r="AR37" s="43">
        <f t="shared" si="6"/>
        <v>970.66666666666663</v>
      </c>
      <c r="AS37" s="43">
        <v>933.33333333333337</v>
      </c>
      <c r="AT37" s="43">
        <v>933.33333333333337</v>
      </c>
      <c r="AU37" s="43">
        <v>933.33333333333337</v>
      </c>
      <c r="AV37" s="43">
        <v>933.33333333333337</v>
      </c>
      <c r="AW37" s="43">
        <v>933.33333333333337</v>
      </c>
      <c r="AX37" s="43">
        <v>933.33333333333337</v>
      </c>
      <c r="AY37" s="43">
        <v>933.33333333333337</v>
      </c>
      <c r="AZ37" s="43">
        <v>933.33333333333337</v>
      </c>
      <c r="BA37" s="43">
        <v>933.33333333333337</v>
      </c>
      <c r="BB37" s="43">
        <v>933.33333333333337</v>
      </c>
      <c r="BC37" s="43">
        <v>933.33333333333337</v>
      </c>
      <c r="BD37" s="39"/>
      <c r="BE37" s="40">
        <f t="shared" si="1"/>
        <v>0</v>
      </c>
      <c r="BF37" s="26">
        <f t="shared" si="2"/>
        <v>11648</v>
      </c>
      <c r="BG37" s="11"/>
      <c r="BH37" s="92">
        <f t="shared" si="7"/>
        <v>11648</v>
      </c>
      <c r="BI37" s="92">
        <f t="shared" si="8"/>
        <v>0</v>
      </c>
    </row>
    <row r="38" spans="1:61" x14ac:dyDescent="0.35">
      <c r="B38" s="49"/>
      <c r="C38" s="50" t="s">
        <v>87</v>
      </c>
      <c r="D38" s="11"/>
      <c r="E38" s="11"/>
      <c r="F38" s="11"/>
      <c r="G38" s="19" t="s">
        <v>23</v>
      </c>
      <c r="H38" s="21">
        <v>0</v>
      </c>
      <c r="I38" s="21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5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35"/>
      <c r="AN38" s="59">
        <v>16861.46</v>
      </c>
      <c r="AO38" s="41"/>
      <c r="AP38" s="42"/>
      <c r="AQ38" s="15"/>
      <c r="AR38" s="43">
        <f t="shared" si="6"/>
        <v>49602.026666666665</v>
      </c>
      <c r="AS38" s="43"/>
      <c r="AT38" s="43"/>
      <c r="AU38" s="43"/>
      <c r="AV38" s="43"/>
      <c r="AW38" s="43"/>
      <c r="AX38" s="43"/>
      <c r="AY38" s="43"/>
      <c r="AZ38" s="43"/>
      <c r="BA38" s="43"/>
      <c r="BB38" s="43"/>
      <c r="BC38" s="43"/>
      <c r="BE38" s="40">
        <f t="shared" si="1"/>
        <v>5395.6671999999999</v>
      </c>
      <c r="BF38" s="48">
        <f>SUM(BF6:BF37)</f>
        <v>595224.31999999995</v>
      </c>
      <c r="BG38" s="11"/>
      <c r="BH38" s="92">
        <f>SUM(BH6:BH37)</f>
        <v>420033.6</v>
      </c>
      <c r="BI38" s="92">
        <f>SUM(BI6:BI37)</f>
        <v>334112.40640000004</v>
      </c>
    </row>
    <row r="39" spans="1:61" x14ac:dyDescent="0.35">
      <c r="B39" s="49"/>
      <c r="C39" s="50" t="s">
        <v>88</v>
      </c>
      <c r="D39" s="11" t="s">
        <v>35</v>
      </c>
      <c r="E39" s="11"/>
      <c r="F39" s="11"/>
      <c r="G39" s="19" t="s">
        <v>23</v>
      </c>
      <c r="H39" s="21">
        <v>0</v>
      </c>
      <c r="I39" s="21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5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35"/>
      <c r="AN39" s="59">
        <v>16666.46</v>
      </c>
      <c r="AO39" s="41"/>
      <c r="AP39" s="42"/>
      <c r="AQ39" s="15"/>
      <c r="AR39" s="43"/>
      <c r="AS39" s="43"/>
      <c r="AT39" s="43"/>
      <c r="AU39" s="43"/>
      <c r="AV39" s="43"/>
      <c r="AW39" s="43"/>
      <c r="AX39" s="43"/>
      <c r="AY39" s="43"/>
      <c r="AZ39" s="43"/>
      <c r="BA39" s="43"/>
      <c r="BB39" s="43"/>
      <c r="BC39" s="43"/>
      <c r="BE39" s="40">
        <f t="shared" si="1"/>
        <v>5333.2672000000002</v>
      </c>
      <c r="BF39" s="48"/>
      <c r="BG39" s="11"/>
    </row>
    <row r="40" spans="1:61" x14ac:dyDescent="0.35">
      <c r="B40" s="49"/>
      <c r="C40" s="50" t="s">
        <v>89</v>
      </c>
      <c r="D40" s="11" t="s">
        <v>35</v>
      </c>
      <c r="E40" s="11"/>
      <c r="F40" s="11"/>
      <c r="G40" s="19" t="s">
        <v>23</v>
      </c>
      <c r="H40" s="21">
        <v>0</v>
      </c>
      <c r="I40" s="21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5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35"/>
      <c r="AN40" s="59">
        <v>20978.06</v>
      </c>
      <c r="AO40" s="41"/>
      <c r="AP40" s="42"/>
      <c r="AQ40" s="15"/>
      <c r="AR40" s="43"/>
      <c r="AS40" s="43"/>
      <c r="AT40" s="43"/>
      <c r="AU40" s="43"/>
      <c r="AV40" s="43"/>
      <c r="AW40" s="43"/>
      <c r="AX40" s="43"/>
      <c r="AY40" s="43"/>
      <c r="AZ40" s="43"/>
      <c r="BA40" s="43"/>
      <c r="BB40" s="43"/>
      <c r="BC40" s="43"/>
      <c r="BE40" s="40">
        <f t="shared" si="1"/>
        <v>6712.9792000000007</v>
      </c>
      <c r="BF40" s="48"/>
      <c r="BG40" s="11"/>
    </row>
    <row r="41" spans="1:61" x14ac:dyDescent="0.35">
      <c r="B41" s="49"/>
      <c r="C41" s="50" t="s">
        <v>90</v>
      </c>
      <c r="D41" s="11" t="s">
        <v>31</v>
      </c>
      <c r="E41" s="11"/>
      <c r="F41" s="11"/>
      <c r="G41" s="19" t="s">
        <v>23</v>
      </c>
      <c r="H41" s="21">
        <v>0</v>
      </c>
      <c r="I41" s="21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5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35"/>
      <c r="AN41" s="59">
        <v>23164.36</v>
      </c>
      <c r="AO41" s="41"/>
      <c r="AP41" s="42"/>
      <c r="AQ41" s="15"/>
      <c r="AR41" s="43"/>
      <c r="AS41" s="43"/>
      <c r="AT41" s="43"/>
      <c r="AU41" s="43"/>
      <c r="AV41" s="43"/>
      <c r="AW41" s="43"/>
      <c r="AX41" s="43"/>
      <c r="AY41" s="43"/>
      <c r="AZ41" s="43"/>
      <c r="BA41" s="43"/>
      <c r="BB41" s="43"/>
      <c r="BC41" s="43"/>
      <c r="BE41" s="40">
        <f t="shared" si="1"/>
        <v>7412.5952000000007</v>
      </c>
      <c r="BF41" s="48"/>
      <c r="BG41" s="11"/>
    </row>
    <row r="42" spans="1:61" ht="20" x14ac:dyDescent="0.35">
      <c r="B42" s="11"/>
      <c r="C42" s="11"/>
      <c r="D42" s="11"/>
      <c r="E42" s="11"/>
      <c r="F42" s="11"/>
      <c r="G42" s="11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5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27"/>
      <c r="AN42" s="66">
        <f>SUM(AN6:AN37)</f>
        <v>1644297.8699999999</v>
      </c>
      <c r="AO42" s="67">
        <f>SUM(AO6:AO37)</f>
        <v>1860076</v>
      </c>
      <c r="AP42" s="11"/>
      <c r="AQ42" s="15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E42" s="37">
        <f>SUM(BE6:BE37)</f>
        <v>526175.31839999999</v>
      </c>
      <c r="BF42" s="38">
        <f>SUM(BF6:BF41)</f>
        <v>1190448.6399999999</v>
      </c>
      <c r="BG42" s="11"/>
    </row>
    <row r="43" spans="1:61" x14ac:dyDescent="0.35">
      <c r="B43" s="11"/>
      <c r="C43" s="11"/>
      <c r="D43" s="11"/>
      <c r="E43" s="11"/>
      <c r="F43" s="11"/>
      <c r="G43" s="11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5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27"/>
      <c r="AN43" s="11"/>
      <c r="AO43" s="11"/>
      <c r="AP43" s="11"/>
      <c r="AQ43" s="15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33"/>
      <c r="BE43" s="11"/>
      <c r="BF43" s="11"/>
      <c r="BG43" s="11"/>
    </row>
    <row r="44" spans="1:61" ht="14" customHeight="1" x14ac:dyDescent="0.35">
      <c r="B44" s="11"/>
      <c r="C44" s="11"/>
      <c r="D44" s="11"/>
      <c r="E44" s="11"/>
      <c r="F44" s="11"/>
      <c r="G44" s="11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5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27"/>
      <c r="AN44" s="11"/>
      <c r="AO44" s="11"/>
      <c r="AP44" s="11"/>
      <c r="AQ44" s="15"/>
      <c r="AR44" s="11"/>
      <c r="AS44" s="107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33"/>
      <c r="BE44" s="11"/>
      <c r="BF44" s="11"/>
      <c r="BG44" s="11"/>
    </row>
    <row r="45" spans="1:61" s="91" customFormat="1" ht="23" x14ac:dyDescent="0.35">
      <c r="B45" s="97"/>
      <c r="C45" s="97"/>
      <c r="D45" s="97"/>
      <c r="E45" s="97"/>
      <c r="F45" s="97"/>
      <c r="G45" s="97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AA45" s="97"/>
      <c r="AB45" s="97"/>
      <c r="AC45" s="97"/>
      <c r="AD45" s="97"/>
      <c r="AE45" s="97"/>
      <c r="AF45" s="97"/>
      <c r="AG45" s="97"/>
      <c r="AH45" s="97"/>
      <c r="AI45" s="97"/>
      <c r="AJ45" s="99" t="s">
        <v>96</v>
      </c>
      <c r="AK45" s="100"/>
      <c r="AL45" s="100"/>
      <c r="AM45" s="101"/>
      <c r="AN45" s="102">
        <f>SUM(AN42+BI38)</f>
        <v>1978410.2763999999</v>
      </c>
      <c r="AO45" s="102">
        <f>AO42+BH38-54000</f>
        <v>2226109.6</v>
      </c>
      <c r="AP45" s="104">
        <f>AO45/AN45-1</f>
        <v>0.12520119135790408</v>
      </c>
      <c r="AR45" s="97"/>
      <c r="AS45" s="108"/>
      <c r="AT45" s="97"/>
      <c r="AU45" s="97"/>
      <c r="AV45" s="97"/>
      <c r="AW45" s="97"/>
      <c r="AX45" s="97"/>
      <c r="AY45" s="97"/>
      <c r="AZ45" s="97"/>
      <c r="BA45" s="97"/>
      <c r="BB45" s="97"/>
      <c r="BC45" s="97"/>
      <c r="BD45" s="103"/>
      <c r="BE45" s="97"/>
      <c r="BF45" s="97"/>
      <c r="BG45" s="97"/>
      <c r="BH45" s="96"/>
      <c r="BI45" s="96"/>
    </row>
    <row r="46" spans="1:61" ht="23" x14ac:dyDescent="0.35">
      <c r="B46" s="1"/>
      <c r="C46" s="1"/>
      <c r="D46" s="1"/>
      <c r="E46" s="1"/>
      <c r="F46" s="1"/>
      <c r="G46" s="1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28"/>
      <c r="AN46" s="102" t="s">
        <v>100</v>
      </c>
      <c r="AO46" s="102">
        <f>AN45*0.04</f>
        <v>79136.411055999997</v>
      </c>
      <c r="AP46" s="104">
        <f>AO46/AN45</f>
        <v>0.04</v>
      </c>
      <c r="AR46" s="1"/>
      <c r="AS46" s="106"/>
      <c r="AT46" s="109"/>
      <c r="AU46" s="1"/>
      <c r="AV46" s="1"/>
      <c r="AW46" s="1"/>
      <c r="AX46" s="1"/>
      <c r="AY46" s="1"/>
      <c r="AZ46" s="1"/>
      <c r="BA46" s="1"/>
      <c r="BB46" s="1"/>
      <c r="BC46" s="1"/>
      <c r="BD46" s="34"/>
      <c r="BE46" s="1"/>
      <c r="BF46" s="1"/>
      <c r="BG46" s="1"/>
    </row>
    <row r="47" spans="1:61" ht="23" x14ac:dyDescent="0.35">
      <c r="B47" s="1"/>
      <c r="C47" s="1"/>
      <c r="D47" s="1"/>
      <c r="E47" s="1"/>
      <c r="F47" s="1"/>
      <c r="G47" s="1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02" t="s">
        <v>101</v>
      </c>
      <c r="AO47" s="102">
        <f>AO36+AO37+BH36+BH37</f>
        <v>80995.199999999997</v>
      </c>
      <c r="AP47" s="104">
        <f>AO47/AN45</f>
        <v>4.0939536640186854E-2</v>
      </c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34"/>
      <c r="BE47" s="1"/>
      <c r="BF47" s="1"/>
      <c r="BG47" s="1"/>
    </row>
    <row r="48" spans="1:61" ht="23" x14ac:dyDescent="0.35">
      <c r="B48" s="1"/>
      <c r="C48" s="1"/>
      <c r="D48" s="1"/>
      <c r="E48" s="1"/>
      <c r="F48" s="1"/>
      <c r="G48" s="1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05" t="s">
        <v>102</v>
      </c>
      <c r="AO48" s="102">
        <f>AO45-AN45-AO46-AO47</f>
        <v>87567.712544000256</v>
      </c>
      <c r="AP48" s="104">
        <f>AO48/AN45</f>
        <v>4.426165471771721E-2</v>
      </c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34"/>
      <c r="BE48" s="1"/>
      <c r="BF48" s="1"/>
      <c r="BG48" s="1"/>
    </row>
    <row r="49" spans="2:59" ht="23" x14ac:dyDescent="0.35">
      <c r="B49" s="1"/>
      <c r="C49" s="1"/>
      <c r="D49" s="1"/>
      <c r="E49" s="1"/>
      <c r="F49" s="1"/>
      <c r="G49" s="1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02"/>
      <c r="AO49" s="102"/>
      <c r="AP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34"/>
      <c r="BE49" s="1"/>
      <c r="BF49" s="1"/>
      <c r="BG49" s="1"/>
    </row>
    <row r="50" spans="2:59" ht="23" x14ac:dyDescent="0.35">
      <c r="B50" s="1"/>
      <c r="C50" s="1"/>
      <c r="D50" s="1"/>
      <c r="E50" s="1"/>
      <c r="F50" s="1"/>
      <c r="G50" s="1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02">
        <v>2007000</v>
      </c>
      <c r="AO50" s="102">
        <v>2226109.6</v>
      </c>
      <c r="AP50" s="104">
        <f>AO50/AN50-1</f>
        <v>0.10917269556552078</v>
      </c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34"/>
      <c r="BE50" s="1"/>
      <c r="BF50" s="1"/>
      <c r="BG50" s="1"/>
    </row>
    <row r="51" spans="2:59" ht="23" x14ac:dyDescent="0.35">
      <c r="B51" s="1"/>
      <c r="C51" s="1"/>
      <c r="D51" s="1"/>
      <c r="E51" s="1"/>
      <c r="F51" s="1"/>
      <c r="G51" s="1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02" t="s">
        <v>100</v>
      </c>
      <c r="AO51" s="102">
        <v>79136.411055999997</v>
      </c>
      <c r="AP51" s="104">
        <f>AO51/AN50</f>
        <v>3.9430199828599896E-2</v>
      </c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34"/>
      <c r="BE51" s="1"/>
      <c r="BF51" s="1"/>
      <c r="BG51" s="1"/>
    </row>
    <row r="52" spans="2:59" ht="23" x14ac:dyDescent="0.35">
      <c r="B52" s="1"/>
      <c r="C52" s="1"/>
      <c r="D52" s="1" t="s">
        <v>85</v>
      </c>
      <c r="E52" s="1"/>
      <c r="F52" s="1"/>
      <c r="G52" s="1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02" t="s">
        <v>101</v>
      </c>
      <c r="AO52" s="102">
        <v>80995.199999999997</v>
      </c>
      <c r="AP52" s="104">
        <f>AO52/AN50</f>
        <v>4.0356352765321374E-2</v>
      </c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34"/>
      <c r="BE52" s="1"/>
      <c r="BF52" s="1"/>
      <c r="BG52" s="1"/>
    </row>
    <row r="53" spans="2:59" ht="23" x14ac:dyDescent="0.35">
      <c r="B53" s="1"/>
      <c r="C53" s="1">
        <v>2025</v>
      </c>
      <c r="D53" s="1">
        <v>207000</v>
      </c>
      <c r="E53" s="1"/>
      <c r="F53" s="1"/>
      <c r="G53" s="1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05" t="s">
        <v>102</v>
      </c>
      <c r="AO53" s="102">
        <f>AO50-AN50-AO51-AO52</f>
        <v>58977.988944000113</v>
      </c>
      <c r="AP53" s="104">
        <f>AO53/AN50</f>
        <v>2.9386142971599458E-2</v>
      </c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34"/>
      <c r="BE53" s="1"/>
      <c r="BF53" s="1"/>
      <c r="BG53" s="1"/>
    </row>
    <row r="54" spans="2:59" x14ac:dyDescent="0.35">
      <c r="B54" s="1"/>
      <c r="C54" s="1" t="s">
        <v>84</v>
      </c>
      <c r="D54" s="1"/>
      <c r="E54" s="1"/>
      <c r="F54" s="1"/>
      <c r="G54" s="1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34"/>
      <c r="BE54" s="1"/>
      <c r="BF54" s="1"/>
      <c r="BG54" s="1"/>
    </row>
    <row r="55" spans="2:59" x14ac:dyDescent="0.35">
      <c r="B55" s="1"/>
      <c r="C55" s="1" t="s">
        <v>95</v>
      </c>
      <c r="D55" s="1">
        <v>2196</v>
      </c>
      <c r="E55" s="1"/>
      <c r="F55" s="1"/>
      <c r="G55" s="1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34"/>
      <c r="BE55" s="1"/>
      <c r="BF55" s="1"/>
      <c r="BG55" s="1"/>
    </row>
    <row r="56" spans="2:59" x14ac:dyDescent="0.35">
      <c r="B56" s="1"/>
      <c r="C56" s="1"/>
      <c r="D56" s="1"/>
      <c r="E56" s="1"/>
      <c r="F56" s="1"/>
      <c r="G56" s="1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34"/>
      <c r="BE56" s="1"/>
      <c r="BF56" s="1"/>
      <c r="BG56" s="1"/>
    </row>
    <row r="57" spans="2:59" x14ac:dyDescent="0.35">
      <c r="B57" s="1"/>
      <c r="C57" s="1"/>
      <c r="D57" s="1"/>
      <c r="E57" s="1"/>
      <c r="F57" s="1"/>
      <c r="G57" s="1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34"/>
      <c r="BE57" s="1"/>
      <c r="BF57" s="1"/>
      <c r="BG57" s="1"/>
    </row>
    <row r="58" spans="2:59" ht="16.5" x14ac:dyDescent="0.35">
      <c r="B58" s="1"/>
      <c r="C58" s="51" t="s">
        <v>91</v>
      </c>
      <c r="D58" s="1"/>
      <c r="E58" s="1"/>
      <c r="F58" s="1"/>
      <c r="G58" s="1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34"/>
      <c r="BE58" s="1"/>
      <c r="BF58" s="1"/>
      <c r="BG58" s="1"/>
    </row>
    <row r="59" spans="2:59" ht="16.5" x14ac:dyDescent="0.35">
      <c r="B59" s="1"/>
      <c r="C59" s="51" t="s">
        <v>92</v>
      </c>
      <c r="D59" s="1"/>
      <c r="E59" s="1"/>
      <c r="F59" s="1"/>
      <c r="G59" s="1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34"/>
      <c r="BE59" s="1"/>
      <c r="BF59" s="1"/>
      <c r="BG59" s="1"/>
    </row>
    <row r="60" spans="2:59" ht="16.5" x14ac:dyDescent="0.35">
      <c r="B60" s="1"/>
      <c r="C60" s="51" t="s">
        <v>93</v>
      </c>
      <c r="D60" s="1"/>
      <c r="E60" s="1"/>
      <c r="F60" s="1"/>
      <c r="G60" s="1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34"/>
      <c r="BE60" s="1"/>
      <c r="BF60" s="1"/>
      <c r="BG60" s="1"/>
    </row>
    <row r="61" spans="2:59" ht="16.5" x14ac:dyDescent="0.35">
      <c r="B61" s="1"/>
      <c r="C61" s="51" t="s">
        <v>94</v>
      </c>
      <c r="D61" s="1"/>
      <c r="E61" s="1"/>
      <c r="F61" s="1"/>
      <c r="G61" s="1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34"/>
      <c r="BE61" s="1"/>
      <c r="BF61" s="1"/>
      <c r="BG61" s="1"/>
    </row>
    <row r="62" spans="2:59" x14ac:dyDescent="0.35">
      <c r="B62" s="1"/>
      <c r="C62" s="1"/>
      <c r="D62" s="1"/>
      <c r="E62" s="1"/>
      <c r="F62" s="1"/>
      <c r="G62" s="1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34"/>
      <c r="BE62" s="1"/>
      <c r="BF62" s="1"/>
      <c r="BG62" s="1"/>
    </row>
    <row r="63" spans="2:59" x14ac:dyDescent="0.35">
      <c r="B63" s="1"/>
      <c r="C63" s="1"/>
      <c r="D63" s="1"/>
      <c r="E63" s="1"/>
      <c r="F63" s="1"/>
      <c r="G63" s="1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34"/>
      <c r="BE63" s="1"/>
      <c r="BF63" s="1"/>
      <c r="BG63" s="1"/>
    </row>
    <row r="64" spans="2:59" x14ac:dyDescent="0.35">
      <c r="B64" s="1"/>
      <c r="C64" s="1"/>
      <c r="D64" s="1"/>
      <c r="E64" s="1"/>
      <c r="F64" s="1"/>
      <c r="G64" s="1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34"/>
      <c r="BE64" s="1"/>
      <c r="BF64" s="1"/>
      <c r="BG64" s="1"/>
    </row>
    <row r="65" spans="2:59" x14ac:dyDescent="0.35">
      <c r="B65" s="1"/>
      <c r="C65" s="1"/>
      <c r="D65" s="1"/>
      <c r="E65" s="1"/>
      <c r="F65" s="1"/>
      <c r="G65" s="1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34"/>
      <c r="BE65" s="1"/>
      <c r="BF65" s="1"/>
      <c r="BG65" s="1"/>
    </row>
    <row r="66" spans="2:59" x14ac:dyDescent="0.35">
      <c r="B66" s="1"/>
      <c r="C66" s="1"/>
      <c r="D66" s="1"/>
      <c r="E66" s="1"/>
      <c r="F66" s="1"/>
      <c r="G66" s="1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34"/>
      <c r="BE66" s="1"/>
      <c r="BF66" s="1"/>
      <c r="BG66" s="1"/>
    </row>
    <row r="67" spans="2:59" x14ac:dyDescent="0.35">
      <c r="B67" s="1"/>
      <c r="C67" s="1"/>
      <c r="D67" s="1"/>
      <c r="E67" s="1"/>
      <c r="F67" s="1"/>
      <c r="G67" s="1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34"/>
      <c r="BE67" s="1"/>
      <c r="BF67" s="1"/>
      <c r="BG67" s="1"/>
    </row>
    <row r="68" spans="2:59" x14ac:dyDescent="0.35">
      <c r="B68" s="1"/>
      <c r="C68" s="1"/>
      <c r="D68" s="1"/>
      <c r="E68" s="1"/>
      <c r="F68" s="1"/>
      <c r="G68" s="1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34"/>
      <c r="BE68" s="1"/>
      <c r="BF68" s="1"/>
      <c r="BG68" s="1"/>
    </row>
    <row r="69" spans="2:59" x14ac:dyDescent="0.35">
      <c r="B69" s="1"/>
      <c r="C69" s="1"/>
      <c r="D69" s="1"/>
      <c r="E69" s="1"/>
      <c r="F69" s="1"/>
      <c r="G69" s="1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34"/>
      <c r="BE69" s="1"/>
      <c r="BF69" s="1"/>
      <c r="BG69" s="1"/>
    </row>
    <row r="70" spans="2:59" x14ac:dyDescent="0.35">
      <c r="B70" s="1"/>
      <c r="C70" s="1"/>
      <c r="D70" s="1"/>
      <c r="E70" s="1"/>
      <c r="F70" s="1"/>
      <c r="G70" s="1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34"/>
      <c r="BE70" s="1"/>
      <c r="BF70" s="1"/>
      <c r="BG70" s="1"/>
    </row>
    <row r="71" spans="2:59" x14ac:dyDescent="0.35">
      <c r="B71" s="1"/>
      <c r="C71" s="1"/>
      <c r="D71" s="1"/>
      <c r="E71" s="1"/>
      <c r="F71" s="1"/>
      <c r="G71" s="1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34"/>
      <c r="BE71" s="1"/>
      <c r="BF71" s="1"/>
      <c r="BG71" s="1"/>
    </row>
    <row r="72" spans="2:59" x14ac:dyDescent="0.35">
      <c r="B72" s="1"/>
      <c r="C72" s="1"/>
      <c r="D72" s="1"/>
      <c r="E72" s="1"/>
      <c r="F72" s="1"/>
      <c r="G72" s="1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34"/>
      <c r="BE72" s="1"/>
      <c r="BF72" s="1"/>
      <c r="BG72" s="1"/>
    </row>
    <row r="73" spans="2:59" x14ac:dyDescent="0.35">
      <c r="B73" s="1"/>
      <c r="C73" s="1"/>
      <c r="D73" s="1"/>
      <c r="E73" s="1"/>
      <c r="F73" s="1"/>
      <c r="G73" s="1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34"/>
      <c r="BE73" s="1"/>
      <c r="BF73" s="1"/>
      <c r="BG73" s="1"/>
    </row>
    <row r="74" spans="2:59" x14ac:dyDescent="0.35">
      <c r="B74" s="1"/>
      <c r="C74" s="1"/>
      <c r="D74" s="1"/>
      <c r="E74" s="1"/>
      <c r="F74" s="1"/>
      <c r="G74" s="1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34"/>
      <c r="BE74" s="1"/>
      <c r="BF74" s="1"/>
      <c r="BG74" s="1"/>
    </row>
    <row r="75" spans="2:59" x14ac:dyDescent="0.35">
      <c r="B75" s="1"/>
      <c r="C75" s="1"/>
      <c r="D75" s="1"/>
      <c r="E75" s="1"/>
      <c r="F75" s="1"/>
      <c r="G75" s="1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34"/>
      <c r="BE75" s="1"/>
      <c r="BF75" s="1"/>
      <c r="BG75" s="1"/>
    </row>
    <row r="76" spans="2:59" x14ac:dyDescent="0.35">
      <c r="B76" s="1"/>
      <c r="C76" s="1"/>
      <c r="D76" s="1"/>
      <c r="E76" s="1"/>
      <c r="F76" s="1"/>
      <c r="G76" s="1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34"/>
      <c r="BE76" s="1"/>
      <c r="BF76" s="1"/>
      <c r="BG76" s="1"/>
    </row>
    <row r="77" spans="2:59" x14ac:dyDescent="0.35">
      <c r="B77" s="1"/>
      <c r="C77" s="1"/>
      <c r="D77" s="1"/>
      <c r="E77" s="1"/>
      <c r="F77" s="1"/>
      <c r="G77" s="1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34"/>
      <c r="BE77" s="1"/>
      <c r="BF77" s="1"/>
      <c r="BG77" s="1"/>
    </row>
    <row r="78" spans="2:59" x14ac:dyDescent="0.35">
      <c r="B78" s="1"/>
      <c r="C78" s="1"/>
      <c r="D78" s="1"/>
      <c r="E78" s="1"/>
      <c r="F78" s="1"/>
      <c r="G78" s="1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34"/>
      <c r="BE78" s="1"/>
      <c r="BF78" s="1"/>
      <c r="BG78" s="1"/>
    </row>
    <row r="79" spans="2:59" x14ac:dyDescent="0.35">
      <c r="B79" s="1"/>
      <c r="C79" s="1"/>
      <c r="D79" s="1"/>
      <c r="E79" s="1"/>
      <c r="F79" s="1"/>
      <c r="G79" s="1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34"/>
      <c r="BE79" s="1"/>
      <c r="BF79" s="1"/>
      <c r="BG79" s="1"/>
    </row>
    <row r="80" spans="2:59" x14ac:dyDescent="0.35">
      <c r="B80" s="1"/>
      <c r="C80" s="1"/>
      <c r="D80" s="1"/>
      <c r="E80" s="1"/>
      <c r="F80" s="1"/>
      <c r="G80" s="1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34"/>
      <c r="BE80" s="1"/>
      <c r="BF80" s="1"/>
      <c r="BG80" s="1"/>
    </row>
    <row r="81" spans="2:59" x14ac:dyDescent="0.35">
      <c r="B81" s="1"/>
      <c r="C81" s="1"/>
      <c r="D81" s="1"/>
      <c r="E81" s="1"/>
      <c r="F81" s="1"/>
      <c r="G81" s="1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34"/>
      <c r="BE81" s="1"/>
      <c r="BF81" s="1"/>
      <c r="BG81" s="1"/>
    </row>
    <row r="82" spans="2:59" x14ac:dyDescent="0.35">
      <c r="B82" s="1"/>
      <c r="C82" s="1"/>
      <c r="D82" s="1"/>
      <c r="E82" s="1"/>
      <c r="F82" s="1"/>
      <c r="G82" s="1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34"/>
      <c r="BE82" s="1"/>
      <c r="BF82" s="1"/>
      <c r="BG82" s="1"/>
    </row>
    <row r="83" spans="2:59" x14ac:dyDescent="0.35">
      <c r="B83" s="1"/>
      <c r="C83" s="1"/>
      <c r="D83" s="1"/>
      <c r="E83" s="1"/>
      <c r="F83" s="1"/>
      <c r="G83" s="1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34"/>
      <c r="BE83" s="1"/>
      <c r="BF83" s="1"/>
      <c r="BG83" s="1"/>
    </row>
    <row r="84" spans="2:59" x14ac:dyDescent="0.35">
      <c r="B84" s="1"/>
      <c r="C84" s="1"/>
      <c r="D84" s="1"/>
      <c r="E84" s="1"/>
      <c r="F84" s="1"/>
      <c r="G84" s="1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34"/>
      <c r="BE84" s="1"/>
      <c r="BF84" s="1"/>
      <c r="BG84" s="1"/>
    </row>
    <row r="85" spans="2:59" x14ac:dyDescent="0.35">
      <c r="B85" s="1"/>
      <c r="C85" s="1"/>
      <c r="D85" s="1"/>
      <c r="E85" s="1"/>
      <c r="F85" s="1"/>
      <c r="G85" s="1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34"/>
      <c r="BE85" s="1"/>
      <c r="BF85" s="1"/>
      <c r="BG85" s="1"/>
    </row>
    <row r="86" spans="2:59" x14ac:dyDescent="0.35">
      <c r="B86" s="1"/>
      <c r="C86" s="1"/>
      <c r="D86" s="1"/>
      <c r="E86" s="1"/>
      <c r="F86" s="1"/>
      <c r="G86" s="1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34"/>
      <c r="BE86" s="1"/>
      <c r="BF86" s="1"/>
      <c r="BG86" s="1"/>
    </row>
    <row r="87" spans="2:59" x14ac:dyDescent="0.35">
      <c r="B87" s="1"/>
      <c r="C87" s="1"/>
      <c r="D87" s="1"/>
      <c r="E87" s="1"/>
      <c r="F87" s="1"/>
      <c r="G87" s="1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34"/>
      <c r="BE87" s="1"/>
      <c r="BF87" s="1"/>
      <c r="BG87" s="1"/>
    </row>
    <row r="88" spans="2:59" x14ac:dyDescent="0.35">
      <c r="B88" s="1"/>
      <c r="C88" s="1"/>
      <c r="D88" s="1"/>
      <c r="E88" s="1"/>
      <c r="F88" s="1"/>
      <c r="G88" s="1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34"/>
      <c r="BE88" s="1"/>
      <c r="BF88" s="1"/>
      <c r="BG88" s="1"/>
    </row>
    <row r="89" spans="2:59" x14ac:dyDescent="0.35">
      <c r="B89" s="1"/>
      <c r="C89" s="1"/>
      <c r="D89" s="1"/>
      <c r="E89" s="1"/>
      <c r="F89" s="1"/>
      <c r="G89" s="1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34"/>
      <c r="BE89" s="1"/>
      <c r="BF89" s="1"/>
      <c r="BG89" s="1"/>
    </row>
    <row r="90" spans="2:59" x14ac:dyDescent="0.35">
      <c r="B90" s="1"/>
      <c r="C90" s="1"/>
      <c r="D90" s="1"/>
      <c r="E90" s="1"/>
      <c r="F90" s="1"/>
      <c r="G90" s="1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34"/>
      <c r="BE90" s="1"/>
      <c r="BF90" s="1"/>
      <c r="BG90" s="1"/>
    </row>
    <row r="91" spans="2:59" x14ac:dyDescent="0.35">
      <c r="B91" s="1"/>
      <c r="C91" s="1"/>
      <c r="D91" s="1"/>
      <c r="E91" s="1"/>
      <c r="F91" s="1"/>
      <c r="G91" s="1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34"/>
      <c r="BE91" s="1"/>
      <c r="BF91" s="1"/>
      <c r="BG91" s="1"/>
    </row>
    <row r="92" spans="2:59" x14ac:dyDescent="0.35">
      <c r="B92" s="1"/>
      <c r="C92" s="1"/>
      <c r="D92" s="1"/>
      <c r="E92" s="1"/>
      <c r="F92" s="1"/>
      <c r="G92" s="1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34"/>
      <c r="BE92" s="1"/>
      <c r="BF92" s="1"/>
      <c r="BG92" s="1"/>
    </row>
    <row r="93" spans="2:59" x14ac:dyDescent="0.35">
      <c r="B93" s="1"/>
      <c r="C93" s="1"/>
      <c r="D93" s="1"/>
      <c r="E93" s="1"/>
      <c r="F93" s="1"/>
      <c r="G93" s="1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34"/>
      <c r="BE93" s="1"/>
      <c r="BF93" s="1"/>
      <c r="BG93" s="1"/>
    </row>
    <row r="94" spans="2:59" x14ac:dyDescent="0.35">
      <c r="B94" s="1"/>
      <c r="C94" s="1"/>
      <c r="D94" s="1"/>
      <c r="E94" s="1"/>
      <c r="F94" s="1"/>
      <c r="G94" s="1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34"/>
      <c r="BE94" s="1"/>
      <c r="BF94" s="1"/>
      <c r="BG94" s="1"/>
    </row>
    <row r="95" spans="2:59" x14ac:dyDescent="0.35">
      <c r="B95" s="1"/>
      <c r="C95" s="1"/>
      <c r="D95" s="1"/>
      <c r="E95" s="1"/>
      <c r="F95" s="1"/>
      <c r="G95" s="1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34"/>
      <c r="BE95" s="1"/>
      <c r="BF95" s="1"/>
      <c r="BG95" s="1"/>
    </row>
    <row r="96" spans="2:59" x14ac:dyDescent="0.35">
      <c r="B96" s="1"/>
      <c r="C96" s="1"/>
      <c r="D96" s="1"/>
      <c r="E96" s="1"/>
      <c r="F96" s="1"/>
      <c r="G96" s="1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34"/>
      <c r="BE96" s="1"/>
      <c r="BF96" s="1"/>
      <c r="BG96" s="1"/>
    </row>
    <row r="97" spans="2:59" x14ac:dyDescent="0.35">
      <c r="B97" s="1"/>
      <c r="C97" s="1"/>
      <c r="D97" s="1"/>
      <c r="E97" s="1"/>
      <c r="F97" s="1"/>
      <c r="G97" s="1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34"/>
      <c r="BE97" s="1"/>
      <c r="BF97" s="1"/>
      <c r="BG97" s="1"/>
    </row>
    <row r="98" spans="2:59" x14ac:dyDescent="0.35">
      <c r="B98" s="1"/>
      <c r="C98" s="1"/>
      <c r="D98" s="1"/>
      <c r="E98" s="1"/>
      <c r="F98" s="1"/>
      <c r="G98" s="1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34"/>
      <c r="BE98" s="1"/>
      <c r="BF98" s="1"/>
      <c r="BG98" s="1"/>
    </row>
    <row r="99" spans="2:59" x14ac:dyDescent="0.35">
      <c r="B99" s="1"/>
      <c r="C99" s="1"/>
      <c r="D99" s="1"/>
      <c r="E99" s="1"/>
      <c r="F99" s="1"/>
      <c r="G99" s="1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34"/>
      <c r="BE99" s="1"/>
      <c r="BF99" s="1"/>
      <c r="BG99" s="1"/>
    </row>
    <row r="100" spans="2:59" x14ac:dyDescent="0.35">
      <c r="B100" s="1"/>
      <c r="C100" s="1"/>
      <c r="D100" s="1"/>
      <c r="E100" s="1"/>
      <c r="F100" s="1"/>
      <c r="G100" s="1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34"/>
      <c r="BE100" s="1"/>
      <c r="BF100" s="1"/>
      <c r="BG100" s="1"/>
    </row>
    <row r="101" spans="2:59" x14ac:dyDescent="0.35">
      <c r="B101" s="1"/>
      <c r="C101" s="1"/>
      <c r="D101" s="1"/>
      <c r="E101" s="1"/>
      <c r="F101" s="1"/>
      <c r="G101" s="1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34"/>
      <c r="BE101" s="1"/>
      <c r="BF101" s="1"/>
      <c r="BG101" s="1"/>
    </row>
    <row r="102" spans="2:59" x14ac:dyDescent="0.35">
      <c r="B102" s="1"/>
      <c r="C102" s="1"/>
      <c r="D102" s="1"/>
      <c r="E102" s="1"/>
      <c r="F102" s="1"/>
      <c r="G102" s="1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34"/>
      <c r="BE102" s="1"/>
      <c r="BF102" s="1"/>
      <c r="BG102" s="1"/>
    </row>
    <row r="103" spans="2:59" x14ac:dyDescent="0.35">
      <c r="B103" s="1"/>
      <c r="C103" s="1"/>
      <c r="D103" s="1"/>
      <c r="E103" s="1"/>
      <c r="F103" s="1"/>
      <c r="G103" s="1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34"/>
      <c r="BE103" s="1"/>
      <c r="BF103" s="1"/>
      <c r="BG103" s="1"/>
    </row>
    <row r="104" spans="2:59" x14ac:dyDescent="0.35">
      <c r="B104" s="1"/>
      <c r="C104" s="1"/>
      <c r="D104" s="1"/>
      <c r="E104" s="1"/>
      <c r="F104" s="1"/>
      <c r="G104" s="1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34"/>
      <c r="BE104" s="1"/>
      <c r="BF104" s="1"/>
      <c r="BG104" s="1"/>
    </row>
    <row r="105" spans="2:59" x14ac:dyDescent="0.35">
      <c r="B105" s="1"/>
      <c r="C105" s="1"/>
      <c r="D105" s="1"/>
      <c r="E105" s="1"/>
      <c r="F105" s="1"/>
      <c r="G105" s="1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34"/>
      <c r="BE105" s="1"/>
      <c r="BF105" s="1"/>
      <c r="BG105" s="1"/>
    </row>
    <row r="106" spans="2:59" x14ac:dyDescent="0.35">
      <c r="B106" s="1"/>
      <c r="C106" s="1"/>
      <c r="D106" s="1"/>
      <c r="E106" s="1"/>
      <c r="F106" s="1"/>
      <c r="G106" s="1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34"/>
      <c r="BE106" s="1"/>
      <c r="BF106" s="1"/>
      <c r="BG106" s="1"/>
    </row>
    <row r="107" spans="2:59" x14ac:dyDescent="0.35">
      <c r="B107" s="1"/>
      <c r="C107" s="1"/>
      <c r="D107" s="1"/>
      <c r="E107" s="1"/>
      <c r="F107" s="1"/>
      <c r="G107" s="1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34"/>
      <c r="BE107" s="1"/>
      <c r="BF107" s="1"/>
      <c r="BG107" s="1"/>
    </row>
    <row r="108" spans="2:59" x14ac:dyDescent="0.35">
      <c r="B108" s="1"/>
      <c r="C108" s="1"/>
      <c r="D108" s="1"/>
      <c r="E108" s="1"/>
      <c r="F108" s="1"/>
      <c r="G108" s="1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34"/>
      <c r="BE108" s="1"/>
      <c r="BF108" s="1"/>
      <c r="BG108" s="1"/>
    </row>
    <row r="109" spans="2:59" x14ac:dyDescent="0.35">
      <c r="B109" s="1"/>
      <c r="C109" s="1"/>
      <c r="D109" s="1"/>
      <c r="E109" s="1"/>
      <c r="F109" s="1"/>
      <c r="G109" s="1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34"/>
      <c r="BE109" s="1"/>
      <c r="BF109" s="1"/>
      <c r="BG109" s="1"/>
    </row>
    <row r="110" spans="2:59" x14ac:dyDescent="0.35">
      <c r="B110" s="1"/>
      <c r="C110" s="1"/>
      <c r="D110" s="1"/>
      <c r="E110" s="1"/>
      <c r="F110" s="1"/>
      <c r="G110" s="1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34"/>
      <c r="BE110" s="1"/>
      <c r="BF110" s="1"/>
      <c r="BG110" s="1"/>
    </row>
    <row r="111" spans="2:59" x14ac:dyDescent="0.35">
      <c r="B111" s="1"/>
      <c r="C111" s="1"/>
      <c r="D111" s="1"/>
      <c r="E111" s="1"/>
      <c r="F111" s="1"/>
      <c r="G111" s="1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34"/>
      <c r="BE111" s="1"/>
      <c r="BF111" s="1"/>
      <c r="BG111" s="1"/>
    </row>
    <row r="112" spans="2:59" x14ac:dyDescent="0.35">
      <c r="B112" s="1"/>
      <c r="C112" s="1"/>
      <c r="D112" s="1"/>
      <c r="E112" s="1"/>
      <c r="F112" s="1"/>
      <c r="G112" s="1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34"/>
      <c r="BE112" s="1"/>
      <c r="BF112" s="1"/>
      <c r="BG112" s="1"/>
    </row>
    <row r="113" spans="2:59" x14ac:dyDescent="0.35">
      <c r="B113" s="1"/>
      <c r="C113" s="1"/>
      <c r="D113" s="1"/>
      <c r="E113" s="1"/>
      <c r="F113" s="1"/>
      <c r="G113" s="1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34"/>
      <c r="BE113" s="1"/>
      <c r="BF113" s="1"/>
      <c r="BG113" s="1"/>
    </row>
    <row r="114" spans="2:59" x14ac:dyDescent="0.35">
      <c r="B114" s="1"/>
      <c r="C114" s="1"/>
      <c r="D114" s="1"/>
      <c r="E114" s="1"/>
      <c r="F114" s="1"/>
      <c r="G114" s="1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34"/>
      <c r="BE114" s="1"/>
      <c r="BF114" s="1"/>
      <c r="BG114" s="1"/>
    </row>
    <row r="115" spans="2:59" x14ac:dyDescent="0.35">
      <c r="B115" s="1"/>
      <c r="C115" s="1"/>
      <c r="D115" s="1"/>
      <c r="E115" s="1"/>
      <c r="F115" s="1"/>
      <c r="G115" s="1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34"/>
      <c r="BE115" s="1"/>
      <c r="BF115" s="1"/>
      <c r="BG115" s="1"/>
    </row>
    <row r="116" spans="2:59" x14ac:dyDescent="0.35">
      <c r="B116" s="1"/>
      <c r="C116" s="1"/>
      <c r="D116" s="1"/>
      <c r="E116" s="1"/>
      <c r="F116" s="1"/>
      <c r="G116" s="1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34"/>
      <c r="BE116" s="1"/>
      <c r="BF116" s="1"/>
      <c r="BG116" s="1"/>
    </row>
    <row r="117" spans="2:59" x14ac:dyDescent="0.35">
      <c r="B117" s="1"/>
      <c r="C117" s="1"/>
      <c r="D117" s="1"/>
      <c r="E117" s="1"/>
      <c r="F117" s="1"/>
      <c r="G117" s="1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34"/>
      <c r="BE117" s="1"/>
      <c r="BF117" s="1"/>
      <c r="BG117" s="1"/>
    </row>
    <row r="118" spans="2:59" x14ac:dyDescent="0.35">
      <c r="B118" s="1"/>
      <c r="C118" s="1"/>
      <c r="D118" s="1"/>
      <c r="E118" s="1"/>
      <c r="F118" s="1"/>
      <c r="G118" s="1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34"/>
      <c r="BE118" s="1"/>
      <c r="BF118" s="1"/>
      <c r="BG118" s="1"/>
    </row>
    <row r="119" spans="2:59" x14ac:dyDescent="0.35">
      <c r="B119" s="1"/>
      <c r="C119" s="1"/>
      <c r="D119" s="1"/>
      <c r="E119" s="1"/>
      <c r="F119" s="1"/>
      <c r="G119" s="1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34"/>
      <c r="BE119" s="1"/>
      <c r="BF119" s="1"/>
      <c r="BG119" s="1"/>
    </row>
    <row r="120" spans="2:59" x14ac:dyDescent="0.35">
      <c r="B120" s="1"/>
      <c r="C120" s="1"/>
      <c r="D120" s="1"/>
      <c r="E120" s="1"/>
      <c r="F120" s="1"/>
      <c r="G120" s="1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34"/>
      <c r="BE120" s="1"/>
      <c r="BF120" s="1"/>
      <c r="BG120" s="1"/>
    </row>
    <row r="121" spans="2:59" x14ac:dyDescent="0.35">
      <c r="B121" s="1"/>
      <c r="C121" s="1"/>
      <c r="D121" s="1"/>
      <c r="E121" s="1"/>
      <c r="F121" s="1"/>
      <c r="G121" s="1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34"/>
      <c r="BE121" s="1"/>
      <c r="BF121" s="1"/>
      <c r="BG121" s="1"/>
    </row>
    <row r="122" spans="2:59" x14ac:dyDescent="0.35">
      <c r="B122" s="1"/>
      <c r="C122" s="1"/>
      <c r="D122" s="1"/>
      <c r="E122" s="1"/>
      <c r="F122" s="1"/>
      <c r="G122" s="1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34"/>
      <c r="BE122" s="1"/>
      <c r="BF122" s="1"/>
      <c r="BG122" s="1"/>
    </row>
    <row r="123" spans="2:59" x14ac:dyDescent="0.35">
      <c r="B123" s="1"/>
      <c r="C123" s="1"/>
      <c r="D123" s="1"/>
      <c r="E123" s="1"/>
      <c r="F123" s="1"/>
      <c r="G123" s="1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34"/>
      <c r="BE123" s="1"/>
      <c r="BF123" s="1"/>
      <c r="BG123" s="1"/>
    </row>
    <row r="124" spans="2:59" x14ac:dyDescent="0.35">
      <c r="B124" s="1"/>
      <c r="C124" s="1"/>
      <c r="D124" s="1"/>
      <c r="E124" s="1"/>
      <c r="F124" s="1"/>
      <c r="G124" s="1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34"/>
      <c r="BE124" s="1"/>
      <c r="BF124" s="1"/>
      <c r="BG124" s="1"/>
    </row>
    <row r="125" spans="2:59" x14ac:dyDescent="0.35">
      <c r="B125" s="1"/>
      <c r="C125" s="1"/>
      <c r="D125" s="1"/>
      <c r="E125" s="1"/>
      <c r="F125" s="1"/>
      <c r="G125" s="1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34"/>
      <c r="BE125" s="1"/>
      <c r="BF125" s="1"/>
      <c r="BG125" s="1"/>
    </row>
    <row r="126" spans="2:59" x14ac:dyDescent="0.35">
      <c r="B126" s="1"/>
      <c r="C126" s="1"/>
      <c r="D126" s="1"/>
      <c r="E126" s="1"/>
      <c r="F126" s="1"/>
      <c r="G126" s="1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34"/>
      <c r="BE126" s="1"/>
      <c r="BF126" s="1"/>
      <c r="BG126" s="1"/>
    </row>
    <row r="127" spans="2:59" x14ac:dyDescent="0.35">
      <c r="B127" s="1"/>
      <c r="C127" s="1"/>
      <c r="D127" s="1"/>
      <c r="E127" s="1"/>
      <c r="F127" s="1"/>
      <c r="G127" s="1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34"/>
      <c r="BE127" s="1"/>
      <c r="BF127" s="1"/>
      <c r="BG127" s="1"/>
    </row>
    <row r="128" spans="2:59" x14ac:dyDescent="0.35">
      <c r="B128" s="1"/>
      <c r="C128" s="1"/>
      <c r="D128" s="1"/>
      <c r="E128" s="1"/>
      <c r="F128" s="1"/>
      <c r="G128" s="1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34"/>
      <c r="BE128" s="1"/>
      <c r="BF128" s="1"/>
      <c r="BG128" s="1"/>
    </row>
    <row r="129" spans="2:59" x14ac:dyDescent="0.35">
      <c r="B129" s="1"/>
      <c r="C129" s="1"/>
      <c r="D129" s="1"/>
      <c r="E129" s="1"/>
      <c r="F129" s="1"/>
      <c r="G129" s="1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34"/>
      <c r="BE129" s="1"/>
      <c r="BF129" s="1"/>
      <c r="BG129" s="1"/>
    </row>
    <row r="130" spans="2:59" x14ac:dyDescent="0.35">
      <c r="B130" s="1"/>
      <c r="C130" s="1"/>
      <c r="D130" s="1"/>
      <c r="E130" s="1"/>
      <c r="F130" s="1"/>
      <c r="G130" s="1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34"/>
      <c r="BE130" s="1"/>
      <c r="BF130" s="1"/>
      <c r="BG130" s="1"/>
    </row>
    <row r="131" spans="2:59" x14ac:dyDescent="0.35">
      <c r="B131" s="1"/>
      <c r="C131" s="1"/>
      <c r="D131" s="1"/>
      <c r="E131" s="1"/>
      <c r="F131" s="1"/>
      <c r="G131" s="1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34"/>
      <c r="BE131" s="1"/>
      <c r="BF131" s="1"/>
      <c r="BG131" s="1"/>
    </row>
    <row r="132" spans="2:59" x14ac:dyDescent="0.35">
      <c r="B132" s="1"/>
      <c r="C132" s="1"/>
      <c r="D132" s="1"/>
      <c r="E132" s="1"/>
      <c r="F132" s="1"/>
      <c r="G132" s="1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34"/>
      <c r="BE132" s="1"/>
      <c r="BF132" s="1"/>
      <c r="BG132" s="1"/>
    </row>
    <row r="133" spans="2:59" x14ac:dyDescent="0.35">
      <c r="B133" s="1"/>
      <c r="C133" s="1"/>
      <c r="D133" s="1"/>
      <c r="E133" s="1"/>
      <c r="F133" s="1"/>
      <c r="G133" s="1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34"/>
      <c r="BE133" s="1"/>
      <c r="BF133" s="1"/>
      <c r="BG133" s="1"/>
    </row>
    <row r="134" spans="2:59" x14ac:dyDescent="0.35">
      <c r="B134" s="1"/>
      <c r="C134" s="1"/>
      <c r="D134" s="1"/>
      <c r="E134" s="1"/>
      <c r="F134" s="1"/>
      <c r="G134" s="1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34"/>
      <c r="BE134" s="1"/>
      <c r="BF134" s="1"/>
      <c r="BG134" s="1"/>
    </row>
    <row r="135" spans="2:59" x14ac:dyDescent="0.35">
      <c r="B135" s="1"/>
      <c r="C135" s="1"/>
      <c r="D135" s="1"/>
      <c r="E135" s="1"/>
      <c r="F135" s="1"/>
      <c r="G135" s="1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34"/>
      <c r="BE135" s="1"/>
      <c r="BF135" s="1"/>
      <c r="BG135" s="1"/>
    </row>
    <row r="136" spans="2:59" x14ac:dyDescent="0.35">
      <c r="B136" s="1"/>
      <c r="C136" s="1"/>
      <c r="D136" s="1"/>
      <c r="E136" s="1"/>
      <c r="F136" s="1"/>
      <c r="G136" s="1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34"/>
      <c r="BE136" s="1"/>
      <c r="BF136" s="1"/>
      <c r="BG136" s="1"/>
    </row>
    <row r="137" spans="2:59" x14ac:dyDescent="0.35">
      <c r="B137" s="1"/>
      <c r="C137" s="1"/>
      <c r="D137" s="1"/>
      <c r="E137" s="1"/>
      <c r="F137" s="1"/>
      <c r="G137" s="1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34"/>
      <c r="BE137" s="1"/>
      <c r="BF137" s="1"/>
      <c r="BG137" s="1"/>
    </row>
    <row r="138" spans="2:59" x14ac:dyDescent="0.35">
      <c r="B138" s="1"/>
      <c r="C138" s="1"/>
      <c r="D138" s="1"/>
      <c r="E138" s="1"/>
      <c r="F138" s="1"/>
      <c r="G138" s="1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34"/>
      <c r="BE138" s="1"/>
      <c r="BF138" s="1"/>
      <c r="BG138" s="1"/>
    </row>
    <row r="139" spans="2:59" x14ac:dyDescent="0.35">
      <c r="B139" s="1"/>
      <c r="C139" s="1"/>
      <c r="D139" s="1"/>
      <c r="E139" s="1"/>
      <c r="F139" s="1"/>
      <c r="G139" s="1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34"/>
      <c r="BE139" s="1"/>
      <c r="BF139" s="1"/>
      <c r="BG139" s="1"/>
    </row>
    <row r="140" spans="2:59" x14ac:dyDescent="0.35">
      <c r="B140" s="1"/>
      <c r="C140" s="1"/>
      <c r="D140" s="1"/>
      <c r="E140" s="1"/>
      <c r="F140" s="1"/>
      <c r="G140" s="1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34"/>
      <c r="BE140" s="1"/>
      <c r="BF140" s="1"/>
      <c r="BG140" s="1"/>
    </row>
    <row r="141" spans="2:59" x14ac:dyDescent="0.35">
      <c r="B141" s="1"/>
      <c r="C141" s="1"/>
      <c r="D141" s="1"/>
      <c r="E141" s="1"/>
      <c r="F141" s="1"/>
      <c r="G141" s="1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34"/>
      <c r="BE141" s="1"/>
      <c r="BF141" s="1"/>
      <c r="BG141" s="1"/>
    </row>
    <row r="142" spans="2:59" x14ac:dyDescent="0.35">
      <c r="B142" s="1"/>
      <c r="C142" s="1"/>
      <c r="D142" s="1"/>
      <c r="E142" s="1"/>
      <c r="F142" s="1"/>
      <c r="G142" s="1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34"/>
      <c r="BE142" s="1"/>
      <c r="BF142" s="1"/>
      <c r="BG142" s="1"/>
    </row>
    <row r="143" spans="2:59" x14ac:dyDescent="0.35">
      <c r="B143" s="1"/>
      <c r="C143" s="1"/>
      <c r="D143" s="1"/>
      <c r="E143" s="1"/>
      <c r="F143" s="1"/>
      <c r="G143" s="1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34"/>
      <c r="BE143" s="1"/>
      <c r="BF143" s="1"/>
      <c r="BG143" s="1"/>
    </row>
    <row r="144" spans="2:59" x14ac:dyDescent="0.35">
      <c r="B144" s="1"/>
      <c r="C144" s="1"/>
      <c r="D144" s="1"/>
      <c r="E144" s="1"/>
      <c r="F144" s="1"/>
      <c r="G144" s="1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34"/>
      <c r="BE144" s="1"/>
      <c r="BF144" s="1"/>
      <c r="BG144" s="1"/>
    </row>
    <row r="145" spans="2:59" x14ac:dyDescent="0.35">
      <c r="B145" s="1"/>
      <c r="C145" s="1"/>
      <c r="D145" s="1"/>
      <c r="E145" s="1"/>
      <c r="F145" s="1"/>
      <c r="G145" s="1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34"/>
      <c r="BE145" s="1"/>
      <c r="BF145" s="1"/>
      <c r="BG145" s="1"/>
    </row>
    <row r="146" spans="2:59" x14ac:dyDescent="0.35">
      <c r="B146" s="1"/>
      <c r="C146" s="1"/>
      <c r="D146" s="1"/>
      <c r="E146" s="1"/>
      <c r="F146" s="1"/>
      <c r="G146" s="1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34"/>
      <c r="BE146" s="1"/>
      <c r="BF146" s="1"/>
      <c r="BG146" s="1"/>
    </row>
    <row r="147" spans="2:59" x14ac:dyDescent="0.35">
      <c r="B147" s="1"/>
      <c r="C147" s="1"/>
      <c r="D147" s="1"/>
      <c r="E147" s="1"/>
      <c r="F147" s="1"/>
      <c r="G147" s="1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34"/>
      <c r="BE147" s="1"/>
      <c r="BF147" s="1"/>
      <c r="BG147" s="1"/>
    </row>
    <row r="148" spans="2:59" x14ac:dyDescent="0.35">
      <c r="B148" s="1"/>
      <c r="C148" s="1"/>
      <c r="D148" s="1"/>
      <c r="E148" s="1"/>
      <c r="F148" s="1"/>
      <c r="G148" s="1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34"/>
      <c r="BE148" s="1"/>
      <c r="BF148" s="1"/>
      <c r="BG148" s="1"/>
    </row>
    <row r="149" spans="2:59" x14ac:dyDescent="0.35">
      <c r="B149" s="1"/>
      <c r="C149" s="1"/>
      <c r="D149" s="1"/>
      <c r="E149" s="1"/>
      <c r="F149" s="1"/>
      <c r="G149" s="1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34"/>
      <c r="BE149" s="1"/>
      <c r="BF149" s="1"/>
      <c r="BG149" s="1"/>
    </row>
    <row r="150" spans="2:59" x14ac:dyDescent="0.35">
      <c r="B150" s="1"/>
      <c r="C150" s="1"/>
      <c r="D150" s="1"/>
      <c r="E150" s="1"/>
      <c r="F150" s="1"/>
      <c r="G150" s="1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34"/>
      <c r="BE150" s="1"/>
      <c r="BF150" s="1"/>
      <c r="BG150" s="1"/>
    </row>
    <row r="151" spans="2:59" x14ac:dyDescent="0.35">
      <c r="B151" s="1"/>
      <c r="C151" s="1"/>
      <c r="D151" s="1"/>
      <c r="E151" s="1"/>
      <c r="F151" s="1"/>
      <c r="G151" s="1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34"/>
      <c r="BE151" s="1"/>
      <c r="BF151" s="1"/>
      <c r="BG151" s="1"/>
    </row>
    <row r="152" spans="2:59" x14ac:dyDescent="0.35">
      <c r="B152" s="1"/>
      <c r="C152" s="1"/>
      <c r="D152" s="1"/>
      <c r="E152" s="1"/>
      <c r="F152" s="1"/>
      <c r="G152" s="1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34"/>
      <c r="BE152" s="1"/>
      <c r="BF152" s="1"/>
      <c r="BG152" s="1"/>
    </row>
    <row r="153" spans="2:59" x14ac:dyDescent="0.35">
      <c r="B153" s="1"/>
      <c r="C153" s="1"/>
      <c r="D153" s="1"/>
      <c r="E153" s="1"/>
      <c r="F153" s="1"/>
      <c r="G153" s="1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34"/>
      <c r="BE153" s="1"/>
      <c r="BF153" s="1"/>
      <c r="BG153" s="1"/>
    </row>
    <row r="154" spans="2:59" x14ac:dyDescent="0.35">
      <c r="B154" s="1"/>
      <c r="C154" s="1"/>
      <c r="D154" s="1"/>
      <c r="E154" s="1"/>
      <c r="F154" s="1"/>
      <c r="G154" s="1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34"/>
      <c r="BE154" s="1"/>
      <c r="BF154" s="1"/>
      <c r="BG154" s="1"/>
    </row>
    <row r="155" spans="2:59" x14ac:dyDescent="0.35">
      <c r="B155" s="1"/>
      <c r="C155" s="1"/>
      <c r="D155" s="1"/>
      <c r="E155" s="1"/>
      <c r="F155" s="1"/>
      <c r="G155" s="1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34"/>
      <c r="BE155" s="1"/>
      <c r="BF155" s="1"/>
      <c r="BG155" s="1"/>
    </row>
    <row r="156" spans="2:59" x14ac:dyDescent="0.35">
      <c r="B156" s="1"/>
      <c r="C156" s="1"/>
      <c r="D156" s="1"/>
      <c r="E156" s="1"/>
      <c r="F156" s="1"/>
      <c r="G156" s="1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34"/>
      <c r="BE156" s="1"/>
      <c r="BF156" s="1"/>
      <c r="BG156" s="1"/>
    </row>
    <row r="157" spans="2:59" x14ac:dyDescent="0.35">
      <c r="B157" s="1"/>
      <c r="C157" s="1"/>
      <c r="D157" s="1"/>
      <c r="E157" s="1"/>
      <c r="F157" s="1"/>
      <c r="G157" s="1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34"/>
      <c r="BE157" s="1"/>
      <c r="BF157" s="1"/>
      <c r="BG157" s="1"/>
    </row>
    <row r="158" spans="2:59" x14ac:dyDescent="0.35">
      <c r="B158" s="1"/>
      <c r="C158" s="1"/>
      <c r="D158" s="1"/>
      <c r="E158" s="1"/>
      <c r="F158" s="1"/>
      <c r="G158" s="1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34"/>
      <c r="BE158" s="1"/>
      <c r="BF158" s="1"/>
      <c r="BG158" s="1"/>
    </row>
    <row r="159" spans="2:59" x14ac:dyDescent="0.35">
      <c r="B159" s="1"/>
      <c r="C159" s="1"/>
      <c r="D159" s="1"/>
      <c r="E159" s="1"/>
      <c r="F159" s="1"/>
      <c r="G159" s="1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34"/>
      <c r="BE159" s="1"/>
      <c r="BF159" s="1"/>
      <c r="BG159" s="1"/>
    </row>
    <row r="160" spans="2:59" x14ac:dyDescent="0.35">
      <c r="B160" s="1"/>
      <c r="C160" s="1"/>
      <c r="D160" s="1"/>
      <c r="E160" s="1"/>
      <c r="F160" s="1"/>
      <c r="G160" s="1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34"/>
      <c r="BE160" s="1"/>
      <c r="BF160" s="1"/>
      <c r="BG160" s="1"/>
    </row>
    <row r="161" spans="2:59" x14ac:dyDescent="0.35">
      <c r="B161" s="1"/>
      <c r="C161" s="1"/>
      <c r="D161" s="1"/>
      <c r="E161" s="1"/>
      <c r="F161" s="1"/>
      <c r="G161" s="1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34"/>
      <c r="BE161" s="1"/>
      <c r="BF161" s="1"/>
      <c r="BG161" s="1"/>
    </row>
    <row r="162" spans="2:59" x14ac:dyDescent="0.35">
      <c r="B162" s="1"/>
      <c r="C162" s="1"/>
      <c r="D162" s="1"/>
      <c r="E162" s="1"/>
      <c r="F162" s="1"/>
      <c r="G162" s="1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34"/>
      <c r="BE162" s="1"/>
      <c r="BF162" s="1"/>
      <c r="BG162" s="1"/>
    </row>
    <row r="163" spans="2:59" x14ac:dyDescent="0.35">
      <c r="B163" s="1"/>
      <c r="C163" s="1"/>
      <c r="D163" s="1"/>
      <c r="E163" s="1"/>
      <c r="F163" s="1"/>
      <c r="G163" s="1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34"/>
      <c r="BE163" s="1"/>
      <c r="BF163" s="1"/>
      <c r="BG163" s="1"/>
    </row>
    <row r="164" spans="2:59" x14ac:dyDescent="0.35">
      <c r="B164" s="1"/>
      <c r="C164" s="1"/>
      <c r="D164" s="1"/>
      <c r="E164" s="1"/>
      <c r="F164" s="1"/>
      <c r="G164" s="1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34"/>
      <c r="BE164" s="1"/>
      <c r="BF164" s="1"/>
      <c r="BG164" s="1"/>
    </row>
    <row r="165" spans="2:59" x14ac:dyDescent="0.35">
      <c r="B165" s="1"/>
      <c r="C165" s="1"/>
      <c r="D165" s="1"/>
      <c r="E165" s="1"/>
      <c r="F165" s="1"/>
      <c r="G165" s="1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34"/>
      <c r="BE165" s="1"/>
      <c r="BF165" s="1"/>
      <c r="BG165" s="1"/>
    </row>
    <row r="166" spans="2:59" x14ac:dyDescent="0.35">
      <c r="B166" s="1"/>
      <c r="C166" s="1"/>
      <c r="D166" s="1"/>
      <c r="E166" s="1"/>
      <c r="F166" s="1"/>
      <c r="G166" s="1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34"/>
      <c r="BE166" s="1"/>
      <c r="BF166" s="1"/>
      <c r="BG166" s="1"/>
    </row>
    <row r="167" spans="2:59" x14ac:dyDescent="0.35">
      <c r="B167" s="1"/>
      <c r="C167" s="1"/>
      <c r="D167" s="1"/>
      <c r="E167" s="1"/>
      <c r="F167" s="1"/>
      <c r="G167" s="1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34"/>
      <c r="BE167" s="1"/>
      <c r="BF167" s="1"/>
      <c r="BG167" s="1"/>
    </row>
    <row r="168" spans="2:59" x14ac:dyDescent="0.35">
      <c r="B168" s="1"/>
      <c r="C168" s="1"/>
      <c r="D168" s="1"/>
      <c r="E168" s="1"/>
      <c r="F168" s="1"/>
      <c r="G168" s="1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34"/>
      <c r="BE168" s="1"/>
      <c r="BF168" s="1"/>
      <c r="BG168" s="1"/>
    </row>
    <row r="169" spans="2:59" x14ac:dyDescent="0.35">
      <c r="B169" s="1"/>
      <c r="C169" s="1"/>
      <c r="D169" s="1"/>
      <c r="E169" s="1"/>
      <c r="F169" s="1"/>
      <c r="G169" s="1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34"/>
      <c r="BE169" s="1"/>
      <c r="BF169" s="1"/>
      <c r="BG169" s="1"/>
    </row>
    <row r="170" spans="2:59" x14ac:dyDescent="0.35">
      <c r="B170" s="1"/>
      <c r="C170" s="1"/>
      <c r="D170" s="1"/>
      <c r="E170" s="1"/>
      <c r="F170" s="1"/>
      <c r="G170" s="1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34"/>
      <c r="BE170" s="1"/>
      <c r="BF170" s="1"/>
      <c r="BG170" s="1"/>
    </row>
    <row r="171" spans="2:59" x14ac:dyDescent="0.35">
      <c r="B171" s="1"/>
      <c r="C171" s="1"/>
      <c r="D171" s="1"/>
      <c r="E171" s="1"/>
      <c r="F171" s="1"/>
      <c r="G171" s="1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34"/>
      <c r="BE171" s="1"/>
      <c r="BF171" s="1"/>
      <c r="BG171" s="1"/>
    </row>
    <row r="172" spans="2:59" x14ac:dyDescent="0.35">
      <c r="B172" s="1"/>
      <c r="C172" s="1"/>
      <c r="D172" s="1"/>
      <c r="E172" s="1"/>
      <c r="F172" s="1"/>
      <c r="G172" s="1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34"/>
      <c r="BE172" s="1"/>
      <c r="BF172" s="1"/>
      <c r="BG172" s="1"/>
    </row>
    <row r="173" spans="2:59" x14ac:dyDescent="0.35">
      <c r="B173" s="1"/>
      <c r="C173" s="1"/>
      <c r="D173" s="1"/>
      <c r="E173" s="1"/>
      <c r="F173" s="1"/>
      <c r="G173" s="1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34"/>
      <c r="BE173" s="1"/>
      <c r="BF173" s="1"/>
      <c r="BG173" s="1"/>
    </row>
    <row r="174" spans="2:59" x14ac:dyDescent="0.35">
      <c r="B174" s="1"/>
      <c r="C174" s="1"/>
      <c r="D174" s="1"/>
      <c r="E174" s="1"/>
      <c r="F174" s="1"/>
      <c r="G174" s="1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34"/>
      <c r="BE174" s="1"/>
      <c r="BF174" s="1"/>
      <c r="BG174" s="1"/>
    </row>
    <row r="175" spans="2:59" x14ac:dyDescent="0.35">
      <c r="B175" s="1"/>
      <c r="C175" s="1"/>
      <c r="D175" s="1"/>
      <c r="E175" s="1"/>
      <c r="F175" s="1"/>
      <c r="G175" s="1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34"/>
      <c r="BE175" s="1"/>
      <c r="BF175" s="1"/>
      <c r="BG175" s="1"/>
    </row>
    <row r="176" spans="2:59" x14ac:dyDescent="0.35">
      <c r="B176" s="1"/>
      <c r="C176" s="1"/>
      <c r="D176" s="1"/>
      <c r="E176" s="1"/>
      <c r="F176" s="1"/>
      <c r="G176" s="1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34"/>
      <c r="BE176" s="1"/>
      <c r="BF176" s="1"/>
      <c r="BG176" s="1"/>
    </row>
    <row r="177" spans="2:59" x14ac:dyDescent="0.35">
      <c r="B177" s="1"/>
      <c r="C177" s="1"/>
      <c r="D177" s="1"/>
      <c r="E177" s="1"/>
      <c r="F177" s="1"/>
      <c r="G177" s="1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34"/>
      <c r="BE177" s="1"/>
      <c r="BF177" s="1"/>
      <c r="BG177" s="1"/>
    </row>
    <row r="178" spans="2:59" x14ac:dyDescent="0.35">
      <c r="B178" s="1"/>
      <c r="C178" s="1"/>
      <c r="D178" s="1"/>
      <c r="E178" s="1"/>
      <c r="F178" s="1"/>
      <c r="G178" s="1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34"/>
      <c r="BE178" s="1"/>
      <c r="BF178" s="1"/>
      <c r="BG178" s="1"/>
    </row>
    <row r="179" spans="2:59" x14ac:dyDescent="0.35">
      <c r="B179" s="1"/>
      <c r="C179" s="1"/>
      <c r="D179" s="1"/>
      <c r="E179" s="1"/>
      <c r="F179" s="1"/>
      <c r="G179" s="1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34"/>
      <c r="BE179" s="1"/>
      <c r="BF179" s="1"/>
      <c r="BG179" s="1"/>
    </row>
    <row r="180" spans="2:59" x14ac:dyDescent="0.35">
      <c r="B180" s="1"/>
      <c r="C180" s="1"/>
      <c r="D180" s="1"/>
      <c r="E180" s="1"/>
      <c r="F180" s="1"/>
      <c r="G180" s="1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34"/>
      <c r="BE180" s="1"/>
      <c r="BF180" s="1"/>
      <c r="BG180" s="1"/>
    </row>
    <row r="181" spans="2:59" x14ac:dyDescent="0.35">
      <c r="B181" s="1"/>
      <c r="C181" s="1"/>
      <c r="D181" s="1"/>
      <c r="E181" s="1"/>
      <c r="F181" s="1"/>
      <c r="G181" s="1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34"/>
      <c r="BE181" s="1"/>
      <c r="BF181" s="1"/>
      <c r="BG181" s="1"/>
    </row>
    <row r="182" spans="2:59" x14ac:dyDescent="0.35">
      <c r="B182" s="1"/>
      <c r="C182" s="1"/>
      <c r="D182" s="1"/>
      <c r="E182" s="1"/>
      <c r="F182" s="1"/>
      <c r="G182" s="1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34"/>
      <c r="BE182" s="1"/>
      <c r="BF182" s="1"/>
      <c r="BG182" s="1"/>
    </row>
    <row r="183" spans="2:59" x14ac:dyDescent="0.35">
      <c r="B183" s="1"/>
      <c r="C183" s="1"/>
      <c r="D183" s="1"/>
      <c r="E183" s="1"/>
      <c r="F183" s="1"/>
      <c r="G183" s="1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34"/>
      <c r="BE183" s="1"/>
      <c r="BF183" s="1"/>
      <c r="BG183" s="1"/>
    </row>
    <row r="184" spans="2:59" x14ac:dyDescent="0.35">
      <c r="B184" s="1"/>
      <c r="C184" s="1"/>
      <c r="D184" s="1"/>
      <c r="E184" s="1"/>
      <c r="F184" s="1"/>
      <c r="G184" s="1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34"/>
      <c r="BE184" s="1"/>
      <c r="BF184" s="1"/>
      <c r="BG184" s="1"/>
    </row>
    <row r="185" spans="2:59" x14ac:dyDescent="0.35">
      <c r="B185" s="1"/>
      <c r="C185" s="1"/>
      <c r="D185" s="1"/>
      <c r="E185" s="1"/>
      <c r="F185" s="1"/>
      <c r="G185" s="1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34"/>
      <c r="BE185" s="1"/>
      <c r="BF185" s="1"/>
      <c r="BG185" s="1"/>
    </row>
    <row r="186" spans="2:59" x14ac:dyDescent="0.35">
      <c r="B186" s="1"/>
      <c r="C186" s="1"/>
      <c r="D186" s="1"/>
      <c r="E186" s="1"/>
      <c r="F186" s="1"/>
      <c r="G186" s="1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34"/>
      <c r="BE186" s="1"/>
      <c r="BF186" s="1"/>
      <c r="BG186" s="1"/>
    </row>
    <row r="187" spans="2:59" x14ac:dyDescent="0.35">
      <c r="B187" s="1"/>
      <c r="C187" s="1"/>
      <c r="D187" s="1"/>
      <c r="E187" s="1"/>
      <c r="F187" s="1"/>
      <c r="G187" s="1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34"/>
      <c r="BE187" s="1"/>
      <c r="BF187" s="1"/>
      <c r="BG187" s="1"/>
    </row>
    <row r="188" spans="2:59" x14ac:dyDescent="0.35">
      <c r="B188" s="1"/>
      <c r="C188" s="1"/>
      <c r="D188" s="1"/>
      <c r="E188" s="1"/>
      <c r="F188" s="1"/>
      <c r="G188" s="1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34"/>
      <c r="BE188" s="1"/>
      <c r="BF188" s="1"/>
      <c r="BG188" s="1"/>
    </row>
    <row r="189" spans="2:59" x14ac:dyDescent="0.35">
      <c r="B189" s="1"/>
      <c r="C189" s="1"/>
      <c r="D189" s="1"/>
      <c r="E189" s="1"/>
      <c r="F189" s="1"/>
      <c r="G189" s="1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34"/>
      <c r="BE189" s="1"/>
      <c r="BF189" s="1"/>
      <c r="BG189" s="1"/>
    </row>
    <row r="190" spans="2:59" x14ac:dyDescent="0.35">
      <c r="B190" s="1"/>
      <c r="C190" s="1"/>
      <c r="D190" s="1"/>
      <c r="E190" s="1"/>
      <c r="F190" s="1"/>
      <c r="G190" s="1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34"/>
      <c r="BE190" s="1"/>
      <c r="BF190" s="1"/>
      <c r="BG190" s="1"/>
    </row>
    <row r="191" spans="2:59" x14ac:dyDescent="0.35">
      <c r="B191" s="1"/>
      <c r="C191" s="1"/>
      <c r="D191" s="1"/>
      <c r="E191" s="1"/>
      <c r="F191" s="1"/>
      <c r="G191" s="1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34"/>
      <c r="BE191" s="1"/>
      <c r="BF191" s="1"/>
      <c r="BG191" s="1"/>
    </row>
    <row r="192" spans="2:59" x14ac:dyDescent="0.35">
      <c r="B192" s="1"/>
      <c r="C192" s="1"/>
      <c r="D192" s="1"/>
      <c r="E192" s="1"/>
      <c r="F192" s="1"/>
      <c r="G192" s="1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34"/>
      <c r="BE192" s="1"/>
      <c r="BF192" s="1"/>
      <c r="BG192" s="1"/>
    </row>
    <row r="193" spans="2:59" x14ac:dyDescent="0.35">
      <c r="B193" s="1"/>
      <c r="C193" s="1"/>
      <c r="D193" s="1"/>
      <c r="E193" s="1"/>
      <c r="F193" s="1"/>
      <c r="G193" s="1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34"/>
      <c r="BE193" s="1"/>
      <c r="BF193" s="1"/>
      <c r="BG193" s="1"/>
    </row>
    <row r="194" spans="2:59" x14ac:dyDescent="0.35">
      <c r="B194" s="1"/>
      <c r="C194" s="1"/>
      <c r="D194" s="1"/>
      <c r="E194" s="1"/>
      <c r="F194" s="1"/>
      <c r="G194" s="1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34"/>
      <c r="BE194" s="1"/>
      <c r="BF194" s="1"/>
      <c r="BG194" s="1"/>
    </row>
    <row r="195" spans="2:59" x14ac:dyDescent="0.35">
      <c r="B195" s="1"/>
      <c r="C195" s="1"/>
      <c r="D195" s="1"/>
      <c r="E195" s="1"/>
      <c r="F195" s="1"/>
      <c r="G195" s="1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34"/>
      <c r="BE195" s="1"/>
      <c r="BF195" s="1"/>
      <c r="BG195" s="1"/>
    </row>
    <row r="196" spans="2:59" x14ac:dyDescent="0.35">
      <c r="B196" s="1"/>
      <c r="C196" s="1"/>
      <c r="D196" s="1"/>
      <c r="E196" s="1"/>
      <c r="F196" s="1"/>
      <c r="G196" s="1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34"/>
      <c r="BE196" s="1"/>
      <c r="BF196" s="1"/>
      <c r="BG196" s="1"/>
    </row>
    <row r="197" spans="2:59" x14ac:dyDescent="0.35">
      <c r="B197" s="1"/>
      <c r="C197" s="1"/>
      <c r="D197" s="1"/>
      <c r="E197" s="1"/>
      <c r="F197" s="1"/>
      <c r="G197" s="1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34"/>
      <c r="BE197" s="1"/>
      <c r="BF197" s="1"/>
      <c r="BG197" s="1"/>
    </row>
    <row r="198" spans="2:59" x14ac:dyDescent="0.35">
      <c r="B198" s="1"/>
      <c r="C198" s="1"/>
      <c r="D198" s="1"/>
      <c r="E198" s="1"/>
      <c r="F198" s="1"/>
      <c r="G198" s="1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34"/>
      <c r="BE198" s="1"/>
      <c r="BF198" s="1"/>
      <c r="BG198" s="1"/>
    </row>
    <row r="199" spans="2:59" x14ac:dyDescent="0.35">
      <c r="B199" s="1"/>
      <c r="C199" s="1"/>
      <c r="D199" s="1"/>
      <c r="E199" s="1"/>
      <c r="F199" s="1"/>
      <c r="G199" s="1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34"/>
      <c r="BE199" s="1"/>
      <c r="BF199" s="1"/>
      <c r="BG199" s="1"/>
    </row>
    <row r="200" spans="2:59" x14ac:dyDescent="0.35">
      <c r="B200" s="1"/>
      <c r="C200" s="1"/>
      <c r="D200" s="1"/>
      <c r="E200" s="1"/>
      <c r="F200" s="1"/>
      <c r="G200" s="1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34"/>
      <c r="BE200" s="1"/>
      <c r="BF200" s="1"/>
      <c r="BG200" s="1"/>
    </row>
    <row r="201" spans="2:59" x14ac:dyDescent="0.35">
      <c r="B201" s="1"/>
      <c r="C201" s="1"/>
      <c r="D201" s="1"/>
      <c r="E201" s="1"/>
      <c r="F201" s="1"/>
      <c r="G201" s="1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34"/>
      <c r="BE201" s="1"/>
      <c r="BF201" s="1"/>
      <c r="BG201" s="1"/>
    </row>
    <row r="202" spans="2:59" x14ac:dyDescent="0.35">
      <c r="B202" s="1"/>
      <c r="C202" s="1"/>
      <c r="D202" s="1"/>
      <c r="E202" s="1"/>
      <c r="F202" s="1"/>
      <c r="G202" s="1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34"/>
      <c r="BE202" s="1"/>
      <c r="BF202" s="1"/>
      <c r="BG202" s="1"/>
    </row>
    <row r="203" spans="2:59" x14ac:dyDescent="0.35">
      <c r="B203" s="1"/>
      <c r="C203" s="1"/>
      <c r="D203" s="1"/>
      <c r="E203" s="1"/>
      <c r="F203" s="1"/>
      <c r="G203" s="1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34"/>
      <c r="BE203" s="1"/>
      <c r="BF203" s="1"/>
      <c r="BG203" s="1"/>
    </row>
    <row r="204" spans="2:59" x14ac:dyDescent="0.35">
      <c r="B204" s="1"/>
      <c r="C204" s="1"/>
      <c r="D204" s="1"/>
      <c r="E204" s="1"/>
      <c r="F204" s="1"/>
      <c r="G204" s="1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34"/>
      <c r="BE204" s="1"/>
      <c r="BF204" s="1"/>
      <c r="BG204" s="1"/>
    </row>
    <row r="205" spans="2:59" x14ac:dyDescent="0.35">
      <c r="B205" s="1"/>
      <c r="C205" s="1"/>
      <c r="D205" s="1"/>
      <c r="E205" s="1"/>
      <c r="F205" s="1"/>
      <c r="G205" s="1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34"/>
      <c r="BE205" s="1"/>
      <c r="BF205" s="1"/>
      <c r="BG205" s="1"/>
    </row>
    <row r="206" spans="2:59" x14ac:dyDescent="0.35">
      <c r="B206" s="1"/>
      <c r="C206" s="1"/>
      <c r="D206" s="1"/>
      <c r="E206" s="1"/>
      <c r="F206" s="1"/>
      <c r="G206" s="1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34"/>
      <c r="BE206" s="1"/>
      <c r="BF206" s="1"/>
      <c r="BG206" s="1"/>
    </row>
    <row r="207" spans="2:59" x14ac:dyDescent="0.35">
      <c r="B207" s="1"/>
      <c r="C207" s="1"/>
      <c r="D207" s="1"/>
      <c r="E207" s="1"/>
      <c r="F207" s="1"/>
      <c r="G207" s="1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34"/>
      <c r="BE207" s="1"/>
      <c r="BF207" s="1"/>
      <c r="BG207" s="1"/>
    </row>
    <row r="208" spans="2:59" x14ac:dyDescent="0.35">
      <c r="B208" s="1"/>
      <c r="C208" s="1"/>
      <c r="D208" s="1"/>
      <c r="E208" s="1"/>
      <c r="F208" s="1"/>
      <c r="G208" s="1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34"/>
      <c r="BE208" s="1"/>
      <c r="BF208" s="1"/>
      <c r="BG208" s="1"/>
    </row>
    <row r="209" spans="2:59" x14ac:dyDescent="0.35">
      <c r="B209" s="1"/>
      <c r="C209" s="1"/>
      <c r="D209" s="1"/>
      <c r="E209" s="1"/>
      <c r="F209" s="1"/>
      <c r="G209" s="1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34"/>
      <c r="BE209" s="1"/>
      <c r="BF209" s="1"/>
      <c r="BG209" s="1"/>
    </row>
    <row r="210" spans="2:59" x14ac:dyDescent="0.35">
      <c r="B210" s="1"/>
      <c r="C210" s="1"/>
      <c r="D210" s="1"/>
      <c r="E210" s="1"/>
      <c r="F210" s="1"/>
      <c r="G210" s="1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34"/>
      <c r="BE210" s="1"/>
      <c r="BF210" s="1"/>
      <c r="BG210" s="1"/>
    </row>
    <row r="211" spans="2:59" x14ac:dyDescent="0.35">
      <c r="B211" s="1"/>
      <c r="C211" s="1"/>
      <c r="D211" s="1"/>
      <c r="E211" s="1"/>
      <c r="F211" s="1"/>
      <c r="G211" s="1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34"/>
      <c r="BE211" s="1"/>
      <c r="BF211" s="1"/>
      <c r="BG211" s="1"/>
    </row>
    <row r="212" spans="2:59" x14ac:dyDescent="0.35">
      <c r="B212" s="1"/>
      <c r="C212" s="1"/>
      <c r="D212" s="1"/>
      <c r="E212" s="1"/>
      <c r="F212" s="1"/>
      <c r="G212" s="1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34"/>
      <c r="BE212" s="1"/>
      <c r="BF212" s="1"/>
      <c r="BG212" s="1"/>
    </row>
    <row r="213" spans="2:59" x14ac:dyDescent="0.35">
      <c r="B213" s="1"/>
      <c r="C213" s="1"/>
      <c r="D213" s="1"/>
      <c r="E213" s="1"/>
      <c r="F213" s="1"/>
      <c r="G213" s="1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34"/>
      <c r="BE213" s="1"/>
      <c r="BF213" s="1"/>
      <c r="BG213" s="1"/>
    </row>
    <row r="214" spans="2:59" x14ac:dyDescent="0.35">
      <c r="B214" s="1"/>
      <c r="C214" s="1"/>
      <c r="D214" s="1"/>
      <c r="E214" s="1"/>
      <c r="F214" s="1"/>
      <c r="G214" s="1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34"/>
      <c r="BE214" s="1"/>
      <c r="BF214" s="1"/>
      <c r="BG214" s="1"/>
    </row>
    <row r="215" spans="2:59" x14ac:dyDescent="0.35">
      <c r="B215" s="1"/>
      <c r="C215" s="1"/>
      <c r="D215" s="1"/>
      <c r="E215" s="1"/>
      <c r="F215" s="1"/>
      <c r="G215" s="1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34"/>
      <c r="BE215" s="1"/>
      <c r="BF215" s="1"/>
      <c r="BG215" s="1"/>
    </row>
    <row r="216" spans="2:59" x14ac:dyDescent="0.35">
      <c r="B216" s="1"/>
      <c r="C216" s="1"/>
      <c r="D216" s="1"/>
      <c r="E216" s="1"/>
      <c r="F216" s="1"/>
      <c r="G216" s="1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34"/>
      <c r="BE216" s="1"/>
      <c r="BF216" s="1"/>
      <c r="BG216" s="1"/>
    </row>
    <row r="217" spans="2:59" x14ac:dyDescent="0.35">
      <c r="B217" s="1"/>
      <c r="C217" s="1"/>
      <c r="D217" s="1"/>
      <c r="E217" s="1"/>
      <c r="F217" s="1"/>
      <c r="G217" s="1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34"/>
      <c r="BE217" s="1"/>
      <c r="BF217" s="1"/>
      <c r="BG217" s="1"/>
    </row>
    <row r="218" spans="2:59" x14ac:dyDescent="0.35">
      <c r="B218" s="1"/>
      <c r="C218" s="1"/>
      <c r="D218" s="1"/>
      <c r="E218" s="1"/>
      <c r="F218" s="1"/>
      <c r="G218" s="1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34"/>
      <c r="BE218" s="1"/>
      <c r="BF218" s="1"/>
      <c r="BG218" s="1"/>
    </row>
    <row r="219" spans="2:59" x14ac:dyDescent="0.35">
      <c r="B219" s="1"/>
      <c r="C219" s="1"/>
      <c r="D219" s="1"/>
      <c r="E219" s="1"/>
      <c r="F219" s="1"/>
      <c r="G219" s="1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34"/>
      <c r="BE219" s="1"/>
      <c r="BF219" s="1"/>
      <c r="BG219" s="1"/>
    </row>
    <row r="220" spans="2:59" x14ac:dyDescent="0.35">
      <c r="B220" s="1"/>
      <c r="C220" s="1"/>
      <c r="D220" s="1"/>
      <c r="E220" s="1"/>
      <c r="F220" s="1"/>
      <c r="G220" s="1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34"/>
      <c r="BE220" s="1"/>
      <c r="BF220" s="1"/>
      <c r="BG220" s="1"/>
    </row>
    <row r="221" spans="2:59" x14ac:dyDescent="0.35">
      <c r="B221" s="1"/>
      <c r="C221" s="1"/>
      <c r="D221" s="1"/>
      <c r="E221" s="1"/>
      <c r="F221" s="1"/>
      <c r="G221" s="1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34"/>
      <c r="BE221" s="1"/>
      <c r="BF221" s="1"/>
      <c r="BG221" s="1"/>
    </row>
    <row r="222" spans="2:59" x14ac:dyDescent="0.35">
      <c r="B222" s="1"/>
      <c r="C222" s="1"/>
      <c r="D222" s="1"/>
      <c r="E222" s="1"/>
      <c r="F222" s="1"/>
      <c r="G222" s="1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34"/>
      <c r="BE222" s="1"/>
      <c r="BF222" s="1"/>
      <c r="BG222" s="1"/>
    </row>
    <row r="223" spans="2:59" x14ac:dyDescent="0.35">
      <c r="B223" s="1"/>
      <c r="C223" s="1"/>
      <c r="D223" s="1"/>
      <c r="E223" s="1"/>
      <c r="F223" s="1"/>
      <c r="G223" s="1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34"/>
      <c r="BE223" s="1"/>
      <c r="BF223" s="1"/>
      <c r="BG223" s="1"/>
    </row>
    <row r="224" spans="2:59" x14ac:dyDescent="0.35">
      <c r="B224" s="1"/>
      <c r="C224" s="1"/>
      <c r="D224" s="1"/>
      <c r="E224" s="1"/>
      <c r="F224" s="1"/>
      <c r="G224" s="1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34"/>
      <c r="BE224" s="1"/>
      <c r="BF224" s="1"/>
      <c r="BG224" s="1"/>
    </row>
    <row r="225" spans="2:59" x14ac:dyDescent="0.35">
      <c r="B225" s="1"/>
      <c r="C225" s="1"/>
      <c r="D225" s="1"/>
      <c r="E225" s="1"/>
      <c r="F225" s="1"/>
      <c r="G225" s="1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34"/>
      <c r="BE225" s="1"/>
      <c r="BF225" s="1"/>
      <c r="BG225" s="1"/>
    </row>
    <row r="226" spans="2:59" x14ac:dyDescent="0.35">
      <c r="B226" s="1"/>
      <c r="C226" s="1"/>
      <c r="D226" s="1"/>
      <c r="E226" s="1"/>
      <c r="F226" s="1"/>
      <c r="G226" s="1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34"/>
      <c r="BE226" s="1"/>
      <c r="BF226" s="1"/>
      <c r="BG226" s="1"/>
    </row>
    <row r="227" spans="2:59" x14ac:dyDescent="0.35">
      <c r="B227" s="1"/>
      <c r="C227" s="1"/>
      <c r="D227" s="1"/>
      <c r="E227" s="1"/>
      <c r="F227" s="1"/>
      <c r="G227" s="1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34"/>
      <c r="BE227" s="1"/>
      <c r="BF227" s="1"/>
      <c r="BG227" s="1"/>
    </row>
    <row r="228" spans="2:59" x14ac:dyDescent="0.35">
      <c r="B228" s="1"/>
      <c r="C228" s="1"/>
      <c r="D228" s="1"/>
      <c r="E228" s="1"/>
      <c r="F228" s="1"/>
      <c r="G228" s="1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34"/>
      <c r="BE228" s="1"/>
      <c r="BF228" s="1"/>
      <c r="BG228" s="1"/>
    </row>
    <row r="229" spans="2:59" x14ac:dyDescent="0.35">
      <c r="B229" s="1"/>
      <c r="C229" s="1"/>
      <c r="D229" s="1"/>
      <c r="E229" s="1"/>
      <c r="F229" s="1"/>
      <c r="G229" s="1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34"/>
      <c r="BE229" s="1"/>
      <c r="BF229" s="1"/>
      <c r="BG229" s="1"/>
    </row>
    <row r="230" spans="2:59" x14ac:dyDescent="0.35">
      <c r="B230" s="1"/>
      <c r="C230" s="1"/>
      <c r="D230" s="1"/>
      <c r="E230" s="1"/>
      <c r="F230" s="1"/>
      <c r="G230" s="1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34"/>
      <c r="BE230" s="1"/>
      <c r="BF230" s="1"/>
      <c r="BG230" s="1"/>
    </row>
    <row r="231" spans="2:59" x14ac:dyDescent="0.35">
      <c r="B231" s="1"/>
      <c r="C231" s="1"/>
      <c r="D231" s="1"/>
      <c r="E231" s="1"/>
      <c r="F231" s="1"/>
      <c r="G231" s="1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34"/>
      <c r="BE231" s="1"/>
      <c r="BF231" s="1"/>
      <c r="BG231" s="1"/>
    </row>
    <row r="232" spans="2:59" x14ac:dyDescent="0.35">
      <c r="B232" s="1"/>
      <c r="C232" s="1"/>
      <c r="D232" s="1"/>
      <c r="E232" s="1"/>
      <c r="F232" s="1"/>
      <c r="G232" s="1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34"/>
      <c r="BE232" s="1"/>
      <c r="BF232" s="1"/>
      <c r="BG232" s="1"/>
    </row>
    <row r="233" spans="2:59" x14ac:dyDescent="0.35">
      <c r="B233" s="1"/>
      <c r="C233" s="1"/>
      <c r="D233" s="1"/>
      <c r="E233" s="1"/>
      <c r="F233" s="1"/>
      <c r="G233" s="1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34"/>
      <c r="BE233" s="1"/>
      <c r="BF233" s="1"/>
      <c r="BG233" s="1"/>
    </row>
    <row r="234" spans="2:59" x14ac:dyDescent="0.35">
      <c r="B234" s="1"/>
      <c r="C234" s="1"/>
      <c r="D234" s="1"/>
      <c r="E234" s="1"/>
      <c r="F234" s="1"/>
      <c r="G234" s="1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34"/>
      <c r="BE234" s="1"/>
      <c r="BF234" s="1"/>
      <c r="BG234" s="1"/>
    </row>
    <row r="235" spans="2:59" x14ac:dyDescent="0.35">
      <c r="B235" s="1"/>
      <c r="C235" s="1"/>
      <c r="D235" s="1"/>
      <c r="E235" s="1"/>
      <c r="F235" s="1"/>
      <c r="G235" s="1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34"/>
      <c r="BE235" s="1"/>
      <c r="BF235" s="1"/>
      <c r="BG235" s="1"/>
    </row>
    <row r="236" spans="2:59" x14ac:dyDescent="0.35">
      <c r="B236" s="1"/>
      <c r="C236" s="1"/>
      <c r="D236" s="1"/>
      <c r="E236" s="1"/>
      <c r="F236" s="1"/>
      <c r="G236" s="1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34"/>
      <c r="BE236" s="1"/>
      <c r="BF236" s="1"/>
      <c r="BG236" s="1"/>
    </row>
    <row r="237" spans="2:59" x14ac:dyDescent="0.35">
      <c r="B237" s="1"/>
      <c r="C237" s="1"/>
      <c r="D237" s="1"/>
      <c r="E237" s="1"/>
      <c r="F237" s="1"/>
      <c r="G237" s="1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34"/>
      <c r="BE237" s="1"/>
      <c r="BF237" s="1"/>
      <c r="BG237" s="1"/>
    </row>
    <row r="238" spans="2:59" x14ac:dyDescent="0.35">
      <c r="B238" s="1"/>
      <c r="C238" s="1"/>
      <c r="D238" s="1"/>
      <c r="E238" s="1"/>
      <c r="F238" s="1"/>
      <c r="G238" s="1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34"/>
      <c r="BE238" s="1"/>
      <c r="BF238" s="1"/>
      <c r="BG238" s="1"/>
    </row>
    <row r="239" spans="2:59" x14ac:dyDescent="0.35">
      <c r="B239" s="1"/>
      <c r="C239" s="1"/>
      <c r="D239" s="1"/>
      <c r="E239" s="1"/>
      <c r="F239" s="1"/>
      <c r="G239" s="1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34"/>
      <c r="BE239" s="1"/>
      <c r="BF239" s="1"/>
      <c r="BG239" s="1"/>
    </row>
    <row r="240" spans="2:59" x14ac:dyDescent="0.35">
      <c r="B240" s="1"/>
      <c r="C240" s="1"/>
      <c r="D240" s="1"/>
      <c r="E240" s="1"/>
      <c r="F240" s="1"/>
      <c r="G240" s="1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34"/>
      <c r="BE240" s="1"/>
      <c r="BF240" s="1"/>
      <c r="BG240" s="1"/>
    </row>
    <row r="241" spans="2:59" x14ac:dyDescent="0.35">
      <c r="B241" s="1"/>
      <c r="C241" s="1"/>
      <c r="D241" s="1"/>
      <c r="E241" s="1"/>
      <c r="F241" s="1"/>
      <c r="G241" s="1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34"/>
      <c r="BE241" s="1"/>
      <c r="BF241" s="1"/>
      <c r="BG241" s="1"/>
    </row>
    <row r="242" spans="2:59" x14ac:dyDescent="0.35">
      <c r="B242" s="1"/>
      <c r="C242" s="1"/>
      <c r="D242" s="1"/>
      <c r="E242" s="1"/>
      <c r="F242" s="1"/>
      <c r="G242" s="1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34"/>
      <c r="BE242" s="1"/>
      <c r="BF242" s="1"/>
      <c r="BG242" s="1"/>
    </row>
    <row r="243" spans="2:59" x14ac:dyDescent="0.35">
      <c r="B243" s="1"/>
      <c r="C243" s="1"/>
      <c r="D243" s="1"/>
      <c r="E243" s="1"/>
      <c r="F243" s="1"/>
      <c r="G243" s="1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34"/>
      <c r="BE243" s="1"/>
      <c r="BF243" s="1"/>
      <c r="BG243" s="1"/>
    </row>
    <row r="244" spans="2:59" x14ac:dyDescent="0.35">
      <c r="B244" s="1"/>
      <c r="C244" s="1"/>
      <c r="D244" s="1"/>
      <c r="E244" s="1"/>
      <c r="F244" s="1"/>
      <c r="G244" s="1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34"/>
      <c r="BE244" s="1"/>
      <c r="BF244" s="1"/>
      <c r="BG244" s="1"/>
    </row>
    <row r="245" spans="2:59" x14ac:dyDescent="0.35">
      <c r="B245" s="1"/>
      <c r="C245" s="1"/>
      <c r="D245" s="1"/>
      <c r="E245" s="1"/>
      <c r="F245" s="1"/>
      <c r="G245" s="1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34"/>
      <c r="BE245" s="1"/>
      <c r="BF245" s="1"/>
      <c r="BG245" s="1"/>
    </row>
    <row r="246" spans="2:59" x14ac:dyDescent="0.35">
      <c r="B246" s="1"/>
      <c r="C246" s="1"/>
      <c r="D246" s="1"/>
      <c r="E246" s="1"/>
      <c r="F246" s="1"/>
      <c r="G246" s="1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34"/>
      <c r="BE246" s="1"/>
      <c r="BF246" s="1"/>
      <c r="BG246" s="1"/>
    </row>
    <row r="247" spans="2:59" x14ac:dyDescent="0.35">
      <c r="B247" s="1"/>
      <c r="C247" s="1"/>
      <c r="D247" s="1"/>
      <c r="E247" s="1"/>
      <c r="F247" s="1"/>
      <c r="G247" s="1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34"/>
      <c r="BE247" s="1"/>
      <c r="BF247" s="1"/>
      <c r="BG247" s="1"/>
    </row>
    <row r="248" spans="2:59" x14ac:dyDescent="0.35">
      <c r="B248" s="1"/>
      <c r="C248" s="1"/>
      <c r="D248" s="1"/>
      <c r="E248" s="1"/>
      <c r="F248" s="1"/>
      <c r="G248" s="1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34"/>
      <c r="BE248" s="1"/>
      <c r="BF248" s="1"/>
      <c r="BG248" s="1"/>
    </row>
    <row r="249" spans="2:59" x14ac:dyDescent="0.35">
      <c r="B249" s="1"/>
      <c r="C249" s="1"/>
      <c r="D249" s="1"/>
      <c r="E249" s="1"/>
      <c r="F249" s="1"/>
      <c r="G249" s="1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34"/>
      <c r="BE249" s="1"/>
      <c r="BF249" s="1"/>
      <c r="BG249" s="1"/>
    </row>
    <row r="250" spans="2:59" x14ac:dyDescent="0.35">
      <c r="B250" s="1"/>
      <c r="C250" s="1"/>
      <c r="D250" s="1"/>
      <c r="E250" s="1"/>
      <c r="F250" s="1"/>
      <c r="G250" s="1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34"/>
      <c r="BE250" s="1"/>
      <c r="BF250" s="1"/>
      <c r="BG250" s="1"/>
    </row>
    <row r="251" spans="2:59" x14ac:dyDescent="0.35">
      <c r="B251" s="1"/>
      <c r="C251" s="1"/>
      <c r="D251" s="1"/>
      <c r="E251" s="1"/>
      <c r="F251" s="1"/>
      <c r="G251" s="1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34"/>
      <c r="BE251" s="1"/>
      <c r="BF251" s="1"/>
      <c r="BG251" s="1"/>
    </row>
    <row r="252" spans="2:59" x14ac:dyDescent="0.35">
      <c r="B252" s="1"/>
      <c r="C252" s="1"/>
      <c r="D252" s="1"/>
      <c r="E252" s="1"/>
      <c r="F252" s="1"/>
      <c r="G252" s="1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34"/>
      <c r="BE252" s="1"/>
      <c r="BF252" s="1"/>
      <c r="BG252" s="1"/>
    </row>
    <row r="253" spans="2:59" x14ac:dyDescent="0.35">
      <c r="B253" s="1"/>
      <c r="C253" s="1"/>
      <c r="D253" s="1"/>
      <c r="E253" s="1"/>
      <c r="F253" s="1"/>
      <c r="G253" s="1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34"/>
      <c r="BE253" s="1"/>
      <c r="BF253" s="1"/>
      <c r="BG253" s="1"/>
    </row>
    <row r="254" spans="2:59" x14ac:dyDescent="0.35">
      <c r="B254" s="1"/>
      <c r="C254" s="1"/>
      <c r="D254" s="1"/>
      <c r="E254" s="1"/>
      <c r="F254" s="1"/>
      <c r="G254" s="1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34"/>
      <c r="BE254" s="1"/>
      <c r="BF254" s="1"/>
      <c r="BG254" s="1"/>
    </row>
    <row r="255" spans="2:59" x14ac:dyDescent="0.35">
      <c r="B255" s="1"/>
      <c r="C255" s="1"/>
      <c r="D255" s="1"/>
      <c r="E255" s="1"/>
      <c r="F255" s="1"/>
      <c r="G255" s="1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34"/>
      <c r="BE255" s="1"/>
      <c r="BF255" s="1"/>
      <c r="BG255" s="1"/>
    </row>
    <row r="256" spans="2:59" x14ac:dyDescent="0.35">
      <c r="B256" s="1"/>
      <c r="C256" s="1"/>
      <c r="D256" s="1"/>
      <c r="E256" s="1"/>
      <c r="F256" s="1"/>
      <c r="G256" s="1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34"/>
      <c r="BE256" s="1"/>
      <c r="BF256" s="1"/>
      <c r="BG256" s="1"/>
    </row>
    <row r="257" spans="2:59" x14ac:dyDescent="0.35">
      <c r="B257" s="1"/>
      <c r="C257" s="1"/>
      <c r="D257" s="1"/>
      <c r="E257" s="1"/>
      <c r="F257" s="1"/>
      <c r="G257" s="1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34"/>
      <c r="BE257" s="1"/>
      <c r="BF257" s="1"/>
      <c r="BG257" s="1"/>
    </row>
    <row r="258" spans="2:59" x14ac:dyDescent="0.35">
      <c r="B258" s="1"/>
      <c r="C258" s="1"/>
      <c r="D258" s="1"/>
      <c r="E258" s="1"/>
      <c r="F258" s="1"/>
      <c r="G258" s="1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34"/>
      <c r="BE258" s="1"/>
      <c r="BF258" s="1"/>
      <c r="BG258" s="1"/>
    </row>
    <row r="259" spans="2:59" x14ac:dyDescent="0.35">
      <c r="B259" s="1"/>
      <c r="C259" s="1"/>
      <c r="D259" s="1"/>
      <c r="E259" s="1"/>
      <c r="F259" s="1"/>
      <c r="G259" s="1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34"/>
      <c r="BE259" s="1"/>
      <c r="BF259" s="1"/>
      <c r="BG259" s="1"/>
    </row>
    <row r="260" spans="2:59" x14ac:dyDescent="0.35">
      <c r="B260" s="1"/>
      <c r="C260" s="1"/>
      <c r="D260" s="1"/>
      <c r="E260" s="1"/>
      <c r="F260" s="1"/>
      <c r="G260" s="1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34"/>
      <c r="BE260" s="1"/>
      <c r="BF260" s="1"/>
      <c r="BG260" s="1"/>
    </row>
    <row r="261" spans="2:59" x14ac:dyDescent="0.35">
      <c r="B261" s="1"/>
      <c r="C261" s="1"/>
      <c r="D261" s="1"/>
      <c r="E261" s="1"/>
      <c r="F261" s="1"/>
      <c r="G261" s="1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34"/>
      <c r="BE261" s="1"/>
      <c r="BF261" s="1"/>
      <c r="BG261" s="1"/>
    </row>
    <row r="262" spans="2:59" x14ac:dyDescent="0.35">
      <c r="B262" s="1"/>
      <c r="C262" s="1"/>
      <c r="D262" s="1"/>
      <c r="E262" s="1"/>
      <c r="F262" s="1"/>
      <c r="G262" s="1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34"/>
      <c r="BE262" s="1"/>
      <c r="BF262" s="1"/>
      <c r="BG262" s="1"/>
    </row>
    <row r="263" spans="2:59" x14ac:dyDescent="0.35">
      <c r="B263" s="1"/>
      <c r="C263" s="1"/>
      <c r="D263" s="1"/>
      <c r="E263" s="1"/>
      <c r="F263" s="1"/>
      <c r="G263" s="1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34"/>
      <c r="BE263" s="1"/>
      <c r="BF263" s="1"/>
      <c r="BG263" s="1"/>
    </row>
    <row r="264" spans="2:59" x14ac:dyDescent="0.35">
      <c r="B264" s="1"/>
      <c r="C264" s="1"/>
      <c r="D264" s="1"/>
      <c r="E264" s="1"/>
      <c r="F264" s="1"/>
      <c r="G264" s="1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34"/>
      <c r="BE264" s="1"/>
      <c r="BF264" s="1"/>
      <c r="BG264" s="1"/>
    </row>
    <row r="265" spans="2:59" x14ac:dyDescent="0.35">
      <c r="B265" s="1"/>
      <c r="C265" s="1"/>
      <c r="D265" s="1"/>
      <c r="E265" s="1"/>
      <c r="F265" s="1"/>
      <c r="G265" s="1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34"/>
      <c r="BE265" s="1"/>
      <c r="BF265" s="1"/>
      <c r="BG265" s="1"/>
    </row>
    <row r="266" spans="2:59" x14ac:dyDescent="0.35">
      <c r="B266" s="1"/>
      <c r="C266" s="1"/>
      <c r="D266" s="1"/>
      <c r="E266" s="1"/>
      <c r="F266" s="1"/>
      <c r="G266" s="1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34"/>
      <c r="BE266" s="1"/>
      <c r="BF266" s="1"/>
      <c r="BG266" s="1"/>
    </row>
    <row r="267" spans="2:59" x14ac:dyDescent="0.35">
      <c r="B267" s="1"/>
      <c r="C267" s="1"/>
      <c r="D267" s="1"/>
      <c r="E267" s="1"/>
      <c r="F267" s="1"/>
      <c r="G267" s="1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34"/>
      <c r="BE267" s="1"/>
      <c r="BF267" s="1"/>
      <c r="BG267" s="1"/>
    </row>
    <row r="268" spans="2:59" x14ac:dyDescent="0.35">
      <c r="B268" s="1"/>
      <c r="C268" s="1"/>
      <c r="D268" s="1"/>
      <c r="E268" s="1"/>
      <c r="F268" s="1"/>
      <c r="G268" s="1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34"/>
      <c r="BE268" s="1"/>
      <c r="BF268" s="1"/>
      <c r="BG268" s="1"/>
    </row>
    <row r="269" spans="2:59" x14ac:dyDescent="0.35">
      <c r="B269" s="1"/>
      <c r="C269" s="1"/>
      <c r="D269" s="1"/>
      <c r="E269" s="1"/>
      <c r="F269" s="1"/>
      <c r="G269" s="1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34"/>
      <c r="BE269" s="1"/>
      <c r="BF269" s="1"/>
      <c r="BG269" s="1"/>
    </row>
    <row r="270" spans="2:59" x14ac:dyDescent="0.35">
      <c r="B270" s="1"/>
      <c r="C270" s="1"/>
      <c r="D270" s="1"/>
      <c r="E270" s="1"/>
      <c r="F270" s="1"/>
      <c r="G270" s="1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34"/>
      <c r="BE270" s="1"/>
      <c r="BF270" s="1"/>
      <c r="BG270" s="1"/>
    </row>
    <row r="271" spans="2:59" x14ac:dyDescent="0.35">
      <c r="B271" s="1"/>
      <c r="C271" s="1"/>
      <c r="D271" s="1"/>
      <c r="E271" s="1"/>
      <c r="F271" s="1"/>
      <c r="G271" s="1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34"/>
      <c r="BE271" s="1"/>
      <c r="BF271" s="1"/>
      <c r="BG271" s="1"/>
    </row>
    <row r="272" spans="2:59" x14ac:dyDescent="0.35">
      <c r="B272" s="1"/>
      <c r="C272" s="1"/>
      <c r="D272" s="1"/>
      <c r="E272" s="1"/>
      <c r="F272" s="1"/>
      <c r="G272" s="1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34"/>
      <c r="BE272" s="1"/>
      <c r="BF272" s="1"/>
      <c r="BG272" s="1"/>
    </row>
    <row r="273" spans="2:59" x14ac:dyDescent="0.35">
      <c r="B273" s="1"/>
      <c r="C273" s="1"/>
      <c r="D273" s="1"/>
      <c r="E273" s="1"/>
      <c r="F273" s="1"/>
      <c r="G273" s="1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34"/>
      <c r="BE273" s="1"/>
      <c r="BF273" s="1"/>
      <c r="BG273" s="1"/>
    </row>
    <row r="274" spans="2:59" x14ac:dyDescent="0.35">
      <c r="B274" s="1"/>
      <c r="C274" s="1"/>
      <c r="D274" s="1"/>
      <c r="E274" s="1"/>
      <c r="F274" s="1"/>
      <c r="G274" s="1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34"/>
      <c r="BE274" s="1"/>
      <c r="BF274" s="1"/>
      <c r="BG274" s="1"/>
    </row>
    <row r="275" spans="2:59" x14ac:dyDescent="0.35">
      <c r="B275" s="1"/>
      <c r="C275" s="1"/>
      <c r="D275" s="1"/>
      <c r="E275" s="1"/>
      <c r="F275" s="1"/>
      <c r="G275" s="1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34"/>
      <c r="BE275" s="1"/>
      <c r="BF275" s="1"/>
      <c r="BG275" s="1"/>
    </row>
    <row r="276" spans="2:59" x14ac:dyDescent="0.35">
      <c r="B276" s="1"/>
      <c r="C276" s="1"/>
      <c r="D276" s="1"/>
      <c r="E276" s="1"/>
      <c r="F276" s="1"/>
      <c r="G276" s="1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34"/>
      <c r="BE276" s="1"/>
      <c r="BF276" s="1"/>
      <c r="BG276" s="1"/>
    </row>
    <row r="277" spans="2:59" x14ac:dyDescent="0.35">
      <c r="B277" s="1"/>
      <c r="C277" s="1"/>
      <c r="D277" s="1"/>
      <c r="E277" s="1"/>
      <c r="F277" s="1"/>
      <c r="G277" s="1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34"/>
      <c r="BE277" s="1"/>
      <c r="BF277" s="1"/>
      <c r="BG277" s="1"/>
    </row>
    <row r="278" spans="2:59" x14ac:dyDescent="0.35">
      <c r="B278" s="1"/>
      <c r="C278" s="1"/>
      <c r="D278" s="1"/>
      <c r="E278" s="1"/>
      <c r="F278" s="1"/>
      <c r="G278" s="1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34"/>
      <c r="BE278" s="1"/>
      <c r="BF278" s="1"/>
      <c r="BG278" s="1"/>
    </row>
    <row r="279" spans="2:59" x14ac:dyDescent="0.35">
      <c r="B279" s="1"/>
      <c r="C279" s="1"/>
      <c r="D279" s="1"/>
      <c r="E279" s="1"/>
      <c r="F279" s="1"/>
      <c r="G279" s="1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34"/>
      <c r="BE279" s="1"/>
      <c r="BF279" s="1"/>
      <c r="BG279" s="1"/>
    </row>
    <row r="280" spans="2:59" x14ac:dyDescent="0.35">
      <c r="B280" s="1"/>
      <c r="C280" s="1"/>
      <c r="D280" s="1"/>
      <c r="E280" s="1"/>
      <c r="F280" s="1"/>
      <c r="G280" s="1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34"/>
      <c r="BE280" s="1"/>
      <c r="BF280" s="1"/>
      <c r="BG280" s="1"/>
    </row>
    <row r="281" spans="2:59" x14ac:dyDescent="0.35">
      <c r="B281" s="1"/>
      <c r="C281" s="1"/>
      <c r="D281" s="1"/>
      <c r="E281" s="1"/>
      <c r="F281" s="1"/>
      <c r="G281" s="1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34"/>
      <c r="BE281" s="1"/>
      <c r="BF281" s="1"/>
      <c r="BG281" s="1"/>
    </row>
    <row r="282" spans="2:59" x14ac:dyDescent="0.35">
      <c r="B282" s="1"/>
      <c r="C282" s="1"/>
      <c r="D282" s="1"/>
      <c r="E282" s="1"/>
      <c r="F282" s="1"/>
      <c r="G282" s="1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34"/>
      <c r="BE282" s="1"/>
      <c r="BF282" s="1"/>
      <c r="BG282" s="1"/>
    </row>
    <row r="283" spans="2:59" x14ac:dyDescent="0.35">
      <c r="B283" s="1"/>
      <c r="C283" s="1"/>
      <c r="D283" s="1"/>
      <c r="E283" s="1"/>
      <c r="F283" s="1"/>
      <c r="G283" s="1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34"/>
      <c r="BE283" s="1"/>
      <c r="BF283" s="1"/>
      <c r="BG283" s="1"/>
    </row>
    <row r="284" spans="2:59" x14ac:dyDescent="0.35">
      <c r="B284" s="1"/>
      <c r="C284" s="1"/>
      <c r="D284" s="1"/>
      <c r="E284" s="1"/>
      <c r="F284" s="1"/>
      <c r="G284" s="1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34"/>
      <c r="BE284" s="1"/>
      <c r="BF284" s="1"/>
      <c r="BG284" s="1"/>
    </row>
    <row r="285" spans="2:59" x14ac:dyDescent="0.35">
      <c r="B285" s="1"/>
      <c r="C285" s="1"/>
      <c r="D285" s="1"/>
      <c r="E285" s="1"/>
      <c r="F285" s="1"/>
      <c r="G285" s="1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34"/>
      <c r="BE285" s="1"/>
      <c r="BF285" s="1"/>
      <c r="BG285" s="1"/>
    </row>
    <row r="286" spans="2:59" x14ac:dyDescent="0.35">
      <c r="B286" s="1"/>
      <c r="C286" s="1"/>
      <c r="D286" s="1"/>
      <c r="E286" s="1"/>
      <c r="F286" s="1"/>
      <c r="G286" s="1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34"/>
      <c r="BE286" s="1"/>
      <c r="BF286" s="1"/>
      <c r="BG286" s="1"/>
    </row>
    <row r="287" spans="2:59" x14ac:dyDescent="0.35">
      <c r="B287" s="1"/>
      <c r="C287" s="1"/>
      <c r="D287" s="1"/>
      <c r="E287" s="1"/>
      <c r="F287" s="1"/>
      <c r="G287" s="1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34"/>
      <c r="BE287" s="1"/>
      <c r="BF287" s="1"/>
      <c r="BG287" s="1"/>
    </row>
    <row r="288" spans="2:59" x14ac:dyDescent="0.35">
      <c r="B288" s="1"/>
      <c r="C288" s="1"/>
      <c r="D288" s="1"/>
      <c r="E288" s="1"/>
      <c r="F288" s="1"/>
      <c r="G288" s="1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34"/>
      <c r="BE288" s="1"/>
      <c r="BF288" s="1"/>
      <c r="BG288" s="1"/>
    </row>
    <row r="289" spans="2:59" x14ac:dyDescent="0.35">
      <c r="B289" s="1"/>
      <c r="C289" s="1"/>
      <c r="D289" s="1"/>
      <c r="E289" s="1"/>
      <c r="F289" s="1"/>
      <c r="G289" s="1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34"/>
      <c r="BE289" s="1"/>
      <c r="BF289" s="1"/>
      <c r="BG289" s="1"/>
    </row>
    <row r="290" spans="2:59" x14ac:dyDescent="0.35">
      <c r="B290" s="1"/>
      <c r="C290" s="1"/>
      <c r="D290" s="1"/>
      <c r="E290" s="1"/>
      <c r="F290" s="1"/>
      <c r="G290" s="1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34"/>
      <c r="BE290" s="1"/>
      <c r="BF290" s="1"/>
      <c r="BG290" s="1"/>
    </row>
    <row r="291" spans="2:59" x14ac:dyDescent="0.35">
      <c r="B291" s="1"/>
      <c r="C291" s="1"/>
      <c r="D291" s="1"/>
      <c r="E291" s="1"/>
      <c r="F291" s="1"/>
      <c r="G291" s="1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34"/>
      <c r="BE291" s="1"/>
      <c r="BF291" s="1"/>
      <c r="BG291" s="1"/>
    </row>
    <row r="292" spans="2:59" x14ac:dyDescent="0.35">
      <c r="B292" s="1"/>
      <c r="C292" s="1"/>
      <c r="D292" s="1"/>
      <c r="E292" s="1"/>
      <c r="F292" s="1"/>
      <c r="G292" s="1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34"/>
      <c r="BE292" s="1"/>
      <c r="BF292" s="1"/>
      <c r="BG292" s="1"/>
    </row>
    <row r="293" spans="2:59" x14ac:dyDescent="0.35">
      <c r="B293" s="1"/>
      <c r="C293" s="1"/>
      <c r="D293" s="1"/>
      <c r="E293" s="1"/>
      <c r="F293" s="1"/>
      <c r="G293" s="1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34"/>
      <c r="BE293" s="1"/>
      <c r="BF293" s="1"/>
      <c r="BG293" s="1"/>
    </row>
    <row r="294" spans="2:59" x14ac:dyDescent="0.35">
      <c r="B294" s="1"/>
      <c r="C294" s="1"/>
      <c r="D294" s="1"/>
      <c r="E294" s="1"/>
      <c r="F294" s="1"/>
      <c r="G294" s="1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34"/>
      <c r="BE294" s="1"/>
      <c r="BF294" s="1"/>
      <c r="BG294" s="1"/>
    </row>
    <row r="295" spans="2:59" x14ac:dyDescent="0.35">
      <c r="B295" s="1"/>
      <c r="C295" s="1"/>
      <c r="D295" s="1"/>
      <c r="E295" s="1"/>
      <c r="F295" s="1"/>
      <c r="G295" s="1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34"/>
      <c r="BE295" s="1"/>
      <c r="BF295" s="1"/>
      <c r="BG295" s="1"/>
    </row>
    <row r="296" spans="2:59" x14ac:dyDescent="0.35">
      <c r="B296" s="1"/>
      <c r="C296" s="1"/>
      <c r="D296" s="1"/>
      <c r="E296" s="1"/>
      <c r="F296" s="1"/>
      <c r="G296" s="1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34"/>
      <c r="BE296" s="1"/>
      <c r="BF296" s="1"/>
      <c r="BG296" s="1"/>
    </row>
    <row r="297" spans="2:59" x14ac:dyDescent="0.35">
      <c r="B297" s="1"/>
      <c r="C297" s="1"/>
      <c r="D297" s="1"/>
      <c r="E297" s="1"/>
      <c r="F297" s="1"/>
      <c r="G297" s="1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34"/>
      <c r="BE297" s="1"/>
      <c r="BF297" s="1"/>
      <c r="BG297" s="1"/>
    </row>
    <row r="298" spans="2:59" x14ac:dyDescent="0.35">
      <c r="B298" s="1"/>
      <c r="C298" s="1"/>
      <c r="D298" s="1"/>
      <c r="E298" s="1"/>
      <c r="F298" s="1"/>
      <c r="G298" s="1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34"/>
      <c r="BE298" s="1"/>
      <c r="BF298" s="1"/>
      <c r="BG298" s="1"/>
    </row>
    <row r="299" spans="2:59" x14ac:dyDescent="0.35">
      <c r="B299" s="1"/>
      <c r="C299" s="1"/>
      <c r="D299" s="1"/>
      <c r="E299" s="1"/>
      <c r="F299" s="1"/>
      <c r="G299" s="1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34"/>
      <c r="BE299" s="1"/>
      <c r="BF299" s="1"/>
      <c r="BG299" s="1"/>
    </row>
    <row r="300" spans="2:59" x14ac:dyDescent="0.35">
      <c r="B300" s="1"/>
      <c r="C300" s="1"/>
      <c r="D300" s="1"/>
      <c r="E300" s="1"/>
      <c r="F300" s="1"/>
      <c r="G300" s="1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34"/>
      <c r="BE300" s="1"/>
      <c r="BF300" s="1"/>
      <c r="BG300" s="1"/>
    </row>
    <row r="301" spans="2:59" x14ac:dyDescent="0.35">
      <c r="B301" s="1"/>
      <c r="C301" s="1"/>
      <c r="D301" s="1"/>
      <c r="E301" s="1"/>
      <c r="F301" s="1"/>
      <c r="G301" s="1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34"/>
      <c r="BE301" s="1"/>
      <c r="BF301" s="1"/>
      <c r="BG301" s="1"/>
    </row>
    <row r="302" spans="2:59" x14ac:dyDescent="0.35">
      <c r="B302" s="1"/>
      <c r="C302" s="1"/>
      <c r="D302" s="1"/>
      <c r="E302" s="1"/>
      <c r="F302" s="1"/>
      <c r="G302" s="1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34"/>
      <c r="BE302" s="1"/>
      <c r="BF302" s="1"/>
      <c r="BG302" s="1"/>
    </row>
    <row r="303" spans="2:59" x14ac:dyDescent="0.35">
      <c r="B303" s="1"/>
      <c r="C303" s="1"/>
      <c r="D303" s="1"/>
      <c r="E303" s="1"/>
      <c r="F303" s="1"/>
      <c r="G303" s="1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34"/>
      <c r="BE303" s="1"/>
      <c r="BF303" s="1"/>
      <c r="BG303" s="1"/>
    </row>
    <row r="304" spans="2:59" x14ac:dyDescent="0.35">
      <c r="B304" s="1"/>
      <c r="C304" s="1"/>
      <c r="D304" s="1"/>
      <c r="E304" s="1"/>
      <c r="F304" s="1"/>
      <c r="G304" s="1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34"/>
      <c r="BE304" s="1"/>
      <c r="BF304" s="1"/>
      <c r="BG304" s="1"/>
    </row>
    <row r="305" spans="2:59" x14ac:dyDescent="0.35">
      <c r="B305" s="1"/>
      <c r="C305" s="1"/>
      <c r="D305" s="1"/>
      <c r="E305" s="1"/>
      <c r="F305" s="1"/>
      <c r="G305" s="1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34"/>
      <c r="BE305" s="1"/>
      <c r="BF305" s="1"/>
      <c r="BG305" s="1"/>
    </row>
    <row r="306" spans="2:59" x14ac:dyDescent="0.35">
      <c r="B306" s="1"/>
      <c r="C306" s="1"/>
      <c r="D306" s="1"/>
      <c r="E306" s="1"/>
      <c r="F306" s="1"/>
      <c r="G306" s="1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34"/>
      <c r="BE306" s="1"/>
      <c r="BF306" s="1"/>
      <c r="BG306" s="1"/>
    </row>
    <row r="307" spans="2:59" x14ac:dyDescent="0.35">
      <c r="B307" s="1"/>
      <c r="C307" s="1"/>
      <c r="D307" s="1"/>
      <c r="E307" s="1"/>
      <c r="F307" s="1"/>
      <c r="G307" s="1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34"/>
      <c r="BE307" s="1"/>
      <c r="BF307" s="1"/>
      <c r="BG307" s="1"/>
    </row>
    <row r="308" spans="2:59" x14ac:dyDescent="0.35">
      <c r="B308" s="1"/>
      <c r="C308" s="1"/>
      <c r="D308" s="1"/>
      <c r="E308" s="1"/>
      <c r="F308" s="1"/>
      <c r="G308" s="1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34"/>
      <c r="BE308" s="1"/>
      <c r="BF308" s="1"/>
      <c r="BG308" s="1"/>
    </row>
    <row r="309" spans="2:59" x14ac:dyDescent="0.35">
      <c r="B309" s="1"/>
      <c r="C309" s="1"/>
      <c r="D309" s="1"/>
      <c r="E309" s="1"/>
      <c r="F309" s="1"/>
      <c r="G309" s="1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34"/>
      <c r="BE309" s="1"/>
      <c r="BF309" s="1"/>
      <c r="BG309" s="1"/>
    </row>
    <row r="310" spans="2:59" x14ac:dyDescent="0.35">
      <c r="B310" s="1"/>
      <c r="C310" s="1"/>
      <c r="D310" s="1"/>
      <c r="E310" s="1"/>
      <c r="F310" s="1"/>
      <c r="G310" s="1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34"/>
      <c r="BE310" s="1"/>
      <c r="BF310" s="1"/>
      <c r="BG310" s="1"/>
    </row>
    <row r="311" spans="2:59" x14ac:dyDescent="0.35">
      <c r="B311" s="1"/>
      <c r="C311" s="1"/>
      <c r="D311" s="1"/>
      <c r="E311" s="1"/>
      <c r="F311" s="1"/>
      <c r="G311" s="1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34"/>
      <c r="BE311" s="1"/>
      <c r="BF311" s="1"/>
      <c r="BG311" s="1"/>
    </row>
    <row r="312" spans="2:59" x14ac:dyDescent="0.35">
      <c r="B312" s="1"/>
      <c r="C312" s="1"/>
      <c r="D312" s="1"/>
      <c r="E312" s="1"/>
      <c r="F312" s="1"/>
      <c r="G312" s="1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34"/>
      <c r="BE312" s="1"/>
      <c r="BF312" s="1"/>
      <c r="BG312" s="1"/>
    </row>
    <row r="313" spans="2:59" x14ac:dyDescent="0.35">
      <c r="B313" s="1"/>
      <c r="C313" s="1"/>
      <c r="D313" s="1"/>
      <c r="E313" s="1"/>
      <c r="F313" s="1"/>
      <c r="G313" s="1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34"/>
      <c r="BE313" s="1"/>
      <c r="BF313" s="1"/>
      <c r="BG313" s="1"/>
    </row>
    <row r="314" spans="2:59" x14ac:dyDescent="0.35">
      <c r="B314" s="1"/>
      <c r="C314" s="1"/>
      <c r="D314" s="1"/>
      <c r="E314" s="1"/>
      <c r="F314" s="1"/>
      <c r="G314" s="1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34"/>
      <c r="BE314" s="1"/>
      <c r="BF314" s="1"/>
      <c r="BG314" s="1"/>
    </row>
    <row r="315" spans="2:59" x14ac:dyDescent="0.35">
      <c r="B315" s="1"/>
      <c r="C315" s="1"/>
      <c r="D315" s="1"/>
      <c r="E315" s="1"/>
      <c r="F315" s="1"/>
      <c r="G315" s="1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34"/>
      <c r="BE315" s="1"/>
      <c r="BF315" s="1"/>
      <c r="BG315" s="1"/>
    </row>
    <row r="316" spans="2:59" x14ac:dyDescent="0.35">
      <c r="B316" s="1"/>
      <c r="C316" s="1"/>
      <c r="D316" s="1"/>
      <c r="E316" s="1"/>
      <c r="F316" s="1"/>
      <c r="G316" s="1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34"/>
      <c r="BE316" s="1"/>
      <c r="BF316" s="1"/>
      <c r="BG316" s="1"/>
    </row>
    <row r="317" spans="2:59" x14ac:dyDescent="0.35">
      <c r="B317" s="1"/>
      <c r="C317" s="1"/>
      <c r="D317" s="1"/>
      <c r="E317" s="1"/>
      <c r="F317" s="1"/>
      <c r="G317" s="1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34"/>
      <c r="BE317" s="1"/>
      <c r="BF317" s="1"/>
      <c r="BG317" s="1"/>
    </row>
    <row r="318" spans="2:59" x14ac:dyDescent="0.35">
      <c r="B318" s="1"/>
      <c r="C318" s="1"/>
      <c r="D318" s="1"/>
      <c r="E318" s="1"/>
      <c r="F318" s="1"/>
      <c r="G318" s="1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34"/>
      <c r="BE318" s="1"/>
      <c r="BF318" s="1"/>
      <c r="BG318" s="1"/>
    </row>
    <row r="319" spans="2:59" x14ac:dyDescent="0.35">
      <c r="B319" s="1"/>
      <c r="C319" s="1"/>
      <c r="D319" s="1"/>
      <c r="E319" s="1"/>
      <c r="F319" s="1"/>
      <c r="G319" s="1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34"/>
      <c r="BE319" s="1"/>
      <c r="BF319" s="1"/>
      <c r="BG319" s="1"/>
    </row>
    <row r="320" spans="2:59" x14ac:dyDescent="0.35">
      <c r="B320" s="1"/>
      <c r="C320" s="1"/>
      <c r="D320" s="1"/>
      <c r="E320" s="1"/>
      <c r="F320" s="1"/>
      <c r="G320" s="1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34"/>
      <c r="BE320" s="1"/>
      <c r="BF320" s="1"/>
      <c r="BG320" s="1"/>
    </row>
    <row r="321" spans="2:59" x14ac:dyDescent="0.35">
      <c r="B321" s="1"/>
      <c r="C321" s="1"/>
      <c r="D321" s="1"/>
      <c r="E321" s="1"/>
      <c r="F321" s="1"/>
      <c r="G321" s="1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34"/>
      <c r="BE321" s="1"/>
      <c r="BF321" s="1"/>
      <c r="BG321" s="1"/>
    </row>
    <row r="322" spans="2:59" x14ac:dyDescent="0.35">
      <c r="B322" s="1"/>
      <c r="C322" s="1"/>
      <c r="D322" s="1"/>
      <c r="E322" s="1"/>
      <c r="F322" s="1"/>
      <c r="G322" s="1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34"/>
      <c r="BE322" s="1"/>
      <c r="BF322" s="1"/>
      <c r="BG322" s="1"/>
    </row>
    <row r="323" spans="2:59" x14ac:dyDescent="0.35">
      <c r="B323" s="1"/>
      <c r="C323" s="1"/>
      <c r="D323" s="1"/>
      <c r="E323" s="1"/>
      <c r="F323" s="1"/>
      <c r="G323" s="1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34"/>
      <c r="BE323" s="1"/>
      <c r="BF323" s="1"/>
      <c r="BG323" s="1"/>
    </row>
    <row r="324" spans="2:59" x14ac:dyDescent="0.35">
      <c r="B324" s="1"/>
      <c r="C324" s="1"/>
      <c r="D324" s="1"/>
      <c r="E324" s="1"/>
      <c r="F324" s="1"/>
      <c r="G324" s="1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34"/>
      <c r="BE324" s="1"/>
      <c r="BF324" s="1"/>
      <c r="BG324" s="1"/>
    </row>
    <row r="325" spans="2:59" x14ac:dyDescent="0.35">
      <c r="B325" s="1"/>
      <c r="C325" s="1"/>
      <c r="D325" s="1"/>
      <c r="E325" s="1"/>
      <c r="F325" s="1"/>
      <c r="G325" s="1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34"/>
      <c r="BE325" s="1"/>
      <c r="BF325" s="1"/>
      <c r="BG325" s="1"/>
    </row>
    <row r="326" spans="2:59" x14ac:dyDescent="0.35">
      <c r="B326" s="1"/>
      <c r="C326" s="1"/>
      <c r="D326" s="1"/>
      <c r="E326" s="1"/>
      <c r="F326" s="1"/>
      <c r="G326" s="1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34"/>
      <c r="BE326" s="1"/>
      <c r="BF326" s="1"/>
      <c r="BG326" s="1"/>
    </row>
    <row r="327" spans="2:59" x14ac:dyDescent="0.35">
      <c r="B327" s="1"/>
      <c r="C327" s="1"/>
      <c r="D327" s="1"/>
      <c r="E327" s="1"/>
      <c r="F327" s="1"/>
      <c r="G327" s="1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34"/>
      <c r="BE327" s="1"/>
      <c r="BF327" s="1"/>
      <c r="BG327" s="1"/>
    </row>
    <row r="328" spans="2:59" x14ac:dyDescent="0.35">
      <c r="B328" s="1"/>
      <c r="C328" s="1"/>
      <c r="D328" s="1"/>
      <c r="E328" s="1"/>
      <c r="F328" s="1"/>
      <c r="G328" s="1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34"/>
      <c r="BE328" s="1"/>
      <c r="BF328" s="1"/>
      <c r="BG328" s="1"/>
    </row>
    <row r="329" spans="2:59" x14ac:dyDescent="0.35">
      <c r="B329" s="1"/>
      <c r="C329" s="1"/>
      <c r="D329" s="1"/>
      <c r="E329" s="1"/>
      <c r="F329" s="1"/>
      <c r="G329" s="1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34"/>
      <c r="BE329" s="1"/>
      <c r="BF329" s="1"/>
      <c r="BG329" s="1"/>
    </row>
    <row r="330" spans="2:59" x14ac:dyDescent="0.35">
      <c r="B330" s="1"/>
      <c r="C330" s="1"/>
      <c r="D330" s="1"/>
      <c r="E330" s="1"/>
      <c r="F330" s="1"/>
      <c r="G330" s="1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34"/>
      <c r="BE330" s="1"/>
      <c r="BF330" s="1"/>
      <c r="BG330" s="1"/>
    </row>
    <row r="331" spans="2:59" x14ac:dyDescent="0.35">
      <c r="B331" s="1"/>
      <c r="C331" s="1"/>
      <c r="D331" s="1"/>
      <c r="E331" s="1"/>
      <c r="F331" s="1"/>
      <c r="G331" s="1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34"/>
      <c r="BE331" s="1"/>
      <c r="BF331" s="1"/>
      <c r="BG331" s="1"/>
    </row>
    <row r="332" spans="2:59" x14ac:dyDescent="0.35">
      <c r="B332" s="1"/>
      <c r="C332" s="1"/>
      <c r="D332" s="1"/>
      <c r="E332" s="1"/>
      <c r="F332" s="1"/>
      <c r="G332" s="1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34"/>
      <c r="BE332" s="1"/>
      <c r="BF332" s="1"/>
      <c r="BG332" s="1"/>
    </row>
    <row r="333" spans="2:59" x14ac:dyDescent="0.35">
      <c r="B333" s="1"/>
      <c r="C333" s="1"/>
      <c r="D333" s="1"/>
      <c r="E333" s="1"/>
      <c r="F333" s="1"/>
      <c r="G333" s="1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34"/>
      <c r="BE333" s="1"/>
      <c r="BF333" s="1"/>
      <c r="BG333" s="1"/>
    </row>
    <row r="334" spans="2:59" x14ac:dyDescent="0.35">
      <c r="B334" s="1"/>
      <c r="C334" s="1"/>
      <c r="D334" s="1"/>
      <c r="E334" s="1"/>
      <c r="F334" s="1"/>
      <c r="G334" s="1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34"/>
      <c r="BE334" s="1"/>
      <c r="BF334" s="1"/>
      <c r="BG334" s="1"/>
    </row>
    <row r="335" spans="2:59" x14ac:dyDescent="0.35">
      <c r="B335" s="1"/>
      <c r="C335" s="1"/>
      <c r="D335" s="1"/>
      <c r="E335" s="1"/>
      <c r="F335" s="1"/>
      <c r="G335" s="1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34"/>
      <c r="BE335" s="1"/>
      <c r="BF335" s="1"/>
      <c r="BG335" s="1"/>
    </row>
    <row r="336" spans="2:59" x14ac:dyDescent="0.35">
      <c r="B336" s="1"/>
      <c r="C336" s="1"/>
      <c r="D336" s="1"/>
      <c r="E336" s="1"/>
      <c r="F336" s="1"/>
      <c r="G336" s="1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34"/>
      <c r="BE336" s="1"/>
      <c r="BF336" s="1"/>
      <c r="BG336" s="1"/>
    </row>
    <row r="337" spans="2:59" x14ac:dyDescent="0.35">
      <c r="B337" s="1"/>
      <c r="C337" s="1"/>
      <c r="D337" s="1"/>
      <c r="E337" s="1"/>
      <c r="F337" s="1"/>
      <c r="G337" s="1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34"/>
      <c r="BE337" s="1"/>
      <c r="BF337" s="1"/>
      <c r="BG337" s="1"/>
    </row>
    <row r="338" spans="2:59" x14ac:dyDescent="0.35">
      <c r="B338" s="1"/>
      <c r="C338" s="1"/>
      <c r="D338" s="1"/>
      <c r="E338" s="1"/>
      <c r="F338" s="1"/>
      <c r="G338" s="1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34"/>
      <c r="BE338" s="1"/>
      <c r="BF338" s="1"/>
      <c r="BG338" s="1"/>
    </row>
    <row r="339" spans="2:59" x14ac:dyDescent="0.35">
      <c r="B339" s="1"/>
      <c r="C339" s="1"/>
      <c r="D339" s="1"/>
      <c r="E339" s="1"/>
      <c r="F339" s="1"/>
      <c r="G339" s="1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34"/>
      <c r="BE339" s="1"/>
      <c r="BF339" s="1"/>
      <c r="BG339" s="1"/>
    </row>
    <row r="340" spans="2:59" x14ac:dyDescent="0.35">
      <c r="B340" s="1"/>
      <c r="C340" s="1"/>
      <c r="D340" s="1"/>
      <c r="E340" s="1"/>
      <c r="F340" s="1"/>
      <c r="G340" s="1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34"/>
      <c r="BE340" s="1"/>
      <c r="BF340" s="1"/>
      <c r="BG340" s="1"/>
    </row>
    <row r="341" spans="2:59" x14ac:dyDescent="0.35">
      <c r="B341" s="1"/>
      <c r="C341" s="1"/>
      <c r="D341" s="1"/>
      <c r="E341" s="1"/>
      <c r="F341" s="1"/>
      <c r="G341" s="1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34"/>
      <c r="BE341" s="1"/>
      <c r="BF341" s="1"/>
      <c r="BG341" s="1"/>
    </row>
    <row r="342" spans="2:59" x14ac:dyDescent="0.35">
      <c r="B342" s="1"/>
      <c r="C342" s="1"/>
      <c r="D342" s="1"/>
      <c r="E342" s="1"/>
      <c r="F342" s="1"/>
      <c r="G342" s="1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34"/>
      <c r="BE342" s="1"/>
      <c r="BF342" s="1"/>
      <c r="BG342" s="1"/>
    </row>
    <row r="343" spans="2:59" x14ac:dyDescent="0.35">
      <c r="B343" s="1"/>
      <c r="C343" s="1"/>
      <c r="D343" s="1"/>
      <c r="E343" s="1"/>
      <c r="F343" s="1"/>
      <c r="G343" s="1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34"/>
      <c r="BE343" s="1"/>
      <c r="BF343" s="1"/>
      <c r="BG343" s="1"/>
    </row>
    <row r="344" spans="2:59" x14ac:dyDescent="0.35">
      <c r="B344" s="1"/>
      <c r="C344" s="1"/>
      <c r="D344" s="1"/>
      <c r="E344" s="1"/>
      <c r="F344" s="1"/>
      <c r="G344" s="1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34"/>
      <c r="BE344" s="1"/>
      <c r="BF344" s="1"/>
      <c r="BG344" s="1"/>
    </row>
    <row r="345" spans="2:59" x14ac:dyDescent="0.35">
      <c r="B345" s="1"/>
      <c r="C345" s="1"/>
      <c r="D345" s="1"/>
      <c r="E345" s="1"/>
      <c r="F345" s="1"/>
      <c r="G345" s="1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34"/>
      <c r="BE345" s="1"/>
      <c r="BF345" s="1"/>
      <c r="BG345" s="1"/>
    </row>
    <row r="346" spans="2:59" x14ac:dyDescent="0.35">
      <c r="B346" s="1"/>
      <c r="C346" s="1"/>
      <c r="D346" s="1"/>
      <c r="E346" s="1"/>
      <c r="F346" s="1"/>
      <c r="G346" s="1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34"/>
      <c r="BE346" s="1"/>
      <c r="BF346" s="1"/>
      <c r="BG346" s="1"/>
    </row>
    <row r="347" spans="2:59" x14ac:dyDescent="0.35">
      <c r="B347" s="1"/>
      <c r="C347" s="1"/>
      <c r="D347" s="1"/>
      <c r="E347" s="1"/>
      <c r="F347" s="1"/>
      <c r="G347" s="1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34"/>
      <c r="BE347" s="1"/>
      <c r="BF347" s="1"/>
      <c r="BG347" s="1"/>
    </row>
    <row r="348" spans="2:59" x14ac:dyDescent="0.35">
      <c r="B348" s="1"/>
      <c r="C348" s="1"/>
      <c r="D348" s="1"/>
      <c r="E348" s="1"/>
      <c r="F348" s="1"/>
      <c r="G348" s="1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34"/>
      <c r="BE348" s="1"/>
      <c r="BF348" s="1"/>
      <c r="BG348" s="1"/>
    </row>
    <row r="349" spans="2:59" x14ac:dyDescent="0.35">
      <c r="B349" s="1"/>
      <c r="C349" s="1"/>
      <c r="D349" s="1"/>
      <c r="E349" s="1"/>
      <c r="F349" s="1"/>
      <c r="G349" s="1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34"/>
      <c r="BE349" s="1"/>
      <c r="BF349" s="1"/>
      <c r="BG349" s="1"/>
    </row>
    <row r="350" spans="2:59" x14ac:dyDescent="0.35">
      <c r="B350" s="1"/>
      <c r="C350" s="1"/>
      <c r="D350" s="1"/>
      <c r="E350" s="1"/>
      <c r="F350" s="1"/>
      <c r="G350" s="1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34"/>
      <c r="BE350" s="1"/>
      <c r="BF350" s="1"/>
      <c r="BG350" s="1"/>
    </row>
    <row r="351" spans="2:59" x14ac:dyDescent="0.35">
      <c r="B351" s="1"/>
      <c r="C351" s="1"/>
      <c r="D351" s="1"/>
      <c r="E351" s="1"/>
      <c r="F351" s="1"/>
      <c r="G351" s="1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34"/>
      <c r="BE351" s="1"/>
      <c r="BF351" s="1"/>
      <c r="BG351" s="1"/>
    </row>
    <row r="352" spans="2:59" x14ac:dyDescent="0.35">
      <c r="B352" s="1"/>
      <c r="C352" s="1"/>
      <c r="D352" s="1"/>
      <c r="E352" s="1"/>
      <c r="F352" s="1"/>
      <c r="G352" s="1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34"/>
      <c r="BE352" s="1"/>
      <c r="BF352" s="1"/>
      <c r="BG352" s="1"/>
    </row>
    <row r="353" spans="2:59" x14ac:dyDescent="0.35">
      <c r="B353" s="1"/>
      <c r="C353" s="1"/>
      <c r="D353" s="1"/>
      <c r="E353" s="1"/>
      <c r="F353" s="1"/>
      <c r="G353" s="1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34"/>
      <c r="BE353" s="1"/>
      <c r="BF353" s="1"/>
      <c r="BG353" s="1"/>
    </row>
    <row r="354" spans="2:59" x14ac:dyDescent="0.35">
      <c r="B354" s="1"/>
      <c r="C354" s="1"/>
      <c r="D354" s="1"/>
      <c r="E354" s="1"/>
      <c r="F354" s="1"/>
      <c r="G354" s="1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34"/>
      <c r="BE354" s="1"/>
      <c r="BF354" s="1"/>
      <c r="BG354" s="1"/>
    </row>
    <row r="355" spans="2:59" x14ac:dyDescent="0.35">
      <c r="B355" s="1"/>
      <c r="C355" s="1"/>
      <c r="D355" s="1"/>
      <c r="E355" s="1"/>
      <c r="F355" s="1"/>
      <c r="G355" s="1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34"/>
      <c r="BE355" s="1"/>
      <c r="BF355" s="1"/>
      <c r="BG355" s="1"/>
    </row>
    <row r="356" spans="2:59" x14ac:dyDescent="0.35">
      <c r="B356" s="1"/>
      <c r="C356" s="1"/>
      <c r="D356" s="1"/>
      <c r="E356" s="1"/>
      <c r="F356" s="1"/>
      <c r="G356" s="1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34"/>
      <c r="BE356" s="1"/>
      <c r="BF356" s="1"/>
      <c r="BG356" s="1"/>
    </row>
    <row r="357" spans="2:59" x14ac:dyDescent="0.35">
      <c r="B357" s="1"/>
      <c r="C357" s="1"/>
      <c r="D357" s="1"/>
      <c r="E357" s="1"/>
      <c r="F357" s="1"/>
      <c r="G357" s="1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34"/>
      <c r="BE357" s="1"/>
      <c r="BF357" s="1"/>
      <c r="BG357" s="1"/>
    </row>
    <row r="358" spans="2:59" x14ac:dyDescent="0.35">
      <c r="B358" s="1"/>
      <c r="C358" s="1"/>
      <c r="D358" s="1"/>
      <c r="E358" s="1"/>
      <c r="F358" s="1"/>
      <c r="G358" s="1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34"/>
      <c r="BE358" s="1"/>
      <c r="BF358" s="1"/>
      <c r="BG358" s="1"/>
    </row>
    <row r="359" spans="2:59" x14ac:dyDescent="0.35">
      <c r="B359" s="1"/>
      <c r="C359" s="1"/>
      <c r="D359" s="1"/>
      <c r="E359" s="1"/>
      <c r="F359" s="1"/>
      <c r="G359" s="1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34"/>
      <c r="BE359" s="1"/>
      <c r="BF359" s="1"/>
      <c r="BG359" s="1"/>
    </row>
    <row r="360" spans="2:59" x14ac:dyDescent="0.35">
      <c r="B360" s="1"/>
      <c r="C360" s="1"/>
      <c r="D360" s="1"/>
      <c r="E360" s="1"/>
      <c r="F360" s="1"/>
      <c r="G360" s="1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34"/>
      <c r="BE360" s="1"/>
      <c r="BF360" s="1"/>
      <c r="BG360" s="1"/>
    </row>
    <row r="361" spans="2:59" x14ac:dyDescent="0.35">
      <c r="B361" s="1"/>
      <c r="C361" s="1"/>
      <c r="D361" s="1"/>
      <c r="E361" s="1"/>
      <c r="F361" s="1"/>
      <c r="G361" s="1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34"/>
      <c r="BE361" s="1"/>
      <c r="BF361" s="1"/>
      <c r="BG361" s="1"/>
    </row>
    <row r="362" spans="2:59" x14ac:dyDescent="0.35">
      <c r="B362" s="1"/>
      <c r="C362" s="1"/>
      <c r="D362" s="1"/>
      <c r="E362" s="1"/>
      <c r="F362" s="1"/>
      <c r="G362" s="1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34"/>
      <c r="BE362" s="1"/>
      <c r="BF362" s="1"/>
      <c r="BG362" s="1"/>
    </row>
    <row r="363" spans="2:59" x14ac:dyDescent="0.35">
      <c r="B363" s="1"/>
      <c r="C363" s="1"/>
      <c r="D363" s="1"/>
      <c r="E363" s="1"/>
      <c r="F363" s="1"/>
      <c r="G363" s="1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34"/>
      <c r="BE363" s="1"/>
      <c r="BF363" s="1"/>
      <c r="BG363" s="1"/>
    </row>
    <row r="364" spans="2:59" x14ac:dyDescent="0.35">
      <c r="B364" s="1"/>
      <c r="C364" s="1"/>
      <c r="D364" s="1"/>
      <c r="E364" s="1"/>
      <c r="F364" s="1"/>
      <c r="G364" s="1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34"/>
      <c r="BE364" s="1"/>
      <c r="BF364" s="1"/>
      <c r="BG364" s="1"/>
    </row>
    <row r="365" spans="2:59" x14ac:dyDescent="0.35">
      <c r="B365" s="1"/>
      <c r="C365" s="1"/>
      <c r="D365" s="1"/>
      <c r="E365" s="1"/>
      <c r="F365" s="1"/>
      <c r="G365" s="1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34"/>
      <c r="BE365" s="1"/>
      <c r="BF365" s="1"/>
      <c r="BG365" s="1"/>
    </row>
    <row r="366" spans="2:59" x14ac:dyDescent="0.35">
      <c r="B366" s="1"/>
      <c r="C366" s="1"/>
      <c r="D366" s="1"/>
      <c r="E366" s="1"/>
      <c r="F366" s="1"/>
      <c r="G366" s="1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34"/>
      <c r="BE366" s="1"/>
      <c r="BF366" s="1"/>
      <c r="BG366" s="1"/>
    </row>
    <row r="367" spans="2:59" x14ac:dyDescent="0.35">
      <c r="B367" s="1"/>
      <c r="C367" s="1"/>
      <c r="D367" s="1"/>
      <c r="E367" s="1"/>
      <c r="F367" s="1"/>
      <c r="G367" s="1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34"/>
      <c r="BE367" s="1"/>
      <c r="BF367" s="1"/>
      <c r="BG367" s="1"/>
    </row>
    <row r="368" spans="2:59" x14ac:dyDescent="0.35">
      <c r="B368" s="1"/>
      <c r="C368" s="1"/>
      <c r="D368" s="1"/>
      <c r="E368" s="1"/>
      <c r="F368" s="1"/>
      <c r="G368" s="1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34"/>
      <c r="BE368" s="1"/>
      <c r="BF368" s="1"/>
      <c r="BG368" s="1"/>
    </row>
    <row r="369" spans="2:59" x14ac:dyDescent="0.35">
      <c r="B369" s="1"/>
      <c r="C369" s="1"/>
      <c r="D369" s="1"/>
      <c r="E369" s="1"/>
      <c r="F369" s="1"/>
      <c r="G369" s="1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34"/>
      <c r="BE369" s="1"/>
      <c r="BF369" s="1"/>
      <c r="BG369" s="1"/>
    </row>
    <row r="370" spans="2:59" x14ac:dyDescent="0.35">
      <c r="B370" s="1"/>
      <c r="C370" s="1"/>
      <c r="D370" s="1"/>
      <c r="E370" s="1"/>
      <c r="F370" s="1"/>
      <c r="G370" s="1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34"/>
      <c r="BE370" s="1"/>
      <c r="BF370" s="1"/>
      <c r="BG370" s="1"/>
    </row>
    <row r="371" spans="2:59" x14ac:dyDescent="0.35">
      <c r="B371" s="1"/>
      <c r="C371" s="1"/>
      <c r="D371" s="1"/>
      <c r="E371" s="1"/>
      <c r="F371" s="1"/>
      <c r="G371" s="1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34"/>
      <c r="BE371" s="1"/>
      <c r="BF371" s="1"/>
      <c r="BG371" s="1"/>
    </row>
    <row r="372" spans="2:59" x14ac:dyDescent="0.35">
      <c r="B372" s="1"/>
      <c r="C372" s="1"/>
      <c r="D372" s="1"/>
      <c r="E372" s="1"/>
      <c r="F372" s="1"/>
      <c r="G372" s="1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34"/>
      <c r="BE372" s="1"/>
      <c r="BF372" s="1"/>
      <c r="BG372" s="1"/>
    </row>
    <row r="373" spans="2:59" x14ac:dyDescent="0.35">
      <c r="B373" s="1"/>
      <c r="C373" s="1"/>
      <c r="D373" s="1"/>
      <c r="E373" s="1"/>
      <c r="F373" s="1"/>
      <c r="G373" s="1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34"/>
      <c r="BE373" s="1"/>
      <c r="BF373" s="1"/>
      <c r="BG373" s="1"/>
    </row>
    <row r="374" spans="2:59" x14ac:dyDescent="0.35">
      <c r="B374" s="1"/>
      <c r="C374" s="1"/>
      <c r="D374" s="1"/>
      <c r="E374" s="1"/>
      <c r="F374" s="1"/>
      <c r="G374" s="1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34"/>
      <c r="BE374" s="1"/>
      <c r="BF374" s="1"/>
      <c r="BG374" s="1"/>
    </row>
    <row r="375" spans="2:59" x14ac:dyDescent="0.35">
      <c r="B375" s="1"/>
      <c r="C375" s="1"/>
      <c r="D375" s="1"/>
      <c r="E375" s="1"/>
      <c r="F375" s="1"/>
      <c r="G375" s="1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34"/>
      <c r="BE375" s="1"/>
      <c r="BF375" s="1"/>
      <c r="BG375" s="1"/>
    </row>
    <row r="376" spans="2:59" x14ac:dyDescent="0.35">
      <c r="B376" s="1"/>
      <c r="C376" s="1"/>
      <c r="D376" s="1"/>
      <c r="E376" s="1"/>
      <c r="F376" s="1"/>
      <c r="G376" s="1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34"/>
      <c r="BE376" s="1"/>
      <c r="BF376" s="1"/>
      <c r="BG376" s="1"/>
    </row>
    <row r="377" spans="2:59" x14ac:dyDescent="0.35">
      <c r="B377" s="1"/>
      <c r="C377" s="1"/>
      <c r="D377" s="1"/>
      <c r="E377" s="1"/>
      <c r="F377" s="1"/>
      <c r="G377" s="1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34"/>
      <c r="BE377" s="1"/>
      <c r="BF377" s="1"/>
      <c r="BG377" s="1"/>
    </row>
    <row r="378" spans="2:59" x14ac:dyDescent="0.35">
      <c r="B378" s="1"/>
      <c r="C378" s="1"/>
      <c r="D378" s="1"/>
      <c r="E378" s="1"/>
      <c r="F378" s="1"/>
      <c r="G378" s="1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34"/>
      <c r="BE378" s="1"/>
      <c r="BF378" s="1"/>
      <c r="BG378" s="1"/>
    </row>
    <row r="379" spans="2:59" x14ac:dyDescent="0.35">
      <c r="B379" s="1"/>
      <c r="C379" s="1"/>
      <c r="D379" s="1"/>
      <c r="E379" s="1"/>
      <c r="F379" s="1"/>
      <c r="G379" s="1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34"/>
      <c r="BE379" s="1"/>
      <c r="BF379" s="1"/>
      <c r="BG379" s="1"/>
    </row>
    <row r="380" spans="2:59" x14ac:dyDescent="0.35">
      <c r="B380" s="1"/>
      <c r="C380" s="1"/>
      <c r="D380" s="1"/>
      <c r="E380" s="1"/>
      <c r="F380" s="1"/>
      <c r="G380" s="1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34"/>
      <c r="BE380" s="1"/>
      <c r="BF380" s="1"/>
      <c r="BG380" s="1"/>
    </row>
    <row r="381" spans="2:59" x14ac:dyDescent="0.35">
      <c r="B381" s="1"/>
      <c r="C381" s="1"/>
      <c r="D381" s="1"/>
      <c r="E381" s="1"/>
      <c r="F381" s="1"/>
      <c r="G381" s="1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34"/>
      <c r="BE381" s="1"/>
      <c r="BF381" s="1"/>
      <c r="BG381" s="1"/>
    </row>
    <row r="382" spans="2:59" x14ac:dyDescent="0.35">
      <c r="B382" s="1"/>
      <c r="C382" s="1"/>
      <c r="D382" s="1"/>
      <c r="E382" s="1"/>
      <c r="F382" s="1"/>
      <c r="G382" s="1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34"/>
      <c r="BE382" s="1"/>
      <c r="BF382" s="1"/>
      <c r="BG382" s="1"/>
    </row>
    <row r="383" spans="2:59" x14ac:dyDescent="0.35">
      <c r="B383" s="1"/>
      <c r="C383" s="1"/>
      <c r="D383" s="1"/>
      <c r="E383" s="1"/>
      <c r="F383" s="1"/>
      <c r="G383" s="1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34"/>
      <c r="BE383" s="1"/>
      <c r="BF383" s="1"/>
      <c r="BG383" s="1"/>
    </row>
    <row r="384" spans="2:59" x14ac:dyDescent="0.35">
      <c r="B384" s="1"/>
      <c r="C384" s="1"/>
      <c r="D384" s="1"/>
      <c r="E384" s="1"/>
      <c r="F384" s="1"/>
      <c r="G384" s="1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34"/>
      <c r="BE384" s="1"/>
      <c r="BF384" s="1"/>
      <c r="BG384" s="1"/>
    </row>
    <row r="385" spans="2:59" x14ac:dyDescent="0.35">
      <c r="B385" s="1"/>
      <c r="C385" s="1"/>
      <c r="D385" s="1"/>
      <c r="E385" s="1"/>
      <c r="F385" s="1"/>
      <c r="G385" s="1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34"/>
      <c r="BE385" s="1"/>
      <c r="BF385" s="1"/>
      <c r="BG385" s="1"/>
    </row>
    <row r="386" spans="2:59" x14ac:dyDescent="0.35">
      <c r="B386" s="1"/>
      <c r="C386" s="1"/>
      <c r="D386" s="1"/>
      <c r="E386" s="1"/>
      <c r="F386" s="1"/>
      <c r="G386" s="1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34"/>
      <c r="BE386" s="1"/>
      <c r="BF386" s="1"/>
      <c r="BG386" s="1"/>
    </row>
    <row r="387" spans="2:59" x14ac:dyDescent="0.35">
      <c r="B387" s="1"/>
      <c r="C387" s="1"/>
      <c r="D387" s="1"/>
      <c r="E387" s="1"/>
      <c r="F387" s="1"/>
      <c r="G387" s="1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34"/>
      <c r="BE387" s="1"/>
      <c r="BF387" s="1"/>
      <c r="BG387" s="1"/>
    </row>
    <row r="388" spans="2:59" x14ac:dyDescent="0.35">
      <c r="B388" s="1"/>
      <c r="C388" s="1"/>
      <c r="D388" s="1"/>
      <c r="E388" s="1"/>
      <c r="F388" s="1"/>
      <c r="G388" s="1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34"/>
      <c r="BE388" s="1"/>
      <c r="BF388" s="1"/>
      <c r="BG388" s="1"/>
    </row>
    <row r="389" spans="2:59" x14ac:dyDescent="0.35">
      <c r="B389" s="1"/>
      <c r="C389" s="1"/>
      <c r="D389" s="1"/>
      <c r="E389" s="1"/>
      <c r="F389" s="1"/>
      <c r="G389" s="1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34"/>
      <c r="BE389" s="1"/>
      <c r="BF389" s="1"/>
      <c r="BG389" s="1"/>
    </row>
    <row r="390" spans="2:59" x14ac:dyDescent="0.35">
      <c r="B390" s="1"/>
      <c r="C390" s="1"/>
      <c r="D390" s="1"/>
      <c r="E390" s="1"/>
      <c r="F390" s="1"/>
      <c r="G390" s="1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34"/>
      <c r="BE390" s="1"/>
      <c r="BF390" s="1"/>
      <c r="BG390" s="1"/>
    </row>
    <row r="391" spans="2:59" x14ac:dyDescent="0.35">
      <c r="B391" s="1"/>
      <c r="C391" s="1"/>
      <c r="D391" s="1"/>
      <c r="E391" s="1"/>
      <c r="F391" s="1"/>
      <c r="G391" s="1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34"/>
      <c r="BE391" s="1"/>
      <c r="BF391" s="1"/>
      <c r="BG391" s="1"/>
    </row>
    <row r="392" spans="2:59" x14ac:dyDescent="0.35">
      <c r="B392" s="1"/>
      <c r="C392" s="1"/>
      <c r="D392" s="1"/>
      <c r="E392" s="1"/>
      <c r="F392" s="1"/>
      <c r="G392" s="1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34"/>
      <c r="BE392" s="1"/>
      <c r="BF392" s="1"/>
      <c r="BG392" s="1"/>
    </row>
    <row r="393" spans="2:59" x14ac:dyDescent="0.35">
      <c r="B393" s="1"/>
      <c r="C393" s="1"/>
      <c r="D393" s="1"/>
      <c r="E393" s="1"/>
      <c r="F393" s="1"/>
      <c r="G393" s="1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34"/>
      <c r="BE393" s="1"/>
      <c r="BF393" s="1"/>
      <c r="BG393" s="1"/>
    </row>
    <row r="394" spans="2:59" x14ac:dyDescent="0.35">
      <c r="B394" s="1"/>
      <c r="C394" s="1"/>
      <c r="D394" s="1"/>
      <c r="E394" s="1"/>
      <c r="F394" s="1"/>
      <c r="G394" s="1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34"/>
      <c r="BE394" s="1"/>
      <c r="BF394" s="1"/>
      <c r="BG394" s="1"/>
    </row>
    <row r="395" spans="2:59" x14ac:dyDescent="0.35">
      <c r="B395" s="1"/>
      <c r="C395" s="1"/>
      <c r="D395" s="1"/>
      <c r="E395" s="1"/>
      <c r="F395" s="1"/>
      <c r="G395" s="1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34"/>
      <c r="BE395" s="1"/>
      <c r="BF395" s="1"/>
      <c r="BG395" s="1"/>
    </row>
    <row r="396" spans="2:59" x14ac:dyDescent="0.35">
      <c r="B396" s="1"/>
      <c r="C396" s="1"/>
      <c r="D396" s="1"/>
      <c r="E396" s="1"/>
      <c r="F396" s="1"/>
      <c r="G396" s="1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34"/>
      <c r="BE396" s="1"/>
      <c r="BF396" s="1"/>
      <c r="BG396" s="1"/>
    </row>
    <row r="397" spans="2:59" x14ac:dyDescent="0.35">
      <c r="B397" s="1"/>
      <c r="C397" s="1"/>
      <c r="D397" s="1"/>
      <c r="E397" s="1"/>
      <c r="F397" s="1"/>
      <c r="G397" s="1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34"/>
      <c r="BE397" s="1"/>
      <c r="BF397" s="1"/>
      <c r="BG397" s="1"/>
    </row>
    <row r="398" spans="2:59" x14ac:dyDescent="0.35">
      <c r="B398" s="1"/>
      <c r="C398" s="1"/>
      <c r="D398" s="1"/>
      <c r="E398" s="1"/>
      <c r="F398" s="1"/>
      <c r="G398" s="1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34"/>
      <c r="BE398" s="1"/>
      <c r="BF398" s="1"/>
      <c r="BG398" s="1"/>
    </row>
    <row r="399" spans="2:59" x14ac:dyDescent="0.35">
      <c r="B399" s="1"/>
      <c r="C399" s="1"/>
      <c r="D399" s="1"/>
      <c r="E399" s="1"/>
      <c r="F399" s="1"/>
      <c r="G399" s="1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34"/>
      <c r="BE399" s="1"/>
      <c r="BF399" s="1"/>
      <c r="BG399" s="1"/>
    </row>
    <row r="400" spans="2:59" x14ac:dyDescent="0.35">
      <c r="B400" s="1"/>
      <c r="C400" s="1"/>
      <c r="D400" s="1"/>
      <c r="E400" s="1"/>
      <c r="F400" s="1"/>
      <c r="G400" s="1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34"/>
      <c r="BE400" s="1"/>
      <c r="BF400" s="1"/>
      <c r="BG400" s="1"/>
    </row>
    <row r="401" spans="2:59" x14ac:dyDescent="0.35">
      <c r="B401" s="1"/>
      <c r="C401" s="1"/>
      <c r="D401" s="1"/>
      <c r="E401" s="1"/>
      <c r="F401" s="1"/>
      <c r="G401" s="1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34"/>
      <c r="BE401" s="1"/>
      <c r="BF401" s="1"/>
      <c r="BG401" s="1"/>
    </row>
    <row r="402" spans="2:59" x14ac:dyDescent="0.35">
      <c r="B402" s="1"/>
      <c r="C402" s="1"/>
      <c r="D402" s="1"/>
      <c r="E402" s="1"/>
      <c r="F402" s="1"/>
      <c r="G402" s="1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34"/>
      <c r="BE402" s="1"/>
      <c r="BF402" s="1"/>
      <c r="BG402" s="1"/>
    </row>
    <row r="403" spans="2:59" x14ac:dyDescent="0.35">
      <c r="B403" s="1"/>
      <c r="C403" s="1"/>
      <c r="D403" s="1"/>
      <c r="E403" s="1"/>
      <c r="F403" s="1"/>
      <c r="G403" s="1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34"/>
      <c r="BE403" s="1"/>
      <c r="BF403" s="1"/>
      <c r="BG403" s="1"/>
    </row>
    <row r="404" spans="2:59" x14ac:dyDescent="0.35">
      <c r="B404" s="1"/>
      <c r="C404" s="1"/>
      <c r="D404" s="1"/>
      <c r="E404" s="1"/>
      <c r="F404" s="1"/>
      <c r="G404" s="1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34"/>
      <c r="BE404" s="1"/>
      <c r="BF404" s="1"/>
      <c r="BG404" s="1"/>
    </row>
    <row r="405" spans="2:59" x14ac:dyDescent="0.35">
      <c r="B405" s="1"/>
      <c r="C405" s="1"/>
      <c r="D405" s="1"/>
      <c r="E405" s="1"/>
      <c r="F405" s="1"/>
      <c r="G405" s="1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34"/>
      <c r="BE405" s="1"/>
      <c r="BF405" s="1"/>
      <c r="BG405" s="1"/>
    </row>
    <row r="406" spans="2:59" x14ac:dyDescent="0.35">
      <c r="B406" s="1"/>
      <c r="C406" s="1"/>
      <c r="D406" s="1"/>
      <c r="E406" s="1"/>
      <c r="F406" s="1"/>
      <c r="G406" s="1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34"/>
      <c r="BE406" s="1"/>
      <c r="BF406" s="1"/>
      <c r="BG406" s="1"/>
    </row>
    <row r="407" spans="2:59" x14ac:dyDescent="0.35">
      <c r="B407" s="1"/>
      <c r="C407" s="1"/>
      <c r="D407" s="1"/>
      <c r="E407" s="1"/>
      <c r="F407" s="1"/>
      <c r="G407" s="1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34"/>
      <c r="BE407" s="1"/>
      <c r="BF407" s="1"/>
      <c r="BG407" s="1"/>
    </row>
    <row r="408" spans="2:59" x14ac:dyDescent="0.35">
      <c r="B408" s="1"/>
      <c r="C408" s="1"/>
      <c r="D408" s="1"/>
      <c r="E408" s="1"/>
      <c r="F408" s="1"/>
      <c r="G408" s="1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34"/>
      <c r="BE408" s="1"/>
      <c r="BF408" s="1"/>
      <c r="BG408" s="1"/>
    </row>
    <row r="409" spans="2:59" x14ac:dyDescent="0.35">
      <c r="B409" s="1"/>
      <c r="C409" s="1"/>
      <c r="D409" s="1"/>
      <c r="E409" s="1"/>
      <c r="F409" s="1"/>
      <c r="G409" s="1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34"/>
      <c r="BE409" s="1"/>
      <c r="BF409" s="1"/>
      <c r="BG409" s="1"/>
    </row>
    <row r="410" spans="2:59" x14ac:dyDescent="0.35">
      <c r="B410" s="1"/>
      <c r="C410" s="1"/>
      <c r="D410" s="1"/>
      <c r="E410" s="1"/>
      <c r="F410" s="1"/>
      <c r="G410" s="1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34"/>
      <c r="BE410" s="1"/>
      <c r="BF410" s="1"/>
      <c r="BG410" s="1"/>
    </row>
    <row r="411" spans="2:59" x14ac:dyDescent="0.35">
      <c r="B411" s="1"/>
      <c r="C411" s="1"/>
      <c r="D411" s="1"/>
      <c r="E411" s="1"/>
      <c r="F411" s="1"/>
      <c r="G411" s="1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34"/>
      <c r="BE411" s="1"/>
      <c r="BF411" s="1"/>
      <c r="BG411" s="1"/>
    </row>
    <row r="412" spans="2:59" x14ac:dyDescent="0.35">
      <c r="B412" s="1"/>
      <c r="C412" s="1"/>
      <c r="D412" s="1"/>
      <c r="E412" s="1"/>
      <c r="F412" s="1"/>
      <c r="G412" s="1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34"/>
      <c r="BE412" s="1"/>
      <c r="BF412" s="1"/>
      <c r="BG412" s="1"/>
    </row>
    <row r="413" spans="2:59" x14ac:dyDescent="0.35">
      <c r="B413" s="1"/>
      <c r="C413" s="1"/>
      <c r="D413" s="1"/>
      <c r="E413" s="1"/>
      <c r="F413" s="1"/>
      <c r="G413" s="1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34"/>
      <c r="BE413" s="1"/>
      <c r="BF413" s="1"/>
      <c r="BG413" s="1"/>
    </row>
    <row r="414" spans="2:59" x14ac:dyDescent="0.35">
      <c r="B414" s="1"/>
      <c r="C414" s="1"/>
      <c r="D414" s="1"/>
      <c r="E414" s="1"/>
      <c r="F414" s="1"/>
      <c r="G414" s="1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34"/>
      <c r="BE414" s="1"/>
      <c r="BF414" s="1"/>
      <c r="BG414" s="1"/>
    </row>
    <row r="415" spans="2:59" x14ac:dyDescent="0.35">
      <c r="B415" s="1"/>
      <c r="C415" s="1"/>
      <c r="D415" s="1"/>
      <c r="E415" s="1"/>
      <c r="F415" s="1"/>
      <c r="G415" s="1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34"/>
      <c r="BE415" s="1"/>
      <c r="BF415" s="1"/>
      <c r="BG415" s="1"/>
    </row>
    <row r="416" spans="2:59" x14ac:dyDescent="0.35">
      <c r="B416" s="1"/>
      <c r="C416" s="1"/>
      <c r="D416" s="1"/>
      <c r="E416" s="1"/>
      <c r="F416" s="1"/>
      <c r="G416" s="1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34"/>
      <c r="BE416" s="1"/>
      <c r="BF416" s="1"/>
      <c r="BG416" s="1"/>
    </row>
    <row r="417" spans="2:59" x14ac:dyDescent="0.35">
      <c r="B417" s="1"/>
      <c r="C417" s="1"/>
      <c r="D417" s="1"/>
      <c r="E417" s="1"/>
      <c r="F417" s="1"/>
      <c r="G417" s="1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34"/>
      <c r="BE417" s="1"/>
      <c r="BF417" s="1"/>
      <c r="BG417" s="1"/>
    </row>
    <row r="418" spans="2:59" x14ac:dyDescent="0.35">
      <c r="B418" s="1"/>
      <c r="C418" s="1"/>
      <c r="D418" s="1"/>
      <c r="E418" s="1"/>
      <c r="F418" s="1"/>
      <c r="G418" s="1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34"/>
      <c r="BE418" s="1"/>
      <c r="BF418" s="1"/>
      <c r="BG418" s="1"/>
    </row>
    <row r="419" spans="2:59" x14ac:dyDescent="0.35">
      <c r="B419" s="1"/>
      <c r="C419" s="1"/>
      <c r="D419" s="1"/>
      <c r="E419" s="1"/>
      <c r="F419" s="1"/>
      <c r="G419" s="1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34"/>
      <c r="BE419" s="1"/>
      <c r="BF419" s="1"/>
      <c r="BG419" s="1"/>
    </row>
    <row r="420" spans="2:59" x14ac:dyDescent="0.35">
      <c r="B420" s="1"/>
      <c r="C420" s="1"/>
      <c r="D420" s="1"/>
      <c r="E420" s="1"/>
      <c r="F420" s="1"/>
      <c r="G420" s="1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34"/>
      <c r="BE420" s="1"/>
      <c r="BF420" s="1"/>
      <c r="BG420" s="1"/>
    </row>
    <row r="421" spans="2:59" x14ac:dyDescent="0.35">
      <c r="B421" s="1"/>
      <c r="C421" s="1"/>
      <c r="D421" s="1"/>
      <c r="E421" s="1"/>
      <c r="F421" s="1"/>
      <c r="G421" s="1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34"/>
      <c r="BE421" s="1"/>
      <c r="BF421" s="1"/>
      <c r="BG421" s="1"/>
    </row>
    <row r="422" spans="2:59" x14ac:dyDescent="0.35">
      <c r="B422" s="1"/>
      <c r="C422" s="1"/>
      <c r="D422" s="1"/>
      <c r="E422" s="1"/>
      <c r="F422" s="1"/>
      <c r="G422" s="1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34"/>
      <c r="BE422" s="1"/>
      <c r="BF422" s="1"/>
      <c r="BG422" s="1"/>
    </row>
    <row r="423" spans="2:59" x14ac:dyDescent="0.35">
      <c r="B423" s="1"/>
      <c r="C423" s="1"/>
      <c r="D423" s="1"/>
      <c r="E423" s="1"/>
      <c r="F423" s="1"/>
      <c r="G423" s="1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34"/>
      <c r="BE423" s="1"/>
      <c r="BF423" s="1"/>
      <c r="BG423" s="1"/>
    </row>
    <row r="424" spans="2:59" x14ac:dyDescent="0.35">
      <c r="B424" s="1"/>
      <c r="C424" s="1"/>
      <c r="D424" s="1"/>
      <c r="E424" s="1"/>
      <c r="F424" s="1"/>
      <c r="G424" s="1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34"/>
      <c r="BE424" s="1"/>
      <c r="BF424" s="1"/>
      <c r="BG424" s="1"/>
    </row>
    <row r="425" spans="2:59" x14ac:dyDescent="0.35">
      <c r="B425" s="1"/>
      <c r="C425" s="1"/>
      <c r="D425" s="1"/>
      <c r="E425" s="1"/>
      <c r="F425" s="1"/>
      <c r="G425" s="1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34"/>
      <c r="BE425" s="1"/>
      <c r="BF425" s="1"/>
      <c r="BG425" s="1"/>
    </row>
    <row r="426" spans="2:59" x14ac:dyDescent="0.35">
      <c r="B426" s="1"/>
      <c r="C426" s="1"/>
      <c r="D426" s="1"/>
      <c r="E426" s="1"/>
      <c r="F426" s="1"/>
      <c r="G426" s="1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34"/>
      <c r="BE426" s="1"/>
      <c r="BF426" s="1"/>
      <c r="BG426" s="1"/>
    </row>
    <row r="427" spans="2:59" x14ac:dyDescent="0.35">
      <c r="B427" s="1"/>
      <c r="C427" s="1"/>
      <c r="D427" s="1"/>
      <c r="E427" s="1"/>
      <c r="F427" s="1"/>
      <c r="G427" s="1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34"/>
      <c r="BE427" s="1"/>
      <c r="BF427" s="1"/>
      <c r="BG427" s="1"/>
    </row>
    <row r="428" spans="2:59" x14ac:dyDescent="0.35">
      <c r="B428" s="1"/>
      <c r="C428" s="1"/>
      <c r="D428" s="1"/>
      <c r="E428" s="1"/>
      <c r="F428" s="1"/>
      <c r="G428" s="1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34"/>
      <c r="BE428" s="1"/>
      <c r="BF428" s="1"/>
      <c r="BG428" s="1"/>
    </row>
    <row r="429" spans="2:59" x14ac:dyDescent="0.35">
      <c r="B429" s="1"/>
      <c r="C429" s="1"/>
      <c r="D429" s="1"/>
      <c r="E429" s="1"/>
      <c r="F429" s="1"/>
      <c r="G429" s="1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34"/>
      <c r="BE429" s="1"/>
      <c r="BF429" s="1"/>
      <c r="BG429" s="1"/>
    </row>
    <row r="430" spans="2:59" x14ac:dyDescent="0.35">
      <c r="B430" s="1"/>
      <c r="C430" s="1"/>
      <c r="D430" s="1"/>
      <c r="E430" s="1"/>
      <c r="F430" s="1"/>
      <c r="G430" s="1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34"/>
      <c r="BE430" s="1"/>
      <c r="BF430" s="1"/>
      <c r="BG430" s="1"/>
    </row>
    <row r="431" spans="2:59" x14ac:dyDescent="0.35">
      <c r="B431" s="1"/>
      <c r="C431" s="1"/>
      <c r="D431" s="1"/>
      <c r="E431" s="1"/>
      <c r="F431" s="1"/>
      <c r="G431" s="1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34"/>
      <c r="BE431" s="1"/>
      <c r="BF431" s="1"/>
      <c r="BG431" s="1"/>
    </row>
    <row r="432" spans="2:59" x14ac:dyDescent="0.35">
      <c r="B432" s="1"/>
      <c r="C432" s="1"/>
      <c r="D432" s="1"/>
      <c r="E432" s="1"/>
      <c r="F432" s="1"/>
      <c r="G432" s="1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34"/>
      <c r="BE432" s="1"/>
      <c r="BF432" s="1"/>
      <c r="BG432" s="1"/>
    </row>
    <row r="433" spans="2:59" x14ac:dyDescent="0.35">
      <c r="B433" s="1"/>
      <c r="C433" s="1"/>
      <c r="D433" s="1"/>
      <c r="E433" s="1"/>
      <c r="F433" s="1"/>
      <c r="G433" s="1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34"/>
      <c r="BE433" s="1"/>
      <c r="BF433" s="1"/>
      <c r="BG433" s="1"/>
    </row>
    <row r="434" spans="2:59" x14ac:dyDescent="0.35">
      <c r="B434" s="1"/>
      <c r="C434" s="1"/>
      <c r="D434" s="1"/>
      <c r="E434" s="1"/>
      <c r="F434" s="1"/>
      <c r="G434" s="1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34"/>
      <c r="BE434" s="1"/>
      <c r="BF434" s="1"/>
      <c r="BG434" s="1"/>
    </row>
    <row r="435" spans="2:59" x14ac:dyDescent="0.35">
      <c r="B435" s="1"/>
      <c r="C435" s="1"/>
      <c r="D435" s="1"/>
      <c r="E435" s="1"/>
      <c r="F435" s="1"/>
      <c r="G435" s="1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34"/>
      <c r="BE435" s="1"/>
      <c r="BF435" s="1"/>
      <c r="BG435" s="1"/>
    </row>
    <row r="436" spans="2:59" x14ac:dyDescent="0.35">
      <c r="B436" s="1"/>
      <c r="C436" s="1"/>
      <c r="D436" s="1"/>
      <c r="E436" s="1"/>
      <c r="F436" s="1"/>
      <c r="G436" s="1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34"/>
      <c r="BE436" s="1"/>
      <c r="BF436" s="1"/>
      <c r="BG436" s="1"/>
    </row>
    <row r="437" spans="2:59" x14ac:dyDescent="0.35">
      <c r="B437" s="1"/>
      <c r="C437" s="1"/>
      <c r="D437" s="1"/>
      <c r="E437" s="1"/>
      <c r="F437" s="1"/>
      <c r="G437" s="1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34"/>
      <c r="BE437" s="1"/>
      <c r="BF437" s="1"/>
      <c r="BG437" s="1"/>
    </row>
    <row r="438" spans="2:59" x14ac:dyDescent="0.35">
      <c r="B438" s="1"/>
      <c r="C438" s="1"/>
      <c r="D438" s="1"/>
      <c r="E438" s="1"/>
      <c r="F438" s="1"/>
      <c r="G438" s="1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34"/>
      <c r="BE438" s="1"/>
      <c r="BF438" s="1"/>
      <c r="BG438" s="1"/>
    </row>
    <row r="439" spans="2:59" x14ac:dyDescent="0.35">
      <c r="B439" s="1"/>
      <c r="C439" s="1"/>
      <c r="D439" s="1"/>
      <c r="E439" s="1"/>
      <c r="F439" s="1"/>
      <c r="G439" s="1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34"/>
      <c r="BE439" s="1"/>
      <c r="BF439" s="1"/>
      <c r="BG439" s="1"/>
    </row>
    <row r="440" spans="2:59" x14ac:dyDescent="0.35">
      <c r="B440" s="1"/>
      <c r="C440" s="1"/>
      <c r="D440" s="1"/>
      <c r="E440" s="1"/>
      <c r="F440" s="1"/>
      <c r="G440" s="1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34"/>
      <c r="BE440" s="1"/>
      <c r="BF440" s="1"/>
      <c r="BG440" s="1"/>
    </row>
    <row r="441" spans="2:59" x14ac:dyDescent="0.35">
      <c r="B441" s="1"/>
      <c r="C441" s="1"/>
      <c r="D441" s="1"/>
      <c r="E441" s="1"/>
      <c r="F441" s="1"/>
      <c r="G441" s="1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34"/>
      <c r="BE441" s="1"/>
      <c r="BF441" s="1"/>
      <c r="BG441" s="1"/>
    </row>
    <row r="442" spans="2:59" x14ac:dyDescent="0.35">
      <c r="B442" s="1"/>
      <c r="C442" s="1"/>
      <c r="D442" s="1"/>
      <c r="E442" s="1"/>
      <c r="F442" s="1"/>
      <c r="G442" s="1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34"/>
      <c r="BE442" s="1"/>
      <c r="BF442" s="1"/>
      <c r="BG442" s="1"/>
    </row>
    <row r="443" spans="2:59" x14ac:dyDescent="0.35">
      <c r="B443" s="1"/>
      <c r="C443" s="1"/>
      <c r="D443" s="1"/>
      <c r="E443" s="1"/>
      <c r="F443" s="1"/>
      <c r="G443" s="1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34"/>
      <c r="BE443" s="1"/>
      <c r="BF443" s="1"/>
      <c r="BG443" s="1"/>
    </row>
    <row r="444" spans="2:59" x14ac:dyDescent="0.35">
      <c r="B444" s="1"/>
      <c r="C444" s="1"/>
      <c r="D444" s="1"/>
      <c r="E444" s="1"/>
      <c r="F444" s="1"/>
      <c r="G444" s="1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34"/>
      <c r="BE444" s="1"/>
      <c r="BF444" s="1"/>
      <c r="BG444" s="1"/>
    </row>
    <row r="445" spans="2:59" x14ac:dyDescent="0.35">
      <c r="B445" s="1"/>
      <c r="C445" s="1"/>
      <c r="D445" s="1"/>
      <c r="E445" s="1"/>
      <c r="F445" s="1"/>
      <c r="G445" s="1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34"/>
      <c r="BE445" s="1"/>
      <c r="BF445" s="1"/>
      <c r="BG445" s="1"/>
    </row>
    <row r="446" spans="2:59" x14ac:dyDescent="0.35">
      <c r="B446" s="1"/>
      <c r="C446" s="1"/>
      <c r="D446" s="1"/>
      <c r="E446" s="1"/>
      <c r="F446" s="1"/>
      <c r="G446" s="1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34"/>
      <c r="BE446" s="1"/>
      <c r="BF446" s="1"/>
      <c r="BG446" s="1"/>
    </row>
    <row r="447" spans="2:59" x14ac:dyDescent="0.35">
      <c r="B447" s="1"/>
      <c r="C447" s="1"/>
      <c r="D447" s="1"/>
      <c r="E447" s="1"/>
      <c r="F447" s="1"/>
      <c r="G447" s="1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34"/>
      <c r="BE447" s="1"/>
      <c r="BF447" s="1"/>
      <c r="BG447" s="1"/>
    </row>
    <row r="448" spans="2:59" x14ac:dyDescent="0.35">
      <c r="B448" s="1"/>
      <c r="C448" s="1"/>
      <c r="D448" s="1"/>
      <c r="E448" s="1"/>
      <c r="F448" s="1"/>
      <c r="G448" s="1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34"/>
      <c r="BE448" s="1"/>
      <c r="BF448" s="1"/>
      <c r="BG448" s="1"/>
    </row>
    <row r="449" spans="2:59" x14ac:dyDescent="0.35">
      <c r="B449" s="1"/>
      <c r="C449" s="1"/>
      <c r="D449" s="1"/>
      <c r="E449" s="1"/>
      <c r="F449" s="1"/>
      <c r="G449" s="1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34"/>
      <c r="BE449" s="1"/>
      <c r="BF449" s="1"/>
      <c r="BG449" s="1"/>
    </row>
    <row r="450" spans="2:59" x14ac:dyDescent="0.35">
      <c r="B450" s="1"/>
      <c r="C450" s="1"/>
      <c r="D450" s="1"/>
      <c r="E450" s="1"/>
      <c r="F450" s="1"/>
      <c r="G450" s="1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34"/>
      <c r="BE450" s="1"/>
      <c r="BF450" s="1"/>
      <c r="BG450" s="1"/>
    </row>
    <row r="451" spans="2:59" x14ac:dyDescent="0.35">
      <c r="B451" s="1"/>
      <c r="C451" s="1"/>
      <c r="D451" s="1"/>
      <c r="E451" s="1"/>
      <c r="F451" s="1"/>
      <c r="G451" s="1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34"/>
      <c r="BE451" s="1"/>
      <c r="BF451" s="1"/>
      <c r="BG451" s="1"/>
    </row>
    <row r="452" spans="2:59" x14ac:dyDescent="0.35">
      <c r="B452" s="1"/>
      <c r="C452" s="1"/>
      <c r="D452" s="1"/>
      <c r="E452" s="1"/>
      <c r="F452" s="1"/>
      <c r="G452" s="1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34"/>
      <c r="BE452" s="1"/>
      <c r="BF452" s="1"/>
      <c r="BG452" s="1"/>
    </row>
    <row r="453" spans="2:59" x14ac:dyDescent="0.35">
      <c r="B453" s="1"/>
      <c r="C453" s="1"/>
      <c r="D453" s="1"/>
      <c r="E453" s="1"/>
      <c r="F453" s="1"/>
      <c r="G453" s="1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34"/>
      <c r="BE453" s="1"/>
      <c r="BF453" s="1"/>
      <c r="BG453" s="1"/>
    </row>
    <row r="454" spans="2:59" x14ac:dyDescent="0.35">
      <c r="B454" s="1"/>
      <c r="C454" s="1"/>
      <c r="D454" s="1"/>
      <c r="E454" s="1"/>
      <c r="F454" s="1"/>
      <c r="G454" s="1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34"/>
      <c r="BE454" s="1"/>
      <c r="BF454" s="1"/>
      <c r="BG454" s="1"/>
    </row>
    <row r="455" spans="2:59" x14ac:dyDescent="0.35">
      <c r="B455" s="1"/>
      <c r="C455" s="1"/>
      <c r="D455" s="1"/>
      <c r="E455" s="1"/>
      <c r="F455" s="1"/>
      <c r="G455" s="1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34"/>
      <c r="BE455" s="1"/>
      <c r="BF455" s="1"/>
      <c r="BG455" s="1"/>
    </row>
    <row r="456" spans="2:59" x14ac:dyDescent="0.35">
      <c r="B456" s="1"/>
      <c r="C456" s="1"/>
      <c r="D456" s="1"/>
      <c r="E456" s="1"/>
      <c r="F456" s="1"/>
      <c r="G456" s="1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34"/>
      <c r="BE456" s="1"/>
      <c r="BF456" s="1"/>
      <c r="BG456" s="1"/>
    </row>
    <row r="457" spans="2:59" x14ac:dyDescent="0.35">
      <c r="B457" s="1"/>
      <c r="C457" s="1"/>
      <c r="D457" s="1"/>
      <c r="E457" s="1"/>
      <c r="F457" s="1"/>
      <c r="G457" s="1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34"/>
      <c r="BE457" s="1"/>
      <c r="BF457" s="1"/>
      <c r="BG457" s="1"/>
    </row>
    <row r="458" spans="2:59" x14ac:dyDescent="0.35">
      <c r="B458" s="1"/>
      <c r="C458" s="1"/>
      <c r="D458" s="1"/>
      <c r="E458" s="1"/>
      <c r="F458" s="1"/>
      <c r="G458" s="1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34"/>
      <c r="BE458" s="1"/>
      <c r="BF458" s="1"/>
      <c r="BG458" s="1"/>
    </row>
    <row r="459" spans="2:59" x14ac:dyDescent="0.35">
      <c r="B459" s="1"/>
      <c r="C459" s="1"/>
      <c r="D459" s="1"/>
      <c r="E459" s="1"/>
      <c r="F459" s="1"/>
      <c r="G459" s="1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34"/>
      <c r="BE459" s="1"/>
      <c r="BF459" s="1"/>
      <c r="BG459" s="1"/>
    </row>
    <row r="460" spans="2:59" x14ac:dyDescent="0.35">
      <c r="B460" s="1"/>
      <c r="C460" s="1"/>
      <c r="D460" s="1"/>
      <c r="E460" s="1"/>
      <c r="F460" s="1"/>
      <c r="G460" s="1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34"/>
      <c r="BE460" s="1"/>
      <c r="BF460" s="1"/>
      <c r="BG460" s="1"/>
    </row>
    <row r="461" spans="2:59" x14ac:dyDescent="0.35">
      <c r="B461" s="1"/>
      <c r="C461" s="1"/>
      <c r="D461" s="1"/>
      <c r="E461" s="1"/>
      <c r="F461" s="1"/>
      <c r="G461" s="1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34"/>
      <c r="BE461" s="1"/>
      <c r="BF461" s="1"/>
      <c r="BG461" s="1"/>
    </row>
    <row r="462" spans="2:59" x14ac:dyDescent="0.35">
      <c r="B462" s="1"/>
      <c r="C462" s="1"/>
      <c r="D462" s="1"/>
      <c r="E462" s="1"/>
      <c r="F462" s="1"/>
      <c r="G462" s="1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34"/>
      <c r="BE462" s="1"/>
      <c r="BF462" s="1"/>
      <c r="BG462" s="1"/>
    </row>
    <row r="463" spans="2:59" x14ac:dyDescent="0.35">
      <c r="B463" s="1"/>
      <c r="C463" s="1"/>
      <c r="D463" s="1"/>
      <c r="E463" s="1"/>
      <c r="F463" s="1"/>
      <c r="G463" s="1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34"/>
      <c r="BE463" s="1"/>
      <c r="BF463" s="1"/>
      <c r="BG463" s="1"/>
    </row>
    <row r="464" spans="2:59" x14ac:dyDescent="0.35">
      <c r="B464" s="1"/>
      <c r="C464" s="1"/>
      <c r="D464" s="1"/>
      <c r="E464" s="1"/>
      <c r="F464" s="1"/>
      <c r="G464" s="1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34"/>
      <c r="BE464" s="1"/>
      <c r="BF464" s="1"/>
      <c r="BG464" s="1"/>
    </row>
    <row r="465" spans="2:59" x14ac:dyDescent="0.35">
      <c r="B465" s="1"/>
      <c r="C465" s="1"/>
      <c r="D465" s="1"/>
      <c r="E465" s="1"/>
      <c r="F465" s="1"/>
      <c r="G465" s="1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34"/>
      <c r="BE465" s="1"/>
      <c r="BF465" s="1"/>
      <c r="BG465" s="1"/>
    </row>
    <row r="466" spans="2:59" x14ac:dyDescent="0.35">
      <c r="B466" s="1"/>
      <c r="C466" s="1"/>
      <c r="D466" s="1"/>
      <c r="E466" s="1"/>
      <c r="F466" s="1"/>
      <c r="G466" s="1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34"/>
      <c r="BE466" s="1"/>
      <c r="BF466" s="1"/>
      <c r="BG466" s="1"/>
    </row>
    <row r="467" spans="2:59" x14ac:dyDescent="0.35">
      <c r="B467" s="1"/>
      <c r="C467" s="1"/>
      <c r="D467" s="1"/>
      <c r="E467" s="1"/>
      <c r="F467" s="1"/>
      <c r="G467" s="1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34"/>
      <c r="BE467" s="1"/>
      <c r="BF467" s="1"/>
      <c r="BG467" s="1"/>
    </row>
    <row r="468" spans="2:59" x14ac:dyDescent="0.35">
      <c r="B468" s="1"/>
      <c r="C468" s="1"/>
      <c r="D468" s="1"/>
      <c r="E468" s="1"/>
      <c r="F468" s="1"/>
      <c r="G468" s="1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34"/>
      <c r="BE468" s="1"/>
      <c r="BF468" s="1"/>
      <c r="BG468" s="1"/>
    </row>
    <row r="469" spans="2:59" x14ac:dyDescent="0.35">
      <c r="B469" s="1"/>
      <c r="C469" s="1"/>
      <c r="D469" s="1"/>
      <c r="E469" s="1"/>
      <c r="F469" s="1"/>
      <c r="G469" s="1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34"/>
      <c r="BE469" s="1"/>
      <c r="BF469" s="1"/>
      <c r="BG469" s="1"/>
    </row>
    <row r="470" spans="2:59" x14ac:dyDescent="0.35">
      <c r="B470" s="1"/>
      <c r="C470" s="1"/>
      <c r="D470" s="1"/>
      <c r="E470" s="1"/>
      <c r="F470" s="1"/>
      <c r="G470" s="1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34"/>
      <c r="BE470" s="1"/>
      <c r="BF470" s="1"/>
      <c r="BG470" s="1"/>
    </row>
    <row r="471" spans="2:59" x14ac:dyDescent="0.35">
      <c r="B471" s="1"/>
      <c r="C471" s="1"/>
      <c r="D471" s="1"/>
      <c r="E471" s="1"/>
      <c r="F471" s="1"/>
      <c r="G471" s="1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34"/>
      <c r="BE471" s="1"/>
      <c r="BF471" s="1"/>
      <c r="BG471" s="1"/>
    </row>
    <row r="472" spans="2:59" x14ac:dyDescent="0.35">
      <c r="B472" s="1"/>
      <c r="C472" s="1"/>
      <c r="D472" s="1"/>
      <c r="E472" s="1"/>
      <c r="F472" s="1"/>
      <c r="G472" s="1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34"/>
      <c r="BE472" s="1"/>
      <c r="BF472" s="1"/>
      <c r="BG472" s="1"/>
    </row>
    <row r="473" spans="2:59" x14ac:dyDescent="0.35">
      <c r="B473" s="1"/>
      <c r="C473" s="1"/>
      <c r="D473" s="1"/>
      <c r="E473" s="1"/>
      <c r="F473" s="1"/>
      <c r="G473" s="1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34"/>
      <c r="BE473" s="1"/>
      <c r="BF473" s="1"/>
      <c r="BG473" s="1"/>
    </row>
    <row r="474" spans="2:59" x14ac:dyDescent="0.35">
      <c r="B474" s="1"/>
      <c r="C474" s="1"/>
      <c r="D474" s="1"/>
      <c r="E474" s="1"/>
      <c r="F474" s="1"/>
      <c r="G474" s="1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34"/>
      <c r="BE474" s="1"/>
      <c r="BF474" s="1"/>
      <c r="BG474" s="1"/>
    </row>
    <row r="475" spans="2:59" x14ac:dyDescent="0.35">
      <c r="B475" s="1"/>
      <c r="C475" s="1"/>
      <c r="D475" s="1"/>
      <c r="E475" s="1"/>
      <c r="F475" s="1"/>
      <c r="G475" s="1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34"/>
      <c r="BE475" s="1"/>
      <c r="BF475" s="1"/>
      <c r="BG475" s="1"/>
    </row>
    <row r="476" spans="2:59" x14ac:dyDescent="0.35">
      <c r="B476" s="1"/>
      <c r="C476" s="1"/>
      <c r="D476" s="1"/>
      <c r="E476" s="1"/>
      <c r="F476" s="1"/>
      <c r="G476" s="1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34"/>
      <c r="BE476" s="1"/>
      <c r="BF476" s="1"/>
      <c r="BG476" s="1"/>
    </row>
    <row r="477" spans="2:59" x14ac:dyDescent="0.35">
      <c r="B477" s="1"/>
      <c r="C477" s="1"/>
      <c r="D477" s="1"/>
      <c r="E477" s="1"/>
      <c r="F477" s="1"/>
      <c r="G477" s="1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34"/>
      <c r="BE477" s="1"/>
      <c r="BF477" s="1"/>
      <c r="BG477" s="1"/>
    </row>
    <row r="478" spans="2:59" x14ac:dyDescent="0.35">
      <c r="B478" s="1"/>
      <c r="C478" s="1"/>
      <c r="D478" s="1"/>
      <c r="E478" s="1"/>
      <c r="F478" s="1"/>
      <c r="G478" s="1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34"/>
      <c r="BE478" s="1"/>
      <c r="BF478" s="1"/>
      <c r="BG478" s="1"/>
    </row>
    <row r="479" spans="2:59" x14ac:dyDescent="0.35">
      <c r="B479" s="1"/>
      <c r="C479" s="1"/>
      <c r="D479" s="1"/>
      <c r="E479" s="1"/>
      <c r="F479" s="1"/>
      <c r="G479" s="1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34"/>
      <c r="BE479" s="1"/>
      <c r="BF479" s="1"/>
      <c r="BG479" s="1"/>
    </row>
    <row r="480" spans="2:59" x14ac:dyDescent="0.35">
      <c r="B480" s="1"/>
      <c r="C480" s="1"/>
      <c r="D480" s="1"/>
      <c r="E480" s="1"/>
      <c r="F480" s="1"/>
      <c r="G480" s="1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34"/>
      <c r="BE480" s="1"/>
      <c r="BF480" s="1"/>
      <c r="BG480" s="1"/>
    </row>
    <row r="481" spans="2:59" x14ac:dyDescent="0.35">
      <c r="B481" s="1"/>
      <c r="C481" s="1"/>
      <c r="D481" s="1"/>
      <c r="E481" s="1"/>
      <c r="F481" s="1"/>
      <c r="G481" s="1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34"/>
      <c r="BE481" s="1"/>
      <c r="BF481" s="1"/>
      <c r="BG481" s="1"/>
    </row>
    <row r="482" spans="2:59" x14ac:dyDescent="0.35">
      <c r="B482" s="1"/>
      <c r="C482" s="1"/>
      <c r="D482" s="1"/>
      <c r="E482" s="1"/>
      <c r="F482" s="1"/>
      <c r="G482" s="1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34"/>
      <c r="BE482" s="1"/>
      <c r="BF482" s="1"/>
      <c r="BG482" s="1"/>
    </row>
    <row r="483" spans="2:59" x14ac:dyDescent="0.35">
      <c r="B483" s="1"/>
      <c r="C483" s="1"/>
      <c r="D483" s="1"/>
      <c r="E483" s="1"/>
      <c r="F483" s="1"/>
      <c r="G483" s="1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34"/>
      <c r="BE483" s="1"/>
      <c r="BF483" s="1"/>
      <c r="BG483" s="1"/>
    </row>
    <row r="484" spans="2:59" x14ac:dyDescent="0.35">
      <c r="B484" s="1"/>
      <c r="C484" s="1"/>
      <c r="D484" s="1"/>
      <c r="E484" s="1"/>
      <c r="F484" s="1"/>
      <c r="G484" s="1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34"/>
      <c r="BE484" s="1"/>
      <c r="BF484" s="1"/>
      <c r="BG484" s="1"/>
    </row>
    <row r="485" spans="2:59" x14ac:dyDescent="0.35">
      <c r="B485" s="1"/>
      <c r="C485" s="1"/>
      <c r="D485" s="1"/>
      <c r="E485" s="1"/>
      <c r="F485" s="1"/>
      <c r="G485" s="1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34"/>
      <c r="BE485" s="1"/>
      <c r="BF485" s="1"/>
      <c r="BG485" s="1"/>
    </row>
    <row r="486" spans="2:59" x14ac:dyDescent="0.35">
      <c r="B486" s="1"/>
      <c r="C486" s="1"/>
      <c r="D486" s="1"/>
      <c r="E486" s="1"/>
      <c r="F486" s="1"/>
      <c r="G486" s="1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34"/>
      <c r="BE486" s="1"/>
      <c r="BF486" s="1"/>
      <c r="BG486" s="1"/>
    </row>
    <row r="487" spans="2:59" x14ac:dyDescent="0.35">
      <c r="B487" s="1"/>
      <c r="C487" s="1"/>
      <c r="D487" s="1"/>
      <c r="E487" s="1"/>
      <c r="F487" s="1"/>
      <c r="G487" s="1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34"/>
      <c r="BE487" s="1"/>
      <c r="BF487" s="1"/>
      <c r="BG487" s="1"/>
    </row>
    <row r="488" spans="2:59" x14ac:dyDescent="0.35">
      <c r="B488" s="1"/>
      <c r="C488" s="1"/>
      <c r="D488" s="1"/>
      <c r="E488" s="1"/>
      <c r="F488" s="1"/>
      <c r="G488" s="1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34"/>
      <c r="BE488" s="1"/>
      <c r="BF488" s="1"/>
      <c r="BG488" s="1"/>
    </row>
    <row r="489" spans="2:59" x14ac:dyDescent="0.35">
      <c r="B489" s="1"/>
      <c r="C489" s="1"/>
      <c r="D489" s="1"/>
      <c r="E489" s="1"/>
      <c r="F489" s="1"/>
      <c r="G489" s="1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34"/>
      <c r="BE489" s="1"/>
      <c r="BF489" s="1"/>
      <c r="BG489" s="1"/>
    </row>
    <row r="490" spans="2:59" x14ac:dyDescent="0.35">
      <c r="B490" s="1"/>
      <c r="C490" s="1"/>
      <c r="D490" s="1"/>
      <c r="E490" s="1"/>
      <c r="F490" s="1"/>
      <c r="G490" s="1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34"/>
      <c r="BE490" s="1"/>
      <c r="BF490" s="1"/>
      <c r="BG490" s="1"/>
    </row>
    <row r="491" spans="2:59" x14ac:dyDescent="0.35">
      <c r="B491" s="1"/>
      <c r="C491" s="1"/>
      <c r="D491" s="1"/>
      <c r="E491" s="1"/>
      <c r="F491" s="1"/>
      <c r="G491" s="1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34"/>
      <c r="BE491" s="1"/>
      <c r="BF491" s="1"/>
      <c r="BG491" s="1"/>
    </row>
    <row r="492" spans="2:59" x14ac:dyDescent="0.35">
      <c r="B492" s="1"/>
      <c r="C492" s="1"/>
      <c r="D492" s="1"/>
      <c r="E492" s="1"/>
      <c r="F492" s="1"/>
      <c r="G492" s="1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34"/>
      <c r="BE492" s="1"/>
      <c r="BF492" s="1"/>
      <c r="BG492" s="1"/>
    </row>
    <row r="493" spans="2:59" x14ac:dyDescent="0.35">
      <c r="B493" s="1"/>
      <c r="C493" s="1"/>
      <c r="D493" s="1"/>
      <c r="E493" s="1"/>
      <c r="F493" s="1"/>
      <c r="G493" s="1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34"/>
      <c r="BE493" s="1"/>
      <c r="BF493" s="1"/>
      <c r="BG493" s="1"/>
    </row>
    <row r="494" spans="2:59" x14ac:dyDescent="0.35">
      <c r="B494" s="1"/>
      <c r="C494" s="1"/>
      <c r="D494" s="1"/>
      <c r="E494" s="1"/>
      <c r="F494" s="1"/>
      <c r="G494" s="1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34"/>
      <c r="BE494" s="1"/>
      <c r="BF494" s="1"/>
      <c r="BG494" s="1"/>
    </row>
    <row r="495" spans="2:59" x14ac:dyDescent="0.35">
      <c r="B495" s="1"/>
      <c r="C495" s="1"/>
      <c r="D495" s="1"/>
      <c r="E495" s="1"/>
      <c r="F495" s="1"/>
      <c r="G495" s="1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34"/>
      <c r="BE495" s="1"/>
      <c r="BF495" s="1"/>
      <c r="BG495" s="1"/>
    </row>
    <row r="496" spans="2:59" x14ac:dyDescent="0.35">
      <c r="B496" s="1"/>
      <c r="C496" s="1"/>
      <c r="D496" s="1"/>
      <c r="E496" s="1"/>
      <c r="F496" s="1"/>
      <c r="G496" s="1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34"/>
      <c r="BE496" s="1"/>
      <c r="BF496" s="1"/>
      <c r="BG496" s="1"/>
    </row>
    <row r="497" spans="2:59" x14ac:dyDescent="0.35">
      <c r="B497" s="1"/>
      <c r="C497" s="1"/>
      <c r="D497" s="1"/>
      <c r="E497" s="1"/>
      <c r="F497" s="1"/>
      <c r="G497" s="1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34"/>
      <c r="BE497" s="1"/>
      <c r="BF497" s="1"/>
      <c r="BG497" s="1"/>
    </row>
    <row r="498" spans="2:59" x14ac:dyDescent="0.35">
      <c r="B498" s="1"/>
      <c r="C498" s="1"/>
      <c r="D498" s="1"/>
      <c r="E498" s="1"/>
      <c r="F498" s="1"/>
      <c r="G498" s="1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34"/>
      <c r="BE498" s="1"/>
      <c r="BF498" s="1"/>
      <c r="BG498" s="1"/>
    </row>
    <row r="499" spans="2:59" x14ac:dyDescent="0.35">
      <c r="B499" s="1"/>
      <c r="C499" s="1"/>
      <c r="D499" s="1"/>
      <c r="E499" s="1"/>
      <c r="F499" s="1"/>
      <c r="G499" s="1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34"/>
      <c r="BE499" s="1"/>
      <c r="BF499" s="1"/>
      <c r="BG499" s="1"/>
    </row>
    <row r="500" spans="2:59" x14ac:dyDescent="0.35">
      <c r="B500" s="1"/>
      <c r="C500" s="1"/>
      <c r="D500" s="1"/>
      <c r="E500" s="1"/>
      <c r="F500" s="1"/>
      <c r="G500" s="1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34"/>
      <c r="BE500" s="1"/>
      <c r="BF500" s="1"/>
      <c r="BG500" s="1"/>
    </row>
    <row r="501" spans="2:59" x14ac:dyDescent="0.35">
      <c r="B501" s="1"/>
      <c r="C501" s="1"/>
      <c r="D501" s="1"/>
      <c r="E501" s="1"/>
      <c r="F501" s="1"/>
      <c r="G501" s="1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34"/>
      <c r="BE501" s="1"/>
      <c r="BF501" s="1"/>
      <c r="BG501" s="1"/>
    </row>
    <row r="502" spans="2:59" x14ac:dyDescent="0.35">
      <c r="B502" s="1"/>
      <c r="C502" s="1"/>
      <c r="D502" s="1"/>
      <c r="E502" s="1"/>
      <c r="F502" s="1"/>
      <c r="G502" s="1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34"/>
      <c r="BE502" s="1"/>
      <c r="BF502" s="1"/>
      <c r="BG502" s="1"/>
    </row>
    <row r="503" spans="2:59" x14ac:dyDescent="0.35">
      <c r="B503" s="1"/>
      <c r="C503" s="1"/>
      <c r="D503" s="1"/>
      <c r="E503" s="1"/>
      <c r="F503" s="1"/>
      <c r="G503" s="1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34"/>
      <c r="BE503" s="1"/>
      <c r="BF503" s="1"/>
      <c r="BG503" s="1"/>
    </row>
    <row r="504" spans="2:59" x14ac:dyDescent="0.35">
      <c r="B504" s="1"/>
      <c r="C504" s="1"/>
      <c r="D504" s="1"/>
      <c r="E504" s="1"/>
      <c r="F504" s="1"/>
      <c r="G504" s="1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34"/>
      <c r="BE504" s="1"/>
      <c r="BF504" s="1"/>
      <c r="BG504" s="1"/>
    </row>
    <row r="505" spans="2:59" x14ac:dyDescent="0.35">
      <c r="B505" s="1"/>
      <c r="C505" s="1"/>
      <c r="D505" s="1"/>
      <c r="E505" s="1"/>
      <c r="F505" s="1"/>
      <c r="G505" s="1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34"/>
      <c r="BE505" s="1"/>
      <c r="BF505" s="1"/>
      <c r="BG505" s="1"/>
    </row>
    <row r="506" spans="2:59" x14ac:dyDescent="0.35">
      <c r="B506" s="1"/>
      <c r="C506" s="1"/>
      <c r="D506" s="1"/>
      <c r="E506" s="1"/>
      <c r="F506" s="1"/>
      <c r="G506" s="1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34"/>
      <c r="BE506" s="1"/>
      <c r="BF506" s="1"/>
      <c r="BG506" s="1"/>
    </row>
    <row r="507" spans="2:59" x14ac:dyDescent="0.35">
      <c r="B507" s="1"/>
      <c r="C507" s="1"/>
      <c r="D507" s="1"/>
      <c r="E507" s="1"/>
      <c r="F507" s="1"/>
      <c r="G507" s="1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34"/>
      <c r="BE507" s="1"/>
      <c r="BF507" s="1"/>
      <c r="BG507" s="1"/>
    </row>
    <row r="508" spans="2:59" x14ac:dyDescent="0.35">
      <c r="B508" s="1"/>
      <c r="C508" s="1"/>
      <c r="D508" s="1"/>
      <c r="E508" s="1"/>
      <c r="F508" s="1"/>
      <c r="G508" s="1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34"/>
      <c r="BE508" s="1"/>
      <c r="BF508" s="1"/>
      <c r="BG508" s="1"/>
    </row>
    <row r="509" spans="2:59" x14ac:dyDescent="0.35">
      <c r="B509" s="1"/>
      <c r="C509" s="1"/>
      <c r="D509" s="1"/>
      <c r="E509" s="1"/>
      <c r="F509" s="1"/>
      <c r="G509" s="1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34"/>
      <c r="BE509" s="1"/>
      <c r="BF509" s="1"/>
      <c r="BG509" s="1"/>
    </row>
    <row r="510" spans="2:59" x14ac:dyDescent="0.35">
      <c r="B510" s="1"/>
      <c r="C510" s="1"/>
      <c r="D510" s="1"/>
      <c r="E510" s="1"/>
      <c r="F510" s="1"/>
      <c r="G510" s="1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34"/>
      <c r="BE510" s="1"/>
      <c r="BF510" s="1"/>
      <c r="BG510" s="1"/>
    </row>
    <row r="511" spans="2:59" x14ac:dyDescent="0.35">
      <c r="B511" s="1"/>
      <c r="C511" s="1"/>
      <c r="D511" s="1"/>
      <c r="E511" s="1"/>
      <c r="F511" s="1"/>
      <c r="G511" s="1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34"/>
      <c r="BE511" s="1"/>
      <c r="BF511" s="1"/>
      <c r="BG511" s="1"/>
    </row>
    <row r="512" spans="2:59" x14ac:dyDescent="0.35">
      <c r="B512" s="1"/>
      <c r="C512" s="1"/>
      <c r="D512" s="1"/>
      <c r="E512" s="1"/>
      <c r="F512" s="1"/>
      <c r="G512" s="1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34"/>
      <c r="BE512" s="1"/>
      <c r="BF512" s="1"/>
      <c r="BG512" s="1"/>
    </row>
    <row r="513" spans="2:59" x14ac:dyDescent="0.35">
      <c r="B513" s="1"/>
      <c r="C513" s="1"/>
      <c r="D513" s="1"/>
      <c r="E513" s="1"/>
      <c r="F513" s="1"/>
      <c r="G513" s="1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34"/>
      <c r="BE513" s="1"/>
      <c r="BF513" s="1"/>
      <c r="BG513" s="1"/>
    </row>
    <row r="514" spans="2:59" x14ac:dyDescent="0.35">
      <c r="B514" s="1"/>
      <c r="C514" s="1"/>
      <c r="D514" s="1"/>
      <c r="E514" s="1"/>
      <c r="F514" s="1"/>
      <c r="G514" s="1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34"/>
      <c r="BE514" s="1"/>
      <c r="BF514" s="1"/>
      <c r="BG514" s="1"/>
    </row>
    <row r="515" spans="2:59" x14ac:dyDescent="0.35">
      <c r="B515" s="1"/>
      <c r="C515" s="1"/>
      <c r="D515" s="1"/>
      <c r="E515" s="1"/>
      <c r="F515" s="1"/>
      <c r="G515" s="1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34"/>
      <c r="BE515" s="1"/>
      <c r="BF515" s="1"/>
      <c r="BG515" s="1"/>
    </row>
    <row r="516" spans="2:59" x14ac:dyDescent="0.35">
      <c r="B516" s="1"/>
      <c r="C516" s="1"/>
      <c r="D516" s="1"/>
      <c r="E516" s="1"/>
      <c r="F516" s="1"/>
      <c r="G516" s="1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34"/>
      <c r="BE516" s="1"/>
      <c r="BF516" s="1"/>
      <c r="BG516" s="1"/>
    </row>
    <row r="517" spans="2:59" x14ac:dyDescent="0.35">
      <c r="B517" s="1"/>
      <c r="C517" s="1"/>
      <c r="D517" s="1"/>
      <c r="E517" s="1"/>
      <c r="F517" s="1"/>
      <c r="G517" s="1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34"/>
      <c r="BE517" s="1"/>
      <c r="BF517" s="1"/>
      <c r="BG517" s="1"/>
    </row>
    <row r="518" spans="2:59" x14ac:dyDescent="0.35">
      <c r="B518" s="1"/>
      <c r="C518" s="1"/>
      <c r="D518" s="1"/>
      <c r="E518" s="1"/>
      <c r="F518" s="1"/>
      <c r="G518" s="1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34"/>
      <c r="BE518" s="1"/>
      <c r="BF518" s="1"/>
      <c r="BG518" s="1"/>
    </row>
    <row r="519" spans="2:59" x14ac:dyDescent="0.35">
      <c r="B519" s="1"/>
      <c r="C519" s="1"/>
      <c r="D519" s="1"/>
      <c r="E519" s="1"/>
      <c r="F519" s="1"/>
      <c r="G519" s="1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34"/>
      <c r="BE519" s="1"/>
      <c r="BF519" s="1"/>
      <c r="BG519" s="1"/>
    </row>
    <row r="520" spans="2:59" x14ac:dyDescent="0.35">
      <c r="B520" s="1"/>
      <c r="C520" s="1"/>
      <c r="D520" s="1"/>
      <c r="E520" s="1"/>
      <c r="F520" s="1"/>
      <c r="G520" s="1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34"/>
      <c r="BE520" s="1"/>
      <c r="BF520" s="1"/>
      <c r="BG520" s="1"/>
    </row>
    <row r="521" spans="2:59" x14ac:dyDescent="0.35">
      <c r="B521" s="1"/>
      <c r="C521" s="1"/>
      <c r="D521" s="1"/>
      <c r="E521" s="1"/>
      <c r="F521" s="1"/>
      <c r="G521" s="1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34"/>
      <c r="BE521" s="1"/>
      <c r="BF521" s="1"/>
      <c r="BG521" s="1"/>
    </row>
    <row r="522" spans="2:59" x14ac:dyDescent="0.35">
      <c r="B522" s="1"/>
      <c r="C522" s="1"/>
      <c r="D522" s="1"/>
      <c r="E522" s="1"/>
      <c r="F522" s="1"/>
      <c r="G522" s="1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34"/>
      <c r="BE522" s="1"/>
      <c r="BF522" s="1"/>
      <c r="BG522" s="1"/>
    </row>
    <row r="523" spans="2:59" x14ac:dyDescent="0.35">
      <c r="B523" s="1"/>
      <c r="C523" s="1"/>
      <c r="D523" s="1"/>
      <c r="E523" s="1"/>
      <c r="F523" s="1"/>
      <c r="G523" s="1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34"/>
      <c r="BE523" s="1"/>
      <c r="BF523" s="1"/>
      <c r="BG523" s="1"/>
    </row>
    <row r="524" spans="2:59" x14ac:dyDescent="0.35">
      <c r="B524" s="1"/>
      <c r="C524" s="1"/>
      <c r="D524" s="1"/>
      <c r="E524" s="1"/>
      <c r="F524" s="1"/>
      <c r="G524" s="1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34"/>
      <c r="BE524" s="1"/>
      <c r="BF524" s="1"/>
      <c r="BG524" s="1"/>
    </row>
    <row r="525" spans="2:59" x14ac:dyDescent="0.35">
      <c r="B525" s="1"/>
      <c r="C525" s="1"/>
      <c r="D525" s="1"/>
      <c r="E525" s="1"/>
      <c r="F525" s="1"/>
      <c r="G525" s="1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34"/>
      <c r="BE525" s="1"/>
      <c r="BF525" s="1"/>
      <c r="BG525" s="1"/>
    </row>
    <row r="526" spans="2:59" x14ac:dyDescent="0.35">
      <c r="B526" s="1"/>
      <c r="C526" s="1"/>
      <c r="D526" s="1"/>
      <c r="E526" s="1"/>
      <c r="F526" s="1"/>
      <c r="G526" s="1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34"/>
      <c r="BE526" s="1"/>
      <c r="BF526" s="1"/>
      <c r="BG526" s="1"/>
    </row>
    <row r="527" spans="2:59" x14ac:dyDescent="0.35">
      <c r="B527" s="1"/>
      <c r="C527" s="1"/>
      <c r="D527" s="1"/>
      <c r="E527" s="1"/>
      <c r="F527" s="1"/>
      <c r="G527" s="1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34"/>
      <c r="BE527" s="1"/>
      <c r="BF527" s="1"/>
      <c r="BG527" s="1"/>
    </row>
    <row r="528" spans="2:59" x14ac:dyDescent="0.35">
      <c r="B528" s="1"/>
      <c r="C528" s="1"/>
      <c r="D528" s="1"/>
      <c r="E528" s="1"/>
      <c r="F528" s="1"/>
      <c r="G528" s="1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34"/>
      <c r="BE528" s="1"/>
      <c r="BF528" s="1"/>
      <c r="BG528" s="1"/>
    </row>
    <row r="529" spans="2:59" x14ac:dyDescent="0.35">
      <c r="B529" s="1"/>
      <c r="C529" s="1"/>
      <c r="D529" s="1"/>
      <c r="E529" s="1"/>
      <c r="F529" s="1"/>
      <c r="G529" s="1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34"/>
      <c r="BE529" s="1"/>
      <c r="BF529" s="1"/>
      <c r="BG529" s="1"/>
    </row>
    <row r="530" spans="2:59" x14ac:dyDescent="0.35">
      <c r="B530" s="1"/>
      <c r="C530" s="1"/>
      <c r="D530" s="1"/>
      <c r="E530" s="1"/>
      <c r="F530" s="1"/>
      <c r="G530" s="1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34"/>
      <c r="BE530" s="1"/>
      <c r="BF530" s="1"/>
      <c r="BG530" s="1"/>
    </row>
    <row r="531" spans="2:59" x14ac:dyDescent="0.35">
      <c r="B531" s="1"/>
      <c r="C531" s="1"/>
      <c r="D531" s="1"/>
      <c r="E531" s="1"/>
      <c r="F531" s="1"/>
      <c r="G531" s="1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34"/>
      <c r="BE531" s="1"/>
      <c r="BF531" s="1"/>
      <c r="BG531" s="1"/>
    </row>
    <row r="532" spans="2:59" x14ac:dyDescent="0.35">
      <c r="B532" s="1"/>
      <c r="C532" s="1"/>
      <c r="D532" s="1"/>
      <c r="E532" s="1"/>
      <c r="F532" s="1"/>
      <c r="G532" s="1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34"/>
      <c r="BE532" s="1"/>
      <c r="BF532" s="1"/>
      <c r="BG532" s="1"/>
    </row>
    <row r="533" spans="2:59" x14ac:dyDescent="0.35">
      <c r="B533" s="1"/>
      <c r="C533" s="1"/>
      <c r="D533" s="1"/>
      <c r="E533" s="1"/>
      <c r="F533" s="1"/>
      <c r="G533" s="1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34"/>
      <c r="BE533" s="1"/>
      <c r="BF533" s="1"/>
      <c r="BG533" s="1"/>
    </row>
    <row r="534" spans="2:59" x14ac:dyDescent="0.35">
      <c r="B534" s="1"/>
      <c r="C534" s="1"/>
      <c r="D534" s="1"/>
      <c r="E534" s="1"/>
      <c r="F534" s="1"/>
      <c r="G534" s="1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34"/>
      <c r="BE534" s="1"/>
      <c r="BF534" s="1"/>
      <c r="BG534" s="1"/>
    </row>
    <row r="535" spans="2:59" x14ac:dyDescent="0.35">
      <c r="B535" s="1"/>
      <c r="C535" s="1"/>
      <c r="D535" s="1"/>
      <c r="E535" s="1"/>
      <c r="F535" s="1"/>
      <c r="G535" s="1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34"/>
      <c r="BE535" s="1"/>
      <c r="BF535" s="1"/>
      <c r="BG535" s="1"/>
    </row>
    <row r="536" spans="2:59" x14ac:dyDescent="0.35">
      <c r="B536" s="1"/>
      <c r="C536" s="1"/>
      <c r="D536" s="1"/>
      <c r="E536" s="1"/>
      <c r="F536" s="1"/>
      <c r="G536" s="1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34"/>
      <c r="BE536" s="1"/>
      <c r="BF536" s="1"/>
      <c r="BG536" s="1"/>
    </row>
    <row r="537" spans="2:59" x14ac:dyDescent="0.35">
      <c r="B537" s="1"/>
      <c r="C537" s="1"/>
      <c r="D537" s="1"/>
      <c r="E537" s="1"/>
      <c r="F537" s="1"/>
      <c r="G537" s="1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34"/>
      <c r="BE537" s="1"/>
      <c r="BF537" s="1"/>
      <c r="BG537" s="1"/>
    </row>
    <row r="538" spans="2:59" x14ac:dyDescent="0.35">
      <c r="B538" s="1"/>
      <c r="C538" s="1"/>
      <c r="D538" s="1"/>
      <c r="E538" s="1"/>
      <c r="F538" s="1"/>
      <c r="G538" s="1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34"/>
      <c r="BE538" s="1"/>
      <c r="BF538" s="1"/>
      <c r="BG538" s="1"/>
    </row>
    <row r="539" spans="2:59" x14ac:dyDescent="0.35">
      <c r="B539" s="1"/>
      <c r="C539" s="1"/>
      <c r="D539" s="1"/>
      <c r="E539" s="1"/>
      <c r="F539" s="1"/>
      <c r="G539" s="1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34"/>
      <c r="BE539" s="1"/>
      <c r="BF539" s="1"/>
      <c r="BG539" s="1"/>
    </row>
    <row r="540" spans="2:59" x14ac:dyDescent="0.35">
      <c r="B540" s="1"/>
      <c r="C540" s="1"/>
      <c r="D540" s="1"/>
      <c r="E540" s="1"/>
      <c r="F540" s="1"/>
      <c r="G540" s="1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34"/>
      <c r="BE540" s="1"/>
      <c r="BF540" s="1"/>
      <c r="BG540" s="1"/>
    </row>
    <row r="541" spans="2:59" x14ac:dyDescent="0.35">
      <c r="B541" s="1"/>
      <c r="C541" s="1"/>
      <c r="D541" s="1"/>
      <c r="E541" s="1"/>
      <c r="F541" s="1"/>
      <c r="G541" s="1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34"/>
      <c r="BE541" s="1"/>
      <c r="BF541" s="1"/>
      <c r="BG541" s="1"/>
    </row>
    <row r="542" spans="2:59" x14ac:dyDescent="0.35">
      <c r="B542" s="1"/>
      <c r="C542" s="1"/>
      <c r="D542" s="1"/>
      <c r="E542" s="1"/>
      <c r="F542" s="1"/>
      <c r="G542" s="1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34"/>
      <c r="BE542" s="1"/>
      <c r="BF542" s="1"/>
      <c r="BG542" s="1"/>
    </row>
    <row r="543" spans="2:59" x14ac:dyDescent="0.35">
      <c r="B543" s="1"/>
      <c r="C543" s="1"/>
      <c r="D543" s="1"/>
      <c r="E543" s="1"/>
      <c r="F543" s="1"/>
      <c r="G543" s="1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34"/>
      <c r="BE543" s="1"/>
      <c r="BF543" s="1"/>
      <c r="BG543" s="1"/>
    </row>
    <row r="544" spans="2:59" x14ac:dyDescent="0.35">
      <c r="B544" s="1"/>
      <c r="C544" s="1"/>
      <c r="D544" s="1"/>
      <c r="E544" s="1"/>
      <c r="F544" s="1"/>
      <c r="G544" s="1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34"/>
      <c r="BE544" s="1"/>
      <c r="BF544" s="1"/>
      <c r="BG544" s="1"/>
    </row>
    <row r="545" spans="2:59" x14ac:dyDescent="0.35">
      <c r="B545" s="1"/>
      <c r="C545" s="1"/>
      <c r="D545" s="1"/>
      <c r="E545" s="1"/>
      <c r="F545" s="1"/>
      <c r="G545" s="1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34"/>
      <c r="BE545" s="1"/>
      <c r="BF545" s="1"/>
      <c r="BG545" s="1"/>
    </row>
    <row r="546" spans="2:59" x14ac:dyDescent="0.35">
      <c r="B546" s="1"/>
      <c r="C546" s="1"/>
      <c r="D546" s="1"/>
      <c r="E546" s="1"/>
      <c r="F546" s="1"/>
      <c r="G546" s="1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34"/>
      <c r="BE546" s="1"/>
      <c r="BF546" s="1"/>
      <c r="BG546" s="1"/>
    </row>
    <row r="547" spans="2:59" x14ac:dyDescent="0.35">
      <c r="B547" s="1"/>
      <c r="C547" s="1"/>
      <c r="D547" s="1"/>
      <c r="E547" s="1"/>
      <c r="F547" s="1"/>
      <c r="G547" s="1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34"/>
      <c r="BE547" s="1"/>
      <c r="BF547" s="1"/>
      <c r="BG547" s="1"/>
    </row>
    <row r="548" spans="2:59" x14ac:dyDescent="0.35">
      <c r="B548" s="1"/>
      <c r="C548" s="1"/>
      <c r="D548" s="1"/>
      <c r="E548" s="1"/>
      <c r="F548" s="1"/>
      <c r="G548" s="1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34"/>
      <c r="BE548" s="1"/>
      <c r="BF548" s="1"/>
      <c r="BG548" s="1"/>
    </row>
    <row r="549" spans="2:59" x14ac:dyDescent="0.35">
      <c r="B549" s="1"/>
      <c r="C549" s="1"/>
      <c r="D549" s="1"/>
      <c r="E549" s="1"/>
      <c r="F549" s="1"/>
      <c r="G549" s="1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34"/>
      <c r="BE549" s="1"/>
      <c r="BF549" s="1"/>
      <c r="BG549" s="1"/>
    </row>
    <row r="550" spans="2:59" x14ac:dyDescent="0.35">
      <c r="B550" s="1"/>
      <c r="C550" s="1"/>
      <c r="D550" s="1"/>
      <c r="E550" s="1"/>
      <c r="F550" s="1"/>
      <c r="G550" s="1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34"/>
      <c r="BE550" s="1"/>
      <c r="BF550" s="1"/>
      <c r="BG550" s="1"/>
    </row>
    <row r="551" spans="2:59" x14ac:dyDescent="0.35">
      <c r="B551" s="1"/>
      <c r="C551" s="1"/>
      <c r="D551" s="1"/>
      <c r="E551" s="1"/>
      <c r="F551" s="1"/>
      <c r="G551" s="1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34"/>
      <c r="BE551" s="1"/>
      <c r="BF551" s="1"/>
      <c r="BG551" s="1"/>
    </row>
    <row r="552" spans="2:59" x14ac:dyDescent="0.35">
      <c r="B552" s="1"/>
      <c r="C552" s="1"/>
      <c r="D552" s="1"/>
      <c r="E552" s="1"/>
      <c r="F552" s="1"/>
      <c r="G552" s="1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34"/>
      <c r="BE552" s="1"/>
      <c r="BF552" s="1"/>
      <c r="BG552" s="1"/>
    </row>
    <row r="553" spans="2:59" x14ac:dyDescent="0.35">
      <c r="B553" s="1"/>
      <c r="C553" s="1"/>
      <c r="D553" s="1"/>
      <c r="E553" s="1"/>
      <c r="F553" s="1"/>
      <c r="G553" s="1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34"/>
      <c r="BE553" s="1"/>
      <c r="BF553" s="1"/>
      <c r="BG553" s="1"/>
    </row>
    <row r="554" spans="2:59" x14ac:dyDescent="0.35">
      <c r="B554" s="1"/>
      <c r="C554" s="1"/>
      <c r="D554" s="1"/>
      <c r="E554" s="1"/>
      <c r="F554" s="1"/>
      <c r="G554" s="1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34"/>
      <c r="BE554" s="1"/>
      <c r="BF554" s="1"/>
      <c r="BG554" s="1"/>
    </row>
    <row r="555" spans="2:59" x14ac:dyDescent="0.35">
      <c r="B555" s="1"/>
      <c r="C555" s="1"/>
      <c r="D555" s="1"/>
      <c r="E555" s="1"/>
      <c r="F555" s="1"/>
      <c r="G555" s="1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34"/>
      <c r="BE555" s="1"/>
      <c r="BF555" s="1"/>
      <c r="BG555" s="1"/>
    </row>
    <row r="556" spans="2:59" x14ac:dyDescent="0.35">
      <c r="B556" s="1"/>
      <c r="C556" s="1"/>
      <c r="D556" s="1"/>
      <c r="E556" s="1"/>
      <c r="F556" s="1"/>
      <c r="G556" s="1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34"/>
      <c r="BE556" s="1"/>
      <c r="BF556" s="1"/>
      <c r="BG556" s="1"/>
    </row>
    <row r="557" spans="2:59" x14ac:dyDescent="0.35">
      <c r="B557" s="1"/>
      <c r="C557" s="1"/>
      <c r="D557" s="1"/>
      <c r="E557" s="1"/>
      <c r="F557" s="1"/>
      <c r="G557" s="1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34"/>
      <c r="BE557" s="1"/>
      <c r="BF557" s="1"/>
      <c r="BG557" s="1"/>
    </row>
    <row r="558" spans="2:59" x14ac:dyDescent="0.35">
      <c r="B558" s="1"/>
      <c r="C558" s="1"/>
      <c r="D558" s="1"/>
      <c r="E558" s="1"/>
      <c r="F558" s="1"/>
      <c r="G558" s="1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34"/>
      <c r="BE558" s="1"/>
      <c r="BF558" s="1"/>
      <c r="BG558" s="1"/>
    </row>
    <row r="559" spans="2:59" x14ac:dyDescent="0.35">
      <c r="B559" s="1"/>
      <c r="C559" s="1"/>
      <c r="D559" s="1"/>
      <c r="E559" s="1"/>
      <c r="F559" s="1"/>
      <c r="G559" s="1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34"/>
      <c r="BE559" s="1"/>
      <c r="BF559" s="1"/>
      <c r="BG559" s="1"/>
    </row>
    <row r="560" spans="2:59" x14ac:dyDescent="0.35">
      <c r="B560" s="1"/>
      <c r="C560" s="1"/>
      <c r="D560" s="1"/>
      <c r="E560" s="1"/>
      <c r="F560" s="1"/>
      <c r="G560" s="1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34"/>
      <c r="BE560" s="1"/>
      <c r="BF560" s="1"/>
      <c r="BG560" s="1"/>
    </row>
    <row r="561" spans="2:59" x14ac:dyDescent="0.35">
      <c r="B561" s="1"/>
      <c r="C561" s="1"/>
      <c r="D561" s="1"/>
      <c r="E561" s="1"/>
      <c r="F561" s="1"/>
      <c r="G561" s="1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34"/>
      <c r="BE561" s="1"/>
      <c r="BF561" s="1"/>
      <c r="BG561" s="1"/>
    </row>
    <row r="562" spans="2:59" x14ac:dyDescent="0.35">
      <c r="B562" s="1"/>
      <c r="C562" s="1"/>
      <c r="D562" s="1"/>
      <c r="E562" s="1"/>
      <c r="F562" s="1"/>
      <c r="G562" s="1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34"/>
      <c r="BE562" s="1"/>
      <c r="BF562" s="1"/>
      <c r="BG562" s="1"/>
    </row>
    <row r="563" spans="2:59" x14ac:dyDescent="0.35">
      <c r="B563" s="1"/>
      <c r="C563" s="1"/>
      <c r="D563" s="1"/>
      <c r="E563" s="1"/>
      <c r="F563" s="1"/>
      <c r="G563" s="1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34"/>
      <c r="BE563" s="1"/>
      <c r="BF563" s="1"/>
      <c r="BG563" s="1"/>
    </row>
    <row r="564" spans="2:59" x14ac:dyDescent="0.35">
      <c r="B564" s="1"/>
      <c r="C564" s="1"/>
      <c r="D564" s="1"/>
      <c r="E564" s="1"/>
      <c r="F564" s="1"/>
      <c r="G564" s="1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34"/>
      <c r="BE564" s="1"/>
      <c r="BF564" s="1"/>
      <c r="BG564" s="1"/>
    </row>
    <row r="565" spans="2:59" x14ac:dyDescent="0.35">
      <c r="B565" s="1"/>
      <c r="C565" s="1"/>
      <c r="D565" s="1"/>
      <c r="E565" s="1"/>
      <c r="F565" s="1"/>
      <c r="G565" s="1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34"/>
      <c r="BE565" s="1"/>
      <c r="BF565" s="1"/>
      <c r="BG565" s="1"/>
    </row>
    <row r="566" spans="2:59" x14ac:dyDescent="0.35">
      <c r="B566" s="1"/>
      <c r="C566" s="1"/>
      <c r="D566" s="1"/>
      <c r="E566" s="1"/>
      <c r="F566" s="1"/>
      <c r="G566" s="1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34"/>
      <c r="BE566" s="1"/>
      <c r="BF566" s="1"/>
      <c r="BG566" s="1"/>
    </row>
    <row r="567" spans="2:59" x14ac:dyDescent="0.35">
      <c r="B567" s="1"/>
      <c r="C567" s="1"/>
      <c r="D567" s="1"/>
      <c r="E567" s="1"/>
      <c r="F567" s="1"/>
      <c r="G567" s="1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34"/>
      <c r="BE567" s="1"/>
      <c r="BF567" s="1"/>
      <c r="BG567" s="1"/>
    </row>
    <row r="568" spans="2:59" x14ac:dyDescent="0.35">
      <c r="B568" s="1"/>
      <c r="C568" s="1"/>
      <c r="D568" s="1"/>
      <c r="E568" s="1"/>
      <c r="F568" s="1"/>
      <c r="G568" s="1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34"/>
      <c r="BE568" s="1"/>
      <c r="BF568" s="1"/>
      <c r="BG568" s="1"/>
    </row>
    <row r="569" spans="2:59" x14ac:dyDescent="0.35">
      <c r="B569" s="1"/>
      <c r="C569" s="1"/>
      <c r="D569" s="1"/>
      <c r="E569" s="1"/>
      <c r="F569" s="1"/>
      <c r="G569" s="1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34"/>
      <c r="BE569" s="1"/>
      <c r="BF569" s="1"/>
      <c r="BG569" s="1"/>
    </row>
    <row r="570" spans="2:59" x14ac:dyDescent="0.35">
      <c r="B570" s="1"/>
      <c r="C570" s="1"/>
      <c r="D570" s="1"/>
      <c r="E570" s="1"/>
      <c r="F570" s="1"/>
      <c r="G570" s="1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34"/>
      <c r="BE570" s="1"/>
      <c r="BF570" s="1"/>
      <c r="BG570" s="1"/>
    </row>
    <row r="571" spans="2:59" x14ac:dyDescent="0.35">
      <c r="B571" s="1"/>
      <c r="C571" s="1"/>
      <c r="D571" s="1"/>
      <c r="E571" s="1"/>
      <c r="F571" s="1"/>
      <c r="G571" s="1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34"/>
      <c r="BE571" s="1"/>
      <c r="BF571" s="1"/>
      <c r="BG571" s="1"/>
    </row>
    <row r="572" spans="2:59" x14ac:dyDescent="0.35">
      <c r="B572" s="1"/>
      <c r="C572" s="1"/>
      <c r="D572" s="1"/>
      <c r="E572" s="1"/>
      <c r="F572" s="1"/>
      <c r="G572" s="1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34"/>
      <c r="BE572" s="1"/>
      <c r="BF572" s="1"/>
      <c r="BG572" s="1"/>
    </row>
    <row r="573" spans="2:59" x14ac:dyDescent="0.35">
      <c r="B573" s="1"/>
      <c r="C573" s="1"/>
      <c r="D573" s="1"/>
      <c r="E573" s="1"/>
      <c r="F573" s="1"/>
      <c r="G573" s="1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34"/>
      <c r="BE573" s="1"/>
      <c r="BF573" s="1"/>
      <c r="BG573" s="1"/>
    </row>
    <row r="574" spans="2:59" x14ac:dyDescent="0.35">
      <c r="B574" s="1"/>
      <c r="C574" s="1"/>
      <c r="D574" s="1"/>
      <c r="E574" s="1"/>
      <c r="F574" s="1"/>
      <c r="G574" s="1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34"/>
      <c r="BE574" s="1"/>
      <c r="BF574" s="1"/>
      <c r="BG574" s="1"/>
    </row>
    <row r="575" spans="2:59" x14ac:dyDescent="0.35">
      <c r="B575" s="1"/>
      <c r="C575" s="1"/>
      <c r="D575" s="1"/>
      <c r="E575" s="1"/>
      <c r="F575" s="1"/>
      <c r="G575" s="1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34"/>
      <c r="BE575" s="1"/>
      <c r="BF575" s="1"/>
      <c r="BG575" s="1"/>
    </row>
    <row r="576" spans="2:59" x14ac:dyDescent="0.35">
      <c r="B576" s="1"/>
      <c r="C576" s="1"/>
      <c r="D576" s="1"/>
      <c r="E576" s="1"/>
      <c r="F576" s="1"/>
      <c r="G576" s="1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34"/>
      <c r="BE576" s="1"/>
      <c r="BF576" s="1"/>
      <c r="BG576" s="1"/>
    </row>
    <row r="577" spans="2:59" x14ac:dyDescent="0.35">
      <c r="B577" s="1"/>
      <c r="C577" s="1"/>
      <c r="D577" s="1"/>
      <c r="E577" s="1"/>
      <c r="F577" s="1"/>
      <c r="G577" s="1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34"/>
      <c r="BE577" s="1"/>
      <c r="BF577" s="1"/>
      <c r="BG577" s="1"/>
    </row>
    <row r="578" spans="2:59" x14ac:dyDescent="0.35">
      <c r="B578" s="1"/>
      <c r="C578" s="1"/>
      <c r="D578" s="1"/>
      <c r="E578" s="1"/>
      <c r="F578" s="1"/>
      <c r="G578" s="1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34"/>
      <c r="BE578" s="1"/>
      <c r="BF578" s="1"/>
      <c r="BG578" s="1"/>
    </row>
    <row r="579" spans="2:59" x14ac:dyDescent="0.35">
      <c r="B579" s="1"/>
      <c r="C579" s="1"/>
      <c r="D579" s="1"/>
      <c r="E579" s="1"/>
      <c r="F579" s="1"/>
      <c r="G579" s="1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34"/>
      <c r="BE579" s="1"/>
      <c r="BF579" s="1"/>
      <c r="BG579" s="1"/>
    </row>
    <row r="580" spans="2:59" x14ac:dyDescent="0.35">
      <c r="B580" s="1"/>
      <c r="C580" s="1"/>
      <c r="D580" s="1"/>
      <c r="E580" s="1"/>
      <c r="F580" s="1"/>
      <c r="G580" s="1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34"/>
      <c r="BE580" s="1"/>
      <c r="BF580" s="1"/>
      <c r="BG580" s="1"/>
    </row>
    <row r="581" spans="2:59" x14ac:dyDescent="0.35">
      <c r="B581" s="1"/>
      <c r="C581" s="1"/>
      <c r="D581" s="1"/>
      <c r="E581" s="1"/>
      <c r="F581" s="1"/>
      <c r="G581" s="1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34"/>
      <c r="BE581" s="1"/>
      <c r="BF581" s="1"/>
      <c r="BG581" s="1"/>
    </row>
    <row r="582" spans="2:59" x14ac:dyDescent="0.35">
      <c r="B582" s="1"/>
      <c r="C582" s="1"/>
      <c r="D582" s="1"/>
      <c r="E582" s="1"/>
      <c r="F582" s="1"/>
      <c r="G582" s="1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34"/>
      <c r="BE582" s="1"/>
      <c r="BF582" s="1"/>
      <c r="BG582" s="1"/>
    </row>
    <row r="583" spans="2:59" x14ac:dyDescent="0.35">
      <c r="B583" s="1"/>
      <c r="C583" s="1"/>
      <c r="D583" s="1"/>
      <c r="E583" s="1"/>
      <c r="F583" s="1"/>
      <c r="G583" s="1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34"/>
      <c r="BE583" s="1"/>
      <c r="BF583" s="1"/>
      <c r="BG583" s="1"/>
    </row>
    <row r="584" spans="2:59" x14ac:dyDescent="0.35">
      <c r="B584" s="1"/>
      <c r="C584" s="1"/>
      <c r="D584" s="1"/>
      <c r="E584" s="1"/>
      <c r="F584" s="1"/>
      <c r="G584" s="1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34"/>
      <c r="BE584" s="1"/>
      <c r="BF584" s="1"/>
      <c r="BG584" s="1"/>
    </row>
    <row r="585" spans="2:59" x14ac:dyDescent="0.35">
      <c r="B585" s="1"/>
      <c r="C585" s="1"/>
      <c r="D585" s="1"/>
      <c r="E585" s="1"/>
      <c r="F585" s="1"/>
      <c r="G585" s="1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34"/>
      <c r="BE585" s="1"/>
      <c r="BF585" s="1"/>
      <c r="BG585" s="1"/>
    </row>
    <row r="586" spans="2:59" x14ac:dyDescent="0.35">
      <c r="B586" s="1"/>
      <c r="C586" s="1"/>
      <c r="D586" s="1"/>
      <c r="E586" s="1"/>
      <c r="F586" s="1"/>
      <c r="G586" s="1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34"/>
      <c r="BE586" s="1"/>
      <c r="BF586" s="1"/>
      <c r="BG586" s="1"/>
    </row>
    <row r="587" spans="2:59" x14ac:dyDescent="0.35">
      <c r="B587" s="1"/>
      <c r="C587" s="1"/>
      <c r="D587" s="1"/>
      <c r="E587" s="1"/>
      <c r="F587" s="1"/>
      <c r="G587" s="1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34"/>
      <c r="BE587" s="1"/>
      <c r="BF587" s="1"/>
      <c r="BG587" s="1"/>
    </row>
    <row r="588" spans="2:59" x14ac:dyDescent="0.35">
      <c r="B588" s="1"/>
      <c r="C588" s="1"/>
      <c r="D588" s="1"/>
      <c r="E588" s="1"/>
      <c r="F588" s="1"/>
      <c r="G588" s="1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34"/>
      <c r="BE588" s="1"/>
      <c r="BF588" s="1"/>
      <c r="BG588" s="1"/>
    </row>
    <row r="589" spans="2:59" x14ac:dyDescent="0.35">
      <c r="B589" s="1"/>
      <c r="C589" s="1"/>
      <c r="D589" s="1"/>
      <c r="E589" s="1"/>
      <c r="F589" s="1"/>
      <c r="G589" s="1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34"/>
      <c r="BE589" s="1"/>
      <c r="BF589" s="1"/>
      <c r="BG589" s="1"/>
    </row>
    <row r="590" spans="2:59" x14ac:dyDescent="0.35">
      <c r="B590" s="1"/>
      <c r="C590" s="1"/>
      <c r="D590" s="1"/>
      <c r="E590" s="1"/>
      <c r="F590" s="1"/>
      <c r="G590" s="1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34"/>
      <c r="BE590" s="1"/>
      <c r="BF590" s="1"/>
      <c r="BG590" s="1"/>
    </row>
    <row r="591" spans="2:59" x14ac:dyDescent="0.35">
      <c r="B591" s="1"/>
      <c r="C591" s="1"/>
      <c r="D591" s="1"/>
      <c r="E591" s="1"/>
      <c r="F591" s="1"/>
      <c r="G591" s="1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34"/>
      <c r="BE591" s="1"/>
      <c r="BF591" s="1"/>
      <c r="BG591" s="1"/>
    </row>
    <row r="592" spans="2:59" x14ac:dyDescent="0.35">
      <c r="B592" s="1"/>
      <c r="C592" s="1"/>
      <c r="D592" s="1"/>
      <c r="E592" s="1"/>
      <c r="F592" s="1"/>
      <c r="G592" s="1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34"/>
      <c r="BE592" s="1"/>
      <c r="BF592" s="1"/>
      <c r="BG592" s="1"/>
    </row>
    <row r="593" spans="2:59" x14ac:dyDescent="0.35">
      <c r="B593" s="1"/>
      <c r="C593" s="1"/>
      <c r="D593" s="1"/>
      <c r="E593" s="1"/>
      <c r="F593" s="1"/>
      <c r="G593" s="1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34"/>
      <c r="BE593" s="1"/>
      <c r="BF593" s="1"/>
      <c r="BG593" s="1"/>
    </row>
    <row r="594" spans="2:59" x14ac:dyDescent="0.35">
      <c r="B594" s="1"/>
      <c r="C594" s="1"/>
      <c r="D594" s="1"/>
      <c r="E594" s="1"/>
      <c r="F594" s="1"/>
      <c r="G594" s="1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34"/>
      <c r="BE594" s="1"/>
      <c r="BF594" s="1"/>
      <c r="BG594" s="1"/>
    </row>
    <row r="595" spans="2:59" x14ac:dyDescent="0.35">
      <c r="B595" s="1"/>
      <c r="C595" s="1"/>
      <c r="D595" s="1"/>
      <c r="E595" s="1"/>
      <c r="F595" s="1"/>
      <c r="G595" s="1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34"/>
      <c r="BE595" s="1"/>
      <c r="BF595" s="1"/>
      <c r="BG595" s="1"/>
    </row>
    <row r="596" spans="2:59" x14ac:dyDescent="0.35">
      <c r="B596" s="1"/>
      <c r="C596" s="1"/>
      <c r="D596" s="1"/>
      <c r="E596" s="1"/>
      <c r="F596" s="1"/>
      <c r="G596" s="1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34"/>
      <c r="BE596" s="1"/>
      <c r="BF596" s="1"/>
      <c r="BG596" s="1"/>
    </row>
    <row r="597" spans="2:59" x14ac:dyDescent="0.35">
      <c r="B597" s="1"/>
      <c r="C597" s="1"/>
      <c r="D597" s="1"/>
      <c r="E597" s="1"/>
      <c r="F597" s="1"/>
      <c r="G597" s="1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34"/>
      <c r="BE597" s="1"/>
      <c r="BF597" s="1"/>
      <c r="BG597" s="1"/>
    </row>
    <row r="598" spans="2:59" x14ac:dyDescent="0.35">
      <c r="B598" s="1"/>
      <c r="C598" s="1"/>
      <c r="D598" s="1"/>
      <c r="E598" s="1"/>
      <c r="F598" s="1"/>
      <c r="G598" s="1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34"/>
      <c r="BE598" s="1"/>
      <c r="BF598" s="1"/>
      <c r="BG598" s="1"/>
    </row>
    <row r="599" spans="2:59" x14ac:dyDescent="0.35">
      <c r="B599" s="1"/>
      <c r="C599" s="1"/>
      <c r="D599" s="1"/>
      <c r="E599" s="1"/>
      <c r="F599" s="1"/>
      <c r="G599" s="1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34"/>
      <c r="BE599" s="1"/>
      <c r="BF599" s="1"/>
      <c r="BG599" s="1"/>
    </row>
    <row r="600" spans="2:59" x14ac:dyDescent="0.35">
      <c r="B600" s="1"/>
      <c r="C600" s="1"/>
      <c r="D600" s="1"/>
      <c r="E600" s="1"/>
      <c r="F600" s="1"/>
      <c r="G600" s="1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34"/>
      <c r="BE600" s="1"/>
      <c r="BF600" s="1"/>
      <c r="BG600" s="1"/>
    </row>
    <row r="601" spans="2:59" x14ac:dyDescent="0.35">
      <c r="B601" s="1"/>
      <c r="C601" s="1"/>
      <c r="D601" s="1"/>
      <c r="E601" s="1"/>
      <c r="F601" s="1"/>
      <c r="G601" s="1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34"/>
      <c r="BE601" s="1"/>
      <c r="BF601" s="1"/>
      <c r="BG601" s="1"/>
    </row>
    <row r="602" spans="2:59" x14ac:dyDescent="0.35">
      <c r="B602" s="1"/>
      <c r="C602" s="1"/>
      <c r="D602" s="1"/>
      <c r="E602" s="1"/>
      <c r="F602" s="1"/>
      <c r="G602" s="1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34"/>
      <c r="BE602" s="1"/>
      <c r="BF602" s="1"/>
      <c r="BG602" s="1"/>
    </row>
    <row r="603" spans="2:59" x14ac:dyDescent="0.35">
      <c r="B603" s="1"/>
      <c r="C603" s="1"/>
      <c r="D603" s="1"/>
      <c r="E603" s="1"/>
      <c r="F603" s="1"/>
      <c r="G603" s="1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34"/>
      <c r="BE603" s="1"/>
      <c r="BF603" s="1"/>
      <c r="BG603" s="1"/>
    </row>
    <row r="604" spans="2:59" x14ac:dyDescent="0.35">
      <c r="B604" s="1"/>
      <c r="C604" s="1"/>
      <c r="D604" s="1"/>
      <c r="E604" s="1"/>
      <c r="F604" s="1"/>
      <c r="G604" s="1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34"/>
      <c r="BE604" s="1"/>
      <c r="BF604" s="1"/>
      <c r="BG604" s="1"/>
    </row>
    <row r="605" spans="2:59" x14ac:dyDescent="0.35">
      <c r="B605" s="1"/>
      <c r="C605" s="1"/>
      <c r="D605" s="1"/>
      <c r="E605" s="1"/>
      <c r="F605" s="1"/>
      <c r="G605" s="1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34"/>
      <c r="BE605" s="1"/>
      <c r="BF605" s="1"/>
      <c r="BG605" s="1"/>
    </row>
    <row r="606" spans="2:59" x14ac:dyDescent="0.35">
      <c r="B606" s="1"/>
      <c r="C606" s="1"/>
      <c r="D606" s="1"/>
      <c r="E606" s="1"/>
      <c r="F606" s="1"/>
      <c r="G606" s="1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34"/>
      <c r="BE606" s="1"/>
      <c r="BF606" s="1"/>
      <c r="BG606" s="1"/>
    </row>
    <row r="607" spans="2:59" x14ac:dyDescent="0.35">
      <c r="B607" s="1"/>
      <c r="C607" s="1"/>
      <c r="D607" s="1"/>
      <c r="E607" s="1"/>
      <c r="F607" s="1"/>
      <c r="G607" s="1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34"/>
      <c r="BE607" s="1"/>
      <c r="BF607" s="1"/>
      <c r="BG607" s="1"/>
    </row>
    <row r="608" spans="2:59" x14ac:dyDescent="0.35">
      <c r="B608" s="1"/>
      <c r="C608" s="1"/>
      <c r="D608" s="1"/>
      <c r="E608" s="1"/>
      <c r="F608" s="1"/>
      <c r="G608" s="1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34"/>
      <c r="BE608" s="1"/>
      <c r="BF608" s="1"/>
      <c r="BG608" s="1"/>
    </row>
    <row r="609" spans="2:59" x14ac:dyDescent="0.35">
      <c r="B609" s="1"/>
      <c r="C609" s="1"/>
      <c r="D609" s="1"/>
      <c r="E609" s="1"/>
      <c r="F609" s="1"/>
      <c r="G609" s="1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34"/>
      <c r="BE609" s="1"/>
      <c r="BF609" s="1"/>
      <c r="BG609" s="1"/>
    </row>
    <row r="610" spans="2:59" x14ac:dyDescent="0.35">
      <c r="B610" s="1"/>
      <c r="C610" s="1"/>
      <c r="D610" s="1"/>
      <c r="E610" s="1"/>
      <c r="F610" s="1"/>
      <c r="G610" s="1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34"/>
      <c r="BE610" s="1"/>
      <c r="BF610" s="1"/>
      <c r="BG610" s="1"/>
    </row>
    <row r="611" spans="2:59" x14ac:dyDescent="0.35">
      <c r="B611" s="1"/>
      <c r="C611" s="1"/>
      <c r="D611" s="1"/>
      <c r="E611" s="1"/>
      <c r="F611" s="1"/>
      <c r="G611" s="1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34"/>
      <c r="BE611" s="1"/>
      <c r="BF611" s="1"/>
      <c r="BG611" s="1"/>
    </row>
    <row r="612" spans="2:59" x14ac:dyDescent="0.35">
      <c r="B612" s="1"/>
      <c r="C612" s="1"/>
      <c r="D612" s="1"/>
      <c r="E612" s="1"/>
      <c r="F612" s="1"/>
      <c r="G612" s="1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34"/>
      <c r="BE612" s="1"/>
      <c r="BF612" s="1"/>
      <c r="BG612" s="1"/>
    </row>
    <row r="613" spans="2:59" x14ac:dyDescent="0.35">
      <c r="B613" s="1"/>
      <c r="C613" s="1"/>
      <c r="D613" s="1"/>
      <c r="E613" s="1"/>
      <c r="F613" s="1"/>
      <c r="G613" s="1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34"/>
      <c r="BE613" s="1"/>
      <c r="BF613" s="1"/>
      <c r="BG613" s="1"/>
    </row>
    <row r="614" spans="2:59" x14ac:dyDescent="0.35">
      <c r="B614" s="1"/>
      <c r="C614" s="1"/>
      <c r="D614" s="1"/>
      <c r="E614" s="1"/>
      <c r="F614" s="1"/>
      <c r="G614" s="1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34"/>
      <c r="BE614" s="1"/>
      <c r="BF614" s="1"/>
      <c r="BG614" s="1"/>
    </row>
    <row r="615" spans="2:59" x14ac:dyDescent="0.35">
      <c r="B615" s="1"/>
      <c r="C615" s="1"/>
      <c r="D615" s="1"/>
      <c r="E615" s="1"/>
      <c r="F615" s="1"/>
      <c r="G615" s="1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34"/>
      <c r="BE615" s="1"/>
      <c r="BF615" s="1"/>
      <c r="BG615" s="1"/>
    </row>
    <row r="616" spans="2:59" x14ac:dyDescent="0.35">
      <c r="B616" s="1"/>
      <c r="C616" s="1"/>
      <c r="D616" s="1"/>
      <c r="E616" s="1"/>
      <c r="F616" s="1"/>
      <c r="G616" s="1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34"/>
      <c r="BE616" s="1"/>
      <c r="BF616" s="1"/>
      <c r="BG616" s="1"/>
    </row>
    <row r="617" spans="2:59" x14ac:dyDescent="0.35">
      <c r="B617" s="1"/>
      <c r="C617" s="1"/>
      <c r="D617" s="1"/>
      <c r="E617" s="1"/>
      <c r="F617" s="1"/>
      <c r="G617" s="1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34"/>
      <c r="BE617" s="1"/>
      <c r="BF617" s="1"/>
      <c r="BG617" s="1"/>
    </row>
    <row r="618" spans="2:59" x14ac:dyDescent="0.35">
      <c r="B618" s="1"/>
      <c r="C618" s="1"/>
      <c r="D618" s="1"/>
      <c r="E618" s="1"/>
      <c r="F618" s="1"/>
      <c r="G618" s="1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34"/>
      <c r="BE618" s="1"/>
      <c r="BF618" s="1"/>
      <c r="BG618" s="1"/>
    </row>
    <row r="619" spans="2:59" x14ac:dyDescent="0.35">
      <c r="B619" s="1"/>
      <c r="C619" s="1"/>
      <c r="D619" s="1"/>
      <c r="E619" s="1"/>
      <c r="F619" s="1"/>
      <c r="G619" s="1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34"/>
      <c r="BE619" s="1"/>
      <c r="BF619" s="1"/>
      <c r="BG619" s="1"/>
    </row>
    <row r="620" spans="2:59" x14ac:dyDescent="0.35">
      <c r="B620" s="1"/>
      <c r="C620" s="1"/>
      <c r="D620" s="1"/>
      <c r="E620" s="1"/>
      <c r="F620" s="1"/>
      <c r="G620" s="1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34"/>
      <c r="BE620" s="1"/>
      <c r="BF620" s="1"/>
      <c r="BG620" s="1"/>
    </row>
    <row r="621" spans="2:59" x14ac:dyDescent="0.35">
      <c r="B621" s="1"/>
      <c r="C621" s="1"/>
      <c r="D621" s="1"/>
      <c r="E621" s="1"/>
      <c r="F621" s="1"/>
      <c r="G621" s="1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34"/>
      <c r="BE621" s="1"/>
      <c r="BF621" s="1"/>
      <c r="BG621" s="1"/>
    </row>
    <row r="622" spans="2:59" x14ac:dyDescent="0.35">
      <c r="B622" s="1"/>
      <c r="C622" s="1"/>
      <c r="D622" s="1"/>
      <c r="E622" s="1"/>
      <c r="F622" s="1"/>
      <c r="G622" s="1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34"/>
      <c r="BE622" s="1"/>
      <c r="BF622" s="1"/>
      <c r="BG622" s="1"/>
    </row>
    <row r="623" spans="2:59" x14ac:dyDescent="0.35">
      <c r="B623" s="1"/>
      <c r="C623" s="1"/>
      <c r="D623" s="1"/>
      <c r="E623" s="1"/>
      <c r="F623" s="1"/>
      <c r="G623" s="1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34"/>
      <c r="BE623" s="1"/>
      <c r="BF623" s="1"/>
      <c r="BG623" s="1"/>
    </row>
    <row r="624" spans="2:59" x14ac:dyDescent="0.35">
      <c r="B624" s="1"/>
      <c r="C624" s="1"/>
      <c r="D624" s="1"/>
      <c r="E624" s="1"/>
      <c r="F624" s="1"/>
      <c r="G624" s="1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34"/>
      <c r="BE624" s="1"/>
      <c r="BF624" s="1"/>
      <c r="BG624" s="1"/>
    </row>
    <row r="625" spans="2:59" x14ac:dyDescent="0.35">
      <c r="B625" s="1"/>
      <c r="C625" s="1"/>
      <c r="D625" s="1"/>
      <c r="E625" s="1"/>
      <c r="F625" s="1"/>
      <c r="G625" s="1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34"/>
      <c r="BE625" s="1"/>
      <c r="BF625" s="1"/>
      <c r="BG625" s="1"/>
    </row>
    <row r="626" spans="2:59" x14ac:dyDescent="0.35">
      <c r="B626" s="1"/>
      <c r="C626" s="1"/>
      <c r="D626" s="1"/>
      <c r="E626" s="1"/>
      <c r="F626" s="1"/>
      <c r="G626" s="1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34"/>
      <c r="BE626" s="1"/>
      <c r="BF626" s="1"/>
      <c r="BG626" s="1"/>
    </row>
    <row r="627" spans="2:59" x14ac:dyDescent="0.35">
      <c r="B627" s="1"/>
      <c r="C627" s="1"/>
      <c r="D627" s="1"/>
      <c r="E627" s="1"/>
      <c r="F627" s="1"/>
      <c r="G627" s="1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34"/>
      <c r="BE627" s="1"/>
      <c r="BF627" s="1"/>
      <c r="BG627" s="1"/>
    </row>
    <row r="628" spans="2:59" x14ac:dyDescent="0.35">
      <c r="B628" s="1"/>
      <c r="C628" s="1"/>
      <c r="D628" s="1"/>
      <c r="E628" s="1"/>
      <c r="F628" s="1"/>
      <c r="G628" s="1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34"/>
      <c r="BE628" s="1"/>
      <c r="BF628" s="1"/>
      <c r="BG628" s="1"/>
    </row>
    <row r="629" spans="2:59" x14ac:dyDescent="0.35">
      <c r="B629" s="1"/>
      <c r="C629" s="1"/>
      <c r="D629" s="1"/>
      <c r="E629" s="1"/>
      <c r="F629" s="1"/>
      <c r="G629" s="1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34"/>
      <c r="BE629" s="1"/>
      <c r="BF629" s="1"/>
      <c r="BG629" s="1"/>
    </row>
    <row r="630" spans="2:59" x14ac:dyDescent="0.35">
      <c r="B630" s="1"/>
      <c r="C630" s="1"/>
      <c r="D630" s="1"/>
      <c r="E630" s="1"/>
      <c r="F630" s="1"/>
      <c r="G630" s="1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34"/>
      <c r="BE630" s="1"/>
      <c r="BF630" s="1"/>
      <c r="BG630" s="1"/>
    </row>
    <row r="631" spans="2:59" x14ac:dyDescent="0.35">
      <c r="B631" s="1"/>
      <c r="C631" s="1"/>
      <c r="D631" s="1"/>
      <c r="E631" s="1"/>
      <c r="F631" s="1"/>
      <c r="G631" s="1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34"/>
      <c r="BE631" s="1"/>
      <c r="BF631" s="1"/>
      <c r="BG631" s="1"/>
    </row>
    <row r="632" spans="2:59" x14ac:dyDescent="0.35">
      <c r="B632" s="1"/>
      <c r="C632" s="1"/>
      <c r="D632" s="1"/>
      <c r="E632" s="1"/>
      <c r="F632" s="1"/>
      <c r="G632" s="1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34"/>
      <c r="BE632" s="1"/>
      <c r="BF632" s="1"/>
      <c r="BG632" s="1"/>
    </row>
    <row r="633" spans="2:59" x14ac:dyDescent="0.35">
      <c r="B633" s="1"/>
      <c r="C633" s="1"/>
      <c r="D633" s="1"/>
      <c r="E633" s="1"/>
      <c r="F633" s="1"/>
      <c r="G633" s="1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34"/>
      <c r="BE633" s="1"/>
      <c r="BF633" s="1"/>
      <c r="BG633" s="1"/>
    </row>
    <row r="634" spans="2:59" x14ac:dyDescent="0.35">
      <c r="B634" s="1"/>
      <c r="C634" s="1"/>
      <c r="D634" s="1"/>
      <c r="E634" s="1"/>
      <c r="F634" s="1"/>
      <c r="G634" s="1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34"/>
      <c r="BE634" s="1"/>
      <c r="BF634" s="1"/>
      <c r="BG634" s="1"/>
    </row>
    <row r="635" spans="2:59" x14ac:dyDescent="0.35">
      <c r="B635" s="1"/>
      <c r="C635" s="1"/>
      <c r="D635" s="1"/>
      <c r="E635" s="1"/>
      <c r="F635" s="1"/>
      <c r="G635" s="1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34"/>
      <c r="BE635" s="1"/>
      <c r="BF635" s="1"/>
      <c r="BG635" s="1"/>
    </row>
    <row r="636" spans="2:59" x14ac:dyDescent="0.35">
      <c r="B636" s="1"/>
      <c r="C636" s="1"/>
      <c r="D636" s="1"/>
      <c r="E636" s="1"/>
      <c r="F636" s="1"/>
      <c r="G636" s="1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34"/>
      <c r="BE636" s="1"/>
      <c r="BF636" s="1"/>
      <c r="BG636" s="1"/>
    </row>
    <row r="637" spans="2:59" x14ac:dyDescent="0.35">
      <c r="B637" s="1"/>
      <c r="C637" s="1"/>
      <c r="D637" s="1"/>
      <c r="E637" s="1"/>
      <c r="F637" s="1"/>
      <c r="G637" s="1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34"/>
      <c r="BE637" s="1"/>
      <c r="BF637" s="1"/>
      <c r="BG637" s="1"/>
    </row>
    <row r="638" spans="2:59" x14ac:dyDescent="0.35">
      <c r="B638" s="1"/>
      <c r="C638" s="1"/>
      <c r="D638" s="1"/>
      <c r="E638" s="1"/>
      <c r="F638" s="1"/>
      <c r="G638" s="1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34"/>
      <c r="BE638" s="1"/>
      <c r="BF638" s="1"/>
      <c r="BG638" s="1"/>
    </row>
    <row r="639" spans="2:59" x14ac:dyDescent="0.35">
      <c r="B639" s="1"/>
      <c r="C639" s="1"/>
      <c r="D639" s="1"/>
      <c r="E639" s="1"/>
      <c r="F639" s="1"/>
      <c r="G639" s="1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34"/>
      <c r="BE639" s="1"/>
      <c r="BF639" s="1"/>
      <c r="BG639" s="1"/>
    </row>
    <row r="640" spans="2:59" x14ac:dyDescent="0.35">
      <c r="B640" s="1"/>
      <c r="C640" s="1"/>
      <c r="D640" s="1"/>
      <c r="E640" s="1"/>
      <c r="F640" s="1"/>
      <c r="G640" s="1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34"/>
      <c r="BE640" s="1"/>
      <c r="BF640" s="1"/>
      <c r="BG640" s="1"/>
    </row>
    <row r="641" spans="2:59" x14ac:dyDescent="0.35">
      <c r="B641" s="1"/>
      <c r="C641" s="1"/>
      <c r="D641" s="1"/>
      <c r="E641" s="1"/>
      <c r="F641" s="1"/>
      <c r="G641" s="1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34"/>
      <c r="BE641" s="1"/>
      <c r="BF641" s="1"/>
      <c r="BG641" s="1"/>
    </row>
    <row r="642" spans="2:59" x14ac:dyDescent="0.35">
      <c r="B642" s="1"/>
      <c r="C642" s="1"/>
      <c r="D642" s="1"/>
      <c r="E642" s="1"/>
      <c r="F642" s="1"/>
      <c r="G642" s="1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34"/>
      <c r="BE642" s="1"/>
      <c r="BF642" s="1"/>
      <c r="BG642" s="1"/>
    </row>
    <row r="643" spans="2:59" x14ac:dyDescent="0.35">
      <c r="B643" s="1"/>
      <c r="C643" s="1"/>
      <c r="D643" s="1"/>
      <c r="E643" s="1"/>
      <c r="F643" s="1"/>
      <c r="G643" s="1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34"/>
      <c r="BE643" s="1"/>
      <c r="BF643" s="1"/>
      <c r="BG643" s="1"/>
    </row>
    <row r="644" spans="2:59" x14ac:dyDescent="0.35">
      <c r="B644" s="1"/>
      <c r="C644" s="1"/>
      <c r="D644" s="1"/>
      <c r="E644" s="1"/>
      <c r="F644" s="1"/>
      <c r="G644" s="1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34"/>
      <c r="BE644" s="1"/>
      <c r="BF644" s="1"/>
      <c r="BG644" s="1"/>
    </row>
    <row r="645" spans="2:59" x14ac:dyDescent="0.35">
      <c r="B645" s="1"/>
      <c r="C645" s="1"/>
      <c r="D645" s="1"/>
      <c r="E645" s="1"/>
      <c r="F645" s="1"/>
      <c r="G645" s="1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34"/>
      <c r="BE645" s="1"/>
      <c r="BF645" s="1"/>
      <c r="BG645" s="1"/>
    </row>
    <row r="646" spans="2:59" x14ac:dyDescent="0.35">
      <c r="B646" s="1"/>
      <c r="C646" s="1"/>
      <c r="D646" s="1"/>
      <c r="E646" s="1"/>
      <c r="F646" s="1"/>
      <c r="G646" s="1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34"/>
      <c r="BE646" s="1"/>
      <c r="BF646" s="1"/>
      <c r="BG646" s="1"/>
    </row>
    <row r="647" spans="2:59" x14ac:dyDescent="0.35">
      <c r="B647" s="1"/>
      <c r="C647" s="1"/>
      <c r="D647" s="1"/>
      <c r="E647" s="1"/>
      <c r="F647" s="1"/>
      <c r="G647" s="1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34"/>
      <c r="BE647" s="1"/>
      <c r="BF647" s="1"/>
      <c r="BG647" s="1"/>
    </row>
    <row r="648" spans="2:59" x14ac:dyDescent="0.35">
      <c r="B648" s="1"/>
      <c r="C648" s="1"/>
      <c r="D648" s="1"/>
      <c r="E648" s="1"/>
      <c r="F648" s="1"/>
      <c r="G648" s="1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34"/>
      <c r="BE648" s="1"/>
      <c r="BF648" s="1"/>
      <c r="BG648" s="1"/>
    </row>
    <row r="649" spans="2:59" x14ac:dyDescent="0.35">
      <c r="B649" s="1"/>
      <c r="C649" s="1"/>
      <c r="D649" s="1"/>
      <c r="E649" s="1"/>
      <c r="F649" s="1"/>
      <c r="G649" s="1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34"/>
      <c r="BE649" s="1"/>
      <c r="BF649" s="1"/>
      <c r="BG649" s="1"/>
    </row>
    <row r="650" spans="2:59" x14ac:dyDescent="0.35">
      <c r="B650" s="1"/>
      <c r="C650" s="1"/>
      <c r="D650" s="1"/>
      <c r="E650" s="1"/>
      <c r="F650" s="1"/>
      <c r="G650" s="1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34"/>
      <c r="BE650" s="1"/>
      <c r="BF650" s="1"/>
      <c r="BG650" s="1"/>
    </row>
    <row r="651" spans="2:59" x14ac:dyDescent="0.35">
      <c r="B651" s="1"/>
      <c r="C651" s="1"/>
      <c r="D651" s="1"/>
      <c r="E651" s="1"/>
      <c r="F651" s="1"/>
      <c r="G651" s="1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34"/>
      <c r="BE651" s="1"/>
      <c r="BF651" s="1"/>
      <c r="BG651" s="1"/>
    </row>
    <row r="652" spans="2:59" x14ac:dyDescent="0.35">
      <c r="B652" s="1"/>
      <c r="C652" s="1"/>
      <c r="D652" s="1"/>
      <c r="E652" s="1"/>
      <c r="F652" s="1"/>
      <c r="G652" s="1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34"/>
      <c r="BE652" s="1"/>
      <c r="BF652" s="1"/>
      <c r="BG652" s="1"/>
    </row>
    <row r="653" spans="2:59" x14ac:dyDescent="0.35">
      <c r="B653" s="1"/>
      <c r="C653" s="1"/>
      <c r="D653" s="1"/>
      <c r="E653" s="1"/>
      <c r="F653" s="1"/>
      <c r="G653" s="1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34"/>
      <c r="BE653" s="1"/>
      <c r="BF653" s="1"/>
      <c r="BG653" s="1"/>
    </row>
    <row r="654" spans="2:59" x14ac:dyDescent="0.35">
      <c r="B654" s="1"/>
      <c r="C654" s="1"/>
      <c r="D654" s="1"/>
      <c r="E654" s="1"/>
      <c r="F654" s="1"/>
      <c r="G654" s="1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34"/>
      <c r="BE654" s="1"/>
      <c r="BF654" s="1"/>
      <c r="BG654" s="1"/>
    </row>
    <row r="655" spans="2:59" x14ac:dyDescent="0.35">
      <c r="B655" s="1"/>
      <c r="C655" s="1"/>
      <c r="D655" s="1"/>
      <c r="E655" s="1"/>
      <c r="F655" s="1"/>
      <c r="G655" s="1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34"/>
      <c r="BE655" s="1"/>
      <c r="BF655" s="1"/>
      <c r="BG655" s="1"/>
    </row>
    <row r="656" spans="2:59" x14ac:dyDescent="0.35">
      <c r="B656" s="1"/>
      <c r="C656" s="1"/>
      <c r="D656" s="1"/>
      <c r="E656" s="1"/>
      <c r="F656" s="1"/>
      <c r="G656" s="1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34"/>
      <c r="BE656" s="1"/>
      <c r="BF656" s="1"/>
      <c r="BG656" s="1"/>
    </row>
    <row r="657" spans="2:59" x14ac:dyDescent="0.35">
      <c r="B657" s="1"/>
      <c r="C657" s="1"/>
      <c r="D657" s="1"/>
      <c r="E657" s="1"/>
      <c r="F657" s="1"/>
      <c r="G657" s="1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34"/>
      <c r="BE657" s="1"/>
      <c r="BF657" s="1"/>
      <c r="BG657" s="1"/>
    </row>
    <row r="658" spans="2:59" x14ac:dyDescent="0.35">
      <c r="B658" s="1"/>
      <c r="C658" s="1"/>
      <c r="D658" s="1"/>
      <c r="E658" s="1"/>
      <c r="F658" s="1"/>
      <c r="G658" s="1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34"/>
      <c r="BE658" s="1"/>
      <c r="BF658" s="1"/>
      <c r="BG658" s="1"/>
    </row>
    <row r="659" spans="2:59" x14ac:dyDescent="0.35">
      <c r="B659" s="1"/>
      <c r="C659" s="1"/>
      <c r="D659" s="1"/>
      <c r="E659" s="1"/>
      <c r="F659" s="1"/>
      <c r="G659" s="1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34"/>
      <c r="BE659" s="1"/>
      <c r="BF659" s="1"/>
      <c r="BG659" s="1"/>
    </row>
    <row r="660" spans="2:59" x14ac:dyDescent="0.35">
      <c r="B660" s="1"/>
      <c r="C660" s="1"/>
      <c r="D660" s="1"/>
      <c r="E660" s="1"/>
      <c r="F660" s="1"/>
      <c r="G660" s="1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34"/>
      <c r="BE660" s="1"/>
      <c r="BF660" s="1"/>
      <c r="BG660" s="1"/>
    </row>
    <row r="661" spans="2:59" x14ac:dyDescent="0.35">
      <c r="B661" s="1"/>
      <c r="C661" s="1"/>
      <c r="D661" s="1"/>
      <c r="E661" s="1"/>
      <c r="F661" s="1"/>
      <c r="G661" s="1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34"/>
      <c r="BE661" s="1"/>
      <c r="BF661" s="1"/>
      <c r="BG661" s="1"/>
    </row>
    <row r="662" spans="2:59" x14ac:dyDescent="0.35">
      <c r="B662" s="1"/>
      <c r="C662" s="1"/>
      <c r="D662" s="1"/>
      <c r="E662" s="1"/>
      <c r="F662" s="1"/>
      <c r="G662" s="1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34"/>
      <c r="BE662" s="1"/>
      <c r="BF662" s="1"/>
      <c r="BG662" s="1"/>
    </row>
    <row r="663" spans="2:59" x14ac:dyDescent="0.35">
      <c r="B663" s="1"/>
      <c r="C663" s="1"/>
      <c r="D663" s="1"/>
      <c r="E663" s="1"/>
      <c r="F663" s="1"/>
      <c r="G663" s="1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34"/>
      <c r="BE663" s="1"/>
      <c r="BF663" s="1"/>
      <c r="BG663" s="1"/>
    </row>
    <row r="664" spans="2:59" x14ac:dyDescent="0.35">
      <c r="B664" s="1"/>
      <c r="C664" s="1"/>
      <c r="D664" s="1"/>
      <c r="E664" s="1"/>
      <c r="F664" s="1"/>
      <c r="G664" s="1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34"/>
      <c r="BE664" s="1"/>
      <c r="BF664" s="1"/>
      <c r="BG664" s="1"/>
    </row>
    <row r="665" spans="2:59" x14ac:dyDescent="0.35">
      <c r="B665" s="1"/>
      <c r="C665" s="1"/>
      <c r="D665" s="1"/>
      <c r="E665" s="1"/>
      <c r="F665" s="1"/>
      <c r="G665" s="1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34"/>
      <c r="BE665" s="1"/>
      <c r="BF665" s="1"/>
      <c r="BG665" s="1"/>
    </row>
    <row r="666" spans="2:59" x14ac:dyDescent="0.35">
      <c r="B666" s="1"/>
      <c r="C666" s="1"/>
      <c r="D666" s="1"/>
      <c r="E666" s="1"/>
      <c r="F666" s="1"/>
      <c r="G666" s="1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34"/>
      <c r="BE666" s="1"/>
      <c r="BF666" s="1"/>
      <c r="BG666" s="1"/>
    </row>
    <row r="667" spans="2:59" x14ac:dyDescent="0.35">
      <c r="B667" s="1"/>
      <c r="C667" s="1"/>
      <c r="D667" s="1"/>
      <c r="E667" s="1"/>
      <c r="F667" s="1"/>
      <c r="G667" s="1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34"/>
      <c r="BE667" s="1"/>
      <c r="BF667" s="1"/>
      <c r="BG667" s="1"/>
    </row>
    <row r="668" spans="2:59" x14ac:dyDescent="0.35">
      <c r="B668" s="1"/>
      <c r="C668" s="1"/>
      <c r="D668" s="1"/>
      <c r="E668" s="1"/>
      <c r="F668" s="1"/>
      <c r="G668" s="1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34"/>
      <c r="BE668" s="1"/>
      <c r="BF668" s="1"/>
      <c r="BG668" s="1"/>
    </row>
    <row r="669" spans="2:59" x14ac:dyDescent="0.35">
      <c r="B669" s="1"/>
      <c r="C669" s="1"/>
      <c r="D669" s="1"/>
      <c r="E669" s="1"/>
      <c r="F669" s="1"/>
      <c r="G669" s="1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34"/>
      <c r="BE669" s="1"/>
      <c r="BF669" s="1"/>
      <c r="BG669" s="1"/>
    </row>
    <row r="670" spans="2:59" x14ac:dyDescent="0.35">
      <c r="B670" s="1"/>
      <c r="C670" s="1"/>
      <c r="D670" s="1"/>
      <c r="E670" s="1"/>
      <c r="F670" s="1"/>
      <c r="G670" s="1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34"/>
      <c r="BE670" s="1"/>
      <c r="BF670" s="1"/>
      <c r="BG670" s="1"/>
    </row>
    <row r="671" spans="2:59" x14ac:dyDescent="0.35">
      <c r="B671" s="1"/>
      <c r="C671" s="1"/>
      <c r="D671" s="1"/>
      <c r="E671" s="1"/>
      <c r="F671" s="1"/>
      <c r="G671" s="1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34"/>
      <c r="BE671" s="1"/>
      <c r="BF671" s="1"/>
      <c r="BG671" s="1"/>
    </row>
    <row r="672" spans="2:59" x14ac:dyDescent="0.35">
      <c r="B672" s="1"/>
      <c r="C672" s="1"/>
      <c r="D672" s="1"/>
      <c r="E672" s="1"/>
      <c r="F672" s="1"/>
      <c r="G672" s="1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34"/>
      <c r="BE672" s="1"/>
      <c r="BF672" s="1"/>
      <c r="BG672" s="1"/>
    </row>
    <row r="673" spans="2:59" x14ac:dyDescent="0.35">
      <c r="B673" s="1"/>
      <c r="C673" s="1"/>
      <c r="D673" s="1"/>
      <c r="E673" s="1"/>
      <c r="F673" s="1"/>
      <c r="G673" s="1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34"/>
      <c r="BE673" s="1"/>
      <c r="BF673" s="1"/>
      <c r="BG673" s="1"/>
    </row>
    <row r="674" spans="2:59" x14ac:dyDescent="0.35">
      <c r="B674" s="1"/>
      <c r="C674" s="1"/>
      <c r="D674" s="1"/>
      <c r="E674" s="1"/>
      <c r="F674" s="1"/>
      <c r="G674" s="1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34"/>
      <c r="BE674" s="1"/>
      <c r="BF674" s="1"/>
      <c r="BG674" s="1"/>
    </row>
    <row r="675" spans="2:59" x14ac:dyDescent="0.35">
      <c r="B675" s="1"/>
      <c r="C675" s="1"/>
      <c r="D675" s="1"/>
      <c r="E675" s="1"/>
      <c r="F675" s="1"/>
      <c r="G675" s="1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34"/>
      <c r="BE675" s="1"/>
      <c r="BF675" s="1"/>
      <c r="BG675" s="1"/>
    </row>
    <row r="676" spans="2:59" x14ac:dyDescent="0.35">
      <c r="B676" s="1"/>
      <c r="C676" s="1"/>
      <c r="D676" s="1"/>
      <c r="E676" s="1"/>
      <c r="F676" s="1"/>
      <c r="G676" s="1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34"/>
      <c r="BE676" s="1"/>
      <c r="BF676" s="1"/>
      <c r="BG676" s="1"/>
    </row>
    <row r="677" spans="2:59" x14ac:dyDescent="0.35">
      <c r="B677" s="1"/>
      <c r="C677" s="1"/>
      <c r="D677" s="1"/>
      <c r="E677" s="1"/>
      <c r="F677" s="1"/>
      <c r="G677" s="1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34"/>
      <c r="BE677" s="1"/>
      <c r="BF677" s="1"/>
      <c r="BG677" s="1"/>
    </row>
    <row r="678" spans="2:59" x14ac:dyDescent="0.35">
      <c r="B678" s="1"/>
      <c r="C678" s="1"/>
      <c r="D678" s="1"/>
      <c r="E678" s="1"/>
      <c r="F678" s="1"/>
      <c r="G678" s="1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34"/>
      <c r="BE678" s="1"/>
      <c r="BF678" s="1"/>
      <c r="BG678" s="1"/>
    </row>
    <row r="679" spans="2:59" x14ac:dyDescent="0.35">
      <c r="B679" s="1"/>
      <c r="C679" s="1"/>
      <c r="D679" s="1"/>
      <c r="E679" s="1"/>
      <c r="F679" s="1"/>
      <c r="G679" s="1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34"/>
      <c r="BE679" s="1"/>
      <c r="BF679" s="1"/>
      <c r="BG679" s="1"/>
    </row>
    <row r="680" spans="2:59" x14ac:dyDescent="0.35">
      <c r="B680" s="1"/>
      <c r="C680" s="1"/>
      <c r="D680" s="1"/>
      <c r="E680" s="1"/>
      <c r="F680" s="1"/>
      <c r="G680" s="1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34"/>
      <c r="BE680" s="1"/>
      <c r="BF680" s="1"/>
      <c r="BG680" s="1"/>
    </row>
    <row r="681" spans="2:59" x14ac:dyDescent="0.35">
      <c r="B681" s="1"/>
      <c r="C681" s="1"/>
      <c r="D681" s="1"/>
      <c r="E681" s="1"/>
      <c r="F681" s="1"/>
      <c r="G681" s="1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34"/>
      <c r="BE681" s="1"/>
      <c r="BF681" s="1"/>
      <c r="BG681" s="1"/>
    </row>
    <row r="682" spans="2:59" x14ac:dyDescent="0.35">
      <c r="B682" s="1"/>
      <c r="C682" s="1"/>
      <c r="D682" s="1"/>
      <c r="E682" s="1"/>
      <c r="F682" s="1"/>
      <c r="G682" s="1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34"/>
      <c r="BE682" s="1"/>
      <c r="BF682" s="1"/>
      <c r="BG682" s="1"/>
    </row>
    <row r="683" spans="2:59" x14ac:dyDescent="0.35">
      <c r="B683" s="1"/>
      <c r="C683" s="1"/>
      <c r="D683" s="1"/>
      <c r="E683" s="1"/>
      <c r="F683" s="1"/>
      <c r="G683" s="1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34"/>
      <c r="BE683" s="1"/>
      <c r="BF683" s="1"/>
      <c r="BG683" s="1"/>
    </row>
    <row r="684" spans="2:59" x14ac:dyDescent="0.35">
      <c r="B684" s="1"/>
      <c r="C684" s="1"/>
      <c r="D684" s="1"/>
      <c r="E684" s="1"/>
      <c r="F684" s="1"/>
      <c r="G684" s="1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34"/>
      <c r="BE684" s="1"/>
      <c r="BF684" s="1"/>
      <c r="BG684" s="1"/>
    </row>
    <row r="685" spans="2:59" x14ac:dyDescent="0.35">
      <c r="B685" s="1"/>
      <c r="C685" s="1"/>
      <c r="D685" s="1"/>
      <c r="E685" s="1"/>
      <c r="F685" s="1"/>
      <c r="G685" s="1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34"/>
      <c r="BE685" s="1"/>
      <c r="BF685" s="1"/>
      <c r="BG685" s="1"/>
    </row>
    <row r="686" spans="2:59" x14ac:dyDescent="0.35">
      <c r="B686" s="1"/>
      <c r="C686" s="1"/>
      <c r="D686" s="1"/>
      <c r="E686" s="1"/>
      <c r="F686" s="1"/>
      <c r="G686" s="1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34"/>
      <c r="BE686" s="1"/>
      <c r="BF686" s="1"/>
      <c r="BG686" s="1"/>
    </row>
    <row r="687" spans="2:59" x14ac:dyDescent="0.35">
      <c r="B687" s="1"/>
      <c r="C687" s="1"/>
      <c r="D687" s="1"/>
      <c r="E687" s="1"/>
      <c r="F687" s="1"/>
      <c r="G687" s="1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34"/>
      <c r="BE687" s="1"/>
      <c r="BF687" s="1"/>
      <c r="BG687" s="1"/>
    </row>
    <row r="688" spans="2:59" x14ac:dyDescent="0.35">
      <c r="B688" s="1"/>
      <c r="C688" s="1"/>
      <c r="D688" s="1"/>
      <c r="E688" s="1"/>
      <c r="F688" s="1"/>
      <c r="G688" s="1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34"/>
      <c r="BE688" s="1"/>
      <c r="BF688" s="1"/>
      <c r="BG688" s="1"/>
    </row>
    <row r="689" spans="2:59" x14ac:dyDescent="0.35">
      <c r="B689" s="1"/>
      <c r="C689" s="1"/>
      <c r="D689" s="1"/>
      <c r="E689" s="1"/>
      <c r="F689" s="1"/>
      <c r="G689" s="1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34"/>
      <c r="BE689" s="1"/>
      <c r="BF689" s="1"/>
      <c r="BG689" s="1"/>
    </row>
    <row r="690" spans="2:59" x14ac:dyDescent="0.35">
      <c r="B690" s="1"/>
      <c r="C690" s="1"/>
      <c r="D690" s="1"/>
      <c r="E690" s="1"/>
      <c r="F690" s="1"/>
      <c r="G690" s="1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34"/>
      <c r="BE690" s="1"/>
      <c r="BF690" s="1"/>
      <c r="BG690" s="1"/>
    </row>
    <row r="691" spans="2:59" x14ac:dyDescent="0.35">
      <c r="B691" s="1"/>
      <c r="C691" s="1"/>
      <c r="D691" s="1"/>
      <c r="E691" s="1"/>
      <c r="F691" s="1"/>
      <c r="G691" s="1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34"/>
      <c r="BE691" s="1"/>
      <c r="BF691" s="1"/>
      <c r="BG691" s="1"/>
    </row>
    <row r="692" spans="2:59" x14ac:dyDescent="0.35">
      <c r="B692" s="1"/>
      <c r="C692" s="1"/>
      <c r="D692" s="1"/>
      <c r="E692" s="1"/>
      <c r="F692" s="1"/>
      <c r="G692" s="1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34"/>
      <c r="BE692" s="1"/>
      <c r="BF692" s="1"/>
      <c r="BG692" s="1"/>
    </row>
    <row r="693" spans="2:59" x14ac:dyDescent="0.35">
      <c r="B693" s="1"/>
      <c r="C693" s="1"/>
      <c r="D693" s="1"/>
      <c r="E693" s="1"/>
      <c r="F693" s="1"/>
      <c r="G693" s="1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34"/>
      <c r="BE693" s="1"/>
      <c r="BF693" s="1"/>
      <c r="BG693" s="1"/>
    </row>
    <row r="694" spans="2:59" x14ac:dyDescent="0.35">
      <c r="B694" s="1"/>
      <c r="C694" s="1"/>
      <c r="D694" s="1"/>
      <c r="E694" s="1"/>
      <c r="F694" s="1"/>
      <c r="G694" s="1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34"/>
      <c r="BE694" s="1"/>
      <c r="BF694" s="1"/>
      <c r="BG694" s="1"/>
    </row>
    <row r="695" spans="2:59" x14ac:dyDescent="0.35">
      <c r="B695" s="1"/>
      <c r="C695" s="1"/>
      <c r="D695" s="1"/>
      <c r="E695" s="1"/>
      <c r="F695" s="1"/>
      <c r="G695" s="1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34"/>
      <c r="BE695" s="1"/>
      <c r="BF695" s="1"/>
      <c r="BG695" s="1"/>
    </row>
    <row r="696" spans="2:59" x14ac:dyDescent="0.35">
      <c r="B696" s="1"/>
      <c r="C696" s="1"/>
      <c r="D696" s="1"/>
      <c r="E696" s="1"/>
      <c r="F696" s="1"/>
      <c r="G696" s="1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34"/>
      <c r="BE696" s="1"/>
      <c r="BF696" s="1"/>
      <c r="BG696" s="1"/>
    </row>
    <row r="697" spans="2:59" x14ac:dyDescent="0.35">
      <c r="B697" s="1"/>
      <c r="C697" s="1"/>
      <c r="D697" s="1"/>
      <c r="E697" s="1"/>
      <c r="F697" s="1"/>
      <c r="G697" s="1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34"/>
      <c r="BE697" s="1"/>
      <c r="BF697" s="1"/>
      <c r="BG697" s="1"/>
    </row>
    <row r="698" spans="2:59" x14ac:dyDescent="0.35">
      <c r="B698" s="1"/>
      <c r="C698" s="1"/>
      <c r="D698" s="1"/>
      <c r="E698" s="1"/>
      <c r="F698" s="1"/>
      <c r="G698" s="1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34"/>
      <c r="BE698" s="1"/>
      <c r="BF698" s="1"/>
      <c r="BG698" s="1"/>
    </row>
    <row r="699" spans="2:59" x14ac:dyDescent="0.35">
      <c r="B699" s="1"/>
      <c r="C699" s="1"/>
      <c r="D699" s="1"/>
      <c r="E699" s="1"/>
      <c r="F699" s="1"/>
      <c r="G699" s="1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34"/>
      <c r="BE699" s="1"/>
      <c r="BF699" s="1"/>
      <c r="BG699" s="1"/>
    </row>
    <row r="700" spans="2:59" x14ac:dyDescent="0.35">
      <c r="B700" s="1"/>
      <c r="C700" s="1"/>
      <c r="D700" s="1"/>
      <c r="E700" s="1"/>
      <c r="F700" s="1"/>
      <c r="G700" s="1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34"/>
      <c r="BE700" s="1"/>
      <c r="BF700" s="1"/>
      <c r="BG700" s="1"/>
    </row>
    <row r="701" spans="2:59" x14ac:dyDescent="0.35">
      <c r="B701" s="1"/>
      <c r="C701" s="1"/>
      <c r="D701" s="1"/>
      <c r="E701" s="1"/>
      <c r="F701" s="1"/>
      <c r="G701" s="1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34"/>
      <c r="BE701" s="1"/>
      <c r="BF701" s="1"/>
      <c r="BG701" s="1"/>
    </row>
    <row r="702" spans="2:59" x14ac:dyDescent="0.35">
      <c r="B702" s="1"/>
      <c r="C702" s="1"/>
      <c r="D702" s="1"/>
      <c r="E702" s="1"/>
      <c r="F702" s="1"/>
      <c r="G702" s="1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34"/>
      <c r="BE702" s="1"/>
      <c r="BF702" s="1"/>
      <c r="BG702" s="1"/>
    </row>
    <row r="703" spans="2:59" x14ac:dyDescent="0.35">
      <c r="B703" s="1"/>
      <c r="C703" s="1"/>
      <c r="D703" s="1"/>
      <c r="E703" s="1"/>
      <c r="F703" s="1"/>
      <c r="G703" s="1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34"/>
      <c r="BE703" s="1"/>
      <c r="BF703" s="1"/>
      <c r="BG703" s="1"/>
    </row>
    <row r="704" spans="2:59" x14ac:dyDescent="0.35">
      <c r="B704" s="1"/>
      <c r="C704" s="1"/>
      <c r="D704" s="1"/>
      <c r="E704" s="1"/>
      <c r="F704" s="1"/>
      <c r="G704" s="1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34"/>
      <c r="BE704" s="1"/>
      <c r="BF704" s="1"/>
      <c r="BG704" s="1"/>
    </row>
    <row r="705" spans="2:59" x14ac:dyDescent="0.35">
      <c r="B705" s="1"/>
      <c r="C705" s="1"/>
      <c r="D705" s="1"/>
      <c r="E705" s="1"/>
      <c r="F705" s="1"/>
      <c r="G705" s="1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34"/>
      <c r="BE705" s="1"/>
      <c r="BF705" s="1"/>
      <c r="BG705" s="1"/>
    </row>
    <row r="706" spans="2:59" x14ac:dyDescent="0.35">
      <c r="B706" s="1"/>
      <c r="C706" s="1"/>
      <c r="D706" s="1"/>
      <c r="E706" s="1"/>
      <c r="F706" s="1"/>
      <c r="G706" s="1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34"/>
      <c r="BE706" s="1"/>
      <c r="BF706" s="1"/>
      <c r="BG706" s="1"/>
    </row>
    <row r="707" spans="2:59" x14ac:dyDescent="0.35">
      <c r="B707" s="1"/>
      <c r="C707" s="1"/>
      <c r="D707" s="1"/>
      <c r="E707" s="1"/>
      <c r="F707" s="1"/>
      <c r="G707" s="1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34"/>
      <c r="BE707" s="1"/>
      <c r="BF707" s="1"/>
      <c r="BG707" s="1"/>
    </row>
    <row r="708" spans="2:59" x14ac:dyDescent="0.35">
      <c r="B708" s="1"/>
      <c r="C708" s="1"/>
      <c r="D708" s="1"/>
      <c r="E708" s="1"/>
      <c r="F708" s="1"/>
      <c r="G708" s="1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34"/>
      <c r="BE708" s="1"/>
      <c r="BF708" s="1"/>
      <c r="BG708" s="1"/>
    </row>
    <row r="709" spans="2:59" x14ac:dyDescent="0.35">
      <c r="B709" s="1"/>
      <c r="C709" s="1"/>
      <c r="D709" s="1"/>
      <c r="E709" s="1"/>
      <c r="F709" s="1"/>
      <c r="G709" s="1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34"/>
      <c r="BE709" s="1"/>
      <c r="BF709" s="1"/>
      <c r="BG709" s="1"/>
    </row>
    <row r="710" spans="2:59" x14ac:dyDescent="0.35">
      <c r="B710" s="1"/>
      <c r="C710" s="1"/>
      <c r="D710" s="1"/>
      <c r="E710" s="1"/>
      <c r="F710" s="1"/>
      <c r="G710" s="1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34"/>
      <c r="BE710" s="1"/>
      <c r="BF710" s="1"/>
      <c r="BG710" s="1"/>
    </row>
    <row r="711" spans="2:59" x14ac:dyDescent="0.35">
      <c r="B711" s="1"/>
      <c r="C711" s="1"/>
      <c r="D711" s="1"/>
      <c r="E711" s="1"/>
      <c r="F711" s="1"/>
      <c r="G711" s="1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34"/>
      <c r="BE711" s="1"/>
      <c r="BF711" s="1"/>
      <c r="BG711" s="1"/>
    </row>
    <row r="712" spans="2:59" x14ac:dyDescent="0.35">
      <c r="B712" s="1"/>
      <c r="C712" s="1"/>
      <c r="D712" s="1"/>
      <c r="E712" s="1"/>
      <c r="F712" s="1"/>
      <c r="G712" s="1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34"/>
      <c r="BE712" s="1"/>
      <c r="BF712" s="1"/>
      <c r="BG712" s="1"/>
    </row>
    <row r="713" spans="2:59" x14ac:dyDescent="0.35">
      <c r="B713" s="1"/>
      <c r="C713" s="1"/>
      <c r="D713" s="1"/>
      <c r="E713" s="1"/>
      <c r="F713" s="1"/>
      <c r="G713" s="1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34"/>
      <c r="BE713" s="1"/>
      <c r="BF713" s="1"/>
      <c r="BG713" s="1"/>
    </row>
    <row r="714" spans="2:59" x14ac:dyDescent="0.35">
      <c r="B714" s="1"/>
      <c r="C714" s="1"/>
      <c r="D714" s="1"/>
      <c r="E714" s="1"/>
      <c r="F714" s="1"/>
      <c r="G714" s="1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34"/>
      <c r="BE714" s="1"/>
      <c r="BF714" s="1"/>
      <c r="BG714" s="1"/>
    </row>
    <row r="715" spans="2:59" x14ac:dyDescent="0.35">
      <c r="B715" s="1"/>
      <c r="C715" s="1"/>
      <c r="D715" s="1"/>
      <c r="E715" s="1"/>
      <c r="F715" s="1"/>
      <c r="G715" s="1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34"/>
      <c r="BE715" s="1"/>
      <c r="BF715" s="1"/>
      <c r="BG715" s="1"/>
    </row>
    <row r="716" spans="2:59" x14ac:dyDescent="0.35">
      <c r="B716" s="1"/>
      <c r="C716" s="1"/>
      <c r="D716" s="1"/>
      <c r="E716" s="1"/>
      <c r="F716" s="1"/>
      <c r="G716" s="1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34"/>
      <c r="BE716" s="1"/>
      <c r="BF716" s="1"/>
      <c r="BG716" s="1"/>
    </row>
    <row r="717" spans="2:59" x14ac:dyDescent="0.35">
      <c r="B717" s="1"/>
      <c r="C717" s="1"/>
      <c r="D717" s="1"/>
      <c r="E717" s="1"/>
      <c r="F717" s="1"/>
      <c r="G717" s="1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34"/>
      <c r="BE717" s="1"/>
      <c r="BF717" s="1"/>
      <c r="BG717" s="1"/>
    </row>
    <row r="718" spans="2:59" x14ac:dyDescent="0.35">
      <c r="B718" s="1"/>
      <c r="C718" s="1"/>
      <c r="D718" s="1"/>
      <c r="E718" s="1"/>
      <c r="F718" s="1"/>
      <c r="G718" s="1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34"/>
      <c r="BE718" s="1"/>
      <c r="BF718" s="1"/>
      <c r="BG718" s="1"/>
    </row>
    <row r="719" spans="2:59" x14ac:dyDescent="0.35">
      <c r="B719" s="1"/>
      <c r="C719" s="1"/>
      <c r="D719" s="1"/>
      <c r="E719" s="1"/>
      <c r="F719" s="1"/>
      <c r="G719" s="1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34"/>
      <c r="BE719" s="1"/>
      <c r="BF719" s="1"/>
      <c r="BG719" s="1"/>
    </row>
    <row r="720" spans="2:59" x14ac:dyDescent="0.35">
      <c r="B720" s="1"/>
      <c r="C720" s="1"/>
      <c r="D720" s="1"/>
      <c r="E720" s="1"/>
      <c r="F720" s="1"/>
      <c r="G720" s="1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34"/>
      <c r="BE720" s="1"/>
      <c r="BF720" s="1"/>
      <c r="BG720" s="1"/>
    </row>
    <row r="721" spans="2:59" x14ac:dyDescent="0.35">
      <c r="B721" s="1"/>
      <c r="C721" s="1"/>
      <c r="D721" s="1"/>
      <c r="E721" s="1"/>
      <c r="F721" s="1"/>
      <c r="G721" s="1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34"/>
      <c r="BE721" s="1"/>
      <c r="BF721" s="1"/>
      <c r="BG721" s="1"/>
    </row>
    <row r="722" spans="2:59" x14ac:dyDescent="0.35">
      <c r="B722" s="1"/>
      <c r="C722" s="1"/>
      <c r="D722" s="1"/>
      <c r="E722" s="1"/>
      <c r="F722" s="1"/>
      <c r="G722" s="1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34"/>
      <c r="BE722" s="1"/>
      <c r="BF722" s="1"/>
      <c r="BG722" s="1"/>
    </row>
    <row r="723" spans="2:59" x14ac:dyDescent="0.35">
      <c r="B723" s="1"/>
      <c r="C723" s="1"/>
      <c r="D723" s="1"/>
      <c r="E723" s="1"/>
      <c r="F723" s="1"/>
      <c r="G723" s="1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34"/>
      <c r="BE723" s="1"/>
      <c r="BF723" s="1"/>
      <c r="BG723" s="1"/>
    </row>
    <row r="724" spans="2:59" x14ac:dyDescent="0.35">
      <c r="B724" s="1"/>
      <c r="C724" s="1"/>
      <c r="D724" s="1"/>
      <c r="E724" s="1"/>
      <c r="F724" s="1"/>
      <c r="G724" s="1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34"/>
      <c r="BE724" s="1"/>
      <c r="BF724" s="1"/>
      <c r="BG724" s="1"/>
    </row>
    <row r="725" spans="2:59" x14ac:dyDescent="0.35">
      <c r="B725" s="1"/>
      <c r="C725" s="1"/>
      <c r="D725" s="1"/>
      <c r="E725" s="1"/>
      <c r="F725" s="1"/>
      <c r="G725" s="1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34"/>
      <c r="BE725" s="1"/>
      <c r="BF725" s="1"/>
      <c r="BG725" s="1"/>
    </row>
    <row r="726" spans="2:59" x14ac:dyDescent="0.35">
      <c r="B726" s="1"/>
      <c r="C726" s="1"/>
      <c r="D726" s="1"/>
      <c r="E726" s="1"/>
      <c r="F726" s="1"/>
      <c r="G726" s="1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34"/>
      <c r="BE726" s="1"/>
      <c r="BF726" s="1"/>
      <c r="BG726" s="1"/>
    </row>
    <row r="727" spans="2:59" x14ac:dyDescent="0.35">
      <c r="B727" s="1"/>
      <c r="C727" s="1"/>
      <c r="D727" s="1"/>
      <c r="E727" s="1"/>
      <c r="F727" s="1"/>
      <c r="G727" s="1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34"/>
      <c r="BE727" s="1"/>
      <c r="BF727" s="1"/>
      <c r="BG727" s="1"/>
    </row>
    <row r="728" spans="2:59" x14ac:dyDescent="0.35">
      <c r="B728" s="1"/>
      <c r="C728" s="1"/>
      <c r="D728" s="1"/>
      <c r="E728" s="1"/>
      <c r="F728" s="1"/>
      <c r="G728" s="1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34"/>
      <c r="BE728" s="1"/>
      <c r="BF728" s="1"/>
      <c r="BG728" s="1"/>
    </row>
    <row r="729" spans="2:59" x14ac:dyDescent="0.35">
      <c r="B729" s="1"/>
      <c r="C729" s="1"/>
      <c r="D729" s="1"/>
      <c r="E729" s="1"/>
      <c r="F729" s="1"/>
      <c r="G729" s="1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34"/>
      <c r="BE729" s="1"/>
      <c r="BF729" s="1"/>
      <c r="BG729" s="1"/>
    </row>
    <row r="730" spans="2:59" x14ac:dyDescent="0.35">
      <c r="B730" s="1"/>
      <c r="C730" s="1"/>
      <c r="D730" s="1"/>
      <c r="E730" s="1"/>
      <c r="F730" s="1"/>
      <c r="G730" s="1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34"/>
      <c r="BE730" s="1"/>
      <c r="BF730" s="1"/>
      <c r="BG730" s="1"/>
    </row>
    <row r="731" spans="2:59" x14ac:dyDescent="0.35">
      <c r="B731" s="1"/>
      <c r="C731" s="1"/>
      <c r="D731" s="1"/>
      <c r="E731" s="1"/>
      <c r="F731" s="1"/>
      <c r="G731" s="1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34"/>
      <c r="BE731" s="1"/>
      <c r="BF731" s="1"/>
      <c r="BG731" s="1"/>
    </row>
    <row r="732" spans="2:59" x14ac:dyDescent="0.35">
      <c r="B732" s="1"/>
      <c r="C732" s="1"/>
      <c r="D732" s="1"/>
      <c r="E732" s="1"/>
      <c r="F732" s="1"/>
      <c r="G732" s="1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34"/>
      <c r="BE732" s="1"/>
      <c r="BF732" s="1"/>
      <c r="BG732" s="1"/>
    </row>
    <row r="733" spans="2:59" x14ac:dyDescent="0.35">
      <c r="B733" s="1"/>
      <c r="C733" s="1"/>
      <c r="D733" s="1"/>
      <c r="E733" s="1"/>
      <c r="F733" s="1"/>
      <c r="G733" s="1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34"/>
      <c r="BE733" s="1"/>
      <c r="BF733" s="1"/>
      <c r="BG733" s="1"/>
    </row>
    <row r="734" spans="2:59" x14ac:dyDescent="0.35">
      <c r="B734" s="1"/>
      <c r="C734" s="1"/>
      <c r="D734" s="1"/>
      <c r="E734" s="1"/>
      <c r="F734" s="1"/>
      <c r="G734" s="1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34"/>
      <c r="BE734" s="1"/>
      <c r="BF734" s="1"/>
      <c r="BG734" s="1"/>
    </row>
    <row r="735" spans="2:59" x14ac:dyDescent="0.35">
      <c r="B735" s="1"/>
      <c r="C735" s="1"/>
      <c r="D735" s="1"/>
      <c r="E735" s="1"/>
      <c r="F735" s="1"/>
      <c r="G735" s="1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34"/>
      <c r="BE735" s="1"/>
      <c r="BF735" s="1"/>
      <c r="BG735" s="1"/>
    </row>
    <row r="736" spans="2:59" x14ac:dyDescent="0.35">
      <c r="B736" s="1"/>
      <c r="C736" s="1"/>
      <c r="D736" s="1"/>
      <c r="E736" s="1"/>
      <c r="F736" s="1"/>
      <c r="G736" s="1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34"/>
      <c r="BE736" s="1"/>
      <c r="BF736" s="1"/>
      <c r="BG736" s="1"/>
    </row>
    <row r="737" spans="2:59" x14ac:dyDescent="0.35">
      <c r="B737" s="1"/>
      <c r="C737" s="1"/>
      <c r="D737" s="1"/>
      <c r="E737" s="1"/>
      <c r="F737" s="1"/>
      <c r="G737" s="1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34"/>
      <c r="BE737" s="1"/>
      <c r="BF737" s="1"/>
      <c r="BG737" s="1"/>
    </row>
    <row r="738" spans="2:59" x14ac:dyDescent="0.35">
      <c r="B738" s="1"/>
      <c r="C738" s="1"/>
      <c r="D738" s="1"/>
      <c r="E738" s="1"/>
      <c r="F738" s="1"/>
      <c r="G738" s="1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34"/>
      <c r="BE738" s="1"/>
      <c r="BF738" s="1"/>
      <c r="BG738" s="1"/>
    </row>
    <row r="739" spans="2:59" x14ac:dyDescent="0.35">
      <c r="B739" s="1"/>
      <c r="C739" s="1"/>
      <c r="D739" s="1"/>
      <c r="E739" s="1"/>
      <c r="F739" s="1"/>
      <c r="G739" s="1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34"/>
      <c r="BE739" s="1"/>
      <c r="BF739" s="1"/>
      <c r="BG739" s="1"/>
    </row>
    <row r="740" spans="2:59" x14ac:dyDescent="0.35">
      <c r="B740" s="1"/>
      <c r="C740" s="1"/>
      <c r="D740" s="1"/>
      <c r="E740" s="1"/>
      <c r="F740" s="1"/>
      <c r="G740" s="1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34"/>
      <c r="BE740" s="1"/>
      <c r="BF740" s="1"/>
      <c r="BG740" s="1"/>
    </row>
    <row r="741" spans="2:59" x14ac:dyDescent="0.35">
      <c r="B741" s="1"/>
      <c r="C741" s="1"/>
      <c r="D741" s="1"/>
      <c r="E741" s="1"/>
      <c r="F741" s="1"/>
      <c r="G741" s="1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34"/>
      <c r="BE741" s="1"/>
      <c r="BF741" s="1"/>
      <c r="BG741" s="1"/>
    </row>
    <row r="742" spans="2:59" x14ac:dyDescent="0.35">
      <c r="B742" s="1"/>
      <c r="C742" s="1"/>
      <c r="D742" s="1"/>
      <c r="E742" s="1"/>
      <c r="F742" s="1"/>
      <c r="G742" s="1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34"/>
      <c r="BE742" s="1"/>
      <c r="BF742" s="1"/>
      <c r="BG742" s="1"/>
    </row>
    <row r="743" spans="2:59" x14ac:dyDescent="0.35">
      <c r="B743" s="1"/>
      <c r="C743" s="1"/>
      <c r="D743" s="1"/>
      <c r="E743" s="1"/>
      <c r="F743" s="1"/>
      <c r="G743" s="1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34"/>
      <c r="BE743" s="1"/>
      <c r="BF743" s="1"/>
      <c r="BG743" s="1"/>
    </row>
    <row r="744" spans="2:59" x14ac:dyDescent="0.35">
      <c r="B744" s="1"/>
      <c r="C744" s="1"/>
      <c r="D744" s="1"/>
      <c r="E744" s="1"/>
      <c r="F744" s="1"/>
      <c r="G744" s="1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34"/>
      <c r="BE744" s="1"/>
      <c r="BF744" s="1"/>
      <c r="BG744" s="1"/>
    </row>
    <row r="745" spans="2:59" x14ac:dyDescent="0.35">
      <c r="B745" s="1"/>
      <c r="C745" s="1"/>
      <c r="D745" s="1"/>
      <c r="E745" s="1"/>
      <c r="F745" s="1"/>
      <c r="G745" s="1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34"/>
      <c r="BE745" s="1"/>
      <c r="BF745" s="1"/>
      <c r="BG745" s="1"/>
    </row>
    <row r="746" spans="2:59" x14ac:dyDescent="0.35">
      <c r="B746" s="1"/>
      <c r="C746" s="1"/>
      <c r="D746" s="1"/>
      <c r="E746" s="1"/>
      <c r="F746" s="1"/>
      <c r="G746" s="1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34"/>
      <c r="BE746" s="1"/>
      <c r="BF746" s="1"/>
      <c r="BG746" s="1"/>
    </row>
    <row r="747" spans="2:59" x14ac:dyDescent="0.35">
      <c r="B747" s="1"/>
      <c r="C747" s="1"/>
      <c r="D747" s="1"/>
      <c r="E747" s="1"/>
      <c r="F747" s="1"/>
      <c r="G747" s="1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34"/>
      <c r="BE747" s="1"/>
      <c r="BF747" s="1"/>
      <c r="BG747" s="1"/>
    </row>
    <row r="748" spans="2:59" x14ac:dyDescent="0.35">
      <c r="B748" s="1"/>
      <c r="C748" s="1"/>
      <c r="D748" s="1"/>
      <c r="E748" s="1"/>
      <c r="F748" s="1"/>
      <c r="G748" s="1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34"/>
      <c r="BE748" s="1"/>
      <c r="BF748" s="1"/>
      <c r="BG748" s="1"/>
    </row>
    <row r="749" spans="2:59" x14ac:dyDescent="0.35">
      <c r="B749" s="1"/>
      <c r="C749" s="1"/>
      <c r="D749" s="1"/>
      <c r="E749" s="1"/>
      <c r="F749" s="1"/>
      <c r="G749" s="1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34"/>
      <c r="BE749" s="1"/>
      <c r="BF749" s="1"/>
      <c r="BG749" s="1"/>
    </row>
    <row r="750" spans="2:59" x14ac:dyDescent="0.35">
      <c r="B750" s="1"/>
      <c r="C750" s="1"/>
      <c r="D750" s="1"/>
      <c r="E750" s="1"/>
      <c r="F750" s="1"/>
      <c r="G750" s="1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34"/>
      <c r="BE750" s="1"/>
      <c r="BF750" s="1"/>
      <c r="BG750" s="1"/>
    </row>
    <row r="751" spans="2:59" x14ac:dyDescent="0.35">
      <c r="B751" s="1"/>
      <c r="C751" s="1"/>
      <c r="D751" s="1"/>
      <c r="E751" s="1"/>
      <c r="F751" s="1"/>
      <c r="G751" s="1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34"/>
      <c r="BE751" s="1"/>
      <c r="BF751" s="1"/>
      <c r="BG751" s="1"/>
    </row>
    <row r="752" spans="2:59" x14ac:dyDescent="0.35">
      <c r="B752" s="1"/>
      <c r="C752" s="1"/>
      <c r="D752" s="1"/>
      <c r="E752" s="1"/>
      <c r="F752" s="1"/>
      <c r="G752" s="1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34"/>
      <c r="BE752" s="1"/>
      <c r="BF752" s="1"/>
      <c r="BG752" s="1"/>
    </row>
    <row r="753" spans="2:59" x14ac:dyDescent="0.35">
      <c r="B753" s="1"/>
      <c r="C753" s="1"/>
      <c r="D753" s="1"/>
      <c r="E753" s="1"/>
      <c r="F753" s="1"/>
      <c r="G753" s="1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34"/>
      <c r="BE753" s="1"/>
      <c r="BF753" s="1"/>
      <c r="BG753" s="1"/>
    </row>
    <row r="754" spans="2:59" x14ac:dyDescent="0.35">
      <c r="B754" s="1"/>
      <c r="C754" s="1"/>
      <c r="D754" s="1"/>
      <c r="E754" s="1"/>
      <c r="F754" s="1"/>
      <c r="G754" s="1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34"/>
      <c r="BE754" s="1"/>
      <c r="BF754" s="1"/>
      <c r="BG754" s="1"/>
    </row>
    <row r="755" spans="2:59" x14ac:dyDescent="0.35">
      <c r="B755" s="1"/>
      <c r="C755" s="1"/>
      <c r="D755" s="1"/>
      <c r="E755" s="1"/>
      <c r="F755" s="1"/>
      <c r="G755" s="1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34"/>
      <c r="BE755" s="1"/>
      <c r="BF755" s="1"/>
      <c r="BG755" s="1"/>
    </row>
    <row r="756" spans="2:59" x14ac:dyDescent="0.35">
      <c r="B756" s="1"/>
      <c r="C756" s="1"/>
      <c r="D756" s="1"/>
      <c r="E756" s="1"/>
      <c r="F756" s="1"/>
      <c r="G756" s="1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34"/>
      <c r="BE756" s="1"/>
      <c r="BF756" s="1"/>
      <c r="BG756" s="1"/>
    </row>
    <row r="757" spans="2:59" x14ac:dyDescent="0.35">
      <c r="B757" s="1"/>
      <c r="C757" s="1"/>
      <c r="D757" s="1"/>
      <c r="E757" s="1"/>
      <c r="F757" s="1"/>
      <c r="G757" s="1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34"/>
      <c r="BE757" s="1"/>
      <c r="BF757" s="1"/>
      <c r="BG757" s="1"/>
    </row>
    <row r="758" spans="2:59" x14ac:dyDescent="0.35">
      <c r="B758" s="1"/>
      <c r="C758" s="1"/>
      <c r="D758" s="1"/>
      <c r="E758" s="1"/>
      <c r="F758" s="1"/>
      <c r="G758" s="1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34"/>
      <c r="BE758" s="1"/>
      <c r="BF758" s="1"/>
      <c r="BG758" s="1"/>
    </row>
    <row r="759" spans="2:59" x14ac:dyDescent="0.35">
      <c r="B759" s="1"/>
      <c r="C759" s="1"/>
      <c r="D759" s="1"/>
      <c r="E759" s="1"/>
      <c r="F759" s="1"/>
      <c r="G759" s="1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34"/>
      <c r="BE759" s="1"/>
      <c r="BF759" s="1"/>
      <c r="BG759" s="1"/>
    </row>
    <row r="760" spans="2:59" x14ac:dyDescent="0.35">
      <c r="B760" s="1"/>
      <c r="C760" s="1"/>
      <c r="D760" s="1"/>
      <c r="E760" s="1"/>
      <c r="F760" s="1"/>
      <c r="G760" s="1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34"/>
      <c r="BE760" s="1"/>
      <c r="BF760" s="1"/>
      <c r="BG760" s="1"/>
    </row>
    <row r="761" spans="2:59" x14ac:dyDescent="0.35">
      <c r="B761" s="1"/>
      <c r="C761" s="1"/>
      <c r="D761" s="1"/>
      <c r="E761" s="1"/>
      <c r="F761" s="1"/>
      <c r="G761" s="1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34"/>
      <c r="BE761" s="1"/>
      <c r="BF761" s="1"/>
      <c r="BG761" s="1"/>
    </row>
    <row r="762" spans="2:59" x14ac:dyDescent="0.35">
      <c r="B762" s="1"/>
      <c r="C762" s="1"/>
      <c r="D762" s="1"/>
      <c r="E762" s="1"/>
      <c r="F762" s="1"/>
      <c r="G762" s="1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34"/>
      <c r="BE762" s="1"/>
      <c r="BF762" s="1"/>
      <c r="BG762" s="1"/>
    </row>
    <row r="763" spans="2:59" x14ac:dyDescent="0.35">
      <c r="B763" s="1"/>
      <c r="C763" s="1"/>
      <c r="D763" s="1"/>
      <c r="E763" s="1"/>
      <c r="F763" s="1"/>
      <c r="G763" s="1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34"/>
      <c r="BE763" s="1"/>
      <c r="BF763" s="1"/>
      <c r="BG763" s="1"/>
    </row>
    <row r="764" spans="2:59" x14ac:dyDescent="0.35">
      <c r="B764" s="1"/>
      <c r="C764" s="1"/>
      <c r="D764" s="1"/>
      <c r="E764" s="1"/>
      <c r="F764" s="1"/>
      <c r="G764" s="1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34"/>
      <c r="BE764" s="1"/>
      <c r="BF764" s="1"/>
      <c r="BG764" s="1"/>
    </row>
    <row r="765" spans="2:59" x14ac:dyDescent="0.35">
      <c r="B765" s="1"/>
      <c r="C765" s="1"/>
      <c r="D765" s="1"/>
      <c r="E765" s="1"/>
      <c r="F765" s="1"/>
      <c r="G765" s="1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34"/>
      <c r="BE765" s="1"/>
      <c r="BF765" s="1"/>
      <c r="BG765" s="1"/>
    </row>
    <row r="766" spans="2:59" x14ac:dyDescent="0.35">
      <c r="B766" s="1"/>
      <c r="C766" s="1"/>
      <c r="D766" s="1"/>
      <c r="E766" s="1"/>
      <c r="F766" s="1"/>
      <c r="G766" s="1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34"/>
      <c r="BE766" s="1"/>
      <c r="BF766" s="1"/>
      <c r="BG766" s="1"/>
    </row>
    <row r="767" spans="2:59" x14ac:dyDescent="0.35">
      <c r="B767" s="1"/>
      <c r="C767" s="1"/>
      <c r="D767" s="1"/>
      <c r="E767" s="1"/>
      <c r="F767" s="1"/>
      <c r="G767" s="1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34"/>
      <c r="BE767" s="1"/>
      <c r="BF767" s="1"/>
      <c r="BG767" s="1"/>
    </row>
    <row r="768" spans="2:59" x14ac:dyDescent="0.35">
      <c r="B768" s="1"/>
      <c r="C768" s="1"/>
      <c r="D768" s="1"/>
      <c r="E768" s="1"/>
      <c r="F768" s="1"/>
      <c r="G768" s="1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34"/>
      <c r="BE768" s="1"/>
      <c r="BF768" s="1"/>
      <c r="BG768" s="1"/>
    </row>
    <row r="769" spans="2:59" x14ac:dyDescent="0.35">
      <c r="B769" s="1"/>
      <c r="C769" s="1"/>
      <c r="D769" s="1"/>
      <c r="E769" s="1"/>
      <c r="F769" s="1"/>
      <c r="G769" s="1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34"/>
      <c r="BE769" s="1"/>
      <c r="BF769" s="1"/>
      <c r="BG769" s="1"/>
    </row>
    <row r="770" spans="2:59" x14ac:dyDescent="0.35">
      <c r="B770" s="1"/>
      <c r="C770" s="1"/>
      <c r="D770" s="1"/>
      <c r="E770" s="1"/>
      <c r="F770" s="1"/>
      <c r="G770" s="1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34"/>
      <c r="BE770" s="1"/>
      <c r="BF770" s="1"/>
      <c r="BG770" s="1"/>
    </row>
    <row r="771" spans="2:59" x14ac:dyDescent="0.35">
      <c r="B771" s="1"/>
      <c r="C771" s="1"/>
      <c r="D771" s="1"/>
      <c r="E771" s="1"/>
      <c r="F771" s="1"/>
      <c r="G771" s="1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34"/>
      <c r="BE771" s="1"/>
      <c r="BF771" s="1"/>
      <c r="BG771" s="1"/>
    </row>
    <row r="772" spans="2:59" x14ac:dyDescent="0.35">
      <c r="B772" s="1"/>
      <c r="C772" s="1"/>
      <c r="D772" s="1"/>
      <c r="E772" s="1"/>
      <c r="F772" s="1"/>
      <c r="G772" s="1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34"/>
      <c r="BE772" s="1"/>
      <c r="BF772" s="1"/>
      <c r="BG772" s="1"/>
    </row>
    <row r="773" spans="2:59" x14ac:dyDescent="0.35">
      <c r="B773" s="1"/>
      <c r="C773" s="1"/>
      <c r="D773" s="1"/>
      <c r="E773" s="1"/>
      <c r="F773" s="1"/>
      <c r="G773" s="1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34"/>
      <c r="BE773" s="1"/>
      <c r="BF773" s="1"/>
      <c r="BG773" s="1"/>
    </row>
    <row r="774" spans="2:59" x14ac:dyDescent="0.35">
      <c r="B774" s="1"/>
      <c r="C774" s="1"/>
      <c r="D774" s="1"/>
      <c r="E774" s="1"/>
      <c r="F774" s="1"/>
      <c r="G774" s="1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34"/>
      <c r="BE774" s="1"/>
      <c r="BF774" s="1"/>
      <c r="BG774" s="1"/>
    </row>
    <row r="775" spans="2:59" x14ac:dyDescent="0.35">
      <c r="B775" s="1"/>
      <c r="C775" s="1"/>
      <c r="D775" s="1"/>
      <c r="E775" s="1"/>
      <c r="F775" s="1"/>
      <c r="G775" s="1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34"/>
      <c r="BE775" s="1"/>
      <c r="BF775" s="1"/>
      <c r="BG775" s="1"/>
    </row>
    <row r="776" spans="2:59" x14ac:dyDescent="0.35">
      <c r="B776" s="1"/>
      <c r="C776" s="1"/>
      <c r="D776" s="1"/>
      <c r="E776" s="1"/>
      <c r="F776" s="1"/>
      <c r="G776" s="1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34"/>
      <c r="BE776" s="1"/>
      <c r="BF776" s="1"/>
      <c r="BG776" s="1"/>
    </row>
    <row r="777" spans="2:59" x14ac:dyDescent="0.35">
      <c r="B777" s="1"/>
      <c r="C777" s="1"/>
      <c r="D777" s="1"/>
      <c r="E777" s="1"/>
      <c r="F777" s="1"/>
      <c r="G777" s="1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34"/>
      <c r="BE777" s="1"/>
      <c r="BF777" s="1"/>
      <c r="BG777" s="1"/>
    </row>
    <row r="778" spans="2:59" x14ac:dyDescent="0.35">
      <c r="B778" s="1"/>
      <c r="C778" s="1"/>
      <c r="D778" s="1"/>
      <c r="E778" s="1"/>
      <c r="F778" s="1"/>
      <c r="G778" s="1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34"/>
      <c r="BE778" s="1"/>
      <c r="BF778" s="1"/>
      <c r="BG778" s="1"/>
    </row>
    <row r="779" spans="2:59" x14ac:dyDescent="0.35">
      <c r="B779" s="1"/>
      <c r="C779" s="1"/>
      <c r="D779" s="1"/>
      <c r="E779" s="1"/>
      <c r="F779" s="1"/>
      <c r="G779" s="1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34"/>
      <c r="BE779" s="1"/>
      <c r="BF779" s="1"/>
      <c r="BG779" s="1"/>
    </row>
    <row r="780" spans="2:59" x14ac:dyDescent="0.35">
      <c r="B780" s="1"/>
      <c r="C780" s="1"/>
      <c r="D780" s="1"/>
      <c r="E780" s="1"/>
      <c r="F780" s="1"/>
      <c r="G780" s="1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34"/>
      <c r="BE780" s="1"/>
      <c r="BF780" s="1"/>
      <c r="BG780" s="1"/>
    </row>
    <row r="781" spans="2:59" x14ac:dyDescent="0.35">
      <c r="B781" s="1"/>
      <c r="C781" s="1"/>
      <c r="D781" s="1"/>
      <c r="E781" s="1"/>
      <c r="F781" s="1"/>
      <c r="G781" s="1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34"/>
      <c r="BE781" s="1"/>
      <c r="BF781" s="1"/>
      <c r="BG781" s="1"/>
    </row>
    <row r="782" spans="2:59" x14ac:dyDescent="0.35">
      <c r="B782" s="1"/>
      <c r="C782" s="1"/>
      <c r="D782" s="1"/>
      <c r="E782" s="1"/>
      <c r="F782" s="1"/>
      <c r="G782" s="1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34"/>
      <c r="BE782" s="1"/>
      <c r="BF782" s="1"/>
      <c r="BG782" s="1"/>
    </row>
    <row r="783" spans="2:59" x14ac:dyDescent="0.35">
      <c r="B783" s="1"/>
      <c r="C783" s="1"/>
      <c r="D783" s="1"/>
      <c r="E783" s="1"/>
      <c r="F783" s="1"/>
      <c r="G783" s="1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34"/>
      <c r="BE783" s="1"/>
      <c r="BF783" s="1"/>
      <c r="BG783" s="1"/>
    </row>
    <row r="784" spans="2:59" x14ac:dyDescent="0.35">
      <c r="B784" s="1"/>
      <c r="C784" s="1"/>
      <c r="D784" s="1"/>
      <c r="E784" s="1"/>
      <c r="F784" s="1"/>
      <c r="G784" s="1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34"/>
      <c r="BE784" s="1"/>
      <c r="BF784" s="1"/>
      <c r="BG784" s="1"/>
    </row>
    <row r="785" spans="2:59" x14ac:dyDescent="0.35">
      <c r="B785" s="1"/>
      <c r="C785" s="1"/>
      <c r="D785" s="1"/>
      <c r="E785" s="1"/>
      <c r="F785" s="1"/>
      <c r="G785" s="1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34"/>
      <c r="BE785" s="1"/>
      <c r="BF785" s="1"/>
      <c r="BG785" s="1"/>
    </row>
    <row r="786" spans="2:59" x14ac:dyDescent="0.35">
      <c r="B786" s="1"/>
      <c r="C786" s="1"/>
      <c r="D786" s="1"/>
      <c r="E786" s="1"/>
      <c r="F786" s="1"/>
      <c r="G786" s="1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34"/>
      <c r="BE786" s="1"/>
      <c r="BF786" s="1"/>
      <c r="BG786" s="1"/>
    </row>
    <row r="787" spans="2:59" x14ac:dyDescent="0.35">
      <c r="B787" s="1"/>
      <c r="C787" s="1"/>
      <c r="D787" s="1"/>
      <c r="E787" s="1"/>
      <c r="F787" s="1"/>
      <c r="G787" s="1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34"/>
      <c r="BE787" s="1"/>
      <c r="BF787" s="1"/>
      <c r="BG787" s="1"/>
    </row>
    <row r="788" spans="2:59" x14ac:dyDescent="0.35">
      <c r="B788" s="1"/>
      <c r="C788" s="1"/>
      <c r="D788" s="1"/>
      <c r="E788" s="1"/>
      <c r="F788" s="1"/>
      <c r="G788" s="1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34"/>
      <c r="BE788" s="1"/>
      <c r="BF788" s="1"/>
      <c r="BG788" s="1"/>
    </row>
    <row r="789" spans="2:59" x14ac:dyDescent="0.35">
      <c r="B789" s="1"/>
      <c r="C789" s="1"/>
      <c r="D789" s="1"/>
      <c r="E789" s="1"/>
      <c r="F789" s="1"/>
      <c r="G789" s="1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34"/>
      <c r="BE789" s="1"/>
      <c r="BF789" s="1"/>
      <c r="BG789" s="1"/>
    </row>
    <row r="790" spans="2:59" x14ac:dyDescent="0.35">
      <c r="B790" s="1"/>
      <c r="C790" s="1"/>
      <c r="D790" s="1"/>
      <c r="E790" s="1"/>
      <c r="F790" s="1"/>
      <c r="G790" s="1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34"/>
      <c r="BE790" s="1"/>
      <c r="BF790" s="1"/>
      <c r="BG790" s="1"/>
    </row>
    <row r="791" spans="2:59" x14ac:dyDescent="0.35">
      <c r="B791" s="1"/>
      <c r="C791" s="1"/>
      <c r="D791" s="1"/>
      <c r="E791" s="1"/>
      <c r="F791" s="1"/>
      <c r="G791" s="1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34"/>
      <c r="BE791" s="1"/>
      <c r="BF791" s="1"/>
      <c r="BG791" s="1"/>
    </row>
    <row r="792" spans="2:59" x14ac:dyDescent="0.35">
      <c r="B792" s="1"/>
      <c r="C792" s="1"/>
      <c r="D792" s="1"/>
      <c r="E792" s="1"/>
      <c r="F792" s="1"/>
      <c r="G792" s="1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34"/>
      <c r="BE792" s="1"/>
      <c r="BF792" s="1"/>
      <c r="BG792" s="1"/>
    </row>
    <row r="793" spans="2:59" x14ac:dyDescent="0.35">
      <c r="B793" s="1"/>
      <c r="C793" s="1"/>
      <c r="D793" s="1"/>
      <c r="E793" s="1"/>
      <c r="F793" s="1"/>
      <c r="G793" s="1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34"/>
      <c r="BE793" s="1"/>
      <c r="BF793" s="1"/>
      <c r="BG793" s="1"/>
    </row>
    <row r="794" spans="2:59" x14ac:dyDescent="0.35">
      <c r="B794" s="1"/>
      <c r="C794" s="1"/>
      <c r="D794" s="1"/>
      <c r="E794" s="1"/>
      <c r="F794" s="1"/>
      <c r="G794" s="1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34"/>
      <c r="BE794" s="1"/>
      <c r="BF794" s="1"/>
      <c r="BG794" s="1"/>
    </row>
    <row r="795" spans="2:59" x14ac:dyDescent="0.35">
      <c r="B795" s="1"/>
      <c r="C795" s="1"/>
      <c r="D795" s="1"/>
      <c r="E795" s="1"/>
      <c r="F795" s="1"/>
      <c r="G795" s="1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34"/>
      <c r="BE795" s="1"/>
      <c r="BF795" s="1"/>
      <c r="BG795" s="1"/>
    </row>
    <row r="796" spans="2:59" x14ac:dyDescent="0.35">
      <c r="B796" s="1"/>
      <c r="C796" s="1"/>
      <c r="D796" s="1"/>
      <c r="E796" s="1"/>
      <c r="F796" s="1"/>
      <c r="G796" s="1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34"/>
      <c r="BE796" s="1"/>
      <c r="BF796" s="1"/>
      <c r="BG796" s="1"/>
    </row>
    <row r="797" spans="2:59" x14ac:dyDescent="0.35">
      <c r="B797" s="1"/>
      <c r="C797" s="1"/>
      <c r="D797" s="1"/>
      <c r="E797" s="1"/>
      <c r="F797" s="1"/>
      <c r="G797" s="1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34"/>
      <c r="BE797" s="1"/>
      <c r="BF797" s="1"/>
      <c r="BG797" s="1"/>
    </row>
    <row r="798" spans="2:59" x14ac:dyDescent="0.35">
      <c r="B798" s="1"/>
      <c r="C798" s="1"/>
      <c r="D798" s="1"/>
      <c r="E798" s="1"/>
      <c r="F798" s="1"/>
      <c r="G798" s="1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34"/>
      <c r="BE798" s="1"/>
      <c r="BF798" s="1"/>
      <c r="BG798" s="1"/>
    </row>
    <row r="799" spans="2:59" x14ac:dyDescent="0.35">
      <c r="B799" s="1"/>
      <c r="C799" s="1"/>
      <c r="D799" s="1"/>
      <c r="E799" s="1"/>
      <c r="F799" s="1"/>
      <c r="G799" s="1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34"/>
      <c r="BE799" s="1"/>
      <c r="BF799" s="1"/>
      <c r="BG799" s="1"/>
    </row>
    <row r="800" spans="2:59" x14ac:dyDescent="0.35">
      <c r="B800" s="1"/>
      <c r="C800" s="1"/>
      <c r="D800" s="1"/>
      <c r="E800" s="1"/>
      <c r="F800" s="1"/>
      <c r="G800" s="1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34"/>
      <c r="BE800" s="1"/>
      <c r="BF800" s="1"/>
      <c r="BG800" s="1"/>
    </row>
    <row r="801" spans="2:59" x14ac:dyDescent="0.35">
      <c r="B801" s="1"/>
      <c r="C801" s="1"/>
      <c r="D801" s="1"/>
      <c r="E801" s="1"/>
      <c r="F801" s="1"/>
      <c r="G801" s="1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34"/>
      <c r="BE801" s="1"/>
      <c r="BF801" s="1"/>
      <c r="BG801" s="1"/>
    </row>
    <row r="802" spans="2:59" x14ac:dyDescent="0.35">
      <c r="B802" s="1"/>
      <c r="C802" s="1"/>
      <c r="D802" s="1"/>
      <c r="E802" s="1"/>
      <c r="F802" s="1"/>
      <c r="G802" s="1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34"/>
      <c r="BE802" s="1"/>
      <c r="BF802" s="1"/>
      <c r="BG802" s="1"/>
    </row>
    <row r="803" spans="2:59" x14ac:dyDescent="0.35">
      <c r="B803" s="1"/>
      <c r="C803" s="1"/>
      <c r="D803" s="1"/>
      <c r="E803" s="1"/>
      <c r="F803" s="1"/>
      <c r="G803" s="1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34"/>
      <c r="BE803" s="1"/>
      <c r="BF803" s="1"/>
      <c r="BG803" s="1"/>
    </row>
    <row r="804" spans="2:59" x14ac:dyDescent="0.35">
      <c r="B804" s="1"/>
      <c r="C804" s="1"/>
      <c r="D804" s="1"/>
      <c r="E804" s="1"/>
      <c r="F804" s="1"/>
      <c r="G804" s="1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34"/>
      <c r="BE804" s="1"/>
      <c r="BF804" s="1"/>
      <c r="BG804" s="1"/>
    </row>
    <row r="805" spans="2:59" x14ac:dyDescent="0.35">
      <c r="B805" s="1"/>
      <c r="C805" s="1"/>
      <c r="D805" s="1"/>
      <c r="E805" s="1"/>
      <c r="F805" s="1"/>
      <c r="G805" s="1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34"/>
      <c r="BE805" s="1"/>
      <c r="BF805" s="1"/>
      <c r="BG805" s="1"/>
    </row>
    <row r="806" spans="2:59" x14ac:dyDescent="0.35">
      <c r="B806" s="1"/>
      <c r="C806" s="1"/>
      <c r="D806" s="1"/>
      <c r="E806" s="1"/>
      <c r="F806" s="1"/>
      <c r="G806" s="1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34"/>
      <c r="BE806" s="1"/>
      <c r="BF806" s="1"/>
      <c r="BG806" s="1"/>
    </row>
    <row r="807" spans="2:59" x14ac:dyDescent="0.35">
      <c r="B807" s="1"/>
      <c r="C807" s="1"/>
      <c r="D807" s="1"/>
      <c r="E807" s="1"/>
      <c r="F807" s="1"/>
      <c r="G807" s="1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34"/>
      <c r="BE807" s="1"/>
      <c r="BF807" s="1"/>
      <c r="BG807" s="1"/>
    </row>
    <row r="808" spans="2:59" x14ac:dyDescent="0.35">
      <c r="B808" s="1"/>
      <c r="C808" s="1"/>
      <c r="D808" s="1"/>
      <c r="E808" s="1"/>
      <c r="F808" s="1"/>
      <c r="G808" s="1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34"/>
      <c r="BE808" s="1"/>
      <c r="BF808" s="1"/>
      <c r="BG808" s="1"/>
    </row>
    <row r="809" spans="2:59" x14ac:dyDescent="0.35">
      <c r="B809" s="1"/>
      <c r="C809" s="1"/>
      <c r="D809" s="1"/>
      <c r="E809" s="1"/>
      <c r="F809" s="1"/>
      <c r="G809" s="1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34"/>
      <c r="BE809" s="1"/>
      <c r="BF809" s="1"/>
      <c r="BG809" s="1"/>
    </row>
    <row r="810" spans="2:59" x14ac:dyDescent="0.35">
      <c r="B810" s="1"/>
      <c r="C810" s="1"/>
      <c r="D810" s="1"/>
      <c r="E810" s="1"/>
      <c r="F810" s="1"/>
      <c r="G810" s="1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34"/>
      <c r="BE810" s="1"/>
      <c r="BF810" s="1"/>
      <c r="BG810" s="1"/>
    </row>
    <row r="811" spans="2:59" x14ac:dyDescent="0.35">
      <c r="B811" s="1"/>
      <c r="C811" s="1"/>
      <c r="D811" s="1"/>
      <c r="E811" s="1"/>
      <c r="F811" s="1"/>
      <c r="G811" s="1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34"/>
      <c r="BE811" s="1"/>
      <c r="BF811" s="1"/>
      <c r="BG811" s="1"/>
    </row>
    <row r="812" spans="2:59" x14ac:dyDescent="0.35">
      <c r="B812" s="1"/>
      <c r="C812" s="1"/>
      <c r="D812" s="1"/>
      <c r="E812" s="1"/>
      <c r="F812" s="1"/>
      <c r="G812" s="1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34"/>
      <c r="BE812" s="1"/>
      <c r="BF812" s="1"/>
      <c r="BG812" s="1"/>
    </row>
    <row r="813" spans="2:59" x14ac:dyDescent="0.35">
      <c r="B813" s="1"/>
      <c r="C813" s="1"/>
      <c r="D813" s="1"/>
      <c r="E813" s="1"/>
      <c r="F813" s="1"/>
      <c r="G813" s="1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34"/>
      <c r="BE813" s="1"/>
      <c r="BF813" s="1"/>
      <c r="BG813" s="1"/>
    </row>
    <row r="814" spans="2:59" x14ac:dyDescent="0.35">
      <c r="B814" s="1"/>
      <c r="C814" s="1"/>
      <c r="D814" s="1"/>
      <c r="E814" s="1"/>
      <c r="F814" s="1"/>
      <c r="G814" s="1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34"/>
      <c r="BE814" s="1"/>
      <c r="BF814" s="1"/>
      <c r="BG814" s="1"/>
    </row>
    <row r="815" spans="2:59" x14ac:dyDescent="0.35">
      <c r="B815" s="1"/>
      <c r="C815" s="1"/>
      <c r="D815" s="1"/>
      <c r="E815" s="1"/>
      <c r="F815" s="1"/>
      <c r="G815" s="1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34"/>
      <c r="BE815" s="1"/>
      <c r="BF815" s="1"/>
      <c r="BG815" s="1"/>
    </row>
    <row r="816" spans="2:59" x14ac:dyDescent="0.35">
      <c r="B816" s="1"/>
      <c r="C816" s="1"/>
      <c r="D816" s="1"/>
      <c r="E816" s="1"/>
      <c r="F816" s="1"/>
      <c r="G816" s="1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34"/>
      <c r="BE816" s="1"/>
      <c r="BF816" s="1"/>
      <c r="BG816" s="1"/>
    </row>
    <row r="817" spans="2:59" x14ac:dyDescent="0.35">
      <c r="B817" s="1"/>
      <c r="C817" s="1"/>
      <c r="D817" s="1"/>
      <c r="E817" s="1"/>
      <c r="F817" s="1"/>
      <c r="G817" s="1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34"/>
      <c r="BE817" s="1"/>
      <c r="BF817" s="1"/>
      <c r="BG817" s="1"/>
    </row>
    <row r="818" spans="2:59" x14ac:dyDescent="0.35">
      <c r="B818" s="1"/>
      <c r="C818" s="1"/>
      <c r="D818" s="1"/>
      <c r="E818" s="1"/>
      <c r="F818" s="1"/>
      <c r="G818" s="1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34"/>
      <c r="BE818" s="1"/>
      <c r="BF818" s="1"/>
      <c r="BG818" s="1"/>
    </row>
    <row r="819" spans="2:59" x14ac:dyDescent="0.35">
      <c r="B819" s="1"/>
      <c r="C819" s="1"/>
      <c r="D819" s="1"/>
      <c r="E819" s="1"/>
      <c r="F819" s="1"/>
      <c r="G819" s="1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34"/>
      <c r="BE819" s="1"/>
      <c r="BF819" s="1"/>
      <c r="BG819" s="1"/>
    </row>
    <row r="820" spans="2:59" x14ac:dyDescent="0.35">
      <c r="B820" s="1"/>
      <c r="C820" s="1"/>
      <c r="D820" s="1"/>
      <c r="E820" s="1"/>
      <c r="F820" s="1"/>
      <c r="G820" s="1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34"/>
      <c r="BE820" s="1"/>
      <c r="BF820" s="1"/>
      <c r="BG820" s="1"/>
    </row>
    <row r="821" spans="2:59" x14ac:dyDescent="0.35">
      <c r="B821" s="1"/>
      <c r="C821" s="1"/>
      <c r="D821" s="1"/>
      <c r="E821" s="1"/>
      <c r="F821" s="1"/>
      <c r="G821" s="1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34"/>
      <c r="BE821" s="1"/>
      <c r="BF821" s="1"/>
      <c r="BG821" s="1"/>
    </row>
    <row r="822" spans="2:59" x14ac:dyDescent="0.35">
      <c r="B822" s="1"/>
      <c r="C822" s="1"/>
      <c r="D822" s="1"/>
      <c r="E822" s="1"/>
      <c r="F822" s="1"/>
      <c r="G822" s="1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34"/>
      <c r="BE822" s="1"/>
      <c r="BF822" s="1"/>
      <c r="BG822" s="1"/>
    </row>
    <row r="823" spans="2:59" x14ac:dyDescent="0.35">
      <c r="B823" s="1"/>
      <c r="C823" s="1"/>
      <c r="D823" s="1"/>
      <c r="E823" s="1"/>
      <c r="F823" s="1"/>
      <c r="G823" s="1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34"/>
      <c r="BE823" s="1"/>
      <c r="BF823" s="1"/>
      <c r="BG823" s="1"/>
    </row>
    <row r="824" spans="2:59" x14ac:dyDescent="0.35">
      <c r="B824" s="1"/>
      <c r="C824" s="1"/>
      <c r="D824" s="1"/>
      <c r="E824" s="1"/>
      <c r="F824" s="1"/>
      <c r="G824" s="1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34"/>
      <c r="BE824" s="1"/>
      <c r="BF824" s="1"/>
      <c r="BG824" s="1"/>
    </row>
    <row r="825" spans="2:59" x14ac:dyDescent="0.35">
      <c r="B825" s="1"/>
      <c r="C825" s="1"/>
      <c r="D825" s="1"/>
      <c r="E825" s="1"/>
      <c r="F825" s="1"/>
      <c r="G825" s="1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34"/>
      <c r="BE825" s="1"/>
      <c r="BF825" s="1"/>
      <c r="BG825" s="1"/>
    </row>
    <row r="826" spans="2:59" x14ac:dyDescent="0.35">
      <c r="B826" s="1"/>
      <c r="C826" s="1"/>
      <c r="D826" s="1"/>
      <c r="E826" s="1"/>
      <c r="F826" s="1"/>
      <c r="G826" s="1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34"/>
      <c r="BE826" s="1"/>
      <c r="BF826" s="1"/>
      <c r="BG826" s="1"/>
    </row>
    <row r="827" spans="2:59" x14ac:dyDescent="0.35">
      <c r="B827" s="1"/>
      <c r="C827" s="1"/>
      <c r="D827" s="1"/>
      <c r="E827" s="1"/>
      <c r="F827" s="1"/>
      <c r="G827" s="1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34"/>
      <c r="BE827" s="1"/>
      <c r="BF827" s="1"/>
      <c r="BG827" s="1"/>
    </row>
    <row r="828" spans="2:59" x14ac:dyDescent="0.35">
      <c r="B828" s="1"/>
      <c r="C828" s="1"/>
      <c r="D828" s="1"/>
      <c r="E828" s="1"/>
      <c r="F828" s="1"/>
      <c r="G828" s="1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34"/>
      <c r="BE828" s="1"/>
      <c r="BF828" s="1"/>
      <c r="BG828" s="1"/>
    </row>
    <row r="829" spans="2:59" x14ac:dyDescent="0.35">
      <c r="B829" s="1"/>
      <c r="C829" s="1"/>
      <c r="D829" s="1"/>
      <c r="E829" s="1"/>
      <c r="F829" s="1"/>
      <c r="G829" s="1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34"/>
      <c r="BE829" s="1"/>
      <c r="BF829" s="1"/>
      <c r="BG829" s="1"/>
    </row>
    <row r="830" spans="2:59" x14ac:dyDescent="0.35">
      <c r="B830" s="1"/>
      <c r="C830" s="1"/>
      <c r="D830" s="1"/>
      <c r="E830" s="1"/>
      <c r="F830" s="1"/>
      <c r="G830" s="1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34"/>
      <c r="BE830" s="1"/>
      <c r="BF830" s="1"/>
      <c r="BG830" s="1"/>
    </row>
    <row r="831" spans="2:59" x14ac:dyDescent="0.35">
      <c r="B831" s="1"/>
      <c r="C831" s="1"/>
      <c r="D831" s="1"/>
      <c r="E831" s="1"/>
      <c r="F831" s="1"/>
      <c r="G831" s="1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34"/>
      <c r="BE831" s="1"/>
      <c r="BF831" s="1"/>
      <c r="BG831" s="1"/>
    </row>
    <row r="832" spans="2:59" x14ac:dyDescent="0.35">
      <c r="B832" s="1"/>
      <c r="C832" s="1"/>
      <c r="D832" s="1"/>
      <c r="E832" s="1"/>
      <c r="F832" s="1"/>
      <c r="G832" s="1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34"/>
      <c r="BE832" s="1"/>
      <c r="BF832" s="1"/>
      <c r="BG832" s="1"/>
    </row>
    <row r="833" spans="2:59" x14ac:dyDescent="0.35">
      <c r="B833" s="1"/>
      <c r="C833" s="1"/>
      <c r="D833" s="1"/>
      <c r="E833" s="1"/>
      <c r="F833" s="1"/>
      <c r="G833" s="1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34"/>
      <c r="BE833" s="1"/>
      <c r="BF833" s="1"/>
      <c r="BG833" s="1"/>
    </row>
    <row r="834" spans="2:59" x14ac:dyDescent="0.35">
      <c r="B834" s="1"/>
      <c r="C834" s="1"/>
      <c r="D834" s="1"/>
      <c r="E834" s="1"/>
      <c r="F834" s="1"/>
      <c r="G834" s="1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34"/>
      <c r="BE834" s="1"/>
      <c r="BF834" s="1"/>
      <c r="BG834" s="1"/>
    </row>
    <row r="835" spans="2:59" x14ac:dyDescent="0.35">
      <c r="B835" s="1"/>
      <c r="C835" s="1"/>
      <c r="D835" s="1"/>
      <c r="E835" s="1"/>
      <c r="F835" s="1"/>
      <c r="G835" s="1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34"/>
      <c r="BE835" s="1"/>
      <c r="BF835" s="1"/>
      <c r="BG835" s="1"/>
    </row>
    <row r="836" spans="2:59" x14ac:dyDescent="0.35">
      <c r="B836" s="1"/>
      <c r="C836" s="1"/>
      <c r="D836" s="1"/>
      <c r="E836" s="1"/>
      <c r="F836" s="1"/>
      <c r="G836" s="1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34"/>
      <c r="BE836" s="1"/>
      <c r="BF836" s="1"/>
      <c r="BG836" s="1"/>
    </row>
    <row r="837" spans="2:59" x14ac:dyDescent="0.35">
      <c r="B837" s="1"/>
      <c r="C837" s="1"/>
      <c r="D837" s="1"/>
      <c r="E837" s="1"/>
      <c r="F837" s="1"/>
      <c r="G837" s="1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34"/>
      <c r="BE837" s="1"/>
      <c r="BF837" s="1"/>
      <c r="BG837" s="1"/>
    </row>
    <row r="838" spans="2:59" x14ac:dyDescent="0.35">
      <c r="B838" s="1"/>
      <c r="C838" s="1"/>
      <c r="D838" s="1"/>
      <c r="E838" s="1"/>
      <c r="F838" s="1"/>
      <c r="G838" s="1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34"/>
      <c r="BE838" s="1"/>
      <c r="BF838" s="1"/>
      <c r="BG838" s="1"/>
    </row>
    <row r="839" spans="2:59" x14ac:dyDescent="0.35">
      <c r="B839" s="1"/>
      <c r="C839" s="1"/>
      <c r="D839" s="1"/>
      <c r="E839" s="1"/>
      <c r="F839" s="1"/>
      <c r="G839" s="1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34"/>
      <c r="BE839" s="1"/>
      <c r="BF839" s="1"/>
      <c r="BG839" s="1"/>
    </row>
    <row r="840" spans="2:59" x14ac:dyDescent="0.35">
      <c r="B840" s="1"/>
      <c r="C840" s="1"/>
      <c r="D840" s="1"/>
      <c r="E840" s="1"/>
      <c r="F840" s="1"/>
      <c r="G840" s="1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34"/>
      <c r="BE840" s="1"/>
      <c r="BF840" s="1"/>
      <c r="BG840" s="1"/>
    </row>
    <row r="841" spans="2:59" x14ac:dyDescent="0.35">
      <c r="B841" s="1"/>
      <c r="C841" s="1"/>
      <c r="D841" s="1"/>
      <c r="E841" s="1"/>
      <c r="F841" s="1"/>
      <c r="G841" s="1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34"/>
      <c r="BE841" s="1"/>
      <c r="BF841" s="1"/>
      <c r="BG841" s="1"/>
    </row>
    <row r="842" spans="2:59" x14ac:dyDescent="0.35">
      <c r="B842" s="1"/>
      <c r="C842" s="1"/>
      <c r="D842" s="1"/>
      <c r="E842" s="1"/>
      <c r="F842" s="1"/>
      <c r="G842" s="1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34"/>
      <c r="BE842" s="1"/>
      <c r="BF842" s="1"/>
      <c r="BG842" s="1"/>
    </row>
    <row r="843" spans="2:59" x14ac:dyDescent="0.35">
      <c r="B843" s="1"/>
      <c r="C843" s="1"/>
      <c r="D843" s="1"/>
      <c r="E843" s="1"/>
      <c r="F843" s="1"/>
      <c r="G843" s="1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34"/>
      <c r="BE843" s="1"/>
      <c r="BF843" s="1"/>
      <c r="BG843" s="1"/>
    </row>
    <row r="844" spans="2:59" x14ac:dyDescent="0.35">
      <c r="B844" s="1"/>
      <c r="C844" s="1"/>
      <c r="D844" s="1"/>
      <c r="E844" s="1"/>
      <c r="F844" s="1"/>
      <c r="G844" s="1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34"/>
      <c r="BE844" s="1"/>
      <c r="BF844" s="1"/>
      <c r="BG844" s="1"/>
    </row>
    <row r="845" spans="2:59" x14ac:dyDescent="0.35">
      <c r="B845" s="1"/>
      <c r="C845" s="1"/>
      <c r="D845" s="1"/>
      <c r="E845" s="1"/>
      <c r="F845" s="1"/>
      <c r="G845" s="1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34"/>
      <c r="BE845" s="1"/>
      <c r="BF845" s="1"/>
      <c r="BG845" s="1"/>
    </row>
    <row r="846" spans="2:59" x14ac:dyDescent="0.35">
      <c r="B846" s="1"/>
      <c r="C846" s="1"/>
      <c r="D846" s="1"/>
      <c r="E846" s="1"/>
      <c r="F846" s="1"/>
      <c r="G846" s="1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34"/>
      <c r="BE846" s="1"/>
      <c r="BF846" s="1"/>
      <c r="BG846" s="1"/>
    </row>
    <row r="847" spans="2:59" x14ac:dyDescent="0.35">
      <c r="B847" s="1"/>
      <c r="C847" s="1"/>
      <c r="D847" s="1"/>
      <c r="E847" s="1"/>
      <c r="F847" s="1"/>
      <c r="G847" s="1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34"/>
      <c r="BE847" s="1"/>
      <c r="BF847" s="1"/>
      <c r="BG847" s="1"/>
    </row>
    <row r="848" spans="2:59" x14ac:dyDescent="0.35">
      <c r="B848" s="1"/>
      <c r="C848" s="1"/>
      <c r="D848" s="1"/>
      <c r="E848" s="1"/>
      <c r="F848" s="1"/>
      <c r="G848" s="1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34"/>
      <c r="BE848" s="1"/>
      <c r="BF848" s="1"/>
      <c r="BG848" s="1"/>
    </row>
    <row r="849" spans="2:59" x14ac:dyDescent="0.35">
      <c r="B849" s="1"/>
      <c r="C849" s="1"/>
      <c r="D849" s="1"/>
      <c r="E849" s="1"/>
      <c r="F849" s="1"/>
      <c r="G849" s="1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34"/>
      <c r="BE849" s="1"/>
      <c r="BF849" s="1"/>
      <c r="BG849" s="1"/>
    </row>
    <row r="850" spans="2:59" x14ac:dyDescent="0.35">
      <c r="B850" s="1"/>
      <c r="C850" s="1"/>
      <c r="D850" s="1"/>
      <c r="E850" s="1"/>
      <c r="F850" s="1"/>
      <c r="G850" s="1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34"/>
      <c r="BE850" s="1"/>
      <c r="BF850" s="1"/>
      <c r="BG850" s="1"/>
    </row>
    <row r="851" spans="2:59" x14ac:dyDescent="0.35">
      <c r="B851" s="1"/>
      <c r="C851" s="1"/>
      <c r="D851" s="1"/>
      <c r="E851" s="1"/>
      <c r="F851" s="1"/>
      <c r="G851" s="1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34"/>
      <c r="BE851" s="1"/>
      <c r="BF851" s="1"/>
      <c r="BG851" s="1"/>
    </row>
    <row r="852" spans="2:59" x14ac:dyDescent="0.35">
      <c r="B852" s="1"/>
      <c r="C852" s="1"/>
      <c r="D852" s="1"/>
      <c r="E852" s="1"/>
      <c r="F852" s="1"/>
      <c r="G852" s="1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34"/>
      <c r="BE852" s="1"/>
      <c r="BF852" s="1"/>
      <c r="BG852" s="1"/>
    </row>
    <row r="853" spans="2:59" x14ac:dyDescent="0.35">
      <c r="B853" s="1"/>
      <c r="C853" s="1"/>
      <c r="D853" s="1"/>
      <c r="E853" s="1"/>
      <c r="F853" s="1"/>
      <c r="G853" s="1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34"/>
      <c r="BE853" s="1"/>
      <c r="BF853" s="1"/>
      <c r="BG853" s="1"/>
    </row>
    <row r="854" spans="2:59" x14ac:dyDescent="0.35">
      <c r="B854" s="1"/>
      <c r="C854" s="1"/>
      <c r="D854" s="1"/>
      <c r="E854" s="1"/>
      <c r="F854" s="1"/>
      <c r="G854" s="1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34"/>
      <c r="BE854" s="1"/>
      <c r="BF854" s="1"/>
      <c r="BG854" s="1"/>
    </row>
    <row r="855" spans="2:59" x14ac:dyDescent="0.35">
      <c r="B855" s="1"/>
      <c r="C855" s="1"/>
      <c r="D855" s="1"/>
      <c r="E855" s="1"/>
      <c r="F855" s="1"/>
      <c r="G855" s="1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34"/>
      <c r="BE855" s="1"/>
      <c r="BF855" s="1"/>
      <c r="BG855" s="1"/>
    </row>
    <row r="856" spans="2:59" x14ac:dyDescent="0.35">
      <c r="B856" s="1"/>
      <c r="C856" s="1"/>
      <c r="D856" s="1"/>
      <c r="E856" s="1"/>
      <c r="F856" s="1"/>
      <c r="G856" s="1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34"/>
      <c r="BE856" s="1"/>
      <c r="BF856" s="1"/>
      <c r="BG856" s="1"/>
    </row>
    <row r="857" spans="2:59" x14ac:dyDescent="0.35">
      <c r="B857" s="1"/>
      <c r="C857" s="1"/>
      <c r="D857" s="1"/>
      <c r="E857" s="1"/>
      <c r="F857" s="1"/>
      <c r="G857" s="1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34"/>
      <c r="BE857" s="1"/>
      <c r="BF857" s="1"/>
      <c r="BG857" s="1"/>
    </row>
    <row r="858" spans="2:59" x14ac:dyDescent="0.35">
      <c r="B858" s="1"/>
      <c r="C858" s="1"/>
      <c r="D858" s="1"/>
      <c r="E858" s="1"/>
      <c r="F858" s="1"/>
      <c r="G858" s="1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34"/>
      <c r="BE858" s="1"/>
      <c r="BF858" s="1"/>
      <c r="BG858" s="1"/>
    </row>
    <row r="859" spans="2:59" x14ac:dyDescent="0.35">
      <c r="B859" s="1"/>
      <c r="C859" s="1"/>
      <c r="D859" s="1"/>
      <c r="E859" s="1"/>
      <c r="F859" s="1"/>
      <c r="G859" s="1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34"/>
      <c r="BE859" s="1"/>
      <c r="BF859" s="1"/>
      <c r="BG859" s="1"/>
    </row>
    <row r="860" spans="2:59" x14ac:dyDescent="0.35">
      <c r="B860" s="1"/>
      <c r="C860" s="1"/>
      <c r="D860" s="1"/>
      <c r="E860" s="1"/>
      <c r="F860" s="1"/>
      <c r="G860" s="1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34"/>
      <c r="BE860" s="1"/>
      <c r="BF860" s="1"/>
      <c r="BG860" s="1"/>
    </row>
    <row r="861" spans="2:59" x14ac:dyDescent="0.35">
      <c r="B861" s="1"/>
      <c r="C861" s="1"/>
      <c r="D861" s="1"/>
      <c r="E861" s="1"/>
      <c r="F861" s="1"/>
      <c r="G861" s="1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34"/>
      <c r="BE861" s="1"/>
      <c r="BF861" s="1"/>
      <c r="BG861" s="1"/>
    </row>
    <row r="862" spans="2:59" x14ac:dyDescent="0.35">
      <c r="B862" s="1"/>
      <c r="C862" s="1"/>
      <c r="D862" s="1"/>
      <c r="E862" s="1"/>
      <c r="F862" s="1"/>
      <c r="G862" s="1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34"/>
      <c r="BE862" s="1"/>
      <c r="BF862" s="1"/>
      <c r="BG862" s="1"/>
    </row>
    <row r="863" spans="2:59" x14ac:dyDescent="0.35">
      <c r="B863" s="1"/>
      <c r="C863" s="1"/>
      <c r="D863" s="1"/>
      <c r="E863" s="1"/>
      <c r="F863" s="1"/>
      <c r="G863" s="1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34"/>
      <c r="BE863" s="1"/>
      <c r="BF863" s="1"/>
      <c r="BG863" s="1"/>
    </row>
    <row r="864" spans="2:59" x14ac:dyDescent="0.35">
      <c r="B864" s="1"/>
      <c r="C864" s="1"/>
      <c r="D864" s="1"/>
      <c r="E864" s="1"/>
      <c r="F864" s="1"/>
      <c r="G864" s="1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34"/>
      <c r="BE864" s="1"/>
      <c r="BF864" s="1"/>
      <c r="BG864" s="1"/>
    </row>
    <row r="865" spans="2:59" x14ac:dyDescent="0.35">
      <c r="B865" s="1"/>
      <c r="C865" s="1"/>
      <c r="D865" s="1"/>
      <c r="E865" s="1"/>
      <c r="F865" s="1"/>
      <c r="G865" s="1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34"/>
      <c r="BE865" s="1"/>
      <c r="BF865" s="1"/>
      <c r="BG865" s="1"/>
    </row>
    <row r="866" spans="2:59" x14ac:dyDescent="0.35">
      <c r="B866" s="1"/>
      <c r="C866" s="1"/>
      <c r="D866" s="1"/>
      <c r="E866" s="1"/>
      <c r="F866" s="1"/>
      <c r="G866" s="1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34"/>
      <c r="BE866" s="1"/>
      <c r="BF866" s="1"/>
      <c r="BG866" s="1"/>
    </row>
    <row r="867" spans="2:59" x14ac:dyDescent="0.35">
      <c r="B867" s="1"/>
      <c r="C867" s="1"/>
      <c r="D867" s="1"/>
      <c r="E867" s="1"/>
      <c r="F867" s="1"/>
      <c r="G867" s="1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34"/>
      <c r="BE867" s="1"/>
      <c r="BF867" s="1"/>
      <c r="BG867" s="1"/>
    </row>
    <row r="868" spans="2:59" x14ac:dyDescent="0.35">
      <c r="B868" s="1"/>
      <c r="C868" s="1"/>
      <c r="D868" s="1"/>
      <c r="E868" s="1"/>
      <c r="F868" s="1"/>
      <c r="G868" s="1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34"/>
      <c r="BE868" s="1"/>
      <c r="BF868" s="1"/>
      <c r="BG868" s="1"/>
    </row>
    <row r="869" spans="2:59" x14ac:dyDescent="0.35">
      <c r="B869" s="1"/>
      <c r="C869" s="1"/>
      <c r="D869" s="1"/>
      <c r="E869" s="1"/>
      <c r="F869" s="1"/>
      <c r="G869" s="1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34"/>
      <c r="BE869" s="1"/>
      <c r="BF869" s="1"/>
      <c r="BG869" s="1"/>
    </row>
    <row r="870" spans="2:59" x14ac:dyDescent="0.35">
      <c r="B870" s="1"/>
      <c r="C870" s="1"/>
      <c r="D870" s="1"/>
      <c r="E870" s="1"/>
      <c r="F870" s="1"/>
      <c r="G870" s="1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34"/>
      <c r="BE870" s="1"/>
      <c r="BF870" s="1"/>
      <c r="BG870" s="1"/>
    </row>
    <row r="871" spans="2:59" x14ac:dyDescent="0.35">
      <c r="B871" s="1"/>
      <c r="C871" s="1"/>
      <c r="D871" s="1"/>
      <c r="E871" s="1"/>
      <c r="F871" s="1"/>
      <c r="G871" s="1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34"/>
      <c r="BE871" s="1"/>
      <c r="BF871" s="1"/>
      <c r="BG871" s="1"/>
    </row>
    <row r="872" spans="2:59" x14ac:dyDescent="0.35">
      <c r="B872" s="1"/>
      <c r="C872" s="1"/>
      <c r="D872" s="1"/>
      <c r="E872" s="1"/>
      <c r="F872" s="1"/>
      <c r="G872" s="1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34"/>
      <c r="BE872" s="1"/>
      <c r="BF872" s="1"/>
      <c r="BG872" s="1"/>
    </row>
    <row r="873" spans="2:59" x14ac:dyDescent="0.35">
      <c r="B873" s="1"/>
      <c r="C873" s="1"/>
      <c r="D873" s="1"/>
      <c r="E873" s="1"/>
      <c r="F873" s="1"/>
      <c r="G873" s="1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34"/>
      <c r="BE873" s="1"/>
      <c r="BF873" s="1"/>
      <c r="BG873" s="1"/>
    </row>
    <row r="874" spans="2:59" x14ac:dyDescent="0.35">
      <c r="B874" s="1"/>
      <c r="C874" s="1"/>
      <c r="D874" s="1"/>
      <c r="E874" s="1"/>
      <c r="F874" s="1"/>
      <c r="G874" s="1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34"/>
      <c r="BE874" s="1"/>
      <c r="BF874" s="1"/>
      <c r="BG874" s="1"/>
    </row>
    <row r="875" spans="2:59" x14ac:dyDescent="0.35">
      <c r="B875" s="1"/>
      <c r="C875" s="1"/>
      <c r="D875" s="1"/>
      <c r="E875" s="1"/>
      <c r="F875" s="1"/>
      <c r="G875" s="1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34"/>
      <c r="BE875" s="1"/>
      <c r="BF875" s="1"/>
      <c r="BG875" s="1"/>
    </row>
    <row r="876" spans="2:59" x14ac:dyDescent="0.35">
      <c r="B876" s="1"/>
      <c r="C876" s="1"/>
      <c r="D876" s="1"/>
      <c r="E876" s="1"/>
      <c r="F876" s="1"/>
      <c r="G876" s="1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34"/>
      <c r="BE876" s="1"/>
      <c r="BF876" s="1"/>
      <c r="BG876" s="1"/>
    </row>
    <row r="877" spans="2:59" x14ac:dyDescent="0.35">
      <c r="B877" s="1"/>
      <c r="C877" s="1"/>
      <c r="D877" s="1"/>
      <c r="E877" s="1"/>
      <c r="F877" s="1"/>
      <c r="G877" s="1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34"/>
      <c r="BE877" s="1"/>
      <c r="BF877" s="1"/>
      <c r="BG877" s="1"/>
    </row>
    <row r="878" spans="2:59" x14ac:dyDescent="0.35">
      <c r="B878" s="1"/>
      <c r="C878" s="1"/>
      <c r="D878" s="1"/>
      <c r="E878" s="1"/>
      <c r="F878" s="1"/>
      <c r="G878" s="1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34"/>
      <c r="BE878" s="1"/>
      <c r="BF878" s="1"/>
      <c r="BG878" s="1"/>
    </row>
    <row r="879" spans="2:59" x14ac:dyDescent="0.35">
      <c r="B879" s="1"/>
      <c r="C879" s="1"/>
      <c r="D879" s="1"/>
      <c r="E879" s="1"/>
      <c r="F879" s="1"/>
      <c r="G879" s="1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34"/>
      <c r="BE879" s="1"/>
      <c r="BF879" s="1"/>
      <c r="BG879" s="1"/>
    </row>
    <row r="880" spans="2:59" x14ac:dyDescent="0.35">
      <c r="B880" s="1"/>
      <c r="C880" s="1"/>
      <c r="D880" s="1"/>
      <c r="E880" s="1"/>
      <c r="F880" s="1"/>
      <c r="G880" s="1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34"/>
      <c r="BE880" s="1"/>
      <c r="BF880" s="1"/>
      <c r="BG880" s="1"/>
    </row>
    <row r="881" spans="2:59" x14ac:dyDescent="0.35">
      <c r="B881" s="1"/>
      <c r="C881" s="1"/>
      <c r="D881" s="1"/>
      <c r="E881" s="1"/>
      <c r="F881" s="1"/>
      <c r="G881" s="1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34"/>
      <c r="BE881" s="1"/>
      <c r="BF881" s="1"/>
      <c r="BG881" s="1"/>
    </row>
    <row r="882" spans="2:59" x14ac:dyDescent="0.35">
      <c r="B882" s="1"/>
      <c r="C882" s="1"/>
      <c r="D882" s="1"/>
      <c r="E882" s="1"/>
      <c r="F882" s="1"/>
      <c r="G882" s="1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34"/>
      <c r="BE882" s="1"/>
      <c r="BF882" s="1"/>
      <c r="BG882" s="1"/>
    </row>
    <row r="883" spans="2:59" x14ac:dyDescent="0.35">
      <c r="B883" s="1"/>
      <c r="C883" s="1"/>
      <c r="D883" s="1"/>
      <c r="E883" s="1"/>
      <c r="F883" s="1"/>
      <c r="G883" s="1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34"/>
      <c r="BE883" s="1"/>
      <c r="BF883" s="1"/>
      <c r="BG883" s="1"/>
    </row>
    <row r="884" spans="2:59" x14ac:dyDescent="0.35">
      <c r="B884" s="1"/>
      <c r="C884" s="1"/>
      <c r="D884" s="1"/>
      <c r="E884" s="1"/>
      <c r="F884" s="1"/>
      <c r="G884" s="1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34"/>
      <c r="BE884" s="1"/>
      <c r="BF884" s="1"/>
      <c r="BG884" s="1"/>
    </row>
    <row r="885" spans="2:59" x14ac:dyDescent="0.35">
      <c r="B885" s="1"/>
      <c r="C885" s="1"/>
      <c r="D885" s="1"/>
      <c r="E885" s="1"/>
      <c r="F885" s="1"/>
      <c r="G885" s="1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34"/>
      <c r="BE885" s="1"/>
      <c r="BF885" s="1"/>
      <c r="BG885" s="1"/>
    </row>
    <row r="886" spans="2:59" x14ac:dyDescent="0.35">
      <c r="B886" s="1"/>
      <c r="C886" s="1"/>
      <c r="D886" s="1"/>
      <c r="E886" s="1"/>
      <c r="F886" s="1"/>
      <c r="G886" s="1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34"/>
      <c r="BE886" s="1"/>
      <c r="BF886" s="1"/>
      <c r="BG886" s="1"/>
    </row>
    <row r="887" spans="2:59" x14ac:dyDescent="0.35">
      <c r="B887" s="1"/>
      <c r="C887" s="1"/>
      <c r="D887" s="1"/>
      <c r="E887" s="1"/>
      <c r="F887" s="1"/>
      <c r="G887" s="1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34"/>
      <c r="BE887" s="1"/>
      <c r="BF887" s="1"/>
      <c r="BG887" s="1"/>
    </row>
    <row r="888" spans="2:59" x14ac:dyDescent="0.35">
      <c r="B888" s="1"/>
      <c r="C888" s="1"/>
      <c r="D888" s="1"/>
      <c r="E888" s="1"/>
      <c r="F888" s="1"/>
      <c r="G888" s="1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34"/>
      <c r="BE888" s="1"/>
      <c r="BF888" s="1"/>
      <c r="BG888" s="1"/>
    </row>
    <row r="889" spans="2:59" x14ac:dyDescent="0.35">
      <c r="B889" s="1"/>
      <c r="C889" s="1"/>
      <c r="D889" s="1"/>
      <c r="E889" s="1"/>
      <c r="F889" s="1"/>
      <c r="G889" s="1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34"/>
      <c r="BE889" s="1"/>
      <c r="BF889" s="1"/>
      <c r="BG889" s="1"/>
    </row>
    <row r="890" spans="2:59" x14ac:dyDescent="0.35">
      <c r="B890" s="1"/>
      <c r="C890" s="1"/>
      <c r="D890" s="1"/>
      <c r="E890" s="1"/>
      <c r="F890" s="1"/>
      <c r="G890" s="1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34"/>
      <c r="BE890" s="1"/>
      <c r="BF890" s="1"/>
      <c r="BG890" s="1"/>
    </row>
    <row r="891" spans="2:59" x14ac:dyDescent="0.35">
      <c r="B891" s="1"/>
      <c r="C891" s="1"/>
      <c r="D891" s="1"/>
      <c r="E891" s="1"/>
      <c r="F891" s="1"/>
      <c r="G891" s="1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34"/>
      <c r="BE891" s="1"/>
      <c r="BF891" s="1"/>
      <c r="BG891" s="1"/>
    </row>
    <row r="892" spans="2:59" x14ac:dyDescent="0.35">
      <c r="B892" s="1"/>
      <c r="C892" s="1"/>
      <c r="D892" s="1"/>
      <c r="E892" s="1"/>
      <c r="F892" s="1"/>
      <c r="G892" s="1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34"/>
      <c r="BE892" s="1"/>
      <c r="BF892" s="1"/>
      <c r="BG892" s="1"/>
    </row>
    <row r="893" spans="2:59" x14ac:dyDescent="0.35">
      <c r="B893" s="1"/>
      <c r="C893" s="1"/>
      <c r="D893" s="1"/>
      <c r="E893" s="1"/>
      <c r="F893" s="1"/>
      <c r="G893" s="1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34"/>
      <c r="BE893" s="1"/>
      <c r="BF893" s="1"/>
      <c r="BG893" s="1"/>
    </row>
    <row r="894" spans="2:59" x14ac:dyDescent="0.35">
      <c r="B894" s="1"/>
      <c r="C894" s="1"/>
      <c r="D894" s="1"/>
      <c r="E894" s="1"/>
      <c r="F894" s="1"/>
      <c r="G894" s="1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34"/>
      <c r="BE894" s="1"/>
      <c r="BF894" s="1"/>
      <c r="BG894" s="1"/>
    </row>
    <row r="895" spans="2:59" x14ac:dyDescent="0.35">
      <c r="B895" s="1"/>
      <c r="C895" s="1"/>
      <c r="D895" s="1"/>
      <c r="E895" s="1"/>
      <c r="F895" s="1"/>
      <c r="G895" s="1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34"/>
      <c r="BE895" s="1"/>
      <c r="BF895" s="1"/>
      <c r="BG895" s="1"/>
    </row>
    <row r="896" spans="2:59" x14ac:dyDescent="0.35">
      <c r="B896" s="1"/>
      <c r="C896" s="1"/>
      <c r="D896" s="1"/>
      <c r="E896" s="1"/>
      <c r="F896" s="1"/>
      <c r="G896" s="1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34"/>
      <c r="BE896" s="1"/>
      <c r="BF896" s="1"/>
      <c r="BG896" s="1"/>
    </row>
    <row r="897" spans="2:59" x14ac:dyDescent="0.35">
      <c r="B897" s="1"/>
      <c r="C897" s="1"/>
      <c r="D897" s="1"/>
      <c r="E897" s="1"/>
      <c r="F897" s="1"/>
      <c r="G897" s="1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34"/>
      <c r="BE897" s="1"/>
      <c r="BF897" s="1"/>
      <c r="BG897" s="1"/>
    </row>
    <row r="898" spans="2:59" x14ac:dyDescent="0.35">
      <c r="B898" s="1"/>
      <c r="C898" s="1"/>
      <c r="D898" s="1"/>
      <c r="E898" s="1"/>
      <c r="F898" s="1"/>
      <c r="G898" s="1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34"/>
      <c r="BE898" s="1"/>
      <c r="BF898" s="1"/>
      <c r="BG898" s="1"/>
    </row>
    <row r="899" spans="2:59" x14ac:dyDescent="0.35">
      <c r="B899" s="1"/>
      <c r="C899" s="1"/>
      <c r="D899" s="1"/>
      <c r="E899" s="1"/>
      <c r="F899" s="1"/>
      <c r="G899" s="1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34"/>
      <c r="BE899" s="1"/>
      <c r="BF899" s="1"/>
      <c r="BG899" s="1"/>
    </row>
    <row r="900" spans="2:59" x14ac:dyDescent="0.35">
      <c r="B900" s="1"/>
      <c r="C900" s="1"/>
      <c r="D900" s="1"/>
      <c r="E900" s="1"/>
      <c r="F900" s="1"/>
      <c r="G900" s="1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34"/>
      <c r="BE900" s="1"/>
      <c r="BF900" s="1"/>
      <c r="BG900" s="1"/>
    </row>
    <row r="901" spans="2:59" x14ac:dyDescent="0.35">
      <c r="B901" s="1"/>
      <c r="C901" s="1"/>
      <c r="D901" s="1"/>
      <c r="E901" s="1"/>
      <c r="F901" s="1"/>
      <c r="G901" s="1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34"/>
      <c r="BE901" s="1"/>
      <c r="BF901" s="1"/>
      <c r="BG901" s="1"/>
    </row>
    <row r="902" spans="2:59" x14ac:dyDescent="0.35">
      <c r="B902" s="1"/>
      <c r="C902" s="1"/>
      <c r="D902" s="1"/>
      <c r="E902" s="1"/>
      <c r="F902" s="1"/>
      <c r="G902" s="1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34"/>
      <c r="BE902" s="1"/>
      <c r="BF902" s="1"/>
      <c r="BG902" s="1"/>
    </row>
    <row r="903" spans="2:59" x14ac:dyDescent="0.35">
      <c r="B903" s="1"/>
      <c r="C903" s="1"/>
      <c r="D903" s="1"/>
      <c r="E903" s="1"/>
      <c r="F903" s="1"/>
      <c r="G903" s="1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34"/>
      <c r="BE903" s="1"/>
      <c r="BF903" s="1"/>
      <c r="BG903" s="1"/>
    </row>
    <row r="904" spans="2:59" x14ac:dyDescent="0.35">
      <c r="B904" s="1"/>
      <c r="C904" s="1"/>
      <c r="D904" s="1"/>
      <c r="E904" s="1"/>
      <c r="F904" s="1"/>
      <c r="G904" s="1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34"/>
      <c r="BE904" s="1"/>
      <c r="BF904" s="1"/>
      <c r="BG904" s="1"/>
    </row>
    <row r="905" spans="2:59" x14ac:dyDescent="0.35">
      <c r="B905" s="1"/>
      <c r="C905" s="1"/>
      <c r="D905" s="1"/>
      <c r="E905" s="1"/>
      <c r="F905" s="1"/>
      <c r="G905" s="1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34"/>
      <c r="BE905" s="1"/>
      <c r="BF905" s="1"/>
      <c r="BG905" s="1"/>
    </row>
    <row r="906" spans="2:59" x14ac:dyDescent="0.35">
      <c r="B906" s="1"/>
      <c r="C906" s="1"/>
      <c r="D906" s="1"/>
      <c r="E906" s="1"/>
      <c r="F906" s="1"/>
      <c r="G906" s="1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34"/>
      <c r="BE906" s="1"/>
      <c r="BF906" s="1"/>
      <c r="BG906" s="1"/>
    </row>
    <row r="907" spans="2:59" x14ac:dyDescent="0.35">
      <c r="B907" s="1"/>
      <c r="C907" s="1"/>
      <c r="D907" s="1"/>
      <c r="E907" s="1"/>
      <c r="F907" s="1"/>
      <c r="G907" s="1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34"/>
      <c r="BE907" s="1"/>
      <c r="BF907" s="1"/>
      <c r="BG907" s="1"/>
    </row>
    <row r="908" spans="2:59" x14ac:dyDescent="0.35">
      <c r="B908" s="1"/>
      <c r="C908" s="1"/>
      <c r="D908" s="1"/>
      <c r="E908" s="1"/>
      <c r="F908" s="1"/>
      <c r="G908" s="1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34"/>
      <c r="BE908" s="1"/>
      <c r="BF908" s="1"/>
      <c r="BG908" s="1"/>
    </row>
    <row r="909" spans="2:59" x14ac:dyDescent="0.35">
      <c r="B909" s="1"/>
      <c r="C909" s="1"/>
      <c r="D909" s="1"/>
      <c r="E909" s="1"/>
      <c r="F909" s="1"/>
      <c r="G909" s="1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34"/>
      <c r="BE909" s="1"/>
      <c r="BF909" s="1"/>
      <c r="BG909" s="1"/>
    </row>
    <row r="910" spans="2:59" x14ac:dyDescent="0.35">
      <c r="B910" s="1"/>
      <c r="C910" s="1"/>
      <c r="D910" s="1"/>
      <c r="E910" s="1"/>
      <c r="F910" s="1"/>
      <c r="G910" s="1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34"/>
      <c r="BE910" s="1"/>
      <c r="BF910" s="1"/>
      <c r="BG910" s="1"/>
    </row>
  </sheetData>
  <mergeCells count="4">
    <mergeCell ref="J3:U3"/>
    <mergeCell ref="AA3:AL3"/>
    <mergeCell ref="AR3:BC3"/>
    <mergeCell ref="AJ45:AM45"/>
  </mergeCells>
  <phoneticPr fontId="3" type="noConversion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8E6EE5A-7964-4343-8213-DAD136A440F4}">
          <x14:formula1>
            <xm:f>Hoja2!$E$2:$E$4</xm:f>
          </x14:formula1>
          <xm:sqref>B64:B910</xm:sqref>
        </x14:dataValidation>
        <x14:dataValidation type="list" allowBlank="1" showInputMessage="1" showErrorMessage="1" xr:uid="{9947FAA9-EAB4-46FD-9616-BD9B9A567C2B}">
          <x14:formula1>
            <xm:f>Hoja2!$F$2:$F$3</xm:f>
          </x14:formula1>
          <xm:sqref>G6:G910</xm:sqref>
        </x14:dataValidation>
        <x14:dataValidation type="list" allowBlank="1" showInputMessage="1" showErrorMessage="1" xr:uid="{6E7EE5A9-A125-4528-A4D1-92E47DA9AA94}">
          <x14:formula1>
            <xm:f>Hoja2!$G$2:$G$14</xm:f>
          </x14:formula1>
          <xm:sqref>D6:D50</xm:sqref>
        </x14:dataValidation>
        <x14:dataValidation type="list" allowBlank="1" showInputMessage="1" showErrorMessage="1" xr:uid="{C6993E7B-1C75-4B1F-ADFA-2A9F667AE1A2}">
          <x14:formula1>
            <xm:f>Hoja2!$E$2:$E$10</xm:f>
          </x14:formula1>
          <xm:sqref>B6:B63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3ACE1-FAF1-4A7E-B635-FEAD961D8E1E}">
  <dimension ref="C1:G14"/>
  <sheetViews>
    <sheetView workbookViewId="0">
      <selection activeCell="B37" sqref="B37"/>
    </sheetView>
  </sheetViews>
  <sheetFormatPr baseColWidth="10" defaultRowHeight="14.5" x14ac:dyDescent="0.35"/>
  <cols>
    <col min="5" max="5" width="50.54296875" bestFit="1" customWidth="1"/>
  </cols>
  <sheetData>
    <row r="1" spans="3:7" x14ac:dyDescent="0.35">
      <c r="C1" t="s">
        <v>0</v>
      </c>
      <c r="D1" t="s">
        <v>1</v>
      </c>
      <c r="E1" t="s">
        <v>20</v>
      </c>
      <c r="F1" t="s">
        <v>21</v>
      </c>
      <c r="G1" t="s">
        <v>15</v>
      </c>
    </row>
    <row r="2" spans="3:7" x14ac:dyDescent="0.35">
      <c r="C2">
        <v>2027</v>
      </c>
      <c r="D2" t="s">
        <v>2</v>
      </c>
      <c r="E2" t="s">
        <v>43</v>
      </c>
      <c r="F2" t="s">
        <v>22</v>
      </c>
      <c r="G2" t="s">
        <v>30</v>
      </c>
    </row>
    <row r="3" spans="3:7" x14ac:dyDescent="0.35">
      <c r="C3">
        <v>2028</v>
      </c>
      <c r="D3" t="s">
        <v>3</v>
      </c>
      <c r="E3" t="s">
        <v>44</v>
      </c>
      <c r="F3" t="s">
        <v>23</v>
      </c>
      <c r="G3" t="s">
        <v>31</v>
      </c>
    </row>
    <row r="4" spans="3:7" x14ac:dyDescent="0.35">
      <c r="D4" t="s">
        <v>4</v>
      </c>
      <c r="E4" t="s">
        <v>45</v>
      </c>
      <c r="G4" t="s">
        <v>32</v>
      </c>
    </row>
    <row r="5" spans="3:7" x14ac:dyDescent="0.35">
      <c r="D5" t="s">
        <v>5</v>
      </c>
      <c r="E5" t="s">
        <v>46</v>
      </c>
      <c r="G5" t="s">
        <v>33</v>
      </c>
    </row>
    <row r="6" spans="3:7" x14ac:dyDescent="0.35">
      <c r="D6" t="s">
        <v>6</v>
      </c>
      <c r="E6" t="s">
        <v>47</v>
      </c>
      <c r="G6" t="s">
        <v>34</v>
      </c>
    </row>
    <row r="7" spans="3:7" x14ac:dyDescent="0.35">
      <c r="D7" t="s">
        <v>7</v>
      </c>
      <c r="E7" t="s">
        <v>48</v>
      </c>
      <c r="G7" t="s">
        <v>35</v>
      </c>
    </row>
    <row r="8" spans="3:7" x14ac:dyDescent="0.35">
      <c r="D8" t="s">
        <v>8</v>
      </c>
      <c r="E8" t="s">
        <v>49</v>
      </c>
      <c r="G8" t="s">
        <v>36</v>
      </c>
    </row>
    <row r="9" spans="3:7" x14ac:dyDescent="0.35">
      <c r="D9" t="s">
        <v>9</v>
      </c>
      <c r="E9" t="s">
        <v>50</v>
      </c>
      <c r="G9" t="s">
        <v>37</v>
      </c>
    </row>
    <row r="10" spans="3:7" x14ac:dyDescent="0.35">
      <c r="D10" t="s">
        <v>10</v>
      </c>
      <c r="E10" t="s">
        <v>51</v>
      </c>
      <c r="G10" t="s">
        <v>38</v>
      </c>
    </row>
    <row r="11" spans="3:7" x14ac:dyDescent="0.35">
      <c r="D11" t="s">
        <v>11</v>
      </c>
      <c r="G11" t="s">
        <v>39</v>
      </c>
    </row>
    <row r="12" spans="3:7" x14ac:dyDescent="0.35">
      <c r="D12" t="s">
        <v>12</v>
      </c>
      <c r="G12" t="s">
        <v>40</v>
      </c>
    </row>
    <row r="13" spans="3:7" x14ac:dyDescent="0.35">
      <c r="D13" t="s">
        <v>13</v>
      </c>
      <c r="G13" t="s">
        <v>41</v>
      </c>
    </row>
    <row r="14" spans="3:7" x14ac:dyDescent="0.35">
      <c r="G14" t="s">
        <v>42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Personal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Pilar Ardiaca</dc:creator>
  <cp:lastModifiedBy>Oscar Ocampo</cp:lastModifiedBy>
  <dcterms:created xsi:type="dcterms:W3CDTF">2023-08-04T09:11:24Z</dcterms:created>
  <dcterms:modified xsi:type="dcterms:W3CDTF">2026-09-29T12:26:44Z</dcterms:modified>
</cp:coreProperties>
</file>