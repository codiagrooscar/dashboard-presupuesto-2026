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onsolidado Dirección" sheetId="1" state="visible" r:id="rId1"/>
    <sheet xmlns:r="http://schemas.openxmlformats.org/officeDocument/2006/relationships" name="Alfonso" sheetId="2" state="visible" r:id="rId2"/>
    <sheet xmlns:r="http://schemas.openxmlformats.org/officeDocument/2006/relationships" name="García" sheetId="3" state="visible" r:id="rId3"/>
    <sheet xmlns:r="http://schemas.openxmlformats.org/officeDocument/2006/relationships" name="Irene" sheetId="4" state="visible" r:id="rId4"/>
    <sheet xmlns:r="http://schemas.openxmlformats.org/officeDocument/2006/relationships" name="Javier" sheetId="5" state="visible" r:id="rId5"/>
    <sheet xmlns:r="http://schemas.openxmlformats.org/officeDocument/2006/relationships" name="Mehmet" sheetId="6" state="visible" r:id="rId6"/>
    <sheet xmlns:r="http://schemas.openxmlformats.org/officeDocument/2006/relationships" name="Pedro" sheetId="7" state="visible" r:id="rId7"/>
    <sheet xmlns:r="http://schemas.openxmlformats.org/officeDocument/2006/relationships" name="Ricar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#,##0;-#,##0;0"/>
    <numFmt numFmtId="166" formatCode="#,##0 &quot;u&quot;"/>
    <numFmt numFmtId="167" formatCode="+#,##0 &quot;u&quot;;-#,##0 &quot;u&quot;;0 &quot;u&quot;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1E293B"/>
      <sz val="9"/>
    </font>
    <font>
      <name val="Segoe UI"/>
      <b val="1"/>
      <color rgb="00065F46"/>
      <sz val="9"/>
    </font>
    <font>
      <name val="Segoe UI"/>
      <b val="1"/>
      <color rgb="000F172A"/>
      <sz val="10"/>
    </font>
    <font>
      <name val="Segoe UI"/>
      <b val="1"/>
      <color rgb="001E293B"/>
      <sz val="9"/>
    </font>
    <font>
      <name val="Segoe UI"/>
      <b val="1"/>
      <color rgb="0064748B"/>
      <sz val="9"/>
    </font>
    <font>
      <name val="Segoe UI"/>
      <b val="1"/>
      <color rgb="001D4ED8"/>
      <sz val="13"/>
    </font>
    <font>
      <name val="Segoe UI"/>
      <b val="1"/>
      <color rgb="00047857"/>
      <sz val="13"/>
    </font>
    <font>
      <name val="Segoe UI"/>
      <b val="1"/>
      <color rgb="000F172A"/>
      <sz val="13"/>
    </font>
    <font>
      <name val="Segoe UI"/>
      <b val="1"/>
      <color rgb="00B45309"/>
      <sz val="13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1D4ED8"/>
        <bgColor rgb="001D4ED8"/>
      </patternFill>
    </fill>
    <fill>
      <patternFill patternType="solid">
        <fgColor rgb="00047857"/>
        <bgColor rgb="00047857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E2E8F0"/>
        <bgColor rgb="00E2E8F0"/>
      </patternFill>
    </fill>
    <fill>
      <patternFill patternType="solid">
        <fgColor rgb="00EFF6FF"/>
        <bgColor rgb="00EFF6FF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0F172A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 indent="1"/>
    </xf>
    <xf numFmtId="0" fontId="8" fillId="10" borderId="2" applyAlignment="1" pivotButton="0" quotePrefix="0" xfId="0">
      <alignment horizontal="center" vertical="center"/>
    </xf>
    <xf numFmtId="3" fontId="8" fillId="10" borderId="2" applyAlignment="1" pivotButton="0" quotePrefix="0" xfId="0">
      <alignment horizontal="right" vertical="center"/>
    </xf>
    <xf numFmtId="164" fontId="8" fillId="10" borderId="2" applyAlignment="1" pivotButton="0" quotePrefix="0" xfId="0">
      <alignment horizontal="right" vertical="center"/>
    </xf>
    <xf numFmtId="0" fontId="9" fillId="11" borderId="0" applyAlignment="1" pivotButton="0" quotePrefix="0" xfId="0">
      <alignment horizontal="left" vertical="center" wrapText="1" indent="1"/>
    </xf>
    <xf numFmtId="0" fontId="1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166" fontId="11" fillId="11" borderId="1" applyAlignment="1" pivotButton="0" quotePrefix="0" xfId="0">
      <alignment horizontal="center" vertical="center"/>
    </xf>
    <xf numFmtId="166" fontId="12" fillId="14" borderId="1" applyAlignment="1" pivotButton="0" quotePrefix="0" xfId="0">
      <alignment horizontal="center" vertical="center"/>
    </xf>
    <xf numFmtId="164" fontId="13" fillId="15" borderId="1" applyAlignment="1" pivotButton="0" quotePrefix="0" xfId="0">
      <alignment horizontal="center" vertical="center"/>
    </xf>
    <xf numFmtId="167" fontId="14" fillId="1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left" vertical="center"/>
    </xf>
    <xf numFmtId="3" fontId="6" fillId="13" borderId="1" applyAlignment="1" pivotButton="0" quotePrefix="0" xfId="0">
      <alignment horizontal="right" vertical="center"/>
    </xf>
    <xf numFmtId="3" fontId="7" fillId="14" borderId="3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left" vertical="center"/>
    </xf>
    <xf numFmtId="0" fontId="8" fillId="10" borderId="2" applyAlignment="1" pivotButton="0" quotePrefix="0" xfId="0">
      <alignment horizontal="right" vertical="center" indent="1"/>
    </xf>
    <xf numFmtId="0" fontId="0" fillId="0" borderId="2" pivotButton="0" quotePrefix="0" xfId="0"/>
    <xf numFmtId="0" fontId="0" fillId="10" borderId="2" pivotButton="0" quotePrefix="0" xfId="0"/>
    <xf numFmtId="165" fontId="8" fillId="1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7" customWidth="1" min="4" max="4"/>
    <col width="17" customWidth="1" min="5" max="5"/>
    <col width="16" customWidth="1" min="6" max="6"/>
    <col width="14" customWidth="1" min="7" max="7"/>
    <col width="16" customWidth="1" min="8" max="8"/>
    <col width="16" customWidth="1" min="9" max="9"/>
    <col width="16" customWidth="1" min="10" max="10"/>
    <col width="19" customWidth="1" min="11" max="11"/>
    <col width="18" customWidth="1" min="12" max="12"/>
  </cols>
  <sheetData>
    <row r="2" ht="36" customHeight="1">
      <c r="B2" s="1" t="inlineStr">
        <is>
          <t>CODIAGRO · RESUMEN DIRECCIÓN: REVISIÓN DE PREVISIONES Q4 2026</t>
        </is>
      </c>
    </row>
    <row r="3" ht="20" customHeight="1">
      <c r="B3" s="2" t="inlineStr">
        <is>
          <t>Consolidado de Desviaciones de Septiembre y Previsiones hasta Final de Año (Octubre a Diciembre) | Cierre Sep: 01/10/2026</t>
        </is>
      </c>
    </row>
    <row r="5" ht="22" customHeight="1">
      <c r="B5" s="3" t="inlineStr">
        <is>
          <t>INFORMACIÓN COMERCIAL</t>
        </is>
      </c>
      <c r="D5" s="4" t="inlineStr">
        <is>
          <t>CIERRE SEPTIEMBRE 2026 (REAL vs PREVISTO)</t>
        </is>
      </c>
      <c r="H5" s="5" t="inlineStr">
        <is>
          <t>PREVISIÓN CARTERA HASTA FINAL DE AÑO (Q4 2026)</t>
        </is>
      </c>
      <c r="L5" s="6" t="inlineStr">
        <is>
          <t>VALIDACIÓN</t>
        </is>
      </c>
    </row>
    <row r="6" ht="26" customHeight="1">
      <c r="B6" s="7" t="inlineStr">
        <is>
          <t>Comercial</t>
        </is>
      </c>
      <c r="C6" s="7" t="inlineStr">
        <is>
          <t>Clientes Activos</t>
        </is>
      </c>
      <c r="D6" s="8" t="inlineStr">
        <is>
          <t>Sep Previsto (u)</t>
        </is>
      </c>
      <c r="E6" s="8" t="inlineStr">
        <is>
          <t>Sep Real (u)</t>
        </is>
      </c>
      <c r="F6" s="8" t="inlineStr">
        <is>
          <t>Desv. Sep (u)</t>
        </is>
      </c>
      <c r="G6" s="8" t="inlineStr">
        <is>
          <t>% Consec.</t>
        </is>
      </c>
      <c r="H6" s="9" t="inlineStr">
        <is>
          <t>Oct Previsto (u)</t>
        </is>
      </c>
      <c r="I6" s="9" t="inlineStr">
        <is>
          <t>Nov Previsto (u)</t>
        </is>
      </c>
      <c r="J6" s="9" t="inlineStr">
        <is>
          <t>Dic Previsto (u)</t>
        </is>
      </c>
      <c r="K6" s="9" t="inlineStr">
        <is>
          <t>Total Q4 Previsto (u)</t>
        </is>
      </c>
      <c r="L6" s="7" t="inlineStr">
        <is>
          <t>Estado Cierre Sep</t>
        </is>
      </c>
    </row>
    <row r="7" ht="22" customHeight="1">
      <c r="B7" s="10" t="inlineStr">
        <is>
          <t>Alfonso</t>
        </is>
      </c>
      <c r="C7" s="11" t="n">
        <v>29</v>
      </c>
      <c r="D7" s="12">
        <f>'Alfonso'!F44</f>
        <v/>
      </c>
      <c r="E7" s="13">
        <f>'Alfonso'!G44</f>
        <v/>
      </c>
      <c r="F7" s="12">
        <f>'Alfonso'!H44</f>
        <v/>
      </c>
      <c r="G7" s="14">
        <f>'Alfonso'!I44</f>
        <v/>
      </c>
      <c r="H7" s="15">
        <f>'Alfonso'!L44</f>
        <v/>
      </c>
      <c r="I7" s="15">
        <f>'Alfonso'!N44</f>
        <v/>
      </c>
      <c r="J7" s="15">
        <f>'Alfonso'!P44</f>
        <v/>
      </c>
      <c r="K7" s="13">
        <f>'Alfonso'!R44</f>
        <v/>
      </c>
      <c r="L7" s="16">
        <f>IF(G7&gt;=1.0, "Superado (+)", IF(G7&gt;=0.7, "En Rango", "Revisar"))</f>
        <v/>
      </c>
    </row>
    <row r="8" ht="22" customHeight="1">
      <c r="B8" s="10" t="inlineStr">
        <is>
          <t>García</t>
        </is>
      </c>
      <c r="C8" s="11" t="n">
        <v>24</v>
      </c>
      <c r="D8" s="12">
        <f>'García'!F128</f>
        <v/>
      </c>
      <c r="E8" s="13">
        <f>'García'!G128</f>
        <v/>
      </c>
      <c r="F8" s="12">
        <f>'García'!H128</f>
        <v/>
      </c>
      <c r="G8" s="14">
        <f>'García'!I128</f>
        <v/>
      </c>
      <c r="H8" s="15">
        <f>'García'!L128</f>
        <v/>
      </c>
      <c r="I8" s="15">
        <f>'García'!N128</f>
        <v/>
      </c>
      <c r="J8" s="15">
        <f>'García'!P128</f>
        <v/>
      </c>
      <c r="K8" s="13">
        <f>'García'!R128</f>
        <v/>
      </c>
      <c r="L8" s="16">
        <f>IF(G8&gt;=1.0, "Superado (+)", IF(G8&gt;=0.7, "En Rango", "Revisar"))</f>
        <v/>
      </c>
    </row>
    <row r="9" ht="22" customHeight="1">
      <c r="B9" s="10" t="inlineStr">
        <is>
          <t>Irene</t>
        </is>
      </c>
      <c r="C9" s="11" t="n">
        <v>6</v>
      </c>
      <c r="D9" s="12">
        <f>'Irene'!F74</f>
        <v/>
      </c>
      <c r="E9" s="13">
        <f>'Irene'!G74</f>
        <v/>
      </c>
      <c r="F9" s="12">
        <f>'Irene'!H74</f>
        <v/>
      </c>
      <c r="G9" s="14">
        <f>'Irene'!I74</f>
        <v/>
      </c>
      <c r="H9" s="15">
        <f>'Irene'!L74</f>
        <v/>
      </c>
      <c r="I9" s="15">
        <f>'Irene'!N74</f>
        <v/>
      </c>
      <c r="J9" s="15">
        <f>'Irene'!P74</f>
        <v/>
      </c>
      <c r="K9" s="13">
        <f>'Irene'!R74</f>
        <v/>
      </c>
      <c r="L9" s="16">
        <f>IF(G9&gt;=1.0, "Superado (+)", IF(G9&gt;=0.7, "En Rango", "Revisar"))</f>
        <v/>
      </c>
    </row>
    <row r="10" ht="22" customHeight="1">
      <c r="B10" s="10" t="inlineStr">
        <is>
          <t>Javier</t>
        </is>
      </c>
      <c r="C10" s="11" t="n">
        <v>5</v>
      </c>
      <c r="D10" s="12">
        <f>'Javier'!F82</f>
        <v/>
      </c>
      <c r="E10" s="13">
        <f>'Javier'!G82</f>
        <v/>
      </c>
      <c r="F10" s="12">
        <f>'Javier'!H82</f>
        <v/>
      </c>
      <c r="G10" s="14">
        <f>'Javier'!I82</f>
        <v/>
      </c>
      <c r="H10" s="15">
        <f>'Javier'!L82</f>
        <v/>
      </c>
      <c r="I10" s="15">
        <f>'Javier'!N82</f>
        <v/>
      </c>
      <c r="J10" s="15">
        <f>'Javier'!P82</f>
        <v/>
      </c>
      <c r="K10" s="13">
        <f>'Javier'!R82</f>
        <v/>
      </c>
      <c r="L10" s="16">
        <f>IF(G10&gt;=1.0, "Superado (+)", IF(G10&gt;=0.7, "En Rango", "Revisar"))</f>
        <v/>
      </c>
    </row>
    <row r="11" ht="22" customHeight="1">
      <c r="B11" s="10" t="inlineStr">
        <is>
          <t>Mehmet</t>
        </is>
      </c>
      <c r="C11" s="11" t="n">
        <v>5</v>
      </c>
      <c r="D11" s="12">
        <f>'Mehmet'!F48</f>
        <v/>
      </c>
      <c r="E11" s="13">
        <f>'Mehmet'!G48</f>
        <v/>
      </c>
      <c r="F11" s="12">
        <f>'Mehmet'!H48</f>
        <v/>
      </c>
      <c r="G11" s="14">
        <f>'Mehmet'!I48</f>
        <v/>
      </c>
      <c r="H11" s="15">
        <f>'Mehmet'!L48</f>
        <v/>
      </c>
      <c r="I11" s="15">
        <f>'Mehmet'!N48</f>
        <v/>
      </c>
      <c r="J11" s="15">
        <f>'Mehmet'!P48</f>
        <v/>
      </c>
      <c r="K11" s="13">
        <f>'Mehmet'!R48</f>
        <v/>
      </c>
      <c r="L11" s="16">
        <f>IF(G11&gt;=1.0, "Superado (+)", IF(G11&gt;=0.7, "En Rango", "Revisar"))</f>
        <v/>
      </c>
    </row>
    <row r="12" ht="22" customHeight="1">
      <c r="B12" s="10" t="inlineStr">
        <is>
          <t>Pedro</t>
        </is>
      </c>
      <c r="C12" s="11" t="n">
        <v>3</v>
      </c>
      <c r="D12" s="12">
        <f>'Pedro'!F52</f>
        <v/>
      </c>
      <c r="E12" s="13">
        <f>'Pedro'!G52</f>
        <v/>
      </c>
      <c r="F12" s="12">
        <f>'Pedro'!H52</f>
        <v/>
      </c>
      <c r="G12" s="14">
        <f>'Pedro'!I52</f>
        <v/>
      </c>
      <c r="H12" s="15">
        <f>'Pedro'!L52</f>
        <v/>
      </c>
      <c r="I12" s="15">
        <f>'Pedro'!N52</f>
        <v/>
      </c>
      <c r="J12" s="15">
        <f>'Pedro'!P52</f>
        <v/>
      </c>
      <c r="K12" s="13">
        <f>'Pedro'!R52</f>
        <v/>
      </c>
      <c r="L12" s="16">
        <f>IF(G12&gt;=1.0, "Superado (+)", IF(G12&gt;=0.7, "En Rango", "Revisar"))</f>
        <v/>
      </c>
    </row>
    <row r="13" ht="22" customHeight="1">
      <c r="B13" s="10" t="inlineStr">
        <is>
          <t>Ricardo</t>
        </is>
      </c>
      <c r="C13" s="11" t="n">
        <v>11</v>
      </c>
      <c r="D13" s="12">
        <f>'Ricardo'!F111</f>
        <v/>
      </c>
      <c r="E13" s="13">
        <f>'Ricardo'!G111</f>
        <v/>
      </c>
      <c r="F13" s="12">
        <f>'Ricardo'!H111</f>
        <v/>
      </c>
      <c r="G13" s="14">
        <f>'Ricardo'!I111</f>
        <v/>
      </c>
      <c r="H13" s="15">
        <f>'Ricardo'!L111</f>
        <v/>
      </c>
      <c r="I13" s="15">
        <f>'Ricardo'!N111</f>
        <v/>
      </c>
      <c r="J13" s="15">
        <f>'Ricardo'!P111</f>
        <v/>
      </c>
      <c r="K13" s="13">
        <f>'Ricardo'!R111</f>
        <v/>
      </c>
      <c r="L13" s="16">
        <f>IF(G13&gt;=1.0, "Superado (+)", IF(G13&gt;=0.7, "En Rango", "Revisar"))</f>
        <v/>
      </c>
    </row>
    <row r="14" ht="25" customHeight="1">
      <c r="B14" s="17" t="inlineStr">
        <is>
          <t>TOTAL CODIAGRO</t>
        </is>
      </c>
      <c r="C14" s="18">
        <f>SUM(C7:C13)</f>
        <v/>
      </c>
      <c r="D14" s="19">
        <f>SUM(D7:D13)</f>
        <v/>
      </c>
      <c r="E14" s="19">
        <f>SUM(E7:E13)</f>
        <v/>
      </c>
      <c r="F14" s="19">
        <f>SUM(F7:F13)</f>
        <v/>
      </c>
      <c r="G14" s="20">
        <f>E14/D14</f>
        <v/>
      </c>
      <c r="H14" s="19">
        <f>SUM(H7:H13)</f>
        <v/>
      </c>
      <c r="I14" s="19">
        <f>SUM(I7:I13)</f>
        <v/>
      </c>
      <c r="J14" s="19">
        <f>SUM(J7:J13)</f>
        <v/>
      </c>
      <c r="K14" s="19">
        <f>SUM(K7:K13)</f>
        <v/>
      </c>
      <c r="L14" s="18" t="inlineStr">
        <is>
          <t>CONSOLIDADO</t>
        </is>
      </c>
    </row>
  </sheetData>
  <mergeCells count="5">
    <mergeCell ref="B2:M2"/>
    <mergeCell ref="B5:C5"/>
    <mergeCell ref="B3:L3"/>
    <mergeCell ref="D5:G5"/>
    <mergeCell ref="H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4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14" customWidth="1" min="4" max="4"/>
    <col width="32" customWidth="1" min="5" max="5"/>
    <col width="16" customWidth="1" min="6" max="6"/>
    <col width="15" customWidth="1" min="7" max="7"/>
    <col width="14" customWidth="1" min="8" max="8"/>
    <col width="13" customWidth="1" min="9" max="9"/>
    <col width="32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  <col width="17" customWidth="1" min="17" max="17"/>
    <col width="17" customWidth="1" min="18" max="18"/>
    <col width="15" customWidth="1" min="19" max="19"/>
    <col width="34" customWidth="1" min="20" max="20"/>
  </cols>
  <sheetData>
    <row r="2" ht="36" customHeight="1">
      <c r="B2" s="1" t="inlineStr">
        <is>
          <t>CODIAGRO · ACTUALIZACIÓN DE PREVISIONES COMERCIALES Q4 2026 (OCTUBRE - DICIEMBRE)</t>
        </is>
      </c>
    </row>
    <row r="3" ht="20" customHeight="1">
      <c r="B3" s="2" t="inlineStr">
        <is>
          <t>DELEGADO COMERCIAL: ALFONSO | Cierre Septiembre Oficial (01/10/2026) vs Previsiones a Final de Año | Generado: 01/10/2026 14:16</t>
        </is>
      </c>
    </row>
    <row r="4" ht="26" customHeight="1">
      <c r="B4" s="21" t="inlineStr">
        <is>
      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      </is>
      </c>
    </row>
    <row r="5" ht="16" customHeight="1">
      <c r="B5" s="22" t="inlineStr">
        <is>
          <t>PREVISTO SEP 2026 (U)</t>
        </is>
      </c>
      <c r="C5" s="23" t="n"/>
      <c r="D5" s="23" t="n"/>
      <c r="E5" s="24" t="inlineStr">
        <is>
          <t>REAL PEDIDOS SEP 2026 (U)</t>
        </is>
      </c>
      <c r="F5" s="23" t="n"/>
      <c r="G5" s="23" t="n"/>
      <c r="H5" s="25" t="inlineStr">
        <is>
          <t>% CONSECUCIÓN SEP</t>
        </is>
      </c>
      <c r="I5" s="23" t="n"/>
      <c r="J5" s="23" t="n"/>
      <c r="K5" s="22" t="inlineStr">
        <is>
          <t>PREVISIÓN INICIAL Q4 (U)</t>
        </is>
      </c>
      <c r="L5" s="23" t="n"/>
      <c r="M5" s="23" t="n"/>
      <c r="N5" s="24" t="inlineStr">
        <is>
          <t>PREVISIÓN REVISADA Q4 (U)</t>
        </is>
      </c>
      <c r="O5" s="23" t="n"/>
      <c r="P5" s="23" t="n"/>
      <c r="Q5" s="26" t="inlineStr">
        <is>
          <t>VARIACIÓN NETA Q4 (U)</t>
        </is>
      </c>
      <c r="R5" s="23" t="n"/>
      <c r="S5" s="23" t="n"/>
      <c r="T5" s="23" t="n"/>
    </row>
    <row r="6" ht="26" customHeight="1">
      <c r="B6" s="27">
        <f>F44</f>
        <v/>
      </c>
      <c r="C6" s="23" t="n"/>
      <c r="D6" s="23" t="n"/>
      <c r="E6" s="28">
        <f>G44</f>
        <v/>
      </c>
      <c r="F6" s="23" t="n"/>
      <c r="G6" s="23" t="n"/>
      <c r="H6" s="29">
        <f>I44</f>
        <v/>
      </c>
      <c r="I6" s="23" t="n"/>
      <c r="J6" s="23" t="n"/>
      <c r="K6" s="27">
        <f>Q44</f>
        <v/>
      </c>
      <c r="L6" s="23" t="n"/>
      <c r="M6" s="23" t="n"/>
      <c r="N6" s="28">
        <f>R44</f>
        <v/>
      </c>
      <c r="O6" s="23" t="n"/>
      <c r="P6" s="23" t="n"/>
      <c r="Q6" s="30">
        <f>S44</f>
        <v/>
      </c>
      <c r="R6" s="23" t="n"/>
      <c r="S6" s="23" t="n"/>
      <c r="T6" s="23" t="n"/>
    </row>
    <row r="8" ht="22" customHeight="1">
      <c r="B8" s="3" t="inlineStr">
        <is>
          <t>DATOS CLIENTE Y ARTÍCULO</t>
        </is>
      </c>
      <c r="F8" s="4" t="inlineStr">
        <is>
          <t>CIERRE SEPTIEMBRE 2026 (CALIBRACIÓN Y ANÁLISIS)</t>
        </is>
      </c>
      <c r="K8" s="5" t="inlineStr">
        <is>
          <t>REVISIÓN PREVISIONES MES A MES (HASTA FINAL DE AÑO 2026)</t>
        </is>
      </c>
      <c r="Q8" s="6" t="inlineStr">
        <is>
          <t>IMPACTO Q4 Y JUSTIFICACIÓN</t>
        </is>
      </c>
    </row>
    <row r="9" ht="28" customHeight="1">
      <c r="B9" s="7" t="inlineStr">
        <is>
          <t>País</t>
        </is>
      </c>
      <c r="C9" s="7" t="inlineStr">
        <is>
          <t>Cliente</t>
        </is>
      </c>
      <c r="D9" s="7" t="inlineStr">
        <is>
          <t>Cód. SKU</t>
        </is>
      </c>
      <c r="E9" s="7" t="inlineStr">
        <is>
          <t>Descripción Artículo</t>
        </is>
      </c>
      <c r="F9" s="8" t="inlineStr">
        <is>
          <t>Sep Previsto (u)</t>
        </is>
      </c>
      <c r="G9" s="8" t="inlineStr">
        <is>
          <t>Sep Real (u)</t>
        </is>
      </c>
      <c r="H9" s="8" t="inlineStr">
        <is>
          <t>Desv. Sep (u)</t>
        </is>
      </c>
      <c r="I9" s="8" t="inlineStr">
        <is>
          <t>% Consec.</t>
        </is>
      </c>
      <c r="J9" s="8" t="inlineStr">
        <is>
          <t>Comentario Sep (¿Adelanto/Atraso/Extra?)</t>
        </is>
      </c>
      <c r="K9" s="9" t="inlineStr">
        <is>
          <t>Oct Anterior (u)</t>
        </is>
      </c>
      <c r="L9" s="9" t="inlineStr">
        <is>
          <t>Oct Revisado (u)</t>
        </is>
      </c>
      <c r="M9" s="9" t="inlineStr">
        <is>
          <t>Nov Anterior (u)</t>
        </is>
      </c>
      <c r="N9" s="9" t="inlineStr">
        <is>
          <t>Nov Revisado (u)</t>
        </is>
      </c>
      <c r="O9" s="9" t="inlineStr">
        <is>
          <t>Dic Anterior (u)</t>
        </is>
      </c>
      <c r="P9" s="9" t="inlineStr">
        <is>
          <t>Dic Revisado (u)</t>
        </is>
      </c>
      <c r="Q9" s="7" t="inlineStr">
        <is>
          <t>Total Q4 Ant (u)</t>
        </is>
      </c>
      <c r="R9" s="7" t="inlineStr">
        <is>
          <t>Total Q4 Rev (u)</t>
        </is>
      </c>
      <c r="S9" s="7" t="inlineStr">
        <is>
          <t>Dif Q4 (u)</t>
        </is>
      </c>
      <c r="T9" s="7" t="inlineStr">
        <is>
          <t>Comentarios / Justificación Q4</t>
        </is>
      </c>
    </row>
    <row r="10" ht="20" customHeight="1">
      <c r="B10" s="11" t="inlineStr">
        <is>
          <t>ESPAÑA</t>
        </is>
      </c>
      <c r="C10" s="31" t="inlineStr">
        <is>
          <t>ACTIV. PRODUC. Y COMERC. LA VEGUILLA, SL</t>
        </is>
      </c>
      <c r="D10" s="11" t="inlineStr">
        <is>
          <t>BIO0020</t>
        </is>
      </c>
      <c r="E10" s="31" t="inlineStr">
        <is>
          <t>BIORAD-20, 20 L</t>
        </is>
      </c>
      <c r="F10" s="12" t="n">
        <v>960</v>
      </c>
      <c r="G10" s="13" t="n">
        <v>1280</v>
      </c>
      <c r="H10" s="12">
        <f>ABS(G10-F10)</f>
        <v/>
      </c>
      <c r="I10" s="32">
        <f>IF(F10&gt;0, G10/F10, IF(G10&gt;0, 1.0, 0.0))</f>
        <v/>
      </c>
      <c r="J10" s="33" t="inlineStr"/>
      <c r="K10" s="34" t="n">
        <v>960</v>
      </c>
      <c r="L10" s="35" t="n">
        <v>960</v>
      </c>
      <c r="M10" s="34" t="n">
        <v>0</v>
      </c>
      <c r="N10" s="35" t="n">
        <v>0</v>
      </c>
      <c r="O10" s="34" t="n">
        <v>960</v>
      </c>
      <c r="P10" s="35" t="n">
        <v>960</v>
      </c>
      <c r="Q10" s="12">
        <f>K10+M10+O10</f>
        <v/>
      </c>
      <c r="R10" s="13">
        <f>L10+N10+P10</f>
        <v/>
      </c>
      <c r="S10" s="36">
        <f>R10-Q10</f>
        <v/>
      </c>
      <c r="T10" s="37" t="inlineStr"/>
    </row>
    <row r="11" ht="20" customHeight="1">
      <c r="B11" s="11" t="inlineStr">
        <is>
          <t>ESPAÑA</t>
        </is>
      </c>
      <c r="C11" s="31" t="inlineStr">
        <is>
          <t>ACTIV. PRODUC. Y COMERC. LA VEGUILLA, SL</t>
        </is>
      </c>
      <c r="D11" s="11" t="inlineStr">
        <is>
          <t>BROTA0020</t>
        </is>
      </c>
      <c r="E11" s="31" t="inlineStr">
        <is>
          <t>BROTAMEC, 20 L</t>
        </is>
      </c>
      <c r="F11" s="12" t="n">
        <v>960</v>
      </c>
      <c r="G11" s="13" t="n">
        <v>1920</v>
      </c>
      <c r="H11" s="12">
        <f>ABS(G11-F11)</f>
        <v/>
      </c>
      <c r="I11" s="32">
        <f>IF(F11&gt;0, G11/F11, IF(G11&gt;0, 1.0, 0.0))</f>
        <v/>
      </c>
      <c r="J11" s="33" t="inlineStr"/>
      <c r="K11" s="34" t="n">
        <v>920</v>
      </c>
      <c r="L11" s="35" t="n">
        <v>920</v>
      </c>
      <c r="M11" s="34" t="n">
        <v>0</v>
      </c>
      <c r="N11" s="35" t="n">
        <v>0</v>
      </c>
      <c r="O11" s="34" t="n">
        <v>960</v>
      </c>
      <c r="P11" s="35" t="n">
        <v>960</v>
      </c>
      <c r="Q11" s="12">
        <f>K11+M11+O11</f>
        <v/>
      </c>
      <c r="R11" s="13">
        <f>L11+N11+P11</f>
        <v/>
      </c>
      <c r="S11" s="36">
        <f>R11-Q11</f>
        <v/>
      </c>
      <c r="T11" s="37" t="inlineStr"/>
    </row>
    <row r="12" ht="20" customHeight="1">
      <c r="B12" s="11" t="inlineStr">
        <is>
          <t>ESPAÑA</t>
        </is>
      </c>
      <c r="C12" s="31" t="inlineStr">
        <is>
          <t>AGRICOLA DEL JUCAR DE CUENCA, S.L.</t>
        </is>
      </c>
      <c r="D12" s="11" t="inlineStr">
        <is>
          <t>C-CU0020</t>
        </is>
      </c>
      <c r="E12" s="31" t="inlineStr">
        <is>
          <t>CODICOBRE, 20 L</t>
        </is>
      </c>
      <c r="F12" s="12" t="n">
        <v>0</v>
      </c>
      <c r="G12" s="13" t="n">
        <v>100</v>
      </c>
      <c r="H12" s="12">
        <f>ABS(G12-F12)</f>
        <v/>
      </c>
      <c r="I12" s="32">
        <f>IF(F12&gt;0, G12/F12, IF(G12&gt;0, 1.0, 0.0))</f>
        <v/>
      </c>
      <c r="J12" s="33" t="inlineStr">
        <is>
          <t>Pedido extra no previsto</t>
        </is>
      </c>
      <c r="K12" s="34" t="n">
        <v>0</v>
      </c>
      <c r="L12" s="35" t="n">
        <v>0</v>
      </c>
      <c r="M12" s="34" t="n">
        <v>0</v>
      </c>
      <c r="N12" s="35" t="n">
        <v>0</v>
      </c>
      <c r="O12" s="34" t="n">
        <v>0</v>
      </c>
      <c r="P12" s="35" t="n">
        <v>0</v>
      </c>
      <c r="Q12" s="12">
        <f>K12+M12+O12</f>
        <v/>
      </c>
      <c r="R12" s="13">
        <f>L12+N12+P12</f>
        <v/>
      </c>
      <c r="S12" s="36">
        <f>R12-Q12</f>
        <v/>
      </c>
      <c r="T12" s="37" t="inlineStr"/>
    </row>
    <row r="13" ht="20" customHeight="1">
      <c r="B13" s="11" t="inlineStr">
        <is>
          <t>ESPAÑA</t>
        </is>
      </c>
      <c r="C13" s="31" t="inlineStr">
        <is>
          <t>AGRICOLA DEL JUCAR DE CUENCA, S.L.</t>
        </is>
      </c>
      <c r="D13" s="11" t="inlineStr">
        <is>
          <t>C-L0020</t>
        </is>
      </c>
      <c r="E13" s="31" t="inlineStr">
        <is>
          <t>CODIBOR-L, 20 L</t>
        </is>
      </c>
      <c r="F13" s="12" t="n">
        <v>0</v>
      </c>
      <c r="G13" s="13" t="n">
        <v>200</v>
      </c>
      <c r="H13" s="12">
        <f>ABS(G13-F13)</f>
        <v/>
      </c>
      <c r="I13" s="32">
        <f>IF(F13&gt;0, G13/F13, IF(G13&gt;0, 1.0, 0.0))</f>
        <v/>
      </c>
      <c r="J13" s="33" t="inlineStr">
        <is>
          <t>Pedido extra no previsto</t>
        </is>
      </c>
      <c r="K13" s="34" t="n">
        <v>0</v>
      </c>
      <c r="L13" s="35" t="n">
        <v>0</v>
      </c>
      <c r="M13" s="34" t="n">
        <v>0</v>
      </c>
      <c r="N13" s="35" t="n">
        <v>0</v>
      </c>
      <c r="O13" s="34" t="n">
        <v>0</v>
      </c>
      <c r="P13" s="35" t="n">
        <v>0</v>
      </c>
      <c r="Q13" s="12">
        <f>K13+M13+O13</f>
        <v/>
      </c>
      <c r="R13" s="13">
        <f>L13+N13+P13</f>
        <v/>
      </c>
      <c r="S13" s="36">
        <f>R13-Q13</f>
        <v/>
      </c>
      <c r="T13" s="37" t="inlineStr"/>
    </row>
    <row r="14" ht="20" customHeight="1">
      <c r="B14" s="11" t="inlineStr">
        <is>
          <t>ESPAÑA</t>
        </is>
      </c>
      <c r="C14" s="31" t="inlineStr">
        <is>
          <t>AGROTÉCNICA DEL NORTE, S.L</t>
        </is>
      </c>
      <c r="D14" s="11" t="inlineStr">
        <is>
          <t>A-50(2)0005</t>
        </is>
      </c>
      <c r="E14" s="31" t="inlineStr">
        <is>
          <t>CODIORGAN-A50, 5 KG</t>
        </is>
      </c>
      <c r="F14" s="12" t="n">
        <v>0</v>
      </c>
      <c r="G14" s="13" t="n">
        <v>500</v>
      </c>
      <c r="H14" s="12">
        <f>ABS(G14-F14)</f>
        <v/>
      </c>
      <c r="I14" s="32">
        <f>IF(F14&gt;0, G14/F14, IF(G14&gt;0, 1.0, 0.0))</f>
        <v/>
      </c>
      <c r="J14" s="33" t="inlineStr">
        <is>
          <t>Pedido extra no previsto</t>
        </is>
      </c>
      <c r="K14" s="34" t="n">
        <v>0</v>
      </c>
      <c r="L14" s="35" t="n">
        <v>0</v>
      </c>
      <c r="M14" s="34" t="n">
        <v>0</v>
      </c>
      <c r="N14" s="35" t="n">
        <v>0</v>
      </c>
      <c r="O14" s="34" t="n">
        <v>0</v>
      </c>
      <c r="P14" s="35" t="n">
        <v>0</v>
      </c>
      <c r="Q14" s="12">
        <f>K14+M14+O14</f>
        <v/>
      </c>
      <c r="R14" s="13">
        <f>L14+N14+P14</f>
        <v/>
      </c>
      <c r="S14" s="36">
        <f>R14-Q14</f>
        <v/>
      </c>
      <c r="T14" s="37" t="inlineStr"/>
    </row>
    <row r="15" ht="20" customHeight="1">
      <c r="B15" s="11" t="inlineStr">
        <is>
          <t>ESPAÑA</t>
        </is>
      </c>
      <c r="C15" s="31" t="inlineStr">
        <is>
          <t>AGROTÉCNICA DEL NORTE, S.L</t>
        </is>
      </c>
      <c r="D15" s="11" t="inlineStr">
        <is>
          <t>AGRMG0005</t>
        </is>
      </c>
      <c r="E15" s="31" t="inlineStr">
        <is>
          <t>AGROXIGREEN-MG, 5 L</t>
        </is>
      </c>
      <c r="F15" s="12" t="n">
        <v>0</v>
      </c>
      <c r="G15" s="13" t="n">
        <v>300</v>
      </c>
      <c r="H15" s="12">
        <f>ABS(G15-F15)</f>
        <v/>
      </c>
      <c r="I15" s="32">
        <f>IF(F15&gt;0, G15/F15, IF(G15&gt;0, 1.0, 0.0))</f>
        <v/>
      </c>
      <c r="J15" s="33" t="inlineStr">
        <is>
          <t>Pedido extra no previsto</t>
        </is>
      </c>
      <c r="K15" s="34" t="n">
        <v>0</v>
      </c>
      <c r="L15" s="35" t="n">
        <v>0</v>
      </c>
      <c r="M15" s="34" t="n">
        <v>0</v>
      </c>
      <c r="N15" s="35" t="n">
        <v>0</v>
      </c>
      <c r="O15" s="34" t="n">
        <v>0</v>
      </c>
      <c r="P15" s="35" t="n">
        <v>0</v>
      </c>
      <c r="Q15" s="12">
        <f>K15+M15+O15</f>
        <v/>
      </c>
      <c r="R15" s="13">
        <f>L15+N15+P15</f>
        <v/>
      </c>
      <c r="S15" s="36">
        <f>R15-Q15</f>
        <v/>
      </c>
      <c r="T15" s="37" t="inlineStr"/>
    </row>
    <row r="16" ht="20" customHeight="1">
      <c r="B16" s="11" t="inlineStr">
        <is>
          <t>ESPAÑA</t>
        </is>
      </c>
      <c r="C16" s="31" t="inlineStr">
        <is>
          <t>AGROTÉCNICA DEL NORTE, S.L</t>
        </is>
      </c>
      <c r="D16" s="11" t="inlineStr">
        <is>
          <t>PT0005</t>
        </is>
      </c>
      <c r="E16" s="31" t="inlineStr">
        <is>
          <t>AGROPOTASION, 5 L</t>
        </is>
      </c>
      <c r="F16" s="12" t="n">
        <v>0</v>
      </c>
      <c r="G16" s="13" t="n">
        <v>400</v>
      </c>
      <c r="H16" s="12">
        <f>ABS(G16-F16)</f>
        <v/>
      </c>
      <c r="I16" s="32">
        <f>IF(F16&gt;0, G16/F16, IF(G16&gt;0, 1.0, 0.0))</f>
        <v/>
      </c>
      <c r="J16" s="33" t="inlineStr">
        <is>
          <t>Pedido extra no previsto</t>
        </is>
      </c>
      <c r="K16" s="34" t="n">
        <v>0</v>
      </c>
      <c r="L16" s="35" t="n">
        <v>0</v>
      </c>
      <c r="M16" s="34" t="n">
        <v>0</v>
      </c>
      <c r="N16" s="35" t="n">
        <v>0</v>
      </c>
      <c r="O16" s="34" t="n">
        <v>0</v>
      </c>
      <c r="P16" s="35" t="n">
        <v>0</v>
      </c>
      <c r="Q16" s="12">
        <f>K16+M16+O16</f>
        <v/>
      </c>
      <c r="R16" s="13">
        <f>L16+N16+P16</f>
        <v/>
      </c>
      <c r="S16" s="36">
        <f>R16-Q16</f>
        <v/>
      </c>
      <c r="T16" s="37" t="inlineStr"/>
    </row>
    <row r="17" ht="20" customHeight="1">
      <c r="B17" s="11" t="inlineStr">
        <is>
          <t>ESPAÑA</t>
        </is>
      </c>
      <c r="C17" s="31" t="inlineStr">
        <is>
          <t>AGROVEYCA,S.L</t>
        </is>
      </c>
      <c r="D17" s="11" t="inlineStr">
        <is>
          <t>A-50(2)0005</t>
        </is>
      </c>
      <c r="E17" s="31" t="inlineStr">
        <is>
          <t>CODIORGAN-A50, 5 KG</t>
        </is>
      </c>
      <c r="F17" s="12" t="n">
        <v>0</v>
      </c>
      <c r="G17" s="13" t="n">
        <v>400</v>
      </c>
      <c r="H17" s="12">
        <f>ABS(G17-F17)</f>
        <v/>
      </c>
      <c r="I17" s="32">
        <f>IF(F17&gt;0, G17/F17, IF(G17&gt;0, 1.0, 0.0))</f>
        <v/>
      </c>
      <c r="J17" s="33" t="inlineStr">
        <is>
          <t>Pedido extra no previsto</t>
        </is>
      </c>
      <c r="K17" s="34" t="n">
        <v>0</v>
      </c>
      <c r="L17" s="35" t="n">
        <v>0</v>
      </c>
      <c r="M17" s="34" t="n">
        <v>0</v>
      </c>
      <c r="N17" s="35" t="n">
        <v>0</v>
      </c>
      <c r="O17" s="34" t="n">
        <v>0</v>
      </c>
      <c r="P17" s="35" t="n">
        <v>0</v>
      </c>
      <c r="Q17" s="12">
        <f>K17+M17+O17</f>
        <v/>
      </c>
      <c r="R17" s="13">
        <f>L17+N17+P17</f>
        <v/>
      </c>
      <c r="S17" s="36">
        <f>R17-Q17</f>
        <v/>
      </c>
      <c r="T17" s="37" t="inlineStr"/>
    </row>
    <row r="18" ht="20" customHeight="1">
      <c r="B18" s="11" t="inlineStr">
        <is>
          <t>ESPAÑA</t>
        </is>
      </c>
      <c r="C18" s="31" t="inlineStr">
        <is>
          <t>AGROVEYCA,S.L</t>
        </is>
      </c>
      <c r="D18" s="11" t="inlineStr">
        <is>
          <t>BIO0020</t>
        </is>
      </c>
      <c r="E18" s="31" t="inlineStr">
        <is>
          <t>BIORAD-20, 20 L</t>
        </is>
      </c>
      <c r="F18" s="12" t="n">
        <v>400</v>
      </c>
      <c r="G18" s="13" t="n">
        <v>320</v>
      </c>
      <c r="H18" s="12">
        <f>ABS(G18-F18)</f>
        <v/>
      </c>
      <c r="I18" s="32">
        <f>IF(F18&gt;0, G18/F18, IF(G18&gt;0, 1.0, 0.0))</f>
        <v/>
      </c>
      <c r="J18" s="33" t="inlineStr"/>
      <c r="K18" s="34" t="n">
        <v>300</v>
      </c>
      <c r="L18" s="35" t="n">
        <v>300</v>
      </c>
      <c r="M18" s="34" t="n">
        <v>400</v>
      </c>
      <c r="N18" s="35" t="n">
        <v>400</v>
      </c>
      <c r="O18" s="34" t="n">
        <v>0</v>
      </c>
      <c r="P18" s="35" t="n">
        <v>0</v>
      </c>
      <c r="Q18" s="12">
        <f>K18+M18+O18</f>
        <v/>
      </c>
      <c r="R18" s="13">
        <f>L18+N18+P18</f>
        <v/>
      </c>
      <c r="S18" s="36">
        <f>R18-Q18</f>
        <v/>
      </c>
      <c r="T18" s="37" t="inlineStr"/>
    </row>
    <row r="19" ht="20" customHeight="1">
      <c r="B19" s="11" t="inlineStr">
        <is>
          <t>ESPAÑA</t>
        </is>
      </c>
      <c r="C19" s="31" t="inlineStr">
        <is>
          <t>AGROVEYCA,S.L</t>
        </is>
      </c>
      <c r="D19" s="11" t="inlineStr">
        <is>
          <t>BROTA0020</t>
        </is>
      </c>
      <c r="E19" s="31" t="inlineStr">
        <is>
          <t>BROTAMEC, 20 L</t>
        </is>
      </c>
      <c r="F19" s="12" t="n">
        <v>0</v>
      </c>
      <c r="G19" s="13" t="n">
        <v>0</v>
      </c>
      <c r="H19" s="12">
        <f>ABS(G19-F19)</f>
        <v/>
      </c>
      <c r="I19" s="32">
        <f>IF(F19&gt;0, G19/F19, IF(G19&gt;0, 1.0, 0.0))</f>
        <v/>
      </c>
      <c r="J19" s="33" t="inlineStr"/>
      <c r="K19" s="34" t="n">
        <v>640</v>
      </c>
      <c r="L19" s="35" t="n">
        <v>640</v>
      </c>
      <c r="M19" s="34" t="n">
        <v>0</v>
      </c>
      <c r="N19" s="35" t="n">
        <v>0</v>
      </c>
      <c r="O19" s="34" t="n">
        <v>0</v>
      </c>
      <c r="P19" s="35" t="n">
        <v>0</v>
      </c>
      <c r="Q19" s="12">
        <f>K19+M19+O19</f>
        <v/>
      </c>
      <c r="R19" s="13">
        <f>L19+N19+P19</f>
        <v/>
      </c>
      <c r="S19" s="36">
        <f>R19-Q19</f>
        <v/>
      </c>
      <c r="T19" s="37" t="inlineStr"/>
    </row>
    <row r="20" ht="20" customHeight="1">
      <c r="B20" s="11" t="inlineStr">
        <is>
          <t>ESPAÑA</t>
        </is>
      </c>
      <c r="C20" s="31" t="inlineStr">
        <is>
          <t>ASOC. HORTICULTORES DE VILLA DEL PRADO</t>
        </is>
      </c>
      <c r="D20" s="11" t="inlineStr">
        <is>
          <t>A-50(2)0005</t>
        </is>
      </c>
      <c r="E20" s="31" t="inlineStr">
        <is>
          <t>CODIORGAN A-50, 5 KG</t>
        </is>
      </c>
      <c r="F20" s="12" t="n">
        <v>0</v>
      </c>
      <c r="G20" s="13" t="n">
        <v>50</v>
      </c>
      <c r="H20" s="12">
        <f>ABS(G20-F20)</f>
        <v/>
      </c>
      <c r="I20" s="32">
        <f>IF(F20&gt;0, G20/F20, IF(G20&gt;0, 1.0, 0.0))</f>
        <v/>
      </c>
      <c r="J20" s="33" t="inlineStr">
        <is>
          <t>Pedido extra no previsto</t>
        </is>
      </c>
      <c r="K20" s="34" t="n">
        <v>0</v>
      </c>
      <c r="L20" s="35" t="n">
        <v>0</v>
      </c>
      <c r="M20" s="34" t="n">
        <v>0</v>
      </c>
      <c r="N20" s="35" t="n">
        <v>0</v>
      </c>
      <c r="O20" s="34" t="n">
        <v>0</v>
      </c>
      <c r="P20" s="35" t="n">
        <v>0</v>
      </c>
      <c r="Q20" s="12">
        <f>K20+M20+O20</f>
        <v/>
      </c>
      <c r="R20" s="13">
        <f>L20+N20+P20</f>
        <v/>
      </c>
      <c r="S20" s="36">
        <f>R20-Q20</f>
        <v/>
      </c>
      <c r="T20" s="37" t="inlineStr"/>
    </row>
    <row r="21" ht="20" customHeight="1">
      <c r="B21" s="11" t="inlineStr">
        <is>
          <t>ESPAÑA</t>
        </is>
      </c>
      <c r="C21" s="31" t="inlineStr">
        <is>
          <t>ASOC. HORTICULTORES DE VILLA DEL PRADO</t>
        </is>
      </c>
      <c r="D21" s="11" t="inlineStr">
        <is>
          <t>AVAN0005</t>
        </is>
      </c>
      <c r="E21" s="31" t="inlineStr">
        <is>
          <t>FLORAMEC AVANCE, 5 L</t>
        </is>
      </c>
      <c r="F21" s="12" t="n">
        <v>0</v>
      </c>
      <c r="G21" s="13" t="n">
        <v>100</v>
      </c>
      <c r="H21" s="12">
        <f>ABS(G21-F21)</f>
        <v/>
      </c>
      <c r="I21" s="32">
        <f>IF(F21&gt;0, G21/F21, IF(G21&gt;0, 1.0, 0.0))</f>
        <v/>
      </c>
      <c r="J21" s="33" t="inlineStr">
        <is>
          <t>Pedido extra no previsto</t>
        </is>
      </c>
      <c r="K21" s="34" t="n">
        <v>0</v>
      </c>
      <c r="L21" s="35" t="n">
        <v>0</v>
      </c>
      <c r="M21" s="34" t="n">
        <v>0</v>
      </c>
      <c r="N21" s="35" t="n">
        <v>0</v>
      </c>
      <c r="O21" s="34" t="n">
        <v>0</v>
      </c>
      <c r="P21" s="35" t="n">
        <v>0</v>
      </c>
      <c r="Q21" s="12">
        <f>K21+M21+O21</f>
        <v/>
      </c>
      <c r="R21" s="13">
        <f>L21+N21+P21</f>
        <v/>
      </c>
      <c r="S21" s="36">
        <f>R21-Q21</f>
        <v/>
      </c>
      <c r="T21" s="37" t="inlineStr"/>
    </row>
    <row r="22" ht="20" customHeight="1">
      <c r="B22" s="11" t="inlineStr">
        <is>
          <t>ESPAÑA</t>
        </is>
      </c>
      <c r="C22" s="31" t="inlineStr">
        <is>
          <t>ASOC. HORTICULTORES DE VILLA DEL PRADO</t>
        </is>
      </c>
      <c r="D22" s="11" t="inlineStr">
        <is>
          <t>C-CU0005</t>
        </is>
      </c>
      <c r="E22" s="31" t="inlineStr">
        <is>
          <t>CODICOBRE, 5 L</t>
        </is>
      </c>
      <c r="F22" s="12" t="n">
        <v>0</v>
      </c>
      <c r="G22" s="13" t="n">
        <v>20</v>
      </c>
      <c r="H22" s="12">
        <f>ABS(G22-F22)</f>
        <v/>
      </c>
      <c r="I22" s="32">
        <f>IF(F22&gt;0, G22/F22, IF(G22&gt;0, 1.0, 0.0))</f>
        <v/>
      </c>
      <c r="J22" s="33" t="inlineStr">
        <is>
          <t>Pedido extra no previsto</t>
        </is>
      </c>
      <c r="K22" s="34" t="n">
        <v>0</v>
      </c>
      <c r="L22" s="35" t="n">
        <v>0</v>
      </c>
      <c r="M22" s="34" t="n">
        <v>0</v>
      </c>
      <c r="N22" s="35" t="n">
        <v>0</v>
      </c>
      <c r="O22" s="34" t="n">
        <v>0</v>
      </c>
      <c r="P22" s="35" t="n">
        <v>0</v>
      </c>
      <c r="Q22" s="12">
        <f>K22+M22+O22</f>
        <v/>
      </c>
      <c r="R22" s="13">
        <f>L22+N22+P22</f>
        <v/>
      </c>
      <c r="S22" s="36">
        <f>R22-Q22</f>
        <v/>
      </c>
      <c r="T22" s="37" t="inlineStr"/>
    </row>
    <row r="23" ht="20" customHeight="1">
      <c r="B23" s="11" t="inlineStr">
        <is>
          <t>ESPAÑA</t>
        </is>
      </c>
      <c r="C23" s="31" t="inlineStr">
        <is>
          <t>ASOC. HORTICULTORES DE VILLA DEL PRADO</t>
        </is>
      </c>
      <c r="D23" s="11" t="inlineStr">
        <is>
          <t>S0020</t>
        </is>
      </c>
      <c r="E23" s="31" t="inlineStr">
        <is>
          <t>SALWAX STAR, 20 L</t>
        </is>
      </c>
      <c r="F23" s="12" t="n">
        <v>0</v>
      </c>
      <c r="G23" s="13" t="n">
        <v>40</v>
      </c>
      <c r="H23" s="12">
        <f>ABS(G23-F23)</f>
        <v/>
      </c>
      <c r="I23" s="32">
        <f>IF(F23&gt;0, G23/F23, IF(G23&gt;0, 1.0, 0.0))</f>
        <v/>
      </c>
      <c r="J23" s="33" t="inlineStr">
        <is>
          <t>Pedido extra no previsto</t>
        </is>
      </c>
      <c r="K23" s="34" t="n">
        <v>0</v>
      </c>
      <c r="L23" s="35" t="n">
        <v>0</v>
      </c>
      <c r="M23" s="34" t="n">
        <v>0</v>
      </c>
      <c r="N23" s="35" t="n">
        <v>0</v>
      </c>
      <c r="O23" s="34" t="n">
        <v>0</v>
      </c>
      <c r="P23" s="35" t="n">
        <v>0</v>
      </c>
      <c r="Q23" s="12">
        <f>K23+M23+O23</f>
        <v/>
      </c>
      <c r="R23" s="13">
        <f>L23+N23+P23</f>
        <v/>
      </c>
      <c r="S23" s="36">
        <f>R23-Q23</f>
        <v/>
      </c>
      <c r="T23" s="37" t="inlineStr"/>
    </row>
    <row r="24" ht="20" customHeight="1">
      <c r="B24" s="11" t="inlineStr">
        <is>
          <t>ESPAÑA</t>
        </is>
      </c>
      <c r="C24" s="31" t="inlineStr">
        <is>
          <t>BARDENAS COMERCIAL, S.L.</t>
        </is>
      </c>
      <c r="D24" s="11" t="inlineStr">
        <is>
          <t>AGRMG0005</t>
        </is>
      </c>
      <c r="E24" s="31" t="inlineStr">
        <is>
          <t>AGROXIGREEN-MG, 5 L</t>
        </is>
      </c>
      <c r="F24" s="12" t="n">
        <v>0</v>
      </c>
      <c r="G24" s="13" t="n">
        <v>300</v>
      </c>
      <c r="H24" s="12">
        <f>ABS(G24-F24)</f>
        <v/>
      </c>
      <c r="I24" s="32">
        <f>IF(F24&gt;0, G24/F24, IF(G24&gt;0, 1.0, 0.0))</f>
        <v/>
      </c>
      <c r="J24" s="33" t="inlineStr">
        <is>
          <t>Pedido extra no previsto</t>
        </is>
      </c>
      <c r="K24" s="34" t="n">
        <v>0</v>
      </c>
      <c r="L24" s="35" t="n">
        <v>0</v>
      </c>
      <c r="M24" s="34" t="n">
        <v>0</v>
      </c>
      <c r="N24" s="35" t="n">
        <v>0</v>
      </c>
      <c r="O24" s="34" t="n">
        <v>0</v>
      </c>
      <c r="P24" s="35" t="n">
        <v>0</v>
      </c>
      <c r="Q24" s="12">
        <f>K24+M24+O24</f>
        <v/>
      </c>
      <c r="R24" s="13">
        <f>L24+N24+P24</f>
        <v/>
      </c>
      <c r="S24" s="36">
        <f>R24-Q24</f>
        <v/>
      </c>
      <c r="T24" s="37" t="inlineStr"/>
    </row>
    <row r="25" ht="20" customHeight="1">
      <c r="B25" s="11" t="inlineStr">
        <is>
          <t>ESPAÑA</t>
        </is>
      </c>
      <c r="C25" s="31" t="inlineStr">
        <is>
          <t>BARDENAS COMERCIAL, S.L.</t>
        </is>
      </c>
      <c r="D25" s="11" t="inlineStr">
        <is>
          <t>PT0005</t>
        </is>
      </c>
      <c r="E25" s="31" t="inlineStr">
        <is>
          <t>AGROPOTASION, 5 L</t>
        </is>
      </c>
      <c r="F25" s="12" t="n">
        <v>0</v>
      </c>
      <c r="G25" s="13" t="n">
        <v>300</v>
      </c>
      <c r="H25" s="12">
        <f>ABS(G25-F25)</f>
        <v/>
      </c>
      <c r="I25" s="32">
        <f>IF(F25&gt;0, G25/F25, IF(G25&gt;0, 1.0, 0.0))</f>
        <v/>
      </c>
      <c r="J25" s="33" t="inlineStr">
        <is>
          <t>Pedido extra no previsto</t>
        </is>
      </c>
      <c r="K25" s="34" t="n">
        <v>0</v>
      </c>
      <c r="L25" s="35" t="n">
        <v>0</v>
      </c>
      <c r="M25" s="34" t="n">
        <v>0</v>
      </c>
      <c r="N25" s="35" t="n">
        <v>0</v>
      </c>
      <c r="O25" s="34" t="n">
        <v>0</v>
      </c>
      <c r="P25" s="35" t="n">
        <v>0</v>
      </c>
      <c r="Q25" s="12">
        <f>K25+M25+O25</f>
        <v/>
      </c>
      <c r="R25" s="13">
        <f>L25+N25+P25</f>
        <v/>
      </c>
      <c r="S25" s="36">
        <f>R25-Q25</f>
        <v/>
      </c>
      <c r="T25" s="37" t="inlineStr"/>
    </row>
    <row r="26" ht="20" customHeight="1">
      <c r="B26" s="11" t="inlineStr">
        <is>
          <t>ESPAÑA</t>
        </is>
      </c>
      <c r="C26" s="31" t="inlineStr">
        <is>
          <t>COMERCIAL NORTE AGROCAMPO, S.L.</t>
        </is>
      </c>
      <c r="D26" s="11" t="inlineStr">
        <is>
          <t>A-50(2)0020</t>
        </is>
      </c>
      <c r="E26" s="31" t="inlineStr">
        <is>
          <t>CODIORGAN-A50, 20 KG</t>
        </is>
      </c>
      <c r="F26" s="12" t="n">
        <v>0</v>
      </c>
      <c r="G26" s="13" t="n">
        <v>40</v>
      </c>
      <c r="H26" s="12">
        <f>ABS(G26-F26)</f>
        <v/>
      </c>
      <c r="I26" s="32">
        <f>IF(F26&gt;0, G26/F26, IF(G26&gt;0, 1.0, 0.0))</f>
        <v/>
      </c>
      <c r="J26" s="33" t="inlineStr">
        <is>
          <t>Pedido extra no previsto</t>
        </is>
      </c>
      <c r="K26" s="34" t="n">
        <v>0</v>
      </c>
      <c r="L26" s="35" t="n">
        <v>0</v>
      </c>
      <c r="M26" s="34" t="n">
        <v>0</v>
      </c>
      <c r="N26" s="35" t="n">
        <v>0</v>
      </c>
      <c r="O26" s="34" t="n">
        <v>0</v>
      </c>
      <c r="P26" s="35" t="n">
        <v>0</v>
      </c>
      <c r="Q26" s="12">
        <f>K26+M26+O26</f>
        <v/>
      </c>
      <c r="R26" s="13">
        <f>L26+N26+P26</f>
        <v/>
      </c>
      <c r="S26" s="36">
        <f>R26-Q26</f>
        <v/>
      </c>
      <c r="T26" s="37" t="inlineStr"/>
    </row>
    <row r="27" ht="20" customHeight="1">
      <c r="B27" s="11" t="inlineStr">
        <is>
          <t>ESPAÑA</t>
        </is>
      </c>
      <c r="C27" s="31" t="inlineStr">
        <is>
          <t>COMERCIAL NORTE AGROCAMPO, S.L.</t>
        </is>
      </c>
      <c r="D27" s="11" t="inlineStr">
        <is>
          <t>AN0005</t>
        </is>
      </c>
      <c r="E27" s="31" t="inlineStr">
        <is>
          <t>ALCAPLANT NEW, 5 KG</t>
        </is>
      </c>
      <c r="F27" s="12" t="n">
        <v>0</v>
      </c>
      <c r="G27" s="13" t="n">
        <v>20</v>
      </c>
      <c r="H27" s="12">
        <f>ABS(G27-F27)</f>
        <v/>
      </c>
      <c r="I27" s="32">
        <f>IF(F27&gt;0, G27/F27, IF(G27&gt;0, 1.0, 0.0))</f>
        <v/>
      </c>
      <c r="J27" s="33" t="inlineStr">
        <is>
          <t>Pedido extra no previsto</t>
        </is>
      </c>
      <c r="K27" s="34" t="n">
        <v>0</v>
      </c>
      <c r="L27" s="35" t="n">
        <v>0</v>
      </c>
      <c r="M27" s="34" t="n">
        <v>0</v>
      </c>
      <c r="N27" s="35" t="n">
        <v>0</v>
      </c>
      <c r="O27" s="34" t="n">
        <v>0</v>
      </c>
      <c r="P27" s="35" t="n">
        <v>0</v>
      </c>
      <c r="Q27" s="12">
        <f>K27+M27+O27</f>
        <v/>
      </c>
      <c r="R27" s="13">
        <f>L27+N27+P27</f>
        <v/>
      </c>
      <c r="S27" s="36">
        <f>R27-Q27</f>
        <v/>
      </c>
      <c r="T27" s="37" t="inlineStr"/>
    </row>
    <row r="28" ht="20" customHeight="1">
      <c r="B28" s="11" t="inlineStr">
        <is>
          <t>ESPAÑA</t>
        </is>
      </c>
      <c r="C28" s="31" t="inlineStr">
        <is>
          <t>COMERCIAL NORTE AGROCAMPO, S.L.</t>
        </is>
      </c>
      <c r="D28" s="11" t="inlineStr">
        <is>
          <t>BR-590005</t>
        </is>
      </c>
      <c r="E28" s="31" t="inlineStr">
        <is>
          <t>BR-59, 5 KG</t>
        </is>
      </c>
      <c r="F28" s="12" t="n">
        <v>0</v>
      </c>
      <c r="G28" s="13" t="n">
        <v>60</v>
      </c>
      <c r="H28" s="12">
        <f>ABS(G28-F28)</f>
        <v/>
      </c>
      <c r="I28" s="32">
        <f>IF(F28&gt;0, G28/F28, IF(G28&gt;0, 1.0, 0.0))</f>
        <v/>
      </c>
      <c r="J28" s="33" t="inlineStr">
        <is>
          <t>Pedido extra no previsto</t>
        </is>
      </c>
      <c r="K28" s="34" t="n">
        <v>0</v>
      </c>
      <c r="L28" s="35" t="n">
        <v>0</v>
      </c>
      <c r="M28" s="34" t="n">
        <v>0</v>
      </c>
      <c r="N28" s="35" t="n">
        <v>0</v>
      </c>
      <c r="O28" s="34" t="n">
        <v>0</v>
      </c>
      <c r="P28" s="35" t="n">
        <v>0</v>
      </c>
      <c r="Q28" s="12">
        <f>K28+M28+O28</f>
        <v/>
      </c>
      <c r="R28" s="13">
        <f>L28+N28+P28</f>
        <v/>
      </c>
      <c r="S28" s="36">
        <f>R28-Q28</f>
        <v/>
      </c>
      <c r="T28" s="37" t="inlineStr"/>
    </row>
    <row r="29" ht="20" customHeight="1">
      <c r="B29" s="11" t="inlineStr">
        <is>
          <t>ESPAÑA</t>
        </is>
      </c>
      <c r="C29" s="31" t="inlineStr">
        <is>
          <t>COMERCIAL NORTE AGROCAMPO, S.L.</t>
        </is>
      </c>
      <c r="D29" s="11" t="inlineStr">
        <is>
          <t>BROTA0020</t>
        </is>
      </c>
      <c r="E29" s="31" t="inlineStr">
        <is>
          <t>BROTAMEC, 20 L</t>
        </is>
      </c>
      <c r="F29" s="12" t="n">
        <v>0</v>
      </c>
      <c r="G29" s="13" t="n">
        <v>20</v>
      </c>
      <c r="H29" s="12">
        <f>ABS(G29-F29)</f>
        <v/>
      </c>
      <c r="I29" s="32">
        <f>IF(F29&gt;0, G29/F29, IF(G29&gt;0, 1.0, 0.0))</f>
        <v/>
      </c>
      <c r="J29" s="33" t="inlineStr">
        <is>
          <t>Pedido extra no previsto</t>
        </is>
      </c>
      <c r="K29" s="34" t="n">
        <v>0</v>
      </c>
      <c r="L29" s="35" t="n">
        <v>0</v>
      </c>
      <c r="M29" s="34" t="n">
        <v>0</v>
      </c>
      <c r="N29" s="35" t="n">
        <v>0</v>
      </c>
      <c r="O29" s="34" t="n">
        <v>0</v>
      </c>
      <c r="P29" s="35" t="n">
        <v>0</v>
      </c>
      <c r="Q29" s="12">
        <f>K29+M29+O29</f>
        <v/>
      </c>
      <c r="R29" s="13">
        <f>L29+N29+P29</f>
        <v/>
      </c>
      <c r="S29" s="36">
        <f>R29-Q29</f>
        <v/>
      </c>
      <c r="T29" s="37" t="inlineStr"/>
    </row>
    <row r="30" ht="20" customHeight="1">
      <c r="B30" s="11" t="inlineStr">
        <is>
          <t>ESPAÑA</t>
        </is>
      </c>
      <c r="C30" s="31" t="inlineStr">
        <is>
          <t>COMERCIAL NORTE AGROCAMPO, S.L.</t>
        </is>
      </c>
      <c r="D30" s="11" t="inlineStr">
        <is>
          <t>C-CU0005</t>
        </is>
      </c>
      <c r="E30" s="31" t="inlineStr">
        <is>
          <t>CODICOBRE, 5 L</t>
        </is>
      </c>
      <c r="F30" s="12" t="n">
        <v>0</v>
      </c>
      <c r="G30" s="13" t="n">
        <v>20</v>
      </c>
      <c r="H30" s="12">
        <f>ABS(G30-F30)</f>
        <v/>
      </c>
      <c r="I30" s="32">
        <f>IF(F30&gt;0, G30/F30, IF(G30&gt;0, 1.0, 0.0))</f>
        <v/>
      </c>
      <c r="J30" s="33" t="inlineStr">
        <is>
          <t>Pedido extra no previsto</t>
        </is>
      </c>
      <c r="K30" s="34" t="n">
        <v>0</v>
      </c>
      <c r="L30" s="35" t="n">
        <v>0</v>
      </c>
      <c r="M30" s="34" t="n">
        <v>0</v>
      </c>
      <c r="N30" s="35" t="n">
        <v>0</v>
      </c>
      <c r="O30" s="34" t="n">
        <v>0</v>
      </c>
      <c r="P30" s="35" t="n">
        <v>0</v>
      </c>
      <c r="Q30" s="12">
        <f>K30+M30+O30</f>
        <v/>
      </c>
      <c r="R30" s="13">
        <f>L30+N30+P30</f>
        <v/>
      </c>
      <c r="S30" s="36">
        <f>R30-Q30</f>
        <v/>
      </c>
      <c r="T30" s="37" t="inlineStr"/>
    </row>
    <row r="31" ht="20" customHeight="1">
      <c r="B31" s="11" t="inlineStr">
        <is>
          <t>ESPAÑA</t>
        </is>
      </c>
      <c r="C31" s="31" t="inlineStr">
        <is>
          <t>COMERCIAL NORTE AGROCAMPO, S.L.</t>
        </is>
      </c>
      <c r="D31" s="11" t="inlineStr">
        <is>
          <t>PT0020</t>
        </is>
      </c>
      <c r="E31" s="31" t="inlineStr">
        <is>
          <t>AGROPOTASION, 20 L</t>
        </is>
      </c>
      <c r="F31" s="12" t="n">
        <v>0</v>
      </c>
      <c r="G31" s="13" t="n">
        <v>20</v>
      </c>
      <c r="H31" s="12">
        <f>ABS(G31-F31)</f>
        <v/>
      </c>
      <c r="I31" s="32">
        <f>IF(F31&gt;0, G31/F31, IF(G31&gt;0, 1.0, 0.0))</f>
        <v/>
      </c>
      <c r="J31" s="33" t="inlineStr">
        <is>
          <t>Pedido extra no previsto</t>
        </is>
      </c>
      <c r="K31" s="34" t="n">
        <v>0</v>
      </c>
      <c r="L31" s="35" t="n">
        <v>0</v>
      </c>
      <c r="M31" s="34" t="n">
        <v>0</v>
      </c>
      <c r="N31" s="35" t="n">
        <v>0</v>
      </c>
      <c r="O31" s="34" t="n">
        <v>0</v>
      </c>
      <c r="P31" s="35" t="n">
        <v>0</v>
      </c>
      <c r="Q31" s="12">
        <f>K31+M31+O31</f>
        <v/>
      </c>
      <c r="R31" s="13">
        <f>L31+N31+P31</f>
        <v/>
      </c>
      <c r="S31" s="36">
        <f>R31-Q31</f>
        <v/>
      </c>
      <c r="T31" s="37" t="inlineStr"/>
    </row>
    <row r="32" ht="20" customHeight="1">
      <c r="B32" s="11" t="inlineStr">
        <is>
          <t>ESPAÑA</t>
        </is>
      </c>
      <c r="C32" s="31" t="inlineStr">
        <is>
          <t>COMERCIAL NORTE AGROCAMPO, S.L.</t>
        </is>
      </c>
      <c r="D32" s="11" t="inlineStr">
        <is>
          <t>S0020</t>
        </is>
      </c>
      <c r="E32" s="31" t="inlineStr">
        <is>
          <t>SALWAX STAR, 20 L</t>
        </is>
      </c>
      <c r="F32" s="12" t="n">
        <v>0</v>
      </c>
      <c r="G32" s="13" t="n">
        <v>40</v>
      </c>
      <c r="H32" s="12">
        <f>ABS(G32-F32)</f>
        <v/>
      </c>
      <c r="I32" s="32">
        <f>IF(F32&gt;0, G32/F32, IF(G32&gt;0, 1.0, 0.0))</f>
        <v/>
      </c>
      <c r="J32" s="33" t="inlineStr">
        <is>
          <t>Pedido extra no previsto</t>
        </is>
      </c>
      <c r="K32" s="34" t="n">
        <v>0</v>
      </c>
      <c r="L32" s="35" t="n">
        <v>0</v>
      </c>
      <c r="M32" s="34" t="n">
        <v>0</v>
      </c>
      <c r="N32" s="35" t="n">
        <v>0</v>
      </c>
      <c r="O32" s="34" t="n">
        <v>0</v>
      </c>
      <c r="P32" s="35" t="n">
        <v>0</v>
      </c>
      <c r="Q32" s="12">
        <f>K32+M32+O32</f>
        <v/>
      </c>
      <c r="R32" s="13">
        <f>L32+N32+P32</f>
        <v/>
      </c>
      <c r="S32" s="36">
        <f>R32-Q32</f>
        <v/>
      </c>
      <c r="T32" s="37" t="inlineStr"/>
    </row>
    <row r="33" ht="20" customHeight="1">
      <c r="B33" s="11" t="inlineStr">
        <is>
          <t>ESPAÑA</t>
        </is>
      </c>
      <c r="C33" s="31" t="inlineStr">
        <is>
          <t>MAJ AGROQUIMICOS S.L.</t>
        </is>
      </c>
      <c r="D33" s="11" t="inlineStr">
        <is>
          <t>CPLUS0005</t>
        </is>
      </c>
      <c r="E33" s="31" t="inlineStr">
        <is>
          <t>CALCIPLUS, 5 L</t>
        </is>
      </c>
      <c r="F33" s="12" t="n">
        <v>0</v>
      </c>
      <c r="G33" s="13" t="n">
        <v>20</v>
      </c>
      <c r="H33" s="12">
        <f>ABS(G33-F33)</f>
        <v/>
      </c>
      <c r="I33" s="32">
        <f>IF(F33&gt;0, G33/F33, IF(G33&gt;0, 1.0, 0.0))</f>
        <v/>
      </c>
      <c r="J33" s="33" t="inlineStr">
        <is>
          <t>Pedido extra no previsto</t>
        </is>
      </c>
      <c r="K33" s="34" t="n">
        <v>0</v>
      </c>
      <c r="L33" s="35" t="n">
        <v>0</v>
      </c>
      <c r="M33" s="34" t="n">
        <v>0</v>
      </c>
      <c r="N33" s="35" t="n">
        <v>0</v>
      </c>
      <c r="O33" s="34" t="n">
        <v>0</v>
      </c>
      <c r="P33" s="35" t="n">
        <v>0</v>
      </c>
      <c r="Q33" s="12">
        <f>K33+M33+O33</f>
        <v/>
      </c>
      <c r="R33" s="13">
        <f>L33+N33+P33</f>
        <v/>
      </c>
      <c r="S33" s="36">
        <f>R33-Q33</f>
        <v/>
      </c>
      <c r="T33" s="37" t="inlineStr"/>
    </row>
    <row r="34" ht="20" customHeight="1">
      <c r="B34" s="11" t="inlineStr">
        <is>
          <t>ESPAÑA</t>
        </is>
      </c>
      <c r="C34" s="31" t="inlineStr">
        <is>
          <t>MAJ AGROQUIMICOS S.L.</t>
        </is>
      </c>
      <c r="D34" s="11" t="inlineStr">
        <is>
          <t>FTK0005</t>
        </is>
      </c>
      <c r="E34" s="31" t="inlineStr">
        <is>
          <t>FITOKONTROL CA FLOW, 5 KG</t>
        </is>
      </c>
      <c r="F34" s="12" t="n">
        <v>0</v>
      </c>
      <c r="G34" s="13" t="n">
        <v>40</v>
      </c>
      <c r="H34" s="12">
        <f>ABS(G34-F34)</f>
        <v/>
      </c>
      <c r="I34" s="32">
        <f>IF(F34&gt;0, G34/F34, IF(G34&gt;0, 1.0, 0.0))</f>
        <v/>
      </c>
      <c r="J34" s="33" t="inlineStr">
        <is>
          <t>Pedido extra no previsto</t>
        </is>
      </c>
      <c r="K34" s="34" t="n">
        <v>0</v>
      </c>
      <c r="L34" s="35" t="n">
        <v>0</v>
      </c>
      <c r="M34" s="34" t="n">
        <v>0</v>
      </c>
      <c r="N34" s="35" t="n">
        <v>0</v>
      </c>
      <c r="O34" s="34" t="n">
        <v>0</v>
      </c>
      <c r="P34" s="35" t="n">
        <v>0</v>
      </c>
      <c r="Q34" s="12">
        <f>K34+M34+O34</f>
        <v/>
      </c>
      <c r="R34" s="13">
        <f>L34+N34+P34</f>
        <v/>
      </c>
      <c r="S34" s="36">
        <f>R34-Q34</f>
        <v/>
      </c>
      <c r="T34" s="37" t="inlineStr"/>
    </row>
    <row r="35" ht="20" customHeight="1">
      <c r="B35" s="11" t="inlineStr">
        <is>
          <t>ESPAÑA</t>
        </is>
      </c>
      <c r="C35" s="31" t="inlineStr">
        <is>
          <t>MUNDOHUERTO-CARMEN SOLAZ BLANCO</t>
        </is>
      </c>
      <c r="D35" s="11" t="inlineStr">
        <is>
          <t>PT0001</t>
        </is>
      </c>
      <c r="E35" s="31" t="inlineStr">
        <is>
          <t>AGROPOTASION, 1 L</t>
        </is>
      </c>
      <c r="F35" s="12" t="n">
        <v>0</v>
      </c>
      <c r="G35" s="13" t="n">
        <v>24</v>
      </c>
      <c r="H35" s="12">
        <f>ABS(G35-F35)</f>
        <v/>
      </c>
      <c r="I35" s="32">
        <f>IF(F35&gt;0, G35/F35, IF(G35&gt;0, 1.0, 0.0))</f>
        <v/>
      </c>
      <c r="J35" s="33" t="inlineStr">
        <is>
          <t>Pedido extra no previsto</t>
        </is>
      </c>
      <c r="K35" s="34" t="n">
        <v>0</v>
      </c>
      <c r="L35" s="35" t="n">
        <v>0</v>
      </c>
      <c r="M35" s="34" t="n">
        <v>0</v>
      </c>
      <c r="N35" s="35" t="n">
        <v>0</v>
      </c>
      <c r="O35" s="34" t="n">
        <v>0</v>
      </c>
      <c r="P35" s="35" t="n">
        <v>0</v>
      </c>
      <c r="Q35" s="12">
        <f>K35+M35+O35</f>
        <v/>
      </c>
      <c r="R35" s="13">
        <f>L35+N35+P35</f>
        <v/>
      </c>
      <c r="S35" s="36">
        <f>R35-Q35</f>
        <v/>
      </c>
      <c r="T35" s="37" t="inlineStr"/>
    </row>
    <row r="36" ht="20" customHeight="1">
      <c r="B36" s="11" t="inlineStr">
        <is>
          <t>ESPAÑA</t>
        </is>
      </c>
      <c r="C36" s="31" t="inlineStr">
        <is>
          <t>MUNDOHUERTO-CARMEN SOLAZ BLANCO</t>
        </is>
      </c>
      <c r="D36" s="11" t="inlineStr">
        <is>
          <t>PT0005</t>
        </is>
      </c>
      <c r="E36" s="31" t="inlineStr">
        <is>
          <t>AGROPOTASION, 5 L</t>
        </is>
      </c>
      <c r="F36" s="12" t="n">
        <v>0</v>
      </c>
      <c r="G36" s="13" t="n">
        <v>80</v>
      </c>
      <c r="H36" s="12">
        <f>ABS(G36-F36)</f>
        <v/>
      </c>
      <c r="I36" s="32">
        <f>IF(F36&gt;0, G36/F36, IF(G36&gt;0, 1.0, 0.0))</f>
        <v/>
      </c>
      <c r="J36" s="33" t="inlineStr">
        <is>
          <t>Pedido extra no previsto</t>
        </is>
      </c>
      <c r="K36" s="34" t="n">
        <v>0</v>
      </c>
      <c r="L36" s="35" t="n">
        <v>0</v>
      </c>
      <c r="M36" s="34" t="n">
        <v>0</v>
      </c>
      <c r="N36" s="35" t="n">
        <v>0</v>
      </c>
      <c r="O36" s="34" t="n">
        <v>0</v>
      </c>
      <c r="P36" s="35" t="n">
        <v>0</v>
      </c>
      <c r="Q36" s="12">
        <f>K36+M36+O36</f>
        <v/>
      </c>
      <c r="R36" s="13">
        <f>L36+N36+P36</f>
        <v/>
      </c>
      <c r="S36" s="36">
        <f>R36-Q36</f>
        <v/>
      </c>
      <c r="T36" s="37" t="inlineStr"/>
    </row>
    <row r="37" ht="20" customHeight="1">
      <c r="B37" s="11" t="inlineStr">
        <is>
          <t>ESPAÑA</t>
        </is>
      </c>
      <c r="C37" s="31" t="inlineStr">
        <is>
          <t>MUNDOHUERTO-CARMEN SOLAZ BLANCO</t>
        </is>
      </c>
      <c r="D37" s="11" t="inlineStr">
        <is>
          <t>PT0020</t>
        </is>
      </c>
      <c r="E37" s="31" t="inlineStr">
        <is>
          <t>AGROPOTASION, 20 L</t>
        </is>
      </c>
      <c r="F37" s="12" t="n">
        <v>0</v>
      </c>
      <c r="G37" s="13" t="n">
        <v>60</v>
      </c>
      <c r="H37" s="12">
        <f>ABS(G37-F37)</f>
        <v/>
      </c>
      <c r="I37" s="32">
        <f>IF(F37&gt;0, G37/F37, IF(G37&gt;0, 1.0, 0.0))</f>
        <v/>
      </c>
      <c r="J37" s="33" t="inlineStr">
        <is>
          <t>Pedido extra no previsto</t>
        </is>
      </c>
      <c r="K37" s="34" t="n">
        <v>0</v>
      </c>
      <c r="L37" s="35" t="n">
        <v>0</v>
      </c>
      <c r="M37" s="34" t="n">
        <v>0</v>
      </c>
      <c r="N37" s="35" t="n">
        <v>0</v>
      </c>
      <c r="O37" s="34" t="n">
        <v>0</v>
      </c>
      <c r="P37" s="35" t="n">
        <v>0</v>
      </c>
      <c r="Q37" s="12">
        <f>K37+M37+O37</f>
        <v/>
      </c>
      <c r="R37" s="13">
        <f>L37+N37+P37</f>
        <v/>
      </c>
      <c r="S37" s="36">
        <f>R37-Q37</f>
        <v/>
      </c>
      <c r="T37" s="37" t="inlineStr"/>
    </row>
    <row r="38" ht="20" customHeight="1">
      <c r="B38" s="11" t="inlineStr">
        <is>
          <t>ESPAÑA</t>
        </is>
      </c>
      <c r="C38" s="31" t="inlineStr">
        <is>
          <t>SAFIAGRO, S.A.</t>
        </is>
      </c>
      <c r="D38" s="11" t="inlineStr">
        <is>
          <t>AGXK0020</t>
        </is>
      </c>
      <c r="E38" s="31" t="inlineStr">
        <is>
          <t>AGROXILATO-K, 20 L</t>
        </is>
      </c>
      <c r="F38" s="12" t="n">
        <v>0</v>
      </c>
      <c r="G38" s="13" t="n">
        <v>640</v>
      </c>
      <c r="H38" s="12">
        <f>ABS(G38-F38)</f>
        <v/>
      </c>
      <c r="I38" s="32">
        <f>IF(F38&gt;0, G38/F38, IF(G38&gt;0, 1.0, 0.0))</f>
        <v/>
      </c>
      <c r="J38" s="33" t="inlineStr">
        <is>
          <t>Pedido extra no previsto</t>
        </is>
      </c>
      <c r="K38" s="34" t="n">
        <v>0</v>
      </c>
      <c r="L38" s="35" t="n">
        <v>0</v>
      </c>
      <c r="M38" s="34" t="n">
        <v>0</v>
      </c>
      <c r="N38" s="35" t="n">
        <v>0</v>
      </c>
      <c r="O38" s="34" t="n">
        <v>0</v>
      </c>
      <c r="P38" s="35" t="n">
        <v>0</v>
      </c>
      <c r="Q38" s="12">
        <f>K38+M38+O38</f>
        <v/>
      </c>
      <c r="R38" s="13">
        <f>L38+N38+P38</f>
        <v/>
      </c>
      <c r="S38" s="36">
        <f>R38-Q38</f>
        <v/>
      </c>
      <c r="T38" s="37" t="inlineStr"/>
    </row>
    <row r="39" ht="20" customHeight="1">
      <c r="B39" s="11" t="inlineStr">
        <is>
          <t>ESPAÑA</t>
        </is>
      </c>
      <c r="C39" s="31" t="inlineStr">
        <is>
          <t>T.J AGRICULTURA S.L.</t>
        </is>
      </c>
      <c r="D39" s="11" t="inlineStr">
        <is>
          <t>AN0020</t>
        </is>
      </c>
      <c r="E39" s="31" t="inlineStr">
        <is>
          <t>ALCAPLANT NEW, 20 KG</t>
        </is>
      </c>
      <c r="F39" s="12" t="n">
        <v>0</v>
      </c>
      <c r="G39" s="13" t="n">
        <v>600</v>
      </c>
      <c r="H39" s="12">
        <f>ABS(G39-F39)</f>
        <v/>
      </c>
      <c r="I39" s="32">
        <f>IF(F39&gt;0, G39/F39, IF(G39&gt;0, 1.0, 0.0))</f>
        <v/>
      </c>
      <c r="J39" s="33" t="inlineStr">
        <is>
          <t>Pedido extra no previsto</t>
        </is>
      </c>
      <c r="K39" s="34" t="n">
        <v>0</v>
      </c>
      <c r="L39" s="35" t="n">
        <v>0</v>
      </c>
      <c r="M39" s="34" t="n">
        <v>0</v>
      </c>
      <c r="N39" s="35" t="n">
        <v>0</v>
      </c>
      <c r="O39" s="34" t="n">
        <v>0</v>
      </c>
      <c r="P39" s="35" t="n">
        <v>0</v>
      </c>
      <c r="Q39" s="12">
        <f>K39+M39+O39</f>
        <v/>
      </c>
      <c r="R39" s="13">
        <f>L39+N39+P39</f>
        <v/>
      </c>
      <c r="S39" s="36">
        <f>R39-Q39</f>
        <v/>
      </c>
      <c r="T39" s="37" t="inlineStr"/>
    </row>
    <row r="40" ht="20" customHeight="1">
      <c r="B40" s="11" t="inlineStr">
        <is>
          <t>ESPAÑA</t>
        </is>
      </c>
      <c r="C40" s="31" t="inlineStr">
        <is>
          <t>T.J AGRICULTURA S.L.</t>
        </is>
      </c>
      <c r="D40" s="11" t="inlineStr">
        <is>
          <t>SS0020</t>
        </is>
      </c>
      <c r="E40" s="31" t="inlineStr">
        <is>
          <t>SALWAX-CA, 20 KG</t>
        </is>
      </c>
      <c r="F40" s="12" t="n">
        <v>0</v>
      </c>
      <c r="G40" s="13" t="n">
        <v>500</v>
      </c>
      <c r="H40" s="12">
        <f>ABS(G40-F40)</f>
        <v/>
      </c>
      <c r="I40" s="32">
        <f>IF(F40&gt;0, G40/F40, IF(G40&gt;0, 1.0, 0.0))</f>
        <v/>
      </c>
      <c r="J40" s="33" t="inlineStr">
        <is>
          <t>Pedido extra no previsto</t>
        </is>
      </c>
      <c r="K40" s="34" t="n">
        <v>0</v>
      </c>
      <c r="L40" s="35" t="n">
        <v>0</v>
      </c>
      <c r="M40" s="34" t="n">
        <v>0</v>
      </c>
      <c r="N40" s="35" t="n">
        <v>0</v>
      </c>
      <c r="O40" s="34" t="n">
        <v>0</v>
      </c>
      <c r="P40" s="35" t="n">
        <v>0</v>
      </c>
      <c r="Q40" s="12">
        <f>K40+M40+O40</f>
        <v/>
      </c>
      <c r="R40" s="13">
        <f>L40+N40+P40</f>
        <v/>
      </c>
      <c r="S40" s="36">
        <f>R40-Q40</f>
        <v/>
      </c>
      <c r="T40" s="37" t="inlineStr"/>
    </row>
    <row r="41" ht="20" customHeight="1">
      <c r="B41" s="11" t="inlineStr">
        <is>
          <t>ESPAÑA</t>
        </is>
      </c>
      <c r="C41" s="31" t="inlineStr">
        <is>
          <t>VILLALTA SATIVUM, S.L.</t>
        </is>
      </c>
      <c r="D41" s="11" t="inlineStr">
        <is>
          <t>BIO0020</t>
        </is>
      </c>
      <c r="E41" s="31" t="inlineStr">
        <is>
          <t>BIORAD-20, 20 L</t>
        </is>
      </c>
      <c r="F41" s="12" t="n">
        <v>0</v>
      </c>
      <c r="G41" s="13" t="n">
        <v>0</v>
      </c>
      <c r="H41" s="12">
        <f>ABS(G41-F41)</f>
        <v/>
      </c>
      <c r="I41" s="32">
        <f>IF(F41&gt;0, G41/F41, IF(G41&gt;0, 1.0, 0.0))</f>
        <v/>
      </c>
      <c r="J41" s="33" t="inlineStr"/>
      <c r="K41" s="34" t="n">
        <v>300</v>
      </c>
      <c r="L41" s="35" t="n">
        <v>300</v>
      </c>
      <c r="M41" s="34" t="n">
        <v>0</v>
      </c>
      <c r="N41" s="35" t="n">
        <v>0</v>
      </c>
      <c r="O41" s="34" t="n">
        <v>0</v>
      </c>
      <c r="P41" s="35" t="n">
        <v>0</v>
      </c>
      <c r="Q41" s="12">
        <f>K41+M41+O41</f>
        <v/>
      </c>
      <c r="R41" s="13">
        <f>L41+N41+P41</f>
        <v/>
      </c>
      <c r="S41" s="36">
        <f>R41-Q41</f>
        <v/>
      </c>
      <c r="T41" s="37" t="inlineStr"/>
    </row>
    <row r="42" ht="20" customHeight="1">
      <c r="B42" s="11" t="inlineStr">
        <is>
          <t>ESPAÑA</t>
        </is>
      </c>
      <c r="C42" s="31" t="inlineStr">
        <is>
          <t>VILLALTA SATIVUM, S.L.</t>
        </is>
      </c>
      <c r="D42" s="11" t="inlineStr">
        <is>
          <t>BROTA0020</t>
        </is>
      </c>
      <c r="E42" s="31" t="inlineStr">
        <is>
          <t>BROTAMEC, 20 L</t>
        </is>
      </c>
      <c r="F42" s="12" t="n">
        <v>0</v>
      </c>
      <c r="G42" s="13" t="n">
        <v>0</v>
      </c>
      <c r="H42" s="12">
        <f>ABS(G42-F42)</f>
        <v/>
      </c>
      <c r="I42" s="32">
        <f>IF(F42&gt;0, G42/F42, IF(G42&gt;0, 1.0, 0.0))</f>
        <v/>
      </c>
      <c r="J42" s="33" t="inlineStr"/>
      <c r="K42" s="34" t="n">
        <v>640</v>
      </c>
      <c r="L42" s="35" t="n">
        <v>640</v>
      </c>
      <c r="M42" s="34" t="n">
        <v>0</v>
      </c>
      <c r="N42" s="35" t="n">
        <v>0</v>
      </c>
      <c r="O42" s="34" t="n">
        <v>0</v>
      </c>
      <c r="P42" s="35" t="n">
        <v>0</v>
      </c>
      <c r="Q42" s="12">
        <f>K42+M42+O42</f>
        <v/>
      </c>
      <c r="R42" s="13">
        <f>L42+N42+P42</f>
        <v/>
      </c>
      <c r="S42" s="36">
        <f>R42-Q42</f>
        <v/>
      </c>
      <c r="T42" s="37" t="inlineStr"/>
    </row>
    <row r="43" ht="20" customHeight="1">
      <c r="B43" s="11" t="inlineStr">
        <is>
          <t>ESPAÑA</t>
        </is>
      </c>
      <c r="C43" s="31" t="inlineStr">
        <is>
          <t>VILLALTA SATIVUM, S.L.</t>
        </is>
      </c>
      <c r="D43" s="11" t="inlineStr">
        <is>
          <t>WHITE0020</t>
        </is>
      </c>
      <c r="E43" s="31" t="inlineStr">
        <is>
          <t>AGROWHITE, 20 KG</t>
        </is>
      </c>
      <c r="F43" s="12" t="n">
        <v>0</v>
      </c>
      <c r="G43" s="13" t="n">
        <v>3460</v>
      </c>
      <c r="H43" s="12">
        <f>ABS(G43-F43)</f>
        <v/>
      </c>
      <c r="I43" s="32">
        <f>IF(F43&gt;0, G43/F43, IF(G43&gt;0, 1.0, 0.0))</f>
        <v/>
      </c>
      <c r="J43" s="33" t="inlineStr">
        <is>
          <t>Pedido extra no previsto</t>
        </is>
      </c>
      <c r="K43" s="34" t="n">
        <v>0</v>
      </c>
      <c r="L43" s="35" t="n">
        <v>0</v>
      </c>
      <c r="M43" s="34" t="n">
        <v>0</v>
      </c>
      <c r="N43" s="35" t="n">
        <v>0</v>
      </c>
      <c r="O43" s="34" t="n">
        <v>0</v>
      </c>
      <c r="P43" s="35" t="n">
        <v>0</v>
      </c>
      <c r="Q43" s="12">
        <f>K43+M43+O43</f>
        <v/>
      </c>
      <c r="R43" s="13">
        <f>L43+N43+P43</f>
        <v/>
      </c>
      <c r="S43" s="36">
        <f>R43-Q43</f>
        <v/>
      </c>
      <c r="T43" s="37" t="inlineStr"/>
    </row>
    <row r="44" ht="25" customHeight="1">
      <c r="B44" s="38" t="inlineStr">
        <is>
          <t>TOTAL CONSOLIDADO - ALFONSO (UNIDADES)</t>
        </is>
      </c>
      <c r="C44" s="39" t="n"/>
      <c r="D44" s="39" t="n"/>
      <c r="E44" s="39" t="n"/>
      <c r="F44" s="19">
        <f>SUM(F10:F43)</f>
        <v/>
      </c>
      <c r="G44" s="19">
        <f>SUM(G10:G43)</f>
        <v/>
      </c>
      <c r="H44" s="19">
        <f>SUM(H10:H43)</f>
        <v/>
      </c>
      <c r="I44" s="20">
        <f>IF(F44&gt;0, G44/F44, 1.0)</f>
        <v/>
      </c>
      <c r="J44" s="40" t="n"/>
      <c r="K44" s="19">
        <f>SUM(K10:K43)</f>
        <v/>
      </c>
      <c r="L44" s="19">
        <f>SUM(L10:L43)</f>
        <v/>
      </c>
      <c r="M44" s="19">
        <f>SUM(M10:M43)</f>
        <v/>
      </c>
      <c r="N44" s="19">
        <f>SUM(N10:N43)</f>
        <v/>
      </c>
      <c r="O44" s="19">
        <f>SUM(O10:O43)</f>
        <v/>
      </c>
      <c r="P44" s="19">
        <f>SUM(P10:P43)</f>
        <v/>
      </c>
      <c r="Q44" s="19">
        <f>SUM(Q10:Q43)</f>
        <v/>
      </c>
      <c r="R44" s="19">
        <f>SUM(R10:R43)</f>
        <v/>
      </c>
      <c r="S44" s="41">
        <f>SUM(S10:S43)</f>
        <v/>
      </c>
      <c r="T44" s="40" t="n"/>
    </row>
  </sheetData>
  <mergeCells count="20">
    <mergeCell ref="N5:P5"/>
    <mergeCell ref="E6:G6"/>
    <mergeCell ref="K8:P8"/>
    <mergeCell ref="B4:T4"/>
    <mergeCell ref="B6:D6"/>
    <mergeCell ref="F8:J8"/>
    <mergeCell ref="N6:P6"/>
    <mergeCell ref="B3:T3"/>
    <mergeCell ref="B5:D5"/>
    <mergeCell ref="Q8:T8"/>
    <mergeCell ref="K6:M6"/>
    <mergeCell ref="H5:J5"/>
    <mergeCell ref="Q5:T5"/>
    <mergeCell ref="B2:T2"/>
    <mergeCell ref="B8:E8"/>
    <mergeCell ref="E5:G5"/>
    <mergeCell ref="K5:M5"/>
    <mergeCell ref="B44:E44"/>
    <mergeCell ref="Q6:T6"/>
    <mergeCell ref="H6:J6"/>
  </mergeCells>
  <dataValidations count="1">
    <dataValidation sqref="J10:J43 J10:J127" showDropDown="0" showInputMessage="0" showErrorMessage="0" allowBlank="1" errorTitle="Motivo de Desviación" error="Por favor seleccione un motivo de la lista o escriba su comentario" type="list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12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14" customWidth="1" min="4" max="4"/>
    <col width="32" customWidth="1" min="5" max="5"/>
    <col width="16" customWidth="1" min="6" max="6"/>
    <col width="15" customWidth="1" min="7" max="7"/>
    <col width="14" customWidth="1" min="8" max="8"/>
    <col width="13" customWidth="1" min="9" max="9"/>
    <col width="32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  <col width="17" customWidth="1" min="17" max="17"/>
    <col width="17" customWidth="1" min="18" max="18"/>
    <col width="15" customWidth="1" min="19" max="19"/>
    <col width="34" customWidth="1" min="20" max="20"/>
  </cols>
  <sheetData>
    <row r="2" ht="36" customHeight="1">
      <c r="B2" s="1" t="inlineStr">
        <is>
          <t>CODIAGRO · ACTUALIZACIÓN DE PREVISIONES COMERCIALES Q4 2026 (OCTUBRE - DICIEMBRE)</t>
        </is>
      </c>
    </row>
    <row r="3" ht="20" customHeight="1">
      <c r="B3" s="2" t="inlineStr">
        <is>
          <t>DELEGADO COMERCIAL: GARCÍA | Cierre Septiembre Oficial (01/10/2026) vs Previsiones a Final de Año | Generado: 01/10/2026 14:17</t>
        </is>
      </c>
    </row>
    <row r="4" ht="26" customHeight="1">
      <c r="B4" s="21" t="inlineStr">
        <is>
      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      </is>
      </c>
    </row>
    <row r="5" ht="16" customHeight="1">
      <c r="B5" s="22" t="inlineStr">
        <is>
          <t>PREVISTO SEP 2026 (U)</t>
        </is>
      </c>
      <c r="C5" s="23" t="n"/>
      <c r="D5" s="23" t="n"/>
      <c r="E5" s="24" t="inlineStr">
        <is>
          <t>REAL PEDIDOS SEP 2026 (U)</t>
        </is>
      </c>
      <c r="F5" s="23" t="n"/>
      <c r="G5" s="23" t="n"/>
      <c r="H5" s="25" t="inlineStr">
        <is>
          <t>% CONSECUCIÓN SEP</t>
        </is>
      </c>
      <c r="I5" s="23" t="n"/>
      <c r="J5" s="23" t="n"/>
      <c r="K5" s="22" t="inlineStr">
        <is>
          <t>PREVISIÓN INICIAL Q4 (U)</t>
        </is>
      </c>
      <c r="L5" s="23" t="n"/>
      <c r="M5" s="23" t="n"/>
      <c r="N5" s="24" t="inlineStr">
        <is>
          <t>PREVISIÓN REVISADA Q4 (U)</t>
        </is>
      </c>
      <c r="O5" s="23" t="n"/>
      <c r="P5" s="23" t="n"/>
      <c r="Q5" s="26" t="inlineStr">
        <is>
          <t>VARIACIÓN NETA Q4 (U)</t>
        </is>
      </c>
      <c r="R5" s="23" t="n"/>
      <c r="S5" s="23" t="n"/>
      <c r="T5" s="23" t="n"/>
    </row>
    <row r="6" ht="26" customHeight="1">
      <c r="B6" s="27">
        <f>F128</f>
        <v/>
      </c>
      <c r="C6" s="23" t="n"/>
      <c r="D6" s="23" t="n"/>
      <c r="E6" s="28">
        <f>G128</f>
        <v/>
      </c>
      <c r="F6" s="23" t="n"/>
      <c r="G6" s="23" t="n"/>
      <c r="H6" s="29">
        <f>I128</f>
        <v/>
      </c>
      <c r="I6" s="23" t="n"/>
      <c r="J6" s="23" t="n"/>
      <c r="K6" s="27">
        <f>Q128</f>
        <v/>
      </c>
      <c r="L6" s="23" t="n"/>
      <c r="M6" s="23" t="n"/>
      <c r="N6" s="28">
        <f>R128</f>
        <v/>
      </c>
      <c r="O6" s="23" t="n"/>
      <c r="P6" s="23" t="n"/>
      <c r="Q6" s="30">
        <f>S128</f>
        <v/>
      </c>
      <c r="R6" s="23" t="n"/>
      <c r="S6" s="23" t="n"/>
      <c r="T6" s="23" t="n"/>
    </row>
    <row r="8" ht="22" customHeight="1">
      <c r="B8" s="3" t="inlineStr">
        <is>
          <t>DATOS CLIENTE Y ARTÍCULO</t>
        </is>
      </c>
      <c r="F8" s="4" t="inlineStr">
        <is>
          <t>CIERRE SEPTIEMBRE 2026 (CALIBRACIÓN Y ANÁLISIS)</t>
        </is>
      </c>
      <c r="K8" s="5" t="inlineStr">
        <is>
          <t>REVISIÓN PREVISIONES MES A MES (HASTA FINAL DE AÑO 2026)</t>
        </is>
      </c>
      <c r="Q8" s="6" t="inlineStr">
        <is>
          <t>IMPACTO Q4 Y JUSTIFICACIÓN</t>
        </is>
      </c>
    </row>
    <row r="9" ht="28" customHeight="1">
      <c r="B9" s="7" t="inlineStr">
        <is>
          <t>País</t>
        </is>
      </c>
      <c r="C9" s="7" t="inlineStr">
        <is>
          <t>Cliente</t>
        </is>
      </c>
      <c r="D9" s="7" t="inlineStr">
        <is>
          <t>Cód. SKU</t>
        </is>
      </c>
      <c r="E9" s="7" t="inlineStr">
        <is>
          <t>Descripción Artículo</t>
        </is>
      </c>
      <c r="F9" s="8" t="inlineStr">
        <is>
          <t>Sep Previsto (u)</t>
        </is>
      </c>
      <c r="G9" s="8" t="inlineStr">
        <is>
          <t>Sep Real (u)</t>
        </is>
      </c>
      <c r="H9" s="8" t="inlineStr">
        <is>
          <t>Desv. Sep (u)</t>
        </is>
      </c>
      <c r="I9" s="8" t="inlineStr">
        <is>
          <t>% Consec.</t>
        </is>
      </c>
      <c r="J9" s="8" t="inlineStr">
        <is>
          <t>Comentario Sep (¿Adelanto/Atraso/Extra?)</t>
        </is>
      </c>
      <c r="K9" s="9" t="inlineStr">
        <is>
          <t>Oct Anterior (u)</t>
        </is>
      </c>
      <c r="L9" s="9" t="inlineStr">
        <is>
          <t>Oct Revisado (u)</t>
        </is>
      </c>
      <c r="M9" s="9" t="inlineStr">
        <is>
          <t>Nov Anterior (u)</t>
        </is>
      </c>
      <c r="N9" s="9" t="inlineStr">
        <is>
          <t>Nov Revisado (u)</t>
        </is>
      </c>
      <c r="O9" s="9" t="inlineStr">
        <is>
          <t>Dic Anterior (u)</t>
        </is>
      </c>
      <c r="P9" s="9" t="inlineStr">
        <is>
          <t>Dic Revisado (u)</t>
        </is>
      </c>
      <c r="Q9" s="7" t="inlineStr">
        <is>
          <t>Total Q4 Ant (u)</t>
        </is>
      </c>
      <c r="R9" s="7" t="inlineStr">
        <is>
          <t>Total Q4 Rev (u)</t>
        </is>
      </c>
      <c r="S9" s="7" t="inlineStr">
        <is>
          <t>Dif Q4 (u)</t>
        </is>
      </c>
      <c r="T9" s="7" t="inlineStr">
        <is>
          <t>Comentarios / Justificación Q4</t>
        </is>
      </c>
    </row>
    <row r="10" ht="20" customHeight="1">
      <c r="B10" s="11" t="inlineStr">
        <is>
          <t>ESPAÑA</t>
        </is>
      </c>
      <c r="C10" s="31" t="inlineStr">
        <is>
          <t>AGROGIMEDEL, S.L.U.</t>
        </is>
      </c>
      <c r="D10" s="11" t="inlineStr">
        <is>
          <t>AGZNP0005</t>
        </is>
      </c>
      <c r="E10" s="31" t="inlineStr">
        <is>
          <t>AGROXILATO ZN PLUS, 5 KG</t>
        </is>
      </c>
      <c r="F10" s="12" t="n">
        <v>700</v>
      </c>
      <c r="G10" s="13" t="n">
        <v>0</v>
      </c>
      <c r="H10" s="12">
        <f>ABS(G10-F10)</f>
        <v/>
      </c>
      <c r="I10" s="32">
        <f>IF(F10&gt;0, G10/F10, IF(G10&gt;0, 1.0, 0.0))</f>
        <v/>
      </c>
      <c r="J10" s="33" t="inlineStr"/>
      <c r="K10" s="34" t="n">
        <v>0</v>
      </c>
      <c r="L10" s="35" t="n">
        <v>0</v>
      </c>
      <c r="M10" s="34" t="n">
        <v>0</v>
      </c>
      <c r="N10" s="35" t="n">
        <v>0</v>
      </c>
      <c r="O10" s="34" t="n">
        <v>200</v>
      </c>
      <c r="P10" s="35" t="n">
        <v>200</v>
      </c>
      <c r="Q10" s="12">
        <f>K10+M10+O10</f>
        <v/>
      </c>
      <c r="R10" s="13">
        <f>L10+N10+P10</f>
        <v/>
      </c>
      <c r="S10" s="36">
        <f>R10-Q10</f>
        <v/>
      </c>
      <c r="T10" s="37" t="inlineStr"/>
    </row>
    <row r="11" ht="20" customHeight="1">
      <c r="B11" s="11" t="inlineStr">
        <is>
          <t>ESPAÑA</t>
        </is>
      </c>
      <c r="C11" s="31" t="inlineStr">
        <is>
          <t>AGRONEW FITO, S.L.</t>
        </is>
      </c>
      <c r="D11" s="11" t="inlineStr">
        <is>
          <t>AGXK0020</t>
        </is>
      </c>
      <c r="E11" s="31" t="inlineStr">
        <is>
          <t>AGROXILATO-K, 20 L</t>
        </is>
      </c>
      <c r="F11" s="12" t="n">
        <v>0</v>
      </c>
      <c r="G11" s="13" t="n">
        <v>0</v>
      </c>
      <c r="H11" s="12">
        <f>ABS(G11-F11)</f>
        <v/>
      </c>
      <c r="I11" s="32">
        <f>IF(F11&gt;0, G11/F11, IF(G11&gt;0, 1.0, 0.0))</f>
        <v/>
      </c>
      <c r="J11" s="33" t="inlineStr"/>
      <c r="K11" s="34" t="n">
        <v>0</v>
      </c>
      <c r="L11" s="35" t="n">
        <v>0</v>
      </c>
      <c r="M11" s="34" t="n">
        <v>1280</v>
      </c>
      <c r="N11" s="35" t="n">
        <v>1280</v>
      </c>
      <c r="O11" s="34" t="n">
        <v>0</v>
      </c>
      <c r="P11" s="35" t="n">
        <v>0</v>
      </c>
      <c r="Q11" s="12">
        <f>K11+M11+O11</f>
        <v/>
      </c>
      <c r="R11" s="13">
        <f>L11+N11+P11</f>
        <v/>
      </c>
      <c r="S11" s="36">
        <f>R11-Q11</f>
        <v/>
      </c>
      <c r="T11" s="37" t="inlineStr"/>
    </row>
    <row r="12" ht="20" customHeight="1">
      <c r="B12" s="11" t="inlineStr">
        <is>
          <t>ESPAÑA</t>
        </is>
      </c>
      <c r="C12" s="31" t="inlineStr">
        <is>
          <t>AGRONEW FITO, S.L.</t>
        </is>
      </c>
      <c r="D12" s="11" t="inlineStr">
        <is>
          <t>AGXK1000</t>
        </is>
      </c>
      <c r="E12" s="31" t="inlineStr">
        <is>
          <t>AGROXILATO-K, 1000 L</t>
        </is>
      </c>
      <c r="F12" s="12" t="n">
        <v>2000</v>
      </c>
      <c r="G12" s="13" t="n">
        <v>0</v>
      </c>
      <c r="H12" s="12">
        <f>ABS(G12-F12)</f>
        <v/>
      </c>
      <c r="I12" s="32">
        <f>IF(F12&gt;0, G12/F12, IF(G12&gt;0, 1.0, 0.0))</f>
        <v/>
      </c>
      <c r="J12" s="33" t="inlineStr"/>
      <c r="K12" s="34" t="n">
        <v>0</v>
      </c>
      <c r="L12" s="35" t="n">
        <v>0</v>
      </c>
      <c r="M12" s="34" t="n">
        <v>2000</v>
      </c>
      <c r="N12" s="35" t="n">
        <v>2000</v>
      </c>
      <c r="O12" s="34" t="n">
        <v>0</v>
      </c>
      <c r="P12" s="35" t="n">
        <v>0</v>
      </c>
      <c r="Q12" s="12">
        <f>K12+M12+O12</f>
        <v/>
      </c>
      <c r="R12" s="13">
        <f>L12+N12+P12</f>
        <v/>
      </c>
      <c r="S12" s="36">
        <f>R12-Q12</f>
        <v/>
      </c>
      <c r="T12" s="37" t="inlineStr"/>
    </row>
    <row r="13" ht="20" customHeight="1">
      <c r="B13" s="11" t="inlineStr">
        <is>
          <t>ESPAÑA</t>
        </is>
      </c>
      <c r="C13" s="31" t="inlineStr">
        <is>
          <t>AGRONEW FITO, S.L.</t>
        </is>
      </c>
      <c r="D13" s="11" t="inlineStr">
        <is>
          <t>AGZ-M0005</t>
        </is>
      </c>
      <c r="E13" s="31" t="inlineStr">
        <is>
          <t>AGROXILATO-ZN-MN, 5 KG</t>
        </is>
      </c>
      <c r="F13" s="12" t="n">
        <v>300</v>
      </c>
      <c r="G13" s="13" t="n">
        <v>0</v>
      </c>
      <c r="H13" s="12">
        <f>ABS(G13-F13)</f>
        <v/>
      </c>
      <c r="I13" s="32">
        <f>IF(F13&gt;0, G13/F13, IF(G13&gt;0, 1.0, 0.0))</f>
        <v/>
      </c>
      <c r="J13" s="33" t="inlineStr"/>
      <c r="K13" s="34" t="n">
        <v>0</v>
      </c>
      <c r="L13" s="35" t="n">
        <v>0</v>
      </c>
      <c r="M13" s="34" t="n">
        <v>0</v>
      </c>
      <c r="N13" s="35" t="n">
        <v>0</v>
      </c>
      <c r="O13" s="34" t="n">
        <v>0</v>
      </c>
      <c r="P13" s="35" t="n">
        <v>0</v>
      </c>
      <c r="Q13" s="12">
        <f>K13+M13+O13</f>
        <v/>
      </c>
      <c r="R13" s="13">
        <f>L13+N13+P13</f>
        <v/>
      </c>
      <c r="S13" s="36">
        <f>R13-Q13</f>
        <v/>
      </c>
      <c r="T13" s="37" t="inlineStr"/>
    </row>
    <row r="14" ht="20" customHeight="1">
      <c r="B14" s="11" t="inlineStr">
        <is>
          <t>ESPAÑA</t>
        </is>
      </c>
      <c r="C14" s="31" t="inlineStr">
        <is>
          <t>AGRONEW FITO, S.L.</t>
        </is>
      </c>
      <c r="D14" s="11" t="inlineStr">
        <is>
          <t>AGZNP0005</t>
        </is>
      </c>
      <c r="E14" s="31" t="inlineStr">
        <is>
          <t>AGROXILATO-ZN PLUS, 5 KG</t>
        </is>
      </c>
      <c r="F14" s="12" t="n">
        <v>0</v>
      </c>
      <c r="G14" s="13" t="n">
        <v>100</v>
      </c>
      <c r="H14" s="12">
        <f>ABS(G14-F14)</f>
        <v/>
      </c>
      <c r="I14" s="32">
        <f>IF(F14&gt;0, G14/F14, IF(G14&gt;0, 1.0, 0.0))</f>
        <v/>
      </c>
      <c r="J14" s="33" t="inlineStr">
        <is>
          <t>Pedido extra no previsto</t>
        </is>
      </c>
      <c r="K14" s="34" t="n">
        <v>0</v>
      </c>
      <c r="L14" s="35" t="n">
        <v>0</v>
      </c>
      <c r="M14" s="34" t="n">
        <v>0</v>
      </c>
      <c r="N14" s="35" t="n">
        <v>0</v>
      </c>
      <c r="O14" s="34" t="n">
        <v>0</v>
      </c>
      <c r="P14" s="35" t="n">
        <v>0</v>
      </c>
      <c r="Q14" s="12">
        <f>K14+M14+O14</f>
        <v/>
      </c>
      <c r="R14" s="13">
        <f>L14+N14+P14</f>
        <v/>
      </c>
      <c r="S14" s="36">
        <f>R14-Q14</f>
        <v/>
      </c>
      <c r="T14" s="37" t="inlineStr"/>
    </row>
    <row r="15" ht="20" customHeight="1">
      <c r="B15" s="11" t="inlineStr">
        <is>
          <t>ESPAÑA</t>
        </is>
      </c>
      <c r="C15" s="31" t="inlineStr">
        <is>
          <t>AGRONEW FITO, S.L.</t>
        </is>
      </c>
      <c r="D15" s="11" t="inlineStr">
        <is>
          <t>AN0020</t>
        </is>
      </c>
      <c r="E15" s="31" t="inlineStr">
        <is>
          <t>ALCAPLANT NEW, 20 KG</t>
        </is>
      </c>
      <c r="F15" s="12" t="n">
        <v>0</v>
      </c>
      <c r="G15" s="13" t="n">
        <v>0</v>
      </c>
      <c r="H15" s="12">
        <f>ABS(G15-F15)</f>
        <v/>
      </c>
      <c r="I15" s="32">
        <f>IF(F15&gt;0, G15/F15, IF(G15&gt;0, 1.0, 0.0))</f>
        <v/>
      </c>
      <c r="J15" s="33" t="inlineStr"/>
      <c r="K15" s="34" t="n">
        <v>0</v>
      </c>
      <c r="L15" s="35" t="n">
        <v>0</v>
      </c>
      <c r="M15" s="34" t="n">
        <v>600</v>
      </c>
      <c r="N15" s="35" t="n">
        <v>600</v>
      </c>
      <c r="O15" s="34" t="n">
        <v>0</v>
      </c>
      <c r="P15" s="35" t="n">
        <v>0</v>
      </c>
      <c r="Q15" s="12">
        <f>K15+M15+O15</f>
        <v/>
      </c>
      <c r="R15" s="13">
        <f>L15+N15+P15</f>
        <v/>
      </c>
      <c r="S15" s="36">
        <f>R15-Q15</f>
        <v/>
      </c>
      <c r="T15" s="37" t="inlineStr"/>
    </row>
    <row r="16" ht="20" customHeight="1">
      <c r="B16" s="11" t="inlineStr">
        <is>
          <t>ESPAÑA</t>
        </is>
      </c>
      <c r="C16" s="31" t="inlineStr">
        <is>
          <t>AGRONEW FITO, S.L.</t>
        </is>
      </c>
      <c r="D16" s="11" t="inlineStr">
        <is>
          <t>ANAE0020</t>
        </is>
      </c>
      <c r="E16" s="31" t="inlineStr">
        <is>
          <t>ALCAPLANT NEW AE, 20 KG</t>
        </is>
      </c>
      <c r="F16" s="12" t="n">
        <v>2200</v>
      </c>
      <c r="G16" s="13" t="n">
        <v>1100</v>
      </c>
      <c r="H16" s="12">
        <f>ABS(G16-F16)</f>
        <v/>
      </c>
      <c r="I16" s="32">
        <f>IF(F16&gt;0, G16/F16, IF(G16&gt;0, 1.0, 0.0))</f>
        <v/>
      </c>
      <c r="J16" s="33" t="inlineStr"/>
      <c r="K16" s="34" t="n">
        <v>1100</v>
      </c>
      <c r="L16" s="35" t="n">
        <v>1100</v>
      </c>
      <c r="M16" s="34" t="n">
        <v>0</v>
      </c>
      <c r="N16" s="35" t="n">
        <v>0</v>
      </c>
      <c r="O16" s="34" t="n">
        <v>0</v>
      </c>
      <c r="P16" s="35" t="n">
        <v>0</v>
      </c>
      <c r="Q16" s="12">
        <f>K16+M16+O16</f>
        <v/>
      </c>
      <c r="R16" s="13">
        <f>L16+N16+P16</f>
        <v/>
      </c>
      <c r="S16" s="36">
        <f>R16-Q16</f>
        <v/>
      </c>
      <c r="T16" s="37" t="inlineStr"/>
    </row>
    <row r="17" ht="20" customHeight="1">
      <c r="B17" s="11" t="inlineStr">
        <is>
          <t>ESPAÑA</t>
        </is>
      </c>
      <c r="C17" s="31" t="inlineStr">
        <is>
          <t>AGRONEW FITO, S.L.</t>
        </is>
      </c>
      <c r="D17" s="11" t="inlineStr">
        <is>
          <t>PT0020</t>
        </is>
      </c>
      <c r="E17" s="31" t="inlineStr">
        <is>
          <t>AGROPOTASION, 20 L</t>
        </is>
      </c>
      <c r="F17" s="12" t="n">
        <v>1920</v>
      </c>
      <c r="G17" s="13" t="n">
        <v>1280</v>
      </c>
      <c r="H17" s="12">
        <f>ABS(G17-F17)</f>
        <v/>
      </c>
      <c r="I17" s="32">
        <f>IF(F17&gt;0, G17/F17, IF(G17&gt;0, 1.0, 0.0))</f>
        <v/>
      </c>
      <c r="J17" s="33" t="inlineStr"/>
      <c r="K17" s="34" t="n">
        <v>0</v>
      </c>
      <c r="L17" s="35" t="n">
        <v>0</v>
      </c>
      <c r="M17" s="34" t="n">
        <v>1280</v>
      </c>
      <c r="N17" s="35" t="n">
        <v>1280</v>
      </c>
      <c r="O17" s="34" t="n">
        <v>0</v>
      </c>
      <c r="P17" s="35" t="n">
        <v>0</v>
      </c>
      <c r="Q17" s="12">
        <f>K17+M17+O17</f>
        <v/>
      </c>
      <c r="R17" s="13">
        <f>L17+N17+P17</f>
        <v/>
      </c>
      <c r="S17" s="36">
        <f>R17-Q17</f>
        <v/>
      </c>
      <c r="T17" s="37" t="inlineStr"/>
    </row>
    <row r="18" ht="20" customHeight="1">
      <c r="B18" s="11" t="inlineStr">
        <is>
          <t>ESPAÑA</t>
        </is>
      </c>
      <c r="C18" s="31" t="inlineStr">
        <is>
          <t>AGRONEW FITO, S.L.</t>
        </is>
      </c>
      <c r="D18" s="11" t="inlineStr">
        <is>
          <t>S1000</t>
        </is>
      </c>
      <c r="E18" s="31" t="inlineStr">
        <is>
          <t>SAL-WAX STAR, 1000 L</t>
        </is>
      </c>
      <c r="F18" s="12" t="n">
        <v>5000</v>
      </c>
      <c r="G18" s="13" t="n">
        <v>1000</v>
      </c>
      <c r="H18" s="12">
        <f>ABS(G18-F18)</f>
        <v/>
      </c>
      <c r="I18" s="32">
        <f>IF(F18&gt;0, G18/F18, IF(G18&gt;0, 1.0, 0.0))</f>
        <v/>
      </c>
      <c r="J18" s="33" t="inlineStr"/>
      <c r="K18" s="34" t="n">
        <v>5000</v>
      </c>
      <c r="L18" s="35" t="n">
        <v>5000</v>
      </c>
      <c r="M18" s="34" t="n">
        <v>5000</v>
      </c>
      <c r="N18" s="35" t="n">
        <v>5000</v>
      </c>
      <c r="O18" s="34" t="n">
        <v>0</v>
      </c>
      <c r="P18" s="35" t="n">
        <v>0</v>
      </c>
      <c r="Q18" s="12">
        <f>K18+M18+O18</f>
        <v/>
      </c>
      <c r="R18" s="13">
        <f>L18+N18+P18</f>
        <v/>
      </c>
      <c r="S18" s="36">
        <f>R18-Q18</f>
        <v/>
      </c>
      <c r="T18" s="37" t="inlineStr"/>
    </row>
    <row r="19" ht="20" customHeight="1">
      <c r="B19" s="11" t="inlineStr">
        <is>
          <t>ESPAÑA</t>
        </is>
      </c>
      <c r="C19" s="31" t="inlineStr">
        <is>
          <t>AGROREBOLLO, S.L.</t>
        </is>
      </c>
      <c r="D19" s="11" t="inlineStr">
        <is>
          <t>AGZNP0005</t>
        </is>
      </c>
      <c r="E19" s="31" t="inlineStr">
        <is>
          <t>AGROXILATO ZN PLUS, 5 KG</t>
        </is>
      </c>
      <c r="F19" s="12" t="n">
        <v>500</v>
      </c>
      <c r="G19" s="13" t="n">
        <v>0</v>
      </c>
      <c r="H19" s="12">
        <f>ABS(G19-F19)</f>
        <v/>
      </c>
      <c r="I19" s="32">
        <f>IF(F19&gt;0, G19/F19, IF(G19&gt;0, 1.0, 0.0))</f>
        <v/>
      </c>
      <c r="J19" s="33" t="inlineStr"/>
      <c r="K19" s="34" t="n">
        <v>0</v>
      </c>
      <c r="L19" s="35" t="n">
        <v>0</v>
      </c>
      <c r="M19" s="34" t="n">
        <v>0</v>
      </c>
      <c r="N19" s="35" t="n">
        <v>0</v>
      </c>
      <c r="O19" s="34" t="n">
        <v>750</v>
      </c>
      <c r="P19" s="35" t="n">
        <v>750</v>
      </c>
      <c r="Q19" s="12">
        <f>K19+M19+O19</f>
        <v/>
      </c>
      <c r="R19" s="13">
        <f>L19+N19+P19</f>
        <v/>
      </c>
      <c r="S19" s="36">
        <f>R19-Q19</f>
        <v/>
      </c>
      <c r="T19" s="37" t="inlineStr"/>
    </row>
    <row r="20" ht="20" customHeight="1">
      <c r="B20" s="11" t="inlineStr">
        <is>
          <t>ESPAÑA</t>
        </is>
      </c>
      <c r="C20" s="31" t="inlineStr">
        <is>
          <t>AGROSER BERNARDINO, S.L.</t>
        </is>
      </c>
      <c r="D20" s="11" t="inlineStr">
        <is>
          <t>AN0020</t>
        </is>
      </c>
      <c r="E20" s="31" t="inlineStr">
        <is>
          <t>ALCAPLANT NEW, 20 KG</t>
        </is>
      </c>
      <c r="F20" s="12" t="n">
        <v>1100</v>
      </c>
      <c r="G20" s="13" t="n">
        <v>1100</v>
      </c>
      <c r="H20" s="12">
        <f>ABS(G20-F20)</f>
        <v/>
      </c>
      <c r="I20" s="32">
        <f>IF(F20&gt;0, G20/F20, IF(G20&gt;0, 1.0, 0.0))</f>
        <v/>
      </c>
      <c r="J20" s="33" t="inlineStr"/>
      <c r="K20" s="34" t="n">
        <v>2200</v>
      </c>
      <c r="L20" s="35" t="n">
        <v>2200</v>
      </c>
      <c r="M20" s="34" t="n">
        <v>3300</v>
      </c>
      <c r="N20" s="35" t="n">
        <v>3300</v>
      </c>
      <c r="O20" s="34" t="n">
        <v>1100</v>
      </c>
      <c r="P20" s="35" t="n">
        <v>1100</v>
      </c>
      <c r="Q20" s="12">
        <f>K20+M20+O20</f>
        <v/>
      </c>
      <c r="R20" s="13">
        <f>L20+N20+P20</f>
        <v/>
      </c>
      <c r="S20" s="36">
        <f>R20-Q20</f>
        <v/>
      </c>
      <c r="T20" s="37" t="inlineStr"/>
    </row>
    <row r="21" ht="20" customHeight="1">
      <c r="B21" s="11" t="inlineStr">
        <is>
          <t>ESPAÑA</t>
        </is>
      </c>
      <c r="C21" s="31" t="inlineStr">
        <is>
          <t>AGROSER BERNARDINO, S.L.</t>
        </is>
      </c>
      <c r="D21" s="11" t="inlineStr">
        <is>
          <t>BIO0020</t>
        </is>
      </c>
      <c r="E21" s="31" t="inlineStr">
        <is>
          <t>BIORAD-20, 20 L</t>
        </is>
      </c>
      <c r="F21" s="12" t="n">
        <v>0</v>
      </c>
      <c r="G21" s="13" t="n">
        <v>0</v>
      </c>
      <c r="H21" s="12">
        <f>ABS(G21-F21)</f>
        <v/>
      </c>
      <c r="I21" s="32">
        <f>IF(F21&gt;0, G21/F21, IF(G21&gt;0, 1.0, 0.0))</f>
        <v/>
      </c>
      <c r="J21" s="33" t="inlineStr"/>
      <c r="K21" s="34" t="n">
        <v>1280</v>
      </c>
      <c r="L21" s="35" t="n">
        <v>1280</v>
      </c>
      <c r="M21" s="34" t="n">
        <v>640</v>
      </c>
      <c r="N21" s="35" t="n">
        <v>640</v>
      </c>
      <c r="O21" s="34" t="n">
        <v>640</v>
      </c>
      <c r="P21" s="35" t="n">
        <v>640</v>
      </c>
      <c r="Q21" s="12">
        <f>K21+M21+O21</f>
        <v/>
      </c>
      <c r="R21" s="13">
        <f>L21+N21+P21</f>
        <v/>
      </c>
      <c r="S21" s="36">
        <f>R21-Q21</f>
        <v/>
      </c>
      <c r="T21" s="37" t="inlineStr"/>
    </row>
    <row r="22" ht="20" customHeight="1">
      <c r="B22" s="11" t="inlineStr">
        <is>
          <t>ESPAÑA</t>
        </is>
      </c>
      <c r="C22" s="31" t="inlineStr">
        <is>
          <t>AGROSER BERNARDINO, S.L.</t>
        </is>
      </c>
      <c r="D22" s="11" t="inlineStr">
        <is>
          <t>BIO1000</t>
        </is>
      </c>
      <c r="E22" s="31" t="inlineStr">
        <is>
          <t>BIORAD-20, 1000 L</t>
        </is>
      </c>
      <c r="F22" s="12" t="n">
        <v>0</v>
      </c>
      <c r="G22" s="13" t="n">
        <v>0</v>
      </c>
      <c r="H22" s="12">
        <f>ABS(G22-F22)</f>
        <v/>
      </c>
      <c r="I22" s="32">
        <f>IF(F22&gt;0, G22/F22, IF(G22&gt;0, 1.0, 0.0))</f>
        <v/>
      </c>
      <c r="J22" s="33" t="inlineStr"/>
      <c r="K22" s="34" t="n">
        <v>2000</v>
      </c>
      <c r="L22" s="35" t="n">
        <v>2000</v>
      </c>
      <c r="M22" s="34" t="n">
        <v>2000</v>
      </c>
      <c r="N22" s="35" t="n">
        <v>2000</v>
      </c>
      <c r="O22" s="34" t="n">
        <v>0</v>
      </c>
      <c r="P22" s="35" t="n">
        <v>0</v>
      </c>
      <c r="Q22" s="12">
        <f>K22+M22+O22</f>
        <v/>
      </c>
      <c r="R22" s="13">
        <f>L22+N22+P22</f>
        <v/>
      </c>
      <c r="S22" s="36">
        <f>R22-Q22</f>
        <v/>
      </c>
      <c r="T22" s="37" t="inlineStr"/>
    </row>
    <row r="23" ht="20" customHeight="1">
      <c r="B23" s="11" t="inlineStr">
        <is>
          <t>ESPAÑA</t>
        </is>
      </c>
      <c r="C23" s="31" t="inlineStr">
        <is>
          <t>AGROSER BERNARDINO, S.L.</t>
        </is>
      </c>
      <c r="D23" s="11" t="inlineStr">
        <is>
          <t>C-CU0005</t>
        </is>
      </c>
      <c r="E23" s="31" t="inlineStr">
        <is>
          <t>CODICOBRE, 5 L</t>
        </is>
      </c>
      <c r="F23" s="12" t="n">
        <v>0</v>
      </c>
      <c r="G23" s="13" t="n">
        <v>0</v>
      </c>
      <c r="H23" s="12">
        <f>ABS(G23-F23)</f>
        <v/>
      </c>
      <c r="I23" s="32">
        <f>IF(F23&gt;0, G23/F23, IF(G23&gt;0, 1.0, 0.0))</f>
        <v/>
      </c>
      <c r="J23" s="33" t="inlineStr"/>
      <c r="K23" s="34" t="n">
        <v>600</v>
      </c>
      <c r="L23" s="35" t="n">
        <v>600</v>
      </c>
      <c r="M23" s="34" t="n">
        <v>0</v>
      </c>
      <c r="N23" s="35" t="n">
        <v>0</v>
      </c>
      <c r="O23" s="34" t="n">
        <v>0</v>
      </c>
      <c r="P23" s="35" t="n">
        <v>0</v>
      </c>
      <c r="Q23" s="12">
        <f>K23+M23+O23</f>
        <v/>
      </c>
      <c r="R23" s="13">
        <f>L23+N23+P23</f>
        <v/>
      </c>
      <c r="S23" s="36">
        <f>R23-Q23</f>
        <v/>
      </c>
      <c r="T23" s="37" t="inlineStr"/>
    </row>
    <row r="24" ht="20" customHeight="1">
      <c r="B24" s="11" t="inlineStr">
        <is>
          <t>ESPAÑA</t>
        </is>
      </c>
      <c r="C24" s="31" t="inlineStr">
        <is>
          <t>AGROSER BERNARDINO, S.L.</t>
        </is>
      </c>
      <c r="D24" s="11" t="inlineStr">
        <is>
          <t>FROST-P0020</t>
        </is>
      </c>
      <c r="E24" s="31" t="inlineStr">
        <is>
          <t>CODIFROST PLUS, 20 L</t>
        </is>
      </c>
      <c r="F24" s="12" t="n">
        <v>0</v>
      </c>
      <c r="G24" s="13" t="n">
        <v>0</v>
      </c>
      <c r="H24" s="12">
        <f>ABS(G24-F24)</f>
        <v/>
      </c>
      <c r="I24" s="32">
        <f>IF(F24&gt;0, G24/F24, IF(G24&gt;0, 1.0, 0.0))</f>
        <v/>
      </c>
      <c r="J24" s="33" t="inlineStr"/>
      <c r="K24" s="34" t="n">
        <v>0</v>
      </c>
      <c r="L24" s="35" t="n">
        <v>0</v>
      </c>
      <c r="M24" s="34" t="n">
        <v>200</v>
      </c>
      <c r="N24" s="35" t="n">
        <v>200</v>
      </c>
      <c r="O24" s="34" t="n">
        <v>200</v>
      </c>
      <c r="P24" s="35" t="n">
        <v>200</v>
      </c>
      <c r="Q24" s="12">
        <f>K24+M24+O24</f>
        <v/>
      </c>
      <c r="R24" s="13">
        <f>L24+N24+P24</f>
        <v/>
      </c>
      <c r="S24" s="36">
        <f>R24-Q24</f>
        <v/>
      </c>
      <c r="T24" s="37" t="inlineStr"/>
    </row>
    <row r="25" ht="20" customHeight="1">
      <c r="B25" s="11" t="inlineStr">
        <is>
          <t>ESPAÑA</t>
        </is>
      </c>
      <c r="C25" s="31" t="inlineStr">
        <is>
          <t>AGROSER BERNARDINO, S.L.</t>
        </is>
      </c>
      <c r="D25" s="11" t="inlineStr">
        <is>
          <t>PT0020</t>
        </is>
      </c>
      <c r="E25" s="31" t="inlineStr">
        <is>
          <t>AGROPOTASION, 20 L</t>
        </is>
      </c>
      <c r="F25" s="12" t="n">
        <v>0</v>
      </c>
      <c r="G25" s="13" t="n">
        <v>0</v>
      </c>
      <c r="H25" s="12">
        <f>ABS(G25-F25)</f>
        <v/>
      </c>
      <c r="I25" s="32">
        <f>IF(F25&gt;0, G25/F25, IF(G25&gt;0, 1.0, 0.0))</f>
        <v/>
      </c>
      <c r="J25" s="33" t="inlineStr"/>
      <c r="K25" s="34" t="n">
        <v>640</v>
      </c>
      <c r="L25" s="35" t="n">
        <v>640</v>
      </c>
      <c r="M25" s="34" t="n">
        <v>640</v>
      </c>
      <c r="N25" s="35" t="n">
        <v>640</v>
      </c>
      <c r="O25" s="34" t="n">
        <v>0</v>
      </c>
      <c r="P25" s="35" t="n">
        <v>0</v>
      </c>
      <c r="Q25" s="12">
        <f>K25+M25+O25</f>
        <v/>
      </c>
      <c r="R25" s="13">
        <f>L25+N25+P25</f>
        <v/>
      </c>
      <c r="S25" s="36">
        <f>R25-Q25</f>
        <v/>
      </c>
      <c r="T25" s="37" t="inlineStr"/>
    </row>
    <row r="26" ht="20" customHeight="1">
      <c r="B26" s="11" t="inlineStr">
        <is>
          <t>ESPAÑA</t>
        </is>
      </c>
      <c r="C26" s="31" t="inlineStr">
        <is>
          <t>AGROTRAPICHE, S.L.U</t>
        </is>
      </c>
      <c r="D26" s="11" t="inlineStr">
        <is>
          <t>A-50(2)0020</t>
        </is>
      </c>
      <c r="E26" s="31" t="inlineStr">
        <is>
          <t>CODIORGAN-A50, 20 KG</t>
        </is>
      </c>
      <c r="F26" s="12" t="n">
        <v>200</v>
      </c>
      <c r="G26" s="13" t="n">
        <v>0</v>
      </c>
      <c r="H26" s="12">
        <f>ABS(G26-F26)</f>
        <v/>
      </c>
      <c r="I26" s="32">
        <f>IF(F26&gt;0, G26/F26, IF(G26&gt;0, 1.0, 0.0))</f>
        <v/>
      </c>
      <c r="J26" s="33" t="inlineStr"/>
      <c r="K26" s="34" t="n">
        <v>0</v>
      </c>
      <c r="L26" s="35" t="n">
        <v>0</v>
      </c>
      <c r="M26" s="34" t="n">
        <v>0</v>
      </c>
      <c r="N26" s="35" t="n">
        <v>0</v>
      </c>
      <c r="O26" s="34" t="n">
        <v>0</v>
      </c>
      <c r="P26" s="35" t="n">
        <v>0</v>
      </c>
      <c r="Q26" s="12">
        <f>K26+M26+O26</f>
        <v/>
      </c>
      <c r="R26" s="13">
        <f>L26+N26+P26</f>
        <v/>
      </c>
      <c r="S26" s="36">
        <f>R26-Q26</f>
        <v/>
      </c>
      <c r="T26" s="37" t="inlineStr"/>
    </row>
    <row r="27" ht="20" customHeight="1">
      <c r="B27" s="11" t="inlineStr">
        <is>
          <t>ESPAÑA</t>
        </is>
      </c>
      <c r="C27" s="31" t="inlineStr">
        <is>
          <t>AGROTRAPICHE, S.L.U</t>
        </is>
      </c>
      <c r="D27" s="11" t="inlineStr">
        <is>
          <t>AGZNP0005</t>
        </is>
      </c>
      <c r="E27" s="31" t="inlineStr">
        <is>
          <t>AGROXILATO-ZN PLUS, 5 KG</t>
        </is>
      </c>
      <c r="F27" s="12" t="n">
        <v>300</v>
      </c>
      <c r="G27" s="13" t="n">
        <v>0</v>
      </c>
      <c r="H27" s="12">
        <f>ABS(G27-F27)</f>
        <v/>
      </c>
      <c r="I27" s="32">
        <f>IF(F27&gt;0, G27/F27, IF(G27&gt;0, 1.0, 0.0))</f>
        <v/>
      </c>
      <c r="J27" s="33" t="inlineStr"/>
      <c r="K27" s="34" t="n">
        <v>0</v>
      </c>
      <c r="L27" s="35" t="n">
        <v>0</v>
      </c>
      <c r="M27" s="34" t="n">
        <v>0</v>
      </c>
      <c r="N27" s="35" t="n">
        <v>0</v>
      </c>
      <c r="O27" s="34" t="n">
        <v>0</v>
      </c>
      <c r="P27" s="35" t="n">
        <v>0</v>
      </c>
      <c r="Q27" s="12">
        <f>K27+M27+O27</f>
        <v/>
      </c>
      <c r="R27" s="13">
        <f>L27+N27+P27</f>
        <v/>
      </c>
      <c r="S27" s="36">
        <f>R27-Q27</f>
        <v/>
      </c>
      <c r="T27" s="37" t="inlineStr"/>
    </row>
    <row r="28" ht="20" customHeight="1">
      <c r="B28" s="11" t="inlineStr">
        <is>
          <t>ESPAÑA</t>
        </is>
      </c>
      <c r="C28" s="31" t="inlineStr">
        <is>
          <t>AGROTRAPICHE, S.L.U</t>
        </is>
      </c>
      <c r="D28" s="11" t="inlineStr">
        <is>
          <t>AVAN0005</t>
        </is>
      </c>
      <c r="E28" s="31" t="inlineStr">
        <is>
          <t>FLORAMEC AVANCE, 5 L</t>
        </is>
      </c>
      <c r="F28" s="12" t="n">
        <v>0</v>
      </c>
      <c r="G28" s="13" t="n">
        <v>0</v>
      </c>
      <c r="H28" s="12">
        <f>ABS(G28-F28)</f>
        <v/>
      </c>
      <c r="I28" s="32">
        <f>IF(F28&gt;0, G28/F28, IF(G28&gt;0, 1.0, 0.0))</f>
        <v/>
      </c>
      <c r="J28" s="33" t="inlineStr"/>
      <c r="K28" s="34" t="n">
        <v>100</v>
      </c>
      <c r="L28" s="35" t="n">
        <v>100</v>
      </c>
      <c r="M28" s="34" t="n">
        <v>0</v>
      </c>
      <c r="N28" s="35" t="n">
        <v>0</v>
      </c>
      <c r="O28" s="34" t="n">
        <v>0</v>
      </c>
      <c r="P28" s="35" t="n">
        <v>0</v>
      </c>
      <c r="Q28" s="12">
        <f>K28+M28+O28</f>
        <v/>
      </c>
      <c r="R28" s="13">
        <f>L28+N28+P28</f>
        <v/>
      </c>
      <c r="S28" s="36">
        <f>R28-Q28</f>
        <v/>
      </c>
      <c r="T28" s="37" t="inlineStr"/>
    </row>
    <row r="29" ht="20" customHeight="1">
      <c r="B29" s="11" t="inlineStr">
        <is>
          <t>ESPAÑA</t>
        </is>
      </c>
      <c r="C29" s="31" t="inlineStr">
        <is>
          <t>AGROTRAPICHE, S.L.U</t>
        </is>
      </c>
      <c r="D29" s="11" t="inlineStr">
        <is>
          <t>C-CU0020</t>
        </is>
      </c>
      <c r="E29" s="31" t="inlineStr">
        <is>
          <t>CODICOBRE, 20 L</t>
        </is>
      </c>
      <c r="F29" s="12" t="n">
        <v>0</v>
      </c>
      <c r="G29" s="13" t="n">
        <v>0</v>
      </c>
      <c r="H29" s="12">
        <f>ABS(G29-F29)</f>
        <v/>
      </c>
      <c r="I29" s="32">
        <f>IF(F29&gt;0, G29/F29, IF(G29&gt;0, 1.0, 0.0))</f>
        <v/>
      </c>
      <c r="J29" s="33" t="inlineStr"/>
      <c r="K29" s="34" t="n">
        <v>0</v>
      </c>
      <c r="L29" s="35" t="n">
        <v>0</v>
      </c>
      <c r="M29" s="34" t="n">
        <v>200</v>
      </c>
      <c r="N29" s="35" t="n">
        <v>200</v>
      </c>
      <c r="O29" s="34" t="n">
        <v>0</v>
      </c>
      <c r="P29" s="35" t="n">
        <v>0</v>
      </c>
      <c r="Q29" s="12">
        <f>K29+M29+O29</f>
        <v/>
      </c>
      <c r="R29" s="13">
        <f>L29+N29+P29</f>
        <v/>
      </c>
      <c r="S29" s="36">
        <f>R29-Q29</f>
        <v/>
      </c>
      <c r="T29" s="37" t="inlineStr"/>
    </row>
    <row r="30" ht="20" customHeight="1">
      <c r="B30" s="11" t="inlineStr">
        <is>
          <t>ESPAÑA</t>
        </is>
      </c>
      <c r="C30" s="31" t="inlineStr">
        <is>
          <t>AGRUPACION DE LABRADORES DEL POZUELO, SA</t>
        </is>
      </c>
      <c r="D30" s="11" t="inlineStr">
        <is>
          <t>AGXK0020</t>
        </is>
      </c>
      <c r="E30" s="31" t="inlineStr">
        <is>
          <t>AGROXILATO-K, 20 L</t>
        </is>
      </c>
      <c r="F30" s="12" t="n">
        <v>100</v>
      </c>
      <c r="G30" s="13" t="n">
        <v>100</v>
      </c>
      <c r="H30" s="12">
        <f>ABS(G30-F30)</f>
        <v/>
      </c>
      <c r="I30" s="32">
        <f>IF(F30&gt;0, G30/F30, IF(G30&gt;0, 1.0, 0.0))</f>
        <v/>
      </c>
      <c r="J30" s="33" t="inlineStr"/>
      <c r="K30" s="34" t="n">
        <v>100</v>
      </c>
      <c r="L30" s="35" t="n">
        <v>100</v>
      </c>
      <c r="M30" s="34" t="n">
        <v>0</v>
      </c>
      <c r="N30" s="35" t="n">
        <v>0</v>
      </c>
      <c r="O30" s="34" t="n">
        <v>100</v>
      </c>
      <c r="P30" s="35" t="n">
        <v>100</v>
      </c>
      <c r="Q30" s="12">
        <f>K30+M30+O30</f>
        <v/>
      </c>
      <c r="R30" s="13">
        <f>L30+N30+P30</f>
        <v/>
      </c>
      <c r="S30" s="36">
        <f>R30-Q30</f>
        <v/>
      </c>
      <c r="T30" s="37" t="inlineStr"/>
    </row>
    <row r="31" ht="20" customHeight="1">
      <c r="B31" s="11" t="inlineStr">
        <is>
          <t>ESPAÑA</t>
        </is>
      </c>
      <c r="C31" s="31" t="inlineStr">
        <is>
          <t>AGRUPACION DE LABRADORES DEL POZUELO, SA</t>
        </is>
      </c>
      <c r="D31" s="11" t="inlineStr">
        <is>
          <t>AVAN0005</t>
        </is>
      </c>
      <c r="E31" s="31" t="inlineStr">
        <is>
          <t>FLORAMEC AVANCE, 5 L</t>
        </is>
      </c>
      <c r="F31" s="12" t="n">
        <v>300</v>
      </c>
      <c r="G31" s="13" t="n">
        <v>300</v>
      </c>
      <c r="H31" s="12">
        <f>ABS(G31-F31)</f>
        <v/>
      </c>
      <c r="I31" s="32">
        <f>IF(F31&gt;0, G31/F31, IF(G31&gt;0, 1.0, 0.0))</f>
        <v/>
      </c>
      <c r="J31" s="33" t="inlineStr"/>
      <c r="K31" s="34" t="n">
        <v>300</v>
      </c>
      <c r="L31" s="35" t="n">
        <v>300</v>
      </c>
      <c r="M31" s="34" t="n">
        <v>0</v>
      </c>
      <c r="N31" s="35" t="n">
        <v>0</v>
      </c>
      <c r="O31" s="34" t="n">
        <v>300</v>
      </c>
      <c r="P31" s="35" t="n">
        <v>300</v>
      </c>
      <c r="Q31" s="12">
        <f>K31+M31+O31</f>
        <v/>
      </c>
      <c r="R31" s="13">
        <f>L31+N31+P31</f>
        <v/>
      </c>
      <c r="S31" s="36">
        <f>R31-Q31</f>
        <v/>
      </c>
      <c r="T31" s="37" t="inlineStr"/>
    </row>
    <row r="32" ht="20" customHeight="1">
      <c r="B32" s="11" t="inlineStr">
        <is>
          <t>ESPAÑA</t>
        </is>
      </c>
      <c r="C32" s="31" t="inlineStr">
        <is>
          <t>AGRUPACION DE LABRADORES DEL POZUELO, SA</t>
        </is>
      </c>
      <c r="D32" s="11" t="inlineStr">
        <is>
          <t>AVAN0020</t>
        </is>
      </c>
      <c r="E32" s="31" t="inlineStr">
        <is>
          <t>FLORAMEC AVANCE, 20 L</t>
        </is>
      </c>
      <c r="F32" s="12" t="n">
        <v>200</v>
      </c>
      <c r="G32" s="13" t="n">
        <v>200</v>
      </c>
      <c r="H32" s="12">
        <f>ABS(G32-F32)</f>
        <v/>
      </c>
      <c r="I32" s="32">
        <f>IF(F32&gt;0, G32/F32, IF(G32&gt;0, 1.0, 0.0))</f>
        <v/>
      </c>
      <c r="J32" s="33" t="inlineStr"/>
      <c r="K32" s="34" t="n">
        <v>200</v>
      </c>
      <c r="L32" s="35" t="n">
        <v>200</v>
      </c>
      <c r="M32" s="34" t="n">
        <v>0</v>
      </c>
      <c r="N32" s="35" t="n">
        <v>0</v>
      </c>
      <c r="O32" s="34" t="n">
        <v>200</v>
      </c>
      <c r="P32" s="35" t="n">
        <v>200</v>
      </c>
      <c r="Q32" s="12">
        <f>K32+M32+O32</f>
        <v/>
      </c>
      <c r="R32" s="13">
        <f>L32+N32+P32</f>
        <v/>
      </c>
      <c r="S32" s="36">
        <f>R32-Q32</f>
        <v/>
      </c>
      <c r="T32" s="37" t="inlineStr"/>
    </row>
    <row r="33" ht="20" customHeight="1">
      <c r="B33" s="11" t="inlineStr">
        <is>
          <t>ESPAÑA</t>
        </is>
      </c>
      <c r="C33" s="31" t="inlineStr">
        <is>
          <t>AGRUPACION DE LABRADORES DEL POZUELO, SA</t>
        </is>
      </c>
      <c r="D33" s="11" t="inlineStr">
        <is>
          <t>C-CU0005</t>
        </is>
      </c>
      <c r="E33" s="31" t="inlineStr">
        <is>
          <t>CODICOBRE, 5 L</t>
        </is>
      </c>
      <c r="F33" s="12" t="n">
        <v>200</v>
      </c>
      <c r="G33" s="13" t="n">
        <v>0</v>
      </c>
      <c r="H33" s="12">
        <f>ABS(G33-F33)</f>
        <v/>
      </c>
      <c r="I33" s="32">
        <f>IF(F33&gt;0, G33/F33, IF(G33&gt;0, 1.0, 0.0))</f>
        <v/>
      </c>
      <c r="J33" s="33" t="inlineStr"/>
      <c r="K33" s="34" t="n">
        <v>0</v>
      </c>
      <c r="L33" s="35" t="n">
        <v>0</v>
      </c>
      <c r="M33" s="34" t="n">
        <v>0</v>
      </c>
      <c r="N33" s="35" t="n">
        <v>0</v>
      </c>
      <c r="O33" s="34" t="n">
        <v>200</v>
      </c>
      <c r="P33" s="35" t="n">
        <v>200</v>
      </c>
      <c r="Q33" s="12">
        <f>K33+M33+O33</f>
        <v/>
      </c>
      <c r="R33" s="13">
        <f>L33+N33+P33</f>
        <v/>
      </c>
      <c r="S33" s="36">
        <f>R33-Q33</f>
        <v/>
      </c>
      <c r="T33" s="37" t="inlineStr"/>
    </row>
    <row r="34" ht="20" customHeight="1">
      <c r="B34" s="11" t="inlineStr">
        <is>
          <t>LÍBANO</t>
        </is>
      </c>
      <c r="C34" s="31" t="inlineStr">
        <is>
          <t>BELAGRI FOR AGRICULTURE-GEORGES BOU MON</t>
        </is>
      </c>
      <c r="D34" s="11" t="inlineStr">
        <is>
          <t>AGMG0005</t>
        </is>
      </c>
      <c r="E34" s="31" t="inlineStr">
        <is>
          <t>AGROXILATO-MG, 5 KG (EXPORT)</t>
        </is>
      </c>
      <c r="F34" s="12" t="n">
        <v>0</v>
      </c>
      <c r="G34" s="13" t="n">
        <v>0</v>
      </c>
      <c r="H34" s="12">
        <f>ABS(G34-F34)</f>
        <v/>
      </c>
      <c r="I34" s="32">
        <f>IF(F34&gt;0, G34/F34, IF(G34&gt;0, 1.0, 0.0))</f>
        <v/>
      </c>
      <c r="J34" s="33" t="inlineStr"/>
      <c r="K34" s="34" t="n">
        <v>0</v>
      </c>
      <c r="L34" s="35" t="n">
        <v>0</v>
      </c>
      <c r="M34" s="34" t="n">
        <v>0</v>
      </c>
      <c r="N34" s="35" t="n">
        <v>0</v>
      </c>
      <c r="O34" s="34" t="n">
        <v>5000</v>
      </c>
      <c r="P34" s="35" t="n">
        <v>5000</v>
      </c>
      <c r="Q34" s="12">
        <f>K34+M34+O34</f>
        <v/>
      </c>
      <c r="R34" s="13">
        <f>L34+N34+P34</f>
        <v/>
      </c>
      <c r="S34" s="36">
        <f>R34-Q34</f>
        <v/>
      </c>
      <c r="T34" s="37" t="inlineStr"/>
    </row>
    <row r="35" ht="20" customHeight="1">
      <c r="B35" s="11" t="inlineStr">
        <is>
          <t>LÍBANO</t>
        </is>
      </c>
      <c r="C35" s="31" t="inlineStr">
        <is>
          <t>BELAGRI FOR AGRICULTURE-GEORGES BOU MON</t>
        </is>
      </c>
      <c r="D35" s="11" t="inlineStr">
        <is>
          <t>AGXCR0020</t>
        </is>
      </c>
      <c r="E35" s="31" t="inlineStr">
        <is>
          <t>AGROXILATO-K, (0-5-20), 20 LtS.</t>
        </is>
      </c>
      <c r="F35" s="12" t="n">
        <v>0</v>
      </c>
      <c r="G35" s="13" t="n">
        <v>0</v>
      </c>
      <c r="H35" s="12">
        <f>ABS(G35-F35)</f>
        <v/>
      </c>
      <c r="I35" s="32">
        <f>IF(F35&gt;0, G35/F35, IF(G35&gt;0, 1.0, 0.0))</f>
        <v/>
      </c>
      <c r="J35" s="33" t="inlineStr"/>
      <c r="K35" s="34" t="n">
        <v>0</v>
      </c>
      <c r="L35" s="35" t="n">
        <v>0</v>
      </c>
      <c r="M35" s="34" t="n">
        <v>0</v>
      </c>
      <c r="N35" s="35" t="n">
        <v>0</v>
      </c>
      <c r="O35" s="34" t="n">
        <v>5000</v>
      </c>
      <c r="P35" s="35" t="n">
        <v>5000</v>
      </c>
      <c r="Q35" s="12">
        <f>K35+M35+O35</f>
        <v/>
      </c>
      <c r="R35" s="13">
        <f>L35+N35+P35</f>
        <v/>
      </c>
      <c r="S35" s="36">
        <f>R35-Q35</f>
        <v/>
      </c>
      <c r="T35" s="37" t="inlineStr"/>
    </row>
    <row r="36" ht="20" customHeight="1">
      <c r="B36" s="11" t="inlineStr">
        <is>
          <t>LÍBANO</t>
        </is>
      </c>
      <c r="C36" s="31" t="inlineStr">
        <is>
          <t>BELAGRI FOR AGRICULTURE-GEORGES BOU MON</t>
        </is>
      </c>
      <c r="D36" s="11" t="inlineStr">
        <is>
          <t>AN0020</t>
        </is>
      </c>
      <c r="E36" s="31" t="inlineStr">
        <is>
          <t>ALCAPLANT NEW, 20 KG</t>
        </is>
      </c>
      <c r="F36" s="12" t="n">
        <v>0</v>
      </c>
      <c r="G36" s="13" t="n">
        <v>0</v>
      </c>
      <c r="H36" s="12">
        <f>ABS(G36-F36)</f>
        <v/>
      </c>
      <c r="I36" s="32">
        <f>IF(F36&gt;0, G36/F36, IF(G36&gt;0, 1.0, 0.0))</f>
        <v/>
      </c>
      <c r="J36" s="33" t="inlineStr"/>
      <c r="K36" s="34" t="n">
        <v>0</v>
      </c>
      <c r="L36" s="35" t="n">
        <v>0</v>
      </c>
      <c r="M36" s="34" t="n">
        <v>0</v>
      </c>
      <c r="N36" s="35" t="n">
        <v>0</v>
      </c>
      <c r="O36" s="34" t="n">
        <v>7700</v>
      </c>
      <c r="P36" s="35" t="n">
        <v>7700</v>
      </c>
      <c r="Q36" s="12">
        <f>K36+M36+O36</f>
        <v/>
      </c>
      <c r="R36" s="13">
        <f>L36+N36+P36</f>
        <v/>
      </c>
      <c r="S36" s="36">
        <f>R36-Q36</f>
        <v/>
      </c>
      <c r="T36" s="37" t="inlineStr"/>
    </row>
    <row r="37" ht="20" customHeight="1">
      <c r="B37" s="11" t="inlineStr">
        <is>
          <t>LÍBANO</t>
        </is>
      </c>
      <c r="C37" s="31" t="inlineStr">
        <is>
          <t>BELAGRI FOR AGRICULTURE-GEORGES BOU MON</t>
        </is>
      </c>
      <c r="D37" s="11" t="inlineStr">
        <is>
          <t>BC0005</t>
        </is>
      </c>
      <c r="E37" s="31" t="inlineStr">
        <is>
          <t>BITTER-CAL, 5 KG</t>
        </is>
      </c>
      <c r="F37" s="12" t="n">
        <v>0</v>
      </c>
      <c r="G37" s="13" t="n">
        <v>0</v>
      </c>
      <c r="H37" s="12">
        <f>ABS(G37-F37)</f>
        <v/>
      </c>
      <c r="I37" s="32">
        <f>IF(F37&gt;0, G37/F37, IF(G37&gt;0, 1.0, 0.0))</f>
        <v/>
      </c>
      <c r="J37" s="33" t="inlineStr"/>
      <c r="K37" s="34" t="n">
        <v>0</v>
      </c>
      <c r="L37" s="35" t="n">
        <v>0</v>
      </c>
      <c r="M37" s="34" t="n">
        <v>0</v>
      </c>
      <c r="N37" s="35" t="n">
        <v>0</v>
      </c>
      <c r="O37" s="34" t="n">
        <v>10000</v>
      </c>
      <c r="P37" s="35" t="n">
        <v>10000</v>
      </c>
      <c r="Q37" s="12">
        <f>K37+M37+O37</f>
        <v/>
      </c>
      <c r="R37" s="13">
        <f>L37+N37+P37</f>
        <v/>
      </c>
      <c r="S37" s="36">
        <f>R37-Q37</f>
        <v/>
      </c>
      <c r="T37" s="37" t="inlineStr"/>
    </row>
    <row r="38" ht="20" customHeight="1">
      <c r="B38" s="11" t="inlineStr">
        <is>
          <t>LÍBANO</t>
        </is>
      </c>
      <c r="C38" s="31" t="inlineStr">
        <is>
          <t>BELAGRI FOR AGRICULTURE-GEORGES BOU MON</t>
        </is>
      </c>
      <c r="D38" s="11" t="inlineStr">
        <is>
          <t>BPLUS0005</t>
        </is>
      </c>
      <c r="E38" s="31" t="inlineStr">
        <is>
          <t>BOROCAL PLUS, 5 KG</t>
        </is>
      </c>
      <c r="F38" s="12" t="n">
        <v>0</v>
      </c>
      <c r="G38" s="13" t="n">
        <v>0</v>
      </c>
      <c r="H38" s="12">
        <f>ABS(G38-F38)</f>
        <v/>
      </c>
      <c r="I38" s="32">
        <f>IF(F38&gt;0, G38/F38, IF(G38&gt;0, 1.0, 0.0))</f>
        <v/>
      </c>
      <c r="J38" s="33" t="inlineStr"/>
      <c r="K38" s="34" t="n">
        <v>0</v>
      </c>
      <c r="L38" s="35" t="n">
        <v>0</v>
      </c>
      <c r="M38" s="34" t="n">
        <v>0</v>
      </c>
      <c r="N38" s="35" t="n">
        <v>0</v>
      </c>
      <c r="O38" s="34" t="n">
        <v>1000</v>
      </c>
      <c r="P38" s="35" t="n">
        <v>1000</v>
      </c>
      <c r="Q38" s="12">
        <f>K38+M38+O38</f>
        <v/>
      </c>
      <c r="R38" s="13">
        <f>L38+N38+P38</f>
        <v/>
      </c>
      <c r="S38" s="36">
        <f>R38-Q38</f>
        <v/>
      </c>
      <c r="T38" s="37" t="inlineStr"/>
    </row>
    <row r="39" ht="20" customHeight="1">
      <c r="B39" s="11" t="inlineStr">
        <is>
          <t>EGIPTO</t>
        </is>
      </c>
      <c r="C39" s="31" t="inlineStr">
        <is>
          <t>DIPLOMATS ORCHARDS FOR TRADE AGENCIES</t>
        </is>
      </c>
      <c r="D39" s="11" t="inlineStr">
        <is>
          <t>A-50EG0001</t>
        </is>
      </c>
      <c r="E39" s="31" t="inlineStr">
        <is>
          <t>CODIORGAN-A50</t>
        </is>
      </c>
      <c r="F39" s="12" t="n">
        <v>0</v>
      </c>
      <c r="G39" s="13" t="n">
        <v>0</v>
      </c>
      <c r="H39" s="12">
        <f>ABS(G39-F39)</f>
        <v/>
      </c>
      <c r="I39" s="32">
        <f>IF(F39&gt;0, G39/F39, IF(G39&gt;0, 1.0, 0.0))</f>
        <v/>
      </c>
      <c r="J39" s="33" t="inlineStr"/>
      <c r="K39" s="34" t="n">
        <v>0</v>
      </c>
      <c r="L39" s="35" t="n">
        <v>0</v>
      </c>
      <c r="M39" s="34" t="n">
        <v>0</v>
      </c>
      <c r="N39" s="35" t="n">
        <v>0</v>
      </c>
      <c r="O39" s="34" t="n">
        <v>5000</v>
      </c>
      <c r="P39" s="35" t="n">
        <v>5000</v>
      </c>
      <c r="Q39" s="12">
        <f>K39+M39+O39</f>
        <v/>
      </c>
      <c r="R39" s="13">
        <f>L39+N39+P39</f>
        <v/>
      </c>
      <c r="S39" s="36">
        <f>R39-Q39</f>
        <v/>
      </c>
      <c r="T39" s="37" t="inlineStr"/>
    </row>
    <row r="40" ht="20" customHeight="1">
      <c r="B40" s="11" t="inlineStr">
        <is>
          <t>EGIPTO</t>
        </is>
      </c>
      <c r="C40" s="31" t="inlineStr">
        <is>
          <t>DIPLOMATS ORCHARDS FOR TRADE AGENCIES</t>
        </is>
      </c>
      <c r="D40" s="11" t="inlineStr">
        <is>
          <t>AVAN0001</t>
        </is>
      </c>
      <c r="E40" s="31" t="inlineStr">
        <is>
          <t>CODI-FLOR AVANCE, 1 L</t>
        </is>
      </c>
      <c r="F40" s="12" t="n">
        <v>0</v>
      </c>
      <c r="G40" s="13" t="n">
        <v>0</v>
      </c>
      <c r="H40" s="12">
        <f>ABS(G40-F40)</f>
        <v/>
      </c>
      <c r="I40" s="32">
        <f>IF(F40&gt;0, G40/F40, IF(G40&gt;0, 1.0, 0.0))</f>
        <v/>
      </c>
      <c r="J40" s="33" t="inlineStr"/>
      <c r="K40" s="34" t="n">
        <v>3000</v>
      </c>
      <c r="L40" s="35" t="n">
        <v>3000</v>
      </c>
      <c r="M40" s="34" t="n">
        <v>0</v>
      </c>
      <c r="N40" s="35" t="n">
        <v>0</v>
      </c>
      <c r="O40" s="34" t="n">
        <v>0</v>
      </c>
      <c r="P40" s="35" t="n">
        <v>0</v>
      </c>
      <c r="Q40" s="12">
        <f>K40+M40+O40</f>
        <v/>
      </c>
      <c r="R40" s="13">
        <f>L40+N40+P40</f>
        <v/>
      </c>
      <c r="S40" s="36">
        <f>R40-Q40</f>
        <v/>
      </c>
      <c r="T40" s="37" t="inlineStr"/>
    </row>
    <row r="41" ht="20" customHeight="1">
      <c r="B41" s="11" t="inlineStr">
        <is>
          <t>EGIPTO</t>
        </is>
      </c>
      <c r="C41" s="31" t="inlineStr">
        <is>
          <t>DOTRA CHEMICALS</t>
        </is>
      </c>
      <c r="D41" s="11" t="inlineStr">
        <is>
          <t>AGZNP0001</t>
        </is>
      </c>
      <c r="E41" s="31" t="inlineStr">
        <is>
          <t>AGROXILATO-ZN PLUS</t>
        </is>
      </c>
      <c r="F41" s="12" t="n">
        <v>0</v>
      </c>
      <c r="G41" s="13" t="n">
        <v>0</v>
      </c>
      <c r="H41" s="12">
        <f>ABS(G41-F41)</f>
        <v/>
      </c>
      <c r="I41" s="32">
        <f>IF(F41&gt;0, G41/F41, IF(G41&gt;0, 1.0, 0.0))</f>
        <v/>
      </c>
      <c r="J41" s="33" t="inlineStr"/>
      <c r="K41" s="34" t="n">
        <v>2000</v>
      </c>
      <c r="L41" s="35" t="n">
        <v>2000</v>
      </c>
      <c r="M41" s="34" t="n">
        <v>0</v>
      </c>
      <c r="N41" s="35" t="n">
        <v>0</v>
      </c>
      <c r="O41" s="34" t="n">
        <v>0</v>
      </c>
      <c r="P41" s="35" t="n">
        <v>0</v>
      </c>
      <c r="Q41" s="12">
        <f>K41+M41+O41</f>
        <v/>
      </c>
      <c r="R41" s="13">
        <f>L41+N41+P41</f>
        <v/>
      </c>
      <c r="S41" s="36">
        <f>R41-Q41</f>
        <v/>
      </c>
      <c r="T41" s="37" t="inlineStr"/>
    </row>
    <row r="42" ht="20" customHeight="1">
      <c r="B42" s="11" t="inlineStr">
        <is>
          <t>EGIPTO</t>
        </is>
      </c>
      <c r="C42" s="31" t="inlineStr">
        <is>
          <t>DOTRA CHEMICALS</t>
        </is>
      </c>
      <c r="D42" s="11" t="inlineStr">
        <is>
          <t>AN1000</t>
        </is>
      </c>
      <c r="E42" s="31" t="inlineStr">
        <is>
          <t>ALCAPLANT-NEW</t>
        </is>
      </c>
      <c r="F42" s="12" t="n">
        <v>0</v>
      </c>
      <c r="G42" s="13" t="n">
        <v>0</v>
      </c>
      <c r="H42" s="12">
        <f>ABS(G42-F42)</f>
        <v/>
      </c>
      <c r="I42" s="32">
        <f>IF(F42&gt;0, G42/F42, IF(G42&gt;0, 1.0, 0.0))</f>
        <v/>
      </c>
      <c r="J42" s="33" t="inlineStr"/>
      <c r="K42" s="34" t="n">
        <v>0</v>
      </c>
      <c r="L42" s="35" t="n">
        <v>0</v>
      </c>
      <c r="M42" s="34" t="n">
        <v>20000</v>
      </c>
      <c r="N42" s="35" t="n">
        <v>20000</v>
      </c>
      <c r="O42" s="34" t="n">
        <v>0</v>
      </c>
      <c r="P42" s="35" t="n">
        <v>0</v>
      </c>
      <c r="Q42" s="12">
        <f>K42+M42+O42</f>
        <v/>
      </c>
      <c r="R42" s="13">
        <f>L42+N42+P42</f>
        <v/>
      </c>
      <c r="S42" s="36">
        <f>R42-Q42</f>
        <v/>
      </c>
      <c r="T42" s="37" t="inlineStr"/>
    </row>
    <row r="43" ht="20" customHeight="1">
      <c r="B43" s="11" t="inlineStr">
        <is>
          <t>EGIPTO</t>
        </is>
      </c>
      <c r="C43" s="31" t="inlineStr">
        <is>
          <t>DOTRA CHEMICALS</t>
        </is>
      </c>
      <c r="D43" s="11" t="inlineStr">
        <is>
          <t>AVAN0001</t>
        </is>
      </c>
      <c r="E43" s="31" t="inlineStr">
        <is>
          <t>FLORAMEC AVANCE</t>
        </is>
      </c>
      <c r="F43" s="12" t="n">
        <v>0</v>
      </c>
      <c r="G43" s="13" t="n">
        <v>0</v>
      </c>
      <c r="H43" s="12">
        <f>ABS(G43-F43)</f>
        <v/>
      </c>
      <c r="I43" s="32">
        <f>IF(F43&gt;0, G43/F43, IF(G43&gt;0, 1.0, 0.0))</f>
        <v/>
      </c>
      <c r="J43" s="33" t="inlineStr"/>
      <c r="K43" s="34" t="n">
        <v>0</v>
      </c>
      <c r="L43" s="35" t="n">
        <v>0</v>
      </c>
      <c r="M43" s="34" t="n">
        <v>0</v>
      </c>
      <c r="N43" s="35" t="n">
        <v>0</v>
      </c>
      <c r="O43" s="34" t="n">
        <v>3000</v>
      </c>
      <c r="P43" s="35" t="n">
        <v>3000</v>
      </c>
      <c r="Q43" s="12">
        <f>K43+M43+O43</f>
        <v/>
      </c>
      <c r="R43" s="13">
        <f>L43+N43+P43</f>
        <v/>
      </c>
      <c r="S43" s="36">
        <f>R43-Q43</f>
        <v/>
      </c>
      <c r="T43" s="37" t="inlineStr"/>
    </row>
    <row r="44" ht="20" customHeight="1">
      <c r="B44" s="11" t="inlineStr">
        <is>
          <t>EGIPTO</t>
        </is>
      </c>
      <c r="C44" s="31" t="inlineStr">
        <is>
          <t>DOTRA CHEMICALS</t>
        </is>
      </c>
      <c r="D44" s="11" t="inlineStr">
        <is>
          <t>C-CU20001</t>
        </is>
      </c>
      <c r="E44" s="31" t="inlineStr">
        <is>
          <t>CODICOBRE</t>
        </is>
      </c>
      <c r="F44" s="12" t="n">
        <v>0</v>
      </c>
      <c r="G44" s="13" t="n">
        <v>0</v>
      </c>
      <c r="H44" s="12">
        <f>ABS(G44-F44)</f>
        <v/>
      </c>
      <c r="I44" s="32">
        <f>IF(F44&gt;0, G44/F44, IF(G44&gt;0, 1.0, 0.0))</f>
        <v/>
      </c>
      <c r="J44" s="33" t="inlineStr"/>
      <c r="K44" s="34" t="n">
        <v>0</v>
      </c>
      <c r="L44" s="35" t="n">
        <v>0</v>
      </c>
      <c r="M44" s="34" t="n">
        <v>7920</v>
      </c>
      <c r="N44" s="35" t="n">
        <v>7920</v>
      </c>
      <c r="O44" s="34" t="n">
        <v>0</v>
      </c>
      <c r="P44" s="35" t="n">
        <v>0</v>
      </c>
      <c r="Q44" s="12">
        <f>K44+M44+O44</f>
        <v/>
      </c>
      <c r="R44" s="13">
        <f>L44+N44+P44</f>
        <v/>
      </c>
      <c r="S44" s="36">
        <f>R44-Q44</f>
        <v/>
      </c>
      <c r="T44" s="37" t="inlineStr"/>
    </row>
    <row r="45" ht="20" customHeight="1">
      <c r="B45" s="11" t="inlineStr">
        <is>
          <t>EGIPTO</t>
        </is>
      </c>
      <c r="C45" s="31" t="inlineStr">
        <is>
          <t>DOTRA CHEMICALS</t>
        </is>
      </c>
      <c r="D45" s="11" t="inlineStr">
        <is>
          <t>SPCE2B0001</t>
        </is>
      </c>
      <c r="E45" s="31" t="inlineStr">
        <is>
          <t>NEW SPRINTENE</t>
        </is>
      </c>
      <c r="F45" s="12" t="n">
        <v>0</v>
      </c>
      <c r="G45" s="13" t="n">
        <v>0</v>
      </c>
      <c r="H45" s="12">
        <f>ABS(G45-F45)</f>
        <v/>
      </c>
      <c r="I45" s="32">
        <f>IF(F45&gt;0, G45/F45, IF(G45&gt;0, 1.0, 0.0))</f>
        <v/>
      </c>
      <c r="J45" s="33" t="inlineStr"/>
      <c r="K45" s="34" t="n">
        <v>5000</v>
      </c>
      <c r="L45" s="35" t="n">
        <v>5000</v>
      </c>
      <c r="M45" s="34" t="n">
        <v>10000</v>
      </c>
      <c r="N45" s="35" t="n">
        <v>10000</v>
      </c>
      <c r="O45" s="34" t="n">
        <v>0</v>
      </c>
      <c r="P45" s="35" t="n">
        <v>0</v>
      </c>
      <c r="Q45" s="12">
        <f>K45+M45+O45</f>
        <v/>
      </c>
      <c r="R45" s="13">
        <f>L45+N45+P45</f>
        <v/>
      </c>
      <c r="S45" s="36">
        <f>R45-Q45</f>
        <v/>
      </c>
      <c r="T45" s="37" t="inlineStr"/>
    </row>
    <row r="46" ht="20" customHeight="1">
      <c r="B46" s="11" t="inlineStr">
        <is>
          <t>EGIPTO</t>
        </is>
      </c>
      <c r="C46" s="31" t="inlineStr">
        <is>
          <t>DOTRA CHEMICALS</t>
        </is>
      </c>
      <c r="D46" s="11" t="inlineStr">
        <is>
          <t>SSEG0005</t>
        </is>
      </c>
      <c r="E46" s="31" t="inlineStr">
        <is>
          <t>SAL-WAX Ca</t>
        </is>
      </c>
      <c r="F46" s="12" t="n">
        <v>20000</v>
      </c>
      <c r="G46" s="13" t="n">
        <v>21000</v>
      </c>
      <c r="H46" s="12">
        <f>ABS(G46-F46)</f>
        <v/>
      </c>
      <c r="I46" s="32">
        <f>IF(F46&gt;0, G46/F46, IF(G46&gt;0, 1.0, 0.0))</f>
        <v/>
      </c>
      <c r="J46" s="33" t="inlineStr"/>
      <c r="K46" s="34" t="n">
        <v>20000</v>
      </c>
      <c r="L46" s="35" t="n">
        <v>20000</v>
      </c>
      <c r="M46" s="34" t="n">
        <v>30000</v>
      </c>
      <c r="N46" s="35" t="n">
        <v>30000</v>
      </c>
      <c r="O46" s="34" t="n">
        <v>0</v>
      </c>
      <c r="P46" s="35" t="n">
        <v>0</v>
      </c>
      <c r="Q46" s="12">
        <f>K46+M46+O46</f>
        <v/>
      </c>
      <c r="R46" s="13">
        <f>L46+N46+P46</f>
        <v/>
      </c>
      <c r="S46" s="36">
        <f>R46-Q46</f>
        <v/>
      </c>
      <c r="T46" s="37" t="inlineStr"/>
    </row>
    <row r="47" ht="20" customHeight="1">
      <c r="B47" s="11" t="inlineStr">
        <is>
          <t>EGIPTO</t>
        </is>
      </c>
      <c r="C47" s="31" t="inlineStr">
        <is>
          <t>DOTRA CHEMICALS</t>
        </is>
      </c>
      <c r="D47" s="11" t="inlineStr">
        <is>
          <t>SSEG0020</t>
        </is>
      </c>
      <c r="E47" s="31" t="inlineStr">
        <is>
          <t>SAL-WAX Ca</t>
        </is>
      </c>
      <c r="F47" s="12" t="n">
        <v>0</v>
      </c>
      <c r="G47" s="13" t="n">
        <v>0</v>
      </c>
      <c r="H47" s="12">
        <f>ABS(G47-F47)</f>
        <v/>
      </c>
      <c r="I47" s="32">
        <f>IF(F47&gt;0, G47/F47, IF(G47&gt;0, 1.0, 0.0))</f>
        <v/>
      </c>
      <c r="J47" s="33" t="inlineStr"/>
      <c r="K47" s="34" t="n">
        <v>0</v>
      </c>
      <c r="L47" s="35" t="n">
        <v>0</v>
      </c>
      <c r="M47" s="34" t="n">
        <v>10000</v>
      </c>
      <c r="N47" s="35" t="n">
        <v>10000</v>
      </c>
      <c r="O47" s="34" t="n">
        <v>0</v>
      </c>
      <c r="P47" s="35" t="n">
        <v>0</v>
      </c>
      <c r="Q47" s="12">
        <f>K47+M47+O47</f>
        <v/>
      </c>
      <c r="R47" s="13">
        <f>L47+N47+P47</f>
        <v/>
      </c>
      <c r="S47" s="36">
        <f>R47-Q47</f>
        <v/>
      </c>
      <c r="T47" s="37" t="inlineStr"/>
    </row>
    <row r="48" ht="20" customHeight="1">
      <c r="B48" s="11" t="inlineStr">
        <is>
          <t>ARABIA SAUDÍ</t>
        </is>
      </c>
      <c r="C48" s="31" t="inlineStr">
        <is>
          <t>DOTRA GULF TRADING COMPANY</t>
        </is>
      </c>
      <c r="D48" s="11" t="inlineStr">
        <is>
          <t>AQUOMAR0005</t>
        </is>
      </c>
      <c r="E48" s="31" t="inlineStr">
        <is>
          <t>AQUOM ARABIA, 5 L</t>
        </is>
      </c>
      <c r="F48" s="12" t="n">
        <v>0</v>
      </c>
      <c r="G48" s="13" t="n">
        <v>400</v>
      </c>
      <c r="H48" s="12">
        <f>ABS(G48-F48)</f>
        <v/>
      </c>
      <c r="I48" s="32">
        <f>IF(F48&gt;0, G48/F48, IF(G48&gt;0, 1.0, 0.0))</f>
        <v/>
      </c>
      <c r="J48" s="33" t="inlineStr">
        <is>
          <t>Pedido extra no previsto</t>
        </is>
      </c>
      <c r="K48" s="34" t="n">
        <v>0</v>
      </c>
      <c r="L48" s="35" t="n">
        <v>0</v>
      </c>
      <c r="M48" s="34" t="n">
        <v>0</v>
      </c>
      <c r="N48" s="35" t="n">
        <v>0</v>
      </c>
      <c r="O48" s="34" t="n">
        <v>0</v>
      </c>
      <c r="P48" s="35" t="n">
        <v>0</v>
      </c>
      <c r="Q48" s="12">
        <f>K48+M48+O48</f>
        <v/>
      </c>
      <c r="R48" s="13">
        <f>L48+N48+P48</f>
        <v/>
      </c>
      <c r="S48" s="36">
        <f>R48-Q48</f>
        <v/>
      </c>
      <c r="T48" s="37" t="inlineStr"/>
    </row>
    <row r="49" ht="20" customHeight="1">
      <c r="B49" s="11" t="inlineStr">
        <is>
          <t>ESPAÑA</t>
        </is>
      </c>
      <c r="C49" s="31" t="inlineStr">
        <is>
          <t>DOTRA GULF TRADING COMPANY</t>
        </is>
      </c>
      <c r="D49" s="11" t="inlineStr">
        <is>
          <t>AVAN0001</t>
        </is>
      </c>
      <c r="E49" s="31" t="inlineStr">
        <is>
          <t>FLORAMEC AVANCE, 1 L</t>
        </is>
      </c>
      <c r="F49" s="12" t="n">
        <v>0</v>
      </c>
      <c r="G49" s="13" t="n">
        <v>504</v>
      </c>
      <c r="H49" s="12">
        <f>ABS(G49-F49)</f>
        <v/>
      </c>
      <c r="I49" s="32">
        <f>IF(F49&gt;0, G49/F49, IF(G49&gt;0, 1.0, 0.0))</f>
        <v/>
      </c>
      <c r="J49" s="33" t="inlineStr">
        <is>
          <t>Pedido extra no previsto</t>
        </is>
      </c>
      <c r="K49" s="34" t="n">
        <v>0</v>
      </c>
      <c r="L49" s="35" t="n">
        <v>0</v>
      </c>
      <c r="M49" s="34" t="n">
        <v>0</v>
      </c>
      <c r="N49" s="35" t="n">
        <v>0</v>
      </c>
      <c r="O49" s="34" t="n">
        <v>0</v>
      </c>
      <c r="P49" s="35" t="n">
        <v>0</v>
      </c>
      <c r="Q49" s="12">
        <f>K49+M49+O49</f>
        <v/>
      </c>
      <c r="R49" s="13">
        <f>L49+N49+P49</f>
        <v/>
      </c>
      <c r="S49" s="36">
        <f>R49-Q49</f>
        <v/>
      </c>
      <c r="T49" s="37" t="inlineStr"/>
    </row>
    <row r="50" ht="20" customHeight="1">
      <c r="B50" s="11" t="inlineStr">
        <is>
          <t>ARABIA SAUDÍ</t>
        </is>
      </c>
      <c r="C50" s="31" t="inlineStr">
        <is>
          <t>DOTRA GULF TRADING COMPANY</t>
        </is>
      </c>
      <c r="D50" s="11" t="inlineStr">
        <is>
          <t>BIO0005</t>
        </is>
      </c>
      <c r="E50" s="31" t="inlineStr">
        <is>
          <t>BIORAD-20, 5L</t>
        </is>
      </c>
      <c r="F50" s="12" t="n">
        <v>0</v>
      </c>
      <c r="G50" s="13" t="n">
        <v>800</v>
      </c>
      <c r="H50" s="12">
        <f>ABS(G50-F50)</f>
        <v/>
      </c>
      <c r="I50" s="32">
        <f>IF(F50&gt;0, G50/F50, IF(G50&gt;0, 1.0, 0.0))</f>
        <v/>
      </c>
      <c r="J50" s="33" t="inlineStr">
        <is>
          <t>Pedido extra no previsto</t>
        </is>
      </c>
      <c r="K50" s="34" t="n">
        <v>0</v>
      </c>
      <c r="L50" s="35" t="n">
        <v>0</v>
      </c>
      <c r="M50" s="34" t="n">
        <v>0</v>
      </c>
      <c r="N50" s="35" t="n">
        <v>0</v>
      </c>
      <c r="O50" s="34" t="n">
        <v>0</v>
      </c>
      <c r="P50" s="35" t="n">
        <v>0</v>
      </c>
      <c r="Q50" s="12">
        <f>K50+M50+O50</f>
        <v/>
      </c>
      <c r="R50" s="13">
        <f>L50+N50+P50</f>
        <v/>
      </c>
      <c r="S50" s="36">
        <f>R50-Q50</f>
        <v/>
      </c>
      <c r="T50" s="37" t="inlineStr"/>
    </row>
    <row r="51" ht="20" customHeight="1">
      <c r="B51" s="11" t="inlineStr">
        <is>
          <t>ARABIA SAUDÍ</t>
        </is>
      </c>
      <c r="C51" s="31" t="inlineStr">
        <is>
          <t>DOTRA GULF TRADING COMPANY</t>
        </is>
      </c>
      <c r="D51" s="11" t="inlineStr">
        <is>
          <t>SPAR0001</t>
        </is>
      </c>
      <c r="E51" s="31" t="inlineStr">
        <is>
          <t>SPRINTENE ARABIA, 1 L</t>
        </is>
      </c>
      <c r="F51" s="12" t="n">
        <v>0</v>
      </c>
      <c r="G51" s="13" t="n">
        <v>1080</v>
      </c>
      <c r="H51" s="12">
        <f>ABS(G51-F51)</f>
        <v/>
      </c>
      <c r="I51" s="32">
        <f>IF(F51&gt;0, G51/F51, IF(G51&gt;0, 1.0, 0.0))</f>
        <v/>
      </c>
      <c r="J51" s="33" t="inlineStr">
        <is>
          <t>Pedido extra no previsto</t>
        </is>
      </c>
      <c r="K51" s="34" t="n">
        <v>0</v>
      </c>
      <c r="L51" s="35" t="n">
        <v>0</v>
      </c>
      <c r="M51" s="34" t="n">
        <v>0</v>
      </c>
      <c r="N51" s="35" t="n">
        <v>0</v>
      </c>
      <c r="O51" s="34" t="n">
        <v>0</v>
      </c>
      <c r="P51" s="35" t="n">
        <v>0</v>
      </c>
      <c r="Q51" s="12">
        <f>K51+M51+O51</f>
        <v/>
      </c>
      <c r="R51" s="13">
        <f>L51+N51+P51</f>
        <v/>
      </c>
      <c r="S51" s="36">
        <f>R51-Q51</f>
        <v/>
      </c>
      <c r="T51" s="37" t="inlineStr"/>
    </row>
    <row r="52" ht="20" customHeight="1">
      <c r="B52" s="11" t="inlineStr">
        <is>
          <t>ARABIA SAUDÍ</t>
        </is>
      </c>
      <c r="C52" s="31" t="inlineStr">
        <is>
          <t>DOTRA GULF TRADING COMPANY</t>
        </is>
      </c>
      <c r="D52" s="11" t="inlineStr">
        <is>
          <t>SSEG0005</t>
        </is>
      </c>
      <c r="E52" s="31" t="inlineStr">
        <is>
          <t>SALWAX CALCIO EGIPTO, 5 KG</t>
        </is>
      </c>
      <c r="F52" s="12" t="n">
        <v>0</v>
      </c>
      <c r="G52" s="13" t="n">
        <v>17500</v>
      </c>
      <c r="H52" s="12">
        <f>ABS(G52-F52)</f>
        <v/>
      </c>
      <c r="I52" s="32">
        <f>IF(F52&gt;0, G52/F52, IF(G52&gt;0, 1.0, 0.0))</f>
        <v/>
      </c>
      <c r="J52" s="33" t="inlineStr">
        <is>
          <t>Pedido extra no previsto</t>
        </is>
      </c>
      <c r="K52" s="34" t="n">
        <v>0</v>
      </c>
      <c r="L52" s="35" t="n">
        <v>0</v>
      </c>
      <c r="M52" s="34" t="n">
        <v>0</v>
      </c>
      <c r="N52" s="35" t="n">
        <v>0</v>
      </c>
      <c r="O52" s="34" t="n">
        <v>0</v>
      </c>
      <c r="P52" s="35" t="n">
        <v>0</v>
      </c>
      <c r="Q52" s="12">
        <f>K52+M52+O52</f>
        <v/>
      </c>
      <c r="R52" s="13">
        <f>L52+N52+P52</f>
        <v/>
      </c>
      <c r="S52" s="36">
        <f>R52-Q52</f>
        <v/>
      </c>
      <c r="T52" s="37" t="inlineStr"/>
    </row>
    <row r="53" ht="20" customHeight="1">
      <c r="B53" s="11" t="inlineStr">
        <is>
          <t>ESPAÑA</t>
        </is>
      </c>
      <c r="C53" s="31" t="inlineStr">
        <is>
          <t>ECO-PONIENTE, S.L.U.</t>
        </is>
      </c>
      <c r="D53" s="11" t="inlineStr">
        <is>
          <t>AGXKAE0020</t>
        </is>
      </c>
      <c r="E53" s="31" t="inlineStr">
        <is>
          <t>BIOCULTURE POTASIO, 20 L</t>
        </is>
      </c>
      <c r="F53" s="12" t="n">
        <v>0</v>
      </c>
      <c r="G53" s="13" t="n">
        <v>0</v>
      </c>
      <c r="H53" s="12">
        <f>ABS(G53-F53)</f>
        <v/>
      </c>
      <c r="I53" s="32">
        <f>IF(F53&gt;0, G53/F53, IF(G53&gt;0, 1.0, 0.0))</f>
        <v/>
      </c>
      <c r="J53" s="33" t="inlineStr"/>
      <c r="K53" s="34" t="n">
        <v>0</v>
      </c>
      <c r="L53" s="35" t="n">
        <v>0</v>
      </c>
      <c r="M53" s="34" t="n">
        <v>0</v>
      </c>
      <c r="N53" s="35" t="n">
        <v>0</v>
      </c>
      <c r="O53" s="34" t="n">
        <v>640</v>
      </c>
      <c r="P53" s="35" t="n">
        <v>640</v>
      </c>
      <c r="Q53" s="12">
        <f>K53+M53+O53</f>
        <v/>
      </c>
      <c r="R53" s="13">
        <f>L53+N53+P53</f>
        <v/>
      </c>
      <c r="S53" s="36">
        <f>R53-Q53</f>
        <v/>
      </c>
      <c r="T53" s="37" t="inlineStr"/>
    </row>
    <row r="54" ht="20" customHeight="1">
      <c r="B54" s="11" t="inlineStr">
        <is>
          <t>ESPAÑA</t>
        </is>
      </c>
      <c r="C54" s="31" t="inlineStr">
        <is>
          <t>EL PINAR BERRIES, S.L.</t>
        </is>
      </c>
      <c r="D54" s="11" t="inlineStr">
        <is>
          <t>AN0005</t>
        </is>
      </c>
      <c r="E54" s="31" t="inlineStr">
        <is>
          <t>ALCAPLANT NEW, 5 KG</t>
        </is>
      </c>
      <c r="F54" s="12" t="n">
        <v>0</v>
      </c>
      <c r="G54" s="13" t="n">
        <v>1100</v>
      </c>
      <c r="H54" s="12">
        <f>ABS(G54-F54)</f>
        <v/>
      </c>
      <c r="I54" s="32">
        <f>IF(F54&gt;0, G54/F54, IF(G54&gt;0, 1.0, 0.0))</f>
        <v/>
      </c>
      <c r="J54" s="33" t="inlineStr">
        <is>
          <t>Pedido extra no previsto</t>
        </is>
      </c>
      <c r="K54" s="34" t="n">
        <v>0</v>
      </c>
      <c r="L54" s="35" t="n">
        <v>0</v>
      </c>
      <c r="M54" s="34" t="n">
        <v>0</v>
      </c>
      <c r="N54" s="35" t="n">
        <v>0</v>
      </c>
      <c r="O54" s="34" t="n">
        <v>0</v>
      </c>
      <c r="P54" s="35" t="n">
        <v>0</v>
      </c>
      <c r="Q54" s="12">
        <f>K54+M54+O54</f>
        <v/>
      </c>
      <c r="R54" s="13">
        <f>L54+N54+P54</f>
        <v/>
      </c>
      <c r="S54" s="36">
        <f>R54-Q54</f>
        <v/>
      </c>
      <c r="T54" s="37" t="inlineStr"/>
    </row>
    <row r="55" ht="20" customHeight="1">
      <c r="B55" s="11" t="inlineStr">
        <is>
          <t>GRECIA</t>
        </is>
      </c>
      <c r="C55" s="31" t="inlineStr">
        <is>
          <t>EMPHYTON SERVICE P.C.</t>
        </is>
      </c>
      <c r="D55" s="11" t="inlineStr">
        <is>
          <t>GRE10001</t>
        </is>
      </c>
      <c r="E55" s="31" t="inlineStr">
        <is>
          <t>TONAZ</t>
        </is>
      </c>
      <c r="F55" s="12" t="n">
        <v>0</v>
      </c>
      <c r="G55" s="13" t="n">
        <v>0</v>
      </c>
      <c r="H55" s="12">
        <f>ABS(G55-F55)</f>
        <v/>
      </c>
      <c r="I55" s="32">
        <f>IF(F55&gt;0, G55/F55, IF(G55&gt;0, 1.0, 0.0))</f>
        <v/>
      </c>
      <c r="J55" s="33" t="inlineStr"/>
      <c r="K55" s="34" t="n">
        <v>0</v>
      </c>
      <c r="L55" s="35" t="n">
        <v>0</v>
      </c>
      <c r="M55" s="34" t="n">
        <v>0</v>
      </c>
      <c r="N55" s="35" t="n">
        <v>0</v>
      </c>
      <c r="O55" s="34" t="n">
        <v>8000</v>
      </c>
      <c r="P55" s="35" t="n">
        <v>8000</v>
      </c>
      <c r="Q55" s="12">
        <f>K55+M55+O55</f>
        <v/>
      </c>
      <c r="R55" s="13">
        <f>L55+N55+P55</f>
        <v/>
      </c>
      <c r="S55" s="36">
        <f>R55-Q55</f>
        <v/>
      </c>
      <c r="T55" s="37" t="inlineStr"/>
    </row>
    <row r="56" ht="20" customHeight="1">
      <c r="B56" s="11" t="inlineStr">
        <is>
          <t>GRECIA</t>
        </is>
      </c>
      <c r="C56" s="31" t="inlineStr">
        <is>
          <t>EMPHYTON SERVICE P.C.</t>
        </is>
      </c>
      <c r="D56" s="11" t="inlineStr">
        <is>
          <t>GRE10005</t>
        </is>
      </c>
      <c r="E56" s="31" t="inlineStr">
        <is>
          <t>TONAZ</t>
        </is>
      </c>
      <c r="F56" s="12" t="n">
        <v>0</v>
      </c>
      <c r="G56" s="13" t="n">
        <v>0</v>
      </c>
      <c r="H56" s="12">
        <f>ABS(G56-F56)</f>
        <v/>
      </c>
      <c r="I56" s="32">
        <f>IF(F56&gt;0, G56/F56, IF(G56&gt;0, 1.0, 0.0))</f>
        <v/>
      </c>
      <c r="J56" s="33" t="inlineStr"/>
      <c r="K56" s="34" t="n">
        <v>0</v>
      </c>
      <c r="L56" s="35" t="n">
        <v>0</v>
      </c>
      <c r="M56" s="34" t="n">
        <v>0</v>
      </c>
      <c r="N56" s="35" t="n">
        <v>0</v>
      </c>
      <c r="O56" s="34" t="n">
        <v>4000</v>
      </c>
      <c r="P56" s="35" t="n">
        <v>4000</v>
      </c>
      <c r="Q56" s="12">
        <f>K56+M56+O56</f>
        <v/>
      </c>
      <c r="R56" s="13">
        <f>L56+N56+P56</f>
        <v/>
      </c>
      <c r="S56" s="36">
        <f>R56-Q56</f>
        <v/>
      </c>
      <c r="T56" s="37" t="inlineStr"/>
    </row>
    <row r="57" ht="20" customHeight="1">
      <c r="B57" s="11" t="inlineStr">
        <is>
          <t>GRECIA</t>
        </is>
      </c>
      <c r="C57" s="31" t="inlineStr">
        <is>
          <t>EMPHYTON SERVICE P.C.</t>
        </is>
      </c>
      <c r="D57" s="11" t="inlineStr">
        <is>
          <t>VITA0001</t>
        </is>
      </c>
      <c r="E57" s="31" t="inlineStr">
        <is>
          <t>VITA-S</t>
        </is>
      </c>
      <c r="F57" s="12" t="n">
        <v>0</v>
      </c>
      <c r="G57" s="13" t="n">
        <v>0</v>
      </c>
      <c r="H57" s="12">
        <f>ABS(G57-F57)</f>
        <v/>
      </c>
      <c r="I57" s="32">
        <f>IF(F57&gt;0, G57/F57, IF(G57&gt;0, 1.0, 0.0))</f>
        <v/>
      </c>
      <c r="J57" s="33" t="inlineStr"/>
      <c r="K57" s="34" t="n">
        <v>0</v>
      </c>
      <c r="L57" s="35" t="n">
        <v>0</v>
      </c>
      <c r="M57" s="34" t="n">
        <v>0</v>
      </c>
      <c r="N57" s="35" t="n">
        <v>0</v>
      </c>
      <c r="O57" s="34" t="n">
        <v>10000</v>
      </c>
      <c r="P57" s="35" t="n">
        <v>10000</v>
      </c>
      <c r="Q57" s="12">
        <f>K57+M57+O57</f>
        <v/>
      </c>
      <c r="R57" s="13">
        <f>L57+N57+P57</f>
        <v/>
      </c>
      <c r="S57" s="36">
        <f>R57-Q57</f>
        <v/>
      </c>
      <c r="T57" s="37" t="inlineStr"/>
    </row>
    <row r="58" ht="20" customHeight="1">
      <c r="B58" s="11" t="inlineStr">
        <is>
          <t>GRECIA</t>
        </is>
      </c>
      <c r="C58" s="31" t="inlineStr">
        <is>
          <t>EMPHYTON SERVICE P.C.</t>
        </is>
      </c>
      <c r="D58" s="11" t="inlineStr">
        <is>
          <t>VITA0005</t>
        </is>
      </c>
      <c r="E58" s="31" t="inlineStr">
        <is>
          <t>VITA-S</t>
        </is>
      </c>
      <c r="F58" s="12" t="n">
        <v>0</v>
      </c>
      <c r="G58" s="13" t="n">
        <v>0</v>
      </c>
      <c r="H58" s="12">
        <f>ABS(G58-F58)</f>
        <v/>
      </c>
      <c r="I58" s="32">
        <f>IF(F58&gt;0, G58/F58, IF(G58&gt;0, 1.0, 0.0))</f>
        <v/>
      </c>
      <c r="J58" s="33" t="inlineStr"/>
      <c r="K58" s="34" t="n">
        <v>0</v>
      </c>
      <c r="L58" s="35" t="n">
        <v>0</v>
      </c>
      <c r="M58" s="34" t="n">
        <v>0</v>
      </c>
      <c r="N58" s="35" t="n">
        <v>0</v>
      </c>
      <c r="O58" s="34" t="n">
        <v>10000</v>
      </c>
      <c r="P58" s="35" t="n">
        <v>10000</v>
      </c>
      <c r="Q58" s="12">
        <f>K58+M58+O58</f>
        <v/>
      </c>
      <c r="R58" s="13">
        <f>L58+N58+P58</f>
        <v/>
      </c>
      <c r="S58" s="36">
        <f>R58-Q58</f>
        <v/>
      </c>
      <c r="T58" s="37" t="inlineStr"/>
    </row>
    <row r="59" ht="20" customHeight="1">
      <c r="B59" s="11" t="inlineStr">
        <is>
          <t>GRECIA</t>
        </is>
      </c>
      <c r="C59" s="31" t="inlineStr">
        <is>
          <t>GEORGIOS POULTSIDIS</t>
        </is>
      </c>
      <c r="D59" s="11" t="inlineStr">
        <is>
          <t>GRE20005</t>
        </is>
      </c>
      <c r="E59" s="31" t="inlineStr">
        <is>
          <t>EGERSIS, 5 L</t>
        </is>
      </c>
      <c r="F59" s="12" t="n">
        <v>0</v>
      </c>
      <c r="G59" s="13" t="n">
        <v>0</v>
      </c>
      <c r="H59" s="12">
        <f>ABS(G59-F59)</f>
        <v/>
      </c>
      <c r="I59" s="32">
        <f>IF(F59&gt;0, G59/F59, IF(G59&gt;0, 1.0, 0.0))</f>
        <v/>
      </c>
      <c r="J59" s="33" t="inlineStr"/>
      <c r="K59" s="34" t="n">
        <v>0</v>
      </c>
      <c r="L59" s="35" t="n">
        <v>0</v>
      </c>
      <c r="M59" s="34" t="n">
        <v>0</v>
      </c>
      <c r="N59" s="35" t="n">
        <v>0</v>
      </c>
      <c r="O59" s="34" t="n">
        <v>2000</v>
      </c>
      <c r="P59" s="35" t="n">
        <v>2000</v>
      </c>
      <c r="Q59" s="12">
        <f>K59+M59+O59</f>
        <v/>
      </c>
      <c r="R59" s="13">
        <f>L59+N59+P59</f>
        <v/>
      </c>
      <c r="S59" s="36">
        <f>R59-Q59</f>
        <v/>
      </c>
      <c r="T59" s="37" t="inlineStr"/>
    </row>
    <row r="60" ht="20" customHeight="1">
      <c r="B60" s="11" t="inlineStr">
        <is>
          <t>ESPAÑA</t>
        </is>
      </c>
      <c r="C60" s="31" t="inlineStr">
        <is>
          <t>HORTOFRUTICOLA COSTA DE ALMERÍA, S.L.</t>
        </is>
      </c>
      <c r="D60" s="11" t="inlineStr">
        <is>
          <t>AGXK0020</t>
        </is>
      </c>
      <c r="E60" s="31" t="inlineStr">
        <is>
          <t>AGROXILATO-K, 20 L</t>
        </is>
      </c>
      <c r="F60" s="12" t="n">
        <v>0</v>
      </c>
      <c r="G60" s="13" t="n">
        <v>0</v>
      </c>
      <c r="H60" s="12">
        <f>ABS(G60-F60)</f>
        <v/>
      </c>
      <c r="I60" s="32">
        <f>IF(F60&gt;0, G60/F60, IF(G60&gt;0, 1.0, 0.0))</f>
        <v/>
      </c>
      <c r="J60" s="33" t="inlineStr"/>
      <c r="K60" s="34" t="n">
        <v>0</v>
      </c>
      <c r="L60" s="35" t="n">
        <v>0</v>
      </c>
      <c r="M60" s="34" t="n">
        <v>0</v>
      </c>
      <c r="N60" s="35" t="n">
        <v>0</v>
      </c>
      <c r="O60" s="34" t="n">
        <v>1280</v>
      </c>
      <c r="P60" s="35" t="n">
        <v>1280</v>
      </c>
      <c r="Q60" s="12">
        <f>K60+M60+O60</f>
        <v/>
      </c>
      <c r="R60" s="13">
        <f>L60+N60+P60</f>
        <v/>
      </c>
      <c r="S60" s="36">
        <f>R60-Q60</f>
        <v/>
      </c>
      <c r="T60" s="37" t="inlineStr"/>
    </row>
    <row r="61" ht="20" customHeight="1">
      <c r="B61" s="11" t="inlineStr">
        <is>
          <t>ESPAÑA</t>
        </is>
      </c>
      <c r="C61" s="31" t="inlineStr">
        <is>
          <t>INIESTA DEL PINO DISTRIBUCIONES S.L.U</t>
        </is>
      </c>
      <c r="D61" s="11" t="inlineStr">
        <is>
          <t>A-50(2)0005</t>
        </is>
      </c>
      <c r="E61" s="31" t="inlineStr">
        <is>
          <t>CODIORGAN-A50, 5 KG</t>
        </is>
      </c>
      <c r="F61" s="12" t="n">
        <v>0</v>
      </c>
      <c r="G61" s="13" t="n">
        <v>0</v>
      </c>
      <c r="H61" s="12">
        <f>ABS(G61-F61)</f>
        <v/>
      </c>
      <c r="I61" s="32">
        <f>IF(F61&gt;0, G61/F61, IF(G61&gt;0, 1.0, 0.0))</f>
        <v/>
      </c>
      <c r="J61" s="33" t="inlineStr"/>
      <c r="K61" s="34" t="n">
        <v>0</v>
      </c>
      <c r="L61" s="35" t="n">
        <v>0</v>
      </c>
      <c r="M61" s="34" t="n">
        <v>0</v>
      </c>
      <c r="N61" s="35" t="n">
        <v>0</v>
      </c>
      <c r="O61" s="34" t="n">
        <v>25</v>
      </c>
      <c r="P61" s="35" t="n">
        <v>25</v>
      </c>
      <c r="Q61" s="12">
        <f>K61+M61+O61</f>
        <v/>
      </c>
      <c r="R61" s="13">
        <f>L61+N61+P61</f>
        <v/>
      </c>
      <c r="S61" s="36">
        <f>R61-Q61</f>
        <v/>
      </c>
      <c r="T61" s="37" t="inlineStr"/>
    </row>
    <row r="62" ht="20" customHeight="1">
      <c r="B62" s="11" t="inlineStr">
        <is>
          <t>ESPAÑA</t>
        </is>
      </c>
      <c r="C62" s="31" t="inlineStr">
        <is>
          <t>INIESTA DEL PINO DISTRIBUCIONES S.L.U</t>
        </is>
      </c>
      <c r="D62" s="11" t="inlineStr">
        <is>
          <t>AGXK0020</t>
        </is>
      </c>
      <c r="E62" s="31" t="inlineStr">
        <is>
          <t>AGROXILATO-K, 20 L</t>
        </is>
      </c>
      <c r="F62" s="12" t="n">
        <v>640</v>
      </c>
      <c r="G62" s="13" t="n">
        <v>0</v>
      </c>
      <c r="H62" s="12">
        <f>ABS(G62-F62)</f>
        <v/>
      </c>
      <c r="I62" s="32">
        <f>IF(F62&gt;0, G62/F62, IF(G62&gt;0, 1.0, 0.0))</f>
        <v/>
      </c>
      <c r="J62" s="33" t="inlineStr"/>
      <c r="K62" s="34" t="n">
        <v>1920</v>
      </c>
      <c r="L62" s="35" t="n">
        <v>1920</v>
      </c>
      <c r="M62" s="34" t="n">
        <v>0</v>
      </c>
      <c r="N62" s="35" t="n">
        <v>0</v>
      </c>
      <c r="O62" s="34" t="n">
        <v>0</v>
      </c>
      <c r="P62" s="35" t="n">
        <v>0</v>
      </c>
      <c r="Q62" s="12">
        <f>K62+M62+O62</f>
        <v/>
      </c>
      <c r="R62" s="13">
        <f>L62+N62+P62</f>
        <v/>
      </c>
      <c r="S62" s="36">
        <f>R62-Q62</f>
        <v/>
      </c>
      <c r="T62" s="37" t="inlineStr"/>
    </row>
    <row r="63" ht="20" customHeight="1">
      <c r="B63" s="11" t="inlineStr">
        <is>
          <t>ESPAÑA</t>
        </is>
      </c>
      <c r="C63" s="31" t="inlineStr">
        <is>
          <t>INIESTA DEL PINO DISTRIBUCIONES S.L.U</t>
        </is>
      </c>
      <c r="D63" s="11" t="inlineStr">
        <is>
          <t>CALCIO0005</t>
        </is>
      </c>
      <c r="E63" s="31" t="inlineStr">
        <is>
          <t>CALCIAMEC, 5 KG</t>
        </is>
      </c>
      <c r="F63" s="12" t="n">
        <v>0</v>
      </c>
      <c r="G63" s="13" t="n">
        <v>0</v>
      </c>
      <c r="H63" s="12">
        <f>ABS(G63-F63)</f>
        <v/>
      </c>
      <c r="I63" s="32">
        <f>IF(F63&gt;0, G63/F63, IF(G63&gt;0, 1.0, 0.0))</f>
        <v/>
      </c>
      <c r="J63" s="33" t="inlineStr"/>
      <c r="K63" s="34" t="n">
        <v>75</v>
      </c>
      <c r="L63" s="35" t="n">
        <v>75</v>
      </c>
      <c r="M63" s="34" t="n">
        <v>0</v>
      </c>
      <c r="N63" s="35" t="n">
        <v>0</v>
      </c>
      <c r="O63" s="34" t="n">
        <v>0</v>
      </c>
      <c r="P63" s="35" t="n">
        <v>0</v>
      </c>
      <c r="Q63" s="12">
        <f>K63+M63+O63</f>
        <v/>
      </c>
      <c r="R63" s="13">
        <f>L63+N63+P63</f>
        <v/>
      </c>
      <c r="S63" s="36">
        <f>R63-Q63</f>
        <v/>
      </c>
      <c r="T63" s="37" t="inlineStr"/>
    </row>
    <row r="64" ht="20" customHeight="1">
      <c r="B64" s="11" t="inlineStr">
        <is>
          <t>ESPAÑA</t>
        </is>
      </c>
      <c r="C64" s="31" t="inlineStr">
        <is>
          <t>INIESTA DEL PINO DISTRIBUCIONES S.L.U</t>
        </is>
      </c>
      <c r="D64" s="11" t="inlineStr">
        <is>
          <t>TRI0005</t>
        </is>
      </c>
      <c r="E64" s="31" t="inlineStr">
        <is>
          <t>TRIFENO-94, 5L</t>
        </is>
      </c>
      <c r="F64" s="12" t="n">
        <v>60</v>
      </c>
      <c r="G64" s="13" t="n">
        <v>0</v>
      </c>
      <c r="H64" s="12">
        <f>ABS(G64-F64)</f>
        <v/>
      </c>
      <c r="I64" s="32">
        <f>IF(F64&gt;0, G64/F64, IF(G64&gt;0, 1.0, 0.0))</f>
        <v/>
      </c>
      <c r="J64" s="33" t="inlineStr"/>
      <c r="K64" s="34" t="n">
        <v>80</v>
      </c>
      <c r="L64" s="35" t="n">
        <v>80</v>
      </c>
      <c r="M64" s="34" t="n">
        <v>0</v>
      </c>
      <c r="N64" s="35" t="n">
        <v>0</v>
      </c>
      <c r="O64" s="34" t="n">
        <v>240</v>
      </c>
      <c r="P64" s="35" t="n">
        <v>240</v>
      </c>
      <c r="Q64" s="12">
        <f>K64+M64+O64</f>
        <v/>
      </c>
      <c r="R64" s="13">
        <f>L64+N64+P64</f>
        <v/>
      </c>
      <c r="S64" s="36">
        <f>R64-Q64</f>
        <v/>
      </c>
      <c r="T64" s="37" t="inlineStr"/>
    </row>
    <row r="65" ht="20" customHeight="1">
      <c r="B65" s="11" t="inlineStr">
        <is>
          <t>ESPAÑA</t>
        </is>
      </c>
      <c r="C65" s="31" t="inlineStr">
        <is>
          <t>ROMAROC PONIENTE, S.L.</t>
        </is>
      </c>
      <c r="D65" s="11" t="inlineStr">
        <is>
          <t>AGXK0200</t>
        </is>
      </c>
      <c r="E65" s="31" t="inlineStr">
        <is>
          <t>AGROXILATO-K, 200 L</t>
        </is>
      </c>
      <c r="F65" s="12" t="n">
        <v>0</v>
      </c>
      <c r="G65" s="13" t="n">
        <v>0</v>
      </c>
      <c r="H65" s="12">
        <f>ABS(G65-F65)</f>
        <v/>
      </c>
      <c r="I65" s="32">
        <f>IF(F65&gt;0, G65/F65, IF(G65&gt;0, 1.0, 0.0))</f>
        <v/>
      </c>
      <c r="J65" s="33" t="inlineStr"/>
      <c r="K65" s="34" t="n">
        <v>800</v>
      </c>
      <c r="L65" s="35" t="n">
        <v>800</v>
      </c>
      <c r="M65" s="34" t="n">
        <v>0</v>
      </c>
      <c r="N65" s="35" t="n">
        <v>0</v>
      </c>
      <c r="O65" s="34" t="n">
        <v>0</v>
      </c>
      <c r="P65" s="35" t="n">
        <v>0</v>
      </c>
      <c r="Q65" s="12">
        <f>K65+M65+O65</f>
        <v/>
      </c>
      <c r="R65" s="13">
        <f>L65+N65+P65</f>
        <v/>
      </c>
      <c r="S65" s="36">
        <f>R65-Q65</f>
        <v/>
      </c>
      <c r="T65" s="37" t="inlineStr"/>
    </row>
    <row r="66" ht="20" customHeight="1">
      <c r="B66" s="11" t="inlineStr">
        <is>
          <t>RUMANÍA</t>
        </is>
      </c>
      <c r="C66" s="31" t="inlineStr">
        <is>
          <t>SC MARCOSER S.R.L.</t>
        </is>
      </c>
      <c r="D66" s="11" t="inlineStr">
        <is>
          <t>A-500001</t>
        </is>
      </c>
      <c r="E66" s="31" t="inlineStr">
        <is>
          <t>CODIORGAN  A-50</t>
        </is>
      </c>
      <c r="F66" s="12" t="n">
        <v>0</v>
      </c>
      <c r="G66" s="13" t="n">
        <v>1056</v>
      </c>
      <c r="H66" s="12">
        <f>ABS(G66-F66)</f>
        <v/>
      </c>
      <c r="I66" s="32">
        <f>IF(F66&gt;0, G66/F66, IF(G66&gt;0, 1.0, 0.0))</f>
        <v/>
      </c>
      <c r="J66" s="33" t="inlineStr">
        <is>
          <t>Pedido extra no previsto</t>
        </is>
      </c>
      <c r="K66" s="34" t="n">
        <v>1056</v>
      </c>
      <c r="L66" s="35" t="n">
        <v>1056</v>
      </c>
      <c r="M66" s="34" t="n">
        <v>0</v>
      </c>
      <c r="N66" s="35" t="n">
        <v>0</v>
      </c>
      <c r="O66" s="34" t="n">
        <v>0</v>
      </c>
      <c r="P66" s="35" t="n">
        <v>0</v>
      </c>
      <c r="Q66" s="12">
        <f>K66+M66+O66</f>
        <v/>
      </c>
      <c r="R66" s="13">
        <f>L66+N66+P66</f>
        <v/>
      </c>
      <c r="S66" s="36">
        <f>R66-Q66</f>
        <v/>
      </c>
      <c r="T66" s="37" t="inlineStr"/>
    </row>
    <row r="67" ht="20" customHeight="1">
      <c r="B67" s="11" t="inlineStr">
        <is>
          <t>RUMANÍA</t>
        </is>
      </c>
      <c r="C67" s="31" t="inlineStr">
        <is>
          <t>SC MARCOSER S.R.L.</t>
        </is>
      </c>
      <c r="D67" s="11" t="inlineStr">
        <is>
          <t>AGMG0001</t>
        </is>
      </c>
      <c r="E67" s="31" t="inlineStr">
        <is>
          <t>AGROXILATO Mg</t>
        </is>
      </c>
      <c r="F67" s="12" t="n">
        <v>0</v>
      </c>
      <c r="G67" s="13" t="n">
        <v>528</v>
      </c>
      <c r="H67" s="12">
        <f>ABS(G67-F67)</f>
        <v/>
      </c>
      <c r="I67" s="32">
        <f>IF(F67&gt;0, G67/F67, IF(G67&gt;0, 1.0, 0.0))</f>
        <v/>
      </c>
      <c r="J67" s="33" t="inlineStr">
        <is>
          <t>Pedido extra no previsto</t>
        </is>
      </c>
      <c r="K67" s="34" t="n">
        <v>528</v>
      </c>
      <c r="L67" s="35" t="n">
        <v>528</v>
      </c>
      <c r="M67" s="34" t="n">
        <v>0</v>
      </c>
      <c r="N67" s="35" t="n">
        <v>0</v>
      </c>
      <c r="O67" s="34" t="n">
        <v>0</v>
      </c>
      <c r="P67" s="35" t="n">
        <v>0</v>
      </c>
      <c r="Q67" s="12">
        <f>K67+M67+O67</f>
        <v/>
      </c>
      <c r="R67" s="13">
        <f>L67+N67+P67</f>
        <v/>
      </c>
      <c r="S67" s="36">
        <f>R67-Q67</f>
        <v/>
      </c>
      <c r="T67" s="37" t="inlineStr"/>
    </row>
    <row r="68" ht="20" customHeight="1">
      <c r="B68" s="11" t="inlineStr">
        <is>
          <t>RUMANÍA</t>
        </is>
      </c>
      <c r="C68" s="31" t="inlineStr">
        <is>
          <t>SC MARCOSER S.R.L.</t>
        </is>
      </c>
      <c r="D68" s="11" t="inlineStr">
        <is>
          <t>AGXCR0020</t>
        </is>
      </c>
      <c r="E68" s="31" t="inlineStr">
        <is>
          <t>AGROXILATO-K</t>
        </is>
      </c>
      <c r="F68" s="12" t="n">
        <v>0</v>
      </c>
      <c r="G68" s="13" t="n">
        <v>0</v>
      </c>
      <c r="H68" s="12">
        <f>ABS(G68-F68)</f>
        <v/>
      </c>
      <c r="I68" s="32">
        <f>IF(F68&gt;0, G68/F68, IF(G68&gt;0, 1.0, 0.0))</f>
        <v/>
      </c>
      <c r="J68" s="33" t="inlineStr"/>
      <c r="K68" s="34" t="n">
        <v>0</v>
      </c>
      <c r="L68" s="35" t="n">
        <v>0</v>
      </c>
      <c r="M68" s="34" t="n">
        <v>640</v>
      </c>
      <c r="N68" s="35" t="n">
        <v>640</v>
      </c>
      <c r="O68" s="34" t="n">
        <v>0</v>
      </c>
      <c r="P68" s="35" t="n">
        <v>0</v>
      </c>
      <c r="Q68" s="12">
        <f>K68+M68+O68</f>
        <v/>
      </c>
      <c r="R68" s="13">
        <f>L68+N68+P68</f>
        <v/>
      </c>
      <c r="S68" s="36">
        <f>R68-Q68</f>
        <v/>
      </c>
      <c r="T68" s="37" t="inlineStr"/>
    </row>
    <row r="69" ht="20" customHeight="1">
      <c r="B69" s="11" t="inlineStr">
        <is>
          <t>RUMANÍA</t>
        </is>
      </c>
      <c r="C69" s="31" t="inlineStr">
        <is>
          <t>SC MARCOSER S.R.L.</t>
        </is>
      </c>
      <c r="D69" s="11" t="inlineStr">
        <is>
          <t>AGXCR1000</t>
        </is>
      </c>
      <c r="E69" s="31" t="inlineStr">
        <is>
          <t>AGROXILATO-K</t>
        </is>
      </c>
      <c r="F69" s="12" t="n">
        <v>0</v>
      </c>
      <c r="G69" s="13" t="n">
        <v>0</v>
      </c>
      <c r="H69" s="12">
        <f>ABS(G69-F69)</f>
        <v/>
      </c>
      <c r="I69" s="32">
        <f>IF(F69&gt;0, G69/F69, IF(G69&gt;0, 1.0, 0.0))</f>
        <v/>
      </c>
      <c r="J69" s="33" t="inlineStr"/>
      <c r="K69" s="34" t="n">
        <v>0</v>
      </c>
      <c r="L69" s="35" t="n">
        <v>0</v>
      </c>
      <c r="M69" s="34" t="n">
        <v>1000</v>
      </c>
      <c r="N69" s="35" t="n">
        <v>1000</v>
      </c>
      <c r="O69" s="34" t="n">
        <v>0</v>
      </c>
      <c r="P69" s="35" t="n">
        <v>0</v>
      </c>
      <c r="Q69" s="12">
        <f>K69+M69+O69</f>
        <v/>
      </c>
      <c r="R69" s="13">
        <f>L69+N69+P69</f>
        <v/>
      </c>
      <c r="S69" s="36">
        <f>R69-Q69</f>
        <v/>
      </c>
      <c r="T69" s="37" t="inlineStr"/>
    </row>
    <row r="70" ht="20" customHeight="1">
      <c r="B70" s="11" t="inlineStr">
        <is>
          <t>RUMANÍA</t>
        </is>
      </c>
      <c r="C70" s="31" t="inlineStr">
        <is>
          <t>SC MARCOSER S.R.L.</t>
        </is>
      </c>
      <c r="D70" s="11" t="inlineStr">
        <is>
          <t>AGXKAE0001</t>
        </is>
      </c>
      <c r="E70" s="31" t="inlineStr">
        <is>
          <t>BIOCULTURE POTASIO</t>
        </is>
      </c>
      <c r="F70" s="12" t="n">
        <v>0</v>
      </c>
      <c r="G70" s="13" t="n">
        <v>0</v>
      </c>
      <c r="H70" s="12">
        <f>ABS(G70-F70)</f>
        <v/>
      </c>
      <c r="I70" s="32">
        <f>IF(F70&gt;0, G70/F70, IF(G70&gt;0, 1.0, 0.0))</f>
        <v/>
      </c>
      <c r="J70" s="33" t="inlineStr"/>
      <c r="K70" s="34" t="n">
        <v>396</v>
      </c>
      <c r="L70" s="35" t="n">
        <v>396</v>
      </c>
      <c r="M70" s="34" t="n">
        <v>0</v>
      </c>
      <c r="N70" s="35" t="n">
        <v>0</v>
      </c>
      <c r="O70" s="34" t="n">
        <v>0</v>
      </c>
      <c r="P70" s="35" t="n">
        <v>0</v>
      </c>
      <c r="Q70" s="12">
        <f>K70+M70+O70</f>
        <v/>
      </c>
      <c r="R70" s="13">
        <f>L70+N70+P70</f>
        <v/>
      </c>
      <c r="S70" s="36">
        <f>R70-Q70</f>
        <v/>
      </c>
      <c r="T70" s="37" t="inlineStr"/>
    </row>
    <row r="71" ht="20" customHeight="1">
      <c r="B71" s="11" t="inlineStr">
        <is>
          <t>ESPAÑA</t>
        </is>
      </c>
      <c r="C71" s="31" t="inlineStr">
        <is>
          <t>SC MARCOSER S.R.L.</t>
        </is>
      </c>
      <c r="D71" s="11" t="inlineStr">
        <is>
          <t>AGXKAEP0001</t>
        </is>
      </c>
      <c r="E71" s="31" t="inlineStr">
        <is>
          <t>BIOCULTURE POTASIO PLUS, 1 L</t>
        </is>
      </c>
      <c r="F71" s="12" t="n">
        <v>0</v>
      </c>
      <c r="G71" s="13" t="n">
        <v>396</v>
      </c>
      <c r="H71" s="12">
        <f>ABS(G71-F71)</f>
        <v/>
      </c>
      <c r="I71" s="32">
        <f>IF(F71&gt;0, G71/F71, IF(G71&gt;0, 1.0, 0.0))</f>
        <v/>
      </c>
      <c r="J71" s="33" t="inlineStr">
        <is>
          <t>Pedido extra no previsto</t>
        </is>
      </c>
      <c r="K71" s="34" t="n">
        <v>0</v>
      </c>
      <c r="L71" s="35" t="n">
        <v>0</v>
      </c>
      <c r="M71" s="34" t="n">
        <v>0</v>
      </c>
      <c r="N71" s="35" t="n">
        <v>0</v>
      </c>
      <c r="O71" s="34" t="n">
        <v>0</v>
      </c>
      <c r="P71" s="35" t="n">
        <v>0</v>
      </c>
      <c r="Q71" s="12">
        <f>K71+M71+O71</f>
        <v/>
      </c>
      <c r="R71" s="13">
        <f>L71+N71+P71</f>
        <v/>
      </c>
      <c r="S71" s="36">
        <f>R71-Q71</f>
        <v/>
      </c>
      <c r="T71" s="37" t="inlineStr"/>
    </row>
    <row r="72" ht="20" customHeight="1">
      <c r="B72" s="11" t="inlineStr">
        <is>
          <t>RUMANÍA</t>
        </is>
      </c>
      <c r="C72" s="31" t="inlineStr">
        <is>
          <t>SC MARCOSER S.R.L.</t>
        </is>
      </c>
      <c r="D72" s="11" t="inlineStr">
        <is>
          <t>AN0020</t>
        </is>
      </c>
      <c r="E72" s="31" t="inlineStr">
        <is>
          <t>ALCAPLANT NEW</t>
        </is>
      </c>
      <c r="F72" s="12" t="n">
        <v>0</v>
      </c>
      <c r="G72" s="13" t="n">
        <v>0</v>
      </c>
      <c r="H72" s="12">
        <f>ABS(G72-F72)</f>
        <v/>
      </c>
      <c r="I72" s="32">
        <f>IF(F72&gt;0, G72/F72, IF(G72&gt;0, 1.0, 0.0))</f>
        <v/>
      </c>
      <c r="J72" s="33" t="inlineStr"/>
      <c r="K72" s="34" t="n">
        <v>0</v>
      </c>
      <c r="L72" s="35" t="n">
        <v>0</v>
      </c>
      <c r="M72" s="34" t="n">
        <v>1100</v>
      </c>
      <c r="N72" s="35" t="n">
        <v>1100</v>
      </c>
      <c r="O72" s="34" t="n">
        <v>0</v>
      </c>
      <c r="P72" s="35" t="n">
        <v>0</v>
      </c>
      <c r="Q72" s="12">
        <f>K72+M72+O72</f>
        <v/>
      </c>
      <c r="R72" s="13">
        <f>L72+N72+P72</f>
        <v/>
      </c>
      <c r="S72" s="36">
        <f>R72-Q72</f>
        <v/>
      </c>
      <c r="T72" s="37" t="inlineStr"/>
    </row>
    <row r="73" ht="20" customHeight="1">
      <c r="B73" s="11" t="inlineStr">
        <is>
          <t>RUMANÍA</t>
        </is>
      </c>
      <c r="C73" s="31" t="inlineStr">
        <is>
          <t>SC MARCOSER S.R.L.</t>
        </is>
      </c>
      <c r="D73" s="11" t="inlineStr">
        <is>
          <t>AVAN0001</t>
        </is>
      </c>
      <c r="E73" s="31" t="inlineStr">
        <is>
          <t>FLORAMEC AVANCE</t>
        </is>
      </c>
      <c r="F73" s="12" t="n">
        <v>0</v>
      </c>
      <c r="G73" s="13" t="n">
        <v>0</v>
      </c>
      <c r="H73" s="12">
        <f>ABS(G73-F73)</f>
        <v/>
      </c>
      <c r="I73" s="32">
        <f>IF(F73&gt;0, G73/F73, IF(G73&gt;0, 1.0, 0.0))</f>
        <v/>
      </c>
      <c r="J73" s="33" t="inlineStr"/>
      <c r="K73" s="34" t="n">
        <v>0</v>
      </c>
      <c r="L73" s="35" t="n">
        <v>0</v>
      </c>
      <c r="M73" s="34" t="n">
        <v>300</v>
      </c>
      <c r="N73" s="35" t="n">
        <v>300</v>
      </c>
      <c r="O73" s="34" t="n">
        <v>0</v>
      </c>
      <c r="P73" s="35" t="n">
        <v>0</v>
      </c>
      <c r="Q73" s="12">
        <f>K73+M73+O73</f>
        <v/>
      </c>
      <c r="R73" s="13">
        <f>L73+N73+P73</f>
        <v/>
      </c>
      <c r="S73" s="36">
        <f>R73-Q73</f>
        <v/>
      </c>
      <c r="T73" s="37" t="inlineStr"/>
    </row>
    <row r="74" ht="20" customHeight="1">
      <c r="B74" s="11" t="inlineStr">
        <is>
          <t>RUMANÍA</t>
        </is>
      </c>
      <c r="C74" s="31" t="inlineStr">
        <is>
          <t>SC MARCOSER S.R.L.</t>
        </is>
      </c>
      <c r="D74" s="11" t="inlineStr">
        <is>
          <t>AVAN0200</t>
        </is>
      </c>
      <c r="E74" s="31" t="inlineStr">
        <is>
          <t>FLORAMEC AVANCE, 200 L</t>
        </is>
      </c>
      <c r="F74" s="12" t="n">
        <v>0</v>
      </c>
      <c r="G74" s="13" t="n">
        <v>0</v>
      </c>
      <c r="H74" s="12">
        <f>ABS(G74-F74)</f>
        <v/>
      </c>
      <c r="I74" s="32">
        <f>IF(F74&gt;0, G74/F74, IF(G74&gt;0, 1.0, 0.0))</f>
        <v/>
      </c>
      <c r="J74" s="33" t="inlineStr"/>
      <c r="K74" s="34" t="n">
        <v>0</v>
      </c>
      <c r="L74" s="35" t="n">
        <v>0</v>
      </c>
      <c r="M74" s="34" t="n">
        <v>400</v>
      </c>
      <c r="N74" s="35" t="n">
        <v>400</v>
      </c>
      <c r="O74" s="34" t="n">
        <v>0</v>
      </c>
      <c r="P74" s="35" t="n">
        <v>0</v>
      </c>
      <c r="Q74" s="12">
        <f>K74+M74+O74</f>
        <v/>
      </c>
      <c r="R74" s="13">
        <f>L74+N74+P74</f>
        <v/>
      </c>
      <c r="S74" s="36">
        <f>R74-Q74</f>
        <v/>
      </c>
      <c r="T74" s="37" t="inlineStr"/>
    </row>
    <row r="75" ht="20" customHeight="1">
      <c r="B75" s="11" t="inlineStr">
        <is>
          <t>RUMANÍA</t>
        </is>
      </c>
      <c r="C75" s="31" t="inlineStr">
        <is>
          <t>SC MARCOSER S.R.L.</t>
        </is>
      </c>
      <c r="D75" s="11" t="inlineStr">
        <is>
          <t>B0001</t>
        </is>
      </c>
      <c r="E75" s="31" t="inlineStr">
        <is>
          <t>BOROCAL</t>
        </is>
      </c>
      <c r="F75" s="12" t="n">
        <v>0</v>
      </c>
      <c r="G75" s="13" t="n">
        <v>0</v>
      </c>
      <c r="H75" s="12">
        <f>ABS(G75-F75)</f>
        <v/>
      </c>
      <c r="I75" s="32">
        <f>IF(F75&gt;0, G75/F75, IF(G75&gt;0, 1.0, 0.0))</f>
        <v/>
      </c>
      <c r="J75" s="33" t="inlineStr"/>
      <c r="K75" s="34" t="n">
        <v>0</v>
      </c>
      <c r="L75" s="35" t="n">
        <v>0</v>
      </c>
      <c r="M75" s="34" t="n">
        <v>660</v>
      </c>
      <c r="N75" s="35" t="n">
        <v>660</v>
      </c>
      <c r="O75" s="34" t="n">
        <v>0</v>
      </c>
      <c r="P75" s="35" t="n">
        <v>0</v>
      </c>
      <c r="Q75" s="12">
        <f>K75+M75+O75</f>
        <v/>
      </c>
      <c r="R75" s="13">
        <f>L75+N75+P75</f>
        <v/>
      </c>
      <c r="S75" s="36">
        <f>R75-Q75</f>
        <v/>
      </c>
      <c r="T75" s="37" t="inlineStr"/>
    </row>
    <row r="76" ht="20" customHeight="1">
      <c r="B76" s="11" t="inlineStr">
        <is>
          <t>RUMANÍA</t>
        </is>
      </c>
      <c r="C76" s="31" t="inlineStr">
        <is>
          <t>SC MARCOSER S.R.L.</t>
        </is>
      </c>
      <c r="D76" s="11" t="inlineStr">
        <is>
          <t>B0020</t>
        </is>
      </c>
      <c r="E76" s="31" t="inlineStr">
        <is>
          <t>BOROCAL</t>
        </is>
      </c>
      <c r="F76" s="12" t="n">
        <v>0</v>
      </c>
      <c r="G76" s="13" t="n">
        <v>0</v>
      </c>
      <c r="H76" s="12">
        <f>ABS(G76-F76)</f>
        <v/>
      </c>
      <c r="I76" s="32">
        <f>IF(F76&gt;0, G76/F76, IF(G76&gt;0, 1.0, 0.0))</f>
        <v/>
      </c>
      <c r="J76" s="33" t="inlineStr"/>
      <c r="K76" s="34" t="n">
        <v>0</v>
      </c>
      <c r="L76" s="35" t="n">
        <v>0</v>
      </c>
      <c r="M76" s="34" t="n">
        <v>640</v>
      </c>
      <c r="N76" s="35" t="n">
        <v>640</v>
      </c>
      <c r="O76" s="34" t="n">
        <v>0</v>
      </c>
      <c r="P76" s="35" t="n">
        <v>0</v>
      </c>
      <c r="Q76" s="12">
        <f>K76+M76+O76</f>
        <v/>
      </c>
      <c r="R76" s="13">
        <f>L76+N76+P76</f>
        <v/>
      </c>
      <c r="S76" s="36">
        <f>R76-Q76</f>
        <v/>
      </c>
      <c r="T76" s="37" t="inlineStr"/>
    </row>
    <row r="77" ht="20" customHeight="1">
      <c r="B77" s="11" t="inlineStr">
        <is>
          <t>RUMANÍA</t>
        </is>
      </c>
      <c r="C77" s="31" t="inlineStr">
        <is>
          <t>SC MARCOSER S.R.L.</t>
        </is>
      </c>
      <c r="D77" s="11" t="inlineStr">
        <is>
          <t>B1000</t>
        </is>
      </c>
      <c r="E77" s="31" t="inlineStr">
        <is>
          <t>BOROCAL, 1000 L</t>
        </is>
      </c>
      <c r="F77" s="12" t="n">
        <v>0</v>
      </c>
      <c r="G77" s="13" t="n">
        <v>0</v>
      </c>
      <c r="H77" s="12">
        <f>ABS(G77-F77)</f>
        <v/>
      </c>
      <c r="I77" s="32">
        <f>IF(F77&gt;0, G77/F77, IF(G77&gt;0, 1.0, 0.0))</f>
        <v/>
      </c>
      <c r="J77" s="33" t="inlineStr"/>
      <c r="K77" s="34" t="n">
        <v>0</v>
      </c>
      <c r="L77" s="35" t="n">
        <v>0</v>
      </c>
      <c r="M77" s="34" t="n">
        <v>1000</v>
      </c>
      <c r="N77" s="35" t="n">
        <v>1000</v>
      </c>
      <c r="O77" s="34" t="n">
        <v>0</v>
      </c>
      <c r="P77" s="35" t="n">
        <v>0</v>
      </c>
      <c r="Q77" s="12">
        <f>K77+M77+O77</f>
        <v/>
      </c>
      <c r="R77" s="13">
        <f>L77+N77+P77</f>
        <v/>
      </c>
      <c r="S77" s="36">
        <f>R77-Q77</f>
        <v/>
      </c>
      <c r="T77" s="37" t="inlineStr"/>
    </row>
    <row r="78" ht="20" customHeight="1">
      <c r="B78" s="11" t="inlineStr">
        <is>
          <t>RUMANÍA</t>
        </is>
      </c>
      <c r="C78" s="31" t="inlineStr">
        <is>
          <t>SC MARCOSER S.R.L.</t>
        </is>
      </c>
      <c r="D78" s="11" t="inlineStr">
        <is>
          <t>BIO0001</t>
        </is>
      </c>
      <c r="E78" s="31" t="inlineStr">
        <is>
          <t>BIORAD-20</t>
        </is>
      </c>
      <c r="F78" s="12" t="n">
        <v>0</v>
      </c>
      <c r="G78" s="13" t="n">
        <v>792</v>
      </c>
      <c r="H78" s="12">
        <f>ABS(G78-F78)</f>
        <v/>
      </c>
      <c r="I78" s="32">
        <f>IF(F78&gt;0, G78/F78, IF(G78&gt;0, 1.0, 0.0))</f>
        <v/>
      </c>
      <c r="J78" s="33" t="inlineStr">
        <is>
          <t>Pedido extra no previsto</t>
        </is>
      </c>
      <c r="K78" s="34" t="n">
        <v>792</v>
      </c>
      <c r="L78" s="35" t="n">
        <v>792</v>
      </c>
      <c r="M78" s="34" t="n">
        <v>0</v>
      </c>
      <c r="N78" s="35" t="n">
        <v>0</v>
      </c>
      <c r="O78" s="34" t="n">
        <v>0</v>
      </c>
      <c r="P78" s="35" t="n">
        <v>0</v>
      </c>
      <c r="Q78" s="12">
        <f>K78+M78+O78</f>
        <v/>
      </c>
      <c r="R78" s="13">
        <f>L78+N78+P78</f>
        <v/>
      </c>
      <c r="S78" s="36">
        <f>R78-Q78</f>
        <v/>
      </c>
      <c r="T78" s="37" t="inlineStr"/>
    </row>
    <row r="79" ht="20" customHeight="1">
      <c r="B79" s="11" t="inlineStr">
        <is>
          <t>RUMANÍA</t>
        </is>
      </c>
      <c r="C79" s="31" t="inlineStr">
        <is>
          <t>SC MARCOSER S.R.L.</t>
        </is>
      </c>
      <c r="D79" s="11" t="inlineStr">
        <is>
          <t>BIO0005</t>
        </is>
      </c>
      <c r="E79" s="31" t="inlineStr">
        <is>
          <t>BIORAD-20</t>
        </is>
      </c>
      <c r="F79" s="12" t="n">
        <v>0</v>
      </c>
      <c r="G79" s="13" t="n">
        <v>600</v>
      </c>
      <c r="H79" s="12">
        <f>ABS(G79-F79)</f>
        <v/>
      </c>
      <c r="I79" s="32">
        <f>IF(F79&gt;0, G79/F79, IF(G79&gt;0, 1.0, 0.0))</f>
        <v/>
      </c>
      <c r="J79" s="33" t="inlineStr">
        <is>
          <t>Pedido extra no previsto</t>
        </is>
      </c>
      <c r="K79" s="34" t="n">
        <v>600</v>
      </c>
      <c r="L79" s="35" t="n">
        <v>600</v>
      </c>
      <c r="M79" s="34" t="n">
        <v>0</v>
      </c>
      <c r="N79" s="35" t="n">
        <v>0</v>
      </c>
      <c r="O79" s="34" t="n">
        <v>0</v>
      </c>
      <c r="P79" s="35" t="n">
        <v>0</v>
      </c>
      <c r="Q79" s="12">
        <f>K79+M79+O79</f>
        <v/>
      </c>
      <c r="R79" s="13">
        <f>L79+N79+P79</f>
        <v/>
      </c>
      <c r="S79" s="36">
        <f>R79-Q79</f>
        <v/>
      </c>
      <c r="T79" s="37" t="inlineStr"/>
    </row>
    <row r="80" ht="20" customHeight="1">
      <c r="B80" s="11" t="inlineStr">
        <is>
          <t>RUMANÍA</t>
        </is>
      </c>
      <c r="C80" s="31" t="inlineStr">
        <is>
          <t>SC MARCOSER S.R.L.</t>
        </is>
      </c>
      <c r="D80" s="11" t="inlineStr">
        <is>
          <t>BIO0020</t>
        </is>
      </c>
      <c r="E80" s="31" t="inlineStr">
        <is>
          <t>BIORAD-20</t>
        </is>
      </c>
      <c r="F80" s="12" t="n">
        <v>0</v>
      </c>
      <c r="G80" s="13" t="n">
        <v>640</v>
      </c>
      <c r="H80" s="12">
        <f>ABS(G80-F80)</f>
        <v/>
      </c>
      <c r="I80" s="32">
        <f>IF(F80&gt;0, G80/F80, IF(G80&gt;0, 1.0, 0.0))</f>
        <v/>
      </c>
      <c r="J80" s="33" t="inlineStr">
        <is>
          <t>Pedido extra no previsto</t>
        </is>
      </c>
      <c r="K80" s="34" t="n">
        <v>640</v>
      </c>
      <c r="L80" s="35" t="n">
        <v>640</v>
      </c>
      <c r="M80" s="34" t="n">
        <v>0</v>
      </c>
      <c r="N80" s="35" t="n">
        <v>0</v>
      </c>
      <c r="O80" s="34" t="n">
        <v>0</v>
      </c>
      <c r="P80" s="35" t="n">
        <v>0</v>
      </c>
      <c r="Q80" s="12">
        <f>K80+M80+O80</f>
        <v/>
      </c>
      <c r="R80" s="13">
        <f>L80+N80+P80</f>
        <v/>
      </c>
      <c r="S80" s="36">
        <f>R80-Q80</f>
        <v/>
      </c>
      <c r="T80" s="37" t="inlineStr"/>
    </row>
    <row r="81" ht="20" customHeight="1">
      <c r="B81" s="11" t="inlineStr">
        <is>
          <t>RUMANÍA</t>
        </is>
      </c>
      <c r="C81" s="31" t="inlineStr">
        <is>
          <t>SC MARCOSER S.R.L.</t>
        </is>
      </c>
      <c r="D81" s="11" t="inlineStr">
        <is>
          <t>C-CU0001</t>
        </is>
      </c>
      <c r="E81" s="31" t="inlineStr">
        <is>
          <t>CODICOBRE</t>
        </is>
      </c>
      <c r="F81" s="12" t="n">
        <v>0</v>
      </c>
      <c r="G81" s="13" t="n">
        <v>0</v>
      </c>
      <c r="H81" s="12">
        <f>ABS(G81-F81)</f>
        <v/>
      </c>
      <c r="I81" s="32">
        <f>IF(F81&gt;0, G81/F81, IF(G81&gt;0, 1.0, 0.0))</f>
        <v/>
      </c>
      <c r="J81" s="33" t="inlineStr"/>
      <c r="K81" s="34" t="n">
        <v>0</v>
      </c>
      <c r="L81" s="35" t="n">
        <v>0</v>
      </c>
      <c r="M81" s="34" t="n">
        <v>660</v>
      </c>
      <c r="N81" s="35" t="n">
        <v>660</v>
      </c>
      <c r="O81" s="34" t="n">
        <v>0</v>
      </c>
      <c r="P81" s="35" t="n">
        <v>0</v>
      </c>
      <c r="Q81" s="12">
        <f>K81+M81+O81</f>
        <v/>
      </c>
      <c r="R81" s="13">
        <f>L81+N81+P81</f>
        <v/>
      </c>
      <c r="S81" s="36">
        <f>R81-Q81</f>
        <v/>
      </c>
      <c r="T81" s="37" t="inlineStr"/>
    </row>
    <row r="82" ht="20" customHeight="1">
      <c r="B82" s="11" t="inlineStr">
        <is>
          <t>RUMANÍA</t>
        </is>
      </c>
      <c r="C82" s="31" t="inlineStr">
        <is>
          <t>SC MARCOSER S.R.L.</t>
        </is>
      </c>
      <c r="D82" s="11" t="inlineStr">
        <is>
          <t>C-CU0020</t>
        </is>
      </c>
      <c r="E82" s="31" t="inlineStr">
        <is>
          <t>CODICOBRE</t>
        </is>
      </c>
      <c r="F82" s="12" t="n">
        <v>0</v>
      </c>
      <c r="G82" s="13" t="n">
        <v>0</v>
      </c>
      <c r="H82" s="12">
        <f>ABS(G82-F82)</f>
        <v/>
      </c>
      <c r="I82" s="32">
        <f>IF(F82&gt;0, G82/F82, IF(G82&gt;0, 1.0, 0.0))</f>
        <v/>
      </c>
      <c r="J82" s="33" t="inlineStr"/>
      <c r="K82" s="34" t="n">
        <v>0</v>
      </c>
      <c r="L82" s="35" t="n">
        <v>0</v>
      </c>
      <c r="M82" s="34" t="n">
        <v>320</v>
      </c>
      <c r="N82" s="35" t="n">
        <v>320</v>
      </c>
      <c r="O82" s="34" t="n">
        <v>0</v>
      </c>
      <c r="P82" s="35" t="n">
        <v>0</v>
      </c>
      <c r="Q82" s="12">
        <f>K82+M82+O82</f>
        <v/>
      </c>
      <c r="R82" s="13">
        <f>L82+N82+P82</f>
        <v/>
      </c>
      <c r="S82" s="36">
        <f>R82-Q82</f>
        <v/>
      </c>
      <c r="T82" s="37" t="inlineStr"/>
    </row>
    <row r="83" ht="20" customHeight="1">
      <c r="B83" s="11" t="inlineStr">
        <is>
          <t>RUMANÍA</t>
        </is>
      </c>
      <c r="C83" s="31" t="inlineStr">
        <is>
          <t>SC MARCOSER S.R.L.</t>
        </is>
      </c>
      <c r="D83" s="11" t="inlineStr">
        <is>
          <t>C-L0001</t>
        </is>
      </c>
      <c r="E83" s="31" t="inlineStr">
        <is>
          <t>CODIBOR-L</t>
        </is>
      </c>
      <c r="F83" s="12" t="n">
        <v>0</v>
      </c>
      <c r="G83" s="13" t="n">
        <v>792</v>
      </c>
      <c r="H83" s="12">
        <f>ABS(G83-F83)</f>
        <v/>
      </c>
      <c r="I83" s="32">
        <f>IF(F83&gt;0, G83/F83, IF(G83&gt;0, 1.0, 0.0))</f>
        <v/>
      </c>
      <c r="J83" s="33" t="inlineStr">
        <is>
          <t>Pedido extra no previsto</t>
        </is>
      </c>
      <c r="K83" s="34" t="n">
        <v>792</v>
      </c>
      <c r="L83" s="35" t="n">
        <v>792</v>
      </c>
      <c r="M83" s="34" t="n">
        <v>0</v>
      </c>
      <c r="N83" s="35" t="n">
        <v>0</v>
      </c>
      <c r="O83" s="34" t="n">
        <v>0</v>
      </c>
      <c r="P83" s="35" t="n">
        <v>0</v>
      </c>
      <c r="Q83" s="12">
        <f>K83+M83+O83</f>
        <v/>
      </c>
      <c r="R83" s="13">
        <f>L83+N83+P83</f>
        <v/>
      </c>
      <c r="S83" s="36">
        <f>R83-Q83</f>
        <v/>
      </c>
      <c r="T83" s="37" t="inlineStr"/>
    </row>
    <row r="84" ht="20" customHeight="1">
      <c r="B84" s="11" t="inlineStr">
        <is>
          <t>RUMANÍA</t>
        </is>
      </c>
      <c r="C84" s="31" t="inlineStr">
        <is>
          <t>SC MARCOSER S.R.L.</t>
        </is>
      </c>
      <c r="D84" s="11" t="inlineStr">
        <is>
          <t>FLOR0001</t>
        </is>
      </c>
      <c r="E84" s="31" t="inlineStr">
        <is>
          <t>FLORAMEC</t>
        </is>
      </c>
      <c r="F84" s="12" t="n">
        <v>0</v>
      </c>
      <c r="G84" s="13" t="n">
        <v>0</v>
      </c>
      <c r="H84" s="12">
        <f>ABS(G84-F84)</f>
        <v/>
      </c>
      <c r="I84" s="32">
        <f>IF(F84&gt;0, G84/F84, IF(G84&gt;0, 1.0, 0.0))</f>
        <v/>
      </c>
      <c r="J84" s="33" t="inlineStr"/>
      <c r="K84" s="34" t="n">
        <v>0</v>
      </c>
      <c r="L84" s="35" t="n">
        <v>0</v>
      </c>
      <c r="M84" s="34" t="n">
        <v>300</v>
      </c>
      <c r="N84" s="35" t="n">
        <v>300</v>
      </c>
      <c r="O84" s="34" t="n">
        <v>0</v>
      </c>
      <c r="P84" s="35" t="n">
        <v>0</v>
      </c>
      <c r="Q84" s="12">
        <f>K84+M84+O84</f>
        <v/>
      </c>
      <c r="R84" s="13">
        <f>L84+N84+P84</f>
        <v/>
      </c>
      <c r="S84" s="36">
        <f>R84-Q84</f>
        <v/>
      </c>
      <c r="T84" s="37" t="inlineStr"/>
    </row>
    <row r="85" ht="20" customHeight="1">
      <c r="B85" s="11" t="inlineStr">
        <is>
          <t>RUMANÍA</t>
        </is>
      </c>
      <c r="C85" s="31" t="inlineStr">
        <is>
          <t>SC MARCOSER S.R.L.</t>
        </is>
      </c>
      <c r="D85" s="11" t="inlineStr">
        <is>
          <t>G0001</t>
        </is>
      </c>
      <c r="E85" s="31" t="inlineStr">
        <is>
          <t>GREEN-UP</t>
        </is>
      </c>
      <c r="F85" s="12" t="n">
        <v>0</v>
      </c>
      <c r="G85" s="13" t="n">
        <v>0</v>
      </c>
      <c r="H85" s="12">
        <f>ABS(G85-F85)</f>
        <v/>
      </c>
      <c r="I85" s="32">
        <f>IF(F85&gt;0, G85/F85, IF(G85&gt;0, 1.0, 0.0))</f>
        <v/>
      </c>
      <c r="J85" s="33" t="inlineStr"/>
      <c r="K85" s="34" t="n">
        <v>0</v>
      </c>
      <c r="L85" s="35" t="n">
        <v>0</v>
      </c>
      <c r="M85" s="34" t="n">
        <v>660</v>
      </c>
      <c r="N85" s="35" t="n">
        <v>660</v>
      </c>
      <c r="O85" s="34" t="n">
        <v>0</v>
      </c>
      <c r="P85" s="35" t="n">
        <v>0</v>
      </c>
      <c r="Q85" s="12">
        <f>K85+M85+O85</f>
        <v/>
      </c>
      <c r="R85" s="13">
        <f>L85+N85+P85</f>
        <v/>
      </c>
      <c r="S85" s="36">
        <f>R85-Q85</f>
        <v/>
      </c>
      <c r="T85" s="37" t="inlineStr"/>
    </row>
    <row r="86" ht="20" customHeight="1">
      <c r="B86" s="11" t="inlineStr">
        <is>
          <t>RUMANÍA</t>
        </is>
      </c>
      <c r="C86" s="31" t="inlineStr">
        <is>
          <t>SC MARCOSER S.R.L.</t>
        </is>
      </c>
      <c r="D86" s="11" t="inlineStr">
        <is>
          <t>G0200</t>
        </is>
      </c>
      <c r="E86" s="31" t="inlineStr">
        <is>
          <t>GREEN-UP EXPORTACION, 200 L</t>
        </is>
      </c>
      <c r="F86" s="12" t="n">
        <v>0</v>
      </c>
      <c r="G86" s="13" t="n">
        <v>0</v>
      </c>
      <c r="H86" s="12">
        <f>ABS(G86-F86)</f>
        <v/>
      </c>
      <c r="I86" s="32">
        <f>IF(F86&gt;0, G86/F86, IF(G86&gt;0, 1.0, 0.0))</f>
        <v/>
      </c>
      <c r="J86" s="33" t="inlineStr"/>
      <c r="K86" s="34" t="n">
        <v>0</v>
      </c>
      <c r="L86" s="35" t="n">
        <v>0</v>
      </c>
      <c r="M86" s="34" t="n">
        <v>400</v>
      </c>
      <c r="N86" s="35" t="n">
        <v>400</v>
      </c>
      <c r="O86" s="34" t="n">
        <v>0</v>
      </c>
      <c r="P86" s="35" t="n">
        <v>0</v>
      </c>
      <c r="Q86" s="12">
        <f>K86+M86+O86</f>
        <v/>
      </c>
      <c r="R86" s="13">
        <f>L86+N86+P86</f>
        <v/>
      </c>
      <c r="S86" s="36">
        <f>R86-Q86</f>
        <v/>
      </c>
      <c r="T86" s="37" t="inlineStr"/>
    </row>
    <row r="87" ht="20" customHeight="1">
      <c r="B87" s="11" t="inlineStr">
        <is>
          <t>ESPAÑA</t>
        </is>
      </c>
      <c r="C87" s="31" t="inlineStr">
        <is>
          <t>SC MARCOSER S.R.L.</t>
        </is>
      </c>
      <c r="D87" s="11" t="inlineStr">
        <is>
          <t>P-5X0020RU</t>
        </is>
      </c>
      <c r="E87" s="31" t="inlineStr">
        <is>
          <t>P.M.S. 5x, 20 L</t>
        </is>
      </c>
      <c r="F87" s="12" t="n">
        <v>0</v>
      </c>
      <c r="G87" s="13" t="n">
        <v>640</v>
      </c>
      <c r="H87" s="12">
        <f>ABS(G87-F87)</f>
        <v/>
      </c>
      <c r="I87" s="32">
        <f>IF(F87&gt;0, G87/F87, IF(G87&gt;0, 1.0, 0.0))</f>
        <v/>
      </c>
      <c r="J87" s="33" t="inlineStr">
        <is>
          <t>Pedido extra no previsto</t>
        </is>
      </c>
      <c r="K87" s="34" t="n">
        <v>0</v>
      </c>
      <c r="L87" s="35" t="n">
        <v>0</v>
      </c>
      <c r="M87" s="34" t="n">
        <v>0</v>
      </c>
      <c r="N87" s="35" t="n">
        <v>0</v>
      </c>
      <c r="O87" s="34" t="n">
        <v>0</v>
      </c>
      <c r="P87" s="35" t="n">
        <v>0</v>
      </c>
      <c r="Q87" s="12">
        <f>K87+M87+O87</f>
        <v/>
      </c>
      <c r="R87" s="13">
        <f>L87+N87+P87</f>
        <v/>
      </c>
      <c r="S87" s="36">
        <f>R87-Q87</f>
        <v/>
      </c>
      <c r="T87" s="37" t="inlineStr"/>
    </row>
    <row r="88" ht="20" customHeight="1">
      <c r="B88" s="11" t="inlineStr">
        <is>
          <t>RUMANÍA</t>
        </is>
      </c>
      <c r="C88" s="31" t="inlineStr">
        <is>
          <t>SC MARCOSER S.R.L.</t>
        </is>
      </c>
      <c r="D88" s="11" t="inlineStr">
        <is>
          <t>PK500001</t>
        </is>
      </c>
      <c r="E88" s="31" t="inlineStr">
        <is>
          <t>POLIFRUIT K50</t>
        </is>
      </c>
      <c r="F88" s="12" t="n">
        <v>0</v>
      </c>
      <c r="G88" s="13" t="n">
        <v>0</v>
      </c>
      <c r="H88" s="12">
        <f>ABS(G88-F88)</f>
        <v/>
      </c>
      <c r="I88" s="32">
        <f>IF(F88&gt;0, G88/F88, IF(G88&gt;0, 1.0, 0.0))</f>
        <v/>
      </c>
      <c r="J88" s="33" t="inlineStr"/>
      <c r="K88" s="34" t="n">
        <v>0</v>
      </c>
      <c r="L88" s="35" t="n">
        <v>0</v>
      </c>
      <c r="M88" s="34" t="n">
        <v>300</v>
      </c>
      <c r="N88" s="35" t="n">
        <v>300</v>
      </c>
      <c r="O88" s="34" t="n">
        <v>0</v>
      </c>
      <c r="P88" s="35" t="n">
        <v>0</v>
      </c>
      <c r="Q88" s="12">
        <f>K88+M88+O88</f>
        <v/>
      </c>
      <c r="R88" s="13">
        <f>L88+N88+P88</f>
        <v/>
      </c>
      <c r="S88" s="36">
        <f>R88-Q88</f>
        <v/>
      </c>
      <c r="T88" s="37" t="inlineStr"/>
    </row>
    <row r="89" ht="20" customHeight="1">
      <c r="B89" s="11" t="inlineStr">
        <is>
          <t>RUMANÍA</t>
        </is>
      </c>
      <c r="C89" s="31" t="inlineStr">
        <is>
          <t>SC MARCOSER S.R.L.</t>
        </is>
      </c>
      <c r="D89" s="11" t="inlineStr">
        <is>
          <t>PK500020</t>
        </is>
      </c>
      <c r="E89" s="31" t="inlineStr">
        <is>
          <t>POLIFRUIT K50</t>
        </is>
      </c>
      <c r="F89" s="12" t="n">
        <v>0</v>
      </c>
      <c r="G89" s="13" t="n">
        <v>0</v>
      </c>
      <c r="H89" s="12">
        <f>ABS(G89-F89)</f>
        <v/>
      </c>
      <c r="I89" s="32">
        <f>IF(F89&gt;0, G89/F89, IF(G89&gt;0, 1.0, 0.0))</f>
        <v/>
      </c>
      <c r="J89" s="33" t="inlineStr"/>
      <c r="K89" s="34" t="n">
        <v>0</v>
      </c>
      <c r="L89" s="35" t="n">
        <v>0</v>
      </c>
      <c r="M89" s="34" t="n">
        <v>640</v>
      </c>
      <c r="N89" s="35" t="n">
        <v>640</v>
      </c>
      <c r="O89" s="34" t="n">
        <v>0</v>
      </c>
      <c r="P89" s="35" t="n">
        <v>0</v>
      </c>
      <c r="Q89" s="12">
        <f>K89+M89+O89</f>
        <v/>
      </c>
      <c r="R89" s="13">
        <f>L89+N89+P89</f>
        <v/>
      </c>
      <c r="S89" s="36">
        <f>R89-Q89</f>
        <v/>
      </c>
      <c r="T89" s="37" t="inlineStr"/>
    </row>
    <row r="90" ht="20" customHeight="1">
      <c r="B90" s="11" t="inlineStr">
        <is>
          <t>RUMANÍA</t>
        </is>
      </c>
      <c r="C90" s="31" t="inlineStr">
        <is>
          <t>SC MARCOSER S.R.L.</t>
        </is>
      </c>
      <c r="D90" s="11" t="inlineStr">
        <is>
          <t>PML0001</t>
        </is>
      </c>
      <c r="E90" s="31" t="inlineStr">
        <is>
          <t>POLIGREEN MIX L</t>
        </is>
      </c>
      <c r="F90" s="12" t="n">
        <v>0</v>
      </c>
      <c r="G90" s="13" t="n">
        <v>0</v>
      </c>
      <c r="H90" s="12">
        <f>ABS(G90-F90)</f>
        <v/>
      </c>
      <c r="I90" s="32">
        <f>IF(F90&gt;0, G90/F90, IF(G90&gt;0, 1.0, 0.0))</f>
        <v/>
      </c>
      <c r="J90" s="33" t="inlineStr"/>
      <c r="K90" s="34" t="n">
        <v>0</v>
      </c>
      <c r="L90" s="35" t="n">
        <v>0</v>
      </c>
      <c r="M90" s="34" t="n">
        <v>660</v>
      </c>
      <c r="N90" s="35" t="n">
        <v>660</v>
      </c>
      <c r="O90" s="34" t="n">
        <v>0</v>
      </c>
      <c r="P90" s="35" t="n">
        <v>0</v>
      </c>
      <c r="Q90" s="12">
        <f>K90+M90+O90</f>
        <v/>
      </c>
      <c r="R90" s="13">
        <f>L90+N90+P90</f>
        <v/>
      </c>
      <c r="S90" s="36">
        <f>R90-Q90</f>
        <v/>
      </c>
      <c r="T90" s="37" t="inlineStr"/>
    </row>
    <row r="91" ht="20" customHeight="1">
      <c r="B91" s="11" t="inlineStr">
        <is>
          <t>RUMANÍA</t>
        </is>
      </c>
      <c r="C91" s="31" t="inlineStr">
        <is>
          <t>SC MARCOSER S.R.L.</t>
        </is>
      </c>
      <c r="D91" s="11" t="inlineStr">
        <is>
          <t>PT0001</t>
        </is>
      </c>
      <c r="E91" s="31" t="inlineStr">
        <is>
          <t>AGROPOTASION</t>
        </is>
      </c>
      <c r="F91" s="12" t="n">
        <v>0</v>
      </c>
      <c r="G91" s="13" t="n">
        <v>0</v>
      </c>
      <c r="H91" s="12">
        <f>ABS(G91-F91)</f>
        <v/>
      </c>
      <c r="I91" s="32">
        <f>IF(F91&gt;0, G91/F91, IF(G91&gt;0, 1.0, 0.0))</f>
        <v/>
      </c>
      <c r="J91" s="33" t="inlineStr"/>
      <c r="K91" s="34" t="n">
        <v>0</v>
      </c>
      <c r="L91" s="35" t="n">
        <v>0</v>
      </c>
      <c r="M91" s="34" t="n">
        <v>600</v>
      </c>
      <c r="N91" s="35" t="n">
        <v>600</v>
      </c>
      <c r="O91" s="34" t="n">
        <v>0</v>
      </c>
      <c r="P91" s="35" t="n">
        <v>0</v>
      </c>
      <c r="Q91" s="12">
        <f>K91+M91+O91</f>
        <v/>
      </c>
      <c r="R91" s="13">
        <f>L91+N91+P91</f>
        <v/>
      </c>
      <c r="S91" s="36">
        <f>R91-Q91</f>
        <v/>
      </c>
      <c r="T91" s="37" t="inlineStr"/>
    </row>
    <row r="92" ht="20" customHeight="1">
      <c r="B92" s="11" t="inlineStr">
        <is>
          <t>RUMANÍA</t>
        </is>
      </c>
      <c r="C92" s="31" t="inlineStr">
        <is>
          <t>SC MARCOSER S.R.L.</t>
        </is>
      </c>
      <c r="D92" s="11" t="inlineStr">
        <is>
          <t>PT0020</t>
        </is>
      </c>
      <c r="E92" s="31" t="inlineStr">
        <is>
          <t>AGROPOTASION</t>
        </is>
      </c>
      <c r="F92" s="12" t="n">
        <v>0</v>
      </c>
      <c r="G92" s="13" t="n">
        <v>0</v>
      </c>
      <c r="H92" s="12">
        <f>ABS(G92-F92)</f>
        <v/>
      </c>
      <c r="I92" s="32">
        <f>IF(F92&gt;0, G92/F92, IF(G92&gt;0, 1.0, 0.0))</f>
        <v/>
      </c>
      <c r="J92" s="33" t="inlineStr"/>
      <c r="K92" s="34" t="n">
        <v>0</v>
      </c>
      <c r="L92" s="35" t="n">
        <v>0</v>
      </c>
      <c r="M92" s="34" t="n">
        <v>600</v>
      </c>
      <c r="N92" s="35" t="n">
        <v>600</v>
      </c>
      <c r="O92" s="34" t="n">
        <v>0</v>
      </c>
      <c r="P92" s="35" t="n">
        <v>0</v>
      </c>
      <c r="Q92" s="12">
        <f>K92+M92+O92</f>
        <v/>
      </c>
      <c r="R92" s="13">
        <f>L92+N92+P92</f>
        <v/>
      </c>
      <c r="S92" s="36">
        <f>R92-Q92</f>
        <v/>
      </c>
      <c r="T92" s="37" t="inlineStr"/>
    </row>
    <row r="93" ht="20" customHeight="1">
      <c r="B93" s="11" t="inlineStr">
        <is>
          <t>RUMANÍA</t>
        </is>
      </c>
      <c r="C93" s="31" t="inlineStr">
        <is>
          <t>SC MARCOSER S.R.L.</t>
        </is>
      </c>
      <c r="D93" s="11" t="inlineStr">
        <is>
          <t>SPCE0001</t>
        </is>
      </c>
      <c r="E93" s="31" t="inlineStr">
        <is>
          <t>SPRINTENE</t>
        </is>
      </c>
      <c r="F93" s="12" t="n">
        <v>0</v>
      </c>
      <c r="G93" s="13" t="n">
        <v>792</v>
      </c>
      <c r="H93" s="12">
        <f>ABS(G93-F93)</f>
        <v/>
      </c>
      <c r="I93" s="32">
        <f>IF(F93&gt;0, G93/F93, IF(G93&gt;0, 1.0, 0.0))</f>
        <v/>
      </c>
      <c r="J93" s="33" t="inlineStr">
        <is>
          <t>Pedido extra no previsto</t>
        </is>
      </c>
      <c r="K93" s="34" t="n">
        <v>792</v>
      </c>
      <c r="L93" s="35" t="n">
        <v>792</v>
      </c>
      <c r="M93" s="34" t="n">
        <v>0</v>
      </c>
      <c r="N93" s="35" t="n">
        <v>0</v>
      </c>
      <c r="O93" s="34" t="n">
        <v>0</v>
      </c>
      <c r="P93" s="35" t="n">
        <v>0</v>
      </c>
      <c r="Q93" s="12">
        <f>K93+M93+O93</f>
        <v/>
      </c>
      <c r="R93" s="13">
        <f>L93+N93+P93</f>
        <v/>
      </c>
      <c r="S93" s="36">
        <f>R93-Q93</f>
        <v/>
      </c>
      <c r="T93" s="37" t="inlineStr"/>
    </row>
    <row r="94" ht="20" customHeight="1">
      <c r="B94" s="11" t="inlineStr">
        <is>
          <t>RUMANÍA</t>
        </is>
      </c>
      <c r="C94" s="31" t="inlineStr">
        <is>
          <t>SC MARCOSER S.R.L.</t>
        </is>
      </c>
      <c r="D94" s="11" t="inlineStr">
        <is>
          <t>SPCE0020</t>
        </is>
      </c>
      <c r="E94" s="31" t="inlineStr">
        <is>
          <t>SPRINTENE</t>
        </is>
      </c>
      <c r="F94" s="12" t="n">
        <v>0</v>
      </c>
      <c r="G94" s="13" t="n">
        <v>640</v>
      </c>
      <c r="H94" s="12">
        <f>ABS(G94-F94)</f>
        <v/>
      </c>
      <c r="I94" s="32">
        <f>IF(F94&gt;0, G94/F94, IF(G94&gt;0, 1.0, 0.0))</f>
        <v/>
      </c>
      <c r="J94" s="33" t="inlineStr">
        <is>
          <t>Pedido extra no previsto</t>
        </is>
      </c>
      <c r="K94" s="34" t="n">
        <v>640</v>
      </c>
      <c r="L94" s="35" t="n">
        <v>640</v>
      </c>
      <c r="M94" s="34" t="n">
        <v>0</v>
      </c>
      <c r="N94" s="35" t="n">
        <v>0</v>
      </c>
      <c r="O94" s="34" t="n">
        <v>0</v>
      </c>
      <c r="P94" s="35" t="n">
        <v>0</v>
      </c>
      <c r="Q94" s="12">
        <f>K94+M94+O94</f>
        <v/>
      </c>
      <c r="R94" s="13">
        <f>L94+N94+P94</f>
        <v/>
      </c>
      <c r="S94" s="36">
        <f>R94-Q94</f>
        <v/>
      </c>
      <c r="T94" s="37" t="inlineStr"/>
    </row>
    <row r="95" ht="20" customHeight="1">
      <c r="B95" s="11" t="inlineStr">
        <is>
          <t>RUMANÍA</t>
        </is>
      </c>
      <c r="C95" s="31" t="inlineStr">
        <is>
          <t>SC MARCOSER S.R.L.</t>
        </is>
      </c>
      <c r="D95" s="11" t="inlineStr">
        <is>
          <t>SS0001</t>
        </is>
      </c>
      <c r="E95" s="31" t="inlineStr">
        <is>
          <t>SAL-WAX Ca</t>
        </is>
      </c>
      <c r="F95" s="12" t="n">
        <v>0</v>
      </c>
      <c r="G95" s="13" t="n">
        <v>1056</v>
      </c>
      <c r="H95" s="12">
        <f>ABS(G95-F95)</f>
        <v/>
      </c>
      <c r="I95" s="32">
        <f>IF(F95&gt;0, G95/F95, IF(G95&gt;0, 1.0, 0.0))</f>
        <v/>
      </c>
      <c r="J95" s="33" t="inlineStr">
        <is>
          <t>Pedido extra no previsto</t>
        </is>
      </c>
      <c r="K95" s="34" t="n">
        <v>1056</v>
      </c>
      <c r="L95" s="35" t="n">
        <v>1056</v>
      </c>
      <c r="M95" s="34" t="n">
        <v>0</v>
      </c>
      <c r="N95" s="35" t="n">
        <v>0</v>
      </c>
      <c r="O95" s="34" t="n">
        <v>0</v>
      </c>
      <c r="P95" s="35" t="n">
        <v>0</v>
      </c>
      <c r="Q95" s="12">
        <f>K95+M95+O95</f>
        <v/>
      </c>
      <c r="R95" s="13">
        <f>L95+N95+P95</f>
        <v/>
      </c>
      <c r="S95" s="36">
        <f>R95-Q95</f>
        <v/>
      </c>
      <c r="T95" s="37" t="inlineStr"/>
    </row>
    <row r="96" ht="20" customHeight="1">
      <c r="B96" s="11" t="inlineStr">
        <is>
          <t>RUMANÍA</t>
        </is>
      </c>
      <c r="C96" s="31" t="inlineStr">
        <is>
          <t>SC MARCOSER S.R.L.</t>
        </is>
      </c>
      <c r="D96" s="11" t="inlineStr">
        <is>
          <t>SS0020</t>
        </is>
      </c>
      <c r="E96" s="31" t="inlineStr">
        <is>
          <t>SAL-WAX-Ca</t>
        </is>
      </c>
      <c r="F96" s="12" t="n">
        <v>0</v>
      </c>
      <c r="G96" s="13" t="n">
        <v>0</v>
      </c>
      <c r="H96" s="12">
        <f>ABS(G96-F96)</f>
        <v/>
      </c>
      <c r="I96" s="32">
        <f>IF(F96&gt;0, G96/F96, IF(G96&gt;0, 1.0, 0.0))</f>
        <v/>
      </c>
      <c r="J96" s="33" t="inlineStr"/>
      <c r="K96" s="34" t="n">
        <v>0</v>
      </c>
      <c r="L96" s="35" t="n">
        <v>0</v>
      </c>
      <c r="M96" s="34" t="n">
        <v>600</v>
      </c>
      <c r="N96" s="35" t="n">
        <v>600</v>
      </c>
      <c r="O96" s="34" t="n">
        <v>0</v>
      </c>
      <c r="P96" s="35" t="n">
        <v>0</v>
      </c>
      <c r="Q96" s="12">
        <f>K96+M96+O96</f>
        <v/>
      </c>
      <c r="R96" s="13">
        <f>L96+N96+P96</f>
        <v/>
      </c>
      <c r="S96" s="36">
        <f>R96-Q96</f>
        <v/>
      </c>
      <c r="T96" s="37" t="inlineStr"/>
    </row>
    <row r="97" ht="20" customHeight="1">
      <c r="B97" s="11" t="inlineStr">
        <is>
          <t>ESPAÑA</t>
        </is>
      </c>
      <c r="C97" s="31" t="inlineStr">
        <is>
          <t>SERVIAGRI´ 97, S.L.</t>
        </is>
      </c>
      <c r="D97" s="11" t="inlineStr">
        <is>
          <t>AGXK0005</t>
        </is>
      </c>
      <c r="E97" s="31" t="inlineStr">
        <is>
          <t>AGROXILATO-K, 5 L</t>
        </is>
      </c>
      <c r="F97" s="12" t="n">
        <v>200</v>
      </c>
      <c r="G97" s="13" t="n">
        <v>0</v>
      </c>
      <c r="H97" s="12">
        <f>ABS(G97-F97)</f>
        <v/>
      </c>
      <c r="I97" s="32">
        <f>IF(F97&gt;0, G97/F97, IF(G97&gt;0, 1.0, 0.0))</f>
        <v/>
      </c>
      <c r="J97" s="33" t="inlineStr"/>
      <c r="K97" s="34" t="n">
        <v>200</v>
      </c>
      <c r="L97" s="35" t="n">
        <v>200</v>
      </c>
      <c r="M97" s="34" t="n">
        <v>200</v>
      </c>
      <c r="N97" s="35" t="n">
        <v>200</v>
      </c>
      <c r="O97" s="34" t="n">
        <v>0</v>
      </c>
      <c r="P97" s="35" t="n">
        <v>0</v>
      </c>
      <c r="Q97" s="12">
        <f>K97+M97+O97</f>
        <v/>
      </c>
      <c r="R97" s="13">
        <f>L97+N97+P97</f>
        <v/>
      </c>
      <c r="S97" s="36">
        <f>R97-Q97</f>
        <v/>
      </c>
      <c r="T97" s="37" t="inlineStr"/>
    </row>
    <row r="98" ht="20" customHeight="1">
      <c r="B98" s="11" t="inlineStr">
        <is>
          <t>ESPAÑA</t>
        </is>
      </c>
      <c r="C98" s="31" t="inlineStr">
        <is>
          <t>SERVIAGRI´ 97, S.L.</t>
        </is>
      </c>
      <c r="D98" s="11" t="inlineStr">
        <is>
          <t>AGXK0020</t>
        </is>
      </c>
      <c r="E98" s="31" t="inlineStr">
        <is>
          <t>AGROXILATO-K, 20 L</t>
        </is>
      </c>
      <c r="F98" s="12" t="n">
        <v>0</v>
      </c>
      <c r="G98" s="13" t="n">
        <v>120</v>
      </c>
      <c r="H98" s="12">
        <f>ABS(G98-F98)</f>
        <v/>
      </c>
      <c r="I98" s="32">
        <f>IF(F98&gt;0, G98/F98, IF(G98&gt;0, 1.0, 0.0))</f>
        <v/>
      </c>
      <c r="J98" s="33" t="inlineStr">
        <is>
          <t>Pedido extra no previsto</t>
        </is>
      </c>
      <c r="K98" s="34" t="n">
        <v>640</v>
      </c>
      <c r="L98" s="35" t="n">
        <v>640</v>
      </c>
      <c r="M98" s="34" t="n">
        <v>640</v>
      </c>
      <c r="N98" s="35" t="n">
        <v>640</v>
      </c>
      <c r="O98" s="34" t="n">
        <v>640</v>
      </c>
      <c r="P98" s="35" t="n">
        <v>640</v>
      </c>
      <c r="Q98" s="12">
        <f>K98+M98+O98</f>
        <v/>
      </c>
      <c r="R98" s="13">
        <f>L98+N98+P98</f>
        <v/>
      </c>
      <c r="S98" s="36">
        <f>R98-Q98</f>
        <v/>
      </c>
      <c r="T98" s="37" t="inlineStr"/>
    </row>
    <row r="99" ht="20" customHeight="1">
      <c r="B99" s="11" t="inlineStr">
        <is>
          <t>ESPAÑA</t>
        </is>
      </c>
      <c r="C99" s="31" t="inlineStr">
        <is>
          <t>SERVIAGRI´ 97, S.L.</t>
        </is>
      </c>
      <c r="D99" s="11" t="inlineStr">
        <is>
          <t>ANAE0005</t>
        </is>
      </c>
      <c r="E99" s="31" t="inlineStr">
        <is>
          <t>ALCAPLANT NEW AE, 5 KG</t>
        </is>
      </c>
      <c r="F99" s="12" t="n">
        <v>0</v>
      </c>
      <c r="G99" s="13" t="n">
        <v>0</v>
      </c>
      <c r="H99" s="12">
        <f>ABS(G99-F99)</f>
        <v/>
      </c>
      <c r="I99" s="32">
        <f>IF(F99&gt;0, G99/F99, IF(G99&gt;0, 1.0, 0.0))</f>
        <v/>
      </c>
      <c r="J99" s="33" t="inlineStr"/>
      <c r="K99" s="34" t="n">
        <v>0</v>
      </c>
      <c r="L99" s="35" t="n">
        <v>0</v>
      </c>
      <c r="M99" s="34" t="n">
        <v>50</v>
      </c>
      <c r="N99" s="35" t="n">
        <v>50</v>
      </c>
      <c r="O99" s="34" t="n">
        <v>0</v>
      </c>
      <c r="P99" s="35" t="n">
        <v>0</v>
      </c>
      <c r="Q99" s="12">
        <f>K99+M99+O99</f>
        <v/>
      </c>
      <c r="R99" s="13">
        <f>L99+N99+P99</f>
        <v/>
      </c>
      <c r="S99" s="36">
        <f>R99-Q99</f>
        <v/>
      </c>
      <c r="T99" s="37" t="inlineStr"/>
    </row>
    <row r="100" ht="20" customHeight="1">
      <c r="B100" s="11" t="inlineStr">
        <is>
          <t>ESPAÑA</t>
        </is>
      </c>
      <c r="C100" s="31" t="inlineStr">
        <is>
          <t>SERVIAGRI´ 97, S.L.</t>
        </is>
      </c>
      <c r="D100" s="11" t="inlineStr">
        <is>
          <t>AVAN0005</t>
        </is>
      </c>
      <c r="E100" s="31" t="inlineStr">
        <is>
          <t>FLORAMEC AVANCE, 5 L</t>
        </is>
      </c>
      <c r="F100" s="12" t="n">
        <v>100</v>
      </c>
      <c r="G100" s="13" t="n">
        <v>120</v>
      </c>
      <c r="H100" s="12">
        <f>ABS(G100-F100)</f>
        <v/>
      </c>
      <c r="I100" s="32">
        <f>IF(F100&gt;0, G100/F100, IF(G100&gt;0, 1.0, 0.0))</f>
        <v/>
      </c>
      <c r="J100" s="33" t="inlineStr"/>
      <c r="K100" s="34" t="n">
        <v>100</v>
      </c>
      <c r="L100" s="35" t="n">
        <v>100</v>
      </c>
      <c r="M100" s="34" t="n">
        <v>100</v>
      </c>
      <c r="N100" s="35" t="n">
        <v>100</v>
      </c>
      <c r="O100" s="34" t="n">
        <v>0</v>
      </c>
      <c r="P100" s="35" t="n">
        <v>0</v>
      </c>
      <c r="Q100" s="12">
        <f>K100+M100+O100</f>
        <v/>
      </c>
      <c r="R100" s="13">
        <f>L100+N100+P100</f>
        <v/>
      </c>
      <c r="S100" s="36">
        <f>R100-Q100</f>
        <v/>
      </c>
      <c r="T100" s="37" t="inlineStr"/>
    </row>
    <row r="101" ht="20" customHeight="1">
      <c r="B101" s="11" t="inlineStr">
        <is>
          <t>ESPAÑA</t>
        </is>
      </c>
      <c r="C101" s="31" t="inlineStr">
        <is>
          <t>SERVIAGRI´ 97, S.L.</t>
        </is>
      </c>
      <c r="D101" s="11" t="inlineStr">
        <is>
          <t>B0001</t>
        </is>
      </c>
      <c r="E101" s="31" t="inlineStr">
        <is>
          <t>BOROCAL,1 L</t>
        </is>
      </c>
      <c r="F101" s="12" t="n">
        <v>12</v>
      </c>
      <c r="G101" s="13" t="n">
        <v>12</v>
      </c>
      <c r="H101" s="12">
        <f>ABS(G101-F101)</f>
        <v/>
      </c>
      <c r="I101" s="32">
        <f>IF(F101&gt;0, G101/F101, IF(G101&gt;0, 1.0, 0.0))</f>
        <v/>
      </c>
      <c r="J101" s="33" t="inlineStr"/>
      <c r="K101" s="34" t="n">
        <v>0</v>
      </c>
      <c r="L101" s="35" t="n">
        <v>0</v>
      </c>
      <c r="M101" s="34" t="n">
        <v>12</v>
      </c>
      <c r="N101" s="35" t="n">
        <v>12</v>
      </c>
      <c r="O101" s="34" t="n">
        <v>12</v>
      </c>
      <c r="P101" s="35" t="n">
        <v>12</v>
      </c>
      <c r="Q101" s="12">
        <f>K101+M101+O101</f>
        <v/>
      </c>
      <c r="R101" s="13">
        <f>L101+N101+P101</f>
        <v/>
      </c>
      <c r="S101" s="36">
        <f>R101-Q101</f>
        <v/>
      </c>
      <c r="T101" s="37" t="inlineStr"/>
    </row>
    <row r="102" ht="20" customHeight="1">
      <c r="B102" s="11" t="inlineStr">
        <is>
          <t>ESPAÑA</t>
        </is>
      </c>
      <c r="C102" s="31" t="inlineStr">
        <is>
          <t>SERVIAGRI´ 97, S.L.</t>
        </is>
      </c>
      <c r="D102" s="11" t="inlineStr">
        <is>
          <t>B0005</t>
        </is>
      </c>
      <c r="E102" s="31" t="inlineStr">
        <is>
          <t>BOROCAL, 5 L</t>
        </is>
      </c>
      <c r="F102" s="12" t="n">
        <v>0</v>
      </c>
      <c r="G102" s="13" t="n">
        <v>0</v>
      </c>
      <c r="H102" s="12">
        <f>ABS(G102-F102)</f>
        <v/>
      </c>
      <c r="I102" s="32">
        <f>IF(F102&gt;0, G102/F102, IF(G102&gt;0, 1.0, 0.0))</f>
        <v/>
      </c>
      <c r="J102" s="33" t="inlineStr"/>
      <c r="K102" s="34" t="n">
        <v>0</v>
      </c>
      <c r="L102" s="35" t="n">
        <v>0</v>
      </c>
      <c r="M102" s="34" t="n">
        <v>20</v>
      </c>
      <c r="N102" s="35" t="n">
        <v>20</v>
      </c>
      <c r="O102" s="34" t="n">
        <v>0</v>
      </c>
      <c r="P102" s="35" t="n">
        <v>0</v>
      </c>
      <c r="Q102" s="12">
        <f>K102+M102+O102</f>
        <v/>
      </c>
      <c r="R102" s="13">
        <f>L102+N102+P102</f>
        <v/>
      </c>
      <c r="S102" s="36">
        <f>R102-Q102</f>
        <v/>
      </c>
      <c r="T102" s="37" t="inlineStr"/>
    </row>
    <row r="103" ht="20" customHeight="1">
      <c r="B103" s="11" t="inlineStr">
        <is>
          <t>ESPAÑA</t>
        </is>
      </c>
      <c r="C103" s="31" t="inlineStr">
        <is>
          <t>SERVIAGRI´ 97, S.L.</t>
        </is>
      </c>
      <c r="D103" s="11" t="inlineStr">
        <is>
          <t>BIO0005</t>
        </is>
      </c>
      <c r="E103" s="31" t="inlineStr">
        <is>
          <t>BIORAD-20, 5L</t>
        </is>
      </c>
      <c r="F103" s="12" t="n">
        <v>300</v>
      </c>
      <c r="G103" s="13" t="n">
        <v>0</v>
      </c>
      <c r="H103" s="12">
        <f>ABS(G103-F103)</f>
        <v/>
      </c>
      <c r="I103" s="32">
        <f>IF(F103&gt;0, G103/F103, IF(G103&gt;0, 1.0, 0.0))</f>
        <v/>
      </c>
      <c r="J103" s="33" t="inlineStr"/>
      <c r="K103" s="34" t="n">
        <v>300</v>
      </c>
      <c r="L103" s="35" t="n">
        <v>300</v>
      </c>
      <c r="M103" s="34" t="n">
        <v>300</v>
      </c>
      <c r="N103" s="35" t="n">
        <v>300</v>
      </c>
      <c r="O103" s="34" t="n">
        <v>0</v>
      </c>
      <c r="P103" s="35" t="n">
        <v>0</v>
      </c>
      <c r="Q103" s="12">
        <f>K103+M103+O103</f>
        <v/>
      </c>
      <c r="R103" s="13">
        <f>L103+N103+P103</f>
        <v/>
      </c>
      <c r="S103" s="36">
        <f>R103-Q103</f>
        <v/>
      </c>
      <c r="T103" s="37" t="inlineStr"/>
    </row>
    <row r="104" ht="20" customHeight="1">
      <c r="B104" s="11" t="inlineStr">
        <is>
          <t>ESPAÑA</t>
        </is>
      </c>
      <c r="C104" s="31" t="inlineStr">
        <is>
          <t>SERVIAGRI´ 97, S.L.</t>
        </is>
      </c>
      <c r="D104" s="11" t="inlineStr">
        <is>
          <t>BIO0020</t>
        </is>
      </c>
      <c r="E104" s="31" t="inlineStr">
        <is>
          <t>BIORAD-20, 20 L</t>
        </is>
      </c>
      <c r="F104" s="12" t="n">
        <v>0</v>
      </c>
      <c r="G104" s="13" t="n">
        <v>0</v>
      </c>
      <c r="H104" s="12">
        <f>ABS(G104-F104)</f>
        <v/>
      </c>
      <c r="I104" s="32">
        <f>IF(F104&gt;0, G104/F104, IF(G104&gt;0, 1.0, 0.0))</f>
        <v/>
      </c>
      <c r="J104" s="33" t="inlineStr"/>
      <c r="K104" s="34" t="n">
        <v>600</v>
      </c>
      <c r="L104" s="35" t="n">
        <v>600</v>
      </c>
      <c r="M104" s="34" t="n">
        <v>0</v>
      </c>
      <c r="N104" s="35" t="n">
        <v>0</v>
      </c>
      <c r="O104" s="34" t="n">
        <v>600</v>
      </c>
      <c r="P104" s="35" t="n">
        <v>600</v>
      </c>
      <c r="Q104" s="12">
        <f>K104+M104+O104</f>
        <v/>
      </c>
      <c r="R104" s="13">
        <f>L104+N104+P104</f>
        <v/>
      </c>
      <c r="S104" s="36">
        <f>R104-Q104</f>
        <v/>
      </c>
      <c r="T104" s="37" t="inlineStr"/>
    </row>
    <row r="105" ht="20" customHeight="1">
      <c r="B105" s="11" t="inlineStr">
        <is>
          <t>ESPAÑA</t>
        </is>
      </c>
      <c r="C105" s="31" t="inlineStr">
        <is>
          <t>SERVIAGRI´ 97, S.L.</t>
        </is>
      </c>
      <c r="D105" s="11" t="inlineStr">
        <is>
          <t>BROTA0001</t>
        </is>
      </c>
      <c r="E105" s="31" t="inlineStr">
        <is>
          <t>BROTAMEC, 1 L</t>
        </is>
      </c>
      <c r="F105" s="12" t="n">
        <v>0</v>
      </c>
      <c r="G105" s="13" t="n">
        <v>24</v>
      </c>
      <c r="H105" s="12">
        <f>ABS(G105-F105)</f>
        <v/>
      </c>
      <c r="I105" s="32">
        <f>IF(F105&gt;0, G105/F105, IF(G105&gt;0, 1.0, 0.0))</f>
        <v/>
      </c>
      <c r="J105" s="33" t="inlineStr">
        <is>
          <t>Pedido extra no previsto</t>
        </is>
      </c>
      <c r="K105" s="34" t="n">
        <v>0</v>
      </c>
      <c r="L105" s="35" t="n">
        <v>0</v>
      </c>
      <c r="M105" s="34" t="n">
        <v>0</v>
      </c>
      <c r="N105" s="35" t="n">
        <v>0</v>
      </c>
      <c r="O105" s="34" t="n">
        <v>0</v>
      </c>
      <c r="P105" s="35" t="n">
        <v>0</v>
      </c>
      <c r="Q105" s="12">
        <f>K105+M105+O105</f>
        <v/>
      </c>
      <c r="R105" s="13">
        <f>L105+N105+P105</f>
        <v/>
      </c>
      <c r="S105" s="36">
        <f>R105-Q105</f>
        <v/>
      </c>
      <c r="T105" s="37" t="inlineStr"/>
    </row>
    <row r="106" ht="20" customHeight="1">
      <c r="B106" s="11" t="inlineStr">
        <is>
          <t>ESPAÑA</t>
        </is>
      </c>
      <c r="C106" s="31" t="inlineStr">
        <is>
          <t>SERVIAGRI´ 97, S.L.</t>
        </is>
      </c>
      <c r="D106" s="11" t="inlineStr">
        <is>
          <t>BROTA0005</t>
        </is>
      </c>
      <c r="E106" s="31" t="inlineStr">
        <is>
          <t>BROTAMEC, 5 L</t>
        </is>
      </c>
      <c r="F106" s="12" t="n">
        <v>0</v>
      </c>
      <c r="G106" s="13" t="n">
        <v>100</v>
      </c>
      <c r="H106" s="12">
        <f>ABS(G106-F106)</f>
        <v/>
      </c>
      <c r="I106" s="32">
        <f>IF(F106&gt;0, G106/F106, IF(G106&gt;0, 1.0, 0.0))</f>
        <v/>
      </c>
      <c r="J106" s="33" t="inlineStr">
        <is>
          <t>Pedido extra no previsto</t>
        </is>
      </c>
      <c r="K106" s="34" t="n">
        <v>0</v>
      </c>
      <c r="L106" s="35" t="n">
        <v>0</v>
      </c>
      <c r="M106" s="34" t="n">
        <v>300</v>
      </c>
      <c r="N106" s="35" t="n">
        <v>300</v>
      </c>
      <c r="O106" s="34" t="n">
        <v>0</v>
      </c>
      <c r="P106" s="35" t="n">
        <v>0</v>
      </c>
      <c r="Q106" s="12">
        <f>K106+M106+O106</f>
        <v/>
      </c>
      <c r="R106" s="13">
        <f>L106+N106+P106</f>
        <v/>
      </c>
      <c r="S106" s="36">
        <f>R106-Q106</f>
        <v/>
      </c>
      <c r="T106" s="37" t="inlineStr"/>
    </row>
    <row r="107" ht="20" customHeight="1">
      <c r="B107" s="11" t="inlineStr">
        <is>
          <t>ESPAÑA</t>
        </is>
      </c>
      <c r="C107" s="31" t="inlineStr">
        <is>
          <t>SERVIAGRI´ 97, S.L.</t>
        </is>
      </c>
      <c r="D107" s="11" t="inlineStr">
        <is>
          <t>FTK0005</t>
        </is>
      </c>
      <c r="E107" s="31" t="inlineStr">
        <is>
          <t>FITOKONTROL CA FLOW, 5 KG</t>
        </is>
      </c>
      <c r="F107" s="12" t="n">
        <v>300</v>
      </c>
      <c r="G107" s="13" t="n">
        <v>160</v>
      </c>
      <c r="H107" s="12">
        <f>ABS(G107-F107)</f>
        <v/>
      </c>
      <c r="I107" s="32">
        <f>IF(F107&gt;0, G107/F107, IF(G107&gt;0, 1.0, 0.0))</f>
        <v/>
      </c>
      <c r="J107" s="33" t="inlineStr"/>
      <c r="K107" s="34" t="n">
        <v>300</v>
      </c>
      <c r="L107" s="35" t="n">
        <v>300</v>
      </c>
      <c r="M107" s="34" t="n">
        <v>300</v>
      </c>
      <c r="N107" s="35" t="n">
        <v>300</v>
      </c>
      <c r="O107" s="34" t="n">
        <v>300</v>
      </c>
      <c r="P107" s="35" t="n">
        <v>300</v>
      </c>
      <c r="Q107" s="12">
        <f>K107+M107+O107</f>
        <v/>
      </c>
      <c r="R107" s="13">
        <f>L107+N107+P107</f>
        <v/>
      </c>
      <c r="S107" s="36">
        <f>R107-Q107</f>
        <v/>
      </c>
      <c r="T107" s="37" t="inlineStr"/>
    </row>
    <row r="108" ht="20" customHeight="1">
      <c r="B108" s="11" t="inlineStr">
        <is>
          <t>ESPAÑA</t>
        </is>
      </c>
      <c r="C108" s="31" t="inlineStr">
        <is>
          <t>SERVIAGRI´ 97, S.L.</t>
        </is>
      </c>
      <c r="D108" s="11" t="inlineStr">
        <is>
          <t>JF0005</t>
        </is>
      </c>
      <c r="E108" s="31" t="inlineStr">
        <is>
          <t>CODIGIN-FOS, 5 L</t>
        </is>
      </c>
      <c r="F108" s="12" t="n">
        <v>100</v>
      </c>
      <c r="G108" s="13" t="n">
        <v>120</v>
      </c>
      <c r="H108" s="12">
        <f>ABS(G108-F108)</f>
        <v/>
      </c>
      <c r="I108" s="32">
        <f>IF(F108&gt;0, G108/F108, IF(G108&gt;0, 1.0, 0.0))</f>
        <v/>
      </c>
      <c r="J108" s="33" t="inlineStr"/>
      <c r="K108" s="34" t="n">
        <v>100</v>
      </c>
      <c r="L108" s="35" t="n">
        <v>100</v>
      </c>
      <c r="M108" s="34" t="n">
        <v>0</v>
      </c>
      <c r="N108" s="35" t="n">
        <v>0</v>
      </c>
      <c r="O108" s="34" t="n">
        <v>0</v>
      </c>
      <c r="P108" s="35" t="n">
        <v>0</v>
      </c>
      <c r="Q108" s="12">
        <f>K108+M108+O108</f>
        <v/>
      </c>
      <c r="R108" s="13">
        <f>L108+N108+P108</f>
        <v/>
      </c>
      <c r="S108" s="36">
        <f>R108-Q108</f>
        <v/>
      </c>
      <c r="T108" s="37" t="inlineStr"/>
    </row>
    <row r="109" ht="20" customHeight="1">
      <c r="B109" s="11" t="inlineStr">
        <is>
          <t>ESPAÑA</t>
        </is>
      </c>
      <c r="C109" s="31" t="inlineStr">
        <is>
          <t>SERVIAGRI´ 97, S.L.</t>
        </is>
      </c>
      <c r="D109" s="11" t="inlineStr">
        <is>
          <t>PREZN0005</t>
        </is>
      </c>
      <c r="E109" s="31" t="inlineStr">
        <is>
          <t>PREZINC, 5 kg</t>
        </is>
      </c>
      <c r="F109" s="12" t="n">
        <v>0</v>
      </c>
      <c r="G109" s="13" t="n">
        <v>0</v>
      </c>
      <c r="H109" s="12">
        <f>ABS(G109-F109)</f>
        <v/>
      </c>
      <c r="I109" s="32">
        <f>IF(F109&gt;0, G109/F109, IF(G109&gt;0, 1.0, 0.0))</f>
        <v/>
      </c>
      <c r="J109" s="33" t="inlineStr"/>
      <c r="K109" s="34" t="n">
        <v>0</v>
      </c>
      <c r="L109" s="35" t="n">
        <v>0</v>
      </c>
      <c r="M109" s="34" t="n">
        <v>0</v>
      </c>
      <c r="N109" s="35" t="n">
        <v>0</v>
      </c>
      <c r="O109" s="34" t="n">
        <v>3000</v>
      </c>
      <c r="P109" s="35" t="n">
        <v>3000</v>
      </c>
      <c r="Q109" s="12">
        <f>K109+M109+O109</f>
        <v/>
      </c>
      <c r="R109" s="13">
        <f>L109+N109+P109</f>
        <v/>
      </c>
      <c r="S109" s="36">
        <f>R109-Q109</f>
        <v/>
      </c>
      <c r="T109" s="37" t="inlineStr"/>
    </row>
    <row r="110" ht="20" customHeight="1">
      <c r="B110" s="11" t="inlineStr">
        <is>
          <t>ESPAÑA</t>
        </is>
      </c>
      <c r="C110" s="31" t="inlineStr">
        <is>
          <t>SERVIAGRI´ 97, S.L.</t>
        </is>
      </c>
      <c r="D110" s="11" t="inlineStr">
        <is>
          <t>SSAE0005</t>
        </is>
      </c>
      <c r="E110" s="31" t="inlineStr">
        <is>
          <t>MAGNIFIC-VIETS-AE, 5 KG</t>
        </is>
      </c>
      <c r="F110" s="12" t="n">
        <v>0</v>
      </c>
      <c r="G110" s="13" t="n">
        <v>60</v>
      </c>
      <c r="H110" s="12">
        <f>ABS(G110-F110)</f>
        <v/>
      </c>
      <c r="I110" s="32">
        <f>IF(F110&gt;0, G110/F110, IF(G110&gt;0, 1.0, 0.0))</f>
        <v/>
      </c>
      <c r="J110" s="33" t="inlineStr">
        <is>
          <t>Pedido extra no previsto</t>
        </is>
      </c>
      <c r="K110" s="34" t="n">
        <v>200</v>
      </c>
      <c r="L110" s="35" t="n">
        <v>200</v>
      </c>
      <c r="M110" s="34" t="n">
        <v>0</v>
      </c>
      <c r="N110" s="35" t="n">
        <v>0</v>
      </c>
      <c r="O110" s="34" t="n">
        <v>0</v>
      </c>
      <c r="P110" s="35" t="n">
        <v>0</v>
      </c>
      <c r="Q110" s="12">
        <f>K110+M110+O110</f>
        <v/>
      </c>
      <c r="R110" s="13">
        <f>L110+N110+P110</f>
        <v/>
      </c>
      <c r="S110" s="36">
        <f>R110-Q110</f>
        <v/>
      </c>
      <c r="T110" s="37" t="inlineStr"/>
    </row>
    <row r="111" ht="20" customHeight="1">
      <c r="B111" s="11" t="inlineStr">
        <is>
          <t>MARRUECOS</t>
        </is>
      </c>
      <c r="C111" s="31" t="inlineStr">
        <is>
          <t>STE BBMAGRI, SARL</t>
        </is>
      </c>
      <c r="D111" s="11" t="inlineStr">
        <is>
          <t>A-50(2)0020</t>
        </is>
      </c>
      <c r="E111" s="31" t="inlineStr">
        <is>
          <t>CODIORGAN A-50</t>
        </is>
      </c>
      <c r="F111" s="12" t="n">
        <v>0</v>
      </c>
      <c r="G111" s="13" t="n">
        <v>0</v>
      </c>
      <c r="H111" s="12">
        <f>ABS(G111-F111)</f>
        <v/>
      </c>
      <c r="I111" s="32">
        <f>IF(F111&gt;0, G111/F111, IF(G111&gt;0, 1.0, 0.0))</f>
        <v/>
      </c>
      <c r="J111" s="33" t="inlineStr"/>
      <c r="K111" s="34" t="n">
        <v>2000</v>
      </c>
      <c r="L111" s="35" t="n">
        <v>2000</v>
      </c>
      <c r="M111" s="34" t="n">
        <v>0</v>
      </c>
      <c r="N111" s="35" t="n">
        <v>0</v>
      </c>
      <c r="O111" s="34" t="n">
        <v>1000</v>
      </c>
      <c r="P111" s="35" t="n">
        <v>1000</v>
      </c>
      <c r="Q111" s="12">
        <f>K111+M111+O111</f>
        <v/>
      </c>
      <c r="R111" s="13">
        <f>L111+N111+P111</f>
        <v/>
      </c>
      <c r="S111" s="36">
        <f>R111-Q111</f>
        <v/>
      </c>
      <c r="T111" s="37" t="inlineStr"/>
    </row>
    <row r="112" ht="20" customHeight="1">
      <c r="B112" s="11" t="inlineStr">
        <is>
          <t>MARRUECOS</t>
        </is>
      </c>
      <c r="C112" s="31" t="inlineStr">
        <is>
          <t>STE BBMAGRI, SARL</t>
        </is>
      </c>
      <c r="D112" s="11" t="inlineStr">
        <is>
          <t>AGN0005</t>
        </is>
      </c>
      <c r="E112" s="31" t="inlineStr">
        <is>
          <t>AGROXILATO-N, 5 L</t>
        </is>
      </c>
      <c r="F112" s="12" t="n">
        <v>0</v>
      </c>
      <c r="G112" s="13" t="n">
        <v>0</v>
      </c>
      <c r="H112" s="12">
        <f>ABS(G112-F112)</f>
        <v/>
      </c>
      <c r="I112" s="32">
        <f>IF(F112&gt;0, G112/F112, IF(G112&gt;0, 1.0, 0.0))</f>
        <v/>
      </c>
      <c r="J112" s="33" t="inlineStr"/>
      <c r="K112" s="34" t="n">
        <v>600</v>
      </c>
      <c r="L112" s="35" t="n">
        <v>600</v>
      </c>
      <c r="M112" s="34" t="n">
        <v>0</v>
      </c>
      <c r="N112" s="35" t="n">
        <v>0</v>
      </c>
      <c r="O112" s="34" t="n">
        <v>0</v>
      </c>
      <c r="P112" s="35" t="n">
        <v>0</v>
      </c>
      <c r="Q112" s="12">
        <f>K112+M112+O112</f>
        <v/>
      </c>
      <c r="R112" s="13">
        <f>L112+N112+P112</f>
        <v/>
      </c>
      <c r="S112" s="36">
        <f>R112-Q112</f>
        <v/>
      </c>
      <c r="T112" s="37" t="inlineStr"/>
    </row>
    <row r="113" ht="20" customHeight="1">
      <c r="B113" s="11" t="inlineStr">
        <is>
          <t>MARRUECOS</t>
        </is>
      </c>
      <c r="C113" s="31" t="inlineStr">
        <is>
          <t>STE BBMAGRI, SARL</t>
        </is>
      </c>
      <c r="D113" s="11" t="inlineStr">
        <is>
          <t>AGXK0020</t>
        </is>
      </c>
      <c r="E113" s="31" t="inlineStr">
        <is>
          <t>AGROXILATO-K</t>
        </is>
      </c>
      <c r="F113" s="12" t="n">
        <v>0</v>
      </c>
      <c r="G113" s="13" t="n">
        <v>0</v>
      </c>
      <c r="H113" s="12">
        <f>ABS(G113-F113)</f>
        <v/>
      </c>
      <c r="I113" s="32">
        <f>IF(F113&gt;0, G113/F113, IF(G113&gt;0, 1.0, 0.0))</f>
        <v/>
      </c>
      <c r="J113" s="33" t="inlineStr"/>
      <c r="K113" s="34" t="n">
        <v>5000</v>
      </c>
      <c r="L113" s="35" t="n">
        <v>5000</v>
      </c>
      <c r="M113" s="34" t="n">
        <v>0</v>
      </c>
      <c r="N113" s="35" t="n">
        <v>0</v>
      </c>
      <c r="O113" s="34" t="n">
        <v>5000</v>
      </c>
      <c r="P113" s="35" t="n">
        <v>5000</v>
      </c>
      <c r="Q113" s="12">
        <f>K113+M113+O113</f>
        <v/>
      </c>
      <c r="R113" s="13">
        <f>L113+N113+P113</f>
        <v/>
      </c>
      <c r="S113" s="36">
        <f>R113-Q113</f>
        <v/>
      </c>
      <c r="T113" s="37" t="inlineStr"/>
    </row>
    <row r="114" ht="20" customHeight="1">
      <c r="B114" s="11" t="inlineStr">
        <is>
          <t>MARRUECOS</t>
        </is>
      </c>
      <c r="C114" s="31" t="inlineStr">
        <is>
          <t>STE BBMAGRI, SARL</t>
        </is>
      </c>
      <c r="D114" s="11" t="inlineStr">
        <is>
          <t>AGXK0200</t>
        </is>
      </c>
      <c r="E114" s="31" t="inlineStr">
        <is>
          <t>AGROXILATO-K</t>
        </is>
      </c>
      <c r="F114" s="12" t="n">
        <v>0</v>
      </c>
      <c r="G114" s="13" t="n">
        <v>0</v>
      </c>
      <c r="H114" s="12">
        <f>ABS(G114-F114)</f>
        <v/>
      </c>
      <c r="I114" s="32">
        <f>IF(F114&gt;0, G114/F114, IF(G114&gt;0, 1.0, 0.0))</f>
        <v/>
      </c>
      <c r="J114" s="33" t="inlineStr"/>
      <c r="K114" s="34" t="n">
        <v>5000</v>
      </c>
      <c r="L114" s="35" t="n">
        <v>5000</v>
      </c>
      <c r="M114" s="34" t="n">
        <v>0</v>
      </c>
      <c r="N114" s="35" t="n">
        <v>0</v>
      </c>
      <c r="O114" s="34" t="n">
        <v>5000</v>
      </c>
      <c r="P114" s="35" t="n">
        <v>5000</v>
      </c>
      <c r="Q114" s="12">
        <f>K114+M114+O114</f>
        <v/>
      </c>
      <c r="R114" s="13">
        <f>L114+N114+P114</f>
        <v/>
      </c>
      <c r="S114" s="36">
        <f>R114-Q114</f>
        <v/>
      </c>
      <c r="T114" s="37" t="inlineStr"/>
    </row>
    <row r="115" ht="20" customHeight="1">
      <c r="B115" s="11" t="inlineStr">
        <is>
          <t>MARRUECOS</t>
        </is>
      </c>
      <c r="C115" s="31" t="inlineStr">
        <is>
          <t>STE BBMAGRI, SARL</t>
        </is>
      </c>
      <c r="D115" s="11" t="inlineStr">
        <is>
          <t>AN0005</t>
        </is>
      </c>
      <c r="E115" s="31" t="inlineStr">
        <is>
          <t>ALCAPLANT NEW</t>
        </is>
      </c>
      <c r="F115" s="12" t="n">
        <v>0</v>
      </c>
      <c r="G115" s="13" t="n">
        <v>0</v>
      </c>
      <c r="H115" s="12">
        <f>ABS(G115-F115)</f>
        <v/>
      </c>
      <c r="I115" s="32">
        <f>IF(F115&gt;0, G115/F115, IF(G115&gt;0, 1.0, 0.0))</f>
        <v/>
      </c>
      <c r="J115" s="33" t="inlineStr"/>
      <c r="K115" s="34" t="n">
        <v>3000</v>
      </c>
      <c r="L115" s="35" t="n">
        <v>3000</v>
      </c>
      <c r="M115" s="34" t="n">
        <v>0</v>
      </c>
      <c r="N115" s="35" t="n">
        <v>0</v>
      </c>
      <c r="O115" s="34" t="n">
        <v>0</v>
      </c>
      <c r="P115" s="35" t="n">
        <v>0</v>
      </c>
      <c r="Q115" s="12">
        <f>K115+M115+O115</f>
        <v/>
      </c>
      <c r="R115" s="13">
        <f>L115+N115+P115</f>
        <v/>
      </c>
      <c r="S115" s="36">
        <f>R115-Q115</f>
        <v/>
      </c>
      <c r="T115" s="37" t="inlineStr"/>
    </row>
    <row r="116" ht="20" customHeight="1">
      <c r="B116" s="11" t="inlineStr">
        <is>
          <t>MARRUECOS</t>
        </is>
      </c>
      <c r="C116" s="31" t="inlineStr">
        <is>
          <t>STE BBMAGRI, SARL</t>
        </is>
      </c>
      <c r="D116" s="11" t="inlineStr">
        <is>
          <t>BIO0020</t>
        </is>
      </c>
      <c r="E116" s="31" t="inlineStr">
        <is>
          <t>RADISOL-20</t>
        </is>
      </c>
      <c r="F116" s="12" t="n">
        <v>0</v>
      </c>
      <c r="G116" s="13" t="n">
        <v>0</v>
      </c>
      <c r="H116" s="12">
        <f>ABS(G116-F116)</f>
        <v/>
      </c>
      <c r="I116" s="32">
        <f>IF(F116&gt;0, G116/F116, IF(G116&gt;0, 1.0, 0.0))</f>
        <v/>
      </c>
      <c r="J116" s="33" t="inlineStr"/>
      <c r="K116" s="34" t="n">
        <v>5000</v>
      </c>
      <c r="L116" s="35" t="n">
        <v>5000</v>
      </c>
      <c r="M116" s="34" t="n">
        <v>0</v>
      </c>
      <c r="N116" s="35" t="n">
        <v>0</v>
      </c>
      <c r="O116" s="34" t="n">
        <v>5000</v>
      </c>
      <c r="P116" s="35" t="n">
        <v>5000</v>
      </c>
      <c r="Q116" s="12">
        <f>K116+M116+O116</f>
        <v/>
      </c>
      <c r="R116" s="13">
        <f>L116+N116+P116</f>
        <v/>
      </c>
      <c r="S116" s="36">
        <f>R116-Q116</f>
        <v/>
      </c>
      <c r="T116" s="37" t="inlineStr"/>
    </row>
    <row r="117" ht="20" customHeight="1">
      <c r="B117" s="11" t="inlineStr">
        <is>
          <t>MARRUECOS</t>
        </is>
      </c>
      <c r="C117" s="31" t="inlineStr">
        <is>
          <t>STE BBMAGRI, SARL</t>
        </is>
      </c>
      <c r="D117" s="11" t="inlineStr">
        <is>
          <t>CALCIO0005</t>
        </is>
      </c>
      <c r="E117" s="31" t="inlineStr">
        <is>
          <t>CALCIAMEC, 5 KG</t>
        </is>
      </c>
      <c r="F117" s="12" t="n">
        <v>0</v>
      </c>
      <c r="G117" s="13" t="n">
        <v>0</v>
      </c>
      <c r="H117" s="12">
        <f>ABS(G117-F117)</f>
        <v/>
      </c>
      <c r="I117" s="32">
        <f>IF(F117&gt;0, G117/F117, IF(G117&gt;0, 1.0, 0.0))</f>
        <v/>
      </c>
      <c r="J117" s="33" t="inlineStr"/>
      <c r="K117" s="34" t="n">
        <v>0</v>
      </c>
      <c r="L117" s="35" t="n">
        <v>0</v>
      </c>
      <c r="M117" s="34" t="n">
        <v>0</v>
      </c>
      <c r="N117" s="35" t="n">
        <v>0</v>
      </c>
      <c r="O117" s="34" t="n">
        <v>1000</v>
      </c>
      <c r="P117" s="35" t="n">
        <v>1000</v>
      </c>
      <c r="Q117" s="12">
        <f>K117+M117+O117</f>
        <v/>
      </c>
      <c r="R117" s="13">
        <f>L117+N117+P117</f>
        <v/>
      </c>
      <c r="S117" s="36">
        <f>R117-Q117</f>
        <v/>
      </c>
      <c r="T117" s="37" t="inlineStr"/>
    </row>
    <row r="118" ht="20" customHeight="1">
      <c r="B118" s="11" t="inlineStr">
        <is>
          <t>MARRUECOS</t>
        </is>
      </c>
      <c r="C118" s="31" t="inlineStr">
        <is>
          <t>STE BBMAGRI, SARL</t>
        </is>
      </c>
      <c r="D118" s="11" t="inlineStr">
        <is>
          <t>F-MIX0020</t>
        </is>
      </c>
      <c r="E118" s="31" t="inlineStr">
        <is>
          <t>FITOLIN-MIX, 20 L</t>
        </is>
      </c>
      <c r="F118" s="12" t="n">
        <v>0</v>
      </c>
      <c r="G118" s="13" t="n">
        <v>0</v>
      </c>
      <c r="H118" s="12">
        <f>ABS(G118-F118)</f>
        <v/>
      </c>
      <c r="I118" s="32">
        <f>IF(F118&gt;0, G118/F118, IF(G118&gt;0, 1.0, 0.0))</f>
        <v/>
      </c>
      <c r="J118" s="33" t="inlineStr"/>
      <c r="K118" s="34" t="n">
        <v>0</v>
      </c>
      <c r="L118" s="35" t="n">
        <v>0</v>
      </c>
      <c r="M118" s="34" t="n">
        <v>1000</v>
      </c>
      <c r="N118" s="35" t="n">
        <v>1000</v>
      </c>
      <c r="O118" s="34" t="n">
        <v>0</v>
      </c>
      <c r="P118" s="35" t="n">
        <v>0</v>
      </c>
      <c r="Q118" s="12">
        <f>K118+M118+O118</f>
        <v/>
      </c>
      <c r="R118" s="13">
        <f>L118+N118+P118</f>
        <v/>
      </c>
      <c r="S118" s="36">
        <f>R118-Q118</f>
        <v/>
      </c>
      <c r="T118" s="37" t="inlineStr"/>
    </row>
    <row r="119" ht="20" customHeight="1">
      <c r="B119" s="11" t="inlineStr">
        <is>
          <t>MARRUECOS</t>
        </is>
      </c>
      <c r="C119" s="31" t="inlineStr">
        <is>
          <t>STE BBMAGRI, SARL</t>
        </is>
      </c>
      <c r="D119" s="11" t="inlineStr">
        <is>
          <t>FTK0005</t>
        </is>
      </c>
      <c r="E119" s="31" t="inlineStr">
        <is>
          <t>FITOKONTROL CA FLOW</t>
        </is>
      </c>
      <c r="F119" s="12" t="n">
        <v>0</v>
      </c>
      <c r="G119" s="13" t="n">
        <v>0</v>
      </c>
      <c r="H119" s="12">
        <f>ABS(G119-F119)</f>
        <v/>
      </c>
      <c r="I119" s="32">
        <f>IF(F119&gt;0, G119/F119, IF(G119&gt;0, 1.0, 0.0))</f>
        <v/>
      </c>
      <c r="J119" s="33" t="inlineStr"/>
      <c r="K119" s="34" t="n">
        <v>0</v>
      </c>
      <c r="L119" s="35" t="n">
        <v>0</v>
      </c>
      <c r="M119" s="34" t="n">
        <v>0</v>
      </c>
      <c r="N119" s="35" t="n">
        <v>0</v>
      </c>
      <c r="O119" s="34" t="n">
        <v>2000</v>
      </c>
      <c r="P119" s="35" t="n">
        <v>2000</v>
      </c>
      <c r="Q119" s="12">
        <f>K119+M119+O119</f>
        <v/>
      </c>
      <c r="R119" s="13">
        <f>L119+N119+P119</f>
        <v/>
      </c>
      <c r="S119" s="36">
        <f>R119-Q119</f>
        <v/>
      </c>
      <c r="T119" s="37" t="inlineStr"/>
    </row>
    <row r="120" ht="20" customHeight="1">
      <c r="B120" s="11" t="inlineStr">
        <is>
          <t>MARRUECOS</t>
        </is>
      </c>
      <c r="C120" s="31" t="inlineStr">
        <is>
          <t>STE BBMAGRI, SARL</t>
        </is>
      </c>
      <c r="D120" s="11" t="inlineStr">
        <is>
          <t>JF0005</t>
        </is>
      </c>
      <c r="E120" s="31" t="inlineStr">
        <is>
          <t>CODIGIN-FOS</t>
        </is>
      </c>
      <c r="F120" s="12" t="n">
        <v>0</v>
      </c>
      <c r="G120" s="13" t="n">
        <v>0</v>
      </c>
      <c r="H120" s="12">
        <f>ABS(G120-F120)</f>
        <v/>
      </c>
      <c r="I120" s="32">
        <f>IF(F120&gt;0, G120/F120, IF(G120&gt;0, 1.0, 0.0))</f>
        <v/>
      </c>
      <c r="J120" s="33" t="inlineStr"/>
      <c r="K120" s="34" t="n">
        <v>0</v>
      </c>
      <c r="L120" s="35" t="n">
        <v>0</v>
      </c>
      <c r="M120" s="34" t="n">
        <v>0</v>
      </c>
      <c r="N120" s="35" t="n">
        <v>0</v>
      </c>
      <c r="O120" s="34" t="n">
        <v>1000</v>
      </c>
      <c r="P120" s="35" t="n">
        <v>1000</v>
      </c>
      <c r="Q120" s="12">
        <f>K120+M120+O120</f>
        <v/>
      </c>
      <c r="R120" s="13">
        <f>L120+N120+P120</f>
        <v/>
      </c>
      <c r="S120" s="36">
        <f>R120-Q120</f>
        <v/>
      </c>
      <c r="T120" s="37" t="inlineStr"/>
    </row>
    <row r="121" ht="20" customHeight="1">
      <c r="B121" s="11" t="inlineStr">
        <is>
          <t>MARRUECOS</t>
        </is>
      </c>
      <c r="C121" s="31" t="inlineStr">
        <is>
          <t>STE BBMAGRI, SARL</t>
        </is>
      </c>
      <c r="D121" s="11" t="inlineStr">
        <is>
          <t>PHD0005</t>
        </is>
      </c>
      <c r="E121" s="31" t="inlineStr">
        <is>
          <t>PH-DOWNER, 5 L</t>
        </is>
      </c>
      <c r="F121" s="12" t="n">
        <v>0</v>
      </c>
      <c r="G121" s="13" t="n">
        <v>0</v>
      </c>
      <c r="H121" s="12">
        <f>ABS(G121-F121)</f>
        <v/>
      </c>
      <c r="I121" s="32">
        <f>IF(F121&gt;0, G121/F121, IF(G121&gt;0, 1.0, 0.0))</f>
        <v/>
      </c>
      <c r="J121" s="33" t="inlineStr"/>
      <c r="K121" s="34" t="n">
        <v>1600</v>
      </c>
      <c r="L121" s="35" t="n">
        <v>1600</v>
      </c>
      <c r="M121" s="34" t="n">
        <v>0</v>
      </c>
      <c r="N121" s="35" t="n">
        <v>0</v>
      </c>
      <c r="O121" s="34" t="n">
        <v>0</v>
      </c>
      <c r="P121" s="35" t="n">
        <v>0</v>
      </c>
      <c r="Q121" s="12">
        <f>K121+M121+O121</f>
        <v/>
      </c>
      <c r="R121" s="13">
        <f>L121+N121+P121</f>
        <v/>
      </c>
      <c r="S121" s="36">
        <f>R121-Q121</f>
        <v/>
      </c>
      <c r="T121" s="37" t="inlineStr"/>
    </row>
    <row r="122" ht="20" customHeight="1">
      <c r="B122" s="11" t="inlineStr">
        <is>
          <t>MARRUECOS</t>
        </is>
      </c>
      <c r="C122" s="31" t="inlineStr">
        <is>
          <t>STE BBMAGRI, SARL</t>
        </is>
      </c>
      <c r="D122" s="11" t="inlineStr">
        <is>
          <t>PHD0020</t>
        </is>
      </c>
      <c r="E122" s="31" t="inlineStr">
        <is>
          <t>PH-DOWNER</t>
        </is>
      </c>
      <c r="F122" s="12" t="n">
        <v>0</v>
      </c>
      <c r="G122" s="13" t="n">
        <v>0</v>
      </c>
      <c r="H122" s="12">
        <f>ABS(G122-F122)</f>
        <v/>
      </c>
      <c r="I122" s="32">
        <f>IF(F122&gt;0, G122/F122, IF(G122&gt;0, 1.0, 0.0))</f>
        <v/>
      </c>
      <c r="J122" s="33" t="inlineStr"/>
      <c r="K122" s="34" t="n">
        <v>600</v>
      </c>
      <c r="L122" s="35" t="n">
        <v>600</v>
      </c>
      <c r="M122" s="34" t="n">
        <v>0</v>
      </c>
      <c r="N122" s="35" t="n">
        <v>0</v>
      </c>
      <c r="O122" s="34" t="n">
        <v>0</v>
      </c>
      <c r="P122" s="35" t="n">
        <v>0</v>
      </c>
      <c r="Q122" s="12">
        <f>K122+M122+O122</f>
        <v/>
      </c>
      <c r="R122" s="13">
        <f>L122+N122+P122</f>
        <v/>
      </c>
      <c r="S122" s="36">
        <f>R122-Q122</f>
        <v/>
      </c>
      <c r="T122" s="37" t="inlineStr"/>
    </row>
    <row r="123" ht="20" customHeight="1">
      <c r="B123" s="11" t="inlineStr">
        <is>
          <t>MARRUECOS</t>
        </is>
      </c>
      <c r="C123" s="31" t="inlineStr">
        <is>
          <t>STE BBMAGRI, SARL</t>
        </is>
      </c>
      <c r="D123" s="11" t="inlineStr">
        <is>
          <t>PT0020</t>
        </is>
      </c>
      <c r="E123" s="31" t="inlineStr">
        <is>
          <t>AGROPOTASION</t>
        </is>
      </c>
      <c r="F123" s="12" t="n">
        <v>0</v>
      </c>
      <c r="G123" s="13" t="n">
        <v>0</v>
      </c>
      <c r="H123" s="12">
        <f>ABS(G123-F123)</f>
        <v/>
      </c>
      <c r="I123" s="32">
        <f>IF(F123&gt;0, G123/F123, IF(G123&gt;0, 1.0, 0.0))</f>
        <v/>
      </c>
      <c r="J123" s="33" t="inlineStr"/>
      <c r="K123" s="34" t="n">
        <v>5000</v>
      </c>
      <c r="L123" s="35" t="n">
        <v>5000</v>
      </c>
      <c r="M123" s="34" t="n">
        <v>0</v>
      </c>
      <c r="N123" s="35" t="n">
        <v>0</v>
      </c>
      <c r="O123" s="34" t="n">
        <v>0</v>
      </c>
      <c r="P123" s="35" t="n">
        <v>0</v>
      </c>
      <c r="Q123" s="12">
        <f>K123+M123+O123</f>
        <v/>
      </c>
      <c r="R123" s="13">
        <f>L123+N123+P123</f>
        <v/>
      </c>
      <c r="S123" s="36">
        <f>R123-Q123</f>
        <v/>
      </c>
      <c r="T123" s="37" t="inlineStr"/>
    </row>
    <row r="124" ht="20" customHeight="1">
      <c r="B124" s="11" t="inlineStr">
        <is>
          <t>MARRUECOS</t>
        </is>
      </c>
      <c r="C124" s="31" t="inlineStr">
        <is>
          <t>STE BBMAGRI, SARL</t>
        </is>
      </c>
      <c r="D124" s="11" t="inlineStr">
        <is>
          <t>SS0020</t>
        </is>
      </c>
      <c r="E124" s="31" t="inlineStr">
        <is>
          <t>SAL-WAX-Ca</t>
        </is>
      </c>
      <c r="F124" s="12" t="n">
        <v>0</v>
      </c>
      <c r="G124" s="13" t="n">
        <v>0</v>
      </c>
      <c r="H124" s="12">
        <f>ABS(G124-F124)</f>
        <v/>
      </c>
      <c r="I124" s="32">
        <f>IF(F124&gt;0, G124/F124, IF(G124&gt;0, 1.0, 0.0))</f>
        <v/>
      </c>
      <c r="J124" s="33" t="inlineStr"/>
      <c r="K124" s="34" t="n">
        <v>2000</v>
      </c>
      <c r="L124" s="35" t="n">
        <v>2000</v>
      </c>
      <c r="M124" s="34" t="n">
        <v>0</v>
      </c>
      <c r="N124" s="35" t="n">
        <v>0</v>
      </c>
      <c r="O124" s="34" t="n">
        <v>2000</v>
      </c>
      <c r="P124" s="35" t="n">
        <v>2000</v>
      </c>
      <c r="Q124" s="12">
        <f>K124+M124+O124</f>
        <v/>
      </c>
      <c r="R124" s="13">
        <f>L124+N124+P124</f>
        <v/>
      </c>
      <c r="S124" s="36">
        <f>R124-Q124</f>
        <v/>
      </c>
      <c r="T124" s="37" t="inlineStr"/>
    </row>
    <row r="125" ht="20" customHeight="1">
      <c r="B125" s="11" t="inlineStr">
        <is>
          <t>ESPAÑA</t>
        </is>
      </c>
      <c r="C125" s="31" t="inlineStr">
        <is>
          <t>TRATAMIENTOS AGRICOLAS BRENES, S.L.</t>
        </is>
      </c>
      <c r="D125" s="11" t="inlineStr">
        <is>
          <t>AGXK1000</t>
        </is>
      </c>
      <c r="E125" s="31" t="inlineStr">
        <is>
          <t>AGROXILATO-K, 1000 L</t>
        </is>
      </c>
      <c r="F125" s="12" t="n">
        <v>0</v>
      </c>
      <c r="G125" s="13" t="n">
        <v>0</v>
      </c>
      <c r="H125" s="12">
        <f>ABS(G125-F125)</f>
        <v/>
      </c>
      <c r="I125" s="32">
        <f>IF(F125&gt;0, G125/F125, IF(G125&gt;0, 1.0, 0.0))</f>
        <v/>
      </c>
      <c r="J125" s="33" t="inlineStr"/>
      <c r="K125" s="34" t="n">
        <v>0</v>
      </c>
      <c r="L125" s="35" t="n">
        <v>0</v>
      </c>
      <c r="M125" s="34" t="n">
        <v>0</v>
      </c>
      <c r="N125" s="35" t="n">
        <v>0</v>
      </c>
      <c r="O125" s="34" t="n">
        <v>1000</v>
      </c>
      <c r="P125" s="35" t="n">
        <v>1000</v>
      </c>
      <c r="Q125" s="12">
        <f>K125+M125+O125</f>
        <v/>
      </c>
      <c r="R125" s="13">
        <f>L125+N125+P125</f>
        <v/>
      </c>
      <c r="S125" s="36">
        <f>R125-Q125</f>
        <v/>
      </c>
      <c r="T125" s="37" t="inlineStr"/>
    </row>
    <row r="126" ht="20" customHeight="1">
      <c r="B126" s="11" t="inlineStr">
        <is>
          <t>ESPAÑA</t>
        </is>
      </c>
      <c r="C126" s="31" t="inlineStr">
        <is>
          <t>TRATAMIENTOS AGRICOLAS BRENES, S.L.</t>
        </is>
      </c>
      <c r="D126" s="11" t="inlineStr">
        <is>
          <t>WHITE0020</t>
        </is>
      </c>
      <c r="E126" s="31" t="inlineStr">
        <is>
          <t>AGROWHITE, 20 KG</t>
        </is>
      </c>
      <c r="F126" s="12" t="n">
        <v>1100</v>
      </c>
      <c r="G126" s="13" t="n">
        <v>1100</v>
      </c>
      <c r="H126" s="12">
        <f>ABS(G126-F126)</f>
        <v/>
      </c>
      <c r="I126" s="32">
        <f>IF(F126&gt;0, G126/F126, IF(G126&gt;0, 1.0, 0.0))</f>
        <v/>
      </c>
      <c r="J126" s="33" t="inlineStr"/>
      <c r="K126" s="34" t="n">
        <v>1100</v>
      </c>
      <c r="L126" s="35" t="n">
        <v>1100</v>
      </c>
      <c r="M126" s="34" t="n">
        <v>0</v>
      </c>
      <c r="N126" s="35" t="n">
        <v>0</v>
      </c>
      <c r="O126" s="34" t="n">
        <v>0</v>
      </c>
      <c r="P126" s="35" t="n">
        <v>0</v>
      </c>
      <c r="Q126" s="12">
        <f>K126+M126+O126</f>
        <v/>
      </c>
      <c r="R126" s="13">
        <f>L126+N126+P126</f>
        <v/>
      </c>
      <c r="S126" s="36">
        <f>R126-Q126</f>
        <v/>
      </c>
      <c r="T126" s="37" t="inlineStr"/>
    </row>
    <row r="127" ht="20" customHeight="1">
      <c r="B127" s="11" t="inlineStr">
        <is>
          <t>ESPAÑA</t>
        </is>
      </c>
      <c r="C127" s="31" t="inlineStr">
        <is>
          <t>UNICOM SERVICIOS Y GESTION S.L.</t>
        </is>
      </c>
      <c r="D127" s="11" t="inlineStr">
        <is>
          <t>AGXK0020</t>
        </is>
      </c>
      <c r="E127" s="31" t="inlineStr">
        <is>
          <t>AGROXILATO-K, 20 L</t>
        </is>
      </c>
      <c r="F127" s="12" t="n">
        <v>0</v>
      </c>
      <c r="G127" s="13" t="n">
        <v>0</v>
      </c>
      <c r="H127" s="12">
        <f>ABS(G127-F127)</f>
        <v/>
      </c>
      <c r="I127" s="32">
        <f>IF(F127&gt;0, G127/F127, IF(G127&gt;0, 1.0, 0.0))</f>
        <v/>
      </c>
      <c r="J127" s="33" t="inlineStr"/>
      <c r="K127" s="34" t="n">
        <v>0</v>
      </c>
      <c r="L127" s="35" t="n">
        <v>0</v>
      </c>
      <c r="M127" s="34" t="n">
        <v>640</v>
      </c>
      <c r="N127" s="35" t="n">
        <v>640</v>
      </c>
      <c r="O127" s="34" t="n">
        <v>0</v>
      </c>
      <c r="P127" s="35" t="n">
        <v>0</v>
      </c>
      <c r="Q127" s="12">
        <f>K127+M127+O127</f>
        <v/>
      </c>
      <c r="R127" s="13">
        <f>L127+N127+P127</f>
        <v/>
      </c>
      <c r="S127" s="36">
        <f>R127-Q127</f>
        <v/>
      </c>
      <c r="T127" s="37" t="inlineStr"/>
    </row>
    <row r="128" ht="25" customHeight="1">
      <c r="B128" s="38" t="inlineStr">
        <is>
          <t>TOTAL CONSOLIDADO - GARCÍA (UNIDADES)</t>
        </is>
      </c>
      <c r="C128" s="39" t="n"/>
      <c r="D128" s="39" t="n"/>
      <c r="E128" s="39" t="n"/>
      <c r="F128" s="19">
        <f>SUM(F10:F127)</f>
        <v/>
      </c>
      <c r="G128" s="19">
        <f>SUM(G10:G127)</f>
        <v/>
      </c>
      <c r="H128" s="19">
        <f>SUM(H10:H127)</f>
        <v/>
      </c>
      <c r="I128" s="20">
        <f>IF(F128&gt;0, G128/F128, 1.0)</f>
        <v/>
      </c>
      <c r="J128" s="40" t="n"/>
      <c r="K128" s="19">
        <f>SUM(K10:K127)</f>
        <v/>
      </c>
      <c r="L128" s="19">
        <f>SUM(L10:L127)</f>
        <v/>
      </c>
      <c r="M128" s="19">
        <f>SUM(M10:M127)</f>
        <v/>
      </c>
      <c r="N128" s="19">
        <f>SUM(N10:N127)</f>
        <v/>
      </c>
      <c r="O128" s="19">
        <f>SUM(O10:O127)</f>
        <v/>
      </c>
      <c r="P128" s="19">
        <f>SUM(P10:P127)</f>
        <v/>
      </c>
      <c r="Q128" s="19">
        <f>SUM(Q10:Q127)</f>
        <v/>
      </c>
      <c r="R128" s="19">
        <f>SUM(R10:R127)</f>
        <v/>
      </c>
      <c r="S128" s="41">
        <f>SUM(S10:S127)</f>
        <v/>
      </c>
      <c r="T128" s="40" t="n"/>
    </row>
  </sheetData>
  <mergeCells count="20">
    <mergeCell ref="N5:P5"/>
    <mergeCell ref="E6:G6"/>
    <mergeCell ref="K8:P8"/>
    <mergeCell ref="B4:T4"/>
    <mergeCell ref="Q6:T6"/>
    <mergeCell ref="B6:D6"/>
    <mergeCell ref="F8:J8"/>
    <mergeCell ref="N6:P6"/>
    <mergeCell ref="B3:T3"/>
    <mergeCell ref="B5:D5"/>
    <mergeCell ref="Q8:T8"/>
    <mergeCell ref="K6:M6"/>
    <mergeCell ref="H5:J5"/>
    <mergeCell ref="Q5:T5"/>
    <mergeCell ref="B2:T2"/>
    <mergeCell ref="B8:E8"/>
    <mergeCell ref="E5:G5"/>
    <mergeCell ref="K5:M5"/>
    <mergeCell ref="B128:E128"/>
    <mergeCell ref="H6:J6"/>
  </mergeCells>
  <dataValidations count="1">
    <dataValidation sqref="J10:J43 J10:J127" showDropDown="0" showInputMessage="0" showErrorMessage="0" allowBlank="1" errorTitle="Motivo de Desviación" error="Por favor seleccione un motivo de la lista o escriba su comentario" type="list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7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14" customWidth="1" min="4" max="4"/>
    <col width="32" customWidth="1" min="5" max="5"/>
    <col width="16" customWidth="1" min="6" max="6"/>
    <col width="15" customWidth="1" min="7" max="7"/>
    <col width="14" customWidth="1" min="8" max="8"/>
    <col width="13" customWidth="1" min="9" max="9"/>
    <col width="32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  <col width="17" customWidth="1" min="17" max="17"/>
    <col width="17" customWidth="1" min="18" max="18"/>
    <col width="15" customWidth="1" min="19" max="19"/>
    <col width="34" customWidth="1" min="20" max="20"/>
  </cols>
  <sheetData>
    <row r="2" ht="36" customHeight="1">
      <c r="B2" s="1" t="inlineStr">
        <is>
          <t>CODIAGRO · ACTUALIZACIÓN DE PREVISIONES COMERCIALES Q4 2026 (OCTUBRE - DICIEMBRE)</t>
        </is>
      </c>
    </row>
    <row r="3" ht="20" customHeight="1">
      <c r="B3" s="2" t="inlineStr">
        <is>
          <t>DELEGADO COMERCIAL: IRENE | Cierre Septiembre Oficial (01/10/2026) vs Previsiones a Final de Año | Generado: 01/10/2026 14:17</t>
        </is>
      </c>
    </row>
    <row r="4" ht="26" customHeight="1">
      <c r="B4" s="21" t="inlineStr">
        <is>
      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      </is>
      </c>
    </row>
    <row r="5" ht="16" customHeight="1">
      <c r="B5" s="22" t="inlineStr">
        <is>
          <t>PREVISTO SEP 2026 (U)</t>
        </is>
      </c>
      <c r="C5" s="23" t="n"/>
      <c r="D5" s="23" t="n"/>
      <c r="E5" s="24" t="inlineStr">
        <is>
          <t>REAL PEDIDOS SEP 2026 (U)</t>
        </is>
      </c>
      <c r="F5" s="23" t="n"/>
      <c r="G5" s="23" t="n"/>
      <c r="H5" s="25" t="inlineStr">
        <is>
          <t>% CONSECUCIÓN SEP</t>
        </is>
      </c>
      <c r="I5" s="23" t="n"/>
      <c r="J5" s="23" t="n"/>
      <c r="K5" s="22" t="inlineStr">
        <is>
          <t>PREVISIÓN INICIAL Q4 (U)</t>
        </is>
      </c>
      <c r="L5" s="23" t="n"/>
      <c r="M5" s="23" t="n"/>
      <c r="N5" s="24" t="inlineStr">
        <is>
          <t>PREVISIÓN REVISADA Q4 (U)</t>
        </is>
      </c>
      <c r="O5" s="23" t="n"/>
      <c r="P5" s="23" t="n"/>
      <c r="Q5" s="26" t="inlineStr">
        <is>
          <t>VARIACIÓN NETA Q4 (U)</t>
        </is>
      </c>
      <c r="R5" s="23" t="n"/>
      <c r="S5" s="23" t="n"/>
      <c r="T5" s="23" t="n"/>
    </row>
    <row r="6" ht="26" customHeight="1">
      <c r="B6" s="27">
        <f>F74</f>
        <v/>
      </c>
      <c r="C6" s="23" t="n"/>
      <c r="D6" s="23" t="n"/>
      <c r="E6" s="28">
        <f>G74</f>
        <v/>
      </c>
      <c r="F6" s="23" t="n"/>
      <c r="G6" s="23" t="n"/>
      <c r="H6" s="29">
        <f>I74</f>
        <v/>
      </c>
      <c r="I6" s="23" t="n"/>
      <c r="J6" s="23" t="n"/>
      <c r="K6" s="27">
        <f>Q74</f>
        <v/>
      </c>
      <c r="L6" s="23" t="n"/>
      <c r="M6" s="23" t="n"/>
      <c r="N6" s="28">
        <f>R74</f>
        <v/>
      </c>
      <c r="O6" s="23" t="n"/>
      <c r="P6" s="23" t="n"/>
      <c r="Q6" s="30">
        <f>S74</f>
        <v/>
      </c>
      <c r="R6" s="23" t="n"/>
      <c r="S6" s="23" t="n"/>
      <c r="T6" s="23" t="n"/>
    </row>
    <row r="8" ht="22" customHeight="1">
      <c r="B8" s="3" t="inlineStr">
        <is>
          <t>DATOS CLIENTE Y ARTÍCULO</t>
        </is>
      </c>
      <c r="F8" s="4" t="inlineStr">
        <is>
          <t>CIERRE SEPTIEMBRE 2026 (CALIBRACIÓN Y ANÁLISIS)</t>
        </is>
      </c>
      <c r="K8" s="5" t="inlineStr">
        <is>
          <t>REVISIÓN PREVISIONES MES A MES (HASTA FINAL DE AÑO 2026)</t>
        </is>
      </c>
      <c r="Q8" s="6" t="inlineStr">
        <is>
          <t>IMPACTO Q4 Y JUSTIFICACIÓN</t>
        </is>
      </c>
    </row>
    <row r="9" ht="28" customHeight="1">
      <c r="B9" s="7" t="inlineStr">
        <is>
          <t>País</t>
        </is>
      </c>
      <c r="C9" s="7" t="inlineStr">
        <is>
          <t>Cliente</t>
        </is>
      </c>
      <c r="D9" s="7" t="inlineStr">
        <is>
          <t>Cód. SKU</t>
        </is>
      </c>
      <c r="E9" s="7" t="inlineStr">
        <is>
          <t>Descripción Artículo</t>
        </is>
      </c>
      <c r="F9" s="8" t="inlineStr">
        <is>
          <t>Sep Previsto (u)</t>
        </is>
      </c>
      <c r="G9" s="8" t="inlineStr">
        <is>
          <t>Sep Real (u)</t>
        </is>
      </c>
      <c r="H9" s="8" t="inlineStr">
        <is>
          <t>Desv. Sep (u)</t>
        </is>
      </c>
      <c r="I9" s="8" t="inlineStr">
        <is>
          <t>% Consec.</t>
        </is>
      </c>
      <c r="J9" s="8" t="inlineStr">
        <is>
          <t>Comentario Sep (¿Adelanto/Atraso/Extra?)</t>
        </is>
      </c>
      <c r="K9" s="9" t="inlineStr">
        <is>
          <t>Oct Anterior (u)</t>
        </is>
      </c>
      <c r="L9" s="9" t="inlineStr">
        <is>
          <t>Oct Revisado (u)</t>
        </is>
      </c>
      <c r="M9" s="9" t="inlineStr">
        <is>
          <t>Nov Anterior (u)</t>
        </is>
      </c>
      <c r="N9" s="9" t="inlineStr">
        <is>
          <t>Nov Revisado (u)</t>
        </is>
      </c>
      <c r="O9" s="9" t="inlineStr">
        <is>
          <t>Dic Anterior (u)</t>
        </is>
      </c>
      <c r="P9" s="9" t="inlineStr">
        <is>
          <t>Dic Revisado (u)</t>
        </is>
      </c>
      <c r="Q9" s="7" t="inlineStr">
        <is>
          <t>Total Q4 Ant (u)</t>
        </is>
      </c>
      <c r="R9" s="7" t="inlineStr">
        <is>
          <t>Total Q4 Rev (u)</t>
        </is>
      </c>
      <c r="S9" s="7" t="inlineStr">
        <is>
          <t>Dif Q4 (u)</t>
        </is>
      </c>
      <c r="T9" s="7" t="inlineStr">
        <is>
          <t>Comentarios / Justificación Q4</t>
        </is>
      </c>
    </row>
    <row r="10" ht="20" customHeight="1">
      <c r="B10" s="11" t="inlineStr">
        <is>
          <t>ESPAÑA</t>
        </is>
      </c>
      <c r="C10" s="31" t="inlineStr">
        <is>
          <t>CAMPOEJIDO S.C.A.</t>
        </is>
      </c>
      <c r="D10" s="11" t="inlineStr">
        <is>
          <t>A-50(2)0005</t>
        </is>
      </c>
      <c r="E10" s="31" t="inlineStr">
        <is>
          <t>CODIORGAN-A50, 5 KG</t>
        </is>
      </c>
      <c r="F10" s="12" t="n">
        <v>200</v>
      </c>
      <c r="G10" s="13" t="n">
        <v>100</v>
      </c>
      <c r="H10" s="12">
        <f>ABS(G10-F10)</f>
        <v/>
      </c>
      <c r="I10" s="32">
        <f>IF(F10&gt;0, G10/F10, IF(G10&gt;0, 1.0, 0.0))</f>
        <v/>
      </c>
      <c r="J10" s="33" t="inlineStr"/>
      <c r="K10" s="34" t="n">
        <v>0</v>
      </c>
      <c r="L10" s="35" t="n">
        <v>0</v>
      </c>
      <c r="M10" s="34" t="n">
        <v>0</v>
      </c>
      <c r="N10" s="35" t="n">
        <v>0</v>
      </c>
      <c r="O10" s="34" t="n">
        <v>200</v>
      </c>
      <c r="P10" s="35" t="n">
        <v>200</v>
      </c>
      <c r="Q10" s="12">
        <f>K10+M10+O10</f>
        <v/>
      </c>
      <c r="R10" s="13">
        <f>L10+N10+P10</f>
        <v/>
      </c>
      <c r="S10" s="36">
        <f>R10-Q10</f>
        <v/>
      </c>
      <c r="T10" s="37" t="inlineStr"/>
    </row>
    <row r="11" ht="20" customHeight="1">
      <c r="B11" s="11" t="inlineStr">
        <is>
          <t>ESPAÑA</t>
        </is>
      </c>
      <c r="C11" s="31" t="inlineStr">
        <is>
          <t>CAMPOEJIDO S.C.A.</t>
        </is>
      </c>
      <c r="D11" s="11" t="inlineStr">
        <is>
          <t>AGN0005</t>
        </is>
      </c>
      <c r="E11" s="31" t="inlineStr">
        <is>
          <t>AGROXILATO N, 5 L</t>
        </is>
      </c>
      <c r="F11" s="12" t="n">
        <v>0</v>
      </c>
      <c r="G11" s="13" t="n">
        <v>20</v>
      </c>
      <c r="H11" s="12">
        <f>ABS(G11-F11)</f>
        <v/>
      </c>
      <c r="I11" s="32">
        <f>IF(F11&gt;0, G11/F11, IF(G11&gt;0, 1.0, 0.0))</f>
        <v/>
      </c>
      <c r="J11" s="33" t="inlineStr">
        <is>
          <t>Pedido extra no previsto</t>
        </is>
      </c>
      <c r="K11" s="34" t="n">
        <v>0</v>
      </c>
      <c r="L11" s="35" t="n">
        <v>0</v>
      </c>
      <c r="M11" s="34" t="n">
        <v>0</v>
      </c>
      <c r="N11" s="35" t="n">
        <v>0</v>
      </c>
      <c r="O11" s="34" t="n">
        <v>0</v>
      </c>
      <c r="P11" s="35" t="n">
        <v>0</v>
      </c>
      <c r="Q11" s="12">
        <f>K11+M11+O11</f>
        <v/>
      </c>
      <c r="R11" s="13">
        <f>L11+N11+P11</f>
        <v/>
      </c>
      <c r="S11" s="36">
        <f>R11-Q11</f>
        <v/>
      </c>
      <c r="T11" s="37" t="inlineStr"/>
    </row>
    <row r="12" ht="20" customHeight="1">
      <c r="B12" s="11" t="inlineStr">
        <is>
          <t>ESPAÑA</t>
        </is>
      </c>
      <c r="C12" s="31" t="inlineStr">
        <is>
          <t>CAMPOEJIDO S.C.A.</t>
        </is>
      </c>
      <c r="D12" s="11" t="inlineStr">
        <is>
          <t>AGXK0020</t>
        </is>
      </c>
      <c r="E12" s="31" t="inlineStr">
        <is>
          <t>AGROXILATO-K, 20 L</t>
        </is>
      </c>
      <c r="F12" s="12" t="n">
        <v>1920</v>
      </c>
      <c r="G12" s="13" t="n">
        <v>640</v>
      </c>
      <c r="H12" s="12">
        <f>ABS(G12-F12)</f>
        <v/>
      </c>
      <c r="I12" s="32">
        <f>IF(F12&gt;0, G12/F12, IF(G12&gt;0, 1.0, 0.0))</f>
        <v/>
      </c>
      <c r="J12" s="33" t="inlineStr"/>
      <c r="K12" s="34" t="n">
        <v>5060</v>
      </c>
      <c r="L12" s="35" t="n">
        <v>5060</v>
      </c>
      <c r="M12" s="34" t="n">
        <v>1920</v>
      </c>
      <c r="N12" s="35" t="n">
        <v>1920</v>
      </c>
      <c r="O12" s="34" t="n">
        <v>3200</v>
      </c>
      <c r="P12" s="35" t="n">
        <v>3200</v>
      </c>
      <c r="Q12" s="12">
        <f>K12+M12+O12</f>
        <v/>
      </c>
      <c r="R12" s="13">
        <f>L12+N12+P12</f>
        <v/>
      </c>
      <c r="S12" s="36">
        <f>R12-Q12</f>
        <v/>
      </c>
      <c r="T12" s="37" t="inlineStr"/>
    </row>
    <row r="13" ht="20" customHeight="1">
      <c r="B13" s="11" t="inlineStr">
        <is>
          <t>ESPAÑA</t>
        </is>
      </c>
      <c r="C13" s="31" t="inlineStr">
        <is>
          <t>CAMPOEJIDO S.C.A.</t>
        </is>
      </c>
      <c r="D13" s="11" t="inlineStr">
        <is>
          <t>AVAN0005</t>
        </is>
      </c>
      <c r="E13" s="31" t="inlineStr">
        <is>
          <t>FLORAMEC AVANCE, 5 L</t>
        </is>
      </c>
      <c r="F13" s="12" t="n">
        <v>300</v>
      </c>
      <c r="G13" s="13" t="n">
        <v>0</v>
      </c>
      <c r="H13" s="12">
        <f>ABS(G13-F13)</f>
        <v/>
      </c>
      <c r="I13" s="32">
        <f>IF(F13&gt;0, G13/F13, IF(G13&gt;0, 1.0, 0.0))</f>
        <v/>
      </c>
      <c r="J13" s="33" t="inlineStr"/>
      <c r="K13" s="34" t="n">
        <v>300</v>
      </c>
      <c r="L13" s="35" t="n">
        <v>300</v>
      </c>
      <c r="M13" s="34" t="n">
        <v>0</v>
      </c>
      <c r="N13" s="35" t="n">
        <v>0</v>
      </c>
      <c r="O13" s="34" t="n">
        <v>300</v>
      </c>
      <c r="P13" s="35" t="n">
        <v>300</v>
      </c>
      <c r="Q13" s="12">
        <f>K13+M13+O13</f>
        <v/>
      </c>
      <c r="R13" s="13">
        <f>L13+N13+P13</f>
        <v/>
      </c>
      <c r="S13" s="36">
        <f>R13-Q13</f>
        <v/>
      </c>
      <c r="T13" s="37" t="inlineStr"/>
    </row>
    <row r="14" ht="20" customHeight="1">
      <c r="B14" s="11" t="inlineStr">
        <is>
          <t>ESPAÑA</t>
        </is>
      </c>
      <c r="C14" s="31" t="inlineStr">
        <is>
          <t>CAMPOEJIDO S.C.A.</t>
        </is>
      </c>
      <c r="D14" s="11" t="inlineStr">
        <is>
          <t>AVAN0020</t>
        </is>
      </c>
      <c r="E14" s="31" t="inlineStr">
        <is>
          <t>FLORAMEC AVANCE, 20 L</t>
        </is>
      </c>
      <c r="F14" s="12" t="n">
        <v>960</v>
      </c>
      <c r="G14" s="13" t="n">
        <v>2560</v>
      </c>
      <c r="H14" s="12">
        <f>ABS(G14-F14)</f>
        <v/>
      </c>
      <c r="I14" s="32">
        <f>IF(F14&gt;0, G14/F14, IF(G14&gt;0, 1.0, 0.0))</f>
        <v/>
      </c>
      <c r="J14" s="33" t="inlineStr"/>
      <c r="K14" s="34" t="n">
        <v>640</v>
      </c>
      <c r="L14" s="35" t="n">
        <v>640</v>
      </c>
      <c r="M14" s="34" t="n">
        <v>960</v>
      </c>
      <c r="N14" s="35" t="n">
        <v>960</v>
      </c>
      <c r="O14" s="34" t="n">
        <v>1280</v>
      </c>
      <c r="P14" s="35" t="n">
        <v>1280</v>
      </c>
      <c r="Q14" s="12">
        <f>K14+M14+O14</f>
        <v/>
      </c>
      <c r="R14" s="13">
        <f>L14+N14+P14</f>
        <v/>
      </c>
      <c r="S14" s="36">
        <f>R14-Q14</f>
        <v/>
      </c>
      <c r="T14" s="37" t="inlineStr"/>
    </row>
    <row r="15" ht="20" customHeight="1">
      <c r="B15" s="11" t="inlineStr">
        <is>
          <t>ESPAÑA</t>
        </is>
      </c>
      <c r="C15" s="31" t="inlineStr">
        <is>
          <t>CAMPOEJIDO S.C.A.</t>
        </is>
      </c>
      <c r="D15" s="11" t="inlineStr">
        <is>
          <t>B0001</t>
        </is>
      </c>
      <c r="E15" s="31" t="inlineStr">
        <is>
          <t>BOROCAL,1 L</t>
        </is>
      </c>
      <c r="F15" s="12" t="n">
        <v>0</v>
      </c>
      <c r="G15" s="13" t="n">
        <v>0</v>
      </c>
      <c r="H15" s="12">
        <f>ABS(G15-F15)</f>
        <v/>
      </c>
      <c r="I15" s="32">
        <f>IF(F15&gt;0, G15/F15, IF(G15&gt;0, 1.0, 0.0))</f>
        <v/>
      </c>
      <c r="J15" s="33" t="inlineStr"/>
      <c r="K15" s="34" t="n">
        <v>0</v>
      </c>
      <c r="L15" s="35" t="n">
        <v>0</v>
      </c>
      <c r="M15" s="34" t="n">
        <v>0</v>
      </c>
      <c r="N15" s="35" t="n">
        <v>0</v>
      </c>
      <c r="O15" s="34" t="n">
        <v>36</v>
      </c>
      <c r="P15" s="35" t="n">
        <v>36</v>
      </c>
      <c r="Q15" s="12">
        <f>K15+M15+O15</f>
        <v/>
      </c>
      <c r="R15" s="13">
        <f>L15+N15+P15</f>
        <v/>
      </c>
      <c r="S15" s="36">
        <f>R15-Q15</f>
        <v/>
      </c>
      <c r="T15" s="37" t="inlineStr"/>
    </row>
    <row r="16" ht="20" customHeight="1">
      <c r="B16" s="11" t="inlineStr">
        <is>
          <t>ESPAÑA</t>
        </is>
      </c>
      <c r="C16" s="31" t="inlineStr">
        <is>
          <t>CAMPOEJIDO S.C.A.</t>
        </is>
      </c>
      <c r="D16" s="11" t="inlineStr">
        <is>
          <t>B0005</t>
        </is>
      </c>
      <c r="E16" s="31" t="inlineStr">
        <is>
          <t>BOROCAL, 5 L</t>
        </is>
      </c>
      <c r="F16" s="12" t="n">
        <v>0</v>
      </c>
      <c r="G16" s="13" t="n">
        <v>0</v>
      </c>
      <c r="H16" s="12">
        <f>ABS(G16-F16)</f>
        <v/>
      </c>
      <c r="I16" s="32">
        <f>IF(F16&gt;0, G16/F16, IF(G16&gt;0, 1.0, 0.0))</f>
        <v/>
      </c>
      <c r="J16" s="33" t="inlineStr"/>
      <c r="K16" s="34" t="n">
        <v>100</v>
      </c>
      <c r="L16" s="35" t="n">
        <v>100</v>
      </c>
      <c r="M16" s="34" t="n">
        <v>0</v>
      </c>
      <c r="N16" s="35" t="n">
        <v>0</v>
      </c>
      <c r="O16" s="34" t="n">
        <v>100</v>
      </c>
      <c r="P16" s="35" t="n">
        <v>100</v>
      </c>
      <c r="Q16" s="12">
        <f>K16+M16+O16</f>
        <v/>
      </c>
      <c r="R16" s="13">
        <f>L16+N16+P16</f>
        <v/>
      </c>
      <c r="S16" s="36">
        <f>R16-Q16</f>
        <v/>
      </c>
      <c r="T16" s="37" t="inlineStr"/>
    </row>
    <row r="17" ht="20" customHeight="1">
      <c r="B17" s="11" t="inlineStr">
        <is>
          <t>ESPAÑA</t>
        </is>
      </c>
      <c r="C17" s="31" t="inlineStr">
        <is>
          <t>CAMPOEJIDO S.C.A.</t>
        </is>
      </c>
      <c r="D17" s="11" t="inlineStr">
        <is>
          <t>BIO0020</t>
        </is>
      </c>
      <c r="E17" s="31" t="inlineStr">
        <is>
          <t>BIORAD-20, 20 L</t>
        </is>
      </c>
      <c r="F17" s="12" t="n">
        <v>640</v>
      </c>
      <c r="G17" s="13" t="n">
        <v>640</v>
      </c>
      <c r="H17" s="12">
        <f>ABS(G17-F17)</f>
        <v/>
      </c>
      <c r="I17" s="32">
        <f>IF(F17&gt;0, G17/F17, IF(G17&gt;0, 1.0, 0.0))</f>
        <v/>
      </c>
      <c r="J17" s="33" t="inlineStr"/>
      <c r="K17" s="34" t="n">
        <v>640</v>
      </c>
      <c r="L17" s="35" t="n">
        <v>640</v>
      </c>
      <c r="M17" s="34" t="n">
        <v>640</v>
      </c>
      <c r="N17" s="35" t="n">
        <v>640</v>
      </c>
      <c r="O17" s="34" t="n">
        <v>640</v>
      </c>
      <c r="P17" s="35" t="n">
        <v>640</v>
      </c>
      <c r="Q17" s="12">
        <f>K17+M17+O17</f>
        <v/>
      </c>
      <c r="R17" s="13">
        <f>L17+N17+P17</f>
        <v/>
      </c>
      <c r="S17" s="36">
        <f>R17-Q17</f>
        <v/>
      </c>
      <c r="T17" s="37" t="inlineStr"/>
    </row>
    <row r="18" ht="20" customHeight="1">
      <c r="B18" s="11" t="inlineStr">
        <is>
          <t>ESPAÑA</t>
        </is>
      </c>
      <c r="C18" s="31" t="inlineStr">
        <is>
          <t>CAMPOEJIDO S.C.A.</t>
        </is>
      </c>
      <c r="D18" s="11" t="inlineStr">
        <is>
          <t>BROTA0005</t>
        </is>
      </c>
      <c r="E18" s="31" t="inlineStr">
        <is>
          <t>BROTAMEC, 5 L</t>
        </is>
      </c>
      <c r="F18" s="12" t="n">
        <v>0</v>
      </c>
      <c r="G18" s="13" t="n">
        <v>0</v>
      </c>
      <c r="H18" s="12">
        <f>ABS(G18-F18)</f>
        <v/>
      </c>
      <c r="I18" s="32">
        <f>IF(F18&gt;0, G18/F18, IF(G18&gt;0, 1.0, 0.0))</f>
        <v/>
      </c>
      <c r="J18" s="33" t="inlineStr"/>
      <c r="K18" s="34" t="n">
        <v>200</v>
      </c>
      <c r="L18" s="35" t="n">
        <v>200</v>
      </c>
      <c r="M18" s="34" t="n">
        <v>100</v>
      </c>
      <c r="N18" s="35" t="n">
        <v>100</v>
      </c>
      <c r="O18" s="34" t="n">
        <v>100</v>
      </c>
      <c r="P18" s="35" t="n">
        <v>100</v>
      </c>
      <c r="Q18" s="12">
        <f>K18+M18+O18</f>
        <v/>
      </c>
      <c r="R18" s="13">
        <f>L18+N18+P18</f>
        <v/>
      </c>
      <c r="S18" s="36">
        <f>R18-Q18</f>
        <v/>
      </c>
      <c r="T18" s="37" t="inlineStr"/>
    </row>
    <row r="19" ht="20" customHeight="1">
      <c r="B19" s="11" t="inlineStr">
        <is>
          <t>ESPAÑA</t>
        </is>
      </c>
      <c r="C19" s="31" t="inlineStr">
        <is>
          <t>CAMPOEJIDO S.C.A.</t>
        </is>
      </c>
      <c r="D19" s="11" t="inlineStr">
        <is>
          <t>C-CUAE0005</t>
        </is>
      </c>
      <c r="E19" s="31" t="inlineStr">
        <is>
          <t>CUPRAMEC, 5 L</t>
        </is>
      </c>
      <c r="F19" s="12" t="n">
        <v>0</v>
      </c>
      <c r="G19" s="13" t="n">
        <v>0</v>
      </c>
      <c r="H19" s="12">
        <f>ABS(G19-F19)</f>
        <v/>
      </c>
      <c r="I19" s="32">
        <f>IF(F19&gt;0, G19/F19, IF(G19&gt;0, 1.0, 0.0))</f>
        <v/>
      </c>
      <c r="J19" s="33" t="inlineStr"/>
      <c r="K19" s="34" t="n">
        <v>0</v>
      </c>
      <c r="L19" s="35" t="n">
        <v>0</v>
      </c>
      <c r="M19" s="34" t="n">
        <v>600</v>
      </c>
      <c r="N19" s="35" t="n">
        <v>600</v>
      </c>
      <c r="O19" s="34" t="n">
        <v>300</v>
      </c>
      <c r="P19" s="35" t="n">
        <v>300</v>
      </c>
      <c r="Q19" s="12">
        <f>K19+M19+O19</f>
        <v/>
      </c>
      <c r="R19" s="13">
        <f>L19+N19+P19</f>
        <v/>
      </c>
      <c r="S19" s="36">
        <f>R19-Q19</f>
        <v/>
      </c>
      <c r="T19" s="37" t="inlineStr"/>
    </row>
    <row r="20" ht="20" customHeight="1">
      <c r="B20" s="11" t="inlineStr">
        <is>
          <t>ESPAÑA</t>
        </is>
      </c>
      <c r="C20" s="31" t="inlineStr">
        <is>
          <t>CAMPOEJIDO S.C.A.</t>
        </is>
      </c>
      <c r="D20" s="11" t="inlineStr">
        <is>
          <t>C-GLB0001</t>
        </is>
      </c>
      <c r="E20" s="31" t="inlineStr">
        <is>
          <t>CODIORGAN GLB, 1 KG</t>
        </is>
      </c>
      <c r="F20" s="12" t="n">
        <v>60</v>
      </c>
      <c r="G20" s="13" t="n">
        <v>0</v>
      </c>
      <c r="H20" s="12">
        <f>ABS(G20-F20)</f>
        <v/>
      </c>
      <c r="I20" s="32">
        <f>IF(F20&gt;0, G20/F20, IF(G20&gt;0, 1.0, 0.0))</f>
        <v/>
      </c>
      <c r="J20" s="33" t="inlineStr"/>
      <c r="K20" s="34" t="n">
        <v>120</v>
      </c>
      <c r="L20" s="35" t="n">
        <v>120</v>
      </c>
      <c r="M20" s="34" t="n">
        <v>108</v>
      </c>
      <c r="N20" s="35" t="n">
        <v>108</v>
      </c>
      <c r="O20" s="34" t="n">
        <v>108</v>
      </c>
      <c r="P20" s="35" t="n">
        <v>108</v>
      </c>
      <c r="Q20" s="12">
        <f>K20+M20+O20</f>
        <v/>
      </c>
      <c r="R20" s="13">
        <f>L20+N20+P20</f>
        <v/>
      </c>
      <c r="S20" s="36">
        <f>R20-Q20</f>
        <v/>
      </c>
      <c r="T20" s="37" t="inlineStr"/>
    </row>
    <row r="21" ht="20" customHeight="1">
      <c r="B21" s="11" t="inlineStr">
        <is>
          <t>ESPAÑA</t>
        </is>
      </c>
      <c r="C21" s="31" t="inlineStr">
        <is>
          <t>CAMPOEJIDO S.C.A.</t>
        </is>
      </c>
      <c r="D21" s="11" t="inlineStr">
        <is>
          <t>C-L0005</t>
        </is>
      </c>
      <c r="E21" s="31" t="inlineStr">
        <is>
          <t>CODIBOR-L, 5 L</t>
        </is>
      </c>
      <c r="F21" s="12" t="n">
        <v>300</v>
      </c>
      <c r="G21" s="13" t="n">
        <v>0</v>
      </c>
      <c r="H21" s="12">
        <f>ABS(G21-F21)</f>
        <v/>
      </c>
      <c r="I21" s="32">
        <f>IF(F21&gt;0, G21/F21, IF(G21&gt;0, 1.0, 0.0))</f>
        <v/>
      </c>
      <c r="J21" s="33" t="inlineStr"/>
      <c r="K21" s="34" t="n">
        <v>0</v>
      </c>
      <c r="L21" s="35" t="n">
        <v>0</v>
      </c>
      <c r="M21" s="34" t="n">
        <v>400</v>
      </c>
      <c r="N21" s="35" t="n">
        <v>400</v>
      </c>
      <c r="O21" s="34" t="n">
        <v>300</v>
      </c>
      <c r="P21" s="35" t="n">
        <v>300</v>
      </c>
      <c r="Q21" s="12">
        <f>K21+M21+O21</f>
        <v/>
      </c>
      <c r="R21" s="13">
        <f>L21+N21+P21</f>
        <v/>
      </c>
      <c r="S21" s="36">
        <f>R21-Q21</f>
        <v/>
      </c>
      <c r="T21" s="37" t="inlineStr"/>
    </row>
    <row r="22" ht="20" customHeight="1">
      <c r="B22" s="11" t="inlineStr">
        <is>
          <t>ESPAÑA</t>
        </is>
      </c>
      <c r="C22" s="31" t="inlineStr">
        <is>
          <t>CAMPOEJIDO S.C.A.</t>
        </is>
      </c>
      <c r="D22" s="11" t="inlineStr">
        <is>
          <t>C-MB0001</t>
        </is>
      </c>
      <c r="E22" s="31" t="inlineStr">
        <is>
          <t>CODIFOL-MB, 1 L</t>
        </is>
      </c>
      <c r="F22" s="12" t="n">
        <v>48</v>
      </c>
      <c r="G22" s="13" t="n">
        <v>36</v>
      </c>
      <c r="H22" s="12">
        <f>ABS(G22-F22)</f>
        <v/>
      </c>
      <c r="I22" s="32">
        <f>IF(F22&gt;0, G22/F22, IF(G22&gt;0, 1.0, 0.0))</f>
        <v/>
      </c>
      <c r="J22" s="33" t="inlineStr"/>
      <c r="K22" s="34" t="n">
        <v>0</v>
      </c>
      <c r="L22" s="35" t="n">
        <v>0</v>
      </c>
      <c r="M22" s="34" t="n">
        <v>0</v>
      </c>
      <c r="N22" s="35" t="n">
        <v>0</v>
      </c>
      <c r="O22" s="34" t="n">
        <v>0</v>
      </c>
      <c r="P22" s="35" t="n">
        <v>0</v>
      </c>
      <c r="Q22" s="12">
        <f>K22+M22+O22</f>
        <v/>
      </c>
      <c r="R22" s="13">
        <f>L22+N22+P22</f>
        <v/>
      </c>
      <c r="S22" s="36">
        <f>R22-Q22</f>
        <v/>
      </c>
      <c r="T22" s="37" t="inlineStr"/>
    </row>
    <row r="23" ht="20" customHeight="1">
      <c r="B23" s="11" t="inlineStr">
        <is>
          <t>ESPAÑA</t>
        </is>
      </c>
      <c r="C23" s="31" t="inlineStr">
        <is>
          <t>CAMPOEJIDO S.C.A.</t>
        </is>
      </c>
      <c r="D23" s="11" t="inlineStr">
        <is>
          <t>C-MB0005</t>
        </is>
      </c>
      <c r="E23" s="31" t="inlineStr">
        <is>
          <t>CODIFOL-MB, 5 L</t>
        </is>
      </c>
      <c r="F23" s="12" t="n">
        <v>400</v>
      </c>
      <c r="G23" s="13" t="n">
        <v>1300</v>
      </c>
      <c r="H23" s="12">
        <f>ABS(G23-F23)</f>
        <v/>
      </c>
      <c r="I23" s="32">
        <f>IF(F23&gt;0, G23/F23, IF(G23&gt;0, 1.0, 0.0))</f>
        <v/>
      </c>
      <c r="J23" s="33" t="inlineStr"/>
      <c r="K23" s="34" t="n">
        <v>120</v>
      </c>
      <c r="L23" s="35" t="n">
        <v>120</v>
      </c>
      <c r="M23" s="34" t="n">
        <v>200</v>
      </c>
      <c r="N23" s="35" t="n">
        <v>200</v>
      </c>
      <c r="O23" s="34" t="n">
        <v>300</v>
      </c>
      <c r="P23" s="35" t="n">
        <v>300</v>
      </c>
      <c r="Q23" s="12">
        <f>K23+M23+O23</f>
        <v/>
      </c>
      <c r="R23" s="13">
        <f>L23+N23+P23</f>
        <v/>
      </c>
      <c r="S23" s="36">
        <f>R23-Q23</f>
        <v/>
      </c>
      <c r="T23" s="37" t="inlineStr"/>
    </row>
    <row r="24" ht="20" customHeight="1">
      <c r="B24" s="11" t="inlineStr">
        <is>
          <t>ESPAÑA</t>
        </is>
      </c>
      <c r="C24" s="31" t="inlineStr">
        <is>
          <t>CAMPOEJIDO S.C.A.</t>
        </is>
      </c>
      <c r="D24" s="11" t="inlineStr">
        <is>
          <t>CALCIO0005</t>
        </is>
      </c>
      <c r="E24" s="31" t="inlineStr">
        <is>
          <t>CALCIAMEC, 5 KG</t>
        </is>
      </c>
      <c r="F24" s="12" t="n">
        <v>800</v>
      </c>
      <c r="G24" s="13" t="n">
        <v>1600</v>
      </c>
      <c r="H24" s="12">
        <f>ABS(G24-F24)</f>
        <v/>
      </c>
      <c r="I24" s="32">
        <f>IF(F24&gt;0, G24/F24, IF(G24&gt;0, 1.0, 0.0))</f>
        <v/>
      </c>
      <c r="J24" s="33" t="inlineStr"/>
      <c r="K24" s="34" t="n">
        <v>850</v>
      </c>
      <c r="L24" s="35" t="n">
        <v>850</v>
      </c>
      <c r="M24" s="34" t="n">
        <v>500</v>
      </c>
      <c r="N24" s="35" t="n">
        <v>500</v>
      </c>
      <c r="O24" s="34" t="n">
        <v>1200</v>
      </c>
      <c r="P24" s="35" t="n">
        <v>1200</v>
      </c>
      <c r="Q24" s="12">
        <f>K24+M24+O24</f>
        <v/>
      </c>
      <c r="R24" s="13">
        <f>L24+N24+P24</f>
        <v/>
      </c>
      <c r="S24" s="36">
        <f>R24-Q24</f>
        <v/>
      </c>
      <c r="T24" s="37" t="inlineStr"/>
    </row>
    <row r="25" ht="20" customHeight="1">
      <c r="B25" s="11" t="inlineStr">
        <is>
          <t>ESPAÑA</t>
        </is>
      </c>
      <c r="C25" s="31" t="inlineStr">
        <is>
          <t>CAMPOEJIDO S.C.A.</t>
        </is>
      </c>
      <c r="D25" s="11" t="inlineStr">
        <is>
          <t>CPLUS0020</t>
        </is>
      </c>
      <c r="E25" s="31" t="inlineStr">
        <is>
          <t>CALCIPLUS, 20 L</t>
        </is>
      </c>
      <c r="F25" s="12" t="n">
        <v>1280</v>
      </c>
      <c r="G25" s="13" t="n">
        <v>4480</v>
      </c>
      <c r="H25" s="12">
        <f>ABS(G25-F25)</f>
        <v/>
      </c>
      <c r="I25" s="32">
        <f>IF(F25&gt;0, G25/F25, IF(G25&gt;0, 1.0, 0.0))</f>
        <v/>
      </c>
      <c r="J25" s="33" t="inlineStr"/>
      <c r="K25" s="34" t="n">
        <v>4480</v>
      </c>
      <c r="L25" s="35" t="n">
        <v>4480</v>
      </c>
      <c r="M25" s="34" t="n">
        <v>2560</v>
      </c>
      <c r="N25" s="35" t="n">
        <v>2560</v>
      </c>
      <c r="O25" s="34" t="n">
        <v>1920</v>
      </c>
      <c r="P25" s="35" t="n">
        <v>1920</v>
      </c>
      <c r="Q25" s="12">
        <f>K25+M25+O25</f>
        <v/>
      </c>
      <c r="R25" s="13">
        <f>L25+N25+P25</f>
        <v/>
      </c>
      <c r="S25" s="36">
        <f>R25-Q25</f>
        <v/>
      </c>
      <c r="T25" s="37" t="inlineStr"/>
    </row>
    <row r="26" ht="20" customHeight="1">
      <c r="B26" s="11" t="inlineStr">
        <is>
          <t>ESPAÑA</t>
        </is>
      </c>
      <c r="C26" s="31" t="inlineStr">
        <is>
          <t>CAMPOEJIDO S.C.A.</t>
        </is>
      </c>
      <c r="D26" s="11" t="inlineStr">
        <is>
          <t>FTK0005</t>
        </is>
      </c>
      <c r="E26" s="31" t="inlineStr">
        <is>
          <t>FITOKONTROL CA FLOW, 5 KG</t>
        </is>
      </c>
      <c r="F26" s="12" t="n">
        <v>0</v>
      </c>
      <c r="G26" s="13" t="n">
        <v>0</v>
      </c>
      <c r="H26" s="12">
        <f>ABS(G26-F26)</f>
        <v/>
      </c>
      <c r="I26" s="32">
        <f>IF(F26&gt;0, G26/F26, IF(G26&gt;0, 1.0, 0.0))</f>
        <v/>
      </c>
      <c r="J26" s="33" t="inlineStr"/>
      <c r="K26" s="34" t="n">
        <v>0</v>
      </c>
      <c r="L26" s="35" t="n">
        <v>0</v>
      </c>
      <c r="M26" s="34" t="n">
        <v>300</v>
      </c>
      <c r="N26" s="35" t="n">
        <v>300</v>
      </c>
      <c r="O26" s="34" t="n">
        <v>300</v>
      </c>
      <c r="P26" s="35" t="n">
        <v>300</v>
      </c>
      <c r="Q26" s="12">
        <f>K26+M26+O26</f>
        <v/>
      </c>
      <c r="R26" s="13">
        <f>L26+N26+P26</f>
        <v/>
      </c>
      <c r="S26" s="36">
        <f>R26-Q26</f>
        <v/>
      </c>
      <c r="T26" s="37" t="inlineStr"/>
    </row>
    <row r="27" ht="20" customHeight="1">
      <c r="B27" s="11" t="inlineStr">
        <is>
          <t>ESPAÑA</t>
        </is>
      </c>
      <c r="C27" s="31" t="inlineStr">
        <is>
          <t>CAMPOEJIDO S.C.A.</t>
        </is>
      </c>
      <c r="D27" s="11" t="inlineStr">
        <is>
          <t>HST0005</t>
        </is>
      </c>
      <c r="E27" s="31" t="inlineStr">
        <is>
          <t>HIDROSTRESS, 5 L</t>
        </is>
      </c>
      <c r="F27" s="12" t="n">
        <v>0</v>
      </c>
      <c r="G27" s="13" t="n">
        <v>0</v>
      </c>
      <c r="H27" s="12">
        <f>ABS(G27-F27)</f>
        <v/>
      </c>
      <c r="I27" s="32">
        <f>IF(F27&gt;0, G27/F27, IF(G27&gt;0, 1.0, 0.0))</f>
        <v/>
      </c>
      <c r="J27" s="33" t="inlineStr"/>
      <c r="K27" s="34" t="n">
        <v>0</v>
      </c>
      <c r="L27" s="35" t="n">
        <v>0</v>
      </c>
      <c r="M27" s="34" t="n">
        <v>0</v>
      </c>
      <c r="N27" s="35" t="n">
        <v>0</v>
      </c>
      <c r="O27" s="34" t="n">
        <v>100</v>
      </c>
      <c r="P27" s="35" t="n">
        <v>100</v>
      </c>
      <c r="Q27" s="12">
        <f>K27+M27+O27</f>
        <v/>
      </c>
      <c r="R27" s="13">
        <f>L27+N27+P27</f>
        <v/>
      </c>
      <c r="S27" s="36">
        <f>R27-Q27</f>
        <v/>
      </c>
      <c r="T27" s="37" t="inlineStr"/>
    </row>
    <row r="28" ht="20" customHeight="1">
      <c r="B28" s="11" t="inlineStr">
        <is>
          <t>ESPAÑA</t>
        </is>
      </c>
      <c r="C28" s="31" t="inlineStr">
        <is>
          <t>CAMPOEJIDO S.C.A.</t>
        </is>
      </c>
      <c r="D28" s="11" t="inlineStr">
        <is>
          <t>PHD0001</t>
        </is>
      </c>
      <c r="E28" s="31" t="inlineStr">
        <is>
          <t>PH-DOWNER, 1 L</t>
        </is>
      </c>
      <c r="F28" s="12" t="n">
        <v>0</v>
      </c>
      <c r="G28" s="13" t="n">
        <v>48</v>
      </c>
      <c r="H28" s="12">
        <f>ABS(G28-F28)</f>
        <v/>
      </c>
      <c r="I28" s="32">
        <f>IF(F28&gt;0, G28/F28, IF(G28&gt;0, 1.0, 0.0))</f>
        <v/>
      </c>
      <c r="J28" s="33" t="inlineStr">
        <is>
          <t>Pedido extra no previsto</t>
        </is>
      </c>
      <c r="K28" s="34" t="n">
        <v>0</v>
      </c>
      <c r="L28" s="35" t="n">
        <v>0</v>
      </c>
      <c r="M28" s="34" t="n">
        <v>0</v>
      </c>
      <c r="N28" s="35" t="n">
        <v>0</v>
      </c>
      <c r="O28" s="34" t="n">
        <v>0</v>
      </c>
      <c r="P28" s="35" t="n">
        <v>0</v>
      </c>
      <c r="Q28" s="12">
        <f>K28+M28+O28</f>
        <v/>
      </c>
      <c r="R28" s="13">
        <f>L28+N28+P28</f>
        <v/>
      </c>
      <c r="S28" s="36">
        <f>R28-Q28</f>
        <v/>
      </c>
      <c r="T28" s="37" t="inlineStr"/>
    </row>
    <row r="29" ht="20" customHeight="1">
      <c r="B29" s="11" t="inlineStr">
        <is>
          <t>ESPAÑA</t>
        </is>
      </c>
      <c r="C29" s="31" t="inlineStr">
        <is>
          <t>CAMPOEJIDO S.C.A.</t>
        </is>
      </c>
      <c r="D29" s="11" t="inlineStr">
        <is>
          <t>PHD0005</t>
        </is>
      </c>
      <c r="E29" s="31" t="inlineStr">
        <is>
          <t>PH-DOWNER, 5 L</t>
        </is>
      </c>
      <c r="F29" s="12" t="n">
        <v>100</v>
      </c>
      <c r="G29" s="13" t="n">
        <v>300</v>
      </c>
      <c r="H29" s="12">
        <f>ABS(G29-F29)</f>
        <v/>
      </c>
      <c r="I29" s="32">
        <f>IF(F29&gt;0, G29/F29, IF(G29&gt;0, 1.0, 0.0))</f>
        <v/>
      </c>
      <c r="J29" s="33" t="inlineStr"/>
      <c r="K29" s="34" t="n">
        <v>0</v>
      </c>
      <c r="L29" s="35" t="n">
        <v>0</v>
      </c>
      <c r="M29" s="34" t="n">
        <v>100</v>
      </c>
      <c r="N29" s="35" t="n">
        <v>100</v>
      </c>
      <c r="O29" s="34" t="n">
        <v>0</v>
      </c>
      <c r="P29" s="35" t="n">
        <v>0</v>
      </c>
      <c r="Q29" s="12">
        <f>K29+M29+O29</f>
        <v/>
      </c>
      <c r="R29" s="13">
        <f>L29+N29+P29</f>
        <v/>
      </c>
      <c r="S29" s="36">
        <f>R29-Q29</f>
        <v/>
      </c>
      <c r="T29" s="37" t="inlineStr"/>
    </row>
    <row r="30" ht="20" customHeight="1">
      <c r="B30" s="11" t="inlineStr">
        <is>
          <t>ESPAÑA</t>
        </is>
      </c>
      <c r="C30" s="31" t="inlineStr">
        <is>
          <t>CAMPOEJIDO S.C.A.</t>
        </is>
      </c>
      <c r="D30" s="11" t="inlineStr">
        <is>
          <t>PIV0020</t>
        </is>
      </c>
      <c r="E30" s="31" t="inlineStr">
        <is>
          <t>PGR IV, 20 L</t>
        </is>
      </c>
      <c r="F30" s="12" t="n">
        <v>3200</v>
      </c>
      <c r="G30" s="13" t="n">
        <v>640</v>
      </c>
      <c r="H30" s="12">
        <f>ABS(G30-F30)</f>
        <v/>
      </c>
      <c r="I30" s="32">
        <f>IF(F30&gt;0, G30/F30, IF(G30&gt;0, 1.0, 0.0))</f>
        <v/>
      </c>
      <c r="J30" s="33" t="inlineStr"/>
      <c r="K30" s="34" t="n">
        <v>1280</v>
      </c>
      <c r="L30" s="35" t="n">
        <v>1280</v>
      </c>
      <c r="M30" s="34" t="n">
        <v>1920</v>
      </c>
      <c r="N30" s="35" t="n">
        <v>1920</v>
      </c>
      <c r="O30" s="34" t="n">
        <v>640</v>
      </c>
      <c r="P30" s="35" t="n">
        <v>640</v>
      </c>
      <c r="Q30" s="12">
        <f>K30+M30+O30</f>
        <v/>
      </c>
      <c r="R30" s="13">
        <f>L30+N30+P30</f>
        <v/>
      </c>
      <c r="S30" s="36">
        <f>R30-Q30</f>
        <v/>
      </c>
      <c r="T30" s="37" t="inlineStr"/>
    </row>
    <row r="31" ht="20" customHeight="1">
      <c r="B31" s="11" t="inlineStr">
        <is>
          <t>ESPAÑA</t>
        </is>
      </c>
      <c r="C31" s="31" t="inlineStr">
        <is>
          <t>CAMPOEJIDO S.C.A.</t>
        </is>
      </c>
      <c r="D31" s="11" t="inlineStr">
        <is>
          <t>PT0005</t>
        </is>
      </c>
      <c r="E31" s="31" t="inlineStr">
        <is>
          <t>AGROPOTASION, 5 L</t>
        </is>
      </c>
      <c r="F31" s="12" t="n">
        <v>0</v>
      </c>
      <c r="G31" s="13" t="n">
        <v>0</v>
      </c>
      <c r="H31" s="12">
        <f>ABS(G31-F31)</f>
        <v/>
      </c>
      <c r="I31" s="32">
        <f>IF(F31&gt;0, G31/F31, IF(G31&gt;0, 1.0, 0.0))</f>
        <v/>
      </c>
      <c r="J31" s="33" t="inlineStr"/>
      <c r="K31" s="34" t="n">
        <v>100</v>
      </c>
      <c r="L31" s="35" t="n">
        <v>100</v>
      </c>
      <c r="M31" s="34" t="n">
        <v>0</v>
      </c>
      <c r="N31" s="35" t="n">
        <v>0</v>
      </c>
      <c r="O31" s="34" t="n">
        <v>100</v>
      </c>
      <c r="P31" s="35" t="n">
        <v>100</v>
      </c>
      <c r="Q31" s="12">
        <f>K31+M31+O31</f>
        <v/>
      </c>
      <c r="R31" s="13">
        <f>L31+N31+P31</f>
        <v/>
      </c>
      <c r="S31" s="36">
        <f>R31-Q31</f>
        <v/>
      </c>
      <c r="T31" s="37" t="inlineStr"/>
    </row>
    <row r="32" ht="20" customHeight="1">
      <c r="B32" s="11" t="inlineStr">
        <is>
          <t>ESPAÑA</t>
        </is>
      </c>
      <c r="C32" s="31" t="inlineStr">
        <is>
          <t>CAMPOEJIDO S.C.A.</t>
        </is>
      </c>
      <c r="D32" s="11" t="inlineStr">
        <is>
          <t>S0020</t>
        </is>
      </c>
      <c r="E32" s="31" t="inlineStr">
        <is>
          <t>SAL-WAX STAR, 20 L</t>
        </is>
      </c>
      <c r="F32" s="12" t="n">
        <v>640</v>
      </c>
      <c r="G32" s="13" t="n">
        <v>0</v>
      </c>
      <c r="H32" s="12">
        <f>ABS(G32-F32)</f>
        <v/>
      </c>
      <c r="I32" s="32">
        <f>IF(F32&gt;0, G32/F32, IF(G32&gt;0, 1.0, 0.0))</f>
        <v/>
      </c>
      <c r="J32" s="33" t="inlineStr"/>
      <c r="K32" s="34" t="n">
        <v>0</v>
      </c>
      <c r="L32" s="35" t="n">
        <v>0</v>
      </c>
      <c r="M32" s="34" t="n">
        <v>0</v>
      </c>
      <c r="N32" s="35" t="n">
        <v>0</v>
      </c>
      <c r="O32" s="34" t="n">
        <v>0</v>
      </c>
      <c r="P32" s="35" t="n">
        <v>0</v>
      </c>
      <c r="Q32" s="12">
        <f>K32+M32+O32</f>
        <v/>
      </c>
      <c r="R32" s="13">
        <f>L32+N32+P32</f>
        <v/>
      </c>
      <c r="S32" s="36">
        <f>R32-Q32</f>
        <v/>
      </c>
      <c r="T32" s="37" t="inlineStr"/>
    </row>
    <row r="33" ht="20" customHeight="1">
      <c r="B33" s="11" t="inlineStr">
        <is>
          <t>ESPAÑA</t>
        </is>
      </c>
      <c r="C33" s="31" t="inlineStr">
        <is>
          <t>CAMPOEJIDO S.C.A.</t>
        </is>
      </c>
      <c r="D33" s="11" t="inlineStr">
        <is>
          <t>TRI0001</t>
        </is>
      </c>
      <c r="E33" s="31" t="inlineStr">
        <is>
          <t>TRIFENO-94, 1 L</t>
        </is>
      </c>
      <c r="F33" s="12" t="n">
        <v>0</v>
      </c>
      <c r="G33" s="13" t="n">
        <v>0</v>
      </c>
      <c r="H33" s="12">
        <f>ABS(G33-F33)</f>
        <v/>
      </c>
      <c r="I33" s="32">
        <f>IF(F33&gt;0, G33/F33, IF(G33&gt;0, 1.0, 0.0))</f>
        <v/>
      </c>
      <c r="J33" s="33" t="inlineStr"/>
      <c r="K33" s="34" t="n">
        <v>0</v>
      </c>
      <c r="L33" s="35" t="n">
        <v>0</v>
      </c>
      <c r="M33" s="34" t="n">
        <v>0</v>
      </c>
      <c r="N33" s="35" t="n">
        <v>0</v>
      </c>
      <c r="O33" s="34" t="n">
        <v>108</v>
      </c>
      <c r="P33" s="35" t="n">
        <v>108</v>
      </c>
      <c r="Q33" s="12">
        <f>K33+M33+O33</f>
        <v/>
      </c>
      <c r="R33" s="13">
        <f>L33+N33+P33</f>
        <v/>
      </c>
      <c r="S33" s="36">
        <f>R33-Q33</f>
        <v/>
      </c>
      <c r="T33" s="37" t="inlineStr"/>
    </row>
    <row r="34" ht="20" customHeight="1">
      <c r="B34" s="11" t="inlineStr">
        <is>
          <t>ESPAÑA</t>
        </is>
      </c>
      <c r="C34" s="31" t="inlineStr">
        <is>
          <t>CAMPOEJIDO S.C.A.</t>
        </is>
      </c>
      <c r="D34" s="11" t="inlineStr">
        <is>
          <t>TRI0005</t>
        </is>
      </c>
      <c r="E34" s="31" t="inlineStr">
        <is>
          <t>TRIFENO-94, 5L</t>
        </is>
      </c>
      <c r="F34" s="12" t="n">
        <v>100</v>
      </c>
      <c r="G34" s="13" t="n">
        <v>100</v>
      </c>
      <c r="H34" s="12">
        <f>ABS(G34-F34)</f>
        <v/>
      </c>
      <c r="I34" s="32">
        <f>IF(F34&gt;0, G34/F34, IF(G34&gt;0, 1.0, 0.0))</f>
        <v/>
      </c>
      <c r="J34" s="33" t="inlineStr"/>
      <c r="K34" s="34" t="n">
        <v>100</v>
      </c>
      <c r="L34" s="35" t="n">
        <v>100</v>
      </c>
      <c r="M34" s="34" t="n">
        <v>100</v>
      </c>
      <c r="N34" s="35" t="n">
        <v>100</v>
      </c>
      <c r="O34" s="34" t="n">
        <v>200</v>
      </c>
      <c r="P34" s="35" t="n">
        <v>200</v>
      </c>
      <c r="Q34" s="12">
        <f>K34+M34+O34</f>
        <v/>
      </c>
      <c r="R34" s="13">
        <f>L34+N34+P34</f>
        <v/>
      </c>
      <c r="S34" s="36">
        <f>R34-Q34</f>
        <v/>
      </c>
      <c r="T34" s="37" t="inlineStr"/>
    </row>
    <row r="35" ht="20" customHeight="1">
      <c r="B35" s="11" t="inlineStr">
        <is>
          <t>ESPAÑA</t>
        </is>
      </c>
      <c r="C35" s="31" t="inlineStr">
        <is>
          <t>COOP.AGRIC. SAN ISIDRO S.C.A.</t>
        </is>
      </c>
      <c r="D35" s="11" t="inlineStr">
        <is>
          <t>A-50(2)0005</t>
        </is>
      </c>
      <c r="E35" s="31" t="inlineStr">
        <is>
          <t>CODIORGAN-A50, 5 KG</t>
        </is>
      </c>
      <c r="F35" s="12" t="n">
        <v>0</v>
      </c>
      <c r="G35" s="13" t="n">
        <v>0</v>
      </c>
      <c r="H35" s="12">
        <f>ABS(G35-F35)</f>
        <v/>
      </c>
      <c r="I35" s="32">
        <f>IF(F35&gt;0, G35/F35, IF(G35&gt;0, 1.0, 0.0))</f>
        <v/>
      </c>
      <c r="J35" s="33" t="inlineStr"/>
      <c r="K35" s="34" t="n">
        <v>0</v>
      </c>
      <c r="L35" s="35" t="n">
        <v>0</v>
      </c>
      <c r="M35" s="34" t="n">
        <v>0</v>
      </c>
      <c r="N35" s="35" t="n">
        <v>0</v>
      </c>
      <c r="O35" s="34" t="n">
        <v>200</v>
      </c>
      <c r="P35" s="35" t="n">
        <v>200</v>
      </c>
      <c r="Q35" s="12">
        <f>K35+M35+O35</f>
        <v/>
      </c>
      <c r="R35" s="13">
        <f>L35+N35+P35</f>
        <v/>
      </c>
      <c r="S35" s="36">
        <f>R35-Q35</f>
        <v/>
      </c>
      <c r="T35" s="37" t="inlineStr"/>
    </row>
    <row r="36" ht="20" customHeight="1">
      <c r="B36" s="11" t="inlineStr">
        <is>
          <t>ESPAÑA</t>
        </is>
      </c>
      <c r="C36" s="31" t="inlineStr">
        <is>
          <t>COOP.AGRIC. SAN ISIDRO S.C.A.</t>
        </is>
      </c>
      <c r="D36" s="11" t="inlineStr">
        <is>
          <t>AGXK0020</t>
        </is>
      </c>
      <c r="E36" s="31" t="inlineStr">
        <is>
          <t>AGROXILATO-K, 20 L</t>
        </is>
      </c>
      <c r="F36" s="12" t="n">
        <v>3200</v>
      </c>
      <c r="G36" s="13" t="n">
        <v>0</v>
      </c>
      <c r="H36" s="12">
        <f>ABS(G36-F36)</f>
        <v/>
      </c>
      <c r="I36" s="32">
        <f>IF(F36&gt;0, G36/F36, IF(G36&gt;0, 1.0, 0.0))</f>
        <v/>
      </c>
      <c r="J36" s="33" t="inlineStr"/>
      <c r="K36" s="34" t="n">
        <v>5120</v>
      </c>
      <c r="L36" s="35" t="n">
        <v>5120</v>
      </c>
      <c r="M36" s="34" t="n">
        <v>3840</v>
      </c>
      <c r="N36" s="35" t="n">
        <v>3840</v>
      </c>
      <c r="O36" s="34" t="n">
        <v>7040</v>
      </c>
      <c r="P36" s="35" t="n">
        <v>7040</v>
      </c>
      <c r="Q36" s="12">
        <f>K36+M36+O36</f>
        <v/>
      </c>
      <c r="R36" s="13">
        <f>L36+N36+P36</f>
        <v/>
      </c>
      <c r="S36" s="36">
        <f>R36-Q36</f>
        <v/>
      </c>
      <c r="T36" s="37" t="inlineStr"/>
    </row>
    <row r="37" ht="20" customHeight="1">
      <c r="B37" s="11" t="inlineStr">
        <is>
          <t>ESPAÑA</t>
        </is>
      </c>
      <c r="C37" s="31" t="inlineStr">
        <is>
          <t>COOP.AGRIC. SAN ISIDRO S.C.A.</t>
        </is>
      </c>
      <c r="D37" s="11" t="inlineStr">
        <is>
          <t>AGXK0200</t>
        </is>
      </c>
      <c r="E37" s="31" t="inlineStr">
        <is>
          <t>AGROXILATO-K, 200 L</t>
        </is>
      </c>
      <c r="F37" s="12" t="n">
        <v>400</v>
      </c>
      <c r="G37" s="13" t="n">
        <v>0</v>
      </c>
      <c r="H37" s="12">
        <f>ABS(G37-F37)</f>
        <v/>
      </c>
      <c r="I37" s="32">
        <f>IF(F37&gt;0, G37/F37, IF(G37&gt;0, 1.0, 0.0))</f>
        <v/>
      </c>
      <c r="J37" s="33" t="inlineStr"/>
      <c r="K37" s="34" t="n">
        <v>0</v>
      </c>
      <c r="L37" s="35" t="n">
        <v>0</v>
      </c>
      <c r="M37" s="34" t="n">
        <v>0</v>
      </c>
      <c r="N37" s="35" t="n">
        <v>0</v>
      </c>
      <c r="O37" s="34" t="n">
        <v>0</v>
      </c>
      <c r="P37" s="35" t="n">
        <v>0</v>
      </c>
      <c r="Q37" s="12">
        <f>K37+M37+O37</f>
        <v/>
      </c>
      <c r="R37" s="13">
        <f>L37+N37+P37</f>
        <v/>
      </c>
      <c r="S37" s="36">
        <f>R37-Q37</f>
        <v/>
      </c>
      <c r="T37" s="37" t="inlineStr"/>
    </row>
    <row r="38" ht="20" customHeight="1">
      <c r="B38" s="11" t="inlineStr">
        <is>
          <t>ESPAÑA</t>
        </is>
      </c>
      <c r="C38" s="31" t="inlineStr">
        <is>
          <t>COOP.AGRIC. SAN ISIDRO S.C.A.</t>
        </is>
      </c>
      <c r="D38" s="11" t="inlineStr">
        <is>
          <t>AGZ-M0001</t>
        </is>
      </c>
      <c r="E38" s="31" t="inlineStr">
        <is>
          <t>AGROXILATO-ZN-MN, 1 KG</t>
        </is>
      </c>
      <c r="F38" s="12" t="n">
        <v>0</v>
      </c>
      <c r="G38" s="13" t="n">
        <v>0</v>
      </c>
      <c r="H38" s="12">
        <f>ABS(G38-F38)</f>
        <v/>
      </c>
      <c r="I38" s="32">
        <f>IF(F38&gt;0, G38/F38, IF(G38&gt;0, 1.0, 0.0))</f>
        <v/>
      </c>
      <c r="J38" s="33" t="inlineStr"/>
      <c r="K38" s="34" t="n">
        <v>0</v>
      </c>
      <c r="L38" s="35" t="n">
        <v>0</v>
      </c>
      <c r="M38" s="34" t="n">
        <v>112</v>
      </c>
      <c r="N38" s="35" t="n">
        <v>112</v>
      </c>
      <c r="O38" s="34" t="n">
        <v>0</v>
      </c>
      <c r="P38" s="35" t="n">
        <v>0</v>
      </c>
      <c r="Q38" s="12">
        <f>K38+M38+O38</f>
        <v/>
      </c>
      <c r="R38" s="13">
        <f>L38+N38+P38</f>
        <v/>
      </c>
      <c r="S38" s="36">
        <f>R38-Q38</f>
        <v/>
      </c>
      <c r="T38" s="37" t="inlineStr"/>
    </row>
    <row r="39" ht="20" customHeight="1">
      <c r="B39" s="11" t="inlineStr">
        <is>
          <t>ESPAÑA</t>
        </is>
      </c>
      <c r="C39" s="31" t="inlineStr">
        <is>
          <t>COOP.AGRIC. SAN ISIDRO S.C.A.</t>
        </is>
      </c>
      <c r="D39" s="11" t="inlineStr">
        <is>
          <t>AGZ-M0005</t>
        </is>
      </c>
      <c r="E39" s="31" t="inlineStr">
        <is>
          <t>AGROXILATO-ZN-MN, 5 KG</t>
        </is>
      </c>
      <c r="F39" s="12" t="n">
        <v>0</v>
      </c>
      <c r="G39" s="13" t="n">
        <v>0</v>
      </c>
      <c r="H39" s="12">
        <f>ABS(G39-F39)</f>
        <v/>
      </c>
      <c r="I39" s="32">
        <f>IF(F39&gt;0, G39/F39, IF(G39&gt;0, 1.0, 0.0))</f>
        <v/>
      </c>
      <c r="J39" s="33" t="inlineStr"/>
      <c r="K39" s="34" t="n">
        <v>0</v>
      </c>
      <c r="L39" s="35" t="n">
        <v>0</v>
      </c>
      <c r="M39" s="34" t="n">
        <v>0</v>
      </c>
      <c r="N39" s="35" t="n">
        <v>0</v>
      </c>
      <c r="O39" s="34" t="n">
        <v>200</v>
      </c>
      <c r="P39" s="35" t="n">
        <v>200</v>
      </c>
      <c r="Q39" s="12">
        <f>K39+M39+O39</f>
        <v/>
      </c>
      <c r="R39" s="13">
        <f>L39+N39+P39</f>
        <v/>
      </c>
      <c r="S39" s="36">
        <f>R39-Q39</f>
        <v/>
      </c>
      <c r="T39" s="37" t="inlineStr"/>
    </row>
    <row r="40" ht="20" customHeight="1">
      <c r="B40" s="11" t="inlineStr">
        <is>
          <t>ESPAÑA</t>
        </is>
      </c>
      <c r="C40" s="31" t="inlineStr">
        <is>
          <t>COOP.AGRIC. SAN ISIDRO S.C.A.</t>
        </is>
      </c>
      <c r="D40" s="11" t="inlineStr">
        <is>
          <t>AMIMG0020</t>
        </is>
      </c>
      <c r="E40" s="31" t="inlineStr">
        <is>
          <t>AMINOSOIL MG, 20 L</t>
        </is>
      </c>
      <c r="F40" s="12" t="n">
        <v>0</v>
      </c>
      <c r="G40" s="13" t="n">
        <v>0</v>
      </c>
      <c r="H40" s="12">
        <f>ABS(G40-F40)</f>
        <v/>
      </c>
      <c r="I40" s="32">
        <f>IF(F40&gt;0, G40/F40, IF(G40&gt;0, 1.0, 0.0))</f>
        <v/>
      </c>
      <c r="J40" s="33" t="inlineStr"/>
      <c r="K40" s="34" t="n">
        <v>0</v>
      </c>
      <c r="L40" s="35" t="n">
        <v>0</v>
      </c>
      <c r="M40" s="34" t="n">
        <v>640</v>
      </c>
      <c r="N40" s="35" t="n">
        <v>640</v>
      </c>
      <c r="O40" s="34" t="n">
        <v>300</v>
      </c>
      <c r="P40" s="35" t="n">
        <v>300</v>
      </c>
      <c r="Q40" s="12">
        <f>K40+M40+O40</f>
        <v/>
      </c>
      <c r="R40" s="13">
        <f>L40+N40+P40</f>
        <v/>
      </c>
      <c r="S40" s="36">
        <f>R40-Q40</f>
        <v/>
      </c>
      <c r="T40" s="37" t="inlineStr"/>
    </row>
    <row r="41" ht="20" customHeight="1">
      <c r="B41" s="11" t="inlineStr">
        <is>
          <t>ESPAÑA</t>
        </is>
      </c>
      <c r="C41" s="31" t="inlineStr">
        <is>
          <t>COOP.AGRIC. SAN ISIDRO S.C.A.</t>
        </is>
      </c>
      <c r="D41" s="11" t="inlineStr">
        <is>
          <t>AVAN0005</t>
        </is>
      </c>
      <c r="E41" s="31" t="inlineStr">
        <is>
          <t>FLORAMEC AVANCE, 5 L</t>
        </is>
      </c>
      <c r="F41" s="12" t="n">
        <v>1200</v>
      </c>
      <c r="G41" s="13" t="n">
        <v>0</v>
      </c>
      <c r="H41" s="12">
        <f>ABS(G41-F41)</f>
        <v/>
      </c>
      <c r="I41" s="32">
        <f>IF(F41&gt;0, G41/F41, IF(G41&gt;0, 1.0, 0.0))</f>
        <v/>
      </c>
      <c r="J41" s="33" t="inlineStr"/>
      <c r="K41" s="34" t="n">
        <v>900</v>
      </c>
      <c r="L41" s="35" t="n">
        <v>900</v>
      </c>
      <c r="M41" s="34" t="n">
        <v>0</v>
      </c>
      <c r="N41" s="35" t="n">
        <v>0</v>
      </c>
      <c r="O41" s="34" t="n">
        <v>600</v>
      </c>
      <c r="P41" s="35" t="n">
        <v>600</v>
      </c>
      <c r="Q41" s="12">
        <f>K41+M41+O41</f>
        <v/>
      </c>
      <c r="R41" s="13">
        <f>L41+N41+P41</f>
        <v/>
      </c>
      <c r="S41" s="36">
        <f>R41-Q41</f>
        <v/>
      </c>
      <c r="T41" s="37" t="inlineStr"/>
    </row>
    <row r="42" ht="20" customHeight="1">
      <c r="B42" s="11" t="inlineStr">
        <is>
          <t>ESPAÑA</t>
        </is>
      </c>
      <c r="C42" s="31" t="inlineStr">
        <is>
          <t>COOP.AGRIC. SAN ISIDRO S.C.A.</t>
        </is>
      </c>
      <c r="D42" s="11" t="inlineStr">
        <is>
          <t>BROTA0005</t>
        </is>
      </c>
      <c r="E42" s="31" t="inlineStr">
        <is>
          <t>BROTAMEC, 5 L</t>
        </is>
      </c>
      <c r="F42" s="12" t="n">
        <v>0</v>
      </c>
      <c r="G42" s="13" t="n">
        <v>0</v>
      </c>
      <c r="H42" s="12">
        <f>ABS(G42-F42)</f>
        <v/>
      </c>
      <c r="I42" s="32">
        <f>IF(F42&gt;0, G42/F42, IF(G42&gt;0, 1.0, 0.0))</f>
        <v/>
      </c>
      <c r="J42" s="33" t="inlineStr"/>
      <c r="K42" s="34" t="n">
        <v>400</v>
      </c>
      <c r="L42" s="35" t="n">
        <v>400</v>
      </c>
      <c r="M42" s="34" t="n">
        <v>0</v>
      </c>
      <c r="N42" s="35" t="n">
        <v>0</v>
      </c>
      <c r="O42" s="34" t="n">
        <v>300</v>
      </c>
      <c r="P42" s="35" t="n">
        <v>300</v>
      </c>
      <c r="Q42" s="12">
        <f>K42+M42+O42</f>
        <v/>
      </c>
      <c r="R42" s="13">
        <f>L42+N42+P42</f>
        <v/>
      </c>
      <c r="S42" s="36">
        <f>R42-Q42</f>
        <v/>
      </c>
      <c r="T42" s="37" t="inlineStr"/>
    </row>
    <row r="43" ht="20" customHeight="1">
      <c r="B43" s="11" t="inlineStr">
        <is>
          <t>ESPAÑA</t>
        </is>
      </c>
      <c r="C43" s="31" t="inlineStr">
        <is>
          <t>COOP.AGRIC. SAN ISIDRO S.C.A.</t>
        </is>
      </c>
      <c r="D43" s="11" t="inlineStr">
        <is>
          <t>C-CUAE0005</t>
        </is>
      </c>
      <c r="E43" s="31" t="inlineStr">
        <is>
          <t>CUPRAMEC, 5 L</t>
        </is>
      </c>
      <c r="F43" s="12" t="n">
        <v>0</v>
      </c>
      <c r="G43" s="13" t="n">
        <v>0</v>
      </c>
      <c r="H43" s="12">
        <f>ABS(G43-F43)</f>
        <v/>
      </c>
      <c r="I43" s="32">
        <f>IF(F43&gt;0, G43/F43, IF(G43&gt;0, 1.0, 0.0))</f>
        <v/>
      </c>
      <c r="J43" s="33" t="inlineStr"/>
      <c r="K43" s="34" t="n">
        <v>0</v>
      </c>
      <c r="L43" s="35" t="n">
        <v>0</v>
      </c>
      <c r="M43" s="34" t="n">
        <v>300</v>
      </c>
      <c r="N43" s="35" t="n">
        <v>300</v>
      </c>
      <c r="O43" s="34" t="n">
        <v>300</v>
      </c>
      <c r="P43" s="35" t="n">
        <v>300</v>
      </c>
      <c r="Q43" s="12">
        <f>K43+M43+O43</f>
        <v/>
      </c>
      <c r="R43" s="13">
        <f>L43+N43+P43</f>
        <v/>
      </c>
      <c r="S43" s="36">
        <f>R43-Q43</f>
        <v/>
      </c>
      <c r="T43" s="37" t="inlineStr"/>
    </row>
    <row r="44" ht="20" customHeight="1">
      <c r="B44" s="11" t="inlineStr">
        <is>
          <t>ESPAÑA</t>
        </is>
      </c>
      <c r="C44" s="31" t="inlineStr">
        <is>
          <t>COOP.AGRIC. SAN ISIDRO S.C.A.</t>
        </is>
      </c>
      <c r="D44" s="11" t="inlineStr">
        <is>
          <t>C-L0005</t>
        </is>
      </c>
      <c r="E44" s="31" t="inlineStr">
        <is>
          <t>CODIBOR-L, 5 L</t>
        </is>
      </c>
      <c r="F44" s="12" t="n">
        <v>200</v>
      </c>
      <c r="G44" s="13" t="n">
        <v>0</v>
      </c>
      <c r="H44" s="12">
        <f>ABS(G44-F44)</f>
        <v/>
      </c>
      <c r="I44" s="32">
        <f>IF(F44&gt;0, G44/F44, IF(G44&gt;0, 1.0, 0.0))</f>
        <v/>
      </c>
      <c r="J44" s="33" t="inlineStr"/>
      <c r="K44" s="34" t="n">
        <v>0</v>
      </c>
      <c r="L44" s="35" t="n">
        <v>0</v>
      </c>
      <c r="M44" s="34" t="n">
        <v>0</v>
      </c>
      <c r="N44" s="35" t="n">
        <v>0</v>
      </c>
      <c r="O44" s="34" t="n">
        <v>0</v>
      </c>
      <c r="P44" s="35" t="n">
        <v>0</v>
      </c>
      <c r="Q44" s="12">
        <f>K44+M44+O44</f>
        <v/>
      </c>
      <c r="R44" s="13">
        <f>L44+N44+P44</f>
        <v/>
      </c>
      <c r="S44" s="36">
        <f>R44-Q44</f>
        <v/>
      </c>
      <c r="T44" s="37" t="inlineStr"/>
    </row>
    <row r="45" ht="20" customHeight="1">
      <c r="B45" s="11" t="inlineStr">
        <is>
          <t>ESPAÑA</t>
        </is>
      </c>
      <c r="C45" s="31" t="inlineStr">
        <is>
          <t>COOP.AGRIC. SAN ISIDRO S.C.A.</t>
        </is>
      </c>
      <c r="D45" s="11" t="inlineStr">
        <is>
          <t>C-MB0005</t>
        </is>
      </c>
      <c r="E45" s="31" t="inlineStr">
        <is>
          <t>CODIFOL-MB, 5 L</t>
        </is>
      </c>
      <c r="F45" s="12" t="n">
        <v>300</v>
      </c>
      <c r="G45" s="13" t="n">
        <v>0</v>
      </c>
      <c r="H45" s="12">
        <f>ABS(G45-F45)</f>
        <v/>
      </c>
      <c r="I45" s="32">
        <f>IF(F45&gt;0, G45/F45, IF(G45&gt;0, 1.0, 0.0))</f>
        <v/>
      </c>
      <c r="J45" s="33" t="inlineStr"/>
      <c r="K45" s="34" t="n">
        <v>300</v>
      </c>
      <c r="L45" s="35" t="n">
        <v>300</v>
      </c>
      <c r="M45" s="34" t="n">
        <v>0</v>
      </c>
      <c r="N45" s="35" t="n">
        <v>0</v>
      </c>
      <c r="O45" s="34" t="n">
        <v>600</v>
      </c>
      <c r="P45" s="35" t="n">
        <v>600</v>
      </c>
      <c r="Q45" s="12">
        <f>K45+M45+O45</f>
        <v/>
      </c>
      <c r="R45" s="13">
        <f>L45+N45+P45</f>
        <v/>
      </c>
      <c r="S45" s="36">
        <f>R45-Q45</f>
        <v/>
      </c>
      <c r="T45" s="37" t="inlineStr"/>
    </row>
    <row r="46" ht="20" customHeight="1">
      <c r="B46" s="11" t="inlineStr">
        <is>
          <t>ESPAÑA</t>
        </is>
      </c>
      <c r="C46" s="31" t="inlineStr">
        <is>
          <t>COOP.AGRIC. SAN ISIDRO S.C.A.</t>
        </is>
      </c>
      <c r="D46" s="11" t="inlineStr">
        <is>
          <t>CALCIO0005</t>
        </is>
      </c>
      <c r="E46" s="31" t="inlineStr">
        <is>
          <t>CALCIAMEC, 5 KG</t>
        </is>
      </c>
      <c r="F46" s="12" t="n">
        <v>0</v>
      </c>
      <c r="G46" s="13" t="n">
        <v>0</v>
      </c>
      <c r="H46" s="12">
        <f>ABS(G46-F46)</f>
        <v/>
      </c>
      <c r="I46" s="32">
        <f>IF(F46&gt;0, G46/F46, IF(G46&gt;0, 1.0, 0.0))</f>
        <v/>
      </c>
      <c r="J46" s="33" t="inlineStr"/>
      <c r="K46" s="34" t="n">
        <v>0</v>
      </c>
      <c r="L46" s="35" t="n">
        <v>0</v>
      </c>
      <c r="M46" s="34" t="n">
        <v>100</v>
      </c>
      <c r="N46" s="35" t="n">
        <v>100</v>
      </c>
      <c r="O46" s="34" t="n">
        <v>0</v>
      </c>
      <c r="P46" s="35" t="n">
        <v>0</v>
      </c>
      <c r="Q46" s="12">
        <f>K46+M46+O46</f>
        <v/>
      </c>
      <c r="R46" s="13">
        <f>L46+N46+P46</f>
        <v/>
      </c>
      <c r="S46" s="36">
        <f>R46-Q46</f>
        <v/>
      </c>
      <c r="T46" s="37" t="inlineStr"/>
    </row>
    <row r="47" ht="20" customHeight="1">
      <c r="B47" s="11" t="inlineStr">
        <is>
          <t>ESPAÑA</t>
        </is>
      </c>
      <c r="C47" s="31" t="inlineStr">
        <is>
          <t>COOP.AGRIC. SAN ISIDRO S.C.A.</t>
        </is>
      </c>
      <c r="D47" s="11" t="inlineStr">
        <is>
          <t>CPLUS0020</t>
        </is>
      </c>
      <c r="E47" s="31" t="inlineStr">
        <is>
          <t>CALCIPLUS, 20 L</t>
        </is>
      </c>
      <c r="F47" s="12" t="n">
        <v>640</v>
      </c>
      <c r="G47" s="13" t="n">
        <v>0</v>
      </c>
      <c r="H47" s="12">
        <f>ABS(G47-F47)</f>
        <v/>
      </c>
      <c r="I47" s="32">
        <f>IF(F47&gt;0, G47/F47, IF(G47&gt;0, 1.0, 0.0))</f>
        <v/>
      </c>
      <c r="J47" s="33" t="inlineStr"/>
      <c r="K47" s="34" t="n">
        <v>1280</v>
      </c>
      <c r="L47" s="35" t="n">
        <v>1280</v>
      </c>
      <c r="M47" s="34" t="n">
        <v>1280</v>
      </c>
      <c r="N47" s="35" t="n">
        <v>1280</v>
      </c>
      <c r="O47" s="34" t="n">
        <v>0</v>
      </c>
      <c r="P47" s="35" t="n">
        <v>0</v>
      </c>
      <c r="Q47" s="12">
        <f>K47+M47+O47</f>
        <v/>
      </c>
      <c r="R47" s="13">
        <f>L47+N47+P47</f>
        <v/>
      </c>
      <c r="S47" s="36">
        <f>R47-Q47</f>
        <v/>
      </c>
      <c r="T47" s="37" t="inlineStr"/>
    </row>
    <row r="48" ht="20" customHeight="1">
      <c r="B48" s="11" t="inlineStr">
        <is>
          <t>ESPAÑA</t>
        </is>
      </c>
      <c r="C48" s="31" t="inlineStr">
        <is>
          <t>COOP.AGRIC. SAN ISIDRO S.C.A.</t>
        </is>
      </c>
      <c r="D48" s="11" t="inlineStr">
        <is>
          <t>PIV0020</t>
        </is>
      </c>
      <c r="E48" s="31" t="inlineStr">
        <is>
          <t>PGR IV, 20 L</t>
        </is>
      </c>
      <c r="F48" s="12" t="n">
        <v>1280</v>
      </c>
      <c r="G48" s="13" t="n">
        <v>0</v>
      </c>
      <c r="H48" s="12">
        <f>ABS(G48-F48)</f>
        <v/>
      </c>
      <c r="I48" s="32">
        <f>IF(F48&gt;0, G48/F48, IF(G48&gt;0, 1.0, 0.0))</f>
        <v/>
      </c>
      <c r="J48" s="33" t="inlineStr"/>
      <c r="K48" s="34" t="n">
        <v>1280</v>
      </c>
      <c r="L48" s="35" t="n">
        <v>1280</v>
      </c>
      <c r="M48" s="34" t="n">
        <v>1920</v>
      </c>
      <c r="N48" s="35" t="n">
        <v>1920</v>
      </c>
      <c r="O48" s="34" t="n">
        <v>1280</v>
      </c>
      <c r="P48" s="35" t="n">
        <v>1280</v>
      </c>
      <c r="Q48" s="12">
        <f>K48+M48+O48</f>
        <v/>
      </c>
      <c r="R48" s="13">
        <f>L48+N48+P48</f>
        <v/>
      </c>
      <c r="S48" s="36">
        <f>R48-Q48</f>
        <v/>
      </c>
      <c r="T48" s="37" t="inlineStr"/>
    </row>
    <row r="49" ht="20" customHeight="1">
      <c r="B49" s="11" t="inlineStr">
        <is>
          <t>ESPAÑA</t>
        </is>
      </c>
      <c r="C49" s="31" t="inlineStr">
        <is>
          <t>COOP.AGRIC. SAN ISIDRO S.C.A.</t>
        </is>
      </c>
      <c r="D49" s="11" t="inlineStr">
        <is>
          <t>PT0005</t>
        </is>
      </c>
      <c r="E49" s="31" t="inlineStr">
        <is>
          <t>AGROPOTASION, 5 L</t>
        </is>
      </c>
      <c r="F49" s="12" t="n">
        <v>0</v>
      </c>
      <c r="G49" s="13" t="n">
        <v>0</v>
      </c>
      <c r="H49" s="12">
        <f>ABS(G49-F49)</f>
        <v/>
      </c>
      <c r="I49" s="32">
        <f>IF(F49&gt;0, G49/F49, IF(G49&gt;0, 1.0, 0.0))</f>
        <v/>
      </c>
      <c r="J49" s="33" t="inlineStr"/>
      <c r="K49" s="34" t="n">
        <v>0</v>
      </c>
      <c r="L49" s="35" t="n">
        <v>0</v>
      </c>
      <c r="M49" s="34" t="n">
        <v>0</v>
      </c>
      <c r="N49" s="35" t="n">
        <v>0</v>
      </c>
      <c r="O49" s="34" t="n">
        <v>200</v>
      </c>
      <c r="P49" s="35" t="n">
        <v>200</v>
      </c>
      <c r="Q49" s="12">
        <f>K49+M49+O49</f>
        <v/>
      </c>
      <c r="R49" s="13">
        <f>L49+N49+P49</f>
        <v/>
      </c>
      <c r="S49" s="36">
        <f>R49-Q49</f>
        <v/>
      </c>
      <c r="T49" s="37" t="inlineStr"/>
    </row>
    <row r="50" ht="20" customHeight="1">
      <c r="B50" s="11" t="inlineStr">
        <is>
          <t>ESPAÑA</t>
        </is>
      </c>
      <c r="C50" s="31" t="inlineStr">
        <is>
          <t>COOP.AGRIC. SAN ISIDRO S.C.A.</t>
        </is>
      </c>
      <c r="D50" s="11" t="inlineStr">
        <is>
          <t>PT0020</t>
        </is>
      </c>
      <c r="E50" s="31" t="inlineStr">
        <is>
          <t>AGROPOTASION, 20 L</t>
        </is>
      </c>
      <c r="F50" s="12" t="n">
        <v>0</v>
      </c>
      <c r="G50" s="13" t="n">
        <v>0</v>
      </c>
      <c r="H50" s="12">
        <f>ABS(G50-F50)</f>
        <v/>
      </c>
      <c r="I50" s="32">
        <f>IF(F50&gt;0, G50/F50, IF(G50&gt;0, 1.0, 0.0))</f>
        <v/>
      </c>
      <c r="J50" s="33" t="inlineStr"/>
      <c r="K50" s="34" t="n">
        <v>0</v>
      </c>
      <c r="L50" s="35" t="n">
        <v>0</v>
      </c>
      <c r="M50" s="34" t="n">
        <v>0</v>
      </c>
      <c r="N50" s="35" t="n">
        <v>0</v>
      </c>
      <c r="O50" s="34" t="n">
        <v>300</v>
      </c>
      <c r="P50" s="35" t="n">
        <v>300</v>
      </c>
      <c r="Q50" s="12">
        <f>K50+M50+O50</f>
        <v/>
      </c>
      <c r="R50" s="13">
        <f>L50+N50+P50</f>
        <v/>
      </c>
      <c r="S50" s="36">
        <f>R50-Q50</f>
        <v/>
      </c>
      <c r="T50" s="37" t="inlineStr"/>
    </row>
    <row r="51" ht="20" customHeight="1">
      <c r="B51" s="11" t="inlineStr">
        <is>
          <t>ESPAÑA</t>
        </is>
      </c>
      <c r="C51" s="31" t="inlineStr">
        <is>
          <t>COOP.AGRIC. SAN ISIDRO S.C.A.</t>
        </is>
      </c>
      <c r="D51" s="11" t="inlineStr">
        <is>
          <t>S0020</t>
        </is>
      </c>
      <c r="E51" s="31" t="inlineStr">
        <is>
          <t>SAL-WAX STAR, 20 L</t>
        </is>
      </c>
      <c r="F51" s="12" t="n">
        <v>0</v>
      </c>
      <c r="G51" s="13" t="n">
        <v>0</v>
      </c>
      <c r="H51" s="12">
        <f>ABS(G51-F51)</f>
        <v/>
      </c>
      <c r="I51" s="32">
        <f>IF(F51&gt;0, G51/F51, IF(G51&gt;0, 1.0, 0.0))</f>
        <v/>
      </c>
      <c r="J51" s="33" t="inlineStr"/>
      <c r="K51" s="34" t="n">
        <v>640</v>
      </c>
      <c r="L51" s="35" t="n">
        <v>640</v>
      </c>
      <c r="M51" s="34" t="n">
        <v>640</v>
      </c>
      <c r="N51" s="35" t="n">
        <v>640</v>
      </c>
      <c r="O51" s="34" t="n">
        <v>640</v>
      </c>
      <c r="P51" s="35" t="n">
        <v>640</v>
      </c>
      <c r="Q51" s="12">
        <f>K51+M51+O51</f>
        <v/>
      </c>
      <c r="R51" s="13">
        <f>L51+N51+P51</f>
        <v/>
      </c>
      <c r="S51" s="36">
        <f>R51-Q51</f>
        <v/>
      </c>
      <c r="T51" s="37" t="inlineStr"/>
    </row>
    <row r="52" ht="20" customHeight="1">
      <c r="B52" s="11" t="inlineStr">
        <is>
          <t>ESPAÑA</t>
        </is>
      </c>
      <c r="C52" s="31" t="inlineStr">
        <is>
          <t>COOP.AGRIC. SAN ISIDRO S.C.A.</t>
        </is>
      </c>
      <c r="D52" s="11" t="inlineStr">
        <is>
          <t>TRI0001</t>
        </is>
      </c>
      <c r="E52" s="31" t="inlineStr">
        <is>
          <t>TRIFENO-94, 1 L</t>
        </is>
      </c>
      <c r="F52" s="12" t="n">
        <v>0</v>
      </c>
      <c r="G52" s="13" t="n">
        <v>0</v>
      </c>
      <c r="H52" s="12">
        <f>ABS(G52-F52)</f>
        <v/>
      </c>
      <c r="I52" s="32">
        <f>IF(F52&gt;0, G52/F52, IF(G52&gt;0, 1.0, 0.0))</f>
        <v/>
      </c>
      <c r="J52" s="33" t="inlineStr"/>
      <c r="K52" s="34" t="n">
        <v>0</v>
      </c>
      <c r="L52" s="35" t="n">
        <v>0</v>
      </c>
      <c r="M52" s="34" t="n">
        <v>0</v>
      </c>
      <c r="N52" s="35" t="n">
        <v>0</v>
      </c>
      <c r="O52" s="34" t="n">
        <v>108</v>
      </c>
      <c r="P52" s="35" t="n">
        <v>108</v>
      </c>
      <c r="Q52" s="12">
        <f>K52+M52+O52</f>
        <v/>
      </c>
      <c r="R52" s="13">
        <f>L52+N52+P52</f>
        <v/>
      </c>
      <c r="S52" s="36">
        <f>R52-Q52</f>
        <v/>
      </c>
      <c r="T52" s="37" t="inlineStr"/>
    </row>
    <row r="53" ht="20" customHeight="1">
      <c r="B53" s="11" t="inlineStr">
        <is>
          <t>ESPAÑA</t>
        </is>
      </c>
      <c r="C53" s="31" t="inlineStr">
        <is>
          <t>GUIVARTO AGRICOLA, S.L.</t>
        </is>
      </c>
      <c r="D53" s="11" t="inlineStr">
        <is>
          <t>A-50(2)0005</t>
        </is>
      </c>
      <c r="E53" s="31" t="inlineStr">
        <is>
          <t>CODIORGAN A-50, 5 KG</t>
        </is>
      </c>
      <c r="F53" s="12" t="n">
        <v>100</v>
      </c>
      <c r="G53" s="13" t="n">
        <v>0</v>
      </c>
      <c r="H53" s="12">
        <f>ABS(G53-F53)</f>
        <v/>
      </c>
      <c r="I53" s="32">
        <f>IF(F53&gt;0, G53/F53, IF(G53&gt;0, 1.0, 0.0))</f>
        <v/>
      </c>
      <c r="J53" s="33" t="inlineStr"/>
      <c r="K53" s="34" t="n">
        <v>0</v>
      </c>
      <c r="L53" s="35" t="n">
        <v>0</v>
      </c>
      <c r="M53" s="34" t="n">
        <v>100</v>
      </c>
      <c r="N53" s="35" t="n">
        <v>100</v>
      </c>
      <c r="O53" s="34" t="n">
        <v>0</v>
      </c>
      <c r="P53" s="35" t="n">
        <v>0</v>
      </c>
      <c r="Q53" s="12">
        <f>K53+M53+O53</f>
        <v/>
      </c>
      <c r="R53" s="13">
        <f>L53+N53+P53</f>
        <v/>
      </c>
      <c r="S53" s="36">
        <f>R53-Q53</f>
        <v/>
      </c>
      <c r="T53" s="37" t="inlineStr"/>
    </row>
    <row r="54" ht="20" customHeight="1">
      <c r="B54" s="11" t="inlineStr">
        <is>
          <t>ESPAÑA</t>
        </is>
      </c>
      <c r="C54" s="31" t="inlineStr">
        <is>
          <t>GUIVARTO AGRICOLA, S.L.</t>
        </is>
      </c>
      <c r="D54" s="11" t="inlineStr">
        <is>
          <t>AGXK0020</t>
        </is>
      </c>
      <c r="E54" s="31" t="inlineStr">
        <is>
          <t>AGROXILATO-K, 20 L</t>
        </is>
      </c>
      <c r="F54" s="12" t="n">
        <v>1240</v>
      </c>
      <c r="G54" s="13" t="n">
        <v>0</v>
      </c>
      <c r="H54" s="12">
        <f>ABS(G54-F54)</f>
        <v/>
      </c>
      <c r="I54" s="32">
        <f>IF(F54&gt;0, G54/F54, IF(G54&gt;0, 1.0, 0.0))</f>
        <v/>
      </c>
      <c r="J54" s="33" t="inlineStr"/>
      <c r="K54" s="34" t="n">
        <v>2480</v>
      </c>
      <c r="L54" s="35" t="n">
        <v>2480</v>
      </c>
      <c r="M54" s="34" t="n">
        <v>1240</v>
      </c>
      <c r="N54" s="35" t="n">
        <v>1240</v>
      </c>
      <c r="O54" s="34" t="n">
        <v>1960</v>
      </c>
      <c r="P54" s="35" t="n">
        <v>1960</v>
      </c>
      <c r="Q54" s="12">
        <f>K54+M54+O54</f>
        <v/>
      </c>
      <c r="R54" s="13">
        <f>L54+N54+P54</f>
        <v/>
      </c>
      <c r="S54" s="36">
        <f>R54-Q54</f>
        <v/>
      </c>
      <c r="T54" s="37" t="inlineStr"/>
    </row>
    <row r="55" ht="20" customHeight="1">
      <c r="B55" s="11" t="inlineStr">
        <is>
          <t>ESPAÑA</t>
        </is>
      </c>
      <c r="C55" s="31" t="inlineStr">
        <is>
          <t>GUIVARTO AGRICOLA, S.L.</t>
        </is>
      </c>
      <c r="D55" s="11" t="inlineStr">
        <is>
          <t>AGXK1000</t>
        </is>
      </c>
      <c r="E55" s="31" t="inlineStr">
        <is>
          <t>AGROXILATO-K, 1000 L</t>
        </is>
      </c>
      <c r="F55" s="12" t="n">
        <v>0</v>
      </c>
      <c r="G55" s="13" t="n">
        <v>8000</v>
      </c>
      <c r="H55" s="12">
        <f>ABS(G55-F55)</f>
        <v/>
      </c>
      <c r="I55" s="32">
        <f>IF(F55&gt;0, G55/F55, IF(G55&gt;0, 1.0, 0.0))</f>
        <v/>
      </c>
      <c r="J55" s="33" t="inlineStr">
        <is>
          <t>Pedido extra no previsto</t>
        </is>
      </c>
      <c r="K55" s="34" t="n">
        <v>0</v>
      </c>
      <c r="L55" s="35" t="n">
        <v>0</v>
      </c>
      <c r="M55" s="34" t="n">
        <v>1000</v>
      </c>
      <c r="N55" s="35" t="n">
        <v>1000</v>
      </c>
      <c r="O55" s="34" t="n">
        <v>0</v>
      </c>
      <c r="P55" s="35" t="n">
        <v>0</v>
      </c>
      <c r="Q55" s="12">
        <f>K55+M55+O55</f>
        <v/>
      </c>
      <c r="R55" s="13">
        <f>L55+N55+P55</f>
        <v/>
      </c>
      <c r="S55" s="36">
        <f>R55-Q55</f>
        <v/>
      </c>
      <c r="T55" s="37" t="inlineStr"/>
    </row>
    <row r="56" ht="20" customHeight="1">
      <c r="B56" s="11" t="inlineStr">
        <is>
          <t>ESPAÑA</t>
        </is>
      </c>
      <c r="C56" s="31" t="inlineStr">
        <is>
          <t>GUIVARTO AGRICOLA, S.L.</t>
        </is>
      </c>
      <c r="D56" s="11" t="inlineStr">
        <is>
          <t>AGZNP0005</t>
        </is>
      </c>
      <c r="E56" s="31" t="inlineStr">
        <is>
          <t>AGROXILATO-ZN PLUS, 5 KG</t>
        </is>
      </c>
      <c r="F56" s="12" t="n">
        <v>50</v>
      </c>
      <c r="G56" s="13" t="n">
        <v>50</v>
      </c>
      <c r="H56" s="12">
        <f>ABS(G56-F56)</f>
        <v/>
      </c>
      <c r="I56" s="32">
        <f>IF(F56&gt;0, G56/F56, IF(G56&gt;0, 1.0, 0.0))</f>
        <v/>
      </c>
      <c r="J56" s="33" t="inlineStr"/>
      <c r="K56" s="34" t="n">
        <v>0</v>
      </c>
      <c r="L56" s="35" t="n">
        <v>0</v>
      </c>
      <c r="M56" s="34" t="n">
        <v>0</v>
      </c>
      <c r="N56" s="35" t="n">
        <v>0</v>
      </c>
      <c r="O56" s="34" t="n">
        <v>0</v>
      </c>
      <c r="P56" s="35" t="n">
        <v>0</v>
      </c>
      <c r="Q56" s="12">
        <f>K56+M56+O56</f>
        <v/>
      </c>
      <c r="R56" s="13">
        <f>L56+N56+P56</f>
        <v/>
      </c>
      <c r="S56" s="36">
        <f>R56-Q56</f>
        <v/>
      </c>
      <c r="T56" s="37" t="inlineStr"/>
    </row>
    <row r="57" ht="20" customHeight="1">
      <c r="B57" s="11" t="inlineStr">
        <is>
          <t>ESPAÑA</t>
        </is>
      </c>
      <c r="C57" s="31" t="inlineStr">
        <is>
          <t>GUIVARTO AGRICOLA, S.L.</t>
        </is>
      </c>
      <c r="D57" s="11" t="inlineStr">
        <is>
          <t>AQUOM0005</t>
        </is>
      </c>
      <c r="E57" s="31" t="inlineStr">
        <is>
          <t>AQUOM, 5 L</t>
        </is>
      </c>
      <c r="F57" s="12" t="n">
        <v>200</v>
      </c>
      <c r="G57" s="13" t="n">
        <v>200</v>
      </c>
      <c r="H57" s="12">
        <f>ABS(G57-F57)</f>
        <v/>
      </c>
      <c r="I57" s="32">
        <f>IF(F57&gt;0, G57/F57, IF(G57&gt;0, 1.0, 0.0))</f>
        <v/>
      </c>
      <c r="J57" s="33" t="inlineStr"/>
      <c r="K57" s="34" t="n">
        <v>0</v>
      </c>
      <c r="L57" s="35" t="n">
        <v>0</v>
      </c>
      <c r="M57" s="34" t="n">
        <v>0</v>
      </c>
      <c r="N57" s="35" t="n">
        <v>0</v>
      </c>
      <c r="O57" s="34" t="n">
        <v>0</v>
      </c>
      <c r="P57" s="35" t="n">
        <v>0</v>
      </c>
      <c r="Q57" s="12">
        <f>K57+M57+O57</f>
        <v/>
      </c>
      <c r="R57" s="13">
        <f>L57+N57+P57</f>
        <v/>
      </c>
      <c r="S57" s="36">
        <f>R57-Q57</f>
        <v/>
      </c>
      <c r="T57" s="37" t="inlineStr"/>
    </row>
    <row r="58" ht="20" customHeight="1">
      <c r="B58" s="11" t="inlineStr">
        <is>
          <t>ESPAÑA</t>
        </is>
      </c>
      <c r="C58" s="31" t="inlineStr">
        <is>
          <t>GUIVARTO AGRICOLA, S.L.</t>
        </is>
      </c>
      <c r="D58" s="11" t="inlineStr">
        <is>
          <t>AVAN0005</t>
        </is>
      </c>
      <c r="E58" s="31" t="inlineStr">
        <is>
          <t>FLORAMEC AVANCE, 5 L</t>
        </is>
      </c>
      <c r="F58" s="12" t="n">
        <v>0</v>
      </c>
      <c r="G58" s="13" t="n">
        <v>0</v>
      </c>
      <c r="H58" s="12">
        <f>ABS(G58-F58)</f>
        <v/>
      </c>
      <c r="I58" s="32">
        <f>IF(F58&gt;0, G58/F58, IF(G58&gt;0, 1.0, 0.0))</f>
        <v/>
      </c>
      <c r="J58" s="33" t="inlineStr"/>
      <c r="K58" s="34" t="n">
        <v>300</v>
      </c>
      <c r="L58" s="35" t="n">
        <v>300</v>
      </c>
      <c r="M58" s="34" t="n">
        <v>300</v>
      </c>
      <c r="N58" s="35" t="n">
        <v>300</v>
      </c>
      <c r="O58" s="34" t="n">
        <v>300</v>
      </c>
      <c r="P58" s="35" t="n">
        <v>300</v>
      </c>
      <c r="Q58" s="12">
        <f>K58+M58+O58</f>
        <v/>
      </c>
      <c r="R58" s="13">
        <f>L58+N58+P58</f>
        <v/>
      </c>
      <c r="S58" s="36">
        <f>R58-Q58</f>
        <v/>
      </c>
      <c r="T58" s="37" t="inlineStr"/>
    </row>
    <row r="59" ht="20" customHeight="1">
      <c r="B59" s="11" t="inlineStr">
        <is>
          <t>ESPAÑA</t>
        </is>
      </c>
      <c r="C59" s="31" t="inlineStr">
        <is>
          <t>GUIVARTO AGRICOLA, S.L.</t>
        </is>
      </c>
      <c r="D59" s="11" t="inlineStr">
        <is>
          <t>AVAN0020</t>
        </is>
      </c>
      <c r="E59" s="31" t="inlineStr">
        <is>
          <t>FLORAMEC AVANCE, 20 L</t>
        </is>
      </c>
      <c r="F59" s="12" t="n">
        <v>640</v>
      </c>
      <c r="G59" s="13" t="n">
        <v>640</v>
      </c>
      <c r="H59" s="12">
        <f>ABS(G59-F59)</f>
        <v/>
      </c>
      <c r="I59" s="32">
        <f>IF(F59&gt;0, G59/F59, IF(G59&gt;0, 1.0, 0.0))</f>
        <v/>
      </c>
      <c r="J59" s="33" t="inlineStr"/>
      <c r="K59" s="34" t="n">
        <v>640</v>
      </c>
      <c r="L59" s="35" t="n">
        <v>640</v>
      </c>
      <c r="M59" s="34" t="n">
        <v>0</v>
      </c>
      <c r="N59" s="35" t="n">
        <v>0</v>
      </c>
      <c r="O59" s="34" t="n">
        <v>0</v>
      </c>
      <c r="P59" s="35" t="n">
        <v>0</v>
      </c>
      <c r="Q59" s="12">
        <f>K59+M59+O59</f>
        <v/>
      </c>
      <c r="R59" s="13">
        <f>L59+N59+P59</f>
        <v/>
      </c>
      <c r="S59" s="36">
        <f>R59-Q59</f>
        <v/>
      </c>
      <c r="T59" s="37" t="inlineStr"/>
    </row>
    <row r="60" ht="20" customHeight="1">
      <c r="B60" s="11" t="inlineStr">
        <is>
          <t>ESPAÑA</t>
        </is>
      </c>
      <c r="C60" s="31" t="inlineStr">
        <is>
          <t>GUIVARTO AGRICOLA, S.L.</t>
        </is>
      </c>
      <c r="D60" s="11" t="inlineStr">
        <is>
          <t>BEY0020</t>
        </is>
      </c>
      <c r="E60" s="31" t="inlineStr">
        <is>
          <t>FLORAMEC PLUS 20 L</t>
        </is>
      </c>
      <c r="F60" s="12" t="n">
        <v>80</v>
      </c>
      <c r="G60" s="13" t="n">
        <v>80</v>
      </c>
      <c r="H60" s="12">
        <f>ABS(G60-F60)</f>
        <v/>
      </c>
      <c r="I60" s="32">
        <f>IF(F60&gt;0, G60/F60, IF(G60&gt;0, 1.0, 0.0))</f>
        <v/>
      </c>
      <c r="J60" s="33" t="inlineStr"/>
      <c r="K60" s="34" t="n">
        <v>0</v>
      </c>
      <c r="L60" s="35" t="n">
        <v>0</v>
      </c>
      <c r="M60" s="34" t="n">
        <v>0</v>
      </c>
      <c r="N60" s="35" t="n">
        <v>0</v>
      </c>
      <c r="O60" s="34" t="n">
        <v>0</v>
      </c>
      <c r="P60" s="35" t="n">
        <v>0</v>
      </c>
      <c r="Q60" s="12">
        <f>K60+M60+O60</f>
        <v/>
      </c>
      <c r="R60" s="13">
        <f>L60+N60+P60</f>
        <v/>
      </c>
      <c r="S60" s="36">
        <f>R60-Q60</f>
        <v/>
      </c>
      <c r="T60" s="37" t="inlineStr"/>
    </row>
    <row r="61" ht="20" customHeight="1">
      <c r="B61" s="11" t="inlineStr">
        <is>
          <t>ESPAÑA</t>
        </is>
      </c>
      <c r="C61" s="31" t="inlineStr">
        <is>
          <t>GUIVARTO AGRICOLA, S.L.</t>
        </is>
      </c>
      <c r="D61" s="11" t="inlineStr">
        <is>
          <t>BROTA0005</t>
        </is>
      </c>
      <c r="E61" s="31" t="inlineStr">
        <is>
          <t>BROTAMEC, 5 L</t>
        </is>
      </c>
      <c r="F61" s="12" t="n">
        <v>600</v>
      </c>
      <c r="G61" s="13" t="n">
        <v>600</v>
      </c>
      <c r="H61" s="12">
        <f>ABS(G61-F61)</f>
        <v/>
      </c>
      <c r="I61" s="32">
        <f>IF(F61&gt;0, G61/F61, IF(G61&gt;0, 1.0, 0.0))</f>
        <v/>
      </c>
      <c r="J61" s="33" t="inlineStr"/>
      <c r="K61" s="34" t="n">
        <v>0</v>
      </c>
      <c r="L61" s="35" t="n">
        <v>0</v>
      </c>
      <c r="M61" s="34" t="n">
        <v>0</v>
      </c>
      <c r="N61" s="35" t="n">
        <v>0</v>
      </c>
      <c r="O61" s="34" t="n">
        <v>300</v>
      </c>
      <c r="P61" s="35" t="n">
        <v>300</v>
      </c>
      <c r="Q61" s="12">
        <f>K61+M61+O61</f>
        <v/>
      </c>
      <c r="R61" s="13">
        <f>L61+N61+P61</f>
        <v/>
      </c>
      <c r="S61" s="36">
        <f>R61-Q61</f>
        <v/>
      </c>
      <c r="T61" s="37" t="inlineStr"/>
    </row>
    <row r="62" ht="20" customHeight="1">
      <c r="B62" s="11" t="inlineStr">
        <is>
          <t>ESPAÑA</t>
        </is>
      </c>
      <c r="C62" s="31" t="inlineStr">
        <is>
          <t>GUIVARTO AGRICOLA, S.L.</t>
        </is>
      </c>
      <c r="D62" s="11" t="inlineStr">
        <is>
          <t>C-GLB0001</t>
        </is>
      </c>
      <c r="E62" s="31" t="inlineStr">
        <is>
          <t>CODIORGAN GLB, 1 KG</t>
        </is>
      </c>
      <c r="F62" s="12" t="n">
        <v>0</v>
      </c>
      <c r="G62" s="13" t="n">
        <v>0</v>
      </c>
      <c r="H62" s="12">
        <f>ABS(G62-F62)</f>
        <v/>
      </c>
      <c r="I62" s="32">
        <f>IF(F62&gt;0, G62/F62, IF(G62&gt;0, 1.0, 0.0))</f>
        <v/>
      </c>
      <c r="J62" s="33" t="inlineStr"/>
      <c r="K62" s="34" t="n">
        <v>108</v>
      </c>
      <c r="L62" s="35" t="n">
        <v>108</v>
      </c>
      <c r="M62" s="34" t="n">
        <v>0</v>
      </c>
      <c r="N62" s="35" t="n">
        <v>0</v>
      </c>
      <c r="O62" s="34" t="n">
        <v>108</v>
      </c>
      <c r="P62" s="35" t="n">
        <v>108</v>
      </c>
      <c r="Q62" s="12">
        <f>K62+M62+O62</f>
        <v/>
      </c>
      <c r="R62" s="13">
        <f>L62+N62+P62</f>
        <v/>
      </c>
      <c r="S62" s="36">
        <f>R62-Q62</f>
        <v/>
      </c>
      <c r="T62" s="37" t="inlineStr"/>
    </row>
    <row r="63" ht="20" customHeight="1">
      <c r="B63" s="11" t="inlineStr">
        <is>
          <t>ESPAÑA</t>
        </is>
      </c>
      <c r="C63" s="31" t="inlineStr">
        <is>
          <t>GUIVARTO AGRICOLA, S.L.</t>
        </is>
      </c>
      <c r="D63" s="11" t="inlineStr">
        <is>
          <t>C-M-P0001</t>
        </is>
      </c>
      <c r="E63" s="31" t="inlineStr">
        <is>
          <t>CODIFOL Mo-PLUS, 1 L</t>
        </is>
      </c>
      <c r="F63" s="12" t="n">
        <v>36</v>
      </c>
      <c r="G63" s="13" t="n">
        <v>0</v>
      </c>
      <c r="H63" s="12">
        <f>ABS(G63-F63)</f>
        <v/>
      </c>
      <c r="I63" s="32">
        <f>IF(F63&gt;0, G63/F63, IF(G63&gt;0, 1.0, 0.0))</f>
        <v/>
      </c>
      <c r="J63" s="33" t="inlineStr"/>
      <c r="K63" s="34" t="n">
        <v>0</v>
      </c>
      <c r="L63" s="35" t="n">
        <v>0</v>
      </c>
      <c r="M63" s="34" t="n">
        <v>0</v>
      </c>
      <c r="N63" s="35" t="n">
        <v>0</v>
      </c>
      <c r="O63" s="34" t="n">
        <v>0</v>
      </c>
      <c r="P63" s="35" t="n">
        <v>0</v>
      </c>
      <c r="Q63" s="12">
        <f>K63+M63+O63</f>
        <v/>
      </c>
      <c r="R63" s="13">
        <f>L63+N63+P63</f>
        <v/>
      </c>
      <c r="S63" s="36">
        <f>R63-Q63</f>
        <v/>
      </c>
      <c r="T63" s="37" t="inlineStr"/>
    </row>
    <row r="64" ht="20" customHeight="1">
      <c r="B64" s="11" t="inlineStr">
        <is>
          <t>ESPAÑA</t>
        </is>
      </c>
      <c r="C64" s="31" t="inlineStr">
        <is>
          <t>GUIVARTO AGRICOLA, S.L.</t>
        </is>
      </c>
      <c r="D64" s="11" t="inlineStr">
        <is>
          <t>C-MB0005</t>
        </is>
      </c>
      <c r="E64" s="31" t="inlineStr">
        <is>
          <t>CODIFOL-MB, 5 L</t>
        </is>
      </c>
      <c r="F64" s="12" t="n">
        <v>0</v>
      </c>
      <c r="G64" s="13" t="n">
        <v>0</v>
      </c>
      <c r="H64" s="12">
        <f>ABS(G64-F64)</f>
        <v/>
      </c>
      <c r="I64" s="32">
        <f>IF(F64&gt;0, G64/F64, IF(G64&gt;0, 1.0, 0.0))</f>
        <v/>
      </c>
      <c r="J64" s="33" t="inlineStr"/>
      <c r="K64" s="34" t="n">
        <v>100</v>
      </c>
      <c r="L64" s="35" t="n">
        <v>100</v>
      </c>
      <c r="M64" s="34" t="n">
        <v>0</v>
      </c>
      <c r="N64" s="35" t="n">
        <v>0</v>
      </c>
      <c r="O64" s="34" t="n">
        <v>0</v>
      </c>
      <c r="P64" s="35" t="n">
        <v>0</v>
      </c>
      <c r="Q64" s="12">
        <f>K64+M64+O64</f>
        <v/>
      </c>
      <c r="R64" s="13">
        <f>L64+N64+P64</f>
        <v/>
      </c>
      <c r="S64" s="36">
        <f>R64-Q64</f>
        <v/>
      </c>
      <c r="T64" s="37" t="inlineStr"/>
    </row>
    <row r="65" ht="20" customHeight="1">
      <c r="B65" s="11" t="inlineStr">
        <is>
          <t>ESPAÑA</t>
        </is>
      </c>
      <c r="C65" s="31" t="inlineStr">
        <is>
          <t>GUIVARTO AGRICOLA, S.L.</t>
        </is>
      </c>
      <c r="D65" s="11" t="inlineStr">
        <is>
          <t>FTK0005</t>
        </is>
      </c>
      <c r="E65" s="31" t="inlineStr">
        <is>
          <t>FITOKONTROL CA FLOW, 5 KG</t>
        </is>
      </c>
      <c r="F65" s="12" t="n">
        <v>800</v>
      </c>
      <c r="G65" s="13" t="n">
        <v>800</v>
      </c>
      <c r="H65" s="12">
        <f>ABS(G65-F65)</f>
        <v/>
      </c>
      <c r="I65" s="32">
        <f>IF(F65&gt;0, G65/F65, IF(G65&gt;0, 1.0, 0.0))</f>
        <v/>
      </c>
      <c r="J65" s="33" t="inlineStr"/>
      <c r="K65" s="34" t="n">
        <v>0</v>
      </c>
      <c r="L65" s="35" t="n">
        <v>0</v>
      </c>
      <c r="M65" s="34" t="n">
        <v>0</v>
      </c>
      <c r="N65" s="35" t="n">
        <v>0</v>
      </c>
      <c r="O65" s="34" t="n">
        <v>600</v>
      </c>
      <c r="P65" s="35" t="n">
        <v>600</v>
      </c>
      <c r="Q65" s="12">
        <f>K65+M65+O65</f>
        <v/>
      </c>
      <c r="R65" s="13">
        <f>L65+N65+P65</f>
        <v/>
      </c>
      <c r="S65" s="36">
        <f>R65-Q65</f>
        <v/>
      </c>
      <c r="T65" s="37" t="inlineStr"/>
    </row>
    <row r="66" ht="20" customHeight="1">
      <c r="B66" s="11" t="inlineStr">
        <is>
          <t>ESPAÑA</t>
        </is>
      </c>
      <c r="C66" s="31" t="inlineStr">
        <is>
          <t>GUIVARTO AGRICOLA, S.L.</t>
        </is>
      </c>
      <c r="D66" s="11" t="inlineStr">
        <is>
          <t>HST0005</t>
        </is>
      </c>
      <c r="E66" s="31" t="inlineStr">
        <is>
          <t>HIDROSTRESS, 5 L</t>
        </is>
      </c>
      <c r="F66" s="12" t="n">
        <v>0</v>
      </c>
      <c r="G66" s="13" t="n">
        <v>0</v>
      </c>
      <c r="H66" s="12">
        <f>ABS(G66-F66)</f>
        <v/>
      </c>
      <c r="I66" s="32">
        <f>IF(F66&gt;0, G66/F66, IF(G66&gt;0, 1.0, 0.0))</f>
        <v/>
      </c>
      <c r="J66" s="33" t="inlineStr"/>
      <c r="K66" s="34" t="n">
        <v>40</v>
      </c>
      <c r="L66" s="35" t="n">
        <v>40</v>
      </c>
      <c r="M66" s="34" t="n">
        <v>40</v>
      </c>
      <c r="N66" s="35" t="n">
        <v>40</v>
      </c>
      <c r="O66" s="34" t="n">
        <v>40</v>
      </c>
      <c r="P66" s="35" t="n">
        <v>40</v>
      </c>
      <c r="Q66" s="12">
        <f>K66+M66+O66</f>
        <v/>
      </c>
      <c r="R66" s="13">
        <f>L66+N66+P66</f>
        <v/>
      </c>
      <c r="S66" s="36">
        <f>R66-Q66</f>
        <v/>
      </c>
      <c r="T66" s="37" t="inlineStr"/>
    </row>
    <row r="67" ht="20" customHeight="1">
      <c r="B67" s="11" t="inlineStr">
        <is>
          <t>ESPAÑA</t>
        </is>
      </c>
      <c r="C67" s="31" t="inlineStr">
        <is>
          <t>GUIVARTO AGRICOLA, S.L.</t>
        </is>
      </c>
      <c r="D67" s="11" t="inlineStr">
        <is>
          <t>P-5X0005</t>
        </is>
      </c>
      <c r="E67" s="31" t="inlineStr">
        <is>
          <t>P.M.S. 5x, 5 L</t>
        </is>
      </c>
      <c r="F67" s="12" t="n">
        <v>0</v>
      </c>
      <c r="G67" s="13" t="n">
        <v>0</v>
      </c>
      <c r="H67" s="12">
        <f>ABS(G67-F67)</f>
        <v/>
      </c>
      <c r="I67" s="32">
        <f>IF(F67&gt;0, G67/F67, IF(G67&gt;0, 1.0, 0.0))</f>
        <v/>
      </c>
      <c r="J67" s="33" t="inlineStr"/>
      <c r="K67" s="34" t="n">
        <v>0</v>
      </c>
      <c r="L67" s="35" t="n">
        <v>0</v>
      </c>
      <c r="M67" s="34" t="n">
        <v>0</v>
      </c>
      <c r="N67" s="35" t="n">
        <v>0</v>
      </c>
      <c r="O67" s="34" t="n">
        <v>100</v>
      </c>
      <c r="P67" s="35" t="n">
        <v>100</v>
      </c>
      <c r="Q67" s="12">
        <f>K67+M67+O67</f>
        <v/>
      </c>
      <c r="R67" s="13">
        <f>L67+N67+P67</f>
        <v/>
      </c>
      <c r="S67" s="36">
        <f>R67-Q67</f>
        <v/>
      </c>
      <c r="T67" s="37" t="inlineStr"/>
    </row>
    <row r="68" ht="20" customHeight="1">
      <c r="B68" s="11" t="inlineStr">
        <is>
          <t>ESPAÑA</t>
        </is>
      </c>
      <c r="C68" s="31" t="inlineStr">
        <is>
          <t>GUIVARTO AGRICOLA, S.L.</t>
        </is>
      </c>
      <c r="D68" s="11" t="inlineStr">
        <is>
          <t>PT0005</t>
        </is>
      </c>
      <c r="E68" s="31" t="inlineStr">
        <is>
          <t>AGROPOTASION, 5 L</t>
        </is>
      </c>
      <c r="F68" s="12" t="n">
        <v>0</v>
      </c>
      <c r="G68" s="13" t="n">
        <v>0</v>
      </c>
      <c r="H68" s="12">
        <f>ABS(G68-F68)</f>
        <v/>
      </c>
      <c r="I68" s="32">
        <f>IF(F68&gt;0, G68/F68, IF(G68&gt;0, 1.0, 0.0))</f>
        <v/>
      </c>
      <c r="J68" s="33" t="inlineStr"/>
      <c r="K68" s="34" t="n">
        <v>0</v>
      </c>
      <c r="L68" s="35" t="n">
        <v>0</v>
      </c>
      <c r="M68" s="34" t="n">
        <v>100</v>
      </c>
      <c r="N68" s="35" t="n">
        <v>100</v>
      </c>
      <c r="O68" s="34" t="n">
        <v>200</v>
      </c>
      <c r="P68" s="35" t="n">
        <v>200</v>
      </c>
      <c r="Q68" s="12">
        <f>K68+M68+O68</f>
        <v/>
      </c>
      <c r="R68" s="13">
        <f>L68+N68+P68</f>
        <v/>
      </c>
      <c r="S68" s="36">
        <f>R68-Q68</f>
        <v/>
      </c>
      <c r="T68" s="37" t="inlineStr"/>
    </row>
    <row r="69" ht="20" customHeight="1">
      <c r="B69" s="11" t="inlineStr">
        <is>
          <t>ESPAÑA</t>
        </is>
      </c>
      <c r="C69" s="31" t="inlineStr">
        <is>
          <t>GUIVARTO AGRICOLA, S.L.</t>
        </is>
      </c>
      <c r="D69" s="11" t="inlineStr">
        <is>
          <t>S0020</t>
        </is>
      </c>
      <c r="E69" s="31" t="inlineStr">
        <is>
          <t>SALWAX STAR, 20 L</t>
        </is>
      </c>
      <c r="F69" s="12" t="n">
        <v>0</v>
      </c>
      <c r="G69" s="13" t="n">
        <v>0</v>
      </c>
      <c r="H69" s="12">
        <f>ABS(G69-F69)</f>
        <v/>
      </c>
      <c r="I69" s="32">
        <f>IF(F69&gt;0, G69/F69, IF(G69&gt;0, 1.0, 0.0))</f>
        <v/>
      </c>
      <c r="J69" s="33" t="inlineStr"/>
      <c r="K69" s="34" t="n">
        <v>640</v>
      </c>
      <c r="L69" s="35" t="n">
        <v>640</v>
      </c>
      <c r="M69" s="34" t="n">
        <v>0</v>
      </c>
      <c r="N69" s="35" t="n">
        <v>0</v>
      </c>
      <c r="O69" s="34" t="n">
        <v>0</v>
      </c>
      <c r="P69" s="35" t="n">
        <v>0</v>
      </c>
      <c r="Q69" s="12">
        <f>K69+M69+O69</f>
        <v/>
      </c>
      <c r="R69" s="13">
        <f>L69+N69+P69</f>
        <v/>
      </c>
      <c r="S69" s="36">
        <f>R69-Q69</f>
        <v/>
      </c>
      <c r="T69" s="37" t="inlineStr"/>
    </row>
    <row r="70" ht="20" customHeight="1">
      <c r="B70" s="11" t="inlineStr">
        <is>
          <t>ESPAÑA</t>
        </is>
      </c>
      <c r="C70" s="31" t="inlineStr">
        <is>
          <t>GUIVARTO AGRICOLA, S.L.</t>
        </is>
      </c>
      <c r="D70" s="11" t="inlineStr">
        <is>
          <t>TRI0005</t>
        </is>
      </c>
      <c r="E70" s="31" t="inlineStr">
        <is>
          <t>TRIFENO-94, 5L</t>
        </is>
      </c>
      <c r="F70" s="12" t="n">
        <v>0</v>
      </c>
      <c r="G70" s="13" t="n">
        <v>0</v>
      </c>
      <c r="H70" s="12">
        <f>ABS(G70-F70)</f>
        <v/>
      </c>
      <c r="I70" s="32">
        <f>IF(F70&gt;0, G70/F70, IF(G70&gt;0, 1.0, 0.0))</f>
        <v/>
      </c>
      <c r="J70" s="33" t="inlineStr"/>
      <c r="K70" s="34" t="n">
        <v>300</v>
      </c>
      <c r="L70" s="35" t="n">
        <v>300</v>
      </c>
      <c r="M70" s="34" t="n">
        <v>300</v>
      </c>
      <c r="N70" s="35" t="n">
        <v>300</v>
      </c>
      <c r="O70" s="34" t="n">
        <v>0</v>
      </c>
      <c r="P70" s="35" t="n">
        <v>0</v>
      </c>
      <c r="Q70" s="12">
        <f>K70+M70+O70</f>
        <v/>
      </c>
      <c r="R70" s="13">
        <f>L70+N70+P70</f>
        <v/>
      </c>
      <c r="S70" s="36">
        <f>R70-Q70</f>
        <v/>
      </c>
      <c r="T70" s="37" t="inlineStr"/>
    </row>
    <row r="71" ht="20" customHeight="1">
      <c r="B71" s="11" t="inlineStr">
        <is>
          <t>ESPAÑA</t>
        </is>
      </c>
      <c r="C71" s="31" t="inlineStr">
        <is>
          <t>SUCA, S.C.A.</t>
        </is>
      </c>
      <c r="D71" s="11" t="inlineStr">
        <is>
          <t>AGXK0020</t>
        </is>
      </c>
      <c r="E71" s="31" t="inlineStr">
        <is>
          <t>AGROXILATO-K, 20 L</t>
        </is>
      </c>
      <c r="F71" s="12" t="n">
        <v>0</v>
      </c>
      <c r="G71" s="13" t="n">
        <v>640</v>
      </c>
      <c r="H71" s="12">
        <f>ABS(G71-F71)</f>
        <v/>
      </c>
      <c r="I71" s="32">
        <f>IF(F71&gt;0, G71/F71, IF(G71&gt;0, 1.0, 0.0))</f>
        <v/>
      </c>
      <c r="J71" s="33" t="inlineStr">
        <is>
          <t>Pedido extra no previsto</t>
        </is>
      </c>
      <c r="K71" s="34" t="n">
        <v>2760</v>
      </c>
      <c r="L71" s="35" t="n">
        <v>2760</v>
      </c>
      <c r="M71" s="34" t="n">
        <v>1280</v>
      </c>
      <c r="N71" s="35" t="n">
        <v>1280</v>
      </c>
      <c r="O71" s="34" t="n">
        <v>1280</v>
      </c>
      <c r="P71" s="35" t="n">
        <v>1280</v>
      </c>
      <c r="Q71" s="12">
        <f>K71+M71+O71</f>
        <v/>
      </c>
      <c r="R71" s="13">
        <f>L71+N71+P71</f>
        <v/>
      </c>
      <c r="S71" s="36">
        <f>R71-Q71</f>
        <v/>
      </c>
      <c r="T71" s="37" t="inlineStr"/>
    </row>
    <row r="72" ht="20" customHeight="1">
      <c r="B72" s="11" t="inlineStr">
        <is>
          <t>ESPAÑA</t>
        </is>
      </c>
      <c r="C72" s="31" t="inlineStr">
        <is>
          <t>SUCA, S.C.A.</t>
        </is>
      </c>
      <c r="D72" s="11" t="inlineStr">
        <is>
          <t>AGXK0200</t>
        </is>
      </c>
      <c r="E72" s="31" t="inlineStr">
        <is>
          <t>AGROXILATO-K, 200 L</t>
        </is>
      </c>
      <c r="F72" s="12" t="n">
        <v>0</v>
      </c>
      <c r="G72" s="13" t="n">
        <v>0</v>
      </c>
      <c r="H72" s="12">
        <f>ABS(G72-F72)</f>
        <v/>
      </c>
      <c r="I72" s="32">
        <f>IF(F72&gt;0, G72/F72, IF(G72&gt;0, 1.0, 0.0))</f>
        <v/>
      </c>
      <c r="J72" s="33" t="inlineStr"/>
      <c r="K72" s="34" t="n">
        <v>0</v>
      </c>
      <c r="L72" s="35" t="n">
        <v>0</v>
      </c>
      <c r="M72" s="34" t="n">
        <v>0</v>
      </c>
      <c r="N72" s="35" t="n">
        <v>0</v>
      </c>
      <c r="O72" s="34" t="n">
        <v>200</v>
      </c>
      <c r="P72" s="35" t="n">
        <v>200</v>
      </c>
      <c r="Q72" s="12">
        <f>K72+M72+O72</f>
        <v/>
      </c>
      <c r="R72" s="13">
        <f>L72+N72+P72</f>
        <v/>
      </c>
      <c r="S72" s="36">
        <f>R72-Q72</f>
        <v/>
      </c>
      <c r="T72" s="37" t="inlineStr"/>
    </row>
    <row r="73" ht="20" customHeight="1">
      <c r="B73" s="11" t="inlineStr">
        <is>
          <t>ESPAÑA</t>
        </is>
      </c>
      <c r="C73" s="31" t="inlineStr">
        <is>
          <t>SUCA, S.C.A.</t>
        </is>
      </c>
      <c r="D73" s="11" t="inlineStr">
        <is>
          <t>AVAN0020</t>
        </is>
      </c>
      <c r="E73" s="31" t="inlineStr">
        <is>
          <t>FLORAMEC AVANCE, 20 L</t>
        </is>
      </c>
      <c r="F73" s="12" t="n">
        <v>0</v>
      </c>
      <c r="G73" s="13" t="n">
        <v>200</v>
      </c>
      <c r="H73" s="12">
        <f>ABS(G73-F73)</f>
        <v/>
      </c>
      <c r="I73" s="32">
        <f>IF(F73&gt;0, G73/F73, IF(G73&gt;0, 1.0, 0.0))</f>
        <v/>
      </c>
      <c r="J73" s="33" t="inlineStr">
        <is>
          <t>Pedido extra no previsto</t>
        </is>
      </c>
      <c r="K73" s="34" t="n">
        <v>0</v>
      </c>
      <c r="L73" s="35" t="n">
        <v>0</v>
      </c>
      <c r="M73" s="34" t="n">
        <v>0</v>
      </c>
      <c r="N73" s="35" t="n">
        <v>0</v>
      </c>
      <c r="O73" s="34" t="n">
        <v>200</v>
      </c>
      <c r="P73" s="35" t="n">
        <v>200</v>
      </c>
      <c r="Q73" s="12">
        <f>K73+M73+O73</f>
        <v/>
      </c>
      <c r="R73" s="13">
        <f>L73+N73+P73</f>
        <v/>
      </c>
      <c r="S73" s="36">
        <f>R73-Q73</f>
        <v/>
      </c>
      <c r="T73" s="37" t="inlineStr"/>
    </row>
    <row r="74" ht="25" customHeight="1">
      <c r="B74" s="38" t="inlineStr">
        <is>
          <t>TOTAL CONSOLIDADO - IRENE (UNIDADES)</t>
        </is>
      </c>
      <c r="C74" s="39" t="n"/>
      <c r="D74" s="39" t="n"/>
      <c r="E74" s="39" t="n"/>
      <c r="F74" s="19">
        <f>SUM(F10:F73)</f>
        <v/>
      </c>
      <c r="G74" s="19">
        <f>SUM(G10:G73)</f>
        <v/>
      </c>
      <c r="H74" s="19">
        <f>SUM(H10:H73)</f>
        <v/>
      </c>
      <c r="I74" s="20">
        <f>IF(F74&gt;0, G74/F74, 1.0)</f>
        <v/>
      </c>
      <c r="J74" s="40" t="n"/>
      <c r="K74" s="19">
        <f>SUM(K10:K73)</f>
        <v/>
      </c>
      <c r="L74" s="19">
        <f>SUM(L10:L73)</f>
        <v/>
      </c>
      <c r="M74" s="19">
        <f>SUM(M10:M73)</f>
        <v/>
      </c>
      <c r="N74" s="19">
        <f>SUM(N10:N73)</f>
        <v/>
      </c>
      <c r="O74" s="19">
        <f>SUM(O10:O73)</f>
        <v/>
      </c>
      <c r="P74" s="19">
        <f>SUM(P10:P73)</f>
        <v/>
      </c>
      <c r="Q74" s="19">
        <f>SUM(Q10:Q73)</f>
        <v/>
      </c>
      <c r="R74" s="19">
        <f>SUM(R10:R73)</f>
        <v/>
      </c>
      <c r="S74" s="41">
        <f>SUM(S10:S73)</f>
        <v/>
      </c>
      <c r="T74" s="40" t="n"/>
    </row>
  </sheetData>
  <mergeCells count="20">
    <mergeCell ref="B74:E74"/>
    <mergeCell ref="N5:P5"/>
    <mergeCell ref="E6:G6"/>
    <mergeCell ref="K8:P8"/>
    <mergeCell ref="B4:T4"/>
    <mergeCell ref="B6:D6"/>
    <mergeCell ref="F8:J8"/>
    <mergeCell ref="N6:P6"/>
    <mergeCell ref="B3:T3"/>
    <mergeCell ref="B5:D5"/>
    <mergeCell ref="Q8:T8"/>
    <mergeCell ref="K6:M6"/>
    <mergeCell ref="H5:J5"/>
    <mergeCell ref="Q5:T5"/>
    <mergeCell ref="B2:T2"/>
    <mergeCell ref="B8:E8"/>
    <mergeCell ref="E5:G5"/>
    <mergeCell ref="K5:M5"/>
    <mergeCell ref="Q6:T6"/>
    <mergeCell ref="H6:J6"/>
  </mergeCells>
  <dataValidations count="1">
    <dataValidation sqref="J10:J43 J10:J127" showDropDown="0" showInputMessage="0" showErrorMessage="0" allowBlank="1" errorTitle="Motivo de Desviación" error="Por favor seleccione un motivo de la lista o escriba su comentario" type="list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T8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14" customWidth="1" min="4" max="4"/>
    <col width="32" customWidth="1" min="5" max="5"/>
    <col width="16" customWidth="1" min="6" max="6"/>
    <col width="15" customWidth="1" min="7" max="7"/>
    <col width="14" customWidth="1" min="8" max="8"/>
    <col width="13" customWidth="1" min="9" max="9"/>
    <col width="32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  <col width="17" customWidth="1" min="17" max="17"/>
    <col width="17" customWidth="1" min="18" max="18"/>
    <col width="15" customWidth="1" min="19" max="19"/>
    <col width="34" customWidth="1" min="20" max="20"/>
  </cols>
  <sheetData>
    <row r="2" ht="36" customHeight="1">
      <c r="B2" s="1" t="inlineStr">
        <is>
          <t>CODIAGRO · ACTUALIZACIÓN DE PREVISIONES COMERCIALES Q4 2026 (OCTUBRE - DICIEMBRE)</t>
        </is>
      </c>
    </row>
    <row r="3" ht="20" customHeight="1">
      <c r="B3" s="2" t="inlineStr">
        <is>
          <t>DELEGADO COMERCIAL: JAVIER | Cierre Septiembre Oficial (01/10/2026) vs Previsiones a Final de Año | Generado: 01/10/2026 14:17</t>
        </is>
      </c>
    </row>
    <row r="4" ht="26" customHeight="1">
      <c r="B4" s="21" t="inlineStr">
        <is>
      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      </is>
      </c>
    </row>
    <row r="5" ht="16" customHeight="1">
      <c r="B5" s="22" t="inlineStr">
        <is>
          <t>PREVISTO SEP 2026 (U)</t>
        </is>
      </c>
      <c r="C5" s="23" t="n"/>
      <c r="D5" s="23" t="n"/>
      <c r="E5" s="24" t="inlineStr">
        <is>
          <t>REAL PEDIDOS SEP 2026 (U)</t>
        </is>
      </c>
      <c r="F5" s="23" t="n"/>
      <c r="G5" s="23" t="n"/>
      <c r="H5" s="25" t="inlineStr">
        <is>
          <t>% CONSECUCIÓN SEP</t>
        </is>
      </c>
      <c r="I5" s="23" t="n"/>
      <c r="J5" s="23" t="n"/>
      <c r="K5" s="22" t="inlineStr">
        <is>
          <t>PREVISIÓN INICIAL Q4 (U)</t>
        </is>
      </c>
      <c r="L5" s="23" t="n"/>
      <c r="M5" s="23" t="n"/>
      <c r="N5" s="24" t="inlineStr">
        <is>
          <t>PREVISIÓN REVISADA Q4 (U)</t>
        </is>
      </c>
      <c r="O5" s="23" t="n"/>
      <c r="P5" s="23" t="n"/>
      <c r="Q5" s="26" t="inlineStr">
        <is>
          <t>VARIACIÓN NETA Q4 (U)</t>
        </is>
      </c>
      <c r="R5" s="23" t="n"/>
      <c r="S5" s="23" t="n"/>
      <c r="T5" s="23" t="n"/>
    </row>
    <row r="6" ht="26" customHeight="1">
      <c r="B6" s="27">
        <f>F82</f>
        <v/>
      </c>
      <c r="C6" s="23" t="n"/>
      <c r="D6" s="23" t="n"/>
      <c r="E6" s="28">
        <f>G82</f>
        <v/>
      </c>
      <c r="F6" s="23" t="n"/>
      <c r="G6" s="23" t="n"/>
      <c r="H6" s="29">
        <f>I82</f>
        <v/>
      </c>
      <c r="I6" s="23" t="n"/>
      <c r="J6" s="23" t="n"/>
      <c r="K6" s="27">
        <f>Q82</f>
        <v/>
      </c>
      <c r="L6" s="23" t="n"/>
      <c r="M6" s="23" t="n"/>
      <c r="N6" s="28">
        <f>R82</f>
        <v/>
      </c>
      <c r="O6" s="23" t="n"/>
      <c r="P6" s="23" t="n"/>
      <c r="Q6" s="30">
        <f>S82</f>
        <v/>
      </c>
      <c r="R6" s="23" t="n"/>
      <c r="S6" s="23" t="n"/>
      <c r="T6" s="23" t="n"/>
    </row>
    <row r="8" ht="22" customHeight="1">
      <c r="B8" s="3" t="inlineStr">
        <is>
          <t>DATOS CLIENTE Y ARTÍCULO</t>
        </is>
      </c>
      <c r="F8" s="4" t="inlineStr">
        <is>
          <t>CIERRE SEPTIEMBRE 2026 (CALIBRACIÓN Y ANÁLISIS)</t>
        </is>
      </c>
      <c r="K8" s="5" t="inlineStr">
        <is>
          <t>REVISIÓN PREVISIONES MES A MES (HASTA FINAL DE AÑO 2026)</t>
        </is>
      </c>
      <c r="Q8" s="6" t="inlineStr">
        <is>
          <t>IMPACTO Q4 Y JUSTIFICACIÓN</t>
        </is>
      </c>
    </row>
    <row r="9" ht="28" customHeight="1">
      <c r="B9" s="7" t="inlineStr">
        <is>
          <t>País</t>
        </is>
      </c>
      <c r="C9" s="7" t="inlineStr">
        <is>
          <t>Cliente</t>
        </is>
      </c>
      <c r="D9" s="7" t="inlineStr">
        <is>
          <t>Cód. SKU</t>
        </is>
      </c>
      <c r="E9" s="7" t="inlineStr">
        <is>
          <t>Descripción Artículo</t>
        </is>
      </c>
      <c r="F9" s="8" t="inlineStr">
        <is>
          <t>Sep Previsto (u)</t>
        </is>
      </c>
      <c r="G9" s="8" t="inlineStr">
        <is>
          <t>Sep Real (u)</t>
        </is>
      </c>
      <c r="H9" s="8" t="inlineStr">
        <is>
          <t>Desv. Sep (u)</t>
        </is>
      </c>
      <c r="I9" s="8" t="inlineStr">
        <is>
          <t>% Consec.</t>
        </is>
      </c>
      <c r="J9" s="8" t="inlineStr">
        <is>
          <t>Comentario Sep (¿Adelanto/Atraso/Extra?)</t>
        </is>
      </c>
      <c r="K9" s="9" t="inlineStr">
        <is>
          <t>Oct Anterior (u)</t>
        </is>
      </c>
      <c r="L9" s="9" t="inlineStr">
        <is>
          <t>Oct Revisado (u)</t>
        </is>
      </c>
      <c r="M9" s="9" t="inlineStr">
        <is>
          <t>Nov Anterior (u)</t>
        </is>
      </c>
      <c r="N9" s="9" t="inlineStr">
        <is>
          <t>Nov Revisado (u)</t>
        </is>
      </c>
      <c r="O9" s="9" t="inlineStr">
        <is>
          <t>Dic Anterior (u)</t>
        </is>
      </c>
      <c r="P9" s="9" t="inlineStr">
        <is>
          <t>Dic Revisado (u)</t>
        </is>
      </c>
      <c r="Q9" s="7" t="inlineStr">
        <is>
          <t>Total Q4 Ant (u)</t>
        </is>
      </c>
      <c r="R9" s="7" t="inlineStr">
        <is>
          <t>Total Q4 Rev (u)</t>
        </is>
      </c>
      <c r="S9" s="7" t="inlineStr">
        <is>
          <t>Dif Q4 (u)</t>
        </is>
      </c>
      <c r="T9" s="7" t="inlineStr">
        <is>
          <t>Comentarios / Justificación Q4</t>
        </is>
      </c>
    </row>
    <row r="10" ht="20" customHeight="1">
      <c r="B10" s="11" t="inlineStr">
        <is>
          <t>ESPAÑA</t>
        </is>
      </c>
      <c r="C10" s="31" t="inlineStr">
        <is>
          <t>AGROQUIMICAS DRAGO S.L.</t>
        </is>
      </c>
      <c r="D10" s="11" t="inlineStr">
        <is>
          <t>AGXK0020</t>
        </is>
      </c>
      <c r="E10" s="31" t="inlineStr">
        <is>
          <t>AGROXILATO-K, 20 L</t>
        </is>
      </c>
      <c r="F10" s="12" t="n">
        <v>0</v>
      </c>
      <c r="G10" s="13" t="n">
        <v>0</v>
      </c>
      <c r="H10" s="12">
        <f>ABS(G10-F10)</f>
        <v/>
      </c>
      <c r="I10" s="32">
        <f>IF(F10&gt;0, G10/F10, IF(G10&gt;0, 1.0, 0.0))</f>
        <v/>
      </c>
      <c r="J10" s="33" t="inlineStr"/>
      <c r="K10" s="34" t="n">
        <v>640</v>
      </c>
      <c r="L10" s="35" t="n">
        <v>640</v>
      </c>
      <c r="M10" s="34" t="n">
        <v>1280</v>
      </c>
      <c r="N10" s="35" t="n">
        <v>1280</v>
      </c>
      <c r="O10" s="34" t="n">
        <v>640</v>
      </c>
      <c r="P10" s="35" t="n">
        <v>640</v>
      </c>
      <c r="Q10" s="12">
        <f>K10+M10+O10</f>
        <v/>
      </c>
      <c r="R10" s="13">
        <f>L10+N10+P10</f>
        <v/>
      </c>
      <c r="S10" s="36">
        <f>R10-Q10</f>
        <v/>
      </c>
      <c r="T10" s="37" t="inlineStr"/>
    </row>
    <row r="11" ht="20" customHeight="1">
      <c r="B11" s="11" t="inlineStr">
        <is>
          <t>ESPAÑA</t>
        </is>
      </c>
      <c r="C11" s="31" t="inlineStr">
        <is>
          <t>AGROQUIMICAS DRAGO S.L.</t>
        </is>
      </c>
      <c r="D11" s="11" t="inlineStr">
        <is>
          <t>AGXK0200</t>
        </is>
      </c>
      <c r="E11" s="31" t="inlineStr">
        <is>
          <t>AGROXILATO-K, 200 L</t>
        </is>
      </c>
      <c r="F11" s="12" t="n">
        <v>1600</v>
      </c>
      <c r="G11" s="13" t="n">
        <v>3200</v>
      </c>
      <c r="H11" s="12">
        <f>ABS(G11-F11)</f>
        <v/>
      </c>
      <c r="I11" s="32">
        <f>IF(F11&gt;0, G11/F11, IF(G11&gt;0, 1.0, 0.0))</f>
        <v/>
      </c>
      <c r="J11" s="33" t="inlineStr"/>
      <c r="K11" s="34" t="n">
        <v>1600</v>
      </c>
      <c r="L11" s="35" t="n">
        <v>1600</v>
      </c>
      <c r="M11" s="34" t="n">
        <v>1600</v>
      </c>
      <c r="N11" s="35" t="n">
        <v>1600</v>
      </c>
      <c r="O11" s="34" t="n">
        <v>1600</v>
      </c>
      <c r="P11" s="35" t="n">
        <v>1600</v>
      </c>
      <c r="Q11" s="12">
        <f>K11+M11+O11</f>
        <v/>
      </c>
      <c r="R11" s="13">
        <f>L11+N11+P11</f>
        <v/>
      </c>
      <c r="S11" s="36">
        <f>R11-Q11</f>
        <v/>
      </c>
      <c r="T11" s="37" t="inlineStr"/>
    </row>
    <row r="12" ht="20" customHeight="1">
      <c r="B12" s="11" t="inlineStr">
        <is>
          <t>ESPAÑA</t>
        </is>
      </c>
      <c r="C12" s="31" t="inlineStr">
        <is>
          <t>AGROQUIMICAS DRAGO S.L.</t>
        </is>
      </c>
      <c r="D12" s="11" t="inlineStr">
        <is>
          <t>AGXK1000</t>
        </is>
      </c>
      <c r="E12" s="31" t="inlineStr">
        <is>
          <t>AGROXILATO-K, 1000 L</t>
        </is>
      </c>
      <c r="F12" s="12" t="n">
        <v>0</v>
      </c>
      <c r="G12" s="13" t="n">
        <v>1000</v>
      </c>
      <c r="H12" s="12">
        <f>ABS(G12-F12)</f>
        <v/>
      </c>
      <c r="I12" s="32">
        <f>IF(F12&gt;0, G12/F12, IF(G12&gt;0, 1.0, 0.0))</f>
        <v/>
      </c>
      <c r="J12" s="33" t="inlineStr">
        <is>
          <t>Pedido extra no previsto</t>
        </is>
      </c>
      <c r="K12" s="34" t="n">
        <v>0</v>
      </c>
      <c r="L12" s="35" t="n">
        <v>0</v>
      </c>
      <c r="M12" s="34" t="n">
        <v>0</v>
      </c>
      <c r="N12" s="35" t="n">
        <v>0</v>
      </c>
      <c r="O12" s="34" t="n">
        <v>0</v>
      </c>
      <c r="P12" s="35" t="n">
        <v>0</v>
      </c>
      <c r="Q12" s="12">
        <f>K12+M12+O12</f>
        <v/>
      </c>
      <c r="R12" s="13">
        <f>L12+N12+P12</f>
        <v/>
      </c>
      <c r="S12" s="36">
        <f>R12-Q12</f>
        <v/>
      </c>
      <c r="T12" s="37" t="inlineStr"/>
    </row>
    <row r="13" ht="20" customHeight="1">
      <c r="B13" s="11" t="inlineStr">
        <is>
          <t>ESPAÑA</t>
        </is>
      </c>
      <c r="C13" s="31" t="inlineStr">
        <is>
          <t>AGROQUIMICAS DRAGO S.L.</t>
        </is>
      </c>
      <c r="D13" s="11" t="inlineStr">
        <is>
          <t>AN0020</t>
        </is>
      </c>
      <c r="E13" s="31" t="inlineStr">
        <is>
          <t>ALCAPLANT NEW, 20 KG</t>
        </is>
      </c>
      <c r="F13" s="12" t="n">
        <v>1100</v>
      </c>
      <c r="G13" s="13" t="n">
        <v>1100</v>
      </c>
      <c r="H13" s="12">
        <f>ABS(G13-F13)</f>
        <v/>
      </c>
      <c r="I13" s="32">
        <f>IF(F13&gt;0, G13/F13, IF(G13&gt;0, 1.0, 0.0))</f>
        <v/>
      </c>
      <c r="J13" s="33" t="inlineStr"/>
      <c r="K13" s="34" t="n">
        <v>2200</v>
      </c>
      <c r="L13" s="35" t="n">
        <v>2200</v>
      </c>
      <c r="M13" s="34" t="n">
        <v>1100</v>
      </c>
      <c r="N13" s="35" t="n">
        <v>1100</v>
      </c>
      <c r="O13" s="34" t="n">
        <v>0</v>
      </c>
      <c r="P13" s="35" t="n">
        <v>0</v>
      </c>
      <c r="Q13" s="12">
        <f>K13+M13+O13</f>
        <v/>
      </c>
      <c r="R13" s="13">
        <f>L13+N13+P13</f>
        <v/>
      </c>
      <c r="S13" s="36">
        <f>R13-Q13</f>
        <v/>
      </c>
      <c r="T13" s="37" t="inlineStr"/>
    </row>
    <row r="14" ht="20" customHeight="1">
      <c r="B14" s="11" t="inlineStr">
        <is>
          <t>ESPAÑA</t>
        </is>
      </c>
      <c r="C14" s="31" t="inlineStr">
        <is>
          <t>AGROQUIMICAS DRAGO S.L.</t>
        </is>
      </c>
      <c r="D14" s="11" t="inlineStr">
        <is>
          <t>AVAN0020</t>
        </is>
      </c>
      <c r="E14" s="31" t="inlineStr">
        <is>
          <t>FLORAMEC AVANCE, 20 L</t>
        </is>
      </c>
      <c r="F14" s="12" t="n">
        <v>0</v>
      </c>
      <c r="G14" s="13" t="n">
        <v>0</v>
      </c>
      <c r="H14" s="12">
        <f>ABS(G14-F14)</f>
        <v/>
      </c>
      <c r="I14" s="32">
        <f>IF(F14&gt;0, G14/F14, IF(G14&gt;0, 1.0, 0.0))</f>
        <v/>
      </c>
      <c r="J14" s="33" t="inlineStr"/>
      <c r="K14" s="34" t="n">
        <v>300</v>
      </c>
      <c r="L14" s="35" t="n">
        <v>300</v>
      </c>
      <c r="M14" s="34" t="n">
        <v>300</v>
      </c>
      <c r="N14" s="35" t="n">
        <v>300</v>
      </c>
      <c r="O14" s="34" t="n">
        <v>0</v>
      </c>
      <c r="P14" s="35" t="n">
        <v>0</v>
      </c>
      <c r="Q14" s="12">
        <f>K14+M14+O14</f>
        <v/>
      </c>
      <c r="R14" s="13">
        <f>L14+N14+P14</f>
        <v/>
      </c>
      <c r="S14" s="36">
        <f>R14-Q14</f>
        <v/>
      </c>
      <c r="T14" s="37" t="inlineStr"/>
    </row>
    <row r="15" ht="20" customHeight="1">
      <c r="B15" s="11" t="inlineStr">
        <is>
          <t>ESPAÑA</t>
        </is>
      </c>
      <c r="C15" s="31" t="inlineStr">
        <is>
          <t>AGROQUIMICAS DRAGO S.L.</t>
        </is>
      </c>
      <c r="D15" s="11" t="inlineStr">
        <is>
          <t>B0005</t>
        </is>
      </c>
      <c r="E15" s="31" t="inlineStr">
        <is>
          <t>BOROCAL, 5 L</t>
        </is>
      </c>
      <c r="F15" s="12" t="n">
        <v>0</v>
      </c>
      <c r="G15" s="13" t="n">
        <v>40</v>
      </c>
      <c r="H15" s="12">
        <f>ABS(G15-F15)</f>
        <v/>
      </c>
      <c r="I15" s="32">
        <f>IF(F15&gt;0, G15/F15, IF(G15&gt;0, 1.0, 0.0))</f>
        <v/>
      </c>
      <c r="J15" s="33" t="inlineStr">
        <is>
          <t>Pedido extra no previsto</t>
        </is>
      </c>
      <c r="K15" s="34" t="n">
        <v>0</v>
      </c>
      <c r="L15" s="35" t="n">
        <v>0</v>
      </c>
      <c r="M15" s="34" t="n">
        <v>0</v>
      </c>
      <c r="N15" s="35" t="n">
        <v>0</v>
      </c>
      <c r="O15" s="34" t="n">
        <v>0</v>
      </c>
      <c r="P15" s="35" t="n">
        <v>0</v>
      </c>
      <c r="Q15" s="12">
        <f>K15+M15+O15</f>
        <v/>
      </c>
      <c r="R15" s="13">
        <f>L15+N15+P15</f>
        <v/>
      </c>
      <c r="S15" s="36">
        <f>R15-Q15</f>
        <v/>
      </c>
      <c r="T15" s="37" t="inlineStr"/>
    </row>
    <row r="16" ht="20" customHeight="1">
      <c r="B16" s="11" t="inlineStr">
        <is>
          <t>ESPAÑA</t>
        </is>
      </c>
      <c r="C16" s="31" t="inlineStr">
        <is>
          <t>AGROQUIMICAS DRAGO S.L.</t>
        </is>
      </c>
      <c r="D16" s="11" t="inlineStr">
        <is>
          <t>B0020</t>
        </is>
      </c>
      <c r="E16" s="31" t="inlineStr">
        <is>
          <t>BOROCAL, 20 L</t>
        </is>
      </c>
      <c r="F16" s="12" t="n">
        <v>0</v>
      </c>
      <c r="G16" s="13" t="n">
        <v>100</v>
      </c>
      <c r="H16" s="12">
        <f>ABS(G16-F16)</f>
        <v/>
      </c>
      <c r="I16" s="32">
        <f>IF(F16&gt;0, G16/F16, IF(G16&gt;0, 1.0, 0.0))</f>
        <v/>
      </c>
      <c r="J16" s="33" t="inlineStr">
        <is>
          <t>Pedido extra no previsto</t>
        </is>
      </c>
      <c r="K16" s="34" t="n">
        <v>0</v>
      </c>
      <c r="L16" s="35" t="n">
        <v>0</v>
      </c>
      <c r="M16" s="34" t="n">
        <v>0</v>
      </c>
      <c r="N16" s="35" t="n">
        <v>0</v>
      </c>
      <c r="O16" s="34" t="n">
        <v>0</v>
      </c>
      <c r="P16" s="35" t="n">
        <v>0</v>
      </c>
      <c r="Q16" s="12">
        <f>K16+M16+O16</f>
        <v/>
      </c>
      <c r="R16" s="13">
        <f>L16+N16+P16</f>
        <v/>
      </c>
      <c r="S16" s="36">
        <f>R16-Q16</f>
        <v/>
      </c>
      <c r="T16" s="37" t="inlineStr"/>
    </row>
    <row r="17" ht="20" customHeight="1">
      <c r="B17" s="11" t="inlineStr">
        <is>
          <t>ESPAÑA</t>
        </is>
      </c>
      <c r="C17" s="31" t="inlineStr">
        <is>
          <t>AGROQUIMICAS DRAGO S.L.</t>
        </is>
      </c>
      <c r="D17" s="11" t="inlineStr">
        <is>
          <t>BIO0020</t>
        </is>
      </c>
      <c r="E17" s="31" t="inlineStr">
        <is>
          <t>BIORAD-20, 20 L</t>
        </is>
      </c>
      <c r="F17" s="12" t="n">
        <v>0</v>
      </c>
      <c r="G17" s="13" t="n">
        <v>0</v>
      </c>
      <c r="H17" s="12">
        <f>ABS(G17-F17)</f>
        <v/>
      </c>
      <c r="I17" s="32">
        <f>IF(F17&gt;0, G17/F17, IF(G17&gt;0, 1.0, 0.0))</f>
        <v/>
      </c>
      <c r="J17" s="33" t="inlineStr"/>
      <c r="K17" s="34" t="n">
        <v>640</v>
      </c>
      <c r="L17" s="35" t="n">
        <v>640</v>
      </c>
      <c r="M17" s="34" t="n">
        <v>640</v>
      </c>
      <c r="N17" s="35" t="n">
        <v>640</v>
      </c>
      <c r="O17" s="34" t="n">
        <v>0</v>
      </c>
      <c r="P17" s="35" t="n">
        <v>0</v>
      </c>
      <c r="Q17" s="12">
        <f>K17+M17+O17</f>
        <v/>
      </c>
      <c r="R17" s="13">
        <f>L17+N17+P17</f>
        <v/>
      </c>
      <c r="S17" s="36">
        <f>R17-Q17</f>
        <v/>
      </c>
      <c r="T17" s="37" t="inlineStr"/>
    </row>
    <row r="18" ht="20" customHeight="1">
      <c r="B18" s="11" t="inlineStr">
        <is>
          <t>ESPAÑA</t>
        </is>
      </c>
      <c r="C18" s="31" t="inlineStr">
        <is>
          <t>AGROQUIMICAS DRAGO S.L.</t>
        </is>
      </c>
      <c r="D18" s="11" t="inlineStr">
        <is>
          <t>C-CU0005</t>
        </is>
      </c>
      <c r="E18" s="31" t="inlineStr">
        <is>
          <t>CODICOBRE, 5 L</t>
        </is>
      </c>
      <c r="F18" s="12" t="n">
        <v>0</v>
      </c>
      <c r="G18" s="13" t="n">
        <v>0</v>
      </c>
      <c r="H18" s="12">
        <f>ABS(G18-F18)</f>
        <v/>
      </c>
      <c r="I18" s="32">
        <f>IF(F18&gt;0, G18/F18, IF(G18&gt;0, 1.0, 0.0))</f>
        <v/>
      </c>
      <c r="J18" s="33" t="inlineStr"/>
      <c r="K18" s="34" t="n">
        <v>100</v>
      </c>
      <c r="L18" s="35" t="n">
        <v>100</v>
      </c>
      <c r="M18" s="34" t="n">
        <v>300</v>
      </c>
      <c r="N18" s="35" t="n">
        <v>300</v>
      </c>
      <c r="O18" s="34" t="n">
        <v>0</v>
      </c>
      <c r="P18" s="35" t="n">
        <v>0</v>
      </c>
      <c r="Q18" s="12">
        <f>K18+M18+O18</f>
        <v/>
      </c>
      <c r="R18" s="13">
        <f>L18+N18+P18</f>
        <v/>
      </c>
      <c r="S18" s="36">
        <f>R18-Q18</f>
        <v/>
      </c>
      <c r="T18" s="37" t="inlineStr"/>
    </row>
    <row r="19" ht="20" customHeight="1">
      <c r="B19" s="11" t="inlineStr">
        <is>
          <t>ESPAÑA</t>
        </is>
      </c>
      <c r="C19" s="31" t="inlineStr">
        <is>
          <t>AGROQUIMICAS DRAGO S.L.</t>
        </is>
      </c>
      <c r="D19" s="11" t="inlineStr">
        <is>
          <t>CALCIO0020</t>
        </is>
      </c>
      <c r="E19" s="31" t="inlineStr">
        <is>
          <t>CALCIAMEC, 20 KG</t>
        </is>
      </c>
      <c r="F19" s="12" t="n">
        <v>0</v>
      </c>
      <c r="G19" s="13" t="n">
        <v>60</v>
      </c>
      <c r="H19" s="12">
        <f>ABS(G19-F19)</f>
        <v/>
      </c>
      <c r="I19" s="32">
        <f>IF(F19&gt;0, G19/F19, IF(G19&gt;0, 1.0, 0.0))</f>
        <v/>
      </c>
      <c r="J19" s="33" t="inlineStr">
        <is>
          <t>Pedido extra no previsto</t>
        </is>
      </c>
      <c r="K19" s="34" t="n">
        <v>0</v>
      </c>
      <c r="L19" s="35" t="n">
        <v>0</v>
      </c>
      <c r="M19" s="34" t="n">
        <v>200</v>
      </c>
      <c r="N19" s="35" t="n">
        <v>200</v>
      </c>
      <c r="O19" s="34" t="n">
        <v>0</v>
      </c>
      <c r="P19" s="35" t="n">
        <v>0</v>
      </c>
      <c r="Q19" s="12">
        <f>K19+M19+O19</f>
        <v/>
      </c>
      <c r="R19" s="13">
        <f>L19+N19+P19</f>
        <v/>
      </c>
      <c r="S19" s="36">
        <f>R19-Q19</f>
        <v/>
      </c>
      <c r="T19" s="37" t="inlineStr"/>
    </row>
    <row r="20" ht="20" customHeight="1">
      <c r="B20" s="11" t="inlineStr">
        <is>
          <t>ESPAÑA</t>
        </is>
      </c>
      <c r="C20" s="31" t="inlineStr">
        <is>
          <t>AGROQUIMICAS DRAGO S.L.</t>
        </is>
      </c>
      <c r="D20" s="11" t="inlineStr">
        <is>
          <t>CM3M0005</t>
        </is>
      </c>
      <c r="E20" s="31" t="inlineStr">
        <is>
          <t>TENSOLINE-MAX, 5 L</t>
        </is>
      </c>
      <c r="F20" s="12" t="n">
        <v>0</v>
      </c>
      <c r="G20" s="13" t="n">
        <v>60</v>
      </c>
      <c r="H20" s="12">
        <f>ABS(G20-F20)</f>
        <v/>
      </c>
      <c r="I20" s="32">
        <f>IF(F20&gt;0, G20/F20, IF(G20&gt;0, 1.0, 0.0))</f>
        <v/>
      </c>
      <c r="J20" s="33" t="inlineStr">
        <is>
          <t>Pedido extra no previsto</t>
        </is>
      </c>
      <c r="K20" s="34" t="n">
        <v>0</v>
      </c>
      <c r="L20" s="35" t="n">
        <v>0</v>
      </c>
      <c r="M20" s="34" t="n">
        <v>0</v>
      </c>
      <c r="N20" s="35" t="n">
        <v>0</v>
      </c>
      <c r="O20" s="34" t="n">
        <v>0</v>
      </c>
      <c r="P20" s="35" t="n">
        <v>0</v>
      </c>
      <c r="Q20" s="12">
        <f>K20+M20+O20</f>
        <v/>
      </c>
      <c r="R20" s="13">
        <f>L20+N20+P20</f>
        <v/>
      </c>
      <c r="S20" s="36">
        <f>R20-Q20</f>
        <v/>
      </c>
      <c r="T20" s="37" t="inlineStr"/>
    </row>
    <row r="21" ht="20" customHeight="1">
      <c r="B21" s="11" t="inlineStr">
        <is>
          <t>ESPAÑA</t>
        </is>
      </c>
      <c r="C21" s="31" t="inlineStr">
        <is>
          <t>AGROQUIMICAS DRAGO S.L.</t>
        </is>
      </c>
      <c r="D21" s="11" t="inlineStr">
        <is>
          <t>CPLUS0020</t>
        </is>
      </c>
      <c r="E21" s="31" t="inlineStr">
        <is>
          <t>CALCIPLUS, 20 L</t>
        </is>
      </c>
      <c r="F21" s="12" t="n">
        <v>0</v>
      </c>
      <c r="G21" s="13" t="n">
        <v>200</v>
      </c>
      <c r="H21" s="12">
        <f>ABS(G21-F21)</f>
        <v/>
      </c>
      <c r="I21" s="32">
        <f>IF(F21&gt;0, G21/F21, IF(G21&gt;0, 1.0, 0.0))</f>
        <v/>
      </c>
      <c r="J21" s="33" t="inlineStr">
        <is>
          <t>Pedido extra no previsto</t>
        </is>
      </c>
      <c r="K21" s="34" t="n">
        <v>640</v>
      </c>
      <c r="L21" s="35" t="n">
        <v>640</v>
      </c>
      <c r="M21" s="34" t="n">
        <v>640</v>
      </c>
      <c r="N21" s="35" t="n">
        <v>640</v>
      </c>
      <c r="O21" s="34" t="n">
        <v>0</v>
      </c>
      <c r="P21" s="35" t="n">
        <v>0</v>
      </c>
      <c r="Q21" s="12">
        <f>K21+M21+O21</f>
        <v/>
      </c>
      <c r="R21" s="13">
        <f>L21+N21+P21</f>
        <v/>
      </c>
      <c r="S21" s="36">
        <f>R21-Q21</f>
        <v/>
      </c>
      <c r="T21" s="37" t="inlineStr"/>
    </row>
    <row r="22" ht="20" customHeight="1">
      <c r="B22" s="11" t="inlineStr">
        <is>
          <t>ESPAÑA</t>
        </is>
      </c>
      <c r="C22" s="31" t="inlineStr">
        <is>
          <t>AGROQUIMICAS DRAGO S.L.</t>
        </is>
      </c>
      <c r="D22" s="11" t="inlineStr">
        <is>
          <t>CPLUS0200</t>
        </is>
      </c>
      <c r="E22" s="31" t="inlineStr">
        <is>
          <t>CALCIPLUS, 200 L</t>
        </is>
      </c>
      <c r="F22" s="12" t="n">
        <v>0</v>
      </c>
      <c r="G22" s="13" t="n">
        <v>0</v>
      </c>
      <c r="H22" s="12">
        <f>ABS(G22-F22)</f>
        <v/>
      </c>
      <c r="I22" s="32">
        <f>IF(F22&gt;0, G22/F22, IF(G22&gt;0, 1.0, 0.0))</f>
        <v/>
      </c>
      <c r="J22" s="33" t="inlineStr"/>
      <c r="K22" s="34" t="n">
        <v>0</v>
      </c>
      <c r="L22" s="35" t="n">
        <v>0</v>
      </c>
      <c r="M22" s="34" t="n">
        <v>800</v>
      </c>
      <c r="N22" s="35" t="n">
        <v>800</v>
      </c>
      <c r="O22" s="34" t="n">
        <v>0</v>
      </c>
      <c r="P22" s="35" t="n">
        <v>0</v>
      </c>
      <c r="Q22" s="12">
        <f>K22+M22+O22</f>
        <v/>
      </c>
      <c r="R22" s="13">
        <f>L22+N22+P22</f>
        <v/>
      </c>
      <c r="S22" s="36">
        <f>R22-Q22</f>
        <v/>
      </c>
      <c r="T22" s="37" t="inlineStr"/>
    </row>
    <row r="23" ht="20" customHeight="1">
      <c r="B23" s="11" t="inlineStr">
        <is>
          <t>ESPAÑA</t>
        </is>
      </c>
      <c r="C23" s="31" t="inlineStr">
        <is>
          <t>AGROQUIMICAS DRAGO S.L.</t>
        </is>
      </c>
      <c r="D23" s="11" t="inlineStr">
        <is>
          <t>CPLUS1000</t>
        </is>
      </c>
      <c r="E23" s="31" t="inlineStr">
        <is>
          <t>CALCIPLUS, 1000 L</t>
        </is>
      </c>
      <c r="F23" s="12" t="n">
        <v>0</v>
      </c>
      <c r="G23" s="13" t="n">
        <v>0</v>
      </c>
      <c r="H23" s="12">
        <f>ABS(G23-F23)</f>
        <v/>
      </c>
      <c r="I23" s="32">
        <f>IF(F23&gt;0, G23/F23, IF(G23&gt;0, 1.0, 0.0))</f>
        <v/>
      </c>
      <c r="J23" s="33" t="inlineStr"/>
      <c r="K23" s="34" t="n">
        <v>2000</v>
      </c>
      <c r="L23" s="35" t="n">
        <v>2000</v>
      </c>
      <c r="M23" s="34" t="n">
        <v>2000</v>
      </c>
      <c r="N23" s="35" t="n">
        <v>2000</v>
      </c>
      <c r="O23" s="34" t="n">
        <v>0</v>
      </c>
      <c r="P23" s="35" t="n">
        <v>0</v>
      </c>
      <c r="Q23" s="12">
        <f>K23+M23+O23</f>
        <v/>
      </c>
      <c r="R23" s="13">
        <f>L23+N23+P23</f>
        <v/>
      </c>
      <c r="S23" s="36">
        <f>R23-Q23</f>
        <v/>
      </c>
      <c r="T23" s="37" t="inlineStr"/>
    </row>
    <row r="24" ht="20" customHeight="1">
      <c r="B24" s="11" t="inlineStr">
        <is>
          <t>ESPAÑA</t>
        </is>
      </c>
      <c r="C24" s="31" t="inlineStr">
        <is>
          <t>AGROQUIMICAS DRAGO S.L.</t>
        </is>
      </c>
      <c r="D24" s="11" t="inlineStr">
        <is>
          <t>FLOR0200</t>
        </is>
      </c>
      <c r="E24" s="31" t="inlineStr">
        <is>
          <t>FLORAMEC, 200 L</t>
        </is>
      </c>
      <c r="F24" s="12" t="n">
        <v>0</v>
      </c>
      <c r="G24" s="13" t="n">
        <v>0</v>
      </c>
      <c r="H24" s="12">
        <f>ABS(G24-F24)</f>
        <v/>
      </c>
      <c r="I24" s="32">
        <f>IF(F24&gt;0, G24/F24, IF(G24&gt;0, 1.0, 0.0))</f>
        <v/>
      </c>
      <c r="J24" s="33" t="inlineStr"/>
      <c r="K24" s="34" t="n">
        <v>200</v>
      </c>
      <c r="L24" s="35" t="n">
        <v>200</v>
      </c>
      <c r="M24" s="34" t="n">
        <v>0</v>
      </c>
      <c r="N24" s="35" t="n">
        <v>0</v>
      </c>
      <c r="O24" s="34" t="n">
        <v>0</v>
      </c>
      <c r="P24" s="35" t="n">
        <v>0</v>
      </c>
      <c r="Q24" s="12">
        <f>K24+M24+O24</f>
        <v/>
      </c>
      <c r="R24" s="13">
        <f>L24+N24+P24</f>
        <v/>
      </c>
      <c r="S24" s="36">
        <f>R24-Q24</f>
        <v/>
      </c>
      <c r="T24" s="37" t="inlineStr"/>
    </row>
    <row r="25" ht="20" customHeight="1">
      <c r="B25" s="11" t="inlineStr">
        <is>
          <t>ESPAÑA</t>
        </is>
      </c>
      <c r="C25" s="31" t="inlineStr">
        <is>
          <t>AGROQUIMICAS DRAGO S.L.</t>
        </is>
      </c>
      <c r="D25" s="11" t="inlineStr">
        <is>
          <t>FTK0005</t>
        </is>
      </c>
      <c r="E25" s="31" t="inlineStr">
        <is>
          <t>FITOKONTROL CA FLOW, 5 KG</t>
        </is>
      </c>
      <c r="F25" s="12" t="n">
        <v>0</v>
      </c>
      <c r="G25" s="13" t="n">
        <v>40</v>
      </c>
      <c r="H25" s="12">
        <f>ABS(G25-F25)</f>
        <v/>
      </c>
      <c r="I25" s="32">
        <f>IF(F25&gt;0, G25/F25, IF(G25&gt;0, 1.0, 0.0))</f>
        <v/>
      </c>
      <c r="J25" s="33" t="inlineStr">
        <is>
          <t>Pedido extra no previsto</t>
        </is>
      </c>
      <c r="K25" s="34" t="n">
        <v>0</v>
      </c>
      <c r="L25" s="35" t="n">
        <v>0</v>
      </c>
      <c r="M25" s="34" t="n">
        <v>0</v>
      </c>
      <c r="N25" s="35" t="n">
        <v>0</v>
      </c>
      <c r="O25" s="34" t="n">
        <v>0</v>
      </c>
      <c r="P25" s="35" t="n">
        <v>0</v>
      </c>
      <c r="Q25" s="12">
        <f>K25+M25+O25</f>
        <v/>
      </c>
      <c r="R25" s="13">
        <f>L25+N25+P25</f>
        <v/>
      </c>
      <c r="S25" s="36">
        <f>R25-Q25</f>
        <v/>
      </c>
      <c r="T25" s="37" t="inlineStr"/>
    </row>
    <row r="26" ht="20" customHeight="1">
      <c r="B26" s="11" t="inlineStr">
        <is>
          <t>ESPAÑA</t>
        </is>
      </c>
      <c r="C26" s="31" t="inlineStr">
        <is>
          <t>AGROQUIMICAS DRAGO S.L.</t>
        </is>
      </c>
      <c r="D26" s="11" t="inlineStr">
        <is>
          <t>JF0020</t>
        </is>
      </c>
      <c r="E26" s="31" t="inlineStr">
        <is>
          <t>DRAGO-FOS, 20 L</t>
        </is>
      </c>
      <c r="F26" s="12" t="n">
        <v>0</v>
      </c>
      <c r="G26" s="13" t="n">
        <v>1280</v>
      </c>
      <c r="H26" s="12">
        <f>ABS(G26-F26)</f>
        <v/>
      </c>
      <c r="I26" s="32">
        <f>IF(F26&gt;0, G26/F26, IF(G26&gt;0, 1.0, 0.0))</f>
        <v/>
      </c>
      <c r="J26" s="33" t="inlineStr">
        <is>
          <t>Pedido extra no previsto</t>
        </is>
      </c>
      <c r="K26" s="34" t="n">
        <v>0</v>
      </c>
      <c r="L26" s="35" t="n">
        <v>0</v>
      </c>
      <c r="M26" s="34" t="n">
        <v>640</v>
      </c>
      <c r="N26" s="35" t="n">
        <v>640</v>
      </c>
      <c r="O26" s="34" t="n">
        <v>0</v>
      </c>
      <c r="P26" s="35" t="n">
        <v>0</v>
      </c>
      <c r="Q26" s="12">
        <f>K26+M26+O26</f>
        <v/>
      </c>
      <c r="R26" s="13">
        <f>L26+N26+P26</f>
        <v/>
      </c>
      <c r="S26" s="36">
        <f>R26-Q26</f>
        <v/>
      </c>
      <c r="T26" s="37" t="inlineStr"/>
    </row>
    <row r="27" ht="20" customHeight="1">
      <c r="B27" s="11" t="inlineStr">
        <is>
          <t>ESPAÑA</t>
        </is>
      </c>
      <c r="C27" s="31" t="inlineStr">
        <is>
          <t>AGROQUIMICAS DRAGO S.L.</t>
        </is>
      </c>
      <c r="D27" s="11" t="inlineStr">
        <is>
          <t>PHD0005</t>
        </is>
      </c>
      <c r="E27" s="31" t="inlineStr">
        <is>
          <t>PH-DOWNER, 5 L</t>
        </is>
      </c>
      <c r="F27" s="12" t="n">
        <v>0</v>
      </c>
      <c r="G27" s="13" t="n">
        <v>40</v>
      </c>
      <c r="H27" s="12">
        <f>ABS(G27-F27)</f>
        <v/>
      </c>
      <c r="I27" s="32">
        <f>IF(F27&gt;0, G27/F27, IF(G27&gt;0, 1.0, 0.0))</f>
        <v/>
      </c>
      <c r="J27" s="33" t="inlineStr">
        <is>
          <t>Pedido extra no previsto</t>
        </is>
      </c>
      <c r="K27" s="34" t="n">
        <v>0</v>
      </c>
      <c r="L27" s="35" t="n">
        <v>0</v>
      </c>
      <c r="M27" s="34" t="n">
        <v>0</v>
      </c>
      <c r="N27" s="35" t="n">
        <v>0</v>
      </c>
      <c r="O27" s="34" t="n">
        <v>0</v>
      </c>
      <c r="P27" s="35" t="n">
        <v>0</v>
      </c>
      <c r="Q27" s="12">
        <f>K27+M27+O27</f>
        <v/>
      </c>
      <c r="R27" s="13">
        <f>L27+N27+P27</f>
        <v/>
      </c>
      <c r="S27" s="36">
        <f>R27-Q27</f>
        <v/>
      </c>
      <c r="T27" s="37" t="inlineStr"/>
    </row>
    <row r="28" ht="20" customHeight="1">
      <c r="B28" s="11" t="inlineStr">
        <is>
          <t>ESPAÑA</t>
        </is>
      </c>
      <c r="C28" s="31" t="inlineStr">
        <is>
          <t>AGROQUIMICAS DRAGO S.L.</t>
        </is>
      </c>
      <c r="D28" s="11" t="inlineStr">
        <is>
          <t>PT0020</t>
        </is>
      </c>
      <c r="E28" s="31" t="inlineStr">
        <is>
          <t>AGROPOTASION, 20 L</t>
        </is>
      </c>
      <c r="F28" s="12" t="n">
        <v>0</v>
      </c>
      <c r="G28" s="13" t="n">
        <v>0</v>
      </c>
      <c r="H28" s="12">
        <f>ABS(G28-F28)</f>
        <v/>
      </c>
      <c r="I28" s="32">
        <f>IF(F28&gt;0, G28/F28, IF(G28&gt;0, 1.0, 0.0))</f>
        <v/>
      </c>
      <c r="J28" s="33" t="inlineStr"/>
      <c r="K28" s="34" t="n">
        <v>640</v>
      </c>
      <c r="L28" s="35" t="n">
        <v>640</v>
      </c>
      <c r="M28" s="34" t="n">
        <v>640</v>
      </c>
      <c r="N28" s="35" t="n">
        <v>640</v>
      </c>
      <c r="O28" s="34" t="n">
        <v>0</v>
      </c>
      <c r="P28" s="35" t="n">
        <v>0</v>
      </c>
      <c r="Q28" s="12">
        <f>K28+M28+O28</f>
        <v/>
      </c>
      <c r="R28" s="13">
        <f>L28+N28+P28</f>
        <v/>
      </c>
      <c r="S28" s="36">
        <f>R28-Q28</f>
        <v/>
      </c>
      <c r="T28" s="37" t="inlineStr"/>
    </row>
    <row r="29" ht="20" customHeight="1">
      <c r="B29" s="11" t="inlineStr">
        <is>
          <t>ESPAÑA</t>
        </is>
      </c>
      <c r="C29" s="31" t="inlineStr">
        <is>
          <t>AGROQUIMICAS DRAGO S.L.</t>
        </is>
      </c>
      <c r="D29" s="11" t="inlineStr">
        <is>
          <t>PT0200</t>
        </is>
      </c>
      <c r="E29" s="31" t="inlineStr">
        <is>
          <t>AGROPOTASION, 200 L</t>
        </is>
      </c>
      <c r="F29" s="12" t="n">
        <v>0</v>
      </c>
      <c r="G29" s="13" t="n">
        <v>0</v>
      </c>
      <c r="H29" s="12">
        <f>ABS(G29-F29)</f>
        <v/>
      </c>
      <c r="I29" s="32">
        <f>IF(F29&gt;0, G29/F29, IF(G29&gt;0, 1.0, 0.0))</f>
        <v/>
      </c>
      <c r="J29" s="33" t="inlineStr"/>
      <c r="K29" s="34" t="n">
        <v>200</v>
      </c>
      <c r="L29" s="35" t="n">
        <v>200</v>
      </c>
      <c r="M29" s="34" t="n">
        <v>200</v>
      </c>
      <c r="N29" s="35" t="n">
        <v>200</v>
      </c>
      <c r="O29" s="34" t="n">
        <v>0</v>
      </c>
      <c r="P29" s="35" t="n">
        <v>0</v>
      </c>
      <c r="Q29" s="12">
        <f>K29+M29+O29</f>
        <v/>
      </c>
      <c r="R29" s="13">
        <f>L29+N29+P29</f>
        <v/>
      </c>
      <c r="S29" s="36">
        <f>R29-Q29</f>
        <v/>
      </c>
      <c r="T29" s="37" t="inlineStr"/>
    </row>
    <row r="30" ht="20" customHeight="1">
      <c r="B30" s="11" t="inlineStr">
        <is>
          <t>ESPAÑA</t>
        </is>
      </c>
      <c r="C30" s="31" t="inlineStr">
        <is>
          <t>AGROQUIMICAS DRAGO S.L.</t>
        </is>
      </c>
      <c r="D30" s="11" t="inlineStr">
        <is>
          <t>S0020</t>
        </is>
      </c>
      <c r="E30" s="31" t="inlineStr">
        <is>
          <t>SAL-WAX STAR, 20 L</t>
        </is>
      </c>
      <c r="F30" s="12" t="n">
        <v>0</v>
      </c>
      <c r="G30" s="13" t="n">
        <v>1280</v>
      </c>
      <c r="H30" s="12">
        <f>ABS(G30-F30)</f>
        <v/>
      </c>
      <c r="I30" s="32">
        <f>IF(F30&gt;0, G30/F30, IF(G30&gt;0, 1.0, 0.0))</f>
        <v/>
      </c>
      <c r="J30" s="33" t="inlineStr">
        <is>
          <t>Pedido extra no previsto</t>
        </is>
      </c>
      <c r="K30" s="34" t="n">
        <v>1280</v>
      </c>
      <c r="L30" s="35" t="n">
        <v>1280</v>
      </c>
      <c r="M30" s="34" t="n">
        <v>1280</v>
      </c>
      <c r="N30" s="35" t="n">
        <v>1280</v>
      </c>
      <c r="O30" s="34" t="n">
        <v>0</v>
      </c>
      <c r="P30" s="35" t="n">
        <v>0</v>
      </c>
      <c r="Q30" s="12">
        <f>K30+M30+O30</f>
        <v/>
      </c>
      <c r="R30" s="13">
        <f>L30+N30+P30</f>
        <v/>
      </c>
      <c r="S30" s="36">
        <f>R30-Q30</f>
        <v/>
      </c>
      <c r="T30" s="37" t="inlineStr"/>
    </row>
    <row r="31" ht="20" customHeight="1">
      <c r="B31" s="11" t="inlineStr">
        <is>
          <t>ESPAÑA</t>
        </is>
      </c>
      <c r="C31" s="31" t="inlineStr">
        <is>
          <t>AGROQUIMICAS DRAGO S.L.</t>
        </is>
      </c>
      <c r="D31" s="11" t="inlineStr">
        <is>
          <t>S0200</t>
        </is>
      </c>
      <c r="E31" s="31" t="inlineStr">
        <is>
          <t>SALWAX STAR, 200 L</t>
        </is>
      </c>
      <c r="F31" s="12" t="n">
        <v>0</v>
      </c>
      <c r="G31" s="13" t="n">
        <v>0</v>
      </c>
      <c r="H31" s="12">
        <f>ABS(G31-F31)</f>
        <v/>
      </c>
      <c r="I31" s="32">
        <f>IF(F31&gt;0, G31/F31, IF(G31&gt;0, 1.0, 0.0))</f>
        <v/>
      </c>
      <c r="J31" s="33" t="inlineStr"/>
      <c r="K31" s="34" t="n">
        <v>1200</v>
      </c>
      <c r="L31" s="35" t="n">
        <v>1200</v>
      </c>
      <c r="M31" s="34" t="n">
        <v>1200</v>
      </c>
      <c r="N31" s="35" t="n">
        <v>1200</v>
      </c>
      <c r="O31" s="34" t="n">
        <v>0</v>
      </c>
      <c r="P31" s="35" t="n">
        <v>0</v>
      </c>
      <c r="Q31" s="12">
        <f>K31+M31+O31</f>
        <v/>
      </c>
      <c r="R31" s="13">
        <f>L31+N31+P31</f>
        <v/>
      </c>
      <c r="S31" s="36">
        <f>R31-Q31</f>
        <v/>
      </c>
      <c r="T31" s="37" t="inlineStr"/>
    </row>
    <row r="32" ht="20" customHeight="1">
      <c r="B32" s="11" t="inlineStr">
        <is>
          <t>ESPAÑA</t>
        </is>
      </c>
      <c r="C32" s="31" t="inlineStr">
        <is>
          <t>ALMENDRALIA IBÉRICA, S.L.U.</t>
        </is>
      </c>
      <c r="D32" s="11" t="inlineStr">
        <is>
          <t>AN0020</t>
        </is>
      </c>
      <c r="E32" s="31" t="inlineStr">
        <is>
          <t>ALCAPLANT NEW, 20 KG</t>
        </is>
      </c>
      <c r="F32" s="12" t="n">
        <v>0</v>
      </c>
      <c r="G32" s="13" t="n">
        <v>1100</v>
      </c>
      <c r="H32" s="12">
        <f>ABS(G32-F32)</f>
        <v/>
      </c>
      <c r="I32" s="32">
        <f>IF(F32&gt;0, G32/F32, IF(G32&gt;0, 1.0, 0.0))</f>
        <v/>
      </c>
      <c r="J32" s="33" t="inlineStr">
        <is>
          <t>Pedido extra no previsto</t>
        </is>
      </c>
      <c r="K32" s="34" t="n">
        <v>0</v>
      </c>
      <c r="L32" s="35" t="n">
        <v>0</v>
      </c>
      <c r="M32" s="34" t="n">
        <v>0</v>
      </c>
      <c r="N32" s="35" t="n">
        <v>0</v>
      </c>
      <c r="O32" s="34" t="n">
        <v>0</v>
      </c>
      <c r="P32" s="35" t="n">
        <v>0</v>
      </c>
      <c r="Q32" s="12">
        <f>K32+M32+O32</f>
        <v/>
      </c>
      <c r="R32" s="13">
        <f>L32+N32+P32</f>
        <v/>
      </c>
      <c r="S32" s="36">
        <f>R32-Q32</f>
        <v/>
      </c>
      <c r="T32" s="37" t="inlineStr"/>
    </row>
    <row r="33" ht="20" customHeight="1">
      <c r="B33" s="11" t="inlineStr">
        <is>
          <t>ESPAÑA</t>
        </is>
      </c>
      <c r="C33" s="31" t="inlineStr">
        <is>
          <t>CABRERA MORALES FRANCISCO</t>
        </is>
      </c>
      <c r="D33" s="11" t="inlineStr">
        <is>
          <t>A-50(2)0005</t>
        </is>
      </c>
      <c r="E33" s="31" t="inlineStr">
        <is>
          <t>CODIORGAN A-50, 5 KG</t>
        </is>
      </c>
      <c r="F33" s="12" t="n">
        <v>0</v>
      </c>
      <c r="G33" s="13" t="n">
        <v>625</v>
      </c>
      <c r="H33" s="12">
        <f>ABS(G33-F33)</f>
        <v/>
      </c>
      <c r="I33" s="32">
        <f>IF(F33&gt;0, G33/F33, IF(G33&gt;0, 1.0, 0.0))</f>
        <v/>
      </c>
      <c r="J33" s="33" t="inlineStr">
        <is>
          <t>Pedido extra no previsto</t>
        </is>
      </c>
      <c r="K33" s="34" t="n">
        <v>0</v>
      </c>
      <c r="L33" s="35" t="n">
        <v>0</v>
      </c>
      <c r="M33" s="34" t="n">
        <v>750</v>
      </c>
      <c r="N33" s="35" t="n">
        <v>750</v>
      </c>
      <c r="O33" s="34" t="n">
        <v>0</v>
      </c>
      <c r="P33" s="35" t="n">
        <v>0</v>
      </c>
      <c r="Q33" s="12">
        <f>K33+M33+O33</f>
        <v/>
      </c>
      <c r="R33" s="13">
        <f>L33+N33+P33</f>
        <v/>
      </c>
      <c r="S33" s="36">
        <f>R33-Q33</f>
        <v/>
      </c>
      <c r="T33" s="37" t="inlineStr"/>
    </row>
    <row r="34" ht="20" customHeight="1">
      <c r="B34" s="11" t="inlineStr">
        <is>
          <t>ESPAÑA</t>
        </is>
      </c>
      <c r="C34" s="31" t="inlineStr">
        <is>
          <t>CABRERA MORALES FRANCISCO</t>
        </is>
      </c>
      <c r="D34" s="11" t="inlineStr">
        <is>
          <t>A-50(2)0020</t>
        </is>
      </c>
      <c r="E34" s="31" t="inlineStr">
        <is>
          <t>CODIORGAN A-50, 20 KG</t>
        </is>
      </c>
      <c r="F34" s="12" t="n">
        <v>0</v>
      </c>
      <c r="G34" s="13" t="n">
        <v>100</v>
      </c>
      <c r="H34" s="12">
        <f>ABS(G34-F34)</f>
        <v/>
      </c>
      <c r="I34" s="32">
        <f>IF(F34&gt;0, G34/F34, IF(G34&gt;0, 1.0, 0.0))</f>
        <v/>
      </c>
      <c r="J34" s="33" t="inlineStr">
        <is>
          <t>Pedido extra no previsto</t>
        </is>
      </c>
      <c r="K34" s="34" t="n">
        <v>0</v>
      </c>
      <c r="L34" s="35" t="n">
        <v>0</v>
      </c>
      <c r="M34" s="34" t="n">
        <v>0</v>
      </c>
      <c r="N34" s="35" t="n">
        <v>0</v>
      </c>
      <c r="O34" s="34" t="n">
        <v>0</v>
      </c>
      <c r="P34" s="35" t="n">
        <v>0</v>
      </c>
      <c r="Q34" s="12">
        <f>K34+M34+O34</f>
        <v/>
      </c>
      <c r="R34" s="13">
        <f>L34+N34+P34</f>
        <v/>
      </c>
      <c r="S34" s="36">
        <f>R34-Q34</f>
        <v/>
      </c>
      <c r="T34" s="37" t="inlineStr"/>
    </row>
    <row r="35" ht="20" customHeight="1">
      <c r="B35" s="11" t="inlineStr">
        <is>
          <t>ESPAÑA</t>
        </is>
      </c>
      <c r="C35" s="31" t="inlineStr">
        <is>
          <t>CABRERA MORALES FRANCISCO</t>
        </is>
      </c>
      <c r="D35" s="11" t="inlineStr">
        <is>
          <t>AGXK0005</t>
        </is>
      </c>
      <c r="E35" s="31" t="inlineStr">
        <is>
          <t>AGROXILATO-K, 5 L</t>
        </is>
      </c>
      <c r="F35" s="12" t="n">
        <v>0</v>
      </c>
      <c r="G35" s="13" t="n">
        <v>0</v>
      </c>
      <c r="H35" s="12">
        <f>ABS(G35-F35)</f>
        <v/>
      </c>
      <c r="I35" s="32">
        <f>IF(F35&gt;0, G35/F35, IF(G35&gt;0, 1.0, 0.0))</f>
        <v/>
      </c>
      <c r="J35" s="33" t="inlineStr"/>
      <c r="K35" s="34" t="n">
        <v>0</v>
      </c>
      <c r="L35" s="35" t="n">
        <v>0</v>
      </c>
      <c r="M35" s="34" t="n">
        <v>1800</v>
      </c>
      <c r="N35" s="35" t="n">
        <v>1800</v>
      </c>
      <c r="O35" s="34" t="n">
        <v>0</v>
      </c>
      <c r="P35" s="35" t="n">
        <v>0</v>
      </c>
      <c r="Q35" s="12">
        <f>K35+M35+O35</f>
        <v/>
      </c>
      <c r="R35" s="13">
        <f>L35+N35+P35</f>
        <v/>
      </c>
      <c r="S35" s="36">
        <f>R35-Q35</f>
        <v/>
      </c>
      <c r="T35" s="37" t="inlineStr"/>
    </row>
    <row r="36" ht="20" customHeight="1">
      <c r="B36" s="11" t="inlineStr">
        <is>
          <t>ESPAÑA</t>
        </is>
      </c>
      <c r="C36" s="31" t="inlineStr">
        <is>
          <t>CABRERA MORALES FRANCISCO</t>
        </is>
      </c>
      <c r="D36" s="11" t="inlineStr">
        <is>
          <t>AGXK0020</t>
        </is>
      </c>
      <c r="E36" s="31" t="inlineStr">
        <is>
          <t>AGROXILATO-K, 20 L</t>
        </is>
      </c>
      <c r="F36" s="12" t="n">
        <v>0</v>
      </c>
      <c r="G36" s="13" t="n">
        <v>0</v>
      </c>
      <c r="H36" s="12">
        <f>ABS(G36-F36)</f>
        <v/>
      </c>
      <c r="I36" s="32">
        <f>IF(F36&gt;0, G36/F36, IF(G36&gt;0, 1.0, 0.0))</f>
        <v/>
      </c>
      <c r="J36" s="33" t="inlineStr"/>
      <c r="K36" s="34" t="n">
        <v>0</v>
      </c>
      <c r="L36" s="35" t="n">
        <v>0</v>
      </c>
      <c r="M36" s="34" t="n">
        <v>2560</v>
      </c>
      <c r="N36" s="35" t="n">
        <v>2560</v>
      </c>
      <c r="O36" s="34" t="n">
        <v>0</v>
      </c>
      <c r="P36" s="35" t="n">
        <v>0</v>
      </c>
      <c r="Q36" s="12">
        <f>K36+M36+O36</f>
        <v/>
      </c>
      <c r="R36" s="13">
        <f>L36+N36+P36</f>
        <v/>
      </c>
      <c r="S36" s="36">
        <f>R36-Q36</f>
        <v/>
      </c>
      <c r="T36" s="37" t="inlineStr"/>
    </row>
    <row r="37" ht="20" customHeight="1">
      <c r="B37" s="11" t="inlineStr">
        <is>
          <t>ESPAÑA</t>
        </is>
      </c>
      <c r="C37" s="31" t="inlineStr">
        <is>
          <t>CABRERA MORALES FRANCISCO</t>
        </is>
      </c>
      <c r="D37" s="11" t="inlineStr">
        <is>
          <t>ANAE0005</t>
        </is>
      </c>
      <c r="E37" s="31" t="inlineStr">
        <is>
          <t>ALCAPLANT NEW AE, 5 KG</t>
        </is>
      </c>
      <c r="F37" s="12" t="n">
        <v>6600</v>
      </c>
      <c r="G37" s="13" t="n">
        <v>6600</v>
      </c>
      <c r="H37" s="12">
        <f>ABS(G37-F37)</f>
        <v/>
      </c>
      <c r="I37" s="32">
        <f>IF(F37&gt;0, G37/F37, IF(G37&gt;0, 1.0, 0.0))</f>
        <v/>
      </c>
      <c r="J37" s="33" t="inlineStr"/>
      <c r="K37" s="34" t="n">
        <v>4400</v>
      </c>
      <c r="L37" s="35" t="n">
        <v>4400</v>
      </c>
      <c r="M37" s="34" t="n">
        <v>6600</v>
      </c>
      <c r="N37" s="35" t="n">
        <v>6600</v>
      </c>
      <c r="O37" s="34" t="n">
        <v>0</v>
      </c>
      <c r="P37" s="35" t="n">
        <v>0</v>
      </c>
      <c r="Q37" s="12">
        <f>K37+M37+O37</f>
        <v/>
      </c>
      <c r="R37" s="13">
        <f>L37+N37+P37</f>
        <v/>
      </c>
      <c r="S37" s="36">
        <f>R37-Q37</f>
        <v/>
      </c>
      <c r="T37" s="37" t="inlineStr"/>
    </row>
    <row r="38" ht="20" customHeight="1">
      <c r="B38" s="11" t="inlineStr">
        <is>
          <t>ESPAÑA</t>
        </is>
      </c>
      <c r="C38" s="31" t="inlineStr">
        <is>
          <t>CABRERA MORALES FRANCISCO</t>
        </is>
      </c>
      <c r="D38" s="11" t="inlineStr">
        <is>
          <t>ANAE0020</t>
        </is>
      </c>
      <c r="E38" s="31" t="inlineStr">
        <is>
          <t>ALCAPLANT NEW AE, 20 KG</t>
        </is>
      </c>
      <c r="F38" s="12" t="n">
        <v>0</v>
      </c>
      <c r="G38" s="13" t="n">
        <v>0</v>
      </c>
      <c r="H38" s="12">
        <f>ABS(G38-F38)</f>
        <v/>
      </c>
      <c r="I38" s="32">
        <f>IF(F38&gt;0, G38/F38, IF(G38&gt;0, 1.0, 0.0))</f>
        <v/>
      </c>
      <c r="J38" s="33" t="inlineStr"/>
      <c r="K38" s="34" t="n">
        <v>1100</v>
      </c>
      <c r="L38" s="35" t="n">
        <v>1100</v>
      </c>
      <c r="M38" s="34" t="n">
        <v>1100</v>
      </c>
      <c r="N38" s="35" t="n">
        <v>1100</v>
      </c>
      <c r="O38" s="34" t="n">
        <v>0</v>
      </c>
      <c r="P38" s="35" t="n">
        <v>0</v>
      </c>
      <c r="Q38" s="12">
        <f>K38+M38+O38</f>
        <v/>
      </c>
      <c r="R38" s="13">
        <f>L38+N38+P38</f>
        <v/>
      </c>
      <c r="S38" s="36">
        <f>R38-Q38</f>
        <v/>
      </c>
      <c r="T38" s="37" t="inlineStr"/>
    </row>
    <row r="39" ht="20" customHeight="1">
      <c r="B39" s="11" t="inlineStr">
        <is>
          <t>ESPAÑA</t>
        </is>
      </c>
      <c r="C39" s="31" t="inlineStr">
        <is>
          <t>CABRERA MORALES FRANCISCO</t>
        </is>
      </c>
      <c r="D39" s="11" t="inlineStr">
        <is>
          <t>BIO0005</t>
        </is>
      </c>
      <c r="E39" s="31" t="inlineStr">
        <is>
          <t>BIORAD-20, 5L</t>
        </is>
      </c>
      <c r="F39" s="12" t="n">
        <v>0</v>
      </c>
      <c r="G39" s="13" t="n">
        <v>600</v>
      </c>
      <c r="H39" s="12">
        <f>ABS(G39-F39)</f>
        <v/>
      </c>
      <c r="I39" s="32">
        <f>IF(F39&gt;0, G39/F39, IF(G39&gt;0, 1.0, 0.0))</f>
        <v/>
      </c>
      <c r="J39" s="33" t="inlineStr">
        <is>
          <t>Pedido extra no previsto</t>
        </is>
      </c>
      <c r="K39" s="34" t="n">
        <v>1200</v>
      </c>
      <c r="L39" s="35" t="n">
        <v>1200</v>
      </c>
      <c r="M39" s="34" t="n">
        <v>1200</v>
      </c>
      <c r="N39" s="35" t="n">
        <v>1200</v>
      </c>
      <c r="O39" s="34" t="n">
        <v>0</v>
      </c>
      <c r="P39" s="35" t="n">
        <v>0</v>
      </c>
      <c r="Q39" s="12">
        <f>K39+M39+O39</f>
        <v/>
      </c>
      <c r="R39" s="13">
        <f>L39+N39+P39</f>
        <v/>
      </c>
      <c r="S39" s="36">
        <f>R39-Q39</f>
        <v/>
      </c>
      <c r="T39" s="37" t="inlineStr"/>
    </row>
    <row r="40" ht="20" customHeight="1">
      <c r="B40" s="11" t="inlineStr">
        <is>
          <t>ESPAÑA</t>
        </is>
      </c>
      <c r="C40" s="31" t="inlineStr">
        <is>
          <t>CABRERA MORALES FRANCISCO</t>
        </is>
      </c>
      <c r="D40" s="11" t="inlineStr">
        <is>
          <t>BIO0020</t>
        </is>
      </c>
      <c r="E40" s="31" t="inlineStr">
        <is>
          <t>BIORAD-20, 20 L</t>
        </is>
      </c>
      <c r="F40" s="12" t="n">
        <v>0</v>
      </c>
      <c r="G40" s="13" t="n">
        <v>1280</v>
      </c>
      <c r="H40" s="12">
        <f>ABS(G40-F40)</f>
        <v/>
      </c>
      <c r="I40" s="32">
        <f>IF(F40&gt;0, G40/F40, IF(G40&gt;0, 1.0, 0.0))</f>
        <v/>
      </c>
      <c r="J40" s="33" t="inlineStr">
        <is>
          <t>Pedido extra no previsto</t>
        </is>
      </c>
      <c r="K40" s="34" t="n">
        <v>1280</v>
      </c>
      <c r="L40" s="35" t="n">
        <v>1280</v>
      </c>
      <c r="M40" s="34" t="n">
        <v>1280</v>
      </c>
      <c r="N40" s="35" t="n">
        <v>1280</v>
      </c>
      <c r="O40" s="34" t="n">
        <v>0</v>
      </c>
      <c r="P40" s="35" t="n">
        <v>0</v>
      </c>
      <c r="Q40" s="12">
        <f>K40+M40+O40</f>
        <v/>
      </c>
      <c r="R40" s="13">
        <f>L40+N40+P40</f>
        <v/>
      </c>
      <c r="S40" s="36">
        <f>R40-Q40</f>
        <v/>
      </c>
      <c r="T40" s="37" t="inlineStr"/>
    </row>
    <row r="41" ht="20" customHeight="1">
      <c r="B41" s="11" t="inlineStr">
        <is>
          <t>ESPAÑA</t>
        </is>
      </c>
      <c r="C41" s="31" t="inlineStr">
        <is>
          <t>CABRERA MORALES FRANCISCO</t>
        </is>
      </c>
      <c r="D41" s="11" t="inlineStr">
        <is>
          <t>C-L0005</t>
        </is>
      </c>
      <c r="E41" s="31" t="inlineStr">
        <is>
          <t>CODIBOR-L, 5 L</t>
        </is>
      </c>
      <c r="F41" s="12" t="n">
        <v>0</v>
      </c>
      <c r="G41" s="13" t="n">
        <v>400</v>
      </c>
      <c r="H41" s="12">
        <f>ABS(G41-F41)</f>
        <v/>
      </c>
      <c r="I41" s="32">
        <f>IF(F41&gt;0, G41/F41, IF(G41&gt;0, 1.0, 0.0))</f>
        <v/>
      </c>
      <c r="J41" s="33" t="inlineStr">
        <is>
          <t>Pedido extra no previsto</t>
        </is>
      </c>
      <c r="K41" s="34" t="n">
        <v>0</v>
      </c>
      <c r="L41" s="35" t="n">
        <v>0</v>
      </c>
      <c r="M41" s="34" t="n">
        <v>0</v>
      </c>
      <c r="N41" s="35" t="n">
        <v>0</v>
      </c>
      <c r="O41" s="34" t="n">
        <v>0</v>
      </c>
      <c r="P41" s="35" t="n">
        <v>0</v>
      </c>
      <c r="Q41" s="12">
        <f>K41+M41+O41</f>
        <v/>
      </c>
      <c r="R41" s="13">
        <f>L41+N41+P41</f>
        <v/>
      </c>
      <c r="S41" s="36">
        <f>R41-Q41</f>
        <v/>
      </c>
      <c r="T41" s="37" t="inlineStr"/>
    </row>
    <row r="42" ht="20" customHeight="1">
      <c r="B42" s="11" t="inlineStr">
        <is>
          <t>ESPAÑA</t>
        </is>
      </c>
      <c r="C42" s="31" t="inlineStr">
        <is>
          <t>CABRERA MORALES FRANCISCO</t>
        </is>
      </c>
      <c r="D42" s="11" t="inlineStr">
        <is>
          <t>CALCIO0020</t>
        </is>
      </c>
      <c r="E42" s="31" t="inlineStr">
        <is>
          <t>CALCIAMEC, 20 KG</t>
        </is>
      </c>
      <c r="F42" s="12" t="n">
        <v>0</v>
      </c>
      <c r="G42" s="13" t="n">
        <v>0</v>
      </c>
      <c r="H42" s="12">
        <f>ABS(G42-F42)</f>
        <v/>
      </c>
      <c r="I42" s="32">
        <f>IF(F42&gt;0, G42/F42, IF(G42&gt;0, 1.0, 0.0))</f>
        <v/>
      </c>
      <c r="J42" s="33" t="inlineStr"/>
      <c r="K42" s="34" t="n">
        <v>0</v>
      </c>
      <c r="L42" s="35" t="n">
        <v>0</v>
      </c>
      <c r="M42" s="34" t="n">
        <v>800</v>
      </c>
      <c r="N42" s="35" t="n">
        <v>800</v>
      </c>
      <c r="O42" s="34" t="n">
        <v>0</v>
      </c>
      <c r="P42" s="35" t="n">
        <v>0</v>
      </c>
      <c r="Q42" s="12">
        <f>K42+M42+O42</f>
        <v/>
      </c>
      <c r="R42" s="13">
        <f>L42+N42+P42</f>
        <v/>
      </c>
      <c r="S42" s="36">
        <f>R42-Q42</f>
        <v/>
      </c>
      <c r="T42" s="37" t="inlineStr"/>
    </row>
    <row r="43" ht="20" customHeight="1">
      <c r="B43" s="11" t="inlineStr">
        <is>
          <t>ESPAÑA</t>
        </is>
      </c>
      <c r="C43" s="31" t="inlineStr">
        <is>
          <t>CABRERA MORALES FRANCISCO</t>
        </is>
      </c>
      <c r="D43" s="11" t="inlineStr">
        <is>
          <t>PIV0005</t>
        </is>
      </c>
      <c r="E43" s="31" t="inlineStr">
        <is>
          <t>PGR IV, 5 L</t>
        </is>
      </c>
      <c r="F43" s="12" t="n">
        <v>0</v>
      </c>
      <c r="G43" s="13" t="n">
        <v>200</v>
      </c>
      <c r="H43" s="12">
        <f>ABS(G43-F43)</f>
        <v/>
      </c>
      <c r="I43" s="32">
        <f>IF(F43&gt;0, G43/F43, IF(G43&gt;0, 1.0, 0.0))</f>
        <v/>
      </c>
      <c r="J43" s="33" t="inlineStr">
        <is>
          <t>Pedido extra no previsto</t>
        </is>
      </c>
      <c r="K43" s="34" t="n">
        <v>0</v>
      </c>
      <c r="L43" s="35" t="n">
        <v>0</v>
      </c>
      <c r="M43" s="34" t="n">
        <v>0</v>
      </c>
      <c r="N43" s="35" t="n">
        <v>0</v>
      </c>
      <c r="O43" s="34" t="n">
        <v>0</v>
      </c>
      <c r="P43" s="35" t="n">
        <v>0</v>
      </c>
      <c r="Q43" s="12">
        <f>K43+M43+O43</f>
        <v/>
      </c>
      <c r="R43" s="13">
        <f>L43+N43+P43</f>
        <v/>
      </c>
      <c r="S43" s="36">
        <f>R43-Q43</f>
        <v/>
      </c>
      <c r="T43" s="37" t="inlineStr"/>
    </row>
    <row r="44" ht="20" customHeight="1">
      <c r="B44" s="11" t="inlineStr">
        <is>
          <t>ESPAÑA</t>
        </is>
      </c>
      <c r="C44" s="31" t="inlineStr">
        <is>
          <t>CABRERA MORALES FRANCISCO</t>
        </is>
      </c>
      <c r="D44" s="11" t="inlineStr">
        <is>
          <t>PIV0020</t>
        </is>
      </c>
      <c r="E44" s="31" t="inlineStr">
        <is>
          <t>PGR IV, 20 L</t>
        </is>
      </c>
      <c r="F44" s="12" t="n">
        <v>0</v>
      </c>
      <c r="G44" s="13" t="n">
        <v>200</v>
      </c>
      <c r="H44" s="12">
        <f>ABS(G44-F44)</f>
        <v/>
      </c>
      <c r="I44" s="32">
        <f>IF(F44&gt;0, G44/F44, IF(G44&gt;0, 1.0, 0.0))</f>
        <v/>
      </c>
      <c r="J44" s="33" t="inlineStr">
        <is>
          <t>Pedido extra no previsto</t>
        </is>
      </c>
      <c r="K44" s="34" t="n">
        <v>0</v>
      </c>
      <c r="L44" s="35" t="n">
        <v>0</v>
      </c>
      <c r="M44" s="34" t="n">
        <v>0</v>
      </c>
      <c r="N44" s="35" t="n">
        <v>0</v>
      </c>
      <c r="O44" s="34" t="n">
        <v>0</v>
      </c>
      <c r="P44" s="35" t="n">
        <v>0</v>
      </c>
      <c r="Q44" s="12">
        <f>K44+M44+O44</f>
        <v/>
      </c>
      <c r="R44" s="13">
        <f>L44+N44+P44</f>
        <v/>
      </c>
      <c r="S44" s="36">
        <f>R44-Q44</f>
        <v/>
      </c>
      <c r="T44" s="37" t="inlineStr"/>
    </row>
    <row r="45" ht="20" customHeight="1">
      <c r="B45" s="11" t="inlineStr">
        <is>
          <t>ESPAÑA</t>
        </is>
      </c>
      <c r="C45" s="31" t="inlineStr">
        <is>
          <t>CABRERA MORALES FRANCISCO</t>
        </is>
      </c>
      <c r="D45" s="11" t="inlineStr">
        <is>
          <t>SS0005</t>
        </is>
      </c>
      <c r="E45" s="31" t="inlineStr">
        <is>
          <t>SAL-WAX-Ca sólido, 5 KG</t>
        </is>
      </c>
      <c r="F45" s="12" t="n">
        <v>0</v>
      </c>
      <c r="G45" s="13" t="n">
        <v>0</v>
      </c>
      <c r="H45" s="12">
        <f>ABS(G45-F45)</f>
        <v/>
      </c>
      <c r="I45" s="32">
        <f>IF(F45&gt;0, G45/F45, IF(G45&gt;0, 1.0, 0.0))</f>
        <v/>
      </c>
      <c r="J45" s="33" t="inlineStr"/>
      <c r="K45" s="34" t="n">
        <v>0</v>
      </c>
      <c r="L45" s="35" t="n">
        <v>0</v>
      </c>
      <c r="M45" s="34" t="n">
        <v>750</v>
      </c>
      <c r="N45" s="35" t="n">
        <v>750</v>
      </c>
      <c r="O45" s="34" t="n">
        <v>0</v>
      </c>
      <c r="P45" s="35" t="n">
        <v>0</v>
      </c>
      <c r="Q45" s="12">
        <f>K45+M45+O45</f>
        <v/>
      </c>
      <c r="R45" s="13">
        <f>L45+N45+P45</f>
        <v/>
      </c>
      <c r="S45" s="36">
        <f>R45-Q45</f>
        <v/>
      </c>
      <c r="T45" s="37" t="inlineStr"/>
    </row>
    <row r="46" ht="20" customHeight="1">
      <c r="B46" s="11" t="inlineStr">
        <is>
          <t>ESPAÑA</t>
        </is>
      </c>
      <c r="C46" s="31" t="inlineStr">
        <is>
          <t>CABRERA MORALES FRANCISCO</t>
        </is>
      </c>
      <c r="D46" s="11" t="inlineStr">
        <is>
          <t>SS0020</t>
        </is>
      </c>
      <c r="E46" s="31" t="inlineStr">
        <is>
          <t>SAL-WAX-Ca sólido, 20 KG</t>
        </is>
      </c>
      <c r="F46" s="12" t="n">
        <v>0</v>
      </c>
      <c r="G46" s="13" t="n">
        <v>0</v>
      </c>
      <c r="H46" s="12">
        <f>ABS(G46-F46)</f>
        <v/>
      </c>
      <c r="I46" s="32">
        <f>IF(F46&gt;0, G46/F46, IF(G46&gt;0, 1.0, 0.0))</f>
        <v/>
      </c>
      <c r="J46" s="33" t="inlineStr"/>
      <c r="K46" s="34" t="n">
        <v>0</v>
      </c>
      <c r="L46" s="35" t="n">
        <v>0</v>
      </c>
      <c r="M46" s="34" t="n">
        <v>800</v>
      </c>
      <c r="N46" s="35" t="n">
        <v>800</v>
      </c>
      <c r="O46" s="34" t="n">
        <v>0</v>
      </c>
      <c r="P46" s="35" t="n">
        <v>0</v>
      </c>
      <c r="Q46" s="12">
        <f>K46+M46+O46</f>
        <v/>
      </c>
      <c r="R46" s="13">
        <f>L46+N46+P46</f>
        <v/>
      </c>
      <c r="S46" s="36">
        <f>R46-Q46</f>
        <v/>
      </c>
      <c r="T46" s="37" t="inlineStr"/>
    </row>
    <row r="47" ht="20" customHeight="1">
      <c r="B47" s="11" t="inlineStr">
        <is>
          <t>ESPAÑA</t>
        </is>
      </c>
      <c r="C47" s="31" t="inlineStr">
        <is>
          <t>CODIMED EXPORT, S.L.</t>
        </is>
      </c>
      <c r="D47" s="11" t="inlineStr">
        <is>
          <t>AGXK1000</t>
        </is>
      </c>
      <c r="E47" s="31" t="inlineStr">
        <is>
          <t>AGROXILATO-K, 1000 L</t>
        </is>
      </c>
      <c r="F47" s="12" t="n">
        <v>0</v>
      </c>
      <c r="G47" s="13" t="n">
        <v>0</v>
      </c>
      <c r="H47" s="12">
        <f>ABS(G47-F47)</f>
        <v/>
      </c>
      <c r="I47" s="32">
        <f>IF(F47&gt;0, G47/F47, IF(G47&gt;0, 1.0, 0.0))</f>
        <v/>
      </c>
      <c r="J47" s="33" t="inlineStr"/>
      <c r="K47" s="34" t="n">
        <v>2000</v>
      </c>
      <c r="L47" s="35" t="n">
        <v>2000</v>
      </c>
      <c r="M47" s="34" t="n">
        <v>2000</v>
      </c>
      <c r="N47" s="35" t="n">
        <v>2000</v>
      </c>
      <c r="O47" s="34" t="n">
        <v>0</v>
      </c>
      <c r="P47" s="35" t="n">
        <v>0</v>
      </c>
      <c r="Q47" s="12">
        <f>K47+M47+O47</f>
        <v/>
      </c>
      <c r="R47" s="13">
        <f>L47+N47+P47</f>
        <v/>
      </c>
      <c r="S47" s="36">
        <f>R47-Q47</f>
        <v/>
      </c>
      <c r="T47" s="37" t="inlineStr"/>
    </row>
    <row r="48" ht="20" customHeight="1">
      <c r="B48" s="11" t="inlineStr">
        <is>
          <t>ESPAÑA</t>
        </is>
      </c>
      <c r="C48" s="31" t="inlineStr">
        <is>
          <t>CODIMED EXPORT, S.L.</t>
        </is>
      </c>
      <c r="D48" s="11" t="inlineStr">
        <is>
          <t>AN0020</t>
        </is>
      </c>
      <c r="E48" s="31" t="inlineStr">
        <is>
          <t>ALCAPLANT NEW, 20 KG</t>
        </is>
      </c>
      <c r="F48" s="12" t="n">
        <v>0</v>
      </c>
      <c r="G48" s="13" t="n">
        <v>0</v>
      </c>
      <c r="H48" s="12">
        <f>ABS(G48-F48)</f>
        <v/>
      </c>
      <c r="I48" s="32">
        <f>IF(F48&gt;0, G48/F48, IF(G48&gt;0, 1.0, 0.0))</f>
        <v/>
      </c>
      <c r="J48" s="33" t="inlineStr"/>
      <c r="K48" s="34" t="n">
        <v>1100</v>
      </c>
      <c r="L48" s="35" t="n">
        <v>1100</v>
      </c>
      <c r="M48" s="34" t="n">
        <v>2200</v>
      </c>
      <c r="N48" s="35" t="n">
        <v>2200</v>
      </c>
      <c r="O48" s="34" t="n">
        <v>0</v>
      </c>
      <c r="P48" s="35" t="n">
        <v>0</v>
      </c>
      <c r="Q48" s="12">
        <f>K48+M48+O48</f>
        <v/>
      </c>
      <c r="R48" s="13">
        <f>L48+N48+P48</f>
        <v/>
      </c>
      <c r="S48" s="36">
        <f>R48-Q48</f>
        <v/>
      </c>
      <c r="T48" s="37" t="inlineStr"/>
    </row>
    <row r="49" ht="20" customHeight="1">
      <c r="B49" s="11" t="inlineStr">
        <is>
          <t>ESPAÑA</t>
        </is>
      </c>
      <c r="C49" s="31" t="inlineStr">
        <is>
          <t>CODIMED EXPORT, S.L.</t>
        </is>
      </c>
      <c r="D49" s="11" t="inlineStr">
        <is>
          <t>B0020</t>
        </is>
      </c>
      <c r="E49" s="31" t="inlineStr">
        <is>
          <t>BOROCAL, 20 L</t>
        </is>
      </c>
      <c r="F49" s="12" t="n">
        <v>0</v>
      </c>
      <c r="G49" s="13" t="n">
        <v>0</v>
      </c>
      <c r="H49" s="12">
        <f>ABS(G49-F49)</f>
        <v/>
      </c>
      <c r="I49" s="32">
        <f>IF(F49&gt;0, G49/F49, IF(G49&gt;0, 1.0, 0.0))</f>
        <v/>
      </c>
      <c r="J49" s="33" t="inlineStr"/>
      <c r="K49" s="34" t="n">
        <v>640</v>
      </c>
      <c r="L49" s="35" t="n">
        <v>640</v>
      </c>
      <c r="M49" s="34" t="n">
        <v>0</v>
      </c>
      <c r="N49" s="35" t="n">
        <v>0</v>
      </c>
      <c r="O49" s="34" t="n">
        <v>0</v>
      </c>
      <c r="P49" s="35" t="n">
        <v>0</v>
      </c>
      <c r="Q49" s="12">
        <f>K49+M49+O49</f>
        <v/>
      </c>
      <c r="R49" s="13">
        <f>L49+N49+P49</f>
        <v/>
      </c>
      <c r="S49" s="36">
        <f>R49-Q49</f>
        <v/>
      </c>
      <c r="T49" s="37" t="inlineStr"/>
    </row>
    <row r="50" ht="20" customHeight="1">
      <c r="B50" s="11" t="inlineStr">
        <is>
          <t>ESPAÑA</t>
        </is>
      </c>
      <c r="C50" s="31" t="inlineStr">
        <is>
          <t>CODIMED EXPORT, S.L.</t>
        </is>
      </c>
      <c r="D50" s="11" t="inlineStr">
        <is>
          <t>BIO0020</t>
        </is>
      </c>
      <c r="E50" s="31" t="inlineStr">
        <is>
          <t>BIORAD-20, 20 L</t>
        </is>
      </c>
      <c r="F50" s="12" t="n">
        <v>0</v>
      </c>
      <c r="G50" s="13" t="n">
        <v>640</v>
      </c>
      <c r="H50" s="12">
        <f>ABS(G50-F50)</f>
        <v/>
      </c>
      <c r="I50" s="32">
        <f>IF(F50&gt;0, G50/F50, IF(G50&gt;0, 1.0, 0.0))</f>
        <v/>
      </c>
      <c r="J50" s="33" t="inlineStr">
        <is>
          <t>Pedido extra no previsto</t>
        </is>
      </c>
      <c r="K50" s="34" t="n">
        <v>0</v>
      </c>
      <c r="L50" s="35" t="n">
        <v>0</v>
      </c>
      <c r="M50" s="34" t="n">
        <v>0</v>
      </c>
      <c r="N50" s="35" t="n">
        <v>0</v>
      </c>
      <c r="O50" s="34" t="n">
        <v>0</v>
      </c>
      <c r="P50" s="35" t="n">
        <v>0</v>
      </c>
      <c r="Q50" s="12">
        <f>K50+M50+O50</f>
        <v/>
      </c>
      <c r="R50" s="13">
        <f>L50+N50+P50</f>
        <v/>
      </c>
      <c r="S50" s="36">
        <f>R50-Q50</f>
        <v/>
      </c>
      <c r="T50" s="37" t="inlineStr"/>
    </row>
    <row r="51" ht="20" customHeight="1">
      <c r="B51" s="11" t="inlineStr">
        <is>
          <t>ESPAÑA</t>
        </is>
      </c>
      <c r="C51" s="31" t="inlineStr">
        <is>
          <t>CODIMED EXPORT, S.L.</t>
        </is>
      </c>
      <c r="D51" s="11" t="inlineStr">
        <is>
          <t>BIO1000</t>
        </is>
      </c>
      <c r="E51" s="31" t="inlineStr">
        <is>
          <t>BIORAD-20, 1000 L</t>
        </is>
      </c>
      <c r="F51" s="12" t="n">
        <v>0</v>
      </c>
      <c r="G51" s="13" t="n">
        <v>0</v>
      </c>
      <c r="H51" s="12">
        <f>ABS(G51-F51)</f>
        <v/>
      </c>
      <c r="I51" s="32">
        <f>IF(F51&gt;0, G51/F51, IF(G51&gt;0, 1.0, 0.0))</f>
        <v/>
      </c>
      <c r="J51" s="33" t="inlineStr"/>
      <c r="K51" s="34" t="n">
        <v>1000</v>
      </c>
      <c r="L51" s="35" t="n">
        <v>1000</v>
      </c>
      <c r="M51" s="34" t="n">
        <v>0</v>
      </c>
      <c r="N51" s="35" t="n">
        <v>0</v>
      </c>
      <c r="O51" s="34" t="n">
        <v>0</v>
      </c>
      <c r="P51" s="35" t="n">
        <v>0</v>
      </c>
      <c r="Q51" s="12">
        <f>K51+M51+O51</f>
        <v/>
      </c>
      <c r="R51" s="13">
        <f>L51+N51+P51</f>
        <v/>
      </c>
      <c r="S51" s="36">
        <f>R51-Q51</f>
        <v/>
      </c>
      <c r="T51" s="37" t="inlineStr"/>
    </row>
    <row r="52" ht="20" customHeight="1">
      <c r="B52" s="11" t="inlineStr">
        <is>
          <t>ESPAÑA</t>
        </is>
      </c>
      <c r="C52" s="31" t="inlineStr">
        <is>
          <t>CODIMED EXPORT, S.L.</t>
        </is>
      </c>
      <c r="D52" s="11" t="inlineStr">
        <is>
          <t>C-CU0020</t>
        </is>
      </c>
      <c r="E52" s="31" t="inlineStr">
        <is>
          <t>CODICOBRE, 20 L</t>
        </is>
      </c>
      <c r="F52" s="12" t="n">
        <v>0</v>
      </c>
      <c r="G52" s="13" t="n">
        <v>320</v>
      </c>
      <c r="H52" s="12">
        <f>ABS(G52-F52)</f>
        <v/>
      </c>
      <c r="I52" s="32">
        <f>IF(F52&gt;0, G52/F52, IF(G52&gt;0, 1.0, 0.0))</f>
        <v/>
      </c>
      <c r="J52" s="33" t="inlineStr">
        <is>
          <t>Pedido extra no previsto</t>
        </is>
      </c>
      <c r="K52" s="34" t="n">
        <v>640</v>
      </c>
      <c r="L52" s="35" t="n">
        <v>640</v>
      </c>
      <c r="M52" s="34" t="n">
        <v>0</v>
      </c>
      <c r="N52" s="35" t="n">
        <v>0</v>
      </c>
      <c r="O52" s="34" t="n">
        <v>0</v>
      </c>
      <c r="P52" s="35" t="n">
        <v>0</v>
      </c>
      <c r="Q52" s="12">
        <f>K52+M52+O52</f>
        <v/>
      </c>
      <c r="R52" s="13">
        <f>L52+N52+P52</f>
        <v/>
      </c>
      <c r="S52" s="36">
        <f>R52-Q52</f>
        <v/>
      </c>
      <c r="T52" s="37" t="inlineStr"/>
    </row>
    <row r="53" ht="20" customHeight="1">
      <c r="B53" s="11" t="inlineStr">
        <is>
          <t>ESPAÑA</t>
        </is>
      </c>
      <c r="C53" s="31" t="inlineStr">
        <is>
          <t>CODIMED EXPORT, S.L.</t>
        </is>
      </c>
      <c r="D53" s="11" t="inlineStr">
        <is>
          <t>C-L0005</t>
        </is>
      </c>
      <c r="E53" s="31" t="inlineStr">
        <is>
          <t>CODIBOR-L, 5 L</t>
        </is>
      </c>
      <c r="F53" s="12" t="n">
        <v>200</v>
      </c>
      <c r="G53" s="13" t="n">
        <v>300</v>
      </c>
      <c r="H53" s="12">
        <f>ABS(G53-F53)</f>
        <v/>
      </c>
      <c r="I53" s="32">
        <f>IF(F53&gt;0, G53/F53, IF(G53&gt;0, 1.0, 0.0))</f>
        <v/>
      </c>
      <c r="J53" s="33" t="inlineStr"/>
      <c r="K53" s="34" t="n">
        <v>0</v>
      </c>
      <c r="L53" s="35" t="n">
        <v>0</v>
      </c>
      <c r="M53" s="34" t="n">
        <v>0</v>
      </c>
      <c r="N53" s="35" t="n">
        <v>0</v>
      </c>
      <c r="O53" s="34" t="n">
        <v>0</v>
      </c>
      <c r="P53" s="35" t="n">
        <v>0</v>
      </c>
      <c r="Q53" s="12">
        <f>K53+M53+O53</f>
        <v/>
      </c>
      <c r="R53" s="13">
        <f>L53+N53+P53</f>
        <v/>
      </c>
      <c r="S53" s="36">
        <f>R53-Q53</f>
        <v/>
      </c>
      <c r="T53" s="37" t="inlineStr"/>
    </row>
    <row r="54" ht="20" customHeight="1">
      <c r="B54" s="11" t="inlineStr">
        <is>
          <t>ESPAÑA</t>
        </is>
      </c>
      <c r="C54" s="31" t="inlineStr">
        <is>
          <t>CODIMED EXPORT, S.L.</t>
        </is>
      </c>
      <c r="D54" s="11" t="inlineStr">
        <is>
          <t>C-L0020</t>
        </is>
      </c>
      <c r="E54" s="31" t="inlineStr">
        <is>
          <t>CODIBOR-L, 20 L</t>
        </is>
      </c>
      <c r="F54" s="12" t="n">
        <v>640</v>
      </c>
      <c r="G54" s="13" t="n">
        <v>960</v>
      </c>
      <c r="H54" s="12">
        <f>ABS(G54-F54)</f>
        <v/>
      </c>
      <c r="I54" s="32">
        <f>IF(F54&gt;0, G54/F54, IF(G54&gt;0, 1.0, 0.0))</f>
        <v/>
      </c>
      <c r="J54" s="33" t="inlineStr"/>
      <c r="K54" s="34" t="n">
        <v>0</v>
      </c>
      <c r="L54" s="35" t="n">
        <v>0</v>
      </c>
      <c r="M54" s="34" t="n">
        <v>0</v>
      </c>
      <c r="N54" s="35" t="n">
        <v>0</v>
      </c>
      <c r="O54" s="34" t="n">
        <v>0</v>
      </c>
      <c r="P54" s="35" t="n">
        <v>0</v>
      </c>
      <c r="Q54" s="12">
        <f>K54+M54+O54</f>
        <v/>
      </c>
      <c r="R54" s="13">
        <f>L54+N54+P54</f>
        <v/>
      </c>
      <c r="S54" s="36">
        <f>R54-Q54</f>
        <v/>
      </c>
      <c r="T54" s="37" t="inlineStr"/>
    </row>
    <row r="55" ht="20" customHeight="1">
      <c r="B55" s="11" t="inlineStr">
        <is>
          <t>ESPAÑA</t>
        </is>
      </c>
      <c r="C55" s="31" t="inlineStr">
        <is>
          <t>CODIMED EXPORT, S.L.</t>
        </is>
      </c>
      <c r="D55" s="11" t="inlineStr">
        <is>
          <t>PT0005</t>
        </is>
      </c>
      <c r="E55" s="31" t="inlineStr">
        <is>
          <t>AGROPOTASION, 5 L</t>
        </is>
      </c>
      <c r="F55" s="12" t="n">
        <v>0</v>
      </c>
      <c r="G55" s="13" t="n">
        <v>100</v>
      </c>
      <c r="H55" s="12">
        <f>ABS(G55-F55)</f>
        <v/>
      </c>
      <c r="I55" s="32">
        <f>IF(F55&gt;0, G55/F55, IF(G55&gt;0, 1.0, 0.0))</f>
        <v/>
      </c>
      <c r="J55" s="33" t="inlineStr">
        <is>
          <t>Pedido extra no previsto</t>
        </is>
      </c>
      <c r="K55" s="34" t="n">
        <v>0</v>
      </c>
      <c r="L55" s="35" t="n">
        <v>0</v>
      </c>
      <c r="M55" s="34" t="n">
        <v>0</v>
      </c>
      <c r="N55" s="35" t="n">
        <v>0</v>
      </c>
      <c r="O55" s="34" t="n">
        <v>0</v>
      </c>
      <c r="P55" s="35" t="n">
        <v>0</v>
      </c>
      <c r="Q55" s="12">
        <f>K55+M55+O55</f>
        <v/>
      </c>
      <c r="R55" s="13">
        <f>L55+N55+P55</f>
        <v/>
      </c>
      <c r="S55" s="36">
        <f>R55-Q55</f>
        <v/>
      </c>
      <c r="T55" s="37" t="inlineStr"/>
    </row>
    <row r="56" ht="20" customHeight="1">
      <c r="B56" s="11" t="inlineStr">
        <is>
          <t>ESPAÑA</t>
        </is>
      </c>
      <c r="C56" s="31" t="inlineStr">
        <is>
          <t>CODIMED EXPORT, S.L.</t>
        </is>
      </c>
      <c r="D56" s="11" t="inlineStr">
        <is>
          <t>PT0020</t>
        </is>
      </c>
      <c r="E56" s="31" t="inlineStr">
        <is>
          <t>AGROPOTASION, 20 L</t>
        </is>
      </c>
      <c r="F56" s="12" t="n">
        <v>0</v>
      </c>
      <c r="G56" s="13" t="n">
        <v>200</v>
      </c>
      <c r="H56" s="12">
        <f>ABS(G56-F56)</f>
        <v/>
      </c>
      <c r="I56" s="32">
        <f>IF(F56&gt;0, G56/F56, IF(G56&gt;0, 1.0, 0.0))</f>
        <v/>
      </c>
      <c r="J56" s="33" t="inlineStr">
        <is>
          <t>Pedido extra no previsto</t>
        </is>
      </c>
      <c r="K56" s="34" t="n">
        <v>0</v>
      </c>
      <c r="L56" s="35" t="n">
        <v>0</v>
      </c>
      <c r="M56" s="34" t="n">
        <v>0</v>
      </c>
      <c r="N56" s="35" t="n">
        <v>0</v>
      </c>
      <c r="O56" s="34" t="n">
        <v>0</v>
      </c>
      <c r="P56" s="35" t="n">
        <v>0</v>
      </c>
      <c r="Q56" s="12">
        <f>K56+M56+O56</f>
        <v/>
      </c>
      <c r="R56" s="13">
        <f>L56+N56+P56</f>
        <v/>
      </c>
      <c r="S56" s="36">
        <f>R56-Q56</f>
        <v/>
      </c>
      <c r="T56" s="37" t="inlineStr"/>
    </row>
    <row r="57" ht="20" customHeight="1">
      <c r="B57" s="11" t="inlineStr">
        <is>
          <t>ESPAÑA</t>
        </is>
      </c>
      <c r="C57" s="31" t="inlineStr">
        <is>
          <t>CODIMED EXPORT, S.L.</t>
        </is>
      </c>
      <c r="D57" s="11" t="inlineStr">
        <is>
          <t>SPCE2B0020</t>
        </is>
      </c>
      <c r="E57" s="31" t="inlineStr">
        <is>
          <t>SPRINTENE CON BORO, 20 L</t>
        </is>
      </c>
      <c r="F57" s="12" t="n">
        <v>0</v>
      </c>
      <c r="G57" s="13" t="n">
        <v>320</v>
      </c>
      <c r="H57" s="12">
        <f>ABS(G57-F57)</f>
        <v/>
      </c>
      <c r="I57" s="32">
        <f>IF(F57&gt;0, G57/F57, IF(G57&gt;0, 1.0, 0.0))</f>
        <v/>
      </c>
      <c r="J57" s="33" t="inlineStr">
        <is>
          <t>Pedido extra no previsto</t>
        </is>
      </c>
      <c r="K57" s="34" t="n">
        <v>0</v>
      </c>
      <c r="L57" s="35" t="n">
        <v>0</v>
      </c>
      <c r="M57" s="34" t="n">
        <v>0</v>
      </c>
      <c r="N57" s="35" t="n">
        <v>0</v>
      </c>
      <c r="O57" s="34" t="n">
        <v>0</v>
      </c>
      <c r="P57" s="35" t="n">
        <v>0</v>
      </c>
      <c r="Q57" s="12">
        <f>K57+M57+O57</f>
        <v/>
      </c>
      <c r="R57" s="13">
        <f>L57+N57+P57</f>
        <v/>
      </c>
      <c r="S57" s="36">
        <f>R57-Q57</f>
        <v/>
      </c>
      <c r="T57" s="37" t="inlineStr"/>
    </row>
    <row r="58" ht="20" customHeight="1">
      <c r="B58" s="11" t="inlineStr">
        <is>
          <t>ESPAÑA</t>
        </is>
      </c>
      <c r="C58" s="31" t="inlineStr">
        <is>
          <t>CODIMED EXPORT, S.L.</t>
        </is>
      </c>
      <c r="D58" s="11" t="inlineStr">
        <is>
          <t>SS0020</t>
        </is>
      </c>
      <c r="E58" s="31" t="inlineStr">
        <is>
          <t>SAL-WAX-Ca sólido, 20 KG</t>
        </is>
      </c>
      <c r="F58" s="12" t="n">
        <v>0</v>
      </c>
      <c r="G58" s="13" t="n">
        <v>0</v>
      </c>
      <c r="H58" s="12">
        <f>ABS(G58-F58)</f>
        <v/>
      </c>
      <c r="I58" s="32">
        <f>IF(F58&gt;0, G58/F58, IF(G58&gt;0, 1.0, 0.0))</f>
        <v/>
      </c>
      <c r="J58" s="33" t="inlineStr"/>
      <c r="K58" s="34" t="n">
        <v>800</v>
      </c>
      <c r="L58" s="35" t="n">
        <v>800</v>
      </c>
      <c r="M58" s="34" t="n">
        <v>0</v>
      </c>
      <c r="N58" s="35" t="n">
        <v>0</v>
      </c>
      <c r="O58" s="34" t="n">
        <v>0</v>
      </c>
      <c r="P58" s="35" t="n">
        <v>0</v>
      </c>
      <c r="Q58" s="12">
        <f>K58+M58+O58</f>
        <v/>
      </c>
      <c r="R58" s="13">
        <f>L58+N58+P58</f>
        <v/>
      </c>
      <c r="S58" s="36">
        <f>R58-Q58</f>
        <v/>
      </c>
      <c r="T58" s="37" t="inlineStr"/>
    </row>
    <row r="59" ht="20" customHeight="1">
      <c r="B59" s="11" t="inlineStr">
        <is>
          <t>ESPAÑA</t>
        </is>
      </c>
      <c r="C59" s="31" t="inlineStr">
        <is>
          <t>FINCA DOÑA ANA C.B.</t>
        </is>
      </c>
      <c r="D59" s="11" t="inlineStr">
        <is>
          <t>A-50(2)0020</t>
        </is>
      </c>
      <c r="E59" s="31" t="inlineStr">
        <is>
          <t>CODIORGAN-A50, 20 KG</t>
        </is>
      </c>
      <c r="F59" s="12" t="n">
        <v>0</v>
      </c>
      <c r="G59" s="13" t="n">
        <v>120</v>
      </c>
      <c r="H59" s="12">
        <f>ABS(G59-F59)</f>
        <v/>
      </c>
      <c r="I59" s="32">
        <f>IF(F59&gt;0, G59/F59, IF(G59&gt;0, 1.0, 0.0))</f>
        <v/>
      </c>
      <c r="J59" s="33" t="inlineStr">
        <is>
          <t>Pedido extra no previsto</t>
        </is>
      </c>
      <c r="K59" s="34" t="n">
        <v>0</v>
      </c>
      <c r="L59" s="35" t="n">
        <v>0</v>
      </c>
      <c r="M59" s="34" t="n">
        <v>0</v>
      </c>
      <c r="N59" s="35" t="n">
        <v>0</v>
      </c>
      <c r="O59" s="34" t="n">
        <v>0</v>
      </c>
      <c r="P59" s="35" t="n">
        <v>0</v>
      </c>
      <c r="Q59" s="12">
        <f>K59+M59+O59</f>
        <v/>
      </c>
      <c r="R59" s="13">
        <f>L59+N59+P59</f>
        <v/>
      </c>
      <c r="S59" s="36">
        <f>R59-Q59</f>
        <v/>
      </c>
      <c r="T59" s="37" t="inlineStr"/>
    </row>
    <row r="60" ht="20" customHeight="1">
      <c r="B60" s="11" t="inlineStr">
        <is>
          <t>ESPAÑA</t>
        </is>
      </c>
      <c r="C60" s="31" t="inlineStr">
        <is>
          <t>FINCA DOÑA ANA C.B.</t>
        </is>
      </c>
      <c r="D60" s="11" t="inlineStr">
        <is>
          <t>C-CU1000</t>
        </is>
      </c>
      <c r="E60" s="31" t="inlineStr">
        <is>
          <t>CODICOBRE, 1000 L</t>
        </is>
      </c>
      <c r="F60" s="12" t="n">
        <v>0</v>
      </c>
      <c r="G60" s="13" t="n">
        <v>1000</v>
      </c>
      <c r="H60" s="12">
        <f>ABS(G60-F60)</f>
        <v/>
      </c>
      <c r="I60" s="32">
        <f>IF(F60&gt;0, G60/F60, IF(G60&gt;0, 1.0, 0.0))</f>
        <v/>
      </c>
      <c r="J60" s="33" t="inlineStr">
        <is>
          <t>Pedido extra no previsto</t>
        </is>
      </c>
      <c r="K60" s="34" t="n">
        <v>0</v>
      </c>
      <c r="L60" s="35" t="n">
        <v>0</v>
      </c>
      <c r="M60" s="34" t="n">
        <v>0</v>
      </c>
      <c r="N60" s="35" t="n">
        <v>0</v>
      </c>
      <c r="O60" s="34" t="n">
        <v>0</v>
      </c>
      <c r="P60" s="35" t="n">
        <v>0</v>
      </c>
      <c r="Q60" s="12">
        <f>K60+M60+O60</f>
        <v/>
      </c>
      <c r="R60" s="13">
        <f>L60+N60+P60</f>
        <v/>
      </c>
      <c r="S60" s="36">
        <f>R60-Q60</f>
        <v/>
      </c>
      <c r="T60" s="37" t="inlineStr"/>
    </row>
    <row r="61" ht="20" customHeight="1">
      <c r="B61" s="11" t="inlineStr">
        <is>
          <t>ESPAÑA</t>
        </is>
      </c>
      <c r="C61" s="31" t="inlineStr">
        <is>
          <t>FITOSANITARIOS CARCAIXENT, S.L.</t>
        </is>
      </c>
      <c r="D61" s="11" t="inlineStr">
        <is>
          <t>C-CU0005</t>
        </is>
      </c>
      <c r="E61" s="31" t="inlineStr">
        <is>
          <t>CODICOBRE, 5 L</t>
        </is>
      </c>
      <c r="F61" s="12" t="n">
        <v>0</v>
      </c>
      <c r="G61" s="13" t="n">
        <v>100</v>
      </c>
      <c r="H61" s="12">
        <f>ABS(G61-F61)</f>
        <v/>
      </c>
      <c r="I61" s="32">
        <f>IF(F61&gt;0, G61/F61, IF(G61&gt;0, 1.0, 0.0))</f>
        <v/>
      </c>
      <c r="J61" s="33" t="inlineStr">
        <is>
          <t>Pedido extra no previsto</t>
        </is>
      </c>
      <c r="K61" s="34" t="n">
        <v>0</v>
      </c>
      <c r="L61" s="35" t="n">
        <v>0</v>
      </c>
      <c r="M61" s="34" t="n">
        <v>0</v>
      </c>
      <c r="N61" s="35" t="n">
        <v>0</v>
      </c>
      <c r="O61" s="34" t="n">
        <v>0</v>
      </c>
      <c r="P61" s="35" t="n">
        <v>0</v>
      </c>
      <c r="Q61" s="12">
        <f>K61+M61+O61</f>
        <v/>
      </c>
      <c r="R61" s="13">
        <f>L61+N61+P61</f>
        <v/>
      </c>
      <c r="S61" s="36">
        <f>R61-Q61</f>
        <v/>
      </c>
      <c r="T61" s="37" t="inlineStr"/>
    </row>
    <row r="62" ht="20" customHeight="1">
      <c r="B62" s="11" t="inlineStr">
        <is>
          <t>ESPAÑA</t>
        </is>
      </c>
      <c r="C62" s="31" t="inlineStr">
        <is>
          <t>FITOSANITARIOS CARCAIXENT, S.L.</t>
        </is>
      </c>
      <c r="D62" s="11" t="inlineStr">
        <is>
          <t>G30020</t>
        </is>
      </c>
      <c r="E62" s="31" t="inlineStr">
        <is>
          <t>GREEN-UP, 20 L</t>
        </is>
      </c>
      <c r="F62" s="12" t="n">
        <v>0</v>
      </c>
      <c r="G62" s="13" t="n">
        <v>200</v>
      </c>
      <c r="H62" s="12">
        <f>ABS(G62-F62)</f>
        <v/>
      </c>
      <c r="I62" s="32">
        <f>IF(F62&gt;0, G62/F62, IF(G62&gt;0, 1.0, 0.0))</f>
        <v/>
      </c>
      <c r="J62" s="33" t="inlineStr">
        <is>
          <t>Pedido extra no previsto</t>
        </is>
      </c>
      <c r="K62" s="34" t="n">
        <v>0</v>
      </c>
      <c r="L62" s="35" t="n">
        <v>0</v>
      </c>
      <c r="M62" s="34" t="n">
        <v>0</v>
      </c>
      <c r="N62" s="35" t="n">
        <v>0</v>
      </c>
      <c r="O62" s="34" t="n">
        <v>0</v>
      </c>
      <c r="P62" s="35" t="n">
        <v>0</v>
      </c>
      <c r="Q62" s="12">
        <f>K62+M62+O62</f>
        <v/>
      </c>
      <c r="R62" s="13">
        <f>L62+N62+P62</f>
        <v/>
      </c>
      <c r="S62" s="36">
        <f>R62-Q62</f>
        <v/>
      </c>
      <c r="T62" s="37" t="inlineStr"/>
    </row>
    <row r="63" ht="20" customHeight="1">
      <c r="B63" s="11" t="inlineStr">
        <is>
          <t>ESPAÑA</t>
        </is>
      </c>
      <c r="C63" s="31" t="inlineStr">
        <is>
          <t>FITOSANITARIOS CARCAIXENT, S.L.</t>
        </is>
      </c>
      <c r="D63" s="11" t="inlineStr">
        <is>
          <t>HST0020</t>
        </is>
      </c>
      <c r="E63" s="31" t="inlineStr">
        <is>
          <t>HIDROSTRESS-40, 20 L</t>
        </is>
      </c>
      <c r="F63" s="12" t="n">
        <v>0</v>
      </c>
      <c r="G63" s="13" t="n">
        <v>100</v>
      </c>
      <c r="H63" s="12">
        <f>ABS(G63-F63)</f>
        <v/>
      </c>
      <c r="I63" s="32">
        <f>IF(F63&gt;0, G63/F63, IF(G63&gt;0, 1.0, 0.0))</f>
        <v/>
      </c>
      <c r="J63" s="33" t="inlineStr">
        <is>
          <t>Pedido extra no previsto</t>
        </is>
      </c>
      <c r="K63" s="34" t="n">
        <v>0</v>
      </c>
      <c r="L63" s="35" t="n">
        <v>0</v>
      </c>
      <c r="M63" s="34" t="n">
        <v>0</v>
      </c>
      <c r="N63" s="35" t="n">
        <v>0</v>
      </c>
      <c r="O63" s="34" t="n">
        <v>0</v>
      </c>
      <c r="P63" s="35" t="n">
        <v>0</v>
      </c>
      <c r="Q63" s="12">
        <f>K63+M63+O63</f>
        <v/>
      </c>
      <c r="R63" s="13">
        <f>L63+N63+P63</f>
        <v/>
      </c>
      <c r="S63" s="36">
        <f>R63-Q63</f>
        <v/>
      </c>
      <c r="T63" s="37" t="inlineStr"/>
    </row>
    <row r="64" ht="20" customHeight="1">
      <c r="B64" s="11" t="inlineStr">
        <is>
          <t>ESPAÑA</t>
        </is>
      </c>
      <c r="C64" s="31" t="inlineStr">
        <is>
          <t>FITOSANITARIOS CARCAIXENT, S.L.</t>
        </is>
      </c>
      <c r="D64" s="11" t="inlineStr">
        <is>
          <t>PT0005</t>
        </is>
      </c>
      <c r="E64" s="31" t="inlineStr">
        <is>
          <t>AGROPOTASION, 5 L</t>
        </is>
      </c>
      <c r="F64" s="12" t="n">
        <v>0</v>
      </c>
      <c r="G64" s="13" t="n">
        <v>600</v>
      </c>
      <c r="H64" s="12">
        <f>ABS(G64-F64)</f>
        <v/>
      </c>
      <c r="I64" s="32">
        <f>IF(F64&gt;0, G64/F64, IF(G64&gt;0, 1.0, 0.0))</f>
        <v/>
      </c>
      <c r="J64" s="33" t="inlineStr">
        <is>
          <t>Pedido extra no previsto</t>
        </is>
      </c>
      <c r="K64" s="34" t="n">
        <v>0</v>
      </c>
      <c r="L64" s="35" t="n">
        <v>0</v>
      </c>
      <c r="M64" s="34" t="n">
        <v>0</v>
      </c>
      <c r="N64" s="35" t="n">
        <v>0</v>
      </c>
      <c r="O64" s="34" t="n">
        <v>0</v>
      </c>
      <c r="P64" s="35" t="n">
        <v>0</v>
      </c>
      <c r="Q64" s="12">
        <f>K64+M64+O64</f>
        <v/>
      </c>
      <c r="R64" s="13">
        <f>L64+N64+P64</f>
        <v/>
      </c>
      <c r="S64" s="36">
        <f>R64-Q64</f>
        <v/>
      </c>
      <c r="T64" s="37" t="inlineStr"/>
    </row>
    <row r="65" ht="20" customHeight="1">
      <c r="B65" s="11" t="inlineStr">
        <is>
          <t>ESPAÑA</t>
        </is>
      </c>
      <c r="C65" s="31" t="inlineStr">
        <is>
          <t>FITOSANITARIOS CARCAIXENT, S.L.</t>
        </is>
      </c>
      <c r="D65" s="11" t="inlineStr">
        <is>
          <t>PT0020</t>
        </is>
      </c>
      <c r="E65" s="31" t="inlineStr">
        <is>
          <t>AGROPOTASION, 20 L</t>
        </is>
      </c>
      <c r="F65" s="12" t="n">
        <v>0</v>
      </c>
      <c r="G65" s="13" t="n">
        <v>1920</v>
      </c>
      <c r="H65" s="12">
        <f>ABS(G65-F65)</f>
        <v/>
      </c>
      <c r="I65" s="32">
        <f>IF(F65&gt;0, G65/F65, IF(G65&gt;0, 1.0, 0.0))</f>
        <v/>
      </c>
      <c r="J65" s="33" t="inlineStr">
        <is>
          <t>Pedido extra no previsto</t>
        </is>
      </c>
      <c r="K65" s="34" t="n">
        <v>0</v>
      </c>
      <c r="L65" s="35" t="n">
        <v>0</v>
      </c>
      <c r="M65" s="34" t="n">
        <v>0</v>
      </c>
      <c r="N65" s="35" t="n">
        <v>0</v>
      </c>
      <c r="O65" s="34" t="n">
        <v>0</v>
      </c>
      <c r="P65" s="35" t="n">
        <v>0</v>
      </c>
      <c r="Q65" s="12">
        <f>K65+M65+O65</f>
        <v/>
      </c>
      <c r="R65" s="13">
        <f>L65+N65+P65</f>
        <v/>
      </c>
      <c r="S65" s="36">
        <f>R65-Q65</f>
        <v/>
      </c>
      <c r="T65" s="37" t="inlineStr"/>
    </row>
    <row r="66" ht="20" customHeight="1">
      <c r="B66" s="11" t="inlineStr">
        <is>
          <t>ESPAÑA</t>
        </is>
      </c>
      <c r="C66" s="31" t="inlineStr">
        <is>
          <t>FITOSANITARIOS DRAGO S.L.U</t>
        </is>
      </c>
      <c r="D66" s="11" t="inlineStr">
        <is>
          <t>AGXK0020</t>
        </is>
      </c>
      <c r="E66" s="31" t="inlineStr">
        <is>
          <t>AGROXILATO-K, 20 L</t>
        </is>
      </c>
      <c r="F66" s="12" t="n">
        <v>0</v>
      </c>
      <c r="G66" s="13" t="n">
        <v>0</v>
      </c>
      <c r="H66" s="12">
        <f>ABS(G66-F66)</f>
        <v/>
      </c>
      <c r="I66" s="32">
        <f>IF(F66&gt;0, G66/F66, IF(G66&gt;0, 1.0, 0.0))</f>
        <v/>
      </c>
      <c r="J66" s="33" t="inlineStr"/>
      <c r="K66" s="34" t="n">
        <v>0</v>
      </c>
      <c r="L66" s="35" t="n">
        <v>0</v>
      </c>
      <c r="M66" s="34" t="n">
        <v>1280</v>
      </c>
      <c r="N66" s="35" t="n">
        <v>1280</v>
      </c>
      <c r="O66" s="34" t="n">
        <v>0</v>
      </c>
      <c r="P66" s="35" t="n">
        <v>0</v>
      </c>
      <c r="Q66" s="12">
        <f>K66+M66+O66</f>
        <v/>
      </c>
      <c r="R66" s="13">
        <f>L66+N66+P66</f>
        <v/>
      </c>
      <c r="S66" s="36">
        <f>R66-Q66</f>
        <v/>
      </c>
      <c r="T66" s="37" t="inlineStr"/>
    </row>
    <row r="67" ht="20" customHeight="1">
      <c r="B67" s="11" t="inlineStr">
        <is>
          <t>ESPAÑA</t>
        </is>
      </c>
      <c r="C67" s="31" t="inlineStr">
        <is>
          <t>FITOSANITARIOS DRAGO S.L.U</t>
        </is>
      </c>
      <c r="D67" s="11" t="inlineStr">
        <is>
          <t>AGXK0200</t>
        </is>
      </c>
      <c r="E67" s="31" t="inlineStr">
        <is>
          <t>AGROXILATO-K, 200 L</t>
        </is>
      </c>
      <c r="F67" s="12" t="n">
        <v>0</v>
      </c>
      <c r="G67" s="13" t="n">
        <v>1600</v>
      </c>
      <c r="H67" s="12">
        <f>ABS(G67-F67)</f>
        <v/>
      </c>
      <c r="I67" s="32">
        <f>IF(F67&gt;0, G67/F67, IF(G67&gt;0, 1.0, 0.0))</f>
        <v/>
      </c>
      <c r="J67" s="33" t="inlineStr">
        <is>
          <t>Pedido extra no previsto</t>
        </is>
      </c>
      <c r="K67" s="34" t="n">
        <v>800</v>
      </c>
      <c r="L67" s="35" t="n">
        <v>800</v>
      </c>
      <c r="M67" s="34" t="n">
        <v>2400</v>
      </c>
      <c r="N67" s="35" t="n">
        <v>2400</v>
      </c>
      <c r="O67" s="34" t="n">
        <v>0</v>
      </c>
      <c r="P67" s="35" t="n">
        <v>0</v>
      </c>
      <c r="Q67" s="12">
        <f>K67+M67+O67</f>
        <v/>
      </c>
      <c r="R67" s="13">
        <f>L67+N67+P67</f>
        <v/>
      </c>
      <c r="S67" s="36">
        <f>R67-Q67</f>
        <v/>
      </c>
      <c r="T67" s="37" t="inlineStr"/>
    </row>
    <row r="68" ht="20" customHeight="1">
      <c r="B68" s="11" t="inlineStr">
        <is>
          <t>ESPAÑA</t>
        </is>
      </c>
      <c r="C68" s="31" t="inlineStr">
        <is>
          <t>FITOSANITARIOS DRAGO S.L.U</t>
        </is>
      </c>
      <c r="D68" s="11" t="inlineStr">
        <is>
          <t>AGXK1000</t>
        </is>
      </c>
      <c r="E68" s="31" t="inlineStr">
        <is>
          <t>AGROXILATO-K, 1000 L</t>
        </is>
      </c>
      <c r="F68" s="12" t="n">
        <v>0</v>
      </c>
      <c r="G68" s="13" t="n">
        <v>10000</v>
      </c>
      <c r="H68" s="12">
        <f>ABS(G68-F68)</f>
        <v/>
      </c>
      <c r="I68" s="32">
        <f>IF(F68&gt;0, G68/F68, IF(G68&gt;0, 1.0, 0.0))</f>
        <v/>
      </c>
      <c r="J68" s="33" t="inlineStr">
        <is>
          <t>Pedido extra no previsto</t>
        </is>
      </c>
      <c r="K68" s="34" t="n">
        <v>8000</v>
      </c>
      <c r="L68" s="35" t="n">
        <v>8000</v>
      </c>
      <c r="M68" s="34" t="n">
        <v>6000</v>
      </c>
      <c r="N68" s="35" t="n">
        <v>6000</v>
      </c>
      <c r="O68" s="34" t="n">
        <v>0</v>
      </c>
      <c r="P68" s="35" t="n">
        <v>0</v>
      </c>
      <c r="Q68" s="12">
        <f>K68+M68+O68</f>
        <v/>
      </c>
      <c r="R68" s="13">
        <f>L68+N68+P68</f>
        <v/>
      </c>
      <c r="S68" s="36">
        <f>R68-Q68</f>
        <v/>
      </c>
      <c r="T68" s="37" t="inlineStr"/>
    </row>
    <row r="69" ht="20" customHeight="1">
      <c r="B69" s="11" t="inlineStr">
        <is>
          <t>ESPAÑA</t>
        </is>
      </c>
      <c r="C69" s="31" t="inlineStr">
        <is>
          <t>FITOSANITARIOS DRAGO S.L.U</t>
        </is>
      </c>
      <c r="D69" s="11" t="inlineStr">
        <is>
          <t>AVAN0020</t>
        </is>
      </c>
      <c r="E69" s="31" t="inlineStr">
        <is>
          <t>FLORAMEC AVANCE, 20 L</t>
        </is>
      </c>
      <c r="F69" s="12" t="n">
        <v>0</v>
      </c>
      <c r="G69" s="13" t="n">
        <v>0</v>
      </c>
      <c r="H69" s="12">
        <f>ABS(G69-F69)</f>
        <v/>
      </c>
      <c r="I69" s="32">
        <f>IF(F69&gt;0, G69/F69, IF(G69&gt;0, 1.0, 0.0))</f>
        <v/>
      </c>
      <c r="J69" s="33" t="inlineStr"/>
      <c r="K69" s="34" t="n">
        <v>220</v>
      </c>
      <c r="L69" s="35" t="n">
        <v>220</v>
      </c>
      <c r="M69" s="34" t="n">
        <v>220</v>
      </c>
      <c r="N69" s="35" t="n">
        <v>220</v>
      </c>
      <c r="O69" s="34" t="n">
        <v>0</v>
      </c>
      <c r="P69" s="35" t="n">
        <v>0</v>
      </c>
      <c r="Q69" s="12">
        <f>K69+M69+O69</f>
        <v/>
      </c>
      <c r="R69" s="13">
        <f>L69+N69+P69</f>
        <v/>
      </c>
      <c r="S69" s="36">
        <f>R69-Q69</f>
        <v/>
      </c>
      <c r="T69" s="37" t="inlineStr"/>
    </row>
    <row r="70" ht="20" customHeight="1">
      <c r="B70" s="11" t="inlineStr">
        <is>
          <t>ESPAÑA</t>
        </is>
      </c>
      <c r="C70" s="31" t="inlineStr">
        <is>
          <t>FITOSANITARIOS DRAGO S.L.U</t>
        </is>
      </c>
      <c r="D70" s="11" t="inlineStr">
        <is>
          <t>C-CU0001</t>
        </is>
      </c>
      <c r="E70" s="31" t="inlineStr">
        <is>
          <t>CODICOBRE, 1 L</t>
        </is>
      </c>
      <c r="F70" s="12" t="n">
        <v>0</v>
      </c>
      <c r="G70" s="13" t="n">
        <v>24</v>
      </c>
      <c r="H70" s="12">
        <f>ABS(G70-F70)</f>
        <v/>
      </c>
      <c r="I70" s="32">
        <f>IF(F70&gt;0, G70/F70, IF(G70&gt;0, 1.0, 0.0))</f>
        <v/>
      </c>
      <c r="J70" s="33" t="inlineStr">
        <is>
          <t>Pedido extra no previsto</t>
        </is>
      </c>
      <c r="K70" s="34" t="n">
        <v>0</v>
      </c>
      <c r="L70" s="35" t="n">
        <v>0</v>
      </c>
      <c r="M70" s="34" t="n">
        <v>0</v>
      </c>
      <c r="N70" s="35" t="n">
        <v>0</v>
      </c>
      <c r="O70" s="34" t="n">
        <v>0</v>
      </c>
      <c r="P70" s="35" t="n">
        <v>0</v>
      </c>
      <c r="Q70" s="12">
        <f>K70+M70+O70</f>
        <v/>
      </c>
      <c r="R70" s="13">
        <f>L70+N70+P70</f>
        <v/>
      </c>
      <c r="S70" s="36">
        <f>R70-Q70</f>
        <v/>
      </c>
      <c r="T70" s="37" t="inlineStr"/>
    </row>
    <row r="71" ht="20" customHeight="1">
      <c r="B71" s="11" t="inlineStr">
        <is>
          <t>ESPAÑA</t>
        </is>
      </c>
      <c r="C71" s="31" t="inlineStr">
        <is>
          <t>FITOSANITARIOS DRAGO S.L.U</t>
        </is>
      </c>
      <c r="D71" s="11" t="inlineStr">
        <is>
          <t>JF0020</t>
        </is>
      </c>
      <c r="E71" s="31" t="inlineStr">
        <is>
          <t>DRAGO-FOS, 20 L</t>
        </is>
      </c>
      <c r="F71" s="12" t="n">
        <v>0</v>
      </c>
      <c r="G71" s="13" t="n">
        <v>1280</v>
      </c>
      <c r="H71" s="12">
        <f>ABS(G71-F71)</f>
        <v/>
      </c>
      <c r="I71" s="32">
        <f>IF(F71&gt;0, G71/F71, IF(G71&gt;0, 1.0, 0.0))</f>
        <v/>
      </c>
      <c r="J71" s="33" t="inlineStr">
        <is>
          <t>Pedido extra no previsto</t>
        </is>
      </c>
      <c r="K71" s="34" t="n">
        <v>1280</v>
      </c>
      <c r="L71" s="35" t="n">
        <v>1280</v>
      </c>
      <c r="M71" s="34" t="n">
        <v>1920</v>
      </c>
      <c r="N71" s="35" t="n">
        <v>1920</v>
      </c>
      <c r="O71" s="34" t="n">
        <v>0</v>
      </c>
      <c r="P71" s="35" t="n">
        <v>0</v>
      </c>
      <c r="Q71" s="12">
        <f>K71+M71+O71</f>
        <v/>
      </c>
      <c r="R71" s="13">
        <f>L71+N71+P71</f>
        <v/>
      </c>
      <c r="S71" s="36">
        <f>R71-Q71</f>
        <v/>
      </c>
      <c r="T71" s="37" t="inlineStr"/>
    </row>
    <row r="72" ht="20" customHeight="1">
      <c r="B72" s="11" t="inlineStr">
        <is>
          <t>ESPAÑA</t>
        </is>
      </c>
      <c r="C72" s="31" t="inlineStr">
        <is>
          <t>FITOSANITARIOS DRAGO S.L.U</t>
        </is>
      </c>
      <c r="D72" s="11" t="inlineStr">
        <is>
          <t>PHD0005</t>
        </is>
      </c>
      <c r="E72" s="31" t="inlineStr">
        <is>
          <t xml:space="preserve">PH-DOWNER, 5 L   </t>
        </is>
      </c>
      <c r="F72" s="12" t="n">
        <v>0</v>
      </c>
      <c r="G72" s="13" t="n">
        <v>400</v>
      </c>
      <c r="H72" s="12">
        <f>ABS(G72-F72)</f>
        <v/>
      </c>
      <c r="I72" s="32">
        <f>IF(F72&gt;0, G72/F72, IF(G72&gt;0, 1.0, 0.0))</f>
        <v/>
      </c>
      <c r="J72" s="33" t="inlineStr">
        <is>
          <t>Pedido extra no previsto</t>
        </is>
      </c>
      <c r="K72" s="34" t="n">
        <v>0</v>
      </c>
      <c r="L72" s="35" t="n">
        <v>0</v>
      </c>
      <c r="M72" s="34" t="n">
        <v>0</v>
      </c>
      <c r="N72" s="35" t="n">
        <v>0</v>
      </c>
      <c r="O72" s="34" t="n">
        <v>0</v>
      </c>
      <c r="P72" s="35" t="n">
        <v>0</v>
      </c>
      <c r="Q72" s="12">
        <f>K72+M72+O72</f>
        <v/>
      </c>
      <c r="R72" s="13">
        <f>L72+N72+P72</f>
        <v/>
      </c>
      <c r="S72" s="36">
        <f>R72-Q72</f>
        <v/>
      </c>
      <c r="T72" s="37" t="inlineStr"/>
    </row>
    <row r="73" ht="20" customHeight="1">
      <c r="B73" s="11" t="inlineStr">
        <is>
          <t>ESPAÑA</t>
        </is>
      </c>
      <c r="C73" s="31" t="inlineStr">
        <is>
          <t>FITOSANITARIOS DRAGO S.L.U</t>
        </is>
      </c>
      <c r="D73" s="11" t="inlineStr">
        <is>
          <t>PHD0020</t>
        </is>
      </c>
      <c r="E73" s="31" t="inlineStr">
        <is>
          <t>PH-DOWNER, 20 L</t>
        </is>
      </c>
      <c r="F73" s="12" t="n">
        <v>0</v>
      </c>
      <c r="G73" s="13" t="n">
        <v>640</v>
      </c>
      <c r="H73" s="12">
        <f>ABS(G73-F73)</f>
        <v/>
      </c>
      <c r="I73" s="32">
        <f>IF(F73&gt;0, G73/F73, IF(G73&gt;0, 1.0, 0.0))</f>
        <v/>
      </c>
      <c r="J73" s="33" t="inlineStr">
        <is>
          <t>Pedido extra no previsto</t>
        </is>
      </c>
      <c r="K73" s="34" t="n">
        <v>1280</v>
      </c>
      <c r="L73" s="35" t="n">
        <v>1280</v>
      </c>
      <c r="M73" s="34" t="n">
        <v>0</v>
      </c>
      <c r="N73" s="35" t="n">
        <v>0</v>
      </c>
      <c r="O73" s="34" t="n">
        <v>0</v>
      </c>
      <c r="P73" s="35" t="n">
        <v>0</v>
      </c>
      <c r="Q73" s="12">
        <f>K73+M73+O73</f>
        <v/>
      </c>
      <c r="R73" s="13">
        <f>L73+N73+P73</f>
        <v/>
      </c>
      <c r="S73" s="36">
        <f>R73-Q73</f>
        <v/>
      </c>
      <c r="T73" s="37" t="inlineStr"/>
    </row>
    <row r="74" ht="20" customHeight="1">
      <c r="B74" s="11" t="inlineStr">
        <is>
          <t>ESPAÑA</t>
        </is>
      </c>
      <c r="C74" s="31" t="inlineStr">
        <is>
          <t>FITOSANITARIOS DRAGO S.L.U</t>
        </is>
      </c>
      <c r="D74" s="11" t="inlineStr">
        <is>
          <t>S0200</t>
        </is>
      </c>
      <c r="E74" s="31" t="inlineStr">
        <is>
          <t>SAL-WAX STAR, 200 L</t>
        </is>
      </c>
      <c r="F74" s="12" t="n">
        <v>0</v>
      </c>
      <c r="G74" s="13" t="n">
        <v>800</v>
      </c>
      <c r="H74" s="12">
        <f>ABS(G74-F74)</f>
        <v/>
      </c>
      <c r="I74" s="32">
        <f>IF(F74&gt;0, G74/F74, IF(G74&gt;0, 1.0, 0.0))</f>
        <v/>
      </c>
      <c r="J74" s="33" t="inlineStr">
        <is>
          <t>Pedido extra no previsto</t>
        </is>
      </c>
      <c r="K74" s="34" t="n">
        <v>0</v>
      </c>
      <c r="L74" s="35" t="n">
        <v>0</v>
      </c>
      <c r="M74" s="34" t="n">
        <v>0</v>
      </c>
      <c r="N74" s="35" t="n">
        <v>0</v>
      </c>
      <c r="O74" s="34" t="n">
        <v>0</v>
      </c>
      <c r="P74" s="35" t="n">
        <v>0</v>
      </c>
      <c r="Q74" s="12">
        <f>K74+M74+O74</f>
        <v/>
      </c>
      <c r="R74" s="13">
        <f>L74+N74+P74</f>
        <v/>
      </c>
      <c r="S74" s="36">
        <f>R74-Q74</f>
        <v/>
      </c>
      <c r="T74" s="37" t="inlineStr"/>
    </row>
    <row r="75" ht="20" customHeight="1">
      <c r="B75" s="11" t="inlineStr">
        <is>
          <t>ESPAÑA</t>
        </is>
      </c>
      <c r="C75" s="31" t="inlineStr">
        <is>
          <t>FITOSANITARIOS DRAGO S.L.U</t>
        </is>
      </c>
      <c r="D75" s="11" t="inlineStr">
        <is>
          <t>S1000</t>
        </is>
      </c>
      <c r="E75" s="31" t="inlineStr">
        <is>
          <t>SAL-WAX STAR, 1000 L</t>
        </is>
      </c>
      <c r="F75" s="12" t="n">
        <v>0</v>
      </c>
      <c r="G75" s="13" t="n">
        <v>0</v>
      </c>
      <c r="H75" s="12">
        <f>ABS(G75-F75)</f>
        <v/>
      </c>
      <c r="I75" s="32">
        <f>IF(F75&gt;0, G75/F75, IF(G75&gt;0, 1.0, 0.0))</f>
        <v/>
      </c>
      <c r="J75" s="33" t="inlineStr"/>
      <c r="K75" s="34" t="n">
        <v>2000</v>
      </c>
      <c r="L75" s="35" t="n">
        <v>2000</v>
      </c>
      <c r="M75" s="34" t="n">
        <v>2000</v>
      </c>
      <c r="N75" s="35" t="n">
        <v>2000</v>
      </c>
      <c r="O75" s="34" t="n">
        <v>0</v>
      </c>
      <c r="P75" s="35" t="n">
        <v>0</v>
      </c>
      <c r="Q75" s="12">
        <f>K75+M75+O75</f>
        <v/>
      </c>
      <c r="R75" s="13">
        <f>L75+N75+P75</f>
        <v/>
      </c>
      <c r="S75" s="36">
        <f>R75-Q75</f>
        <v/>
      </c>
      <c r="T75" s="37" t="inlineStr"/>
    </row>
    <row r="76" ht="20" customHeight="1">
      <c r="B76" s="11" t="inlineStr">
        <is>
          <t>ESPAÑA</t>
        </is>
      </c>
      <c r="C76" s="31" t="inlineStr">
        <is>
          <t>FITOSANITARIOS DRAGO S.L.U</t>
        </is>
      </c>
      <c r="D76" s="11" t="inlineStr">
        <is>
          <t>SS0020</t>
        </is>
      </c>
      <c r="E76" s="31" t="inlineStr">
        <is>
          <t>SALWAX-CA, 20 KG</t>
        </is>
      </c>
      <c r="F76" s="12" t="n">
        <v>0</v>
      </c>
      <c r="G76" s="13" t="n">
        <v>40</v>
      </c>
      <c r="H76" s="12">
        <f>ABS(G76-F76)</f>
        <v/>
      </c>
      <c r="I76" s="32">
        <f>IF(F76&gt;0, G76/F76, IF(G76&gt;0, 1.0, 0.0))</f>
        <v/>
      </c>
      <c r="J76" s="33" t="inlineStr">
        <is>
          <t>Pedido extra no previsto</t>
        </is>
      </c>
      <c r="K76" s="34" t="n">
        <v>0</v>
      </c>
      <c r="L76" s="35" t="n">
        <v>0</v>
      </c>
      <c r="M76" s="34" t="n">
        <v>0</v>
      </c>
      <c r="N76" s="35" t="n">
        <v>0</v>
      </c>
      <c r="O76" s="34" t="n">
        <v>0</v>
      </c>
      <c r="P76" s="35" t="n">
        <v>0</v>
      </c>
      <c r="Q76" s="12">
        <f>K76+M76+O76</f>
        <v/>
      </c>
      <c r="R76" s="13">
        <f>L76+N76+P76</f>
        <v/>
      </c>
      <c r="S76" s="36">
        <f>R76-Q76</f>
        <v/>
      </c>
      <c r="T76" s="37" t="inlineStr"/>
    </row>
    <row r="77" ht="20" customHeight="1">
      <c r="B77" s="11" t="inlineStr">
        <is>
          <t>ESPAÑA</t>
        </is>
      </c>
      <c r="C77" s="31" t="inlineStr">
        <is>
          <t>FITOXENT S.C.L.V.</t>
        </is>
      </c>
      <c r="D77" s="11" t="inlineStr">
        <is>
          <t>AGXK0020</t>
        </is>
      </c>
      <c r="E77" s="31" t="inlineStr">
        <is>
          <t>AGROXILATO-K, 20 L</t>
        </is>
      </c>
      <c r="F77" s="12" t="n">
        <v>0</v>
      </c>
      <c r="G77" s="13" t="n">
        <v>0</v>
      </c>
      <c r="H77" s="12">
        <f>ABS(G77-F77)</f>
        <v/>
      </c>
      <c r="I77" s="32">
        <f>IF(F77&gt;0, G77/F77, IF(G77&gt;0, 1.0, 0.0))</f>
        <v/>
      </c>
      <c r="J77" s="33" t="inlineStr"/>
      <c r="K77" s="34" t="n">
        <v>640</v>
      </c>
      <c r="L77" s="35" t="n">
        <v>640</v>
      </c>
      <c r="M77" s="34" t="n">
        <v>0</v>
      </c>
      <c r="N77" s="35" t="n">
        <v>0</v>
      </c>
      <c r="O77" s="34" t="n">
        <v>0</v>
      </c>
      <c r="P77" s="35" t="n">
        <v>0</v>
      </c>
      <c r="Q77" s="12">
        <f>K77+M77+O77</f>
        <v/>
      </c>
      <c r="R77" s="13">
        <f>L77+N77+P77</f>
        <v/>
      </c>
      <c r="S77" s="36">
        <f>R77-Q77</f>
        <v/>
      </c>
      <c r="T77" s="37" t="inlineStr"/>
    </row>
    <row r="78" ht="20" customHeight="1">
      <c r="B78" s="11" t="inlineStr">
        <is>
          <t>ESPAÑA</t>
        </is>
      </c>
      <c r="C78" s="31" t="inlineStr">
        <is>
          <t>FITOXENT S.C.L.V.</t>
        </is>
      </c>
      <c r="D78" s="11" t="inlineStr">
        <is>
          <t>BIO0020</t>
        </is>
      </c>
      <c r="E78" s="31" t="inlineStr">
        <is>
          <t>BIORAD-20, 20 L</t>
        </is>
      </c>
      <c r="F78" s="12" t="n">
        <v>0</v>
      </c>
      <c r="G78" s="13" t="n">
        <v>0</v>
      </c>
      <c r="H78" s="12">
        <f>ABS(G78-F78)</f>
        <v/>
      </c>
      <c r="I78" s="32">
        <f>IF(F78&gt;0, G78/F78, IF(G78&gt;0, 1.0, 0.0))</f>
        <v/>
      </c>
      <c r="J78" s="33" t="inlineStr"/>
      <c r="K78" s="34" t="n">
        <v>0</v>
      </c>
      <c r="L78" s="35" t="n">
        <v>0</v>
      </c>
      <c r="M78" s="34" t="n">
        <v>640</v>
      </c>
      <c r="N78" s="35" t="n">
        <v>640</v>
      </c>
      <c r="O78" s="34" t="n">
        <v>0</v>
      </c>
      <c r="P78" s="35" t="n">
        <v>0</v>
      </c>
      <c r="Q78" s="12">
        <f>K78+M78+O78</f>
        <v/>
      </c>
      <c r="R78" s="13">
        <f>L78+N78+P78</f>
        <v/>
      </c>
      <c r="S78" s="36">
        <f>R78-Q78</f>
        <v/>
      </c>
      <c r="T78" s="37" t="inlineStr"/>
    </row>
    <row r="79" ht="20" customHeight="1">
      <c r="B79" s="11" t="inlineStr">
        <is>
          <t>ESPAÑA</t>
        </is>
      </c>
      <c r="C79" s="31" t="inlineStr">
        <is>
          <t>FITOXENT S.C.L.V.</t>
        </is>
      </c>
      <c r="D79" s="11" t="inlineStr">
        <is>
          <t>FTK0005</t>
        </is>
      </c>
      <c r="E79" s="31" t="inlineStr">
        <is>
          <t>FITOKONTROL CA FLOW, 5 KG</t>
        </is>
      </c>
      <c r="F79" s="12" t="n">
        <v>4400</v>
      </c>
      <c r="G79" s="13" t="n">
        <v>4400</v>
      </c>
      <c r="H79" s="12">
        <f>ABS(G79-F79)</f>
        <v/>
      </c>
      <c r="I79" s="32">
        <f>IF(F79&gt;0, G79/F79, IF(G79&gt;0, 1.0, 0.0))</f>
        <v/>
      </c>
      <c r="J79" s="33" t="inlineStr"/>
      <c r="K79" s="34" t="n">
        <v>0</v>
      </c>
      <c r="L79" s="35" t="n">
        <v>0</v>
      </c>
      <c r="M79" s="34" t="n">
        <v>0</v>
      </c>
      <c r="N79" s="35" t="n">
        <v>0</v>
      </c>
      <c r="O79" s="34" t="n">
        <v>0</v>
      </c>
      <c r="P79" s="35" t="n">
        <v>0</v>
      </c>
      <c r="Q79" s="12">
        <f>K79+M79+O79</f>
        <v/>
      </c>
      <c r="R79" s="13">
        <f>L79+N79+P79</f>
        <v/>
      </c>
      <c r="S79" s="36">
        <f>R79-Q79</f>
        <v/>
      </c>
      <c r="T79" s="37" t="inlineStr"/>
    </row>
    <row r="80" ht="20" customHeight="1">
      <c r="B80" s="11" t="inlineStr">
        <is>
          <t>ESPAÑA</t>
        </is>
      </c>
      <c r="C80" s="31" t="inlineStr">
        <is>
          <t>FITOXENT S.C.L.V.</t>
        </is>
      </c>
      <c r="D80" s="11" t="inlineStr">
        <is>
          <t>PT0020</t>
        </is>
      </c>
      <c r="E80" s="31" t="inlineStr">
        <is>
          <t>AGROPOTASION, 20 L</t>
        </is>
      </c>
      <c r="F80" s="12" t="n">
        <v>2560</v>
      </c>
      <c r="G80" s="13" t="n">
        <v>1280</v>
      </c>
      <c r="H80" s="12">
        <f>ABS(G80-F80)</f>
        <v/>
      </c>
      <c r="I80" s="32">
        <f>IF(F80&gt;0, G80/F80, IF(G80&gt;0, 1.0, 0.0))</f>
        <v/>
      </c>
      <c r="J80" s="33" t="inlineStr"/>
      <c r="K80" s="34" t="n">
        <v>2560</v>
      </c>
      <c r="L80" s="35" t="n">
        <v>2560</v>
      </c>
      <c r="M80" s="34" t="n">
        <v>1280</v>
      </c>
      <c r="N80" s="35" t="n">
        <v>1280</v>
      </c>
      <c r="O80" s="34" t="n">
        <v>0</v>
      </c>
      <c r="P80" s="35" t="n">
        <v>0</v>
      </c>
      <c r="Q80" s="12">
        <f>K80+M80+O80</f>
        <v/>
      </c>
      <c r="R80" s="13">
        <f>L80+N80+P80</f>
        <v/>
      </c>
      <c r="S80" s="36">
        <f>R80-Q80</f>
        <v/>
      </c>
      <c r="T80" s="37" t="inlineStr"/>
    </row>
    <row r="81" ht="20" customHeight="1">
      <c r="B81" s="11" t="inlineStr">
        <is>
          <t>ESPAÑA</t>
        </is>
      </c>
      <c r="C81" s="31" t="inlineStr">
        <is>
          <t>FITOXENT S.C.L.V.</t>
        </is>
      </c>
      <c r="D81" s="11" t="inlineStr">
        <is>
          <t>S0020</t>
        </is>
      </c>
      <c r="E81" s="31" t="inlineStr">
        <is>
          <t>SALWAX STAR, 20 L</t>
        </is>
      </c>
      <c r="F81" s="12" t="n">
        <v>0</v>
      </c>
      <c r="G81" s="13" t="n">
        <v>200</v>
      </c>
      <c r="H81" s="12">
        <f>ABS(G81-F81)</f>
        <v/>
      </c>
      <c r="I81" s="32">
        <f>IF(F81&gt;0, G81/F81, IF(G81&gt;0, 1.0, 0.0))</f>
        <v/>
      </c>
      <c r="J81" s="33" t="inlineStr">
        <is>
          <t>Pedido extra no previsto</t>
        </is>
      </c>
      <c r="K81" s="34" t="n">
        <v>0</v>
      </c>
      <c r="L81" s="35" t="n">
        <v>0</v>
      </c>
      <c r="M81" s="34" t="n">
        <v>0</v>
      </c>
      <c r="N81" s="35" t="n">
        <v>0</v>
      </c>
      <c r="O81" s="34" t="n">
        <v>0</v>
      </c>
      <c r="P81" s="35" t="n">
        <v>0</v>
      </c>
      <c r="Q81" s="12">
        <f>K81+M81+O81</f>
        <v/>
      </c>
      <c r="R81" s="13">
        <f>L81+N81+P81</f>
        <v/>
      </c>
      <c r="S81" s="36">
        <f>R81-Q81</f>
        <v/>
      </c>
      <c r="T81" s="37" t="inlineStr"/>
    </row>
    <row r="82" ht="25" customHeight="1">
      <c r="B82" s="38" t="inlineStr">
        <is>
          <t>TOTAL CONSOLIDADO - JAVIER (UNIDADES)</t>
        </is>
      </c>
      <c r="C82" s="39" t="n"/>
      <c r="D82" s="39" t="n"/>
      <c r="E82" s="39" t="n"/>
      <c r="F82" s="19">
        <f>SUM(F10:F81)</f>
        <v/>
      </c>
      <c r="G82" s="19">
        <f>SUM(G10:G81)</f>
        <v/>
      </c>
      <c r="H82" s="19">
        <f>SUM(H10:H81)</f>
        <v/>
      </c>
      <c r="I82" s="20">
        <f>IF(F82&gt;0, G82/F82, 1.0)</f>
        <v/>
      </c>
      <c r="J82" s="40" t="n"/>
      <c r="K82" s="19">
        <f>SUM(K10:K81)</f>
        <v/>
      </c>
      <c r="L82" s="19">
        <f>SUM(L10:L81)</f>
        <v/>
      </c>
      <c r="M82" s="19">
        <f>SUM(M10:M81)</f>
        <v/>
      </c>
      <c r="N82" s="19">
        <f>SUM(N10:N81)</f>
        <v/>
      </c>
      <c r="O82" s="19">
        <f>SUM(O10:O81)</f>
        <v/>
      </c>
      <c r="P82" s="19">
        <f>SUM(P10:P81)</f>
        <v/>
      </c>
      <c r="Q82" s="19">
        <f>SUM(Q10:Q81)</f>
        <v/>
      </c>
      <c r="R82" s="19">
        <f>SUM(R10:R81)</f>
        <v/>
      </c>
      <c r="S82" s="41">
        <f>SUM(S10:S81)</f>
        <v/>
      </c>
      <c r="T82" s="40" t="n"/>
    </row>
  </sheetData>
  <mergeCells count="20">
    <mergeCell ref="N5:P5"/>
    <mergeCell ref="E6:G6"/>
    <mergeCell ref="K8:P8"/>
    <mergeCell ref="B4:T4"/>
    <mergeCell ref="B6:D6"/>
    <mergeCell ref="F8:J8"/>
    <mergeCell ref="N6:P6"/>
    <mergeCell ref="B3:T3"/>
    <mergeCell ref="B5:D5"/>
    <mergeCell ref="Q8:T8"/>
    <mergeCell ref="K6:M6"/>
    <mergeCell ref="H5:J5"/>
    <mergeCell ref="Q5:T5"/>
    <mergeCell ref="B2:T2"/>
    <mergeCell ref="B8:E8"/>
    <mergeCell ref="E5:G5"/>
    <mergeCell ref="K5:M5"/>
    <mergeCell ref="B82:E82"/>
    <mergeCell ref="Q6:T6"/>
    <mergeCell ref="H6:J6"/>
  </mergeCells>
  <dataValidations count="1">
    <dataValidation sqref="J10:J43 J10:J127" showDropDown="0" showInputMessage="0" showErrorMessage="0" allowBlank="1" errorTitle="Motivo de Desviación" error="Por favor seleccione un motivo de la lista o escriba su comentario" type="list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4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14" customWidth="1" min="4" max="4"/>
    <col width="32" customWidth="1" min="5" max="5"/>
    <col width="16" customWidth="1" min="6" max="6"/>
    <col width="15" customWidth="1" min="7" max="7"/>
    <col width="14" customWidth="1" min="8" max="8"/>
    <col width="13" customWidth="1" min="9" max="9"/>
    <col width="32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  <col width="17" customWidth="1" min="17" max="17"/>
    <col width="17" customWidth="1" min="18" max="18"/>
    <col width="15" customWidth="1" min="19" max="19"/>
    <col width="34" customWidth="1" min="20" max="20"/>
  </cols>
  <sheetData>
    <row r="2" ht="36" customHeight="1">
      <c r="B2" s="1" t="inlineStr">
        <is>
          <t>CODIAGRO · ACTUALIZACIÓN DE PREVISIONES COMERCIALES Q4 2026 (OCTUBRE - DICIEMBRE)</t>
        </is>
      </c>
    </row>
    <row r="3" ht="20" customHeight="1">
      <c r="B3" s="2" t="inlineStr">
        <is>
          <t>DELEGADO COMERCIAL: MEHMET | Cierre Septiembre Oficial (01/10/2026) vs Previsiones a Final de Año | Generado: 01/10/2026 14:17</t>
        </is>
      </c>
    </row>
    <row r="4" ht="26" customHeight="1">
      <c r="B4" s="21" t="inlineStr">
        <is>
      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      </is>
      </c>
    </row>
    <row r="5" ht="16" customHeight="1">
      <c r="B5" s="22" t="inlineStr">
        <is>
          <t>PREVISTO SEP 2026 (U)</t>
        </is>
      </c>
      <c r="C5" s="23" t="n"/>
      <c r="D5" s="23" t="n"/>
      <c r="E5" s="24" t="inlineStr">
        <is>
          <t>REAL PEDIDOS SEP 2026 (U)</t>
        </is>
      </c>
      <c r="F5" s="23" t="n"/>
      <c r="G5" s="23" t="n"/>
      <c r="H5" s="25" t="inlineStr">
        <is>
          <t>% CONSECUCIÓN SEP</t>
        </is>
      </c>
      <c r="I5" s="23" t="n"/>
      <c r="J5" s="23" t="n"/>
      <c r="K5" s="22" t="inlineStr">
        <is>
          <t>PREVISIÓN INICIAL Q4 (U)</t>
        </is>
      </c>
      <c r="L5" s="23" t="n"/>
      <c r="M5" s="23" t="n"/>
      <c r="N5" s="24" t="inlineStr">
        <is>
          <t>PREVISIÓN REVISADA Q4 (U)</t>
        </is>
      </c>
      <c r="O5" s="23" t="n"/>
      <c r="P5" s="23" t="n"/>
      <c r="Q5" s="26" t="inlineStr">
        <is>
          <t>VARIACIÓN NETA Q4 (U)</t>
        </is>
      </c>
      <c r="R5" s="23" t="n"/>
      <c r="S5" s="23" t="n"/>
      <c r="T5" s="23" t="n"/>
    </row>
    <row r="6" ht="26" customHeight="1">
      <c r="B6" s="27">
        <f>F48</f>
        <v/>
      </c>
      <c r="C6" s="23" t="n"/>
      <c r="D6" s="23" t="n"/>
      <c r="E6" s="28">
        <f>G48</f>
        <v/>
      </c>
      <c r="F6" s="23" t="n"/>
      <c r="G6" s="23" t="n"/>
      <c r="H6" s="29">
        <f>I48</f>
        <v/>
      </c>
      <c r="I6" s="23" t="n"/>
      <c r="J6" s="23" t="n"/>
      <c r="K6" s="27">
        <f>Q48</f>
        <v/>
      </c>
      <c r="L6" s="23" t="n"/>
      <c r="M6" s="23" t="n"/>
      <c r="N6" s="28">
        <f>R48</f>
        <v/>
      </c>
      <c r="O6" s="23" t="n"/>
      <c r="P6" s="23" t="n"/>
      <c r="Q6" s="30">
        <f>S48</f>
        <v/>
      </c>
      <c r="R6" s="23" t="n"/>
      <c r="S6" s="23" t="n"/>
      <c r="T6" s="23" t="n"/>
    </row>
    <row r="8" ht="22" customHeight="1">
      <c r="B8" s="3" t="inlineStr">
        <is>
          <t>DATOS CLIENTE Y ARTÍCULO</t>
        </is>
      </c>
      <c r="F8" s="4" t="inlineStr">
        <is>
          <t>CIERRE SEPTIEMBRE 2026 (CALIBRACIÓN Y ANÁLISIS)</t>
        </is>
      </c>
      <c r="K8" s="5" t="inlineStr">
        <is>
          <t>REVISIÓN PREVISIONES MES A MES (HASTA FINAL DE AÑO 2026)</t>
        </is>
      </c>
      <c r="Q8" s="6" t="inlineStr">
        <is>
          <t>IMPACTO Q4 Y JUSTIFICACIÓN</t>
        </is>
      </c>
    </row>
    <row r="9" ht="28" customHeight="1">
      <c r="B9" s="7" t="inlineStr">
        <is>
          <t>País</t>
        </is>
      </c>
      <c r="C9" s="7" t="inlineStr">
        <is>
          <t>Cliente</t>
        </is>
      </c>
      <c r="D9" s="7" t="inlineStr">
        <is>
          <t>Cód. SKU</t>
        </is>
      </c>
      <c r="E9" s="7" t="inlineStr">
        <is>
          <t>Descripción Artículo</t>
        </is>
      </c>
      <c r="F9" s="8" t="inlineStr">
        <is>
          <t>Sep Previsto (u)</t>
        </is>
      </c>
      <c r="G9" s="8" t="inlineStr">
        <is>
          <t>Sep Real (u)</t>
        </is>
      </c>
      <c r="H9" s="8" t="inlineStr">
        <is>
          <t>Desv. Sep (u)</t>
        </is>
      </c>
      <c r="I9" s="8" t="inlineStr">
        <is>
          <t>% Consec.</t>
        </is>
      </c>
      <c r="J9" s="8" t="inlineStr">
        <is>
          <t>Comentario Sep (¿Adelanto/Atraso/Extra?)</t>
        </is>
      </c>
      <c r="K9" s="9" t="inlineStr">
        <is>
          <t>Oct Anterior (u)</t>
        </is>
      </c>
      <c r="L9" s="9" t="inlineStr">
        <is>
          <t>Oct Revisado (u)</t>
        </is>
      </c>
      <c r="M9" s="9" t="inlineStr">
        <is>
          <t>Nov Anterior (u)</t>
        </is>
      </c>
      <c r="N9" s="9" t="inlineStr">
        <is>
          <t>Nov Revisado (u)</t>
        </is>
      </c>
      <c r="O9" s="9" t="inlineStr">
        <is>
          <t>Dic Anterior (u)</t>
        </is>
      </c>
      <c r="P9" s="9" t="inlineStr">
        <is>
          <t>Dic Revisado (u)</t>
        </is>
      </c>
      <c r="Q9" s="7" t="inlineStr">
        <is>
          <t>Total Q4 Ant (u)</t>
        </is>
      </c>
      <c r="R9" s="7" t="inlineStr">
        <is>
          <t>Total Q4 Rev (u)</t>
        </is>
      </c>
      <c r="S9" s="7" t="inlineStr">
        <is>
          <t>Dif Q4 (u)</t>
        </is>
      </c>
      <c r="T9" s="7" t="inlineStr">
        <is>
          <t>Comentarios / Justificación Q4</t>
        </is>
      </c>
    </row>
    <row r="10" ht="20" customHeight="1">
      <c r="B10" s="11" t="inlineStr">
        <is>
          <t>GEORGIA</t>
        </is>
      </c>
      <c r="C10" s="31" t="inlineStr">
        <is>
          <t>BORN AGROCHEMISTRY, LLC</t>
        </is>
      </c>
      <c r="D10" s="11" t="inlineStr">
        <is>
          <t>A-500001</t>
        </is>
      </c>
      <c r="E10" s="31" t="inlineStr">
        <is>
          <t>CODIORGAN  A-50</t>
        </is>
      </c>
      <c r="F10" s="12" t="n">
        <v>0</v>
      </c>
      <c r="G10" s="13" t="n">
        <v>0</v>
      </c>
      <c r="H10" s="12">
        <f>ABS(G10-F10)</f>
        <v/>
      </c>
      <c r="I10" s="32">
        <f>IF(F10&gt;0, G10/F10, IF(G10&gt;0, 1.0, 0.0))</f>
        <v/>
      </c>
      <c r="J10" s="33" t="inlineStr"/>
      <c r="K10" s="34" t="n">
        <v>0</v>
      </c>
      <c r="L10" s="35" t="n">
        <v>0</v>
      </c>
      <c r="M10" s="34" t="n">
        <v>0</v>
      </c>
      <c r="N10" s="35" t="n">
        <v>0</v>
      </c>
      <c r="O10" s="34" t="n">
        <v>1920</v>
      </c>
      <c r="P10" s="35" t="n">
        <v>1920</v>
      </c>
      <c r="Q10" s="12">
        <f>K10+M10+O10</f>
        <v/>
      </c>
      <c r="R10" s="13">
        <f>L10+N10+P10</f>
        <v/>
      </c>
      <c r="S10" s="36">
        <f>R10-Q10</f>
        <v/>
      </c>
      <c r="T10" s="37" t="inlineStr"/>
    </row>
    <row r="11" ht="20" customHeight="1">
      <c r="B11" s="11" t="inlineStr">
        <is>
          <t>GEORGIA</t>
        </is>
      </c>
      <c r="C11" s="31" t="inlineStr">
        <is>
          <t>BORN AGROCHEMISTRY, LLC</t>
        </is>
      </c>
      <c r="D11" s="11" t="inlineStr">
        <is>
          <t>A-500005</t>
        </is>
      </c>
      <c r="E11" s="31" t="inlineStr">
        <is>
          <t>CODIORGAN  A-50</t>
        </is>
      </c>
      <c r="F11" s="12" t="n">
        <v>0</v>
      </c>
      <c r="G11" s="13" t="n">
        <v>0</v>
      </c>
      <c r="H11" s="12">
        <f>ABS(G11-F11)</f>
        <v/>
      </c>
      <c r="I11" s="32">
        <f>IF(F11&gt;0, G11/F11, IF(G11&gt;0, 1.0, 0.0))</f>
        <v/>
      </c>
      <c r="J11" s="33" t="inlineStr"/>
      <c r="K11" s="34" t="n">
        <v>0</v>
      </c>
      <c r="L11" s="35" t="n">
        <v>0</v>
      </c>
      <c r="M11" s="34" t="n">
        <v>0</v>
      </c>
      <c r="N11" s="35" t="n">
        <v>0</v>
      </c>
      <c r="O11" s="34" t="n">
        <v>1000</v>
      </c>
      <c r="P11" s="35" t="n">
        <v>1000</v>
      </c>
      <c r="Q11" s="12">
        <f>K11+M11+O11</f>
        <v/>
      </c>
      <c r="R11" s="13">
        <f>L11+N11+P11</f>
        <v/>
      </c>
      <c r="S11" s="36">
        <f>R11-Q11</f>
        <v/>
      </c>
      <c r="T11" s="37" t="inlineStr"/>
    </row>
    <row r="12" ht="20" customHeight="1">
      <c r="B12" s="11" t="inlineStr">
        <is>
          <t>GEORGIA</t>
        </is>
      </c>
      <c r="C12" s="31" t="inlineStr">
        <is>
          <t>BORN AGROCHEMISTRY, LLC</t>
        </is>
      </c>
      <c r="D12" s="11" t="inlineStr">
        <is>
          <t>AGXK0005</t>
        </is>
      </c>
      <c r="E12" s="31" t="inlineStr">
        <is>
          <t>AGROXILATO-K, 5 L</t>
        </is>
      </c>
      <c r="F12" s="12" t="n">
        <v>0</v>
      </c>
      <c r="G12" s="13" t="n">
        <v>0</v>
      </c>
      <c r="H12" s="12">
        <f>ABS(G12-F12)</f>
        <v/>
      </c>
      <c r="I12" s="32">
        <f>IF(F12&gt;0, G12/F12, IF(G12&gt;0, 1.0, 0.0))</f>
        <v/>
      </c>
      <c r="J12" s="33" t="inlineStr"/>
      <c r="K12" s="34" t="n">
        <v>0</v>
      </c>
      <c r="L12" s="35" t="n">
        <v>0</v>
      </c>
      <c r="M12" s="34" t="n">
        <v>0</v>
      </c>
      <c r="N12" s="35" t="n">
        <v>0</v>
      </c>
      <c r="O12" s="34" t="n">
        <v>1000</v>
      </c>
      <c r="P12" s="35" t="n">
        <v>1000</v>
      </c>
      <c r="Q12" s="12">
        <f>K12+M12+O12</f>
        <v/>
      </c>
      <c r="R12" s="13">
        <f>L12+N12+P12</f>
        <v/>
      </c>
      <c r="S12" s="36">
        <f>R12-Q12</f>
        <v/>
      </c>
      <c r="T12" s="37" t="inlineStr"/>
    </row>
    <row r="13" ht="20" customHeight="1">
      <c r="B13" s="11" t="inlineStr">
        <is>
          <t>GEORGIA</t>
        </is>
      </c>
      <c r="C13" s="31" t="inlineStr">
        <is>
          <t>BORN AGROCHEMISTRY, LLC</t>
        </is>
      </c>
      <c r="D13" s="11" t="inlineStr">
        <is>
          <t>AN0020</t>
        </is>
      </c>
      <c r="E13" s="31" t="inlineStr">
        <is>
          <t>ALCAPLANT NEW</t>
        </is>
      </c>
      <c r="F13" s="12" t="n">
        <v>0</v>
      </c>
      <c r="G13" s="13" t="n">
        <v>0</v>
      </c>
      <c r="H13" s="12">
        <f>ABS(G13-F13)</f>
        <v/>
      </c>
      <c r="I13" s="32">
        <f>IF(F13&gt;0, G13/F13, IF(G13&gt;0, 1.0, 0.0))</f>
        <v/>
      </c>
      <c r="J13" s="33" t="inlineStr"/>
      <c r="K13" s="34" t="n">
        <v>0</v>
      </c>
      <c r="L13" s="35" t="n">
        <v>0</v>
      </c>
      <c r="M13" s="34" t="n">
        <v>0</v>
      </c>
      <c r="N13" s="35" t="n">
        <v>0</v>
      </c>
      <c r="O13" s="34" t="n">
        <v>6000</v>
      </c>
      <c r="P13" s="35" t="n">
        <v>6000</v>
      </c>
      <c r="Q13" s="12">
        <f>K13+M13+O13</f>
        <v/>
      </c>
      <c r="R13" s="13">
        <f>L13+N13+P13</f>
        <v/>
      </c>
      <c r="S13" s="36">
        <f>R13-Q13</f>
        <v/>
      </c>
      <c r="T13" s="37" t="inlineStr"/>
    </row>
    <row r="14" ht="20" customHeight="1">
      <c r="B14" s="11" t="inlineStr">
        <is>
          <t>GEORGIA</t>
        </is>
      </c>
      <c r="C14" s="31" t="inlineStr">
        <is>
          <t>BORN AGROCHEMISTRY, LLC</t>
        </is>
      </c>
      <c r="D14" s="11" t="inlineStr">
        <is>
          <t>BIO0020</t>
        </is>
      </c>
      <c r="E14" s="31" t="inlineStr">
        <is>
          <t>BIORAD-20</t>
        </is>
      </c>
      <c r="F14" s="12" t="n">
        <v>0</v>
      </c>
      <c r="G14" s="13" t="n">
        <v>0</v>
      </c>
      <c r="H14" s="12">
        <f>ABS(G14-F14)</f>
        <v/>
      </c>
      <c r="I14" s="32">
        <f>IF(F14&gt;0, G14/F14, IF(G14&gt;0, 1.0, 0.0))</f>
        <v/>
      </c>
      <c r="J14" s="33" t="inlineStr"/>
      <c r="K14" s="34" t="n">
        <v>0</v>
      </c>
      <c r="L14" s="35" t="n">
        <v>0</v>
      </c>
      <c r="M14" s="34" t="n">
        <v>0</v>
      </c>
      <c r="N14" s="35" t="n">
        <v>0</v>
      </c>
      <c r="O14" s="34" t="n">
        <v>30000</v>
      </c>
      <c r="P14" s="35" t="n">
        <v>30000</v>
      </c>
      <c r="Q14" s="12">
        <f>K14+M14+O14</f>
        <v/>
      </c>
      <c r="R14" s="13">
        <f>L14+N14+P14</f>
        <v/>
      </c>
      <c r="S14" s="36">
        <f>R14-Q14</f>
        <v/>
      </c>
      <c r="T14" s="37" t="inlineStr"/>
    </row>
    <row r="15" ht="20" customHeight="1">
      <c r="B15" s="11" t="inlineStr">
        <is>
          <t>GEORGIA</t>
        </is>
      </c>
      <c r="C15" s="31" t="inlineStr">
        <is>
          <t>BORN AGROCHEMISTRY, LLC</t>
        </is>
      </c>
      <c r="D15" s="11" t="inlineStr">
        <is>
          <t>C-CU0001</t>
        </is>
      </c>
      <c r="E15" s="31" t="inlineStr">
        <is>
          <t>CODICOBRE</t>
        </is>
      </c>
      <c r="F15" s="12" t="n">
        <v>0</v>
      </c>
      <c r="G15" s="13" t="n">
        <v>0</v>
      </c>
      <c r="H15" s="12">
        <f>ABS(G15-F15)</f>
        <v/>
      </c>
      <c r="I15" s="32">
        <f>IF(F15&gt;0, G15/F15, IF(G15&gt;0, 1.0, 0.0))</f>
        <v/>
      </c>
      <c r="J15" s="33" t="inlineStr"/>
      <c r="K15" s="34" t="n">
        <v>0</v>
      </c>
      <c r="L15" s="35" t="n">
        <v>0</v>
      </c>
      <c r="M15" s="34" t="n">
        <v>0</v>
      </c>
      <c r="N15" s="35" t="n">
        <v>0</v>
      </c>
      <c r="O15" s="34" t="n">
        <v>960</v>
      </c>
      <c r="P15" s="35" t="n">
        <v>960</v>
      </c>
      <c r="Q15" s="12">
        <f>K15+M15+O15</f>
        <v/>
      </c>
      <c r="R15" s="13">
        <f>L15+N15+P15</f>
        <v/>
      </c>
      <c r="S15" s="36">
        <f>R15-Q15</f>
        <v/>
      </c>
      <c r="T15" s="37" t="inlineStr"/>
    </row>
    <row r="16" ht="20" customHeight="1">
      <c r="B16" s="11" t="inlineStr">
        <is>
          <t>GEORGIA</t>
        </is>
      </c>
      <c r="C16" s="31" t="inlineStr">
        <is>
          <t>BORN AGROCHEMISTRY, LLC</t>
        </is>
      </c>
      <c r="D16" s="11" t="inlineStr">
        <is>
          <t>C-CU0005</t>
        </is>
      </c>
      <c r="E16" s="31" t="inlineStr">
        <is>
          <t>CODICOBRE, 5 L</t>
        </is>
      </c>
      <c r="F16" s="12" t="n">
        <v>0</v>
      </c>
      <c r="G16" s="13" t="n">
        <v>0</v>
      </c>
      <c r="H16" s="12">
        <f>ABS(G16-F16)</f>
        <v/>
      </c>
      <c r="I16" s="32">
        <f>IF(F16&gt;0, G16/F16, IF(G16&gt;0, 1.0, 0.0))</f>
        <v/>
      </c>
      <c r="J16" s="33" t="inlineStr"/>
      <c r="K16" s="34" t="n">
        <v>0</v>
      </c>
      <c r="L16" s="35" t="n">
        <v>0</v>
      </c>
      <c r="M16" s="34" t="n">
        <v>0</v>
      </c>
      <c r="N16" s="35" t="n">
        <v>0</v>
      </c>
      <c r="O16" s="34" t="n">
        <v>1000</v>
      </c>
      <c r="P16" s="35" t="n">
        <v>1000</v>
      </c>
      <c r="Q16" s="12">
        <f>K16+M16+O16</f>
        <v/>
      </c>
      <c r="R16" s="13">
        <f>L16+N16+P16</f>
        <v/>
      </c>
      <c r="S16" s="36">
        <f>R16-Q16</f>
        <v/>
      </c>
      <c r="T16" s="37" t="inlineStr"/>
    </row>
    <row r="17" ht="20" customHeight="1">
      <c r="B17" s="11" t="inlineStr">
        <is>
          <t>GEORGIA</t>
        </is>
      </c>
      <c r="C17" s="31" t="inlineStr">
        <is>
          <t>BORN AGROCHEMISTRY, LLC</t>
        </is>
      </c>
      <c r="D17" s="11" t="inlineStr">
        <is>
          <t>CM30005</t>
        </is>
      </c>
      <c r="E17" s="31" t="inlineStr">
        <is>
          <t>TENSOLINE, 5 L</t>
        </is>
      </c>
      <c r="F17" s="12" t="n">
        <v>0</v>
      </c>
      <c r="G17" s="13" t="n">
        <v>0</v>
      </c>
      <c r="H17" s="12">
        <f>ABS(G17-F17)</f>
        <v/>
      </c>
      <c r="I17" s="32">
        <f>IF(F17&gt;0, G17/F17, IF(G17&gt;0, 1.0, 0.0))</f>
        <v/>
      </c>
      <c r="J17" s="33" t="inlineStr"/>
      <c r="K17" s="34" t="n">
        <v>0</v>
      </c>
      <c r="L17" s="35" t="n">
        <v>0</v>
      </c>
      <c r="M17" s="34" t="n">
        <v>0</v>
      </c>
      <c r="N17" s="35" t="n">
        <v>0</v>
      </c>
      <c r="O17" s="34" t="n">
        <v>1000</v>
      </c>
      <c r="P17" s="35" t="n">
        <v>1000</v>
      </c>
      <c r="Q17" s="12">
        <f>K17+M17+O17</f>
        <v/>
      </c>
      <c r="R17" s="13">
        <f>L17+N17+P17</f>
        <v/>
      </c>
      <c r="S17" s="36">
        <f>R17-Q17</f>
        <v/>
      </c>
      <c r="T17" s="37" t="inlineStr"/>
    </row>
    <row r="18" ht="20" customHeight="1">
      <c r="B18" s="11" t="inlineStr">
        <is>
          <t>GEORGIA</t>
        </is>
      </c>
      <c r="C18" s="31" t="inlineStr">
        <is>
          <t>BORN AGROCHEMISTRY, LLC</t>
        </is>
      </c>
      <c r="D18" s="11" t="inlineStr">
        <is>
          <t>CZNMNES0001</t>
        </is>
      </c>
      <c r="E18" s="31" t="inlineStr">
        <is>
          <t>CODIFOL ZN-MN, 1 KG</t>
        </is>
      </c>
      <c r="F18" s="12" t="n">
        <v>0</v>
      </c>
      <c r="G18" s="13" t="n">
        <v>0</v>
      </c>
      <c r="H18" s="12">
        <f>ABS(G18-F18)</f>
        <v/>
      </c>
      <c r="I18" s="32">
        <f>IF(F18&gt;0, G18/F18, IF(G18&gt;0, 1.0, 0.0))</f>
        <v/>
      </c>
      <c r="J18" s="33" t="inlineStr"/>
      <c r="K18" s="34" t="n">
        <v>0</v>
      </c>
      <c r="L18" s="35" t="n">
        <v>0</v>
      </c>
      <c r="M18" s="34" t="n">
        <v>0</v>
      </c>
      <c r="N18" s="35" t="n">
        <v>0</v>
      </c>
      <c r="O18" s="34" t="n">
        <v>1000</v>
      </c>
      <c r="P18" s="35" t="n">
        <v>1000</v>
      </c>
      <c r="Q18" s="12">
        <f>K18+M18+O18</f>
        <v/>
      </c>
      <c r="R18" s="13">
        <f>L18+N18+P18</f>
        <v/>
      </c>
      <c r="S18" s="36">
        <f>R18-Q18</f>
        <v/>
      </c>
      <c r="T18" s="37" t="inlineStr"/>
    </row>
    <row r="19" ht="20" customHeight="1">
      <c r="B19" s="11" t="inlineStr">
        <is>
          <t>GEORGIA</t>
        </is>
      </c>
      <c r="C19" s="31" t="inlineStr">
        <is>
          <t>BORN AGROCHEMISTRY, LLC</t>
        </is>
      </c>
      <c r="D19" s="11" t="inlineStr">
        <is>
          <t>CZNMNES0005</t>
        </is>
      </c>
      <c r="E19" s="31" t="inlineStr">
        <is>
          <t>CODIFOL ZN-MN</t>
        </is>
      </c>
      <c r="F19" s="12" t="n">
        <v>0</v>
      </c>
      <c r="G19" s="13" t="n">
        <v>0</v>
      </c>
      <c r="H19" s="12">
        <f>ABS(G19-F19)</f>
        <v/>
      </c>
      <c r="I19" s="32">
        <f>IF(F19&gt;0, G19/F19, IF(G19&gt;0, 1.0, 0.0))</f>
        <v/>
      </c>
      <c r="J19" s="33" t="inlineStr"/>
      <c r="K19" s="34" t="n">
        <v>0</v>
      </c>
      <c r="L19" s="35" t="n">
        <v>0</v>
      </c>
      <c r="M19" s="34" t="n">
        <v>0</v>
      </c>
      <c r="N19" s="35" t="n">
        <v>0</v>
      </c>
      <c r="O19" s="34" t="n">
        <v>1000</v>
      </c>
      <c r="P19" s="35" t="n">
        <v>1000</v>
      </c>
      <c r="Q19" s="12">
        <f>K19+M19+O19</f>
        <v/>
      </c>
      <c r="R19" s="13">
        <f>L19+N19+P19</f>
        <v/>
      </c>
      <c r="S19" s="36">
        <f>R19-Q19</f>
        <v/>
      </c>
      <c r="T19" s="37" t="inlineStr"/>
    </row>
    <row r="20" ht="20" customHeight="1">
      <c r="B20" s="11" t="inlineStr">
        <is>
          <t>GEORGIA</t>
        </is>
      </c>
      <c r="C20" s="31" t="inlineStr">
        <is>
          <t>BORN AGROCHEMISTRY, LLC</t>
        </is>
      </c>
      <c r="D20" s="11" t="inlineStr">
        <is>
          <t>RUN0001</t>
        </is>
      </c>
      <c r="E20" s="31" t="inlineStr">
        <is>
          <t>RUN STRESS</t>
        </is>
      </c>
      <c r="F20" s="12" t="n">
        <v>0</v>
      </c>
      <c r="G20" s="13" t="n">
        <v>0</v>
      </c>
      <c r="H20" s="12">
        <f>ABS(G20-F20)</f>
        <v/>
      </c>
      <c r="I20" s="32">
        <f>IF(F20&gt;0, G20/F20, IF(G20&gt;0, 1.0, 0.0))</f>
        <v/>
      </c>
      <c r="J20" s="33" t="inlineStr"/>
      <c r="K20" s="34" t="n">
        <v>0</v>
      </c>
      <c r="L20" s="35" t="n">
        <v>0</v>
      </c>
      <c r="M20" s="34" t="n">
        <v>0</v>
      </c>
      <c r="N20" s="35" t="n">
        <v>0</v>
      </c>
      <c r="O20" s="34" t="n">
        <v>960</v>
      </c>
      <c r="P20" s="35" t="n">
        <v>960</v>
      </c>
      <c r="Q20" s="12">
        <f>K20+M20+O20</f>
        <v/>
      </c>
      <c r="R20" s="13">
        <f>L20+N20+P20</f>
        <v/>
      </c>
      <c r="S20" s="36">
        <f>R20-Q20</f>
        <v/>
      </c>
      <c r="T20" s="37" t="inlineStr"/>
    </row>
    <row r="21" ht="20" customHeight="1">
      <c r="B21" s="11" t="inlineStr">
        <is>
          <t>GEORGIA</t>
        </is>
      </c>
      <c r="C21" s="31" t="inlineStr">
        <is>
          <t>BORN AGROCHEMISTRY, LLC</t>
        </is>
      </c>
      <c r="D21" s="11" t="inlineStr">
        <is>
          <t>RUN0005</t>
        </is>
      </c>
      <c r="E21" s="31" t="inlineStr">
        <is>
          <t>RUN STRESS</t>
        </is>
      </c>
      <c r="F21" s="12" t="n">
        <v>0</v>
      </c>
      <c r="G21" s="13" t="n">
        <v>0</v>
      </c>
      <c r="H21" s="12">
        <f>ABS(G21-F21)</f>
        <v/>
      </c>
      <c r="I21" s="32">
        <f>IF(F21&gt;0, G21/F21, IF(G21&gt;0, 1.0, 0.0))</f>
        <v/>
      </c>
      <c r="J21" s="33" t="inlineStr"/>
      <c r="K21" s="34" t="n">
        <v>0</v>
      </c>
      <c r="L21" s="35" t="n">
        <v>0</v>
      </c>
      <c r="M21" s="34" t="n">
        <v>0</v>
      </c>
      <c r="N21" s="35" t="n">
        <v>0</v>
      </c>
      <c r="O21" s="34" t="n">
        <v>1000</v>
      </c>
      <c r="P21" s="35" t="n">
        <v>1000</v>
      </c>
      <c r="Q21" s="12">
        <f>K21+M21+O21</f>
        <v/>
      </c>
      <c r="R21" s="13">
        <f>L21+N21+P21</f>
        <v/>
      </c>
      <c r="S21" s="36">
        <f>R21-Q21</f>
        <v/>
      </c>
      <c r="T21" s="37" t="inlineStr"/>
    </row>
    <row r="22" ht="20" customHeight="1">
      <c r="B22" s="11" t="inlineStr">
        <is>
          <t>SERBIA</t>
        </is>
      </c>
      <c r="C22" s="31" t="inlineStr">
        <is>
          <t>PLANTA SANA, D.O.O.</t>
        </is>
      </c>
      <c r="D22" s="11" t="inlineStr">
        <is>
          <t>A-50(2)0001</t>
        </is>
      </c>
      <c r="E22" s="31" t="inlineStr">
        <is>
          <t>CODIORGAN-A50</t>
        </is>
      </c>
      <c r="F22" s="12" t="n">
        <v>0</v>
      </c>
      <c r="G22" s="13" t="n">
        <v>0</v>
      </c>
      <c r="H22" s="12">
        <f>ABS(G22-F22)</f>
        <v/>
      </c>
      <c r="I22" s="32">
        <f>IF(F22&gt;0, G22/F22, IF(G22&gt;0, 1.0, 0.0))</f>
        <v/>
      </c>
      <c r="J22" s="33" t="inlineStr"/>
      <c r="K22" s="34" t="n">
        <v>0</v>
      </c>
      <c r="L22" s="35" t="n">
        <v>0</v>
      </c>
      <c r="M22" s="34" t="n">
        <v>0</v>
      </c>
      <c r="N22" s="35" t="n">
        <v>0</v>
      </c>
      <c r="O22" s="34" t="n">
        <v>2000</v>
      </c>
      <c r="P22" s="35" t="n">
        <v>2000</v>
      </c>
      <c r="Q22" s="12">
        <f>K22+M22+O22</f>
        <v/>
      </c>
      <c r="R22" s="13">
        <f>L22+N22+P22</f>
        <v/>
      </c>
      <c r="S22" s="36">
        <f>R22-Q22</f>
        <v/>
      </c>
      <c r="T22" s="37" t="inlineStr"/>
    </row>
    <row r="23" ht="20" customHeight="1">
      <c r="B23" s="11" t="inlineStr">
        <is>
          <t>SERBIA</t>
        </is>
      </c>
      <c r="C23" s="31" t="inlineStr">
        <is>
          <t>PLANTA SANA, D.O.O.</t>
        </is>
      </c>
      <c r="D23" s="11" t="inlineStr">
        <is>
          <t>AN0005</t>
        </is>
      </c>
      <c r="E23" s="31" t="inlineStr">
        <is>
          <t>ALCAPLANT NEW, 5 KG</t>
        </is>
      </c>
      <c r="F23" s="12" t="n">
        <v>0</v>
      </c>
      <c r="G23" s="13" t="n">
        <v>0</v>
      </c>
      <c r="H23" s="12">
        <f>ABS(G23-F23)</f>
        <v/>
      </c>
      <c r="I23" s="32">
        <f>IF(F23&gt;0, G23/F23, IF(G23&gt;0, 1.0, 0.0))</f>
        <v/>
      </c>
      <c r="J23" s="33" t="inlineStr"/>
      <c r="K23" s="34" t="n">
        <v>0</v>
      </c>
      <c r="L23" s="35" t="n">
        <v>0</v>
      </c>
      <c r="M23" s="34" t="n">
        <v>0</v>
      </c>
      <c r="N23" s="35" t="n">
        <v>0</v>
      </c>
      <c r="O23" s="34" t="n">
        <v>1100</v>
      </c>
      <c r="P23" s="35" t="n">
        <v>1100</v>
      </c>
      <c r="Q23" s="12">
        <f>K23+M23+O23</f>
        <v/>
      </c>
      <c r="R23" s="13">
        <f>L23+N23+P23</f>
        <v/>
      </c>
      <c r="S23" s="36">
        <f>R23-Q23</f>
        <v/>
      </c>
      <c r="T23" s="37" t="inlineStr"/>
    </row>
    <row r="24" ht="20" customHeight="1">
      <c r="B24" s="11" t="inlineStr">
        <is>
          <t>SERBIA</t>
        </is>
      </c>
      <c r="C24" s="31" t="inlineStr">
        <is>
          <t>PLANTA SANA, D.O.O.</t>
        </is>
      </c>
      <c r="D24" s="11" t="inlineStr">
        <is>
          <t>C-CU0001</t>
        </is>
      </c>
      <c r="E24" s="31" t="inlineStr">
        <is>
          <t>CODICOBRE</t>
        </is>
      </c>
      <c r="F24" s="12" t="n">
        <v>0</v>
      </c>
      <c r="G24" s="13" t="n">
        <v>0</v>
      </c>
      <c r="H24" s="12">
        <f>ABS(G24-F24)</f>
        <v/>
      </c>
      <c r="I24" s="32">
        <f>IF(F24&gt;0, G24/F24, IF(G24&gt;0, 1.0, 0.0))</f>
        <v/>
      </c>
      <c r="J24" s="33" t="inlineStr"/>
      <c r="K24" s="34" t="n">
        <v>0</v>
      </c>
      <c r="L24" s="35" t="n">
        <v>0</v>
      </c>
      <c r="M24" s="34" t="n">
        <v>0</v>
      </c>
      <c r="N24" s="35" t="n">
        <v>0</v>
      </c>
      <c r="O24" s="34" t="n">
        <v>500</v>
      </c>
      <c r="P24" s="35" t="n">
        <v>500</v>
      </c>
      <c r="Q24" s="12">
        <f>K24+M24+O24</f>
        <v/>
      </c>
      <c r="R24" s="13">
        <f>L24+N24+P24</f>
        <v/>
      </c>
      <c r="S24" s="36">
        <f>R24-Q24</f>
        <v/>
      </c>
      <c r="T24" s="37" t="inlineStr"/>
    </row>
    <row r="25" ht="20" customHeight="1">
      <c r="B25" s="11" t="inlineStr">
        <is>
          <t>SERBIA</t>
        </is>
      </c>
      <c r="C25" s="31" t="inlineStr">
        <is>
          <t>PLANTA SANA, D.O.O.</t>
        </is>
      </c>
      <c r="D25" s="11" t="inlineStr">
        <is>
          <t>FTK0020</t>
        </is>
      </c>
      <c r="E25" s="31" t="inlineStr">
        <is>
          <t>FITOKONTROL CA FLOW, 20 KG</t>
        </is>
      </c>
      <c r="F25" s="12" t="n">
        <v>0</v>
      </c>
      <c r="G25" s="13" t="n">
        <v>0</v>
      </c>
      <c r="H25" s="12">
        <f>ABS(G25-F25)</f>
        <v/>
      </c>
      <c r="I25" s="32">
        <f>IF(F25&gt;0, G25/F25, IF(G25&gt;0, 1.0, 0.0))</f>
        <v/>
      </c>
      <c r="J25" s="33" t="inlineStr"/>
      <c r="K25" s="34" t="n">
        <v>0</v>
      </c>
      <c r="L25" s="35" t="n">
        <v>0</v>
      </c>
      <c r="M25" s="34" t="n">
        <v>0</v>
      </c>
      <c r="N25" s="35" t="n">
        <v>0</v>
      </c>
      <c r="O25" s="34" t="n">
        <v>2200</v>
      </c>
      <c r="P25" s="35" t="n">
        <v>2200</v>
      </c>
      <c r="Q25" s="12">
        <f>K25+M25+O25</f>
        <v/>
      </c>
      <c r="R25" s="13">
        <f>L25+N25+P25</f>
        <v/>
      </c>
      <c r="S25" s="36">
        <f>R25-Q25</f>
        <v/>
      </c>
      <c r="T25" s="37" t="inlineStr"/>
    </row>
    <row r="26" ht="20" customHeight="1">
      <c r="B26" s="11" t="inlineStr">
        <is>
          <t>SERBIA</t>
        </is>
      </c>
      <c r="C26" s="31" t="inlineStr">
        <is>
          <t>PLANTA SANA, D.O.O.</t>
        </is>
      </c>
      <c r="D26" s="11" t="inlineStr">
        <is>
          <t>RUN0001</t>
        </is>
      </c>
      <c r="E26" s="31" t="inlineStr">
        <is>
          <t>RUN STRESS, 1 L</t>
        </is>
      </c>
      <c r="F26" s="12" t="n">
        <v>0</v>
      </c>
      <c r="G26" s="13" t="n">
        <v>0</v>
      </c>
      <c r="H26" s="12">
        <f>ABS(G26-F26)</f>
        <v/>
      </c>
      <c r="I26" s="32">
        <f>IF(F26&gt;0, G26/F26, IF(G26&gt;0, 1.0, 0.0))</f>
        <v/>
      </c>
      <c r="J26" s="33" t="inlineStr"/>
      <c r="K26" s="34" t="n">
        <v>0</v>
      </c>
      <c r="L26" s="35" t="n">
        <v>0</v>
      </c>
      <c r="M26" s="34" t="n">
        <v>0</v>
      </c>
      <c r="N26" s="35" t="n">
        <v>0</v>
      </c>
      <c r="O26" s="34" t="n">
        <v>960</v>
      </c>
      <c r="P26" s="35" t="n">
        <v>960</v>
      </c>
      <c r="Q26" s="12">
        <f>K26+M26+O26</f>
        <v/>
      </c>
      <c r="R26" s="13">
        <f>L26+N26+P26</f>
        <v/>
      </c>
      <c r="S26" s="36">
        <f>R26-Q26</f>
        <v/>
      </c>
      <c r="T26" s="37" t="inlineStr"/>
    </row>
    <row r="27" ht="20" customHeight="1">
      <c r="B27" s="11" t="inlineStr">
        <is>
          <t>AZERBAIYÁN</t>
        </is>
      </c>
      <c r="C27" s="31" t="inlineStr">
        <is>
          <t>ZTB AQRO MMC</t>
        </is>
      </c>
      <c r="D27" s="11" t="inlineStr">
        <is>
          <t>AVAN0005</t>
        </is>
      </c>
      <c r="E27" s="31" t="inlineStr">
        <is>
          <t>FLORAMEC AVANCE, 5 L</t>
        </is>
      </c>
      <c r="F27" s="12" t="n">
        <v>0</v>
      </c>
      <c r="G27" s="13" t="n">
        <v>0</v>
      </c>
      <c r="H27" s="12">
        <f>ABS(G27-F27)</f>
        <v/>
      </c>
      <c r="I27" s="32">
        <f>IF(F27&gt;0, G27/F27, IF(G27&gt;0, 1.0, 0.0))</f>
        <v/>
      </c>
      <c r="J27" s="33" t="inlineStr"/>
      <c r="K27" s="34" t="n">
        <v>0</v>
      </c>
      <c r="L27" s="35" t="n">
        <v>0</v>
      </c>
      <c r="M27" s="34" t="n">
        <v>0</v>
      </c>
      <c r="N27" s="35" t="n">
        <v>0</v>
      </c>
      <c r="O27" s="34" t="n">
        <v>3000</v>
      </c>
      <c r="P27" s="35" t="n">
        <v>3000</v>
      </c>
      <c r="Q27" s="12">
        <f>K27+M27+O27</f>
        <v/>
      </c>
      <c r="R27" s="13">
        <f>L27+N27+P27</f>
        <v/>
      </c>
      <c r="S27" s="36">
        <f>R27-Q27</f>
        <v/>
      </c>
      <c r="T27" s="37" t="inlineStr"/>
    </row>
    <row r="28" ht="20" customHeight="1">
      <c r="B28" s="11" t="inlineStr">
        <is>
          <t>AZERBAIYÁN</t>
        </is>
      </c>
      <c r="C28" s="31" t="inlineStr">
        <is>
          <t>ZTB AQRO MMC</t>
        </is>
      </c>
      <c r="D28" s="11" t="inlineStr">
        <is>
          <t>C-L0005</t>
        </is>
      </c>
      <c r="E28" s="31" t="inlineStr">
        <is>
          <t>CODIBOR-L, 5 L</t>
        </is>
      </c>
      <c r="F28" s="12" t="n">
        <v>0</v>
      </c>
      <c r="G28" s="13" t="n">
        <v>0</v>
      </c>
      <c r="H28" s="12">
        <f>ABS(G28-F28)</f>
        <v/>
      </c>
      <c r="I28" s="32">
        <f>IF(F28&gt;0, G28/F28, IF(G28&gt;0, 1.0, 0.0))</f>
        <v/>
      </c>
      <c r="J28" s="33" t="inlineStr"/>
      <c r="K28" s="34" t="n">
        <v>0</v>
      </c>
      <c r="L28" s="35" t="n">
        <v>0</v>
      </c>
      <c r="M28" s="34" t="n">
        <v>0</v>
      </c>
      <c r="N28" s="35" t="n">
        <v>0</v>
      </c>
      <c r="O28" s="34" t="n">
        <v>3000</v>
      </c>
      <c r="P28" s="35" t="n">
        <v>3000</v>
      </c>
      <c r="Q28" s="12">
        <f>K28+M28+O28</f>
        <v/>
      </c>
      <c r="R28" s="13">
        <f>L28+N28+P28</f>
        <v/>
      </c>
      <c r="S28" s="36">
        <f>R28-Q28</f>
        <v/>
      </c>
      <c r="T28" s="37" t="inlineStr"/>
    </row>
    <row r="29" ht="20" customHeight="1">
      <c r="B29" s="11" t="inlineStr">
        <is>
          <t>AZERBAIYÁN</t>
        </is>
      </c>
      <c r="C29" s="31" t="inlineStr">
        <is>
          <t>ZTB AQRO MMC</t>
        </is>
      </c>
      <c r="D29" s="11" t="inlineStr">
        <is>
          <t>C-L0020</t>
        </is>
      </c>
      <c r="E29" s="31" t="inlineStr">
        <is>
          <t>CODIBOR-L, 20 L</t>
        </is>
      </c>
      <c r="F29" s="12" t="n">
        <v>0</v>
      </c>
      <c r="G29" s="13" t="n">
        <v>0</v>
      </c>
      <c r="H29" s="12">
        <f>ABS(G29-F29)</f>
        <v/>
      </c>
      <c r="I29" s="32">
        <f>IF(F29&gt;0, G29/F29, IF(G29&gt;0, 1.0, 0.0))</f>
        <v/>
      </c>
      <c r="J29" s="33" t="inlineStr"/>
      <c r="K29" s="34" t="n">
        <v>0</v>
      </c>
      <c r="L29" s="35" t="n">
        <v>0</v>
      </c>
      <c r="M29" s="34" t="n">
        <v>0</v>
      </c>
      <c r="N29" s="35" t="n">
        <v>0</v>
      </c>
      <c r="O29" s="34" t="n">
        <v>2000</v>
      </c>
      <c r="P29" s="35" t="n">
        <v>2000</v>
      </c>
      <c r="Q29" s="12">
        <f>K29+M29+O29</f>
        <v/>
      </c>
      <c r="R29" s="13">
        <f>L29+N29+P29</f>
        <v/>
      </c>
      <c r="S29" s="36">
        <f>R29-Q29</f>
        <v/>
      </c>
      <c r="T29" s="37" t="inlineStr"/>
    </row>
    <row r="30" ht="20" customHeight="1">
      <c r="B30" s="11" t="inlineStr">
        <is>
          <t>AZERBAIYÁN</t>
        </is>
      </c>
      <c r="C30" s="31" t="inlineStr">
        <is>
          <t>ZTB AQRO MMC</t>
        </is>
      </c>
      <c r="D30" s="11" t="inlineStr">
        <is>
          <t>CBROT0020</t>
        </is>
      </c>
      <c r="E30" s="31" t="inlineStr">
        <is>
          <t>CODIBROT, 20 L</t>
        </is>
      </c>
      <c r="F30" s="12" t="n">
        <v>0</v>
      </c>
      <c r="G30" s="13" t="n">
        <v>0</v>
      </c>
      <c r="H30" s="12">
        <f>ABS(G30-F30)</f>
        <v/>
      </c>
      <c r="I30" s="32">
        <f>IF(F30&gt;0, G30/F30, IF(G30&gt;0, 1.0, 0.0))</f>
        <v/>
      </c>
      <c r="J30" s="33" t="inlineStr"/>
      <c r="K30" s="34" t="n">
        <v>0</v>
      </c>
      <c r="L30" s="35" t="n">
        <v>0</v>
      </c>
      <c r="M30" s="34" t="n">
        <v>0</v>
      </c>
      <c r="N30" s="35" t="n">
        <v>0</v>
      </c>
      <c r="O30" s="34" t="n">
        <v>3000</v>
      </c>
      <c r="P30" s="35" t="n">
        <v>3000</v>
      </c>
      <c r="Q30" s="12">
        <f>K30+M30+O30</f>
        <v/>
      </c>
      <c r="R30" s="13">
        <f>L30+N30+P30</f>
        <v/>
      </c>
      <c r="S30" s="36">
        <f>R30-Q30</f>
        <v/>
      </c>
      <c r="T30" s="37" t="inlineStr"/>
    </row>
    <row r="31" ht="20" customHeight="1">
      <c r="B31" s="11" t="inlineStr">
        <is>
          <t>AZERBAIYÁN</t>
        </is>
      </c>
      <c r="C31" s="31" t="inlineStr">
        <is>
          <t>ZTB AQRO MMC</t>
        </is>
      </c>
      <c r="D31" s="11" t="inlineStr">
        <is>
          <t>CM3M0001</t>
        </is>
      </c>
      <c r="E31" s="31" t="inlineStr">
        <is>
          <t>TENSOLINE-MAX, 1 L</t>
        </is>
      </c>
      <c r="F31" s="12" t="n">
        <v>0</v>
      </c>
      <c r="G31" s="13" t="n">
        <v>0</v>
      </c>
      <c r="H31" s="12">
        <f>ABS(G31-F31)</f>
        <v/>
      </c>
      <c r="I31" s="32">
        <f>IF(F31&gt;0, G31/F31, IF(G31&gt;0, 1.0, 0.0))</f>
        <v/>
      </c>
      <c r="J31" s="33" t="inlineStr"/>
      <c r="K31" s="34" t="n">
        <v>0</v>
      </c>
      <c r="L31" s="35" t="n">
        <v>0</v>
      </c>
      <c r="M31" s="34" t="n">
        <v>0</v>
      </c>
      <c r="N31" s="35" t="n">
        <v>0</v>
      </c>
      <c r="O31" s="34" t="n">
        <v>2000</v>
      </c>
      <c r="P31" s="35" t="n">
        <v>2000</v>
      </c>
      <c r="Q31" s="12">
        <f>K31+M31+O31</f>
        <v/>
      </c>
      <c r="R31" s="13">
        <f>L31+N31+P31</f>
        <v/>
      </c>
      <c r="S31" s="36">
        <f>R31-Q31</f>
        <v/>
      </c>
      <c r="T31" s="37" t="inlineStr"/>
    </row>
    <row r="32" ht="20" customHeight="1">
      <c r="B32" s="11" t="inlineStr">
        <is>
          <t>AZERBAIYÁN</t>
        </is>
      </c>
      <c r="C32" s="31" t="inlineStr">
        <is>
          <t>ZTB AQRO MMC</t>
        </is>
      </c>
      <c r="D32" s="11" t="inlineStr">
        <is>
          <t>CZNMNES0001</t>
        </is>
      </c>
      <c r="E32" s="31" t="inlineStr">
        <is>
          <t>CODIFOL ZN-MN, 1 KG</t>
        </is>
      </c>
      <c r="F32" s="12" t="n">
        <v>0</v>
      </c>
      <c r="G32" s="13" t="n">
        <v>0</v>
      </c>
      <c r="H32" s="12">
        <f>ABS(G32-F32)</f>
        <v/>
      </c>
      <c r="I32" s="32">
        <f>IF(F32&gt;0, G32/F32, IF(G32&gt;0, 1.0, 0.0))</f>
        <v/>
      </c>
      <c r="J32" s="33" t="inlineStr"/>
      <c r="K32" s="34" t="n">
        <v>0</v>
      </c>
      <c r="L32" s="35" t="n">
        <v>0</v>
      </c>
      <c r="M32" s="34" t="n">
        <v>0</v>
      </c>
      <c r="N32" s="35" t="n">
        <v>0</v>
      </c>
      <c r="O32" s="34" t="n">
        <v>1000</v>
      </c>
      <c r="P32" s="35" t="n">
        <v>1000</v>
      </c>
      <c r="Q32" s="12">
        <f>K32+M32+O32</f>
        <v/>
      </c>
      <c r="R32" s="13">
        <f>L32+N32+P32</f>
        <v/>
      </c>
      <c r="S32" s="36">
        <f>R32-Q32</f>
        <v/>
      </c>
      <c r="T32" s="37" t="inlineStr"/>
    </row>
    <row r="33" ht="20" customHeight="1">
      <c r="B33" s="11" t="inlineStr">
        <is>
          <t>AZERBAIYÁN</t>
        </is>
      </c>
      <c r="C33" s="31" t="inlineStr">
        <is>
          <t>ZTB AQRO MMC</t>
        </is>
      </c>
      <c r="D33" s="11" t="inlineStr">
        <is>
          <t>CZNMNES0005</t>
        </is>
      </c>
      <c r="E33" s="31" t="inlineStr">
        <is>
          <t>CODIFOL ZN-MN, 5 KG</t>
        </is>
      </c>
      <c r="F33" s="12" t="n">
        <v>0</v>
      </c>
      <c r="G33" s="13" t="n">
        <v>0</v>
      </c>
      <c r="H33" s="12">
        <f>ABS(G33-F33)</f>
        <v/>
      </c>
      <c r="I33" s="32">
        <f>IF(F33&gt;0, G33/F33, IF(G33&gt;0, 1.0, 0.0))</f>
        <v/>
      </c>
      <c r="J33" s="33" t="inlineStr"/>
      <c r="K33" s="34" t="n">
        <v>0</v>
      </c>
      <c r="L33" s="35" t="n">
        <v>0</v>
      </c>
      <c r="M33" s="34" t="n">
        <v>0</v>
      </c>
      <c r="N33" s="35" t="n">
        <v>0</v>
      </c>
      <c r="O33" s="34" t="n">
        <v>1000</v>
      </c>
      <c r="P33" s="35" t="n">
        <v>1000</v>
      </c>
      <c r="Q33" s="12">
        <f>K33+M33+O33</f>
        <v/>
      </c>
      <c r="R33" s="13">
        <f>L33+N33+P33</f>
        <v/>
      </c>
      <c r="S33" s="36">
        <f>R33-Q33</f>
        <v/>
      </c>
      <c r="T33" s="37" t="inlineStr"/>
    </row>
    <row r="34" ht="20" customHeight="1">
      <c r="B34" s="11" t="inlineStr">
        <is>
          <t>AZERBAIYÁN</t>
        </is>
      </c>
      <c r="C34" s="31" t="inlineStr">
        <is>
          <t>ZTB AQRO MMC</t>
        </is>
      </c>
      <c r="D34" s="11" t="inlineStr">
        <is>
          <t>N</t>
        </is>
      </c>
      <c r="E34" s="31" t="inlineStr">
        <is>
          <t>AMINOG AL , 1L</t>
        </is>
      </c>
      <c r="F34" s="12" t="n">
        <v>0</v>
      </c>
      <c r="G34" s="13" t="n">
        <v>0</v>
      </c>
      <c r="H34" s="12">
        <f>ABS(G34-F34)</f>
        <v/>
      </c>
      <c r="I34" s="32">
        <f>IF(F34&gt;0, G34/F34, IF(G34&gt;0, 1.0, 0.0))</f>
        <v/>
      </c>
      <c r="J34" s="33" t="inlineStr"/>
      <c r="K34" s="34" t="n">
        <v>0</v>
      </c>
      <c r="L34" s="35" t="n">
        <v>0</v>
      </c>
      <c r="M34" s="34" t="n">
        <v>0</v>
      </c>
      <c r="N34" s="35" t="n">
        <v>0</v>
      </c>
      <c r="O34" s="34" t="n">
        <v>4920</v>
      </c>
      <c r="P34" s="35" t="n">
        <v>4920</v>
      </c>
      <c r="Q34" s="12">
        <f>K34+M34+O34</f>
        <v/>
      </c>
      <c r="R34" s="13">
        <f>L34+N34+P34</f>
        <v/>
      </c>
      <c r="S34" s="36">
        <f>R34-Q34</f>
        <v/>
      </c>
      <c r="T34" s="37" t="inlineStr"/>
    </row>
    <row r="35" ht="20" customHeight="1">
      <c r="B35" s="11" t="inlineStr">
        <is>
          <t>TURQUÍA</t>
        </is>
      </c>
      <c r="C35" s="31" t="inlineStr">
        <is>
          <t>ÇITAR ÇIÇEK TARIM TIC. LTD. STI</t>
        </is>
      </c>
      <c r="D35" s="11" t="inlineStr">
        <is>
          <t>A-501000</t>
        </is>
      </c>
      <c r="E35" s="31" t="inlineStr">
        <is>
          <t>CODIORGAN-A50, 1000 KG</t>
        </is>
      </c>
      <c r="F35" s="12" t="n">
        <v>0</v>
      </c>
      <c r="G35" s="13" t="n">
        <v>0</v>
      </c>
      <c r="H35" s="12">
        <f>ABS(G35-F35)</f>
        <v/>
      </c>
      <c r="I35" s="32">
        <f>IF(F35&gt;0, G35/F35, IF(G35&gt;0, 1.0, 0.0))</f>
        <v/>
      </c>
      <c r="J35" s="33" t="inlineStr"/>
      <c r="K35" s="34" t="n">
        <v>0</v>
      </c>
      <c r="L35" s="35" t="n">
        <v>0</v>
      </c>
      <c r="M35" s="34" t="n">
        <v>0</v>
      </c>
      <c r="N35" s="35" t="n">
        <v>0</v>
      </c>
      <c r="O35" s="34" t="n">
        <v>2000</v>
      </c>
      <c r="P35" s="35" t="n">
        <v>2000</v>
      </c>
      <c r="Q35" s="12">
        <f>K35+M35+O35</f>
        <v/>
      </c>
      <c r="R35" s="13">
        <f>L35+N35+P35</f>
        <v/>
      </c>
      <c r="S35" s="36">
        <f>R35-Q35</f>
        <v/>
      </c>
      <c r="T35" s="37" t="inlineStr"/>
    </row>
    <row r="36" ht="20" customHeight="1">
      <c r="B36" s="11" t="inlineStr">
        <is>
          <t>TURQUÍA</t>
        </is>
      </c>
      <c r="C36" s="31" t="inlineStr">
        <is>
          <t>ÇITAR ÇIÇEK TARIM TIC. LTD. STI</t>
        </is>
      </c>
      <c r="D36" s="11" t="inlineStr">
        <is>
          <t>AN0005</t>
        </is>
      </c>
      <c r="E36" s="31" t="inlineStr">
        <is>
          <t>ALCAPLANT NEW</t>
        </is>
      </c>
      <c r="F36" s="12" t="n">
        <v>0</v>
      </c>
      <c r="G36" s="13" t="n">
        <v>2200</v>
      </c>
      <c r="H36" s="12">
        <f>ABS(G36-F36)</f>
        <v/>
      </c>
      <c r="I36" s="32">
        <f>IF(F36&gt;0, G36/F36, IF(G36&gt;0, 1.0, 0.0))</f>
        <v/>
      </c>
      <c r="J36" s="33" t="inlineStr">
        <is>
          <t>Pedido extra no previsto</t>
        </is>
      </c>
      <c r="K36" s="34" t="n">
        <v>0</v>
      </c>
      <c r="L36" s="35" t="n">
        <v>0</v>
      </c>
      <c r="M36" s="34" t="n">
        <v>0</v>
      </c>
      <c r="N36" s="35" t="n">
        <v>0</v>
      </c>
      <c r="O36" s="34" t="n">
        <v>0</v>
      </c>
      <c r="P36" s="35" t="n">
        <v>0</v>
      </c>
      <c r="Q36" s="12">
        <f>K36+M36+O36</f>
        <v/>
      </c>
      <c r="R36" s="13">
        <f>L36+N36+P36</f>
        <v/>
      </c>
      <c r="S36" s="36">
        <f>R36-Q36</f>
        <v/>
      </c>
      <c r="T36" s="37" t="inlineStr"/>
    </row>
    <row r="37" ht="20" customHeight="1">
      <c r="B37" s="11" t="inlineStr">
        <is>
          <t>ESPAÑA</t>
        </is>
      </c>
      <c r="C37" s="31" t="inlineStr">
        <is>
          <t>ÇITAR ÇIÇEK TARIM TIC. LTD. STI</t>
        </is>
      </c>
      <c r="D37" s="11" t="inlineStr">
        <is>
          <t>BIO0020</t>
        </is>
      </c>
      <c r="E37" s="31" t="inlineStr">
        <is>
          <t>BIORAD-20, 20 L</t>
        </is>
      </c>
      <c r="F37" s="12" t="n">
        <v>0</v>
      </c>
      <c r="G37" s="13" t="n">
        <v>10060</v>
      </c>
      <c r="H37" s="12">
        <f>ABS(G37-F37)</f>
        <v/>
      </c>
      <c r="I37" s="32">
        <f>IF(F37&gt;0, G37/F37, IF(G37&gt;0, 1.0, 0.0))</f>
        <v/>
      </c>
      <c r="J37" s="33" t="inlineStr">
        <is>
          <t>Pedido extra no previsto</t>
        </is>
      </c>
      <c r="K37" s="34" t="n">
        <v>0</v>
      </c>
      <c r="L37" s="35" t="n">
        <v>0</v>
      </c>
      <c r="M37" s="34" t="n">
        <v>0</v>
      </c>
      <c r="N37" s="35" t="n">
        <v>0</v>
      </c>
      <c r="O37" s="34" t="n">
        <v>0</v>
      </c>
      <c r="P37" s="35" t="n">
        <v>0</v>
      </c>
      <c r="Q37" s="12">
        <f>K37+M37+O37</f>
        <v/>
      </c>
      <c r="R37" s="13">
        <f>L37+N37+P37</f>
        <v/>
      </c>
      <c r="S37" s="36">
        <f>R37-Q37</f>
        <v/>
      </c>
      <c r="T37" s="37" t="inlineStr"/>
    </row>
    <row r="38" ht="20" customHeight="1">
      <c r="B38" s="11" t="inlineStr">
        <is>
          <t>ESPAÑA</t>
        </is>
      </c>
      <c r="C38" s="31" t="inlineStr">
        <is>
          <t>ÇITAR ÇIÇEK TARIM TIC. LTD. STI</t>
        </is>
      </c>
      <c r="D38" s="11" t="inlineStr">
        <is>
          <t>BIO1000</t>
        </is>
      </c>
      <c r="E38" s="31" t="inlineStr">
        <is>
          <t>BIORAD-20, 1000 L</t>
        </is>
      </c>
      <c r="F38" s="12" t="n">
        <v>0</v>
      </c>
      <c r="G38" s="13" t="n">
        <v>11000</v>
      </c>
      <c r="H38" s="12">
        <f>ABS(G38-F38)</f>
        <v/>
      </c>
      <c r="I38" s="32">
        <f>IF(F38&gt;0, G38/F38, IF(G38&gt;0, 1.0, 0.0))</f>
        <v/>
      </c>
      <c r="J38" s="33" t="inlineStr">
        <is>
          <t>Pedido extra no previsto</t>
        </is>
      </c>
      <c r="K38" s="34" t="n">
        <v>0</v>
      </c>
      <c r="L38" s="35" t="n">
        <v>0</v>
      </c>
      <c r="M38" s="34" t="n">
        <v>0</v>
      </c>
      <c r="N38" s="35" t="n">
        <v>0</v>
      </c>
      <c r="O38" s="34" t="n">
        <v>0</v>
      </c>
      <c r="P38" s="35" t="n">
        <v>0</v>
      </c>
      <c r="Q38" s="12">
        <f>K38+M38+O38</f>
        <v/>
      </c>
      <c r="R38" s="13">
        <f>L38+N38+P38</f>
        <v/>
      </c>
      <c r="S38" s="36">
        <f>R38-Q38</f>
        <v/>
      </c>
      <c r="T38" s="37" t="inlineStr"/>
    </row>
    <row r="39" ht="20" customHeight="1">
      <c r="B39" s="11" t="inlineStr">
        <is>
          <t>ESPAÑA</t>
        </is>
      </c>
      <c r="C39" s="31" t="inlineStr">
        <is>
          <t>ÇITAR ÇIÇEK TARIM TIC. LTD. STI</t>
        </is>
      </c>
      <c r="D39" s="11" t="inlineStr">
        <is>
          <t>C-CU1000</t>
        </is>
      </c>
      <c r="E39" s="31" t="inlineStr">
        <is>
          <t>CODICOBRE, 1000 L</t>
        </is>
      </c>
      <c r="F39" s="12" t="n">
        <v>0</v>
      </c>
      <c r="G39" s="13" t="n">
        <v>1000</v>
      </c>
      <c r="H39" s="12">
        <f>ABS(G39-F39)</f>
        <v/>
      </c>
      <c r="I39" s="32">
        <f>IF(F39&gt;0, G39/F39, IF(G39&gt;0, 1.0, 0.0))</f>
        <v/>
      </c>
      <c r="J39" s="33" t="inlineStr">
        <is>
          <t>Pedido extra no previsto</t>
        </is>
      </c>
      <c r="K39" s="34" t="n">
        <v>0</v>
      </c>
      <c r="L39" s="35" t="n">
        <v>0</v>
      </c>
      <c r="M39" s="34" t="n">
        <v>0</v>
      </c>
      <c r="N39" s="35" t="n">
        <v>0</v>
      </c>
      <c r="O39" s="34" t="n">
        <v>0</v>
      </c>
      <c r="P39" s="35" t="n">
        <v>0</v>
      </c>
      <c r="Q39" s="12">
        <f>K39+M39+O39</f>
        <v/>
      </c>
      <c r="R39" s="13">
        <f>L39+N39+P39</f>
        <v/>
      </c>
      <c r="S39" s="36">
        <f>R39-Q39</f>
        <v/>
      </c>
      <c r="T39" s="37" t="inlineStr"/>
    </row>
    <row r="40" ht="20" customHeight="1">
      <c r="B40" s="11" t="inlineStr">
        <is>
          <t>TURQUÍA</t>
        </is>
      </c>
      <c r="C40" s="31" t="inlineStr">
        <is>
          <t>ÇITAR ÇIÇEK TARIM TIC. LTD. STI</t>
        </is>
      </c>
      <c r="D40" s="11" t="inlineStr">
        <is>
          <t>FTK0005</t>
        </is>
      </c>
      <c r="E40" s="31" t="inlineStr">
        <is>
          <t>FITOKONTROL CA FLOW, 5 KG</t>
        </is>
      </c>
      <c r="F40" s="12" t="n">
        <v>10000</v>
      </c>
      <c r="G40" s="13" t="n">
        <v>5500</v>
      </c>
      <c r="H40" s="12">
        <f>ABS(G40-F40)</f>
        <v/>
      </c>
      <c r="I40" s="32">
        <f>IF(F40&gt;0, G40/F40, IF(G40&gt;0, 1.0, 0.0))</f>
        <v/>
      </c>
      <c r="J40" s="33" t="inlineStr"/>
      <c r="K40" s="34" t="n">
        <v>0</v>
      </c>
      <c r="L40" s="35" t="n">
        <v>0</v>
      </c>
      <c r="M40" s="34" t="n">
        <v>0</v>
      </c>
      <c r="N40" s="35" t="n">
        <v>0</v>
      </c>
      <c r="O40" s="34" t="n">
        <v>10000</v>
      </c>
      <c r="P40" s="35" t="n">
        <v>10000</v>
      </c>
      <c r="Q40" s="12">
        <f>K40+M40+O40</f>
        <v/>
      </c>
      <c r="R40" s="13">
        <f>L40+N40+P40</f>
        <v/>
      </c>
      <c r="S40" s="36">
        <f>R40-Q40</f>
        <v/>
      </c>
      <c r="T40" s="37" t="inlineStr"/>
    </row>
    <row r="41" ht="20" customHeight="1">
      <c r="B41" s="11" t="inlineStr">
        <is>
          <t>TURQUÍA</t>
        </is>
      </c>
      <c r="C41" s="31" t="inlineStr">
        <is>
          <t>ÇITAR ÇIÇEK TARIM TIC. LTD. STI</t>
        </is>
      </c>
      <c r="D41" s="11" t="inlineStr">
        <is>
          <t>FU1000</t>
        </is>
      </c>
      <c r="E41" s="31" t="inlineStr">
        <is>
          <t>FULVIGIN, 1000 L</t>
        </is>
      </c>
      <c r="F41" s="12" t="n">
        <v>0</v>
      </c>
      <c r="G41" s="13" t="n">
        <v>1000</v>
      </c>
      <c r="H41" s="12">
        <f>ABS(G41-F41)</f>
        <v/>
      </c>
      <c r="I41" s="32">
        <f>IF(F41&gt;0, G41/F41, IF(G41&gt;0, 1.0, 0.0))</f>
        <v/>
      </c>
      <c r="J41" s="33" t="inlineStr">
        <is>
          <t>Pedido extra no previsto</t>
        </is>
      </c>
      <c r="K41" s="34" t="n">
        <v>0</v>
      </c>
      <c r="L41" s="35" t="n">
        <v>0</v>
      </c>
      <c r="M41" s="34" t="n">
        <v>0</v>
      </c>
      <c r="N41" s="35" t="n">
        <v>0</v>
      </c>
      <c r="O41" s="34" t="n">
        <v>1000</v>
      </c>
      <c r="P41" s="35" t="n">
        <v>1000</v>
      </c>
      <c r="Q41" s="12">
        <f>K41+M41+O41</f>
        <v/>
      </c>
      <c r="R41" s="13">
        <f>L41+N41+P41</f>
        <v/>
      </c>
      <c r="S41" s="36">
        <f>R41-Q41</f>
        <v/>
      </c>
      <c r="T41" s="37" t="inlineStr"/>
    </row>
    <row r="42" ht="20" customHeight="1">
      <c r="B42" s="11" t="inlineStr">
        <is>
          <t>TURQUÍA</t>
        </is>
      </c>
      <c r="C42" s="31" t="inlineStr">
        <is>
          <t>ÇITAR ÇIÇEK TARIM TIC. LTD. STI</t>
        </is>
      </c>
      <c r="D42" s="11" t="inlineStr">
        <is>
          <t>RUN0001</t>
        </is>
      </c>
      <c r="E42" s="31" t="inlineStr">
        <is>
          <t>RUN STRESS, 1 L</t>
        </is>
      </c>
      <c r="F42" s="12" t="n">
        <v>1960</v>
      </c>
      <c r="G42" s="13" t="n">
        <v>1968</v>
      </c>
      <c r="H42" s="12">
        <f>ABS(G42-F42)</f>
        <v/>
      </c>
      <c r="I42" s="32">
        <f>IF(F42&gt;0, G42/F42, IF(G42&gt;0, 1.0, 0.0))</f>
        <v/>
      </c>
      <c r="J42" s="33" t="inlineStr"/>
      <c r="K42" s="34" t="n">
        <v>0</v>
      </c>
      <c r="L42" s="35" t="n">
        <v>0</v>
      </c>
      <c r="M42" s="34" t="n">
        <v>0</v>
      </c>
      <c r="N42" s="35" t="n">
        <v>0</v>
      </c>
      <c r="O42" s="34" t="n">
        <v>0</v>
      </c>
      <c r="P42" s="35" t="n">
        <v>0</v>
      </c>
      <c r="Q42" s="12">
        <f>K42+M42+O42</f>
        <v/>
      </c>
      <c r="R42" s="13">
        <f>L42+N42+P42</f>
        <v/>
      </c>
      <c r="S42" s="36">
        <f>R42-Q42</f>
        <v/>
      </c>
      <c r="T42" s="37" t="inlineStr"/>
    </row>
    <row r="43" ht="20" customHeight="1">
      <c r="B43" s="11" t="inlineStr">
        <is>
          <t>TURQUÍA</t>
        </is>
      </c>
      <c r="C43" s="31" t="inlineStr">
        <is>
          <t>ÇİTAR ÇİÇEK TARIM TIC. LTD. STI</t>
        </is>
      </c>
      <c r="D43" s="11" t="inlineStr">
        <is>
          <t>AN0005</t>
        </is>
      </c>
      <c r="E43" s="31" t="inlineStr">
        <is>
          <t>ALCAPLANT NEW, 5 KG</t>
        </is>
      </c>
      <c r="F43" s="12" t="n">
        <v>5500</v>
      </c>
      <c r="G43" s="13" t="n">
        <v>0</v>
      </c>
      <c r="H43" s="12">
        <f>ABS(G43-F43)</f>
        <v/>
      </c>
      <c r="I43" s="32">
        <f>IF(F43&gt;0, G43/F43, IF(G43&gt;0, 1.0, 0.0))</f>
        <v/>
      </c>
      <c r="J43" s="33" t="inlineStr"/>
      <c r="K43" s="34" t="n">
        <v>0</v>
      </c>
      <c r="L43" s="35" t="n">
        <v>0</v>
      </c>
      <c r="M43" s="34" t="n">
        <v>0</v>
      </c>
      <c r="N43" s="35" t="n">
        <v>0</v>
      </c>
      <c r="O43" s="34" t="n">
        <v>15000</v>
      </c>
      <c r="P43" s="35" t="n">
        <v>15000</v>
      </c>
      <c r="Q43" s="12">
        <f>K43+M43+O43</f>
        <v/>
      </c>
      <c r="R43" s="13">
        <f>L43+N43+P43</f>
        <v/>
      </c>
      <c r="S43" s="36">
        <f>R43-Q43</f>
        <v/>
      </c>
      <c r="T43" s="37" t="inlineStr"/>
    </row>
    <row r="44" ht="20" customHeight="1">
      <c r="B44" s="11" t="inlineStr">
        <is>
          <t>TURQUÍA</t>
        </is>
      </c>
      <c r="C44" s="31" t="inlineStr">
        <is>
          <t>ÇİTAR ÇİÇEK TARIM TIC. LTD. STI</t>
        </is>
      </c>
      <c r="D44" s="11" t="inlineStr">
        <is>
          <t>BIO0020</t>
        </is>
      </c>
      <c r="E44" s="31" t="inlineStr">
        <is>
          <t>BIORAD-20, 20 L</t>
        </is>
      </c>
      <c r="F44" s="12" t="n">
        <v>10000</v>
      </c>
      <c r="G44" s="13" t="n">
        <v>0</v>
      </c>
      <c r="H44" s="12">
        <f>ABS(G44-F44)</f>
        <v/>
      </c>
      <c r="I44" s="32">
        <f>IF(F44&gt;0, G44/F44, IF(G44&gt;0, 1.0, 0.0))</f>
        <v/>
      </c>
      <c r="J44" s="33" t="inlineStr"/>
      <c r="K44" s="34" t="n">
        <v>0</v>
      </c>
      <c r="L44" s="35" t="n">
        <v>0</v>
      </c>
      <c r="M44" s="34" t="n">
        <v>0</v>
      </c>
      <c r="N44" s="35" t="n">
        <v>0</v>
      </c>
      <c r="O44" s="34" t="n">
        <v>0</v>
      </c>
      <c r="P44" s="35" t="n">
        <v>0</v>
      </c>
      <c r="Q44" s="12">
        <f>K44+M44+O44</f>
        <v/>
      </c>
      <c r="R44" s="13">
        <f>L44+N44+P44</f>
        <v/>
      </c>
      <c r="S44" s="36">
        <f>R44-Q44</f>
        <v/>
      </c>
      <c r="T44" s="37" t="inlineStr"/>
    </row>
    <row r="45" ht="20" customHeight="1">
      <c r="B45" s="11" t="inlineStr">
        <is>
          <t>TURQUÍA</t>
        </is>
      </c>
      <c r="C45" s="31" t="inlineStr">
        <is>
          <t>ÇİTAR ÇİÇEK TARIM TIC. LTD. STI</t>
        </is>
      </c>
      <c r="D45" s="11" t="inlineStr">
        <is>
          <t>BIO1000</t>
        </is>
      </c>
      <c r="E45" s="31" t="inlineStr">
        <is>
          <t>BIORAD-20, 1000 L</t>
        </is>
      </c>
      <c r="F45" s="12" t="n">
        <v>10000</v>
      </c>
      <c r="G45" s="13" t="n">
        <v>0</v>
      </c>
      <c r="H45" s="12">
        <f>ABS(G45-F45)</f>
        <v/>
      </c>
      <c r="I45" s="32">
        <f>IF(F45&gt;0, G45/F45, IF(G45&gt;0, 1.0, 0.0))</f>
        <v/>
      </c>
      <c r="J45" s="33" t="inlineStr"/>
      <c r="K45" s="34" t="n">
        <v>0</v>
      </c>
      <c r="L45" s="35" t="n">
        <v>0</v>
      </c>
      <c r="M45" s="34" t="n">
        <v>0</v>
      </c>
      <c r="N45" s="35" t="n">
        <v>0</v>
      </c>
      <c r="O45" s="34" t="n">
        <v>0</v>
      </c>
      <c r="P45" s="35" t="n">
        <v>0</v>
      </c>
      <c r="Q45" s="12">
        <f>K45+M45+O45</f>
        <v/>
      </c>
      <c r="R45" s="13">
        <f>L45+N45+P45</f>
        <v/>
      </c>
      <c r="S45" s="36">
        <f>R45-Q45</f>
        <v/>
      </c>
      <c r="T45" s="37" t="inlineStr"/>
    </row>
    <row r="46" ht="20" customHeight="1">
      <c r="B46" s="11" t="inlineStr">
        <is>
          <t>TURQUÍA</t>
        </is>
      </c>
      <c r="C46" s="31" t="inlineStr">
        <is>
          <t>ÇİTAR ÇİÇEK TARIM TIC. LTD. STI</t>
        </is>
      </c>
      <c r="D46" s="11" t="inlineStr">
        <is>
          <t>C-CU1000</t>
        </is>
      </c>
      <c r="E46" s="31" t="inlineStr">
        <is>
          <t>CODICOBRE, 1000 L</t>
        </is>
      </c>
      <c r="F46" s="12" t="n">
        <v>2000</v>
      </c>
      <c r="G46" s="13" t="n">
        <v>0</v>
      </c>
      <c r="H46" s="12">
        <f>ABS(G46-F46)</f>
        <v/>
      </c>
      <c r="I46" s="32">
        <f>IF(F46&gt;0, G46/F46, IF(G46&gt;0, 1.0, 0.0))</f>
        <v/>
      </c>
      <c r="J46" s="33" t="inlineStr"/>
      <c r="K46" s="34" t="n">
        <v>0</v>
      </c>
      <c r="L46" s="35" t="n">
        <v>0</v>
      </c>
      <c r="M46" s="34" t="n">
        <v>0</v>
      </c>
      <c r="N46" s="35" t="n">
        <v>0</v>
      </c>
      <c r="O46" s="34" t="n">
        <v>0</v>
      </c>
      <c r="P46" s="35" t="n">
        <v>0</v>
      </c>
      <c r="Q46" s="12">
        <f>K46+M46+O46</f>
        <v/>
      </c>
      <c r="R46" s="13">
        <f>L46+N46+P46</f>
        <v/>
      </c>
      <c r="S46" s="36">
        <f>R46-Q46</f>
        <v/>
      </c>
      <c r="T46" s="37" t="inlineStr"/>
    </row>
    <row r="47" ht="20" customHeight="1">
      <c r="B47" s="11" t="inlineStr">
        <is>
          <t>TURQUÍA</t>
        </is>
      </c>
      <c r="C47" s="31" t="inlineStr">
        <is>
          <t>ÇİTAR ÇİÇEK TARIM TIC. LTD. STI</t>
        </is>
      </c>
      <c r="D47" s="11" t="inlineStr">
        <is>
          <t>CZNMNES1000</t>
        </is>
      </c>
      <c r="E47" s="31" t="inlineStr">
        <is>
          <t>CODIFOL ZN-MN, 1000 KG</t>
        </is>
      </c>
      <c r="F47" s="12" t="n">
        <v>0</v>
      </c>
      <c r="G47" s="13" t="n">
        <v>0</v>
      </c>
      <c r="H47" s="12">
        <f>ABS(G47-F47)</f>
        <v/>
      </c>
      <c r="I47" s="32">
        <f>IF(F47&gt;0, G47/F47, IF(G47&gt;0, 1.0, 0.0))</f>
        <v/>
      </c>
      <c r="J47" s="33" t="inlineStr"/>
      <c r="K47" s="34" t="n">
        <v>0</v>
      </c>
      <c r="L47" s="35" t="n">
        <v>0</v>
      </c>
      <c r="M47" s="34" t="n">
        <v>0</v>
      </c>
      <c r="N47" s="35" t="n">
        <v>0</v>
      </c>
      <c r="O47" s="34" t="n">
        <v>2000</v>
      </c>
      <c r="P47" s="35" t="n">
        <v>2000</v>
      </c>
      <c r="Q47" s="12">
        <f>K47+M47+O47</f>
        <v/>
      </c>
      <c r="R47" s="13">
        <f>L47+N47+P47</f>
        <v/>
      </c>
      <c r="S47" s="36">
        <f>R47-Q47</f>
        <v/>
      </c>
      <c r="T47" s="37" t="inlineStr"/>
    </row>
    <row r="48" ht="25" customHeight="1">
      <c r="B48" s="38" t="inlineStr">
        <is>
          <t>TOTAL CONSOLIDADO - MEHMET (UNIDADES)</t>
        </is>
      </c>
      <c r="C48" s="39" t="n"/>
      <c r="D48" s="39" t="n"/>
      <c r="E48" s="39" t="n"/>
      <c r="F48" s="19">
        <f>SUM(F10:F47)</f>
        <v/>
      </c>
      <c r="G48" s="19">
        <f>SUM(G10:G47)</f>
        <v/>
      </c>
      <c r="H48" s="19">
        <f>SUM(H10:H47)</f>
        <v/>
      </c>
      <c r="I48" s="20">
        <f>IF(F48&gt;0, G48/F48, 1.0)</f>
        <v/>
      </c>
      <c r="J48" s="40" t="n"/>
      <c r="K48" s="19">
        <f>SUM(K10:K47)</f>
        <v/>
      </c>
      <c r="L48" s="19">
        <f>SUM(L10:L47)</f>
        <v/>
      </c>
      <c r="M48" s="19">
        <f>SUM(M10:M47)</f>
        <v/>
      </c>
      <c r="N48" s="19">
        <f>SUM(N10:N47)</f>
        <v/>
      </c>
      <c r="O48" s="19">
        <f>SUM(O10:O47)</f>
        <v/>
      </c>
      <c r="P48" s="19">
        <f>SUM(P10:P47)</f>
        <v/>
      </c>
      <c r="Q48" s="19">
        <f>SUM(Q10:Q47)</f>
        <v/>
      </c>
      <c r="R48" s="19">
        <f>SUM(R10:R47)</f>
        <v/>
      </c>
      <c r="S48" s="41">
        <f>SUM(S10:S47)</f>
        <v/>
      </c>
      <c r="T48" s="40" t="n"/>
    </row>
  </sheetData>
  <mergeCells count="20">
    <mergeCell ref="N5:P5"/>
    <mergeCell ref="E6:G6"/>
    <mergeCell ref="K8:P8"/>
    <mergeCell ref="B4:T4"/>
    <mergeCell ref="B6:D6"/>
    <mergeCell ref="F8:J8"/>
    <mergeCell ref="N6:P6"/>
    <mergeCell ref="B3:T3"/>
    <mergeCell ref="B5:D5"/>
    <mergeCell ref="Q8:T8"/>
    <mergeCell ref="K6:M6"/>
    <mergeCell ref="H5:J5"/>
    <mergeCell ref="B48:E48"/>
    <mergeCell ref="Q5:T5"/>
    <mergeCell ref="B2:T2"/>
    <mergeCell ref="B8:E8"/>
    <mergeCell ref="E5:G5"/>
    <mergeCell ref="K5:M5"/>
    <mergeCell ref="Q6:T6"/>
    <mergeCell ref="H6:J6"/>
  </mergeCells>
  <dataValidations count="1">
    <dataValidation sqref="J10:J43 J10:J127" showDropDown="0" showInputMessage="0" showErrorMessage="0" allowBlank="1" errorTitle="Motivo de Desviación" error="Por favor seleccione un motivo de la lista o escriba su comentario" type="list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T5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14" customWidth="1" min="4" max="4"/>
    <col width="32" customWidth="1" min="5" max="5"/>
    <col width="16" customWidth="1" min="6" max="6"/>
    <col width="15" customWidth="1" min="7" max="7"/>
    <col width="14" customWidth="1" min="8" max="8"/>
    <col width="13" customWidth="1" min="9" max="9"/>
    <col width="32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  <col width="17" customWidth="1" min="17" max="17"/>
    <col width="17" customWidth="1" min="18" max="18"/>
    <col width="15" customWidth="1" min="19" max="19"/>
    <col width="34" customWidth="1" min="20" max="20"/>
  </cols>
  <sheetData>
    <row r="2" ht="36" customHeight="1">
      <c r="B2" s="1" t="inlineStr">
        <is>
          <t>CODIAGRO · ACTUALIZACIÓN DE PREVISIONES COMERCIALES Q4 2026 (OCTUBRE - DICIEMBRE)</t>
        </is>
      </c>
    </row>
    <row r="3" ht="20" customHeight="1">
      <c r="B3" s="2" t="inlineStr">
        <is>
          <t>DELEGADO COMERCIAL: PEDRO | Cierre Septiembre Oficial (01/10/2026) vs Previsiones a Final de Año | Generado: 01/10/2026 14:17</t>
        </is>
      </c>
    </row>
    <row r="4" ht="26" customHeight="1">
      <c r="B4" s="21" t="inlineStr">
        <is>
      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      </is>
      </c>
    </row>
    <row r="5" ht="16" customHeight="1">
      <c r="B5" s="22" t="inlineStr">
        <is>
          <t>PREVISTO SEP 2026 (U)</t>
        </is>
      </c>
      <c r="C5" s="23" t="n"/>
      <c r="D5" s="23" t="n"/>
      <c r="E5" s="24" t="inlineStr">
        <is>
          <t>REAL PEDIDOS SEP 2026 (U)</t>
        </is>
      </c>
      <c r="F5" s="23" t="n"/>
      <c r="G5" s="23" t="n"/>
      <c r="H5" s="25" t="inlineStr">
        <is>
          <t>% CONSECUCIÓN SEP</t>
        </is>
      </c>
      <c r="I5" s="23" t="n"/>
      <c r="J5" s="23" t="n"/>
      <c r="K5" s="22" t="inlineStr">
        <is>
          <t>PREVISIÓN INICIAL Q4 (U)</t>
        </is>
      </c>
      <c r="L5" s="23" t="n"/>
      <c r="M5" s="23" t="n"/>
      <c r="N5" s="24" t="inlineStr">
        <is>
          <t>PREVISIÓN REVISADA Q4 (U)</t>
        </is>
      </c>
      <c r="O5" s="23" t="n"/>
      <c r="P5" s="23" t="n"/>
      <c r="Q5" s="26" t="inlineStr">
        <is>
          <t>VARIACIÓN NETA Q4 (U)</t>
        </is>
      </c>
      <c r="R5" s="23" t="n"/>
      <c r="S5" s="23" t="n"/>
      <c r="T5" s="23" t="n"/>
    </row>
    <row r="6" ht="26" customHeight="1">
      <c r="B6" s="27">
        <f>F52</f>
        <v/>
      </c>
      <c r="C6" s="23" t="n"/>
      <c r="D6" s="23" t="n"/>
      <c r="E6" s="28">
        <f>G52</f>
        <v/>
      </c>
      <c r="F6" s="23" t="n"/>
      <c r="G6" s="23" t="n"/>
      <c r="H6" s="29">
        <f>I52</f>
        <v/>
      </c>
      <c r="I6" s="23" t="n"/>
      <c r="J6" s="23" t="n"/>
      <c r="K6" s="27">
        <f>Q52</f>
        <v/>
      </c>
      <c r="L6" s="23" t="n"/>
      <c r="M6" s="23" t="n"/>
      <c r="N6" s="28">
        <f>R52</f>
        <v/>
      </c>
      <c r="O6" s="23" t="n"/>
      <c r="P6" s="23" t="n"/>
      <c r="Q6" s="30">
        <f>S52</f>
        <v/>
      </c>
      <c r="R6" s="23" t="n"/>
      <c r="S6" s="23" t="n"/>
      <c r="T6" s="23" t="n"/>
    </row>
    <row r="8" ht="22" customHeight="1">
      <c r="B8" s="3" t="inlineStr">
        <is>
          <t>DATOS CLIENTE Y ARTÍCULO</t>
        </is>
      </c>
      <c r="F8" s="4" t="inlineStr">
        <is>
          <t>CIERRE SEPTIEMBRE 2026 (CALIBRACIÓN Y ANÁLISIS)</t>
        </is>
      </c>
      <c r="K8" s="5" t="inlineStr">
        <is>
          <t>REVISIÓN PREVISIONES MES A MES (HASTA FINAL DE AÑO 2026)</t>
        </is>
      </c>
      <c r="Q8" s="6" t="inlineStr">
        <is>
          <t>IMPACTO Q4 Y JUSTIFICACIÓN</t>
        </is>
      </c>
    </row>
    <row r="9" ht="28" customHeight="1">
      <c r="B9" s="7" t="inlineStr">
        <is>
          <t>País</t>
        </is>
      </c>
      <c r="C9" s="7" t="inlineStr">
        <is>
          <t>Cliente</t>
        </is>
      </c>
      <c r="D9" s="7" t="inlineStr">
        <is>
          <t>Cód. SKU</t>
        </is>
      </c>
      <c r="E9" s="7" t="inlineStr">
        <is>
          <t>Descripción Artículo</t>
        </is>
      </c>
      <c r="F9" s="8" t="inlineStr">
        <is>
          <t>Sep Previsto (u)</t>
        </is>
      </c>
      <c r="G9" s="8" t="inlineStr">
        <is>
          <t>Sep Real (u)</t>
        </is>
      </c>
      <c r="H9" s="8" t="inlineStr">
        <is>
          <t>Desv. Sep (u)</t>
        </is>
      </c>
      <c r="I9" s="8" t="inlineStr">
        <is>
          <t>% Consec.</t>
        </is>
      </c>
      <c r="J9" s="8" t="inlineStr">
        <is>
          <t>Comentario Sep (¿Adelanto/Atraso/Extra?)</t>
        </is>
      </c>
      <c r="K9" s="9" t="inlineStr">
        <is>
          <t>Oct Anterior (u)</t>
        </is>
      </c>
      <c r="L9" s="9" t="inlineStr">
        <is>
          <t>Oct Revisado (u)</t>
        </is>
      </c>
      <c r="M9" s="9" t="inlineStr">
        <is>
          <t>Nov Anterior (u)</t>
        </is>
      </c>
      <c r="N9" s="9" t="inlineStr">
        <is>
          <t>Nov Revisado (u)</t>
        </is>
      </c>
      <c r="O9" s="9" t="inlineStr">
        <is>
          <t>Dic Anterior (u)</t>
        </is>
      </c>
      <c r="P9" s="9" t="inlineStr">
        <is>
          <t>Dic Revisado (u)</t>
        </is>
      </c>
      <c r="Q9" s="7" t="inlineStr">
        <is>
          <t>Total Q4 Ant (u)</t>
        </is>
      </c>
      <c r="R9" s="7" t="inlineStr">
        <is>
          <t>Total Q4 Rev (u)</t>
        </is>
      </c>
      <c r="S9" s="7" t="inlineStr">
        <is>
          <t>Dif Q4 (u)</t>
        </is>
      </c>
      <c r="T9" s="7" t="inlineStr">
        <is>
          <t>Comentarios / Justificación Q4</t>
        </is>
      </c>
    </row>
    <row r="10" ht="20" customHeight="1">
      <c r="B10" s="11" t="inlineStr">
        <is>
          <t>ESPAÑA</t>
        </is>
      </c>
      <c r="C10" s="31" t="inlineStr">
        <is>
          <t>ASESORAMIENTO TECNICO DE CULTIVOS, S.L.</t>
        </is>
      </c>
      <c r="D10" s="11" t="inlineStr">
        <is>
          <t>AGXK0020</t>
        </is>
      </c>
      <c r="E10" s="31" t="inlineStr">
        <is>
          <t>AGROXILATO-K, 20 L</t>
        </is>
      </c>
      <c r="F10" s="12" t="n">
        <v>640</v>
      </c>
      <c r="G10" s="13" t="n">
        <v>0</v>
      </c>
      <c r="H10" s="12">
        <f>ABS(G10-F10)</f>
        <v/>
      </c>
      <c r="I10" s="32">
        <f>IF(F10&gt;0, G10/F10, IF(G10&gt;0, 1.0, 0.0))</f>
        <v/>
      </c>
      <c r="J10" s="33" t="inlineStr"/>
      <c r="K10" s="34" t="n">
        <v>640</v>
      </c>
      <c r="L10" s="35" t="n">
        <v>640</v>
      </c>
      <c r="M10" s="34" t="n">
        <v>0</v>
      </c>
      <c r="N10" s="35" t="n">
        <v>0</v>
      </c>
      <c r="O10" s="34" t="n">
        <v>0</v>
      </c>
      <c r="P10" s="35" t="n">
        <v>0</v>
      </c>
      <c r="Q10" s="12">
        <f>K10+M10+O10</f>
        <v/>
      </c>
      <c r="R10" s="13">
        <f>L10+N10+P10</f>
        <v/>
      </c>
      <c r="S10" s="36">
        <f>R10-Q10</f>
        <v/>
      </c>
      <c r="T10" s="37" t="inlineStr"/>
    </row>
    <row r="11" ht="20" customHeight="1">
      <c r="B11" s="11" t="inlineStr">
        <is>
          <t>ESPAÑA</t>
        </is>
      </c>
      <c r="C11" s="31" t="inlineStr">
        <is>
          <t>ASESORAMIENTO TECNICO DE CULTIVOS, S.L.</t>
        </is>
      </c>
      <c r="D11" s="11" t="inlineStr">
        <is>
          <t>B0005</t>
        </is>
      </c>
      <c r="E11" s="31" t="inlineStr">
        <is>
          <t>BOROCAL, 5 L</t>
        </is>
      </c>
      <c r="F11" s="12" t="n">
        <v>300</v>
      </c>
      <c r="G11" s="13" t="n">
        <v>0</v>
      </c>
      <c r="H11" s="12">
        <f>ABS(G11-F11)</f>
        <v/>
      </c>
      <c r="I11" s="32">
        <f>IF(F11&gt;0, G11/F11, IF(G11&gt;0, 1.0, 0.0))</f>
        <v/>
      </c>
      <c r="J11" s="33" t="inlineStr"/>
      <c r="K11" s="34" t="n">
        <v>0</v>
      </c>
      <c r="L11" s="35" t="n">
        <v>0</v>
      </c>
      <c r="M11" s="34" t="n">
        <v>0</v>
      </c>
      <c r="N11" s="35" t="n">
        <v>0</v>
      </c>
      <c r="O11" s="34" t="n">
        <v>0</v>
      </c>
      <c r="P11" s="35" t="n">
        <v>0</v>
      </c>
      <c r="Q11" s="12">
        <f>K11+M11+O11</f>
        <v/>
      </c>
      <c r="R11" s="13">
        <f>L11+N11+P11</f>
        <v/>
      </c>
      <c r="S11" s="36">
        <f>R11-Q11</f>
        <v/>
      </c>
      <c r="T11" s="37" t="inlineStr"/>
    </row>
    <row r="12" ht="20" customHeight="1">
      <c r="B12" s="11" t="inlineStr">
        <is>
          <t>ESPAÑA</t>
        </is>
      </c>
      <c r="C12" s="31" t="inlineStr">
        <is>
          <t>ASESORAMIENTO TECNICO DE CULTIVOS, S.L.</t>
        </is>
      </c>
      <c r="D12" s="11" t="inlineStr">
        <is>
          <t>B0020</t>
        </is>
      </c>
      <c r="E12" s="31" t="inlineStr">
        <is>
          <t>BOROCAL, 20 L</t>
        </is>
      </c>
      <c r="F12" s="12" t="n">
        <v>1280</v>
      </c>
      <c r="G12" s="13" t="n">
        <v>0</v>
      </c>
      <c r="H12" s="12">
        <f>ABS(G12-F12)</f>
        <v/>
      </c>
      <c r="I12" s="32">
        <f>IF(F12&gt;0, G12/F12, IF(G12&gt;0, 1.0, 0.0))</f>
        <v/>
      </c>
      <c r="J12" s="33" t="inlineStr"/>
      <c r="K12" s="34" t="n">
        <v>640</v>
      </c>
      <c r="L12" s="35" t="n">
        <v>640</v>
      </c>
      <c r="M12" s="34" t="n">
        <v>640</v>
      </c>
      <c r="N12" s="35" t="n">
        <v>640</v>
      </c>
      <c r="O12" s="34" t="n">
        <v>0</v>
      </c>
      <c r="P12" s="35" t="n">
        <v>0</v>
      </c>
      <c r="Q12" s="12">
        <f>K12+M12+O12</f>
        <v/>
      </c>
      <c r="R12" s="13">
        <f>L12+N12+P12</f>
        <v/>
      </c>
      <c r="S12" s="36">
        <f>R12-Q12</f>
        <v/>
      </c>
      <c r="T12" s="37" t="inlineStr"/>
    </row>
    <row r="13" ht="20" customHeight="1">
      <c r="B13" s="11" t="inlineStr">
        <is>
          <t>ESPAÑA</t>
        </is>
      </c>
      <c r="C13" s="31" t="inlineStr">
        <is>
          <t>ASESORAMIENTO TECNICO DE CULTIVOS, S.L.</t>
        </is>
      </c>
      <c r="D13" s="11" t="inlineStr">
        <is>
          <t>C-CU0020</t>
        </is>
      </c>
      <c r="E13" s="31" t="inlineStr">
        <is>
          <t>CODICOBRE, 20 L</t>
        </is>
      </c>
      <c r="F13" s="12" t="n">
        <v>1280</v>
      </c>
      <c r="G13" s="13" t="n">
        <v>0</v>
      </c>
      <c r="H13" s="12">
        <f>ABS(G13-F13)</f>
        <v/>
      </c>
      <c r="I13" s="32">
        <f>IF(F13&gt;0, G13/F13, IF(G13&gt;0, 1.0, 0.0))</f>
        <v/>
      </c>
      <c r="J13" s="33" t="inlineStr"/>
      <c r="K13" s="34" t="n">
        <v>640</v>
      </c>
      <c r="L13" s="35" t="n">
        <v>640</v>
      </c>
      <c r="M13" s="34" t="n">
        <v>1280</v>
      </c>
      <c r="N13" s="35" t="n">
        <v>1280</v>
      </c>
      <c r="O13" s="34" t="n">
        <v>0</v>
      </c>
      <c r="P13" s="35" t="n">
        <v>0</v>
      </c>
      <c r="Q13" s="12">
        <f>K13+M13+O13</f>
        <v/>
      </c>
      <c r="R13" s="13">
        <f>L13+N13+P13</f>
        <v/>
      </c>
      <c r="S13" s="36">
        <f>R13-Q13</f>
        <v/>
      </c>
      <c r="T13" s="37" t="inlineStr"/>
    </row>
    <row r="14" ht="20" customHeight="1">
      <c r="B14" s="11" t="inlineStr">
        <is>
          <t>ESPAÑA</t>
        </is>
      </c>
      <c r="C14" s="31" t="inlineStr">
        <is>
          <t>ASESORAMIENTO TECNICO DE CULTIVOS, S.L.</t>
        </is>
      </c>
      <c r="D14" s="11" t="inlineStr">
        <is>
          <t>CBASI0005</t>
        </is>
      </c>
      <c r="E14" s="31" t="inlineStr">
        <is>
          <t>BIOCULTURE BASI, 5 KG</t>
        </is>
      </c>
      <c r="F14" s="12" t="n">
        <v>0</v>
      </c>
      <c r="G14" s="13" t="n">
        <v>0</v>
      </c>
      <c r="H14" s="12">
        <f>ABS(G14-F14)</f>
        <v/>
      </c>
      <c r="I14" s="32">
        <f>IF(F14&gt;0, G14/F14, IF(G14&gt;0, 1.0, 0.0))</f>
        <v/>
      </c>
      <c r="J14" s="33" t="inlineStr"/>
      <c r="K14" s="34" t="n">
        <v>500</v>
      </c>
      <c r="L14" s="35" t="n">
        <v>500</v>
      </c>
      <c r="M14" s="34" t="n">
        <v>0</v>
      </c>
      <c r="N14" s="35" t="n">
        <v>0</v>
      </c>
      <c r="O14" s="34" t="n">
        <v>0</v>
      </c>
      <c r="P14" s="35" t="n">
        <v>0</v>
      </c>
      <c r="Q14" s="12">
        <f>K14+M14+O14</f>
        <v/>
      </c>
      <c r="R14" s="13">
        <f>L14+N14+P14</f>
        <v/>
      </c>
      <c r="S14" s="36">
        <f>R14-Q14</f>
        <v/>
      </c>
      <c r="T14" s="37" t="inlineStr"/>
    </row>
    <row r="15" ht="20" customHeight="1">
      <c r="B15" s="11" t="inlineStr">
        <is>
          <t>ESPAÑA</t>
        </is>
      </c>
      <c r="C15" s="31" t="inlineStr">
        <is>
          <t>ASESORAMIENTO TECNICO DE CULTIVOS, S.L.</t>
        </is>
      </c>
      <c r="D15" s="11" t="inlineStr">
        <is>
          <t>PT0020</t>
        </is>
      </c>
      <c r="E15" s="31" t="inlineStr">
        <is>
          <t>AGROPOTASION, 20 L</t>
        </is>
      </c>
      <c r="F15" s="12" t="n">
        <v>2560</v>
      </c>
      <c r="G15" s="13" t="n">
        <v>1920</v>
      </c>
      <c r="H15" s="12">
        <f>ABS(G15-F15)</f>
        <v/>
      </c>
      <c r="I15" s="32">
        <f>IF(F15&gt;0, G15/F15, IF(G15&gt;0, 1.0, 0.0))</f>
        <v/>
      </c>
      <c r="J15" s="33" t="inlineStr"/>
      <c r="K15" s="34" t="n">
        <v>1920</v>
      </c>
      <c r="L15" s="35" t="n">
        <v>1920</v>
      </c>
      <c r="M15" s="34" t="n">
        <v>1920</v>
      </c>
      <c r="N15" s="35" t="n">
        <v>1920</v>
      </c>
      <c r="O15" s="34" t="n">
        <v>0</v>
      </c>
      <c r="P15" s="35" t="n">
        <v>0</v>
      </c>
      <c r="Q15" s="12">
        <f>K15+M15+O15</f>
        <v/>
      </c>
      <c r="R15" s="13">
        <f>L15+N15+P15</f>
        <v/>
      </c>
      <c r="S15" s="36">
        <f>R15-Q15</f>
        <v/>
      </c>
      <c r="T15" s="37" t="inlineStr"/>
    </row>
    <row r="16" ht="20" customHeight="1">
      <c r="B16" s="11" t="inlineStr">
        <is>
          <t>ESPAÑA</t>
        </is>
      </c>
      <c r="C16" s="31" t="inlineStr">
        <is>
          <t>COMERCIAL TÉCNICA FITOCARTHAGO, S.L.</t>
        </is>
      </c>
      <c r="D16" s="11" t="inlineStr">
        <is>
          <t>AGXK0200</t>
        </is>
      </c>
      <c r="E16" s="31" t="inlineStr">
        <is>
          <t>AGROXILATO-K, 200 L</t>
        </is>
      </c>
      <c r="F16" s="12" t="n">
        <v>400</v>
      </c>
      <c r="G16" s="13" t="n">
        <v>0</v>
      </c>
      <c r="H16" s="12">
        <f>ABS(G16-F16)</f>
        <v/>
      </c>
      <c r="I16" s="32">
        <f>IF(F16&gt;0, G16/F16, IF(G16&gt;0, 1.0, 0.0))</f>
        <v/>
      </c>
      <c r="J16" s="33" t="inlineStr"/>
      <c r="K16" s="34" t="n">
        <v>800</v>
      </c>
      <c r="L16" s="35" t="n">
        <v>800</v>
      </c>
      <c r="M16" s="34" t="n">
        <v>0</v>
      </c>
      <c r="N16" s="35" t="n">
        <v>0</v>
      </c>
      <c r="O16" s="34" t="n">
        <v>0</v>
      </c>
      <c r="P16" s="35" t="n">
        <v>0</v>
      </c>
      <c r="Q16" s="12">
        <f>K16+M16+O16</f>
        <v/>
      </c>
      <c r="R16" s="13">
        <f>L16+N16+P16</f>
        <v/>
      </c>
      <c r="S16" s="36">
        <f>R16-Q16</f>
        <v/>
      </c>
      <c r="T16" s="37" t="inlineStr"/>
    </row>
    <row r="17" ht="20" customHeight="1">
      <c r="B17" s="11" t="inlineStr">
        <is>
          <t>ESPAÑA</t>
        </is>
      </c>
      <c r="C17" s="31" t="inlineStr">
        <is>
          <t>COMERCIAL TÉCNICA FITOCARTHAGO, S.L.</t>
        </is>
      </c>
      <c r="D17" s="11" t="inlineStr">
        <is>
          <t>AGXK1000</t>
        </is>
      </c>
      <c r="E17" s="31" t="inlineStr">
        <is>
          <t>AGROXILATO-K, 1000 L</t>
        </is>
      </c>
      <c r="F17" s="12" t="n">
        <v>2000</v>
      </c>
      <c r="G17" s="13" t="n">
        <v>0</v>
      </c>
      <c r="H17" s="12">
        <f>ABS(G17-F17)</f>
        <v/>
      </c>
      <c r="I17" s="32">
        <f>IF(F17&gt;0, G17/F17, IF(G17&gt;0, 1.0, 0.0))</f>
        <v/>
      </c>
      <c r="J17" s="33" t="inlineStr"/>
      <c r="K17" s="34" t="n">
        <v>3000</v>
      </c>
      <c r="L17" s="35" t="n">
        <v>3000</v>
      </c>
      <c r="M17" s="34" t="n">
        <v>1000</v>
      </c>
      <c r="N17" s="35" t="n">
        <v>1000</v>
      </c>
      <c r="O17" s="34" t="n">
        <v>0</v>
      </c>
      <c r="P17" s="35" t="n">
        <v>0</v>
      </c>
      <c r="Q17" s="12">
        <f>K17+M17+O17</f>
        <v/>
      </c>
      <c r="R17" s="13">
        <f>L17+N17+P17</f>
        <v/>
      </c>
      <c r="S17" s="36">
        <f>R17-Q17</f>
        <v/>
      </c>
      <c r="T17" s="37" t="inlineStr"/>
    </row>
    <row r="18" ht="20" customHeight="1">
      <c r="B18" s="11" t="inlineStr">
        <is>
          <t>ESPAÑA</t>
        </is>
      </c>
      <c r="C18" s="31" t="inlineStr">
        <is>
          <t>COMERCIAL TÉCNICA FITOCARTHAGO, S.L.</t>
        </is>
      </c>
      <c r="D18" s="11" t="inlineStr">
        <is>
          <t>AN0020</t>
        </is>
      </c>
      <c r="E18" s="31" t="inlineStr">
        <is>
          <t>ALCAPLANT NEW, 20 KG</t>
        </is>
      </c>
      <c r="F18" s="12" t="n">
        <v>2200</v>
      </c>
      <c r="G18" s="13" t="n">
        <v>2200</v>
      </c>
      <c r="H18" s="12">
        <f>ABS(G18-F18)</f>
        <v/>
      </c>
      <c r="I18" s="32">
        <f>IF(F18&gt;0, G18/F18, IF(G18&gt;0, 1.0, 0.0))</f>
        <v/>
      </c>
      <c r="J18" s="33" t="inlineStr"/>
      <c r="K18" s="34" t="n">
        <v>6500</v>
      </c>
      <c r="L18" s="35" t="n">
        <v>6500</v>
      </c>
      <c r="M18" s="34" t="n">
        <v>6500</v>
      </c>
      <c r="N18" s="35" t="n">
        <v>6500</v>
      </c>
      <c r="O18" s="34" t="n">
        <v>0</v>
      </c>
      <c r="P18" s="35" t="n">
        <v>0</v>
      </c>
      <c r="Q18" s="12">
        <f>K18+M18+O18</f>
        <v/>
      </c>
      <c r="R18" s="13">
        <f>L18+N18+P18</f>
        <v/>
      </c>
      <c r="S18" s="36">
        <f>R18-Q18</f>
        <v/>
      </c>
      <c r="T18" s="37" t="inlineStr"/>
    </row>
    <row r="19" ht="20" customHeight="1">
      <c r="B19" s="11" t="inlineStr">
        <is>
          <t>ESPAÑA</t>
        </is>
      </c>
      <c r="C19" s="31" t="inlineStr">
        <is>
          <t>COMERCIAL TÉCNICA FITOCARTHAGO, S.L.</t>
        </is>
      </c>
      <c r="D19" s="11" t="inlineStr">
        <is>
          <t>ANAE0020</t>
        </is>
      </c>
      <c r="E19" s="31" t="inlineStr">
        <is>
          <t>ALCAPLANT NEW AE, 20 KG</t>
        </is>
      </c>
      <c r="F19" s="12" t="n">
        <v>0</v>
      </c>
      <c r="G19" s="13" t="n">
        <v>0</v>
      </c>
      <c r="H19" s="12">
        <f>ABS(G19-F19)</f>
        <v/>
      </c>
      <c r="I19" s="32">
        <f>IF(F19&gt;0, G19/F19, IF(G19&gt;0, 1.0, 0.0))</f>
        <v/>
      </c>
      <c r="J19" s="33" t="inlineStr"/>
      <c r="K19" s="34" t="n">
        <v>2200</v>
      </c>
      <c r="L19" s="35" t="n">
        <v>2200</v>
      </c>
      <c r="M19" s="34" t="n">
        <v>2200</v>
      </c>
      <c r="N19" s="35" t="n">
        <v>2200</v>
      </c>
      <c r="O19" s="34" t="n">
        <v>0</v>
      </c>
      <c r="P19" s="35" t="n">
        <v>0</v>
      </c>
      <c r="Q19" s="12">
        <f>K19+M19+O19</f>
        <v/>
      </c>
      <c r="R19" s="13">
        <f>L19+N19+P19</f>
        <v/>
      </c>
      <c r="S19" s="36">
        <f>R19-Q19</f>
        <v/>
      </c>
      <c r="T19" s="37" t="inlineStr"/>
    </row>
    <row r="20" ht="20" customHeight="1">
      <c r="B20" s="11" t="inlineStr">
        <is>
          <t>ESPAÑA</t>
        </is>
      </c>
      <c r="C20" s="31" t="inlineStr">
        <is>
          <t>COMERCIAL TÉCNICA FITOCARTHAGO, S.L.</t>
        </is>
      </c>
      <c r="D20" s="11" t="inlineStr">
        <is>
          <t>AQUOM0020</t>
        </is>
      </c>
      <c r="E20" s="31" t="inlineStr">
        <is>
          <t>AQUOM, 20 L</t>
        </is>
      </c>
      <c r="F20" s="12" t="n">
        <v>0</v>
      </c>
      <c r="G20" s="13" t="n">
        <v>200</v>
      </c>
      <c r="H20" s="12">
        <f>ABS(G20-F20)</f>
        <v/>
      </c>
      <c r="I20" s="32">
        <f>IF(F20&gt;0, G20/F20, IF(G20&gt;0, 1.0, 0.0))</f>
        <v/>
      </c>
      <c r="J20" s="33" t="inlineStr">
        <is>
          <t>Pedido extra no previsto</t>
        </is>
      </c>
      <c r="K20" s="34" t="n">
        <v>100</v>
      </c>
      <c r="L20" s="35" t="n">
        <v>100</v>
      </c>
      <c r="M20" s="34" t="n">
        <v>100</v>
      </c>
      <c r="N20" s="35" t="n">
        <v>100</v>
      </c>
      <c r="O20" s="34" t="n">
        <v>0</v>
      </c>
      <c r="P20" s="35" t="n">
        <v>0</v>
      </c>
      <c r="Q20" s="12">
        <f>K20+M20+O20</f>
        <v/>
      </c>
      <c r="R20" s="13">
        <f>L20+N20+P20</f>
        <v/>
      </c>
      <c r="S20" s="36">
        <f>R20-Q20</f>
        <v/>
      </c>
      <c r="T20" s="37" t="inlineStr"/>
    </row>
    <row r="21" ht="20" customHeight="1">
      <c r="B21" s="11" t="inlineStr">
        <is>
          <t>ESPAÑA</t>
        </is>
      </c>
      <c r="C21" s="31" t="inlineStr">
        <is>
          <t>COMERCIAL TÉCNICA FITOCARTHAGO, S.L.</t>
        </is>
      </c>
      <c r="D21" s="11" t="inlineStr">
        <is>
          <t>C-CU0020</t>
        </is>
      </c>
      <c r="E21" s="31" t="inlineStr">
        <is>
          <t>CODICOBRE, 20 L</t>
        </is>
      </c>
      <c r="F21" s="12" t="n">
        <v>0</v>
      </c>
      <c r="G21" s="13" t="n">
        <v>0</v>
      </c>
      <c r="H21" s="12">
        <f>ABS(G21-F21)</f>
        <v/>
      </c>
      <c r="I21" s="32">
        <f>IF(F21&gt;0, G21/F21, IF(G21&gt;0, 1.0, 0.0))</f>
        <v/>
      </c>
      <c r="J21" s="33" t="inlineStr"/>
      <c r="K21" s="34" t="n">
        <v>200</v>
      </c>
      <c r="L21" s="35" t="n">
        <v>200</v>
      </c>
      <c r="M21" s="34" t="n">
        <v>200</v>
      </c>
      <c r="N21" s="35" t="n">
        <v>200</v>
      </c>
      <c r="O21" s="34" t="n">
        <v>0</v>
      </c>
      <c r="P21" s="35" t="n">
        <v>0</v>
      </c>
      <c r="Q21" s="12">
        <f>K21+M21+O21</f>
        <v/>
      </c>
      <c r="R21" s="13">
        <f>L21+N21+P21</f>
        <v/>
      </c>
      <c r="S21" s="36">
        <f>R21-Q21</f>
        <v/>
      </c>
      <c r="T21" s="37" t="inlineStr"/>
    </row>
    <row r="22" ht="20" customHeight="1">
      <c r="B22" s="11" t="inlineStr">
        <is>
          <t>ESPAÑA</t>
        </is>
      </c>
      <c r="C22" s="31" t="inlineStr">
        <is>
          <t>COMERCIAL TÉCNICA FITOCARTHAGO, S.L.</t>
        </is>
      </c>
      <c r="D22" s="11" t="inlineStr">
        <is>
          <t>FROST-P0020</t>
        </is>
      </c>
      <c r="E22" s="31" t="inlineStr">
        <is>
          <t>CODIFROST PLUS, 20 L</t>
        </is>
      </c>
      <c r="F22" s="12" t="n">
        <v>0</v>
      </c>
      <c r="G22" s="13" t="n">
        <v>0</v>
      </c>
      <c r="H22" s="12">
        <f>ABS(G22-F22)</f>
        <v/>
      </c>
      <c r="I22" s="32">
        <f>IF(F22&gt;0, G22/F22, IF(G22&gt;0, 1.0, 0.0))</f>
        <v/>
      </c>
      <c r="J22" s="33" t="inlineStr"/>
      <c r="K22" s="34" t="n">
        <v>0</v>
      </c>
      <c r="L22" s="35" t="n">
        <v>0</v>
      </c>
      <c r="M22" s="34" t="n">
        <v>100</v>
      </c>
      <c r="N22" s="35" t="n">
        <v>100</v>
      </c>
      <c r="O22" s="34" t="n">
        <v>0</v>
      </c>
      <c r="P22" s="35" t="n">
        <v>0</v>
      </c>
      <c r="Q22" s="12">
        <f>K22+M22+O22</f>
        <v/>
      </c>
      <c r="R22" s="13">
        <f>L22+N22+P22</f>
        <v/>
      </c>
      <c r="S22" s="36">
        <f>R22-Q22</f>
        <v/>
      </c>
      <c r="T22" s="37" t="inlineStr"/>
    </row>
    <row r="23" ht="20" customHeight="1">
      <c r="B23" s="11" t="inlineStr">
        <is>
          <t>ESPAÑA</t>
        </is>
      </c>
      <c r="C23" s="31" t="inlineStr">
        <is>
          <t>COMERCIAL TÉCNICA FITOCARTHAGO, S.L.</t>
        </is>
      </c>
      <c r="D23" s="11" t="inlineStr">
        <is>
          <t>N0200</t>
        </is>
      </c>
      <c r="E23" s="31" t="inlineStr">
        <is>
          <t>NUTRICALE, 200 L</t>
        </is>
      </c>
      <c r="F23" s="12" t="n">
        <v>0</v>
      </c>
      <c r="G23" s="13" t="n">
        <v>200</v>
      </c>
      <c r="H23" s="12">
        <f>ABS(G23-F23)</f>
        <v/>
      </c>
      <c r="I23" s="32">
        <f>IF(F23&gt;0, G23/F23, IF(G23&gt;0, 1.0, 0.0))</f>
        <v/>
      </c>
      <c r="J23" s="33" t="inlineStr">
        <is>
          <t>Pedido extra no previsto</t>
        </is>
      </c>
      <c r="K23" s="34" t="n">
        <v>0</v>
      </c>
      <c r="L23" s="35" t="n">
        <v>0</v>
      </c>
      <c r="M23" s="34" t="n">
        <v>0</v>
      </c>
      <c r="N23" s="35" t="n">
        <v>0</v>
      </c>
      <c r="O23" s="34" t="n">
        <v>0</v>
      </c>
      <c r="P23" s="35" t="n">
        <v>0</v>
      </c>
      <c r="Q23" s="12">
        <f>K23+M23+O23</f>
        <v/>
      </c>
      <c r="R23" s="13">
        <f>L23+N23+P23</f>
        <v/>
      </c>
      <c r="S23" s="36">
        <f>R23-Q23</f>
        <v/>
      </c>
      <c r="T23" s="37" t="inlineStr"/>
    </row>
    <row r="24" ht="20" customHeight="1">
      <c r="B24" s="11" t="inlineStr">
        <is>
          <t>ESPAÑA</t>
        </is>
      </c>
      <c r="C24" s="31" t="inlineStr">
        <is>
          <t>COMERCIAL TÉCNICA FITOCARTHAGO, S.L.</t>
        </is>
      </c>
      <c r="D24" s="11" t="inlineStr">
        <is>
          <t>PT0020</t>
        </is>
      </c>
      <c r="E24" s="31" t="inlineStr">
        <is>
          <t>AGROPOTASION, 20 L</t>
        </is>
      </c>
      <c r="F24" s="12" t="n">
        <v>0</v>
      </c>
      <c r="G24" s="13" t="n">
        <v>0</v>
      </c>
      <c r="H24" s="12">
        <f>ABS(G24-F24)</f>
        <v/>
      </c>
      <c r="I24" s="32">
        <f>IF(F24&gt;0, G24/F24, IF(G24&gt;0, 1.0, 0.0))</f>
        <v/>
      </c>
      <c r="J24" s="33" t="inlineStr"/>
      <c r="K24" s="34" t="n">
        <v>640</v>
      </c>
      <c r="L24" s="35" t="n">
        <v>640</v>
      </c>
      <c r="M24" s="34" t="n">
        <v>640</v>
      </c>
      <c r="N24" s="35" t="n">
        <v>640</v>
      </c>
      <c r="O24" s="34" t="n">
        <v>0</v>
      </c>
      <c r="P24" s="35" t="n">
        <v>0</v>
      </c>
      <c r="Q24" s="12">
        <f>K24+M24+O24</f>
        <v/>
      </c>
      <c r="R24" s="13">
        <f>L24+N24+P24</f>
        <v/>
      </c>
      <c r="S24" s="36">
        <f>R24-Q24</f>
        <v/>
      </c>
      <c r="T24" s="37" t="inlineStr"/>
    </row>
    <row r="25" ht="20" customHeight="1">
      <c r="B25" s="11" t="inlineStr">
        <is>
          <t>ESPAÑA</t>
        </is>
      </c>
      <c r="C25" s="31" t="inlineStr">
        <is>
          <t>COMERCIAL TÉCNICA FITOCARTHAGO, S.L.</t>
        </is>
      </c>
      <c r="D25" s="11" t="inlineStr">
        <is>
          <t>PT0200</t>
        </is>
      </c>
      <c r="E25" s="31" t="inlineStr">
        <is>
          <t>AGROPOTASION, 200 L</t>
        </is>
      </c>
      <c r="F25" s="12" t="n">
        <v>0</v>
      </c>
      <c r="G25" s="13" t="n">
        <v>600</v>
      </c>
      <c r="H25" s="12">
        <f>ABS(G25-F25)</f>
        <v/>
      </c>
      <c r="I25" s="32">
        <f>IF(F25&gt;0, G25/F25, IF(G25&gt;0, 1.0, 0.0))</f>
        <v/>
      </c>
      <c r="J25" s="33" t="inlineStr">
        <is>
          <t>Pedido extra no previsto</t>
        </is>
      </c>
      <c r="K25" s="34" t="n">
        <v>0</v>
      </c>
      <c r="L25" s="35" t="n">
        <v>0</v>
      </c>
      <c r="M25" s="34" t="n">
        <v>0</v>
      </c>
      <c r="N25" s="35" t="n">
        <v>0</v>
      </c>
      <c r="O25" s="34" t="n">
        <v>0</v>
      </c>
      <c r="P25" s="35" t="n">
        <v>0</v>
      </c>
      <c r="Q25" s="12">
        <f>K25+M25+O25</f>
        <v/>
      </c>
      <c r="R25" s="13">
        <f>L25+N25+P25</f>
        <v/>
      </c>
      <c r="S25" s="36">
        <f>R25-Q25</f>
        <v/>
      </c>
      <c r="T25" s="37" t="inlineStr"/>
    </row>
    <row r="26" ht="20" customHeight="1">
      <c r="B26" s="11" t="inlineStr">
        <is>
          <t>ESPAÑA</t>
        </is>
      </c>
      <c r="C26" s="31" t="inlineStr">
        <is>
          <t>COMERCIAL TÉCNICA FITOCARTHAGO, S.L.</t>
        </is>
      </c>
      <c r="D26" s="11" t="inlineStr">
        <is>
          <t>PT1000</t>
        </is>
      </c>
      <c r="E26" s="31" t="inlineStr">
        <is>
          <t>AGROPOTASION, 1000 L</t>
        </is>
      </c>
      <c r="F26" s="12" t="n">
        <v>0</v>
      </c>
      <c r="G26" s="13" t="n">
        <v>1000</v>
      </c>
      <c r="H26" s="12">
        <f>ABS(G26-F26)</f>
        <v/>
      </c>
      <c r="I26" s="32">
        <f>IF(F26&gt;0, G26/F26, IF(G26&gt;0, 1.0, 0.0))</f>
        <v/>
      </c>
      <c r="J26" s="33" t="inlineStr">
        <is>
          <t>Pedido extra no previsto</t>
        </is>
      </c>
      <c r="K26" s="34" t="n">
        <v>0</v>
      </c>
      <c r="L26" s="35" t="n">
        <v>0</v>
      </c>
      <c r="M26" s="34" t="n">
        <v>0</v>
      </c>
      <c r="N26" s="35" t="n">
        <v>0</v>
      </c>
      <c r="O26" s="34" t="n">
        <v>0</v>
      </c>
      <c r="P26" s="35" t="n">
        <v>0</v>
      </c>
      <c r="Q26" s="12">
        <f>K26+M26+O26</f>
        <v/>
      </c>
      <c r="R26" s="13">
        <f>L26+N26+P26</f>
        <v/>
      </c>
      <c r="S26" s="36">
        <f>R26-Q26</f>
        <v/>
      </c>
      <c r="T26" s="37" t="inlineStr"/>
    </row>
    <row r="27" ht="20" customHeight="1">
      <c r="B27" s="11" t="inlineStr">
        <is>
          <t>ESPAÑA</t>
        </is>
      </c>
      <c r="C27" s="31" t="inlineStr">
        <is>
          <t>COMERCIAL TÉCNICA FITOCARTHAGO, S.L.</t>
        </is>
      </c>
      <c r="D27" s="11" t="inlineStr">
        <is>
          <t>S0020</t>
        </is>
      </c>
      <c r="E27" s="31" t="inlineStr">
        <is>
          <t>SAL-WAX STAR, 20 L</t>
        </is>
      </c>
      <c r="F27" s="12" t="n">
        <v>640</v>
      </c>
      <c r="G27" s="13" t="n">
        <v>640</v>
      </c>
      <c r="H27" s="12">
        <f>ABS(G27-F27)</f>
        <v/>
      </c>
      <c r="I27" s="32">
        <f>IF(F27&gt;0, G27/F27, IF(G27&gt;0, 1.0, 0.0))</f>
        <v/>
      </c>
      <c r="J27" s="33" t="inlineStr"/>
      <c r="K27" s="34" t="n">
        <v>1280</v>
      </c>
      <c r="L27" s="35" t="n">
        <v>1280</v>
      </c>
      <c r="M27" s="34" t="n">
        <v>1280</v>
      </c>
      <c r="N27" s="35" t="n">
        <v>1280</v>
      </c>
      <c r="O27" s="34" t="n">
        <v>0</v>
      </c>
      <c r="P27" s="35" t="n">
        <v>0</v>
      </c>
      <c r="Q27" s="12">
        <f>K27+M27+O27</f>
        <v/>
      </c>
      <c r="R27" s="13">
        <f>L27+N27+P27</f>
        <v/>
      </c>
      <c r="S27" s="36">
        <f>R27-Q27</f>
        <v/>
      </c>
      <c r="T27" s="37" t="inlineStr"/>
    </row>
    <row r="28" ht="20" customHeight="1">
      <c r="B28" s="11" t="inlineStr">
        <is>
          <t>ESPAÑA</t>
        </is>
      </c>
      <c r="C28" s="31" t="inlineStr">
        <is>
          <t>COMERCIAL TÉCNICA FITOCARTHAGO, S.L.</t>
        </is>
      </c>
      <c r="D28" s="11" t="inlineStr">
        <is>
          <t>S0200</t>
        </is>
      </c>
      <c r="E28" s="31" t="inlineStr">
        <is>
          <t>SAL-WAX STAR, 200 L</t>
        </is>
      </c>
      <c r="F28" s="12" t="n">
        <v>400</v>
      </c>
      <c r="G28" s="13" t="n">
        <v>0</v>
      </c>
      <c r="H28" s="12">
        <f>ABS(G28-F28)</f>
        <v/>
      </c>
      <c r="I28" s="32">
        <f>IF(F28&gt;0, G28/F28, IF(G28&gt;0, 1.0, 0.0))</f>
        <v/>
      </c>
      <c r="J28" s="33" t="inlineStr"/>
      <c r="K28" s="34" t="n">
        <v>1600</v>
      </c>
      <c r="L28" s="35" t="n">
        <v>1600</v>
      </c>
      <c r="M28" s="34" t="n">
        <v>1600</v>
      </c>
      <c r="N28" s="35" t="n">
        <v>1600</v>
      </c>
      <c r="O28" s="34" t="n">
        <v>0</v>
      </c>
      <c r="P28" s="35" t="n">
        <v>0</v>
      </c>
      <c r="Q28" s="12">
        <f>K28+M28+O28</f>
        <v/>
      </c>
      <c r="R28" s="13">
        <f>L28+N28+P28</f>
        <v/>
      </c>
      <c r="S28" s="36">
        <f>R28-Q28</f>
        <v/>
      </c>
      <c r="T28" s="37" t="inlineStr"/>
    </row>
    <row r="29" ht="20" customHeight="1">
      <c r="B29" s="11" t="inlineStr">
        <is>
          <t>ESPAÑA</t>
        </is>
      </c>
      <c r="C29" s="31" t="inlineStr">
        <is>
          <t>COMERCIAL TÉCNICA FITOCARTHAGO, S.L.</t>
        </is>
      </c>
      <c r="D29" s="11" t="inlineStr">
        <is>
          <t>S1000</t>
        </is>
      </c>
      <c r="E29" s="31" t="inlineStr">
        <is>
          <t>SAL-WAX STAR, 1000 L</t>
        </is>
      </c>
      <c r="F29" s="12" t="n">
        <v>5000</v>
      </c>
      <c r="G29" s="13" t="n">
        <v>0</v>
      </c>
      <c r="H29" s="12">
        <f>ABS(G29-F29)</f>
        <v/>
      </c>
      <c r="I29" s="32">
        <f>IF(F29&gt;0, G29/F29, IF(G29&gt;0, 1.0, 0.0))</f>
        <v/>
      </c>
      <c r="J29" s="33" t="inlineStr"/>
      <c r="K29" s="34" t="n">
        <v>5000</v>
      </c>
      <c r="L29" s="35" t="n">
        <v>5000</v>
      </c>
      <c r="M29" s="34" t="n">
        <v>4000</v>
      </c>
      <c r="N29" s="35" t="n">
        <v>4000</v>
      </c>
      <c r="O29" s="34" t="n">
        <v>0</v>
      </c>
      <c r="P29" s="35" t="n">
        <v>0</v>
      </c>
      <c r="Q29" s="12">
        <f>K29+M29+O29</f>
        <v/>
      </c>
      <c r="R29" s="13">
        <f>L29+N29+P29</f>
        <v/>
      </c>
      <c r="S29" s="36">
        <f>R29-Q29</f>
        <v/>
      </c>
      <c r="T29" s="37" t="inlineStr"/>
    </row>
    <row r="30" ht="20" customHeight="1">
      <c r="B30" s="11" t="inlineStr">
        <is>
          <t>ESPAÑA</t>
        </is>
      </c>
      <c r="C30" s="31" t="inlineStr">
        <is>
          <t>COMERCIAL TÉCNICA FITOCARTHAGO, S.L.</t>
        </is>
      </c>
      <c r="D30" s="11" t="inlineStr">
        <is>
          <t>SPCE2B0020</t>
        </is>
      </c>
      <c r="E30" s="31" t="inlineStr">
        <is>
          <t>SPRINTENE CON BORO, 20 L</t>
        </is>
      </c>
      <c r="F30" s="12" t="n">
        <v>640</v>
      </c>
      <c r="G30" s="13" t="n">
        <v>0</v>
      </c>
      <c r="H30" s="12">
        <f>ABS(G30-F30)</f>
        <v/>
      </c>
      <c r="I30" s="32">
        <f>IF(F30&gt;0, G30/F30, IF(G30&gt;0, 1.0, 0.0))</f>
        <v/>
      </c>
      <c r="J30" s="33" t="inlineStr"/>
      <c r="K30" s="34" t="n">
        <v>1280</v>
      </c>
      <c r="L30" s="35" t="n">
        <v>1280</v>
      </c>
      <c r="M30" s="34" t="n">
        <v>0</v>
      </c>
      <c r="N30" s="35" t="n">
        <v>0</v>
      </c>
      <c r="O30" s="34" t="n">
        <v>0</v>
      </c>
      <c r="P30" s="35" t="n">
        <v>0</v>
      </c>
      <c r="Q30" s="12">
        <f>K30+M30+O30</f>
        <v/>
      </c>
      <c r="R30" s="13">
        <f>L30+N30+P30</f>
        <v/>
      </c>
      <c r="S30" s="36">
        <f>R30-Q30</f>
        <v/>
      </c>
      <c r="T30" s="37" t="inlineStr"/>
    </row>
    <row r="31" ht="20" customHeight="1">
      <c r="B31" s="11" t="inlineStr">
        <is>
          <t>ESPAÑA</t>
        </is>
      </c>
      <c r="C31" s="31" t="inlineStr">
        <is>
          <t>COMERCIAL TÉCNICA FITOCARTHAGO, S.L.</t>
        </is>
      </c>
      <c r="D31" s="11" t="inlineStr">
        <is>
          <t>SS0020</t>
        </is>
      </c>
      <c r="E31" s="31" t="inlineStr">
        <is>
          <t>SAL-WAX-Ca sólido, 20 KG</t>
        </is>
      </c>
      <c r="F31" s="12" t="n">
        <v>0</v>
      </c>
      <c r="G31" s="13" t="n">
        <v>400</v>
      </c>
      <c r="H31" s="12">
        <f>ABS(G31-F31)</f>
        <v/>
      </c>
      <c r="I31" s="32">
        <f>IF(F31&gt;0, G31/F31, IF(G31&gt;0, 1.0, 0.0))</f>
        <v/>
      </c>
      <c r="J31" s="33" t="inlineStr">
        <is>
          <t>Pedido extra no previsto</t>
        </is>
      </c>
      <c r="K31" s="34" t="n">
        <v>2800</v>
      </c>
      <c r="L31" s="35" t="n">
        <v>2800</v>
      </c>
      <c r="M31" s="34" t="n">
        <v>2400</v>
      </c>
      <c r="N31" s="35" t="n">
        <v>2400</v>
      </c>
      <c r="O31" s="34" t="n">
        <v>0</v>
      </c>
      <c r="P31" s="35" t="n">
        <v>0</v>
      </c>
      <c r="Q31" s="12">
        <f>K31+M31+O31</f>
        <v/>
      </c>
      <c r="R31" s="13">
        <f>L31+N31+P31</f>
        <v/>
      </c>
      <c r="S31" s="36">
        <f>R31-Q31</f>
        <v/>
      </c>
      <c r="T31" s="37" t="inlineStr"/>
    </row>
    <row r="32" ht="20" customHeight="1">
      <c r="B32" s="11" t="inlineStr">
        <is>
          <t>ESPAÑA</t>
        </is>
      </c>
      <c r="C32" s="31" t="inlineStr">
        <is>
          <t>FITOMURCIA S.L.</t>
        </is>
      </c>
      <c r="D32" s="11" t="inlineStr">
        <is>
          <t>A-50(2)0005</t>
        </is>
      </c>
      <c r="E32" s="31" t="inlineStr">
        <is>
          <t>CODIORGAN A-50, 5 KG</t>
        </is>
      </c>
      <c r="F32" s="12" t="n">
        <v>0</v>
      </c>
      <c r="G32" s="13" t="n">
        <v>0</v>
      </c>
      <c r="H32" s="12">
        <f>ABS(G32-F32)</f>
        <v/>
      </c>
      <c r="I32" s="32">
        <f>IF(F32&gt;0, G32/F32, IF(G32&gt;0, 1.0, 0.0))</f>
        <v/>
      </c>
      <c r="J32" s="33" t="inlineStr"/>
      <c r="K32" s="34" t="n">
        <v>0</v>
      </c>
      <c r="L32" s="35" t="n">
        <v>0</v>
      </c>
      <c r="M32" s="34" t="n">
        <v>500</v>
      </c>
      <c r="N32" s="35" t="n">
        <v>500</v>
      </c>
      <c r="O32" s="34" t="n">
        <v>0</v>
      </c>
      <c r="P32" s="35" t="n">
        <v>0</v>
      </c>
      <c r="Q32" s="12">
        <f>K32+M32+O32</f>
        <v/>
      </c>
      <c r="R32" s="13">
        <f>L32+N32+P32</f>
        <v/>
      </c>
      <c r="S32" s="36">
        <f>R32-Q32</f>
        <v/>
      </c>
      <c r="T32" s="37" t="inlineStr"/>
    </row>
    <row r="33" ht="20" customHeight="1">
      <c r="B33" s="11" t="inlineStr">
        <is>
          <t>ESPAÑA</t>
        </is>
      </c>
      <c r="C33" s="31" t="inlineStr">
        <is>
          <t>FITOMURCIA S.L.</t>
        </is>
      </c>
      <c r="D33" s="11" t="inlineStr">
        <is>
          <t>AGXKC0020</t>
        </is>
      </c>
      <c r="E33" s="31" t="inlineStr">
        <is>
          <t>AGROXILATO-COMPLET, 20 L</t>
        </is>
      </c>
      <c r="F33" s="12" t="n">
        <v>0</v>
      </c>
      <c r="G33" s="13" t="n">
        <v>0</v>
      </c>
      <c r="H33" s="12">
        <f>ABS(G33-F33)</f>
        <v/>
      </c>
      <c r="I33" s="32">
        <f>IF(F33&gt;0, G33/F33, IF(G33&gt;0, 1.0, 0.0))</f>
        <v/>
      </c>
      <c r="J33" s="33" t="inlineStr"/>
      <c r="K33" s="34" t="n">
        <v>0</v>
      </c>
      <c r="L33" s="35" t="n">
        <v>0</v>
      </c>
      <c r="M33" s="34" t="n">
        <v>1280</v>
      </c>
      <c r="N33" s="35" t="n">
        <v>1280</v>
      </c>
      <c r="O33" s="34" t="n">
        <v>0</v>
      </c>
      <c r="P33" s="35" t="n">
        <v>0</v>
      </c>
      <c r="Q33" s="12">
        <f>K33+M33+O33</f>
        <v/>
      </c>
      <c r="R33" s="13">
        <f>L33+N33+P33</f>
        <v/>
      </c>
      <c r="S33" s="36">
        <f>R33-Q33</f>
        <v/>
      </c>
      <c r="T33" s="37" t="inlineStr"/>
    </row>
    <row r="34" ht="20" customHeight="1">
      <c r="B34" s="11" t="inlineStr">
        <is>
          <t>ESPAÑA</t>
        </is>
      </c>
      <c r="C34" s="31" t="inlineStr">
        <is>
          <t>FITOMURCIA S.L.</t>
        </is>
      </c>
      <c r="D34" s="11" t="inlineStr">
        <is>
          <t>AGXKC1000</t>
        </is>
      </c>
      <c r="E34" s="31" t="inlineStr">
        <is>
          <t>AGROXILATO-COMPLET, 1000 L</t>
        </is>
      </c>
      <c r="F34" s="12" t="n">
        <v>0</v>
      </c>
      <c r="G34" s="13" t="n">
        <v>0</v>
      </c>
      <c r="H34" s="12">
        <f>ABS(G34-F34)</f>
        <v/>
      </c>
      <c r="I34" s="32">
        <f>IF(F34&gt;0, G34/F34, IF(G34&gt;0, 1.0, 0.0))</f>
        <v/>
      </c>
      <c r="J34" s="33" t="inlineStr"/>
      <c r="K34" s="34" t="n">
        <v>0</v>
      </c>
      <c r="L34" s="35" t="n">
        <v>0</v>
      </c>
      <c r="M34" s="34" t="n">
        <v>5000</v>
      </c>
      <c r="N34" s="35" t="n">
        <v>5000</v>
      </c>
      <c r="O34" s="34" t="n">
        <v>0</v>
      </c>
      <c r="P34" s="35" t="n">
        <v>0</v>
      </c>
      <c r="Q34" s="12">
        <f>K34+M34+O34</f>
        <v/>
      </c>
      <c r="R34" s="13">
        <f>L34+N34+P34</f>
        <v/>
      </c>
      <c r="S34" s="36">
        <f>R34-Q34</f>
        <v/>
      </c>
      <c r="T34" s="37" t="inlineStr"/>
    </row>
    <row r="35" ht="20" customHeight="1">
      <c r="B35" s="11" t="inlineStr">
        <is>
          <t>ESPAÑA</t>
        </is>
      </c>
      <c r="C35" s="31" t="inlineStr">
        <is>
          <t>FITOMURCIA S.L.</t>
        </is>
      </c>
      <c r="D35" s="11" t="inlineStr">
        <is>
          <t>AGZNP0005</t>
        </is>
      </c>
      <c r="E35" s="31" t="inlineStr">
        <is>
          <t>AGROXILATO-ZN PLUS, 5 KG</t>
        </is>
      </c>
      <c r="F35" s="12" t="n">
        <v>0</v>
      </c>
      <c r="G35" s="13" t="n">
        <v>200</v>
      </c>
      <c r="H35" s="12">
        <f>ABS(G35-F35)</f>
        <v/>
      </c>
      <c r="I35" s="32">
        <f>IF(F35&gt;0, G35/F35, IF(G35&gt;0, 1.0, 0.0))</f>
        <v/>
      </c>
      <c r="J35" s="33" t="inlineStr">
        <is>
          <t>Pedido extra no previsto</t>
        </is>
      </c>
      <c r="K35" s="34" t="n">
        <v>0</v>
      </c>
      <c r="L35" s="35" t="n">
        <v>0</v>
      </c>
      <c r="M35" s="34" t="n">
        <v>0</v>
      </c>
      <c r="N35" s="35" t="n">
        <v>0</v>
      </c>
      <c r="O35" s="34" t="n">
        <v>0</v>
      </c>
      <c r="P35" s="35" t="n">
        <v>0</v>
      </c>
      <c r="Q35" s="12">
        <f>K35+M35+O35</f>
        <v/>
      </c>
      <c r="R35" s="13">
        <f>L35+N35+P35</f>
        <v/>
      </c>
      <c r="S35" s="36">
        <f>R35-Q35</f>
        <v/>
      </c>
      <c r="T35" s="37" t="inlineStr"/>
    </row>
    <row r="36" ht="20" customHeight="1">
      <c r="B36" s="11" t="inlineStr">
        <is>
          <t>ESPAÑA</t>
        </is>
      </c>
      <c r="C36" s="31" t="inlineStr">
        <is>
          <t>FITOMURCIA S.L.</t>
        </is>
      </c>
      <c r="D36" s="11" t="inlineStr">
        <is>
          <t>AN0020</t>
        </is>
      </c>
      <c r="E36" s="31" t="inlineStr">
        <is>
          <t>ALCAPLANT NEW, 20 KG</t>
        </is>
      </c>
      <c r="F36" s="12" t="n">
        <v>0</v>
      </c>
      <c r="G36" s="13" t="n">
        <v>0</v>
      </c>
      <c r="H36" s="12">
        <f>ABS(G36-F36)</f>
        <v/>
      </c>
      <c r="I36" s="32">
        <f>IF(F36&gt;0, G36/F36, IF(G36&gt;0, 1.0, 0.0))</f>
        <v/>
      </c>
      <c r="J36" s="33" t="inlineStr"/>
      <c r="K36" s="34" t="n">
        <v>0</v>
      </c>
      <c r="L36" s="35" t="n">
        <v>0</v>
      </c>
      <c r="M36" s="34" t="n">
        <v>3300</v>
      </c>
      <c r="N36" s="35" t="n">
        <v>3300</v>
      </c>
      <c r="O36" s="34" t="n">
        <v>0</v>
      </c>
      <c r="P36" s="35" t="n">
        <v>0</v>
      </c>
      <c r="Q36" s="12">
        <f>K36+M36+O36</f>
        <v/>
      </c>
      <c r="R36" s="13">
        <f>L36+N36+P36</f>
        <v/>
      </c>
      <c r="S36" s="36">
        <f>R36-Q36</f>
        <v/>
      </c>
      <c r="T36" s="37" t="inlineStr"/>
    </row>
    <row r="37" ht="20" customHeight="1">
      <c r="B37" s="11" t="inlineStr">
        <is>
          <t>ESPAÑA</t>
        </is>
      </c>
      <c r="C37" s="31" t="inlineStr">
        <is>
          <t>FITOMURCIA S.L.</t>
        </is>
      </c>
      <c r="D37" s="11" t="inlineStr">
        <is>
          <t>B0020</t>
        </is>
      </c>
      <c r="E37" s="31" t="inlineStr">
        <is>
          <t>BOROCAL, 20 L</t>
        </is>
      </c>
      <c r="F37" s="12" t="n">
        <v>0</v>
      </c>
      <c r="G37" s="13" t="n">
        <v>0</v>
      </c>
      <c r="H37" s="12">
        <f>ABS(G37-F37)</f>
        <v/>
      </c>
      <c r="I37" s="32">
        <f>IF(F37&gt;0, G37/F37, IF(G37&gt;0, 1.0, 0.0))</f>
        <v/>
      </c>
      <c r="J37" s="33" t="inlineStr"/>
      <c r="K37" s="34" t="n">
        <v>0</v>
      </c>
      <c r="L37" s="35" t="n">
        <v>0</v>
      </c>
      <c r="M37" s="34" t="n">
        <v>1280</v>
      </c>
      <c r="N37" s="35" t="n">
        <v>1280</v>
      </c>
      <c r="O37" s="34" t="n">
        <v>0</v>
      </c>
      <c r="P37" s="35" t="n">
        <v>0</v>
      </c>
      <c r="Q37" s="12">
        <f>K37+M37+O37</f>
        <v/>
      </c>
      <c r="R37" s="13">
        <f>L37+N37+P37</f>
        <v/>
      </c>
      <c r="S37" s="36">
        <f>R37-Q37</f>
        <v/>
      </c>
      <c r="T37" s="37" t="inlineStr"/>
    </row>
    <row r="38" ht="20" customHeight="1">
      <c r="B38" s="11" t="inlineStr">
        <is>
          <t>ESPAÑA</t>
        </is>
      </c>
      <c r="C38" s="31" t="inlineStr">
        <is>
          <t>FITOMURCIA S.L.</t>
        </is>
      </c>
      <c r="D38" s="11" t="inlineStr">
        <is>
          <t>BIO0020</t>
        </is>
      </c>
      <c r="E38" s="31" t="inlineStr">
        <is>
          <t>BIORAD-20, 20 L</t>
        </is>
      </c>
      <c r="F38" s="12" t="n">
        <v>0</v>
      </c>
      <c r="G38" s="13" t="n">
        <v>0</v>
      </c>
      <c r="H38" s="12">
        <f>ABS(G38-F38)</f>
        <v/>
      </c>
      <c r="I38" s="32">
        <f>IF(F38&gt;0, G38/F38, IF(G38&gt;0, 1.0, 0.0))</f>
        <v/>
      </c>
      <c r="J38" s="33" t="inlineStr"/>
      <c r="K38" s="34" t="n">
        <v>0</v>
      </c>
      <c r="L38" s="35" t="n">
        <v>0</v>
      </c>
      <c r="M38" s="34" t="n">
        <v>1280</v>
      </c>
      <c r="N38" s="35" t="n">
        <v>1280</v>
      </c>
      <c r="O38" s="34" t="n">
        <v>0</v>
      </c>
      <c r="P38" s="35" t="n">
        <v>0</v>
      </c>
      <c r="Q38" s="12">
        <f>K38+M38+O38</f>
        <v/>
      </c>
      <c r="R38" s="13">
        <f>L38+N38+P38</f>
        <v/>
      </c>
      <c r="S38" s="36">
        <f>R38-Q38</f>
        <v/>
      </c>
      <c r="T38" s="37" t="inlineStr"/>
    </row>
    <row r="39" ht="20" customHeight="1">
      <c r="B39" s="11" t="inlineStr">
        <is>
          <t>ESPAÑA</t>
        </is>
      </c>
      <c r="C39" s="31" t="inlineStr">
        <is>
          <t>FITOMURCIA S.L.</t>
        </is>
      </c>
      <c r="D39" s="11" t="inlineStr">
        <is>
          <t>BIO1000</t>
        </is>
      </c>
      <c r="E39" s="31" t="inlineStr">
        <is>
          <t>BIORAD-20, 1000 L</t>
        </is>
      </c>
      <c r="F39" s="12" t="n">
        <v>0</v>
      </c>
      <c r="G39" s="13" t="n">
        <v>0</v>
      </c>
      <c r="H39" s="12">
        <f>ABS(G39-F39)</f>
        <v/>
      </c>
      <c r="I39" s="32">
        <f>IF(F39&gt;0, G39/F39, IF(G39&gt;0, 1.0, 0.0))</f>
        <v/>
      </c>
      <c r="J39" s="33" t="inlineStr"/>
      <c r="K39" s="34" t="n">
        <v>0</v>
      </c>
      <c r="L39" s="35" t="n">
        <v>0</v>
      </c>
      <c r="M39" s="34" t="n">
        <v>4000</v>
      </c>
      <c r="N39" s="35" t="n">
        <v>4000</v>
      </c>
      <c r="O39" s="34" t="n">
        <v>0</v>
      </c>
      <c r="P39" s="35" t="n">
        <v>0</v>
      </c>
      <c r="Q39" s="12">
        <f>K39+M39+O39</f>
        <v/>
      </c>
      <c r="R39" s="13">
        <f>L39+N39+P39</f>
        <v/>
      </c>
      <c r="S39" s="36">
        <f>R39-Q39</f>
        <v/>
      </c>
      <c r="T39" s="37" t="inlineStr"/>
    </row>
    <row r="40" ht="20" customHeight="1">
      <c r="B40" s="11" t="inlineStr">
        <is>
          <t>ESPAÑA</t>
        </is>
      </c>
      <c r="C40" s="31" t="inlineStr">
        <is>
          <t>FITOMURCIA S.L.</t>
        </is>
      </c>
      <c r="D40" s="11" t="inlineStr">
        <is>
          <t>C-L0020</t>
        </is>
      </c>
      <c r="E40" s="31" t="inlineStr">
        <is>
          <t>CODIBOR-L, 20 L</t>
        </is>
      </c>
      <c r="F40" s="12" t="n">
        <v>0</v>
      </c>
      <c r="G40" s="13" t="n">
        <v>320</v>
      </c>
      <c r="H40" s="12">
        <f>ABS(G40-F40)</f>
        <v/>
      </c>
      <c r="I40" s="32">
        <f>IF(F40&gt;0, G40/F40, IF(G40&gt;0, 1.0, 0.0))</f>
        <v/>
      </c>
      <c r="J40" s="33" t="inlineStr">
        <is>
          <t>Pedido extra no previsto</t>
        </is>
      </c>
      <c r="K40" s="34" t="n">
        <v>0</v>
      </c>
      <c r="L40" s="35" t="n">
        <v>0</v>
      </c>
      <c r="M40" s="34" t="n">
        <v>0</v>
      </c>
      <c r="N40" s="35" t="n">
        <v>0</v>
      </c>
      <c r="O40" s="34" t="n">
        <v>0</v>
      </c>
      <c r="P40" s="35" t="n">
        <v>0</v>
      </c>
      <c r="Q40" s="12">
        <f>K40+M40+O40</f>
        <v/>
      </c>
      <c r="R40" s="13">
        <f>L40+N40+P40</f>
        <v/>
      </c>
      <c r="S40" s="36">
        <f>R40-Q40</f>
        <v/>
      </c>
      <c r="T40" s="37" t="inlineStr"/>
    </row>
    <row r="41" ht="20" customHeight="1">
      <c r="B41" s="11" t="inlineStr">
        <is>
          <t>ESPAÑA</t>
        </is>
      </c>
      <c r="C41" s="31" t="inlineStr">
        <is>
          <t>FITOMURCIA S.L.</t>
        </is>
      </c>
      <c r="D41" s="11" t="inlineStr">
        <is>
          <t>C-MB0005</t>
        </is>
      </c>
      <c r="E41" s="31" t="inlineStr">
        <is>
          <t>CODIFOL-MB, 5 L</t>
        </is>
      </c>
      <c r="F41" s="12" t="n">
        <v>0</v>
      </c>
      <c r="G41" s="13" t="n">
        <v>60</v>
      </c>
      <c r="H41" s="12">
        <f>ABS(G41-F41)</f>
        <v/>
      </c>
      <c r="I41" s="32">
        <f>IF(F41&gt;0, G41/F41, IF(G41&gt;0, 1.0, 0.0))</f>
        <v/>
      </c>
      <c r="J41" s="33" t="inlineStr">
        <is>
          <t>Pedido extra no previsto</t>
        </is>
      </c>
      <c r="K41" s="34" t="n">
        <v>0</v>
      </c>
      <c r="L41" s="35" t="n">
        <v>0</v>
      </c>
      <c r="M41" s="34" t="n">
        <v>0</v>
      </c>
      <c r="N41" s="35" t="n">
        <v>0</v>
      </c>
      <c r="O41" s="34" t="n">
        <v>0</v>
      </c>
      <c r="P41" s="35" t="n">
        <v>0</v>
      </c>
      <c r="Q41" s="12">
        <f>K41+M41+O41</f>
        <v/>
      </c>
      <c r="R41" s="13">
        <f>L41+N41+P41</f>
        <v/>
      </c>
      <c r="S41" s="36">
        <f>R41-Q41</f>
        <v/>
      </c>
      <c r="T41" s="37" t="inlineStr"/>
    </row>
    <row r="42" ht="20" customHeight="1">
      <c r="B42" s="11" t="inlineStr">
        <is>
          <t>ESPAÑA</t>
        </is>
      </c>
      <c r="C42" s="31" t="inlineStr">
        <is>
          <t>FITOMURCIA S.L.</t>
        </is>
      </c>
      <c r="D42" s="11" t="inlineStr">
        <is>
          <t>C-MB0020</t>
        </is>
      </c>
      <c r="E42" s="31" t="inlineStr">
        <is>
          <t>CODIFOL-MB, 20 L</t>
        </is>
      </c>
      <c r="F42" s="12" t="n">
        <v>0</v>
      </c>
      <c r="G42" s="13" t="n">
        <v>320</v>
      </c>
      <c r="H42" s="12">
        <f>ABS(G42-F42)</f>
        <v/>
      </c>
      <c r="I42" s="32">
        <f>IF(F42&gt;0, G42/F42, IF(G42&gt;0, 1.0, 0.0))</f>
        <v/>
      </c>
      <c r="J42" s="33" t="inlineStr">
        <is>
          <t>Pedido extra no previsto</t>
        </is>
      </c>
      <c r="K42" s="34" t="n">
        <v>0</v>
      </c>
      <c r="L42" s="35" t="n">
        <v>0</v>
      </c>
      <c r="M42" s="34" t="n">
        <v>0</v>
      </c>
      <c r="N42" s="35" t="n">
        <v>0</v>
      </c>
      <c r="O42" s="34" t="n">
        <v>0</v>
      </c>
      <c r="P42" s="35" t="n">
        <v>0</v>
      </c>
      <c r="Q42" s="12">
        <f>K42+M42+O42</f>
        <v/>
      </c>
      <c r="R42" s="13">
        <f>L42+N42+P42</f>
        <v/>
      </c>
      <c r="S42" s="36">
        <f>R42-Q42</f>
        <v/>
      </c>
      <c r="T42" s="37" t="inlineStr"/>
    </row>
    <row r="43" ht="20" customHeight="1">
      <c r="B43" s="11" t="inlineStr">
        <is>
          <t>ESPAÑA</t>
        </is>
      </c>
      <c r="C43" s="31" t="inlineStr">
        <is>
          <t>FITOMURCIA S.L.</t>
        </is>
      </c>
      <c r="D43" s="11" t="inlineStr">
        <is>
          <t>FROST-P0020</t>
        </is>
      </c>
      <c r="E43" s="31" t="inlineStr">
        <is>
          <t>CODIFROST PLUS, 20 L</t>
        </is>
      </c>
      <c r="F43" s="12" t="n">
        <v>0</v>
      </c>
      <c r="G43" s="13" t="n">
        <v>0</v>
      </c>
      <c r="H43" s="12">
        <f>ABS(G43-F43)</f>
        <v/>
      </c>
      <c r="I43" s="32">
        <f>IF(F43&gt;0, G43/F43, IF(G43&gt;0, 1.0, 0.0))</f>
        <v/>
      </c>
      <c r="J43" s="33" t="inlineStr"/>
      <c r="K43" s="34" t="n">
        <v>0</v>
      </c>
      <c r="L43" s="35" t="n">
        <v>0</v>
      </c>
      <c r="M43" s="34" t="n">
        <v>1280</v>
      </c>
      <c r="N43" s="35" t="n">
        <v>1280</v>
      </c>
      <c r="O43" s="34" t="n">
        <v>0</v>
      </c>
      <c r="P43" s="35" t="n">
        <v>0</v>
      </c>
      <c r="Q43" s="12">
        <f>K43+M43+O43</f>
        <v/>
      </c>
      <c r="R43" s="13">
        <f>L43+N43+P43</f>
        <v/>
      </c>
      <c r="S43" s="36">
        <f>R43-Q43</f>
        <v/>
      </c>
      <c r="T43" s="37" t="inlineStr"/>
    </row>
    <row r="44" ht="20" customHeight="1">
      <c r="B44" s="11" t="inlineStr">
        <is>
          <t>ESPAÑA</t>
        </is>
      </c>
      <c r="C44" s="31" t="inlineStr">
        <is>
          <t>FITOMURCIA S.L.</t>
        </is>
      </c>
      <c r="D44" s="11" t="inlineStr">
        <is>
          <t>G30020</t>
        </is>
      </c>
      <c r="E44" s="31" t="inlineStr">
        <is>
          <t>GREEN-UP, 20 L</t>
        </is>
      </c>
      <c r="F44" s="12" t="n">
        <v>0</v>
      </c>
      <c r="G44" s="13" t="n">
        <v>0</v>
      </c>
      <c r="H44" s="12">
        <f>ABS(G44-F44)</f>
        <v/>
      </c>
      <c r="I44" s="32">
        <f>IF(F44&gt;0, G44/F44, IF(G44&gt;0, 1.0, 0.0))</f>
        <v/>
      </c>
      <c r="J44" s="33" t="inlineStr"/>
      <c r="K44" s="34" t="n">
        <v>1280</v>
      </c>
      <c r="L44" s="35" t="n">
        <v>1280</v>
      </c>
      <c r="M44" s="34" t="n">
        <v>1280</v>
      </c>
      <c r="N44" s="35" t="n">
        <v>1280</v>
      </c>
      <c r="O44" s="34" t="n">
        <v>0</v>
      </c>
      <c r="P44" s="35" t="n">
        <v>0</v>
      </c>
      <c r="Q44" s="12">
        <f>K44+M44+O44</f>
        <v/>
      </c>
      <c r="R44" s="13">
        <f>L44+N44+P44</f>
        <v/>
      </c>
      <c r="S44" s="36">
        <f>R44-Q44</f>
        <v/>
      </c>
      <c r="T44" s="37" t="inlineStr"/>
    </row>
    <row r="45" ht="20" customHeight="1">
      <c r="B45" s="11" t="inlineStr">
        <is>
          <t>ESPAÑA</t>
        </is>
      </c>
      <c r="C45" s="31" t="inlineStr">
        <is>
          <t>FITOMURCIA S.L.</t>
        </is>
      </c>
      <c r="D45" s="11" t="inlineStr">
        <is>
          <t>HST0020</t>
        </is>
      </c>
      <c r="E45" s="31" t="inlineStr">
        <is>
          <t>HIDROSTRESS, 20 L</t>
        </is>
      </c>
      <c r="F45" s="12" t="n">
        <v>0</v>
      </c>
      <c r="G45" s="13" t="n">
        <v>0</v>
      </c>
      <c r="H45" s="12">
        <f>ABS(G45-F45)</f>
        <v/>
      </c>
      <c r="I45" s="32">
        <f>IF(F45&gt;0, G45/F45, IF(G45&gt;0, 1.0, 0.0))</f>
        <v/>
      </c>
      <c r="J45" s="33" t="inlineStr"/>
      <c r="K45" s="34" t="n">
        <v>1280</v>
      </c>
      <c r="L45" s="35" t="n">
        <v>1280</v>
      </c>
      <c r="M45" s="34" t="n">
        <v>1280</v>
      </c>
      <c r="N45" s="35" t="n">
        <v>1280</v>
      </c>
      <c r="O45" s="34" t="n">
        <v>0</v>
      </c>
      <c r="P45" s="35" t="n">
        <v>0</v>
      </c>
      <c r="Q45" s="12">
        <f>K45+M45+O45</f>
        <v/>
      </c>
      <c r="R45" s="13">
        <f>L45+N45+P45</f>
        <v/>
      </c>
      <c r="S45" s="36">
        <f>R45-Q45</f>
        <v/>
      </c>
      <c r="T45" s="37" t="inlineStr"/>
    </row>
    <row r="46" ht="20" customHeight="1">
      <c r="B46" s="11" t="inlineStr">
        <is>
          <t>ESPAÑA</t>
        </is>
      </c>
      <c r="C46" s="31" t="inlineStr">
        <is>
          <t>FITOMURCIA S.L.</t>
        </is>
      </c>
      <c r="D46" s="11" t="inlineStr">
        <is>
          <t>N0020</t>
        </is>
      </c>
      <c r="E46" s="31" t="inlineStr">
        <is>
          <t>NUTRICALE, 20 L</t>
        </is>
      </c>
      <c r="F46" s="12" t="n">
        <v>0</v>
      </c>
      <c r="G46" s="13" t="n">
        <v>0</v>
      </c>
      <c r="H46" s="12">
        <f>ABS(G46-F46)</f>
        <v/>
      </c>
      <c r="I46" s="32">
        <f>IF(F46&gt;0, G46/F46, IF(G46&gt;0, 1.0, 0.0))</f>
        <v/>
      </c>
      <c r="J46" s="33" t="inlineStr"/>
      <c r="K46" s="34" t="n">
        <v>1280</v>
      </c>
      <c r="L46" s="35" t="n">
        <v>1280</v>
      </c>
      <c r="M46" s="34" t="n">
        <v>1280</v>
      </c>
      <c r="N46" s="35" t="n">
        <v>1280</v>
      </c>
      <c r="O46" s="34" t="n">
        <v>0</v>
      </c>
      <c r="P46" s="35" t="n">
        <v>0</v>
      </c>
      <c r="Q46" s="12">
        <f>K46+M46+O46</f>
        <v/>
      </c>
      <c r="R46" s="13">
        <f>L46+N46+P46</f>
        <v/>
      </c>
      <c r="S46" s="36">
        <f>R46-Q46</f>
        <v/>
      </c>
      <c r="T46" s="37" t="inlineStr"/>
    </row>
    <row r="47" ht="20" customHeight="1">
      <c r="B47" s="11" t="inlineStr">
        <is>
          <t>ESPAÑA</t>
        </is>
      </c>
      <c r="C47" s="31" t="inlineStr">
        <is>
          <t>FITOMURCIA S.L.</t>
        </is>
      </c>
      <c r="D47" s="11" t="inlineStr">
        <is>
          <t>PT0020</t>
        </is>
      </c>
      <c r="E47" s="31" t="inlineStr">
        <is>
          <t>AGROPOTASION, 20 L</t>
        </is>
      </c>
      <c r="F47" s="12" t="n">
        <v>0</v>
      </c>
      <c r="G47" s="13" t="n">
        <v>0</v>
      </c>
      <c r="H47" s="12">
        <f>ABS(G47-F47)</f>
        <v/>
      </c>
      <c r="I47" s="32">
        <f>IF(F47&gt;0, G47/F47, IF(G47&gt;0, 1.0, 0.0))</f>
        <v/>
      </c>
      <c r="J47" s="33" t="inlineStr"/>
      <c r="K47" s="34" t="n">
        <v>1280</v>
      </c>
      <c r="L47" s="35" t="n">
        <v>1280</v>
      </c>
      <c r="M47" s="34" t="n">
        <v>1280</v>
      </c>
      <c r="N47" s="35" t="n">
        <v>1280</v>
      </c>
      <c r="O47" s="34" t="n">
        <v>0</v>
      </c>
      <c r="P47" s="35" t="n">
        <v>0</v>
      </c>
      <c r="Q47" s="12">
        <f>K47+M47+O47</f>
        <v/>
      </c>
      <c r="R47" s="13">
        <f>L47+N47+P47</f>
        <v/>
      </c>
      <c r="S47" s="36">
        <f>R47-Q47</f>
        <v/>
      </c>
      <c r="T47" s="37" t="inlineStr"/>
    </row>
    <row r="48" ht="20" customHeight="1">
      <c r="B48" s="11" t="inlineStr">
        <is>
          <t>ESPAÑA</t>
        </is>
      </c>
      <c r="C48" s="31" t="inlineStr">
        <is>
          <t>FITOMURCIA S.L.</t>
        </is>
      </c>
      <c r="D48" s="11" t="inlineStr">
        <is>
          <t>S1000</t>
        </is>
      </c>
      <c r="E48" s="31" t="inlineStr">
        <is>
          <t>SAL-WAX STAR, 1000 L</t>
        </is>
      </c>
      <c r="F48" s="12" t="n">
        <v>0</v>
      </c>
      <c r="G48" s="13" t="n">
        <v>0</v>
      </c>
      <c r="H48" s="12">
        <f>ABS(G48-F48)</f>
        <v/>
      </c>
      <c r="I48" s="32">
        <f>IF(F48&gt;0, G48/F48, IF(G48&gt;0, 1.0, 0.0))</f>
        <v/>
      </c>
      <c r="J48" s="33" t="inlineStr"/>
      <c r="K48" s="34" t="n">
        <v>9000</v>
      </c>
      <c r="L48" s="35" t="n">
        <v>9000</v>
      </c>
      <c r="M48" s="34" t="n">
        <v>9000</v>
      </c>
      <c r="N48" s="35" t="n">
        <v>9000</v>
      </c>
      <c r="O48" s="34" t="n">
        <v>0</v>
      </c>
      <c r="P48" s="35" t="n">
        <v>0</v>
      </c>
      <c r="Q48" s="12">
        <f>K48+M48+O48</f>
        <v/>
      </c>
      <c r="R48" s="13">
        <f>L48+N48+P48</f>
        <v/>
      </c>
      <c r="S48" s="36">
        <f>R48-Q48</f>
        <v/>
      </c>
      <c r="T48" s="37" t="inlineStr"/>
    </row>
    <row r="49" ht="20" customHeight="1">
      <c r="B49" s="11" t="inlineStr">
        <is>
          <t>ESPAÑA</t>
        </is>
      </c>
      <c r="C49" s="31" t="inlineStr">
        <is>
          <t>FITOMURCIA S.L.</t>
        </is>
      </c>
      <c r="D49" s="11" t="inlineStr">
        <is>
          <t>SPCE2B0020</t>
        </is>
      </c>
      <c r="E49" s="31" t="inlineStr">
        <is>
          <t>SPRINTENE CON BORO, 20 L</t>
        </is>
      </c>
      <c r="F49" s="12" t="n">
        <v>0</v>
      </c>
      <c r="G49" s="13" t="n">
        <v>200</v>
      </c>
      <c r="H49" s="12">
        <f>ABS(G49-F49)</f>
        <v/>
      </c>
      <c r="I49" s="32">
        <f>IF(F49&gt;0, G49/F49, IF(G49&gt;0, 1.0, 0.0))</f>
        <v/>
      </c>
      <c r="J49" s="33" t="inlineStr">
        <is>
          <t>Pedido extra no previsto</t>
        </is>
      </c>
      <c r="K49" s="34" t="n">
        <v>0</v>
      </c>
      <c r="L49" s="35" t="n">
        <v>0</v>
      </c>
      <c r="M49" s="34" t="n">
        <v>0</v>
      </c>
      <c r="N49" s="35" t="n">
        <v>0</v>
      </c>
      <c r="O49" s="34" t="n">
        <v>0</v>
      </c>
      <c r="P49" s="35" t="n">
        <v>0</v>
      </c>
      <c r="Q49" s="12">
        <f>K49+M49+O49</f>
        <v/>
      </c>
      <c r="R49" s="13">
        <f>L49+N49+P49</f>
        <v/>
      </c>
      <c r="S49" s="36">
        <f>R49-Q49</f>
        <v/>
      </c>
      <c r="T49" s="37" t="inlineStr"/>
    </row>
    <row r="50" ht="20" customHeight="1">
      <c r="B50" s="11" t="inlineStr">
        <is>
          <t>ESPAÑA</t>
        </is>
      </c>
      <c r="C50" s="31" t="inlineStr">
        <is>
          <t>FITOMURCIA S.L.</t>
        </is>
      </c>
      <c r="D50" s="11" t="inlineStr">
        <is>
          <t>SS0005</t>
        </is>
      </c>
      <c r="E50" s="31" t="inlineStr">
        <is>
          <t>SAL-WAX-Ca sólido, 5 KG</t>
        </is>
      </c>
      <c r="F50" s="12" t="n">
        <v>0</v>
      </c>
      <c r="G50" s="13" t="n">
        <v>300</v>
      </c>
      <c r="H50" s="12">
        <f>ABS(G50-F50)</f>
        <v/>
      </c>
      <c r="I50" s="32">
        <f>IF(F50&gt;0, G50/F50, IF(G50&gt;0, 1.0, 0.0))</f>
        <v/>
      </c>
      <c r="J50" s="33" t="inlineStr">
        <is>
          <t>Pedido extra no previsto</t>
        </is>
      </c>
      <c r="K50" s="34" t="n">
        <v>0</v>
      </c>
      <c r="L50" s="35" t="n">
        <v>0</v>
      </c>
      <c r="M50" s="34" t="n">
        <v>0</v>
      </c>
      <c r="N50" s="35" t="n">
        <v>0</v>
      </c>
      <c r="O50" s="34" t="n">
        <v>0</v>
      </c>
      <c r="P50" s="35" t="n">
        <v>0</v>
      </c>
      <c r="Q50" s="12">
        <f>K50+M50+O50</f>
        <v/>
      </c>
      <c r="R50" s="13">
        <f>L50+N50+P50</f>
        <v/>
      </c>
      <c r="S50" s="36">
        <f>R50-Q50</f>
        <v/>
      </c>
      <c r="T50" s="37" t="inlineStr"/>
    </row>
    <row r="51" ht="20" customHeight="1">
      <c r="B51" s="11" t="inlineStr">
        <is>
          <t>ESPAÑA</t>
        </is>
      </c>
      <c r="C51" s="31" t="inlineStr">
        <is>
          <t>FITOMURCIA S.L.</t>
        </is>
      </c>
      <c r="D51" s="11" t="inlineStr">
        <is>
          <t>SS0020</t>
        </is>
      </c>
      <c r="E51" s="31" t="inlineStr">
        <is>
          <t>SAL-WAX-Ca sólido, 20 KG</t>
        </is>
      </c>
      <c r="F51" s="12" t="n">
        <v>0</v>
      </c>
      <c r="G51" s="13" t="n">
        <v>0</v>
      </c>
      <c r="H51" s="12">
        <f>ABS(G51-F51)</f>
        <v/>
      </c>
      <c r="I51" s="32">
        <f>IF(F51&gt;0, G51/F51, IF(G51&gt;0, 1.0, 0.0))</f>
        <v/>
      </c>
      <c r="J51" s="33" t="inlineStr"/>
      <c r="K51" s="34" t="n">
        <v>800</v>
      </c>
      <c r="L51" s="35" t="n">
        <v>800</v>
      </c>
      <c r="M51" s="34" t="n">
        <v>800</v>
      </c>
      <c r="N51" s="35" t="n">
        <v>800</v>
      </c>
      <c r="O51" s="34" t="n">
        <v>0</v>
      </c>
      <c r="P51" s="35" t="n">
        <v>0</v>
      </c>
      <c r="Q51" s="12">
        <f>K51+M51+O51</f>
        <v/>
      </c>
      <c r="R51" s="13">
        <f>L51+N51+P51</f>
        <v/>
      </c>
      <c r="S51" s="36">
        <f>R51-Q51</f>
        <v/>
      </c>
      <c r="T51" s="37" t="inlineStr"/>
    </row>
    <row r="52" ht="25" customHeight="1">
      <c r="B52" s="38" t="inlineStr">
        <is>
          <t>TOTAL CONSOLIDADO - PEDRO (UNIDADES)</t>
        </is>
      </c>
      <c r="C52" s="39" t="n"/>
      <c r="D52" s="39" t="n"/>
      <c r="E52" s="39" t="n"/>
      <c r="F52" s="19">
        <f>SUM(F10:F51)</f>
        <v/>
      </c>
      <c r="G52" s="19">
        <f>SUM(G10:G51)</f>
        <v/>
      </c>
      <c r="H52" s="19">
        <f>SUM(H10:H51)</f>
        <v/>
      </c>
      <c r="I52" s="20">
        <f>IF(F52&gt;0, G52/F52, 1.0)</f>
        <v/>
      </c>
      <c r="J52" s="40" t="n"/>
      <c r="K52" s="19">
        <f>SUM(K10:K51)</f>
        <v/>
      </c>
      <c r="L52" s="19">
        <f>SUM(L10:L51)</f>
        <v/>
      </c>
      <c r="M52" s="19">
        <f>SUM(M10:M51)</f>
        <v/>
      </c>
      <c r="N52" s="19">
        <f>SUM(N10:N51)</f>
        <v/>
      </c>
      <c r="O52" s="19">
        <f>SUM(O10:O51)</f>
        <v/>
      </c>
      <c r="P52" s="19">
        <f>SUM(P10:P51)</f>
        <v/>
      </c>
      <c r="Q52" s="19">
        <f>SUM(Q10:Q51)</f>
        <v/>
      </c>
      <c r="R52" s="19">
        <f>SUM(R10:R51)</f>
        <v/>
      </c>
      <c r="S52" s="41">
        <f>SUM(S10:S51)</f>
        <v/>
      </c>
      <c r="T52" s="40" t="n"/>
    </row>
  </sheetData>
  <mergeCells count="20">
    <mergeCell ref="N5:P5"/>
    <mergeCell ref="E6:G6"/>
    <mergeCell ref="K8:P8"/>
    <mergeCell ref="B4:T4"/>
    <mergeCell ref="B6:D6"/>
    <mergeCell ref="F8:J8"/>
    <mergeCell ref="N6:P6"/>
    <mergeCell ref="B3:T3"/>
    <mergeCell ref="B5:D5"/>
    <mergeCell ref="Q8:T8"/>
    <mergeCell ref="K6:M6"/>
    <mergeCell ref="H5:J5"/>
    <mergeCell ref="B52:E52"/>
    <mergeCell ref="Q5:T5"/>
    <mergeCell ref="B2:T2"/>
    <mergeCell ref="B8:E8"/>
    <mergeCell ref="E5:G5"/>
    <mergeCell ref="K5:M5"/>
    <mergeCell ref="Q6:T6"/>
    <mergeCell ref="H6:J6"/>
  </mergeCells>
  <dataValidations count="1">
    <dataValidation sqref="J10:J43 J10:J127" showDropDown="0" showInputMessage="0" showErrorMessage="0" allowBlank="1" errorTitle="Motivo de Desviación" error="Por favor seleccione un motivo de la lista o escriba su comentario" type="list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T1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14" customWidth="1" min="4" max="4"/>
    <col width="32" customWidth="1" min="5" max="5"/>
    <col width="16" customWidth="1" min="6" max="6"/>
    <col width="15" customWidth="1" min="7" max="7"/>
    <col width="14" customWidth="1" min="8" max="8"/>
    <col width="13" customWidth="1" min="9" max="9"/>
    <col width="32" customWidth="1" min="10" max="10"/>
    <col width="15" customWidth="1" min="11" max="11"/>
    <col width="16" customWidth="1" min="12" max="12"/>
    <col width="15" customWidth="1" min="13" max="13"/>
    <col width="16" customWidth="1" min="14" max="14"/>
    <col width="15" customWidth="1" min="15" max="15"/>
    <col width="16" customWidth="1" min="16" max="16"/>
    <col width="17" customWidth="1" min="17" max="17"/>
    <col width="17" customWidth="1" min="18" max="18"/>
    <col width="15" customWidth="1" min="19" max="19"/>
    <col width="34" customWidth="1" min="20" max="20"/>
  </cols>
  <sheetData>
    <row r="2" ht="36" customHeight="1">
      <c r="B2" s="1" t="inlineStr">
        <is>
          <t>CODIAGRO · ACTUALIZACIÓN DE PREVISIONES COMERCIALES Q4 2026 (OCTUBRE - DICIEMBRE)</t>
        </is>
      </c>
    </row>
    <row r="3" ht="20" customHeight="1">
      <c r="B3" s="2" t="inlineStr">
        <is>
          <t>DELEGADO COMERCIAL: RICARDO | Cierre Septiembre Oficial (01/10/2026) vs Previsiones a Final de Año | Generado: 01/10/2026 14:17</t>
        </is>
      </c>
    </row>
    <row r="4" ht="26" customHeight="1">
      <c r="B4" s="21" t="inlineStr">
        <is>
      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      </is>
      </c>
    </row>
    <row r="5" ht="16" customHeight="1">
      <c r="B5" s="22" t="inlineStr">
        <is>
          <t>PREVISTO SEP 2026 (U)</t>
        </is>
      </c>
      <c r="C5" s="23" t="n"/>
      <c r="D5" s="23" t="n"/>
      <c r="E5" s="24" t="inlineStr">
        <is>
          <t>REAL PEDIDOS SEP 2026 (U)</t>
        </is>
      </c>
      <c r="F5" s="23" t="n"/>
      <c r="G5" s="23" t="n"/>
      <c r="H5" s="25" t="inlineStr">
        <is>
          <t>% CONSECUCIÓN SEP</t>
        </is>
      </c>
      <c r="I5" s="23" t="n"/>
      <c r="J5" s="23" t="n"/>
      <c r="K5" s="22" t="inlineStr">
        <is>
          <t>PREVISIÓN INICIAL Q4 (U)</t>
        </is>
      </c>
      <c r="L5" s="23" t="n"/>
      <c r="M5" s="23" t="n"/>
      <c r="N5" s="24" t="inlineStr">
        <is>
          <t>PREVISIÓN REVISADA Q4 (U)</t>
        </is>
      </c>
      <c r="O5" s="23" t="n"/>
      <c r="P5" s="23" t="n"/>
      <c r="Q5" s="26" t="inlineStr">
        <is>
          <t>VARIACIÓN NETA Q4 (U)</t>
        </is>
      </c>
      <c r="R5" s="23" t="n"/>
      <c r="S5" s="23" t="n"/>
      <c r="T5" s="23" t="n"/>
    </row>
    <row r="6" ht="26" customHeight="1">
      <c r="B6" s="27">
        <f>F111</f>
        <v/>
      </c>
      <c r="C6" s="23" t="n"/>
      <c r="D6" s="23" t="n"/>
      <c r="E6" s="28">
        <f>G111</f>
        <v/>
      </c>
      <c r="F6" s="23" t="n"/>
      <c r="G6" s="23" t="n"/>
      <c r="H6" s="29">
        <f>I111</f>
        <v/>
      </c>
      <c r="I6" s="23" t="n"/>
      <c r="J6" s="23" t="n"/>
      <c r="K6" s="27">
        <f>Q111</f>
        <v/>
      </c>
      <c r="L6" s="23" t="n"/>
      <c r="M6" s="23" t="n"/>
      <c r="N6" s="28">
        <f>R111</f>
        <v/>
      </c>
      <c r="O6" s="23" t="n"/>
      <c r="P6" s="23" t="n"/>
      <c r="Q6" s="30">
        <f>S111</f>
        <v/>
      </c>
      <c r="R6" s="23" t="n"/>
      <c r="S6" s="23" t="n"/>
      <c r="T6" s="23" t="n"/>
    </row>
    <row r="8" ht="22" customHeight="1">
      <c r="B8" s="3" t="inlineStr">
        <is>
          <t>DATOS CLIENTE Y ARTÍCULO</t>
        </is>
      </c>
      <c r="F8" s="4" t="inlineStr">
        <is>
          <t>CIERRE SEPTIEMBRE 2026 (CALIBRACIÓN Y ANÁLISIS)</t>
        </is>
      </c>
      <c r="K8" s="5" t="inlineStr">
        <is>
          <t>REVISIÓN PREVISIONES MES A MES (HASTA FINAL DE AÑO 2026)</t>
        </is>
      </c>
      <c r="Q8" s="6" t="inlineStr">
        <is>
          <t>IMPACTO Q4 Y JUSTIFICACIÓN</t>
        </is>
      </c>
    </row>
    <row r="9" ht="28" customHeight="1">
      <c r="B9" s="7" t="inlineStr">
        <is>
          <t>País</t>
        </is>
      </c>
      <c r="C9" s="7" t="inlineStr">
        <is>
          <t>Cliente</t>
        </is>
      </c>
      <c r="D9" s="7" t="inlineStr">
        <is>
          <t>Cód. SKU</t>
        </is>
      </c>
      <c r="E9" s="7" t="inlineStr">
        <is>
          <t>Descripción Artículo</t>
        </is>
      </c>
      <c r="F9" s="8" t="inlineStr">
        <is>
          <t>Sep Previsto (u)</t>
        </is>
      </c>
      <c r="G9" s="8" t="inlineStr">
        <is>
          <t>Sep Real (u)</t>
        </is>
      </c>
      <c r="H9" s="8" t="inlineStr">
        <is>
          <t>Desv. Sep (u)</t>
        </is>
      </c>
      <c r="I9" s="8" t="inlineStr">
        <is>
          <t>% Consec.</t>
        </is>
      </c>
      <c r="J9" s="8" t="inlineStr">
        <is>
          <t>Comentario Sep (¿Adelanto/Atraso/Extra?)</t>
        </is>
      </c>
      <c r="K9" s="9" t="inlineStr">
        <is>
          <t>Oct Anterior (u)</t>
        </is>
      </c>
      <c r="L9" s="9" t="inlineStr">
        <is>
          <t>Oct Revisado (u)</t>
        </is>
      </c>
      <c r="M9" s="9" t="inlineStr">
        <is>
          <t>Nov Anterior (u)</t>
        </is>
      </c>
      <c r="N9" s="9" t="inlineStr">
        <is>
          <t>Nov Revisado (u)</t>
        </is>
      </c>
      <c r="O9" s="9" t="inlineStr">
        <is>
          <t>Dic Anterior (u)</t>
        </is>
      </c>
      <c r="P9" s="9" t="inlineStr">
        <is>
          <t>Dic Revisado (u)</t>
        </is>
      </c>
      <c r="Q9" s="7" t="inlineStr">
        <is>
          <t>Total Q4 Ant (u)</t>
        </is>
      </c>
      <c r="R9" s="7" t="inlineStr">
        <is>
          <t>Total Q4 Rev (u)</t>
        </is>
      </c>
      <c r="S9" s="7" t="inlineStr">
        <is>
          <t>Dif Q4 (u)</t>
        </is>
      </c>
      <c r="T9" s="7" t="inlineStr">
        <is>
          <t>Comentarios / Justificación Q4</t>
        </is>
      </c>
    </row>
    <row r="10" ht="20" customHeight="1">
      <c r="B10" s="11" t="inlineStr">
        <is>
          <t>ITALIA</t>
        </is>
      </c>
      <c r="C10" s="31" t="inlineStr">
        <is>
          <t>AIFAR S.P.A</t>
        </is>
      </c>
      <c r="D10" s="11" t="inlineStr">
        <is>
          <t>AN0005</t>
        </is>
      </c>
      <c r="E10" s="31" t="inlineStr">
        <is>
          <t>ALCAPLANT NEW, 5 KG</t>
        </is>
      </c>
      <c r="F10" s="12" t="n">
        <v>0</v>
      </c>
      <c r="G10" s="13" t="n">
        <v>0</v>
      </c>
      <c r="H10" s="12">
        <f>ABS(G10-F10)</f>
        <v/>
      </c>
      <c r="I10" s="32">
        <f>IF(F10&gt;0, G10/F10, IF(G10&gt;0, 1.0, 0.0))</f>
        <v/>
      </c>
      <c r="J10" s="33" t="inlineStr"/>
      <c r="K10" s="34" t="n">
        <v>200</v>
      </c>
      <c r="L10" s="35" t="n">
        <v>200</v>
      </c>
      <c r="M10" s="34" t="n">
        <v>0</v>
      </c>
      <c r="N10" s="35" t="n">
        <v>0</v>
      </c>
      <c r="O10" s="34" t="n">
        <v>0</v>
      </c>
      <c r="P10" s="35" t="n">
        <v>0</v>
      </c>
      <c r="Q10" s="12">
        <f>K10+M10+O10</f>
        <v/>
      </c>
      <c r="R10" s="13">
        <f>L10+N10+P10</f>
        <v/>
      </c>
      <c r="S10" s="36">
        <f>R10-Q10</f>
        <v/>
      </c>
      <c r="T10" s="37" t="inlineStr"/>
    </row>
    <row r="11" ht="20" customHeight="1">
      <c r="B11" s="11" t="inlineStr">
        <is>
          <t>ITALIA</t>
        </is>
      </c>
      <c r="C11" s="31" t="inlineStr">
        <is>
          <t>AIFAR S.P.A</t>
        </is>
      </c>
      <c r="D11" s="11" t="inlineStr">
        <is>
          <t>FIORI1000</t>
        </is>
      </c>
      <c r="E11" s="31" t="inlineStr">
        <is>
          <t>RADIFIORI, 1000 L</t>
        </is>
      </c>
      <c r="F11" s="12" t="n">
        <v>0</v>
      </c>
      <c r="G11" s="13" t="n">
        <v>3000</v>
      </c>
      <c r="H11" s="12">
        <f>ABS(G11-F11)</f>
        <v/>
      </c>
      <c r="I11" s="32">
        <f>IF(F11&gt;0, G11/F11, IF(G11&gt;0, 1.0, 0.0))</f>
        <v/>
      </c>
      <c r="J11" s="33" t="inlineStr">
        <is>
          <t>Pedido extra no previsto</t>
        </is>
      </c>
      <c r="K11" s="34" t="n">
        <v>3000</v>
      </c>
      <c r="L11" s="35" t="n">
        <v>3000</v>
      </c>
      <c r="M11" s="34" t="n">
        <v>0</v>
      </c>
      <c r="N11" s="35" t="n">
        <v>0</v>
      </c>
      <c r="O11" s="34" t="n">
        <v>3000</v>
      </c>
      <c r="P11" s="35" t="n">
        <v>3000</v>
      </c>
      <c r="Q11" s="12">
        <f>K11+M11+O11</f>
        <v/>
      </c>
      <c r="R11" s="13">
        <f>L11+N11+P11</f>
        <v/>
      </c>
      <c r="S11" s="36">
        <f>R11-Q11</f>
        <v/>
      </c>
      <c r="T11" s="37" t="inlineStr"/>
    </row>
    <row r="12" ht="20" customHeight="1">
      <c r="B12" s="11" t="inlineStr">
        <is>
          <t>CHILE</t>
        </is>
      </c>
      <c r="C12" s="31" t="inlineStr">
        <is>
          <t>BAYER, S.A.</t>
        </is>
      </c>
      <c r="D12" s="11" t="inlineStr">
        <is>
          <t>W330020</t>
        </is>
      </c>
      <c r="E12" s="31" t="inlineStr">
        <is>
          <t>BAYFOLAN SUN, 20 KG</t>
        </is>
      </c>
      <c r="F12" s="12" t="n">
        <v>0</v>
      </c>
      <c r="G12" s="13" t="n">
        <v>0</v>
      </c>
      <c r="H12" s="12">
        <f>ABS(G12-F12)</f>
        <v/>
      </c>
      <c r="I12" s="32">
        <f>IF(F12&gt;0, G12/F12, IF(G12&gt;0, 1.0, 0.0))</f>
        <v/>
      </c>
      <c r="J12" s="33" t="inlineStr"/>
      <c r="K12" s="34" t="n">
        <v>0</v>
      </c>
      <c r="L12" s="35" t="n">
        <v>0</v>
      </c>
      <c r="M12" s="34" t="n">
        <v>0</v>
      </c>
      <c r="N12" s="35" t="n">
        <v>0</v>
      </c>
      <c r="O12" s="34" t="n">
        <v>220000</v>
      </c>
      <c r="P12" s="35" t="n">
        <v>220000</v>
      </c>
      <c r="Q12" s="12">
        <f>K12+M12+O12</f>
        <v/>
      </c>
      <c r="R12" s="13">
        <f>L12+N12+P12</f>
        <v/>
      </c>
      <c r="S12" s="36">
        <f>R12-Q12</f>
        <v/>
      </c>
      <c r="T12" s="37" t="inlineStr"/>
    </row>
    <row r="13" ht="20" customHeight="1">
      <c r="B13" s="11" t="inlineStr">
        <is>
          <t>COLOMBIA</t>
        </is>
      </c>
      <c r="C13" s="31" t="inlineStr">
        <is>
          <t>CAMPO ABIERTO, S.A.S.</t>
        </is>
      </c>
      <c r="D13" s="11" t="inlineStr">
        <is>
          <t>AGXCR0001</t>
        </is>
      </c>
      <c r="E13" s="31" t="inlineStr">
        <is>
          <t>AGROXILATO-K</t>
        </is>
      </c>
      <c r="F13" s="12" t="n">
        <v>0</v>
      </c>
      <c r="G13" s="13" t="n">
        <v>840</v>
      </c>
      <c r="H13" s="12">
        <f>ABS(G13-F13)</f>
        <v/>
      </c>
      <c r="I13" s="32">
        <f>IF(F13&gt;0, G13/F13, IF(G13&gt;0, 1.0, 0.0))</f>
        <v/>
      </c>
      <c r="J13" s="33" t="inlineStr">
        <is>
          <t>Pedido extra no previsto</t>
        </is>
      </c>
      <c r="K13" s="34" t="n">
        <v>0</v>
      </c>
      <c r="L13" s="35" t="n">
        <v>0</v>
      </c>
      <c r="M13" s="34" t="n">
        <v>600</v>
      </c>
      <c r="N13" s="35" t="n">
        <v>600</v>
      </c>
      <c r="O13" s="34" t="n">
        <v>0</v>
      </c>
      <c r="P13" s="35" t="n">
        <v>0</v>
      </c>
      <c r="Q13" s="12">
        <f>K13+M13+O13</f>
        <v/>
      </c>
      <c r="R13" s="13">
        <f>L13+N13+P13</f>
        <v/>
      </c>
      <c r="S13" s="36">
        <f>R13-Q13</f>
        <v/>
      </c>
      <c r="T13" s="37" t="inlineStr"/>
    </row>
    <row r="14" ht="20" customHeight="1">
      <c r="B14" s="11" t="inlineStr">
        <is>
          <t>COLOMBIA</t>
        </is>
      </c>
      <c r="C14" s="31" t="inlineStr">
        <is>
          <t>CAMPO ABIERTO, S.A.S.</t>
        </is>
      </c>
      <c r="D14" s="11" t="inlineStr">
        <is>
          <t>AGXCR0005</t>
        </is>
      </c>
      <c r="E14" s="31" t="inlineStr">
        <is>
          <t>AGROXILATO-K</t>
        </is>
      </c>
      <c r="F14" s="12" t="n">
        <v>0</v>
      </c>
      <c r="G14" s="13" t="n">
        <v>0</v>
      </c>
      <c r="H14" s="12">
        <f>ABS(G14-F14)</f>
        <v/>
      </c>
      <c r="I14" s="32">
        <f>IF(F14&gt;0, G14/F14, IF(G14&gt;0, 1.0, 0.0))</f>
        <v/>
      </c>
      <c r="J14" s="33" t="inlineStr"/>
      <c r="K14" s="34" t="n">
        <v>0</v>
      </c>
      <c r="L14" s="35" t="n">
        <v>0</v>
      </c>
      <c r="M14" s="34" t="n">
        <v>1000</v>
      </c>
      <c r="N14" s="35" t="n">
        <v>1000</v>
      </c>
      <c r="O14" s="34" t="n">
        <v>0</v>
      </c>
      <c r="P14" s="35" t="n">
        <v>0</v>
      </c>
      <c r="Q14" s="12">
        <f>K14+M14+O14</f>
        <v/>
      </c>
      <c r="R14" s="13">
        <f>L14+N14+P14</f>
        <v/>
      </c>
      <c r="S14" s="36">
        <f>R14-Q14</f>
        <v/>
      </c>
      <c r="T14" s="37" t="inlineStr"/>
    </row>
    <row r="15" ht="20" customHeight="1">
      <c r="B15" s="11" t="inlineStr">
        <is>
          <t>COLOMBIA</t>
        </is>
      </c>
      <c r="C15" s="31" t="inlineStr">
        <is>
          <t>CAMPO ABIERTO, S.A.S.</t>
        </is>
      </c>
      <c r="D15" s="11" t="inlineStr">
        <is>
          <t>AGXCR0020</t>
        </is>
      </c>
      <c r="E15" s="31" t="inlineStr">
        <is>
          <t>AGROXILATO-K</t>
        </is>
      </c>
      <c r="F15" s="12" t="n">
        <v>0</v>
      </c>
      <c r="G15" s="13" t="n">
        <v>2000</v>
      </c>
      <c r="H15" s="12">
        <f>ABS(G15-F15)</f>
        <v/>
      </c>
      <c r="I15" s="32">
        <f>IF(F15&gt;0, G15/F15, IF(G15&gt;0, 1.0, 0.0))</f>
        <v/>
      </c>
      <c r="J15" s="33" t="inlineStr">
        <is>
          <t>Pedido extra no previsto</t>
        </is>
      </c>
      <c r="K15" s="34" t="n">
        <v>0</v>
      </c>
      <c r="L15" s="35" t="n">
        <v>0</v>
      </c>
      <c r="M15" s="34" t="n">
        <v>800</v>
      </c>
      <c r="N15" s="35" t="n">
        <v>800</v>
      </c>
      <c r="O15" s="34" t="n">
        <v>0</v>
      </c>
      <c r="P15" s="35" t="n">
        <v>0</v>
      </c>
      <c r="Q15" s="12">
        <f>K15+M15+O15</f>
        <v/>
      </c>
      <c r="R15" s="13">
        <f>L15+N15+P15</f>
        <v/>
      </c>
      <c r="S15" s="36">
        <f>R15-Q15</f>
        <v/>
      </c>
      <c r="T15" s="37" t="inlineStr"/>
    </row>
    <row r="16" ht="20" customHeight="1">
      <c r="B16" s="11" t="inlineStr">
        <is>
          <t>COLOMBIA</t>
        </is>
      </c>
      <c r="C16" s="31" t="inlineStr">
        <is>
          <t>CAMPO ABIERTO, S.A.S.</t>
        </is>
      </c>
      <c r="D16" s="11" t="inlineStr">
        <is>
          <t>AN0005</t>
        </is>
      </c>
      <c r="E16" s="31" t="inlineStr">
        <is>
          <t>ALCAPLANT NEW</t>
        </is>
      </c>
      <c r="F16" s="12" t="n">
        <v>0</v>
      </c>
      <c r="G16" s="13" t="n">
        <v>0</v>
      </c>
      <c r="H16" s="12">
        <f>ABS(G16-F16)</f>
        <v/>
      </c>
      <c r="I16" s="32">
        <f>IF(F16&gt;0, G16/F16, IF(G16&gt;0, 1.0, 0.0))</f>
        <v/>
      </c>
      <c r="J16" s="33" t="inlineStr"/>
      <c r="K16" s="34" t="n">
        <v>0</v>
      </c>
      <c r="L16" s="35" t="n">
        <v>0</v>
      </c>
      <c r="M16" s="34" t="n">
        <v>15400</v>
      </c>
      <c r="N16" s="35" t="n">
        <v>15400</v>
      </c>
      <c r="O16" s="34" t="n">
        <v>0</v>
      </c>
      <c r="P16" s="35" t="n">
        <v>0</v>
      </c>
      <c r="Q16" s="12">
        <f>K16+M16+O16</f>
        <v/>
      </c>
      <c r="R16" s="13">
        <f>L16+N16+P16</f>
        <v/>
      </c>
      <c r="S16" s="36">
        <f>R16-Q16</f>
        <v/>
      </c>
      <c r="T16" s="37" t="inlineStr"/>
    </row>
    <row r="17" ht="20" customHeight="1">
      <c r="B17" s="11" t="inlineStr">
        <is>
          <t>COLOMBIA</t>
        </is>
      </c>
      <c r="C17" s="31" t="inlineStr">
        <is>
          <t>CAMPO ABIERTO, S.A.S.</t>
        </is>
      </c>
      <c r="D17" s="11" t="inlineStr">
        <is>
          <t>AN0020</t>
        </is>
      </c>
      <c r="E17" s="31" t="inlineStr">
        <is>
          <t>ALCAPLANT NEW</t>
        </is>
      </c>
      <c r="F17" s="12" t="n">
        <v>0</v>
      </c>
      <c r="G17" s="13" t="n">
        <v>4000</v>
      </c>
      <c r="H17" s="12">
        <f>ABS(G17-F17)</f>
        <v/>
      </c>
      <c r="I17" s="32">
        <f>IF(F17&gt;0, G17/F17, IF(G17&gt;0, 1.0, 0.0))</f>
        <v/>
      </c>
      <c r="J17" s="33" t="inlineStr">
        <is>
          <t>Pedido extra no previsto</t>
        </is>
      </c>
      <c r="K17" s="34" t="n">
        <v>0</v>
      </c>
      <c r="L17" s="35" t="n">
        <v>0</v>
      </c>
      <c r="M17" s="34" t="n">
        <v>7000</v>
      </c>
      <c r="N17" s="35" t="n">
        <v>7000</v>
      </c>
      <c r="O17" s="34" t="n">
        <v>0</v>
      </c>
      <c r="P17" s="35" t="n">
        <v>0</v>
      </c>
      <c r="Q17" s="12">
        <f>K17+M17+O17</f>
        <v/>
      </c>
      <c r="R17" s="13">
        <f>L17+N17+P17</f>
        <v/>
      </c>
      <c r="S17" s="36">
        <f>R17-Q17</f>
        <v/>
      </c>
      <c r="T17" s="37" t="inlineStr"/>
    </row>
    <row r="18" ht="20" customHeight="1">
      <c r="B18" s="11" t="inlineStr">
        <is>
          <t>COLOMBIA</t>
        </is>
      </c>
      <c r="C18" s="31" t="inlineStr">
        <is>
          <t>CAMPO ABIERTO, S.A.S.</t>
        </is>
      </c>
      <c r="D18" s="11" t="inlineStr">
        <is>
          <t>BPLUS0001</t>
        </is>
      </c>
      <c r="E18" s="31" t="inlineStr">
        <is>
          <t>BOROCAL PLUS, 1 KG</t>
        </is>
      </c>
      <c r="F18" s="12" t="n">
        <v>0</v>
      </c>
      <c r="G18" s="13" t="n">
        <v>0</v>
      </c>
      <c r="H18" s="12">
        <f>ABS(G18-F18)</f>
        <v/>
      </c>
      <c r="I18" s="32">
        <f>IF(F18&gt;0, G18/F18, IF(G18&gt;0, 1.0, 0.0))</f>
        <v/>
      </c>
      <c r="J18" s="33" t="inlineStr"/>
      <c r="K18" s="34" t="n">
        <v>0</v>
      </c>
      <c r="L18" s="35" t="n">
        <v>0</v>
      </c>
      <c r="M18" s="34" t="n">
        <v>320</v>
      </c>
      <c r="N18" s="35" t="n">
        <v>320</v>
      </c>
      <c r="O18" s="34" t="n">
        <v>0</v>
      </c>
      <c r="P18" s="35" t="n">
        <v>0</v>
      </c>
      <c r="Q18" s="12">
        <f>K18+M18+O18</f>
        <v/>
      </c>
      <c r="R18" s="13">
        <f>L18+N18+P18</f>
        <v/>
      </c>
      <c r="S18" s="36">
        <f>R18-Q18</f>
        <v/>
      </c>
      <c r="T18" s="37" t="inlineStr"/>
    </row>
    <row r="19" ht="20" customHeight="1">
      <c r="B19" s="11" t="inlineStr">
        <is>
          <t>COLOMBIA</t>
        </is>
      </c>
      <c r="C19" s="31" t="inlineStr">
        <is>
          <t>CAMPO ABIERTO, S.A.S.</t>
        </is>
      </c>
      <c r="D19" s="11" t="inlineStr">
        <is>
          <t>BR-590005</t>
        </is>
      </c>
      <c r="E19" s="31" t="inlineStr">
        <is>
          <t>BR-59</t>
        </is>
      </c>
      <c r="F19" s="12" t="n">
        <v>0</v>
      </c>
      <c r="G19" s="13" t="n">
        <v>0</v>
      </c>
      <c r="H19" s="12">
        <f>ABS(G19-F19)</f>
        <v/>
      </c>
      <c r="I19" s="32">
        <f>IF(F19&gt;0, G19/F19, IF(G19&gt;0, 1.0, 0.0))</f>
        <v/>
      </c>
      <c r="J19" s="33" t="inlineStr"/>
      <c r="K19" s="34" t="n">
        <v>0</v>
      </c>
      <c r="L19" s="35" t="n">
        <v>0</v>
      </c>
      <c r="M19" s="34" t="n">
        <v>300</v>
      </c>
      <c r="N19" s="35" t="n">
        <v>300</v>
      </c>
      <c r="O19" s="34" t="n">
        <v>0</v>
      </c>
      <c r="P19" s="35" t="n">
        <v>0</v>
      </c>
      <c r="Q19" s="12">
        <f>K19+M19+O19</f>
        <v/>
      </c>
      <c r="R19" s="13">
        <f>L19+N19+P19</f>
        <v/>
      </c>
      <c r="S19" s="36">
        <f>R19-Q19</f>
        <v/>
      </c>
      <c r="T19" s="37" t="inlineStr"/>
    </row>
    <row r="20" ht="20" customHeight="1">
      <c r="B20" s="11" t="inlineStr">
        <is>
          <t>COLOMBIA</t>
        </is>
      </c>
      <c r="C20" s="31" t="inlineStr">
        <is>
          <t>CAMPO ABIERTO, S.A.S.</t>
        </is>
      </c>
      <c r="D20" s="11" t="inlineStr">
        <is>
          <t>F-A0001</t>
        </is>
      </c>
      <c r="E20" s="31" t="inlineStr">
        <is>
          <t>FITOLIN-AGRO, 1 L</t>
        </is>
      </c>
      <c r="F20" s="12" t="n">
        <v>0</v>
      </c>
      <c r="G20" s="13" t="n">
        <v>0</v>
      </c>
      <c r="H20" s="12">
        <f>ABS(G20-F20)</f>
        <v/>
      </c>
      <c r="I20" s="32">
        <f>IF(F20&gt;0, G20/F20, IF(G20&gt;0, 1.0, 0.0))</f>
        <v/>
      </c>
      <c r="J20" s="33" t="inlineStr"/>
      <c r="K20" s="34" t="n">
        <v>0</v>
      </c>
      <c r="L20" s="35" t="n">
        <v>0</v>
      </c>
      <c r="M20" s="34" t="n">
        <v>240</v>
      </c>
      <c r="N20" s="35" t="n">
        <v>240</v>
      </c>
      <c r="O20" s="34" t="n">
        <v>0</v>
      </c>
      <c r="P20" s="35" t="n">
        <v>0</v>
      </c>
      <c r="Q20" s="12">
        <f>K20+M20+O20</f>
        <v/>
      </c>
      <c r="R20" s="13">
        <f>L20+N20+P20</f>
        <v/>
      </c>
      <c r="S20" s="36">
        <f>R20-Q20</f>
        <v/>
      </c>
      <c r="T20" s="37" t="inlineStr"/>
    </row>
    <row r="21" ht="20" customHeight="1">
      <c r="B21" s="11" t="inlineStr">
        <is>
          <t>COLOMBIA</t>
        </is>
      </c>
      <c r="C21" s="31" t="inlineStr">
        <is>
          <t>CAMPO ABIERTO, S.A.S.</t>
        </is>
      </c>
      <c r="D21" s="11" t="inlineStr">
        <is>
          <t>F-A0005</t>
        </is>
      </c>
      <c r="E21" s="31" t="inlineStr">
        <is>
          <t>FITOLIN-AGRO, 5 L</t>
        </is>
      </c>
      <c r="F21" s="12" t="n">
        <v>0</v>
      </c>
      <c r="G21" s="13" t="n">
        <v>0</v>
      </c>
      <c r="H21" s="12">
        <f>ABS(G21-F21)</f>
        <v/>
      </c>
      <c r="I21" s="32">
        <f>IF(F21&gt;0, G21/F21, IF(G21&gt;0, 1.0, 0.0))</f>
        <v/>
      </c>
      <c r="J21" s="33" t="inlineStr"/>
      <c r="K21" s="34" t="n">
        <v>0</v>
      </c>
      <c r="L21" s="35" t="n">
        <v>0</v>
      </c>
      <c r="M21" s="34" t="n">
        <v>200</v>
      </c>
      <c r="N21" s="35" t="n">
        <v>200</v>
      </c>
      <c r="O21" s="34" t="n">
        <v>0</v>
      </c>
      <c r="P21" s="35" t="n">
        <v>0</v>
      </c>
      <c r="Q21" s="12">
        <f>K21+M21+O21</f>
        <v/>
      </c>
      <c r="R21" s="13">
        <f>L21+N21+P21</f>
        <v/>
      </c>
      <c r="S21" s="36">
        <f>R21-Q21</f>
        <v/>
      </c>
      <c r="T21" s="37" t="inlineStr"/>
    </row>
    <row r="22" ht="20" customHeight="1">
      <c r="B22" s="11" t="inlineStr">
        <is>
          <t>COLOMBIA</t>
        </is>
      </c>
      <c r="C22" s="31" t="inlineStr">
        <is>
          <t>CAMPO ABIERTO, S.A.S.</t>
        </is>
      </c>
      <c r="D22" s="11" t="inlineStr">
        <is>
          <t>FLORCR0001</t>
        </is>
      </c>
      <c r="E22" s="31" t="inlineStr">
        <is>
          <t>FLORAMEC CR, 1 L</t>
        </is>
      </c>
      <c r="F22" s="12" t="n">
        <v>0</v>
      </c>
      <c r="G22" s="13" t="n">
        <v>0</v>
      </c>
      <c r="H22" s="12">
        <f>ABS(G22-F22)</f>
        <v/>
      </c>
      <c r="I22" s="32">
        <f>IF(F22&gt;0, G22/F22, IF(G22&gt;0, 1.0, 0.0))</f>
        <v/>
      </c>
      <c r="J22" s="33" t="inlineStr"/>
      <c r="K22" s="34" t="n">
        <v>0</v>
      </c>
      <c r="L22" s="35" t="n">
        <v>0</v>
      </c>
      <c r="M22" s="34" t="n">
        <v>200</v>
      </c>
      <c r="N22" s="35" t="n">
        <v>200</v>
      </c>
      <c r="O22" s="34" t="n">
        <v>0</v>
      </c>
      <c r="P22" s="35" t="n">
        <v>0</v>
      </c>
      <c r="Q22" s="12">
        <f>K22+M22+O22</f>
        <v/>
      </c>
      <c r="R22" s="13">
        <f>L22+N22+P22</f>
        <v/>
      </c>
      <c r="S22" s="36">
        <f>R22-Q22</f>
        <v/>
      </c>
      <c r="T22" s="37" t="inlineStr"/>
    </row>
    <row r="23" ht="20" customHeight="1">
      <c r="B23" s="11" t="inlineStr">
        <is>
          <t>COLOMBIA</t>
        </is>
      </c>
      <c r="C23" s="31" t="inlineStr">
        <is>
          <t>CAMPO ABIERTO, S.A.S.</t>
        </is>
      </c>
      <c r="D23" s="11" t="inlineStr">
        <is>
          <t>FLORCR0005</t>
        </is>
      </c>
      <c r="E23" s="31" t="inlineStr">
        <is>
          <t>FLORAMEC</t>
        </is>
      </c>
      <c r="F23" s="12" t="n">
        <v>0</v>
      </c>
      <c r="G23" s="13" t="n">
        <v>0</v>
      </c>
      <c r="H23" s="12">
        <f>ABS(G23-F23)</f>
        <v/>
      </c>
      <c r="I23" s="32">
        <f>IF(F23&gt;0, G23/F23, IF(G23&gt;0, 1.0, 0.0))</f>
        <v/>
      </c>
      <c r="J23" s="33" t="inlineStr"/>
      <c r="K23" s="34" t="n">
        <v>0</v>
      </c>
      <c r="L23" s="35" t="n">
        <v>0</v>
      </c>
      <c r="M23" s="34" t="n">
        <v>200</v>
      </c>
      <c r="N23" s="35" t="n">
        <v>200</v>
      </c>
      <c r="O23" s="34" t="n">
        <v>0</v>
      </c>
      <c r="P23" s="35" t="n">
        <v>0</v>
      </c>
      <c r="Q23" s="12">
        <f>K23+M23+O23</f>
        <v/>
      </c>
      <c r="R23" s="13">
        <f>L23+N23+P23</f>
        <v/>
      </c>
      <c r="S23" s="36">
        <f>R23-Q23</f>
        <v/>
      </c>
      <c r="T23" s="37" t="inlineStr"/>
    </row>
    <row r="24" ht="20" customHeight="1">
      <c r="B24" s="11" t="inlineStr">
        <is>
          <t>COLOMBIA</t>
        </is>
      </c>
      <c r="C24" s="31" t="inlineStr">
        <is>
          <t>CAMPO ABIERTO, S.A.S.</t>
        </is>
      </c>
      <c r="D24" s="11" t="inlineStr">
        <is>
          <t>G30001</t>
        </is>
      </c>
      <c r="E24" s="31" t="inlineStr">
        <is>
          <t>GREEN-UP, 1 L</t>
        </is>
      </c>
      <c r="F24" s="12" t="n">
        <v>0</v>
      </c>
      <c r="G24" s="13" t="n">
        <v>240</v>
      </c>
      <c r="H24" s="12">
        <f>ABS(G24-F24)</f>
        <v/>
      </c>
      <c r="I24" s="32">
        <f>IF(F24&gt;0, G24/F24, IF(G24&gt;0, 1.0, 0.0))</f>
        <v/>
      </c>
      <c r="J24" s="33" t="inlineStr">
        <is>
          <t>Pedido extra no previsto</t>
        </is>
      </c>
      <c r="K24" s="34" t="n">
        <v>0</v>
      </c>
      <c r="L24" s="35" t="n">
        <v>0</v>
      </c>
      <c r="M24" s="34" t="n">
        <v>240</v>
      </c>
      <c r="N24" s="35" t="n">
        <v>240</v>
      </c>
      <c r="O24" s="34" t="n">
        <v>0</v>
      </c>
      <c r="P24" s="35" t="n">
        <v>0</v>
      </c>
      <c r="Q24" s="12">
        <f>K24+M24+O24</f>
        <v/>
      </c>
      <c r="R24" s="13">
        <f>L24+N24+P24</f>
        <v/>
      </c>
      <c r="S24" s="36">
        <f>R24-Q24</f>
        <v/>
      </c>
      <c r="T24" s="37" t="inlineStr"/>
    </row>
    <row r="25" ht="20" customHeight="1">
      <c r="B25" s="11" t="inlineStr">
        <is>
          <t>COLOMBIA</t>
        </is>
      </c>
      <c r="C25" s="31" t="inlineStr">
        <is>
          <t>CAMPO ABIERTO, S.A.S.</t>
        </is>
      </c>
      <c r="D25" s="11" t="inlineStr">
        <is>
          <t>G30005</t>
        </is>
      </c>
      <c r="E25" s="31" t="inlineStr">
        <is>
          <t>GREEN-UP, 5 L</t>
        </is>
      </c>
      <c r="F25" s="12" t="n">
        <v>0</v>
      </c>
      <c r="G25" s="13" t="n">
        <v>0</v>
      </c>
      <c r="H25" s="12">
        <f>ABS(G25-F25)</f>
        <v/>
      </c>
      <c r="I25" s="32">
        <f>IF(F25&gt;0, G25/F25, IF(G25&gt;0, 1.0, 0.0))</f>
        <v/>
      </c>
      <c r="J25" s="33" t="inlineStr"/>
      <c r="K25" s="34" t="n">
        <v>0</v>
      </c>
      <c r="L25" s="35" t="n">
        <v>0</v>
      </c>
      <c r="M25" s="34" t="n">
        <v>240</v>
      </c>
      <c r="N25" s="35" t="n">
        <v>240</v>
      </c>
      <c r="O25" s="34" t="n">
        <v>0</v>
      </c>
      <c r="P25" s="35" t="n">
        <v>0</v>
      </c>
      <c r="Q25" s="12">
        <f>K25+M25+O25</f>
        <v/>
      </c>
      <c r="R25" s="13">
        <f>L25+N25+P25</f>
        <v/>
      </c>
      <c r="S25" s="36">
        <f>R25-Q25</f>
        <v/>
      </c>
      <c r="T25" s="37" t="inlineStr"/>
    </row>
    <row r="26" ht="20" customHeight="1">
      <c r="B26" s="11" t="inlineStr">
        <is>
          <t>COLOMBIA</t>
        </is>
      </c>
      <c r="C26" s="31" t="inlineStr">
        <is>
          <t>CAMPO ABIERTO, S.A.S.</t>
        </is>
      </c>
      <c r="D26" s="11" t="inlineStr">
        <is>
          <t>SSEG0001</t>
        </is>
      </c>
      <c r="E26" s="31" t="inlineStr">
        <is>
          <t>SALWAX CALCIO</t>
        </is>
      </c>
      <c r="F26" s="12" t="n">
        <v>0</v>
      </c>
      <c r="G26" s="13" t="n">
        <v>324</v>
      </c>
      <c r="H26" s="12">
        <f>ABS(G26-F26)</f>
        <v/>
      </c>
      <c r="I26" s="32">
        <f>IF(F26&gt;0, G26/F26, IF(G26&gt;0, 1.0, 0.0))</f>
        <v/>
      </c>
      <c r="J26" s="33" t="inlineStr">
        <is>
          <t>Pedido extra no previsto</t>
        </is>
      </c>
      <c r="K26" s="34" t="n">
        <v>0</v>
      </c>
      <c r="L26" s="35" t="n">
        <v>0</v>
      </c>
      <c r="M26" s="34" t="n">
        <v>240</v>
      </c>
      <c r="N26" s="35" t="n">
        <v>240</v>
      </c>
      <c r="O26" s="34" t="n">
        <v>0</v>
      </c>
      <c r="P26" s="35" t="n">
        <v>0</v>
      </c>
      <c r="Q26" s="12">
        <f>K26+M26+O26</f>
        <v/>
      </c>
      <c r="R26" s="13">
        <f>L26+N26+P26</f>
        <v/>
      </c>
      <c r="S26" s="36">
        <f>R26-Q26</f>
        <v/>
      </c>
      <c r="T26" s="37" t="inlineStr"/>
    </row>
    <row r="27" ht="20" customHeight="1">
      <c r="B27" s="11" t="inlineStr">
        <is>
          <t>COLOMBIA</t>
        </is>
      </c>
      <c r="C27" s="31" t="inlineStr">
        <is>
          <t>CAMPO ABIERTO, S.A.S.</t>
        </is>
      </c>
      <c r="D27" s="11" t="inlineStr">
        <is>
          <t>SSEG0005</t>
        </is>
      </c>
      <c r="E27" s="31" t="inlineStr">
        <is>
          <t>SALWAX CALCIO EGIPTO, 5 KG</t>
        </is>
      </c>
      <c r="F27" s="12" t="n">
        <v>0</v>
      </c>
      <c r="G27" s="13" t="n">
        <v>480</v>
      </c>
      <c r="H27" s="12">
        <f>ABS(G27-F27)</f>
        <v/>
      </c>
      <c r="I27" s="32">
        <f>IF(F27&gt;0, G27/F27, IF(G27&gt;0, 1.0, 0.0))</f>
        <v/>
      </c>
      <c r="J27" s="33" t="inlineStr">
        <is>
          <t>Pedido extra no previsto</t>
        </is>
      </c>
      <c r="K27" s="34" t="n">
        <v>0</v>
      </c>
      <c r="L27" s="35" t="n">
        <v>0</v>
      </c>
      <c r="M27" s="34" t="n">
        <v>100</v>
      </c>
      <c r="N27" s="35" t="n">
        <v>100</v>
      </c>
      <c r="O27" s="34" t="n">
        <v>0</v>
      </c>
      <c r="P27" s="35" t="n">
        <v>0</v>
      </c>
      <c r="Q27" s="12">
        <f>K27+M27+O27</f>
        <v/>
      </c>
      <c r="R27" s="13">
        <f>L27+N27+P27</f>
        <v/>
      </c>
      <c r="S27" s="36">
        <f>R27-Q27</f>
        <v/>
      </c>
      <c r="T27" s="37" t="inlineStr"/>
    </row>
    <row r="28" ht="20" customHeight="1">
      <c r="B28" s="11" t="inlineStr">
        <is>
          <t>ESPAÑA</t>
        </is>
      </c>
      <c r="C28" s="31" t="inlineStr">
        <is>
          <t>CAMPO ABIERTO, S.A.S.</t>
        </is>
      </c>
      <c r="D28" s="11" t="inlineStr">
        <is>
          <t>SSEG0020</t>
        </is>
      </c>
      <c r="E28" s="31" t="inlineStr">
        <is>
          <t>SALWAX CALCIO EGIPTO, 20 KG</t>
        </is>
      </c>
      <c r="F28" s="12" t="n">
        <v>0</v>
      </c>
      <c r="G28" s="13" t="n">
        <v>1200</v>
      </c>
      <c r="H28" s="12">
        <f>ABS(G28-F28)</f>
        <v/>
      </c>
      <c r="I28" s="32">
        <f>IF(F28&gt;0, G28/F28, IF(G28&gt;0, 1.0, 0.0))</f>
        <v/>
      </c>
      <c r="J28" s="33" t="inlineStr">
        <is>
          <t>Pedido extra no previsto</t>
        </is>
      </c>
      <c r="K28" s="34" t="n">
        <v>0</v>
      </c>
      <c r="L28" s="35" t="n">
        <v>0</v>
      </c>
      <c r="M28" s="34" t="n">
        <v>0</v>
      </c>
      <c r="N28" s="35" t="n">
        <v>0</v>
      </c>
      <c r="O28" s="34" t="n">
        <v>0</v>
      </c>
      <c r="P28" s="35" t="n">
        <v>0</v>
      </c>
      <c r="Q28" s="12">
        <f>K28+M28+O28</f>
        <v/>
      </c>
      <c r="R28" s="13">
        <f>L28+N28+P28</f>
        <v/>
      </c>
      <c r="S28" s="36">
        <f>R28-Q28</f>
        <v/>
      </c>
      <c r="T28" s="37" t="inlineStr"/>
    </row>
    <row r="29" ht="20" customHeight="1">
      <c r="B29" s="11" t="inlineStr">
        <is>
          <t>ECUADOR (incluidas las Islas Galápagos)</t>
        </is>
      </c>
      <c r="C29" s="31" t="inlineStr">
        <is>
          <t>ECUAQUIMICA</t>
        </is>
      </c>
      <c r="D29" s="11" t="inlineStr">
        <is>
          <t>AN0005</t>
        </is>
      </c>
      <c r="E29" s="31" t="inlineStr">
        <is>
          <t>ALCAPLANT NEW</t>
        </is>
      </c>
      <c r="F29" s="12" t="n">
        <v>0</v>
      </c>
      <c r="G29" s="13" t="n">
        <v>2200</v>
      </c>
      <c r="H29" s="12">
        <f>ABS(G29-F29)</f>
        <v/>
      </c>
      <c r="I29" s="32">
        <f>IF(F29&gt;0, G29/F29, IF(G29&gt;0, 1.0, 0.0))</f>
        <v/>
      </c>
      <c r="J29" s="33" t="inlineStr">
        <is>
          <t>Pedido extra no previsto</t>
        </is>
      </c>
      <c r="K29" s="34" t="n">
        <v>4400</v>
      </c>
      <c r="L29" s="35" t="n">
        <v>4400</v>
      </c>
      <c r="M29" s="34" t="n">
        <v>0</v>
      </c>
      <c r="N29" s="35" t="n">
        <v>0</v>
      </c>
      <c r="O29" s="34" t="n">
        <v>0</v>
      </c>
      <c r="P29" s="35" t="n">
        <v>0</v>
      </c>
      <c r="Q29" s="12">
        <f>K29+M29+O29</f>
        <v/>
      </c>
      <c r="R29" s="13">
        <f>L29+N29+P29</f>
        <v/>
      </c>
      <c r="S29" s="36">
        <f>R29-Q29</f>
        <v/>
      </c>
      <c r="T29" s="37" t="inlineStr"/>
    </row>
    <row r="30" ht="20" customHeight="1">
      <c r="B30" s="11" t="inlineStr">
        <is>
          <t>ECUADOR (incluidas las Islas Galápagos)</t>
        </is>
      </c>
      <c r="C30" s="31" t="inlineStr">
        <is>
          <t>ECUAQUIMICA</t>
        </is>
      </c>
      <c r="D30" s="11" t="inlineStr">
        <is>
          <t>AN0020</t>
        </is>
      </c>
      <c r="E30" s="31" t="inlineStr">
        <is>
          <t>ALCAPLANT NEW</t>
        </is>
      </c>
      <c r="F30" s="12" t="n">
        <v>0</v>
      </c>
      <c r="G30" s="13" t="n">
        <v>6600</v>
      </c>
      <c r="H30" s="12">
        <f>ABS(G30-F30)</f>
        <v/>
      </c>
      <c r="I30" s="32">
        <f>IF(F30&gt;0, G30/F30, IF(G30&gt;0, 1.0, 0.0))</f>
        <v/>
      </c>
      <c r="J30" s="33" t="inlineStr">
        <is>
          <t>Pedido extra no previsto</t>
        </is>
      </c>
      <c r="K30" s="34" t="n">
        <v>10000</v>
      </c>
      <c r="L30" s="35" t="n">
        <v>10000</v>
      </c>
      <c r="M30" s="34" t="n">
        <v>0</v>
      </c>
      <c r="N30" s="35" t="n">
        <v>0</v>
      </c>
      <c r="O30" s="34" t="n">
        <v>0</v>
      </c>
      <c r="P30" s="35" t="n">
        <v>0</v>
      </c>
      <c r="Q30" s="12">
        <f>K30+M30+O30</f>
        <v/>
      </c>
      <c r="R30" s="13">
        <f>L30+N30+P30</f>
        <v/>
      </c>
      <c r="S30" s="36">
        <f>R30-Q30</f>
        <v/>
      </c>
      <c r="T30" s="37" t="inlineStr"/>
    </row>
    <row r="31" ht="20" customHeight="1">
      <c r="B31" s="11" t="inlineStr">
        <is>
          <t>ECUADOR (incluidas las Islas Galápagos)</t>
        </is>
      </c>
      <c r="C31" s="31" t="inlineStr">
        <is>
          <t>ECUAQUIMICA</t>
        </is>
      </c>
      <c r="D31" s="11" t="inlineStr">
        <is>
          <t>C-CU0001</t>
        </is>
      </c>
      <c r="E31" s="31" t="inlineStr">
        <is>
          <t>CODICOBRE</t>
        </is>
      </c>
      <c r="F31" s="12" t="n">
        <v>0</v>
      </c>
      <c r="G31" s="13" t="n">
        <v>0</v>
      </c>
      <c r="H31" s="12">
        <f>ABS(G31-F31)</f>
        <v/>
      </c>
      <c r="I31" s="32">
        <f>IF(F31&gt;0, G31/F31, IF(G31&gt;0, 1.0, 0.0))</f>
        <v/>
      </c>
      <c r="J31" s="33" t="inlineStr"/>
      <c r="K31" s="34" t="n">
        <v>2376</v>
      </c>
      <c r="L31" s="35" t="n">
        <v>2376</v>
      </c>
      <c r="M31" s="34" t="n">
        <v>0</v>
      </c>
      <c r="N31" s="35" t="n">
        <v>0</v>
      </c>
      <c r="O31" s="34" t="n">
        <v>0</v>
      </c>
      <c r="P31" s="35" t="n">
        <v>0</v>
      </c>
      <c r="Q31" s="12">
        <f>K31+M31+O31</f>
        <v/>
      </c>
      <c r="R31" s="13">
        <f>L31+N31+P31</f>
        <v/>
      </c>
      <c r="S31" s="36">
        <f>R31-Q31</f>
        <v/>
      </c>
      <c r="T31" s="37" t="inlineStr"/>
    </row>
    <row r="32" ht="20" customHeight="1">
      <c r="B32" s="11" t="inlineStr">
        <is>
          <t>COSTA RICA</t>
        </is>
      </c>
      <c r="C32" s="31" t="inlineStr">
        <is>
          <t>EUROFERTIL, S.A.</t>
        </is>
      </c>
      <c r="D32" s="11" t="inlineStr">
        <is>
          <t>A-500005</t>
        </is>
      </c>
      <c r="E32" s="31" t="inlineStr">
        <is>
          <t>CODIORGAN-A50, 5 KG</t>
        </is>
      </c>
      <c r="F32" s="12" t="n">
        <v>0</v>
      </c>
      <c r="G32" s="13" t="n">
        <v>0</v>
      </c>
      <c r="H32" s="12">
        <f>ABS(G32-F32)</f>
        <v/>
      </c>
      <c r="I32" s="32">
        <f>IF(F32&gt;0, G32/F32, IF(G32&gt;0, 1.0, 0.0))</f>
        <v/>
      </c>
      <c r="J32" s="33" t="inlineStr"/>
      <c r="K32" s="34" t="n">
        <v>1000</v>
      </c>
      <c r="L32" s="35" t="n">
        <v>1000</v>
      </c>
      <c r="M32" s="34" t="n">
        <v>1000</v>
      </c>
      <c r="N32" s="35" t="n">
        <v>1000</v>
      </c>
      <c r="O32" s="34" t="n">
        <v>0</v>
      </c>
      <c r="P32" s="35" t="n">
        <v>0</v>
      </c>
      <c r="Q32" s="12">
        <f>K32+M32+O32</f>
        <v/>
      </c>
      <c r="R32" s="13">
        <f>L32+N32+P32</f>
        <v/>
      </c>
      <c r="S32" s="36">
        <f>R32-Q32</f>
        <v/>
      </c>
      <c r="T32" s="37" t="inlineStr"/>
    </row>
    <row r="33" ht="20" customHeight="1">
      <c r="B33" s="11" t="inlineStr">
        <is>
          <t>COSTA RICA</t>
        </is>
      </c>
      <c r="C33" s="31" t="inlineStr">
        <is>
          <t>EUROFERTIL, S.A.</t>
        </is>
      </c>
      <c r="D33" s="11" t="inlineStr">
        <is>
          <t>A-500020</t>
        </is>
      </c>
      <c r="E33" s="31" t="inlineStr">
        <is>
          <t>CODIORGAN  A-50</t>
        </is>
      </c>
      <c r="F33" s="12" t="n">
        <v>0</v>
      </c>
      <c r="G33" s="13" t="n">
        <v>0</v>
      </c>
      <c r="H33" s="12">
        <f>ABS(G33-F33)</f>
        <v/>
      </c>
      <c r="I33" s="32">
        <f>IF(F33&gt;0, G33/F33, IF(G33&gt;0, 1.0, 0.0))</f>
        <v/>
      </c>
      <c r="J33" s="33" t="inlineStr"/>
      <c r="K33" s="34" t="n">
        <v>0</v>
      </c>
      <c r="L33" s="35" t="n">
        <v>0</v>
      </c>
      <c r="M33" s="34" t="n">
        <v>1000</v>
      </c>
      <c r="N33" s="35" t="n">
        <v>1000</v>
      </c>
      <c r="O33" s="34" t="n">
        <v>0</v>
      </c>
      <c r="P33" s="35" t="n">
        <v>0</v>
      </c>
      <c r="Q33" s="12">
        <f>K33+M33+O33</f>
        <v/>
      </c>
      <c r="R33" s="13">
        <f>L33+N33+P33</f>
        <v/>
      </c>
      <c r="S33" s="36">
        <f>R33-Q33</f>
        <v/>
      </c>
      <c r="T33" s="37" t="inlineStr"/>
    </row>
    <row r="34" ht="20" customHeight="1">
      <c r="B34" s="11" t="inlineStr">
        <is>
          <t>COSTA RICA</t>
        </is>
      </c>
      <c r="C34" s="31" t="inlineStr">
        <is>
          <t>EUROFERTIL, S.A.</t>
        </is>
      </c>
      <c r="D34" s="11" t="inlineStr">
        <is>
          <t>AGMG0005</t>
        </is>
      </c>
      <c r="E34" s="31" t="inlineStr">
        <is>
          <t>AGROXILATO-MG, 5 KG (EXPORT)</t>
        </is>
      </c>
      <c r="F34" s="12" t="n">
        <v>0</v>
      </c>
      <c r="G34" s="13" t="n">
        <v>0</v>
      </c>
      <c r="H34" s="12">
        <f>ABS(G34-F34)</f>
        <v/>
      </c>
      <c r="I34" s="32">
        <f>IF(F34&gt;0, G34/F34, IF(G34&gt;0, 1.0, 0.0))</f>
        <v/>
      </c>
      <c r="J34" s="33" t="inlineStr"/>
      <c r="K34" s="34" t="n">
        <v>500</v>
      </c>
      <c r="L34" s="35" t="n">
        <v>500</v>
      </c>
      <c r="M34" s="34" t="n">
        <v>0</v>
      </c>
      <c r="N34" s="35" t="n">
        <v>0</v>
      </c>
      <c r="O34" s="34" t="n">
        <v>500</v>
      </c>
      <c r="P34" s="35" t="n">
        <v>500</v>
      </c>
      <c r="Q34" s="12">
        <f>K34+M34+O34</f>
        <v/>
      </c>
      <c r="R34" s="13">
        <f>L34+N34+P34</f>
        <v/>
      </c>
      <c r="S34" s="36">
        <f>R34-Q34</f>
        <v/>
      </c>
      <c r="T34" s="37" t="inlineStr"/>
    </row>
    <row r="35" ht="20" customHeight="1">
      <c r="B35" s="11" t="inlineStr">
        <is>
          <t>COSTA RICA</t>
        </is>
      </c>
      <c r="C35" s="31" t="inlineStr">
        <is>
          <t>EUROFERTIL, S.A.</t>
        </is>
      </c>
      <c r="D35" s="11" t="inlineStr">
        <is>
          <t>AGMG0020</t>
        </is>
      </c>
      <c r="E35" s="31" t="inlineStr">
        <is>
          <t>AGROXILATO MG, 20 KG (EXPORT)</t>
        </is>
      </c>
      <c r="F35" s="12" t="n">
        <v>0</v>
      </c>
      <c r="G35" s="13" t="n">
        <v>0</v>
      </c>
      <c r="H35" s="12">
        <f>ABS(G35-F35)</f>
        <v/>
      </c>
      <c r="I35" s="32">
        <f>IF(F35&gt;0, G35/F35, IF(G35&gt;0, 1.0, 0.0))</f>
        <v/>
      </c>
      <c r="J35" s="33" t="inlineStr"/>
      <c r="K35" s="34" t="n">
        <v>0</v>
      </c>
      <c r="L35" s="35" t="n">
        <v>0</v>
      </c>
      <c r="M35" s="34" t="n">
        <v>800</v>
      </c>
      <c r="N35" s="35" t="n">
        <v>800</v>
      </c>
      <c r="O35" s="34" t="n">
        <v>0</v>
      </c>
      <c r="P35" s="35" t="n">
        <v>0</v>
      </c>
      <c r="Q35" s="12">
        <f>K35+M35+O35</f>
        <v/>
      </c>
      <c r="R35" s="13">
        <f>L35+N35+P35</f>
        <v/>
      </c>
      <c r="S35" s="36">
        <f>R35-Q35</f>
        <v/>
      </c>
      <c r="T35" s="37" t="inlineStr"/>
    </row>
    <row r="36" ht="20" customHeight="1">
      <c r="B36" s="11" t="inlineStr">
        <is>
          <t>COSTA RICA</t>
        </is>
      </c>
      <c r="C36" s="31" t="inlineStr">
        <is>
          <t>EUROFERTIL, S.A.</t>
        </is>
      </c>
      <c r="D36" s="11" t="inlineStr">
        <is>
          <t>AGXCR1000</t>
        </is>
      </c>
      <c r="E36" s="31" t="inlineStr">
        <is>
          <t>AGROXILATO-K</t>
        </is>
      </c>
      <c r="F36" s="12" t="n">
        <v>0</v>
      </c>
      <c r="G36" s="13" t="n">
        <v>0</v>
      </c>
      <c r="H36" s="12">
        <f>ABS(G36-F36)</f>
        <v/>
      </c>
      <c r="I36" s="32">
        <f>IF(F36&gt;0, G36/F36, IF(G36&gt;0, 1.0, 0.0))</f>
        <v/>
      </c>
      <c r="J36" s="33" t="inlineStr"/>
      <c r="K36" s="34" t="n">
        <v>4000</v>
      </c>
      <c r="L36" s="35" t="n">
        <v>4000</v>
      </c>
      <c r="M36" s="34" t="n">
        <v>4000</v>
      </c>
      <c r="N36" s="35" t="n">
        <v>4000</v>
      </c>
      <c r="O36" s="34" t="n">
        <v>4000</v>
      </c>
      <c r="P36" s="35" t="n">
        <v>4000</v>
      </c>
      <c r="Q36" s="12">
        <f>K36+M36+O36</f>
        <v/>
      </c>
      <c r="R36" s="13">
        <f>L36+N36+P36</f>
        <v/>
      </c>
      <c r="S36" s="36">
        <f>R36-Q36</f>
        <v/>
      </c>
      <c r="T36" s="37" t="inlineStr"/>
    </row>
    <row r="37" ht="20" customHeight="1">
      <c r="B37" s="11" t="inlineStr">
        <is>
          <t>COSTA RICA</t>
        </is>
      </c>
      <c r="C37" s="31" t="inlineStr">
        <is>
          <t>EUROFERTIL, S.A.</t>
        </is>
      </c>
      <c r="D37" s="11" t="inlineStr">
        <is>
          <t>AGZN0001</t>
        </is>
      </c>
      <c r="E37" s="31" t="inlineStr">
        <is>
          <t>AGROXILATO Zn</t>
        </is>
      </c>
      <c r="F37" s="12" t="n">
        <v>0</v>
      </c>
      <c r="G37" s="13" t="n">
        <v>0</v>
      </c>
      <c r="H37" s="12">
        <f>ABS(G37-F37)</f>
        <v/>
      </c>
      <c r="I37" s="32">
        <f>IF(F37&gt;0, G37/F37, IF(G37&gt;0, 1.0, 0.0))</f>
        <v/>
      </c>
      <c r="J37" s="33" t="inlineStr"/>
      <c r="K37" s="34" t="n">
        <v>0</v>
      </c>
      <c r="L37" s="35" t="n">
        <v>0</v>
      </c>
      <c r="M37" s="34" t="n">
        <v>1056</v>
      </c>
      <c r="N37" s="35" t="n">
        <v>1056</v>
      </c>
      <c r="O37" s="34" t="n">
        <v>0</v>
      </c>
      <c r="P37" s="35" t="n">
        <v>0</v>
      </c>
      <c r="Q37" s="12">
        <f>K37+M37+O37</f>
        <v/>
      </c>
      <c r="R37" s="13">
        <f>L37+N37+P37</f>
        <v/>
      </c>
      <c r="S37" s="36">
        <f>R37-Q37</f>
        <v/>
      </c>
      <c r="T37" s="37" t="inlineStr"/>
    </row>
    <row r="38" ht="20" customHeight="1">
      <c r="B38" s="11" t="inlineStr">
        <is>
          <t>COSTA RICA</t>
        </is>
      </c>
      <c r="C38" s="31" t="inlineStr">
        <is>
          <t>EUROFERTIL, S.A.</t>
        </is>
      </c>
      <c r="D38" s="11" t="inlineStr">
        <is>
          <t>AGZN0005</t>
        </is>
      </c>
      <c r="E38" s="31" t="inlineStr">
        <is>
          <t>AGROXILATO-ZN 16%,  5 KG (EXPORT)</t>
        </is>
      </c>
      <c r="F38" s="12" t="n">
        <v>0</v>
      </c>
      <c r="G38" s="13" t="n">
        <v>0</v>
      </c>
      <c r="H38" s="12">
        <f>ABS(G38-F38)</f>
        <v/>
      </c>
      <c r="I38" s="32">
        <f>IF(F38&gt;0, G38/F38, IF(G38&gt;0, 1.0, 0.0))</f>
        <v/>
      </c>
      <c r="J38" s="33" t="inlineStr"/>
      <c r="K38" s="34" t="n">
        <v>1000</v>
      </c>
      <c r="L38" s="35" t="n">
        <v>1000</v>
      </c>
      <c r="M38" s="34" t="n">
        <v>0</v>
      </c>
      <c r="N38" s="35" t="n">
        <v>0</v>
      </c>
      <c r="O38" s="34" t="n">
        <v>500</v>
      </c>
      <c r="P38" s="35" t="n">
        <v>500</v>
      </c>
      <c r="Q38" s="12">
        <f>K38+M38+O38</f>
        <v/>
      </c>
      <c r="R38" s="13">
        <f>L38+N38+P38</f>
        <v/>
      </c>
      <c r="S38" s="36">
        <f>R38-Q38</f>
        <v/>
      </c>
      <c r="T38" s="37" t="inlineStr"/>
    </row>
    <row r="39" ht="20" customHeight="1">
      <c r="B39" s="11" t="inlineStr">
        <is>
          <t>COSTA RICA</t>
        </is>
      </c>
      <c r="C39" s="31" t="inlineStr">
        <is>
          <t>EUROFERTIL, S.A.</t>
        </is>
      </c>
      <c r="D39" s="11" t="inlineStr">
        <is>
          <t>AN0005</t>
        </is>
      </c>
      <c r="E39" s="31" t="inlineStr">
        <is>
          <t>ALCAPLANT</t>
        </is>
      </c>
      <c r="F39" s="12" t="n">
        <v>0</v>
      </c>
      <c r="G39" s="13" t="n">
        <v>0</v>
      </c>
      <c r="H39" s="12">
        <f>ABS(G39-F39)</f>
        <v/>
      </c>
      <c r="I39" s="32">
        <f>IF(F39&gt;0, G39/F39, IF(G39&gt;0, 1.0, 0.0))</f>
        <v/>
      </c>
      <c r="J39" s="33" t="inlineStr"/>
      <c r="K39" s="34" t="n">
        <v>11000</v>
      </c>
      <c r="L39" s="35" t="n">
        <v>11000</v>
      </c>
      <c r="M39" s="34" t="n">
        <v>0</v>
      </c>
      <c r="N39" s="35" t="n">
        <v>0</v>
      </c>
      <c r="O39" s="34" t="n">
        <v>7000</v>
      </c>
      <c r="P39" s="35" t="n">
        <v>7000</v>
      </c>
      <c r="Q39" s="12">
        <f>K39+M39+O39</f>
        <v/>
      </c>
      <c r="R39" s="13">
        <f>L39+N39+P39</f>
        <v/>
      </c>
      <c r="S39" s="36">
        <f>R39-Q39</f>
        <v/>
      </c>
      <c r="T39" s="37" t="inlineStr"/>
    </row>
    <row r="40" ht="20" customHeight="1">
      <c r="B40" s="11" t="inlineStr">
        <is>
          <t>COSTA RICA</t>
        </is>
      </c>
      <c r="C40" s="31" t="inlineStr">
        <is>
          <t>EUROFERTIL, S.A.</t>
        </is>
      </c>
      <c r="D40" s="11" t="inlineStr">
        <is>
          <t>AN0020</t>
        </is>
      </c>
      <c r="E40" s="31" t="inlineStr">
        <is>
          <t>ALCAPLANT</t>
        </is>
      </c>
      <c r="F40" s="12" t="n">
        <v>0</v>
      </c>
      <c r="G40" s="13" t="n">
        <v>0</v>
      </c>
      <c r="H40" s="12">
        <f>ABS(G40-F40)</f>
        <v/>
      </c>
      <c r="I40" s="32">
        <f>IF(F40&gt;0, G40/F40, IF(G40&gt;0, 1.0, 0.0))</f>
        <v/>
      </c>
      <c r="J40" s="33" t="inlineStr"/>
      <c r="K40" s="34" t="n">
        <v>11000</v>
      </c>
      <c r="L40" s="35" t="n">
        <v>11000</v>
      </c>
      <c r="M40" s="34" t="n">
        <v>15400</v>
      </c>
      <c r="N40" s="35" t="n">
        <v>15400</v>
      </c>
      <c r="O40" s="34" t="n">
        <v>0</v>
      </c>
      <c r="P40" s="35" t="n">
        <v>0</v>
      </c>
      <c r="Q40" s="12">
        <f>K40+M40+O40</f>
        <v/>
      </c>
      <c r="R40" s="13">
        <f>L40+N40+P40</f>
        <v/>
      </c>
      <c r="S40" s="36">
        <f>R40-Q40</f>
        <v/>
      </c>
      <c r="T40" s="37" t="inlineStr"/>
    </row>
    <row r="41" ht="20" customHeight="1">
      <c r="B41" s="11" t="inlineStr">
        <is>
          <t>COSTA RICA</t>
        </is>
      </c>
      <c r="C41" s="31" t="inlineStr">
        <is>
          <t>EUROFERTIL, S.A.</t>
        </is>
      </c>
      <c r="D41" s="11" t="inlineStr">
        <is>
          <t>B1000</t>
        </is>
      </c>
      <c r="E41" s="31" t="inlineStr">
        <is>
          <t>BOROCAL, 1000 L</t>
        </is>
      </c>
      <c r="F41" s="12" t="n">
        <v>0</v>
      </c>
      <c r="G41" s="13" t="n">
        <v>0</v>
      </c>
      <c r="H41" s="12">
        <f>ABS(G41-F41)</f>
        <v/>
      </c>
      <c r="I41" s="32">
        <f>IF(F41&gt;0, G41/F41, IF(G41&gt;0, 1.0, 0.0))</f>
        <v/>
      </c>
      <c r="J41" s="33" t="inlineStr"/>
      <c r="K41" s="34" t="n">
        <v>3000</v>
      </c>
      <c r="L41" s="35" t="n">
        <v>3000</v>
      </c>
      <c r="M41" s="34" t="n">
        <v>0</v>
      </c>
      <c r="N41" s="35" t="n">
        <v>0</v>
      </c>
      <c r="O41" s="34" t="n">
        <v>3000</v>
      </c>
      <c r="P41" s="35" t="n">
        <v>3000</v>
      </c>
      <c r="Q41" s="12">
        <f>K41+M41+O41</f>
        <v/>
      </c>
      <c r="R41" s="13">
        <f>L41+N41+P41</f>
        <v/>
      </c>
      <c r="S41" s="36">
        <f>R41-Q41</f>
        <v/>
      </c>
      <c r="T41" s="37" t="inlineStr"/>
    </row>
    <row r="42" ht="20" customHeight="1">
      <c r="B42" s="11" t="inlineStr">
        <is>
          <t>COSTA RICA</t>
        </is>
      </c>
      <c r="C42" s="31" t="inlineStr">
        <is>
          <t>EUROFERTIL, S.A.</t>
        </is>
      </c>
      <c r="D42" s="11" t="inlineStr">
        <is>
          <t>C-CU1000</t>
        </is>
      </c>
      <c r="E42" s="31" t="inlineStr">
        <is>
          <t>CODICOBRE</t>
        </is>
      </c>
      <c r="F42" s="12" t="n">
        <v>0</v>
      </c>
      <c r="G42" s="13" t="n">
        <v>0</v>
      </c>
      <c r="H42" s="12">
        <f>ABS(G42-F42)</f>
        <v/>
      </c>
      <c r="I42" s="32">
        <f>IF(F42&gt;0, G42/F42, IF(G42&gt;0, 1.0, 0.0))</f>
        <v/>
      </c>
      <c r="J42" s="33" t="inlineStr"/>
      <c r="K42" s="34" t="n">
        <v>0</v>
      </c>
      <c r="L42" s="35" t="n">
        <v>0</v>
      </c>
      <c r="M42" s="34" t="n">
        <v>2000</v>
      </c>
      <c r="N42" s="35" t="n">
        <v>2000</v>
      </c>
      <c r="O42" s="34" t="n">
        <v>0</v>
      </c>
      <c r="P42" s="35" t="n">
        <v>0</v>
      </c>
      <c r="Q42" s="12">
        <f>K42+M42+O42</f>
        <v/>
      </c>
      <c r="R42" s="13">
        <f>L42+N42+P42</f>
        <v/>
      </c>
      <c r="S42" s="36">
        <f>R42-Q42</f>
        <v/>
      </c>
      <c r="T42" s="37" t="inlineStr"/>
    </row>
    <row r="43" ht="20" customHeight="1">
      <c r="B43" s="11" t="inlineStr">
        <is>
          <t>COSTA RICA</t>
        </is>
      </c>
      <c r="C43" s="31" t="inlineStr">
        <is>
          <t>EUROFERTIL, S.A.</t>
        </is>
      </c>
      <c r="D43" s="11" t="inlineStr">
        <is>
          <t>CODIR1000</t>
        </is>
      </c>
      <c r="E43" s="31" t="inlineStr">
        <is>
          <t>CODIRESIST</t>
        </is>
      </c>
      <c r="F43" s="12" t="n">
        <v>0</v>
      </c>
      <c r="G43" s="13" t="n">
        <v>0</v>
      </c>
      <c r="H43" s="12">
        <f>ABS(G43-F43)</f>
        <v/>
      </c>
      <c r="I43" s="32">
        <f>IF(F43&gt;0, G43/F43, IF(G43&gt;0, 1.0, 0.0))</f>
        <v/>
      </c>
      <c r="J43" s="33" t="inlineStr"/>
      <c r="K43" s="34" t="n">
        <v>1000</v>
      </c>
      <c r="L43" s="35" t="n">
        <v>1000</v>
      </c>
      <c r="M43" s="34" t="n">
        <v>1000</v>
      </c>
      <c r="N43" s="35" t="n">
        <v>1000</v>
      </c>
      <c r="O43" s="34" t="n">
        <v>1000</v>
      </c>
      <c r="P43" s="35" t="n">
        <v>1000</v>
      </c>
      <c r="Q43" s="12">
        <f>K43+M43+O43</f>
        <v/>
      </c>
      <c r="R43" s="13">
        <f>L43+N43+P43</f>
        <v/>
      </c>
      <c r="S43" s="36">
        <f>R43-Q43</f>
        <v/>
      </c>
      <c r="T43" s="37" t="inlineStr"/>
    </row>
    <row r="44" ht="20" customHeight="1">
      <c r="B44" s="11" t="inlineStr">
        <is>
          <t>COSTA RICA</t>
        </is>
      </c>
      <c r="C44" s="31" t="inlineStr">
        <is>
          <t>EUROFERTIL, S.A.</t>
        </is>
      </c>
      <c r="D44" s="11" t="inlineStr">
        <is>
          <t>DECA0005</t>
        </is>
      </c>
      <c r="E44" s="31" t="inlineStr">
        <is>
          <t>DEFENS-CA-AE</t>
        </is>
      </c>
      <c r="F44" s="12" t="n">
        <v>0</v>
      </c>
      <c r="G44" s="13" t="n">
        <v>0</v>
      </c>
      <c r="H44" s="12">
        <f>ABS(G44-F44)</f>
        <v/>
      </c>
      <c r="I44" s="32">
        <f>IF(F44&gt;0, G44/F44, IF(G44&gt;0, 1.0, 0.0))</f>
        <v/>
      </c>
      <c r="J44" s="33" t="inlineStr"/>
      <c r="K44" s="34" t="n">
        <v>1100</v>
      </c>
      <c r="L44" s="35" t="n">
        <v>1100</v>
      </c>
      <c r="M44" s="34" t="n">
        <v>1100</v>
      </c>
      <c r="N44" s="35" t="n">
        <v>1100</v>
      </c>
      <c r="O44" s="34" t="n">
        <v>1100</v>
      </c>
      <c r="P44" s="35" t="n">
        <v>1100</v>
      </c>
      <c r="Q44" s="12">
        <f>K44+M44+O44</f>
        <v/>
      </c>
      <c r="R44" s="13">
        <f>L44+N44+P44</f>
        <v/>
      </c>
      <c r="S44" s="36">
        <f>R44-Q44</f>
        <v/>
      </c>
      <c r="T44" s="37" t="inlineStr"/>
    </row>
    <row r="45" ht="20" customHeight="1">
      <c r="B45" s="11" t="inlineStr">
        <is>
          <t>COSTA RICA</t>
        </is>
      </c>
      <c r="C45" s="31" t="inlineStr">
        <is>
          <t>EUROFERTIL, S.A.</t>
        </is>
      </c>
      <c r="D45" s="11" t="inlineStr">
        <is>
          <t>F-A1000</t>
        </is>
      </c>
      <c r="E45" s="31" t="inlineStr">
        <is>
          <t>FITOLIN AGRO</t>
        </is>
      </c>
      <c r="F45" s="12" t="n">
        <v>2000</v>
      </c>
      <c r="G45" s="13" t="n">
        <v>0</v>
      </c>
      <c r="H45" s="12">
        <f>ABS(G45-F45)</f>
        <v/>
      </c>
      <c r="I45" s="32">
        <f>IF(F45&gt;0, G45/F45, IF(G45&gt;0, 1.0, 0.0))</f>
        <v/>
      </c>
      <c r="J45" s="33" t="inlineStr"/>
      <c r="K45" s="34" t="n">
        <v>0</v>
      </c>
      <c r="L45" s="35" t="n">
        <v>0</v>
      </c>
      <c r="M45" s="34" t="n">
        <v>1000</v>
      </c>
      <c r="N45" s="35" t="n">
        <v>1000</v>
      </c>
      <c r="O45" s="34" t="n">
        <v>1000</v>
      </c>
      <c r="P45" s="35" t="n">
        <v>1000</v>
      </c>
      <c r="Q45" s="12">
        <f>K45+M45+O45</f>
        <v/>
      </c>
      <c r="R45" s="13">
        <f>L45+N45+P45</f>
        <v/>
      </c>
      <c r="S45" s="36">
        <f>R45-Q45</f>
        <v/>
      </c>
      <c r="T45" s="37" t="inlineStr"/>
    </row>
    <row r="46" ht="20" customHeight="1">
      <c r="B46" s="11" t="inlineStr">
        <is>
          <t>COSTA RICA</t>
        </is>
      </c>
      <c r="C46" s="31" t="inlineStr">
        <is>
          <t>EUROFERTIL, S.A.</t>
        </is>
      </c>
      <c r="D46" s="11" t="inlineStr">
        <is>
          <t>FLORCR1000</t>
        </is>
      </c>
      <c r="E46" s="31" t="inlineStr">
        <is>
          <t>FLORAMEC</t>
        </is>
      </c>
      <c r="F46" s="12" t="n">
        <v>0</v>
      </c>
      <c r="G46" s="13" t="n">
        <v>0</v>
      </c>
      <c r="H46" s="12">
        <f>ABS(G46-F46)</f>
        <v/>
      </c>
      <c r="I46" s="32">
        <f>IF(F46&gt;0, G46/F46, IF(G46&gt;0, 1.0, 0.0))</f>
        <v/>
      </c>
      <c r="J46" s="33" t="inlineStr"/>
      <c r="K46" s="34" t="n">
        <v>3000</v>
      </c>
      <c r="L46" s="35" t="n">
        <v>3000</v>
      </c>
      <c r="M46" s="34" t="n">
        <v>3000</v>
      </c>
      <c r="N46" s="35" t="n">
        <v>3000</v>
      </c>
      <c r="O46" s="34" t="n">
        <v>0</v>
      </c>
      <c r="P46" s="35" t="n">
        <v>0</v>
      </c>
      <c r="Q46" s="12">
        <f>K46+M46+O46</f>
        <v/>
      </c>
      <c r="R46" s="13">
        <f>L46+N46+P46</f>
        <v/>
      </c>
      <c r="S46" s="36">
        <f>R46-Q46</f>
        <v/>
      </c>
      <c r="T46" s="37" t="inlineStr"/>
    </row>
    <row r="47" ht="20" customHeight="1">
      <c r="B47" s="11" t="inlineStr">
        <is>
          <t>COSTA RICA</t>
        </is>
      </c>
      <c r="C47" s="31" t="inlineStr">
        <is>
          <t>EUROFERTIL, S.A.</t>
        </is>
      </c>
      <c r="D47" s="11" t="inlineStr">
        <is>
          <t>G1000</t>
        </is>
      </c>
      <c r="E47" s="31" t="inlineStr">
        <is>
          <t>TRANSLOCADOR</t>
        </is>
      </c>
      <c r="F47" s="12" t="n">
        <v>0</v>
      </c>
      <c r="G47" s="13" t="n">
        <v>0</v>
      </c>
      <c r="H47" s="12">
        <f>ABS(G47-F47)</f>
        <v/>
      </c>
      <c r="I47" s="32">
        <f>IF(F47&gt;0, G47/F47, IF(G47&gt;0, 1.0, 0.0))</f>
        <v/>
      </c>
      <c r="J47" s="33" t="inlineStr"/>
      <c r="K47" s="34" t="n">
        <v>1000</v>
      </c>
      <c r="L47" s="35" t="n">
        <v>1000</v>
      </c>
      <c r="M47" s="34" t="n">
        <v>0</v>
      </c>
      <c r="N47" s="35" t="n">
        <v>0</v>
      </c>
      <c r="O47" s="34" t="n">
        <v>500</v>
      </c>
      <c r="P47" s="35" t="n">
        <v>500</v>
      </c>
      <c r="Q47" s="12">
        <f>K47+M47+O47</f>
        <v/>
      </c>
      <c r="R47" s="13">
        <f>L47+N47+P47</f>
        <v/>
      </c>
      <c r="S47" s="36">
        <f>R47-Q47</f>
        <v/>
      </c>
      <c r="T47" s="37" t="inlineStr"/>
    </row>
    <row r="48" ht="20" customHeight="1">
      <c r="B48" s="11" t="inlineStr">
        <is>
          <t>COSTA RICA</t>
        </is>
      </c>
      <c r="C48" s="31" t="inlineStr">
        <is>
          <t>EUROFERTIL, S.A.</t>
        </is>
      </c>
      <c r="D48" s="11" t="inlineStr">
        <is>
          <t>PT1000</t>
        </is>
      </c>
      <c r="E48" s="31" t="inlineStr">
        <is>
          <t>POTASION PLUS</t>
        </is>
      </c>
      <c r="F48" s="12" t="n">
        <v>0</v>
      </c>
      <c r="G48" s="13" t="n">
        <v>0</v>
      </c>
      <c r="H48" s="12">
        <f>ABS(G48-F48)</f>
        <v/>
      </c>
      <c r="I48" s="32">
        <f>IF(F48&gt;0, G48/F48, IF(G48&gt;0, 1.0, 0.0))</f>
        <v/>
      </c>
      <c r="J48" s="33" t="inlineStr"/>
      <c r="K48" s="34" t="n">
        <v>4000</v>
      </c>
      <c r="L48" s="35" t="n">
        <v>4000</v>
      </c>
      <c r="M48" s="34" t="n">
        <v>0</v>
      </c>
      <c r="N48" s="35" t="n">
        <v>0</v>
      </c>
      <c r="O48" s="34" t="n">
        <v>2000</v>
      </c>
      <c r="P48" s="35" t="n">
        <v>2000</v>
      </c>
      <c r="Q48" s="12">
        <f>K48+M48+O48</f>
        <v/>
      </c>
      <c r="R48" s="13">
        <f>L48+N48+P48</f>
        <v/>
      </c>
      <c r="S48" s="36">
        <f>R48-Q48</f>
        <v/>
      </c>
      <c r="T48" s="37" t="inlineStr"/>
    </row>
    <row r="49" ht="20" customHeight="1">
      <c r="B49" s="11" t="inlineStr">
        <is>
          <t>COSTA RICA</t>
        </is>
      </c>
      <c r="C49" s="31" t="inlineStr">
        <is>
          <t>EUROFERTIL, S.A.</t>
        </is>
      </c>
      <c r="D49" s="11" t="inlineStr">
        <is>
          <t>SPCE20001</t>
        </is>
      </c>
      <c r="E49" s="31" t="inlineStr">
        <is>
          <t>SPRINTENE ZNMN 1L</t>
        </is>
      </c>
      <c r="F49" s="12" t="n">
        <v>0</v>
      </c>
      <c r="G49" s="13" t="n">
        <v>0</v>
      </c>
      <c r="H49" s="12">
        <f>ABS(G49-F49)</f>
        <v/>
      </c>
      <c r="I49" s="32">
        <f>IF(F49&gt;0, G49/F49, IF(G49&gt;0, 1.0, 0.0))</f>
        <v/>
      </c>
      <c r="J49" s="33" t="inlineStr"/>
      <c r="K49" s="34" t="n">
        <v>0</v>
      </c>
      <c r="L49" s="35" t="n">
        <v>0</v>
      </c>
      <c r="M49" s="34" t="n">
        <v>500</v>
      </c>
      <c r="N49" s="35" t="n">
        <v>500</v>
      </c>
      <c r="O49" s="34" t="n">
        <v>0</v>
      </c>
      <c r="P49" s="35" t="n">
        <v>0</v>
      </c>
      <c r="Q49" s="12">
        <f>K49+M49+O49</f>
        <v/>
      </c>
      <c r="R49" s="13">
        <f>L49+N49+P49</f>
        <v/>
      </c>
      <c r="S49" s="36">
        <f>R49-Q49</f>
        <v/>
      </c>
      <c r="T49" s="37" t="inlineStr"/>
    </row>
    <row r="50" ht="20" customHeight="1">
      <c r="B50" s="11" t="inlineStr">
        <is>
          <t>COSTA RICA</t>
        </is>
      </c>
      <c r="C50" s="31" t="inlineStr">
        <is>
          <t>EUROFERTIL, S.A.</t>
        </is>
      </c>
      <c r="D50" s="11" t="inlineStr">
        <is>
          <t>SPCE20005</t>
        </is>
      </c>
      <c r="E50" s="31" t="inlineStr">
        <is>
          <t>SPRINTENE ZNMN 5L</t>
        </is>
      </c>
      <c r="F50" s="12" t="n">
        <v>0</v>
      </c>
      <c r="G50" s="13" t="n">
        <v>0</v>
      </c>
      <c r="H50" s="12">
        <f>ABS(G50-F50)</f>
        <v/>
      </c>
      <c r="I50" s="32">
        <f>IF(F50&gt;0, G50/F50, IF(G50&gt;0, 1.0, 0.0))</f>
        <v/>
      </c>
      <c r="J50" s="33" t="inlineStr"/>
      <c r="K50" s="34" t="n">
        <v>400</v>
      </c>
      <c r="L50" s="35" t="n">
        <v>400</v>
      </c>
      <c r="M50" s="34" t="n">
        <v>400</v>
      </c>
      <c r="N50" s="35" t="n">
        <v>400</v>
      </c>
      <c r="O50" s="34" t="n">
        <v>0</v>
      </c>
      <c r="P50" s="35" t="n">
        <v>0</v>
      </c>
      <c r="Q50" s="12">
        <f>K50+M50+O50</f>
        <v/>
      </c>
      <c r="R50" s="13">
        <f>L50+N50+P50</f>
        <v/>
      </c>
      <c r="S50" s="36">
        <f>R50-Q50</f>
        <v/>
      </c>
      <c r="T50" s="37" t="inlineStr"/>
    </row>
    <row r="51" ht="20" customHeight="1">
      <c r="B51" s="11" t="inlineStr">
        <is>
          <t>COSTA RICA</t>
        </is>
      </c>
      <c r="C51" s="31" t="inlineStr">
        <is>
          <t>EUROFERTIL, S.A.</t>
        </is>
      </c>
      <c r="D51" s="11" t="inlineStr">
        <is>
          <t>SS0001</t>
        </is>
      </c>
      <c r="E51" s="31" t="inlineStr">
        <is>
          <t>SALWAX-CA, 1 KG</t>
        </is>
      </c>
      <c r="F51" s="12" t="n">
        <v>0</v>
      </c>
      <c r="G51" s="13" t="n">
        <v>0</v>
      </c>
      <c r="H51" s="12">
        <f>ABS(G51-F51)</f>
        <v/>
      </c>
      <c r="I51" s="32">
        <f>IF(F51&gt;0, G51/F51, IF(G51&gt;0, 1.0, 0.0))</f>
        <v/>
      </c>
      <c r="J51" s="33" t="inlineStr"/>
      <c r="K51" s="34" t="n">
        <v>1056</v>
      </c>
      <c r="L51" s="35" t="n">
        <v>1056</v>
      </c>
      <c r="M51" s="34" t="n">
        <v>0</v>
      </c>
      <c r="N51" s="35" t="n">
        <v>0</v>
      </c>
      <c r="O51" s="34" t="n">
        <v>400</v>
      </c>
      <c r="P51" s="35" t="n">
        <v>400</v>
      </c>
      <c r="Q51" s="12">
        <f>K51+M51+O51</f>
        <v/>
      </c>
      <c r="R51" s="13">
        <f>L51+N51+P51</f>
        <v/>
      </c>
      <c r="S51" s="36">
        <f>R51-Q51</f>
        <v/>
      </c>
      <c r="T51" s="37" t="inlineStr"/>
    </row>
    <row r="52" ht="20" customHeight="1">
      <c r="B52" s="11" t="inlineStr">
        <is>
          <t>COSTA RICA</t>
        </is>
      </c>
      <c r="C52" s="31" t="inlineStr">
        <is>
          <t>EUROFERTIL, S.A.</t>
        </is>
      </c>
      <c r="D52" s="11" t="inlineStr">
        <is>
          <t>SS0005</t>
        </is>
      </c>
      <c r="E52" s="31" t="inlineStr">
        <is>
          <t>SALWAX-CA, 5 KG</t>
        </is>
      </c>
      <c r="F52" s="12" t="n">
        <v>0</v>
      </c>
      <c r="G52" s="13" t="n">
        <v>0</v>
      </c>
      <c r="H52" s="12">
        <f>ABS(G52-F52)</f>
        <v/>
      </c>
      <c r="I52" s="32">
        <f>IF(F52&gt;0, G52/F52, IF(G52&gt;0, 1.0, 0.0))</f>
        <v/>
      </c>
      <c r="J52" s="33" t="inlineStr"/>
      <c r="K52" s="34" t="n">
        <v>1000</v>
      </c>
      <c r="L52" s="35" t="n">
        <v>1000</v>
      </c>
      <c r="M52" s="34" t="n">
        <v>0</v>
      </c>
      <c r="N52" s="35" t="n">
        <v>0</v>
      </c>
      <c r="O52" s="34" t="n">
        <v>400</v>
      </c>
      <c r="P52" s="35" t="n">
        <v>400</v>
      </c>
      <c r="Q52" s="12">
        <f>K52+M52+O52</f>
        <v/>
      </c>
      <c r="R52" s="13">
        <f>L52+N52+P52</f>
        <v/>
      </c>
      <c r="S52" s="36">
        <f>R52-Q52</f>
        <v/>
      </c>
      <c r="T52" s="37" t="inlineStr"/>
    </row>
    <row r="53" ht="20" customHeight="1">
      <c r="B53" s="11" t="inlineStr">
        <is>
          <t>COSTA RICA</t>
        </is>
      </c>
      <c r="C53" s="31" t="inlineStr">
        <is>
          <t>EUROFERTIL, S.A.</t>
        </is>
      </c>
      <c r="D53" s="11" t="inlineStr">
        <is>
          <t>SS0020</t>
        </is>
      </c>
      <c r="E53" s="31" t="inlineStr">
        <is>
          <t>SAL WAX MAX</t>
        </is>
      </c>
      <c r="F53" s="12" t="n">
        <v>0</v>
      </c>
      <c r="G53" s="13" t="n">
        <v>0</v>
      </c>
      <c r="H53" s="12">
        <f>ABS(G53-F53)</f>
        <v/>
      </c>
      <c r="I53" s="32">
        <f>IF(F53&gt;0, G53/F53, IF(G53&gt;0, 1.0, 0.0))</f>
        <v/>
      </c>
      <c r="J53" s="33" t="inlineStr"/>
      <c r="K53" s="34" t="n">
        <v>2760</v>
      </c>
      <c r="L53" s="35" t="n">
        <v>2760</v>
      </c>
      <c r="M53" s="34" t="n">
        <v>0</v>
      </c>
      <c r="N53" s="35" t="n">
        <v>0</v>
      </c>
      <c r="O53" s="34" t="n">
        <v>800</v>
      </c>
      <c r="P53" s="35" t="n">
        <v>800</v>
      </c>
      <c r="Q53" s="12">
        <f>K53+M53+O53</f>
        <v/>
      </c>
      <c r="R53" s="13">
        <f>L53+N53+P53</f>
        <v/>
      </c>
      <c r="S53" s="36">
        <f>R53-Q53</f>
        <v/>
      </c>
      <c r="T53" s="37" t="inlineStr"/>
    </row>
    <row r="54" ht="20" customHeight="1">
      <c r="B54" s="11" t="inlineStr">
        <is>
          <t>ESPAÑA</t>
        </is>
      </c>
      <c r="C54" s="31" t="inlineStr">
        <is>
          <t xml:space="preserve">EUROFERTIL, S.A.    </t>
        </is>
      </c>
      <c r="D54" s="11" t="inlineStr">
        <is>
          <t>AGXCR1000</t>
        </is>
      </c>
      <c r="E54" s="31" t="inlineStr">
        <is>
          <t>AGROXILATO-K, 1000 L</t>
        </is>
      </c>
      <c r="F54" s="12" t="n">
        <v>0</v>
      </c>
      <c r="G54" s="13" t="n">
        <v>3000</v>
      </c>
      <c r="H54" s="12">
        <f>ABS(G54-F54)</f>
        <v/>
      </c>
      <c r="I54" s="32">
        <f>IF(F54&gt;0, G54/F54, IF(G54&gt;0, 1.0, 0.0))</f>
        <v/>
      </c>
      <c r="J54" s="33" t="inlineStr">
        <is>
          <t>Pedido extra no previsto</t>
        </is>
      </c>
      <c r="K54" s="34" t="n">
        <v>0</v>
      </c>
      <c r="L54" s="35" t="n">
        <v>0</v>
      </c>
      <c r="M54" s="34" t="n">
        <v>0</v>
      </c>
      <c r="N54" s="35" t="n">
        <v>0</v>
      </c>
      <c r="O54" s="34" t="n">
        <v>0</v>
      </c>
      <c r="P54" s="35" t="n">
        <v>0</v>
      </c>
      <c r="Q54" s="12">
        <f>K54+M54+O54</f>
        <v/>
      </c>
      <c r="R54" s="13">
        <f>L54+N54+P54</f>
        <v/>
      </c>
      <c r="S54" s="36">
        <f>R54-Q54</f>
        <v/>
      </c>
      <c r="T54" s="37" t="inlineStr"/>
    </row>
    <row r="55" ht="20" customHeight="1">
      <c r="B55" s="11" t="inlineStr">
        <is>
          <t>ESPAÑA</t>
        </is>
      </c>
      <c r="C55" s="31" t="inlineStr">
        <is>
          <t xml:space="preserve">EUROFERTIL, S.A.    </t>
        </is>
      </c>
      <c r="D55" s="11" t="inlineStr">
        <is>
          <t>AN0005</t>
        </is>
      </c>
      <c r="E55" s="31" t="inlineStr">
        <is>
          <t>ALCAPLANT, 5 KG</t>
        </is>
      </c>
      <c r="F55" s="12" t="n">
        <v>0</v>
      </c>
      <c r="G55" s="13" t="n">
        <v>3300</v>
      </c>
      <c r="H55" s="12">
        <f>ABS(G55-F55)</f>
        <v/>
      </c>
      <c r="I55" s="32">
        <f>IF(F55&gt;0, G55/F55, IF(G55&gt;0, 1.0, 0.0))</f>
        <v/>
      </c>
      <c r="J55" s="33" t="inlineStr">
        <is>
          <t>Pedido extra no previsto</t>
        </is>
      </c>
      <c r="K55" s="34" t="n">
        <v>0</v>
      </c>
      <c r="L55" s="35" t="n">
        <v>0</v>
      </c>
      <c r="M55" s="34" t="n">
        <v>0</v>
      </c>
      <c r="N55" s="35" t="n">
        <v>0</v>
      </c>
      <c r="O55" s="34" t="n">
        <v>0</v>
      </c>
      <c r="P55" s="35" t="n">
        <v>0</v>
      </c>
      <c r="Q55" s="12">
        <f>K55+M55+O55</f>
        <v/>
      </c>
      <c r="R55" s="13">
        <f>L55+N55+P55</f>
        <v/>
      </c>
      <c r="S55" s="36">
        <f>R55-Q55</f>
        <v/>
      </c>
      <c r="T55" s="37" t="inlineStr"/>
    </row>
    <row r="56" ht="20" customHeight="1">
      <c r="B56" s="11" t="inlineStr">
        <is>
          <t>ESPAÑA</t>
        </is>
      </c>
      <c r="C56" s="31" t="inlineStr">
        <is>
          <t xml:space="preserve">EUROFERTIL, S.A.    </t>
        </is>
      </c>
      <c r="D56" s="11" t="inlineStr">
        <is>
          <t>AN0020</t>
        </is>
      </c>
      <c r="E56" s="31" t="inlineStr">
        <is>
          <t>ALCAPLANT, 20 KG</t>
        </is>
      </c>
      <c r="F56" s="12" t="n">
        <v>0</v>
      </c>
      <c r="G56" s="13" t="n">
        <v>4400</v>
      </c>
      <c r="H56" s="12">
        <f>ABS(G56-F56)</f>
        <v/>
      </c>
      <c r="I56" s="32">
        <f>IF(F56&gt;0, G56/F56, IF(G56&gt;0, 1.0, 0.0))</f>
        <v/>
      </c>
      <c r="J56" s="33" t="inlineStr">
        <is>
          <t>Pedido extra no previsto</t>
        </is>
      </c>
      <c r="K56" s="34" t="n">
        <v>0</v>
      </c>
      <c r="L56" s="35" t="n">
        <v>0</v>
      </c>
      <c r="M56" s="34" t="n">
        <v>0</v>
      </c>
      <c r="N56" s="35" t="n">
        <v>0</v>
      </c>
      <c r="O56" s="34" t="n">
        <v>0</v>
      </c>
      <c r="P56" s="35" t="n">
        <v>0</v>
      </c>
      <c r="Q56" s="12">
        <f>K56+M56+O56</f>
        <v/>
      </c>
      <c r="R56" s="13">
        <f>L56+N56+P56</f>
        <v/>
      </c>
      <c r="S56" s="36">
        <f>R56-Q56</f>
        <v/>
      </c>
      <c r="T56" s="37" t="inlineStr"/>
    </row>
    <row r="57" ht="20" customHeight="1">
      <c r="B57" s="11" t="inlineStr">
        <is>
          <t>ESPAÑA</t>
        </is>
      </c>
      <c r="C57" s="31" t="inlineStr">
        <is>
          <t xml:space="preserve">EUROFERTIL, S.A.    </t>
        </is>
      </c>
      <c r="D57" s="11" t="inlineStr">
        <is>
          <t>B1000</t>
        </is>
      </c>
      <c r="E57" s="31" t="inlineStr">
        <is>
          <t>FORTALEZA, 1000 L</t>
        </is>
      </c>
      <c r="F57" s="12" t="n">
        <v>0</v>
      </c>
      <c r="G57" s="13" t="n">
        <v>2000</v>
      </c>
      <c r="H57" s="12">
        <f>ABS(G57-F57)</f>
        <v/>
      </c>
      <c r="I57" s="32">
        <f>IF(F57&gt;0, G57/F57, IF(G57&gt;0, 1.0, 0.0))</f>
        <v/>
      </c>
      <c r="J57" s="33" t="inlineStr">
        <is>
          <t>Pedido extra no previsto</t>
        </is>
      </c>
      <c r="K57" s="34" t="n">
        <v>0</v>
      </c>
      <c r="L57" s="35" t="n">
        <v>0</v>
      </c>
      <c r="M57" s="34" t="n">
        <v>0</v>
      </c>
      <c r="N57" s="35" t="n">
        <v>0</v>
      </c>
      <c r="O57" s="34" t="n">
        <v>0</v>
      </c>
      <c r="P57" s="35" t="n">
        <v>0</v>
      </c>
      <c r="Q57" s="12">
        <f>K57+M57+O57</f>
        <v/>
      </c>
      <c r="R57" s="13">
        <f>L57+N57+P57</f>
        <v/>
      </c>
      <c r="S57" s="36">
        <f>R57-Q57</f>
        <v/>
      </c>
      <c r="T57" s="37" t="inlineStr"/>
    </row>
    <row r="58" ht="20" customHeight="1">
      <c r="B58" s="11" t="inlineStr">
        <is>
          <t>ESPAÑA</t>
        </is>
      </c>
      <c r="C58" s="31" t="inlineStr">
        <is>
          <t xml:space="preserve">EUROFERTIL, S.A.    </t>
        </is>
      </c>
      <c r="D58" s="11" t="inlineStr">
        <is>
          <t>C-CU1000</t>
        </is>
      </c>
      <c r="E58" s="31" t="inlineStr">
        <is>
          <t>CODICOBRE, 1000 L</t>
        </is>
      </c>
      <c r="F58" s="12" t="n">
        <v>0</v>
      </c>
      <c r="G58" s="13" t="n">
        <v>1000</v>
      </c>
      <c r="H58" s="12">
        <f>ABS(G58-F58)</f>
        <v/>
      </c>
      <c r="I58" s="32">
        <f>IF(F58&gt;0, G58/F58, IF(G58&gt;0, 1.0, 0.0))</f>
        <v/>
      </c>
      <c r="J58" s="33" t="inlineStr">
        <is>
          <t>Pedido extra no previsto</t>
        </is>
      </c>
      <c r="K58" s="34" t="n">
        <v>0</v>
      </c>
      <c r="L58" s="35" t="n">
        <v>0</v>
      </c>
      <c r="M58" s="34" t="n">
        <v>0</v>
      </c>
      <c r="N58" s="35" t="n">
        <v>0</v>
      </c>
      <c r="O58" s="34" t="n">
        <v>0</v>
      </c>
      <c r="P58" s="35" t="n">
        <v>0</v>
      </c>
      <c r="Q58" s="12">
        <f>K58+M58+O58</f>
        <v/>
      </c>
      <c r="R58" s="13">
        <f>L58+N58+P58</f>
        <v/>
      </c>
      <c r="S58" s="36">
        <f>R58-Q58</f>
        <v/>
      </c>
      <c r="T58" s="37" t="inlineStr"/>
    </row>
    <row r="59" ht="20" customHeight="1">
      <c r="B59" s="11" t="inlineStr">
        <is>
          <t>ESPAÑA</t>
        </is>
      </c>
      <c r="C59" s="31" t="inlineStr">
        <is>
          <t xml:space="preserve">EUROFERTIL, S.A.    </t>
        </is>
      </c>
      <c r="D59" s="11" t="inlineStr">
        <is>
          <t>CODIR1000</t>
        </is>
      </c>
      <c r="E59" s="31" t="inlineStr">
        <is>
          <t>CODIRESIST, 1000 L</t>
        </is>
      </c>
      <c r="F59" s="12" t="n">
        <v>0</v>
      </c>
      <c r="G59" s="13" t="n">
        <v>1000</v>
      </c>
      <c r="H59" s="12">
        <f>ABS(G59-F59)</f>
        <v/>
      </c>
      <c r="I59" s="32">
        <f>IF(F59&gt;0, G59/F59, IF(G59&gt;0, 1.0, 0.0))</f>
        <v/>
      </c>
      <c r="J59" s="33" t="inlineStr">
        <is>
          <t>Pedido extra no previsto</t>
        </is>
      </c>
      <c r="K59" s="34" t="n">
        <v>0</v>
      </c>
      <c r="L59" s="35" t="n">
        <v>0</v>
      </c>
      <c r="M59" s="34" t="n">
        <v>0</v>
      </c>
      <c r="N59" s="35" t="n">
        <v>0</v>
      </c>
      <c r="O59" s="34" t="n">
        <v>0</v>
      </c>
      <c r="P59" s="35" t="n">
        <v>0</v>
      </c>
      <c r="Q59" s="12">
        <f>K59+M59+O59</f>
        <v/>
      </c>
      <c r="R59" s="13">
        <f>L59+N59+P59</f>
        <v/>
      </c>
      <c r="S59" s="36">
        <f>R59-Q59</f>
        <v/>
      </c>
      <c r="T59" s="37" t="inlineStr"/>
    </row>
    <row r="60" ht="20" customHeight="1">
      <c r="B60" s="11" t="inlineStr">
        <is>
          <t>ESPAÑA</t>
        </is>
      </c>
      <c r="C60" s="31" t="inlineStr">
        <is>
          <t xml:space="preserve">EUROFERTIL, S.A.    </t>
        </is>
      </c>
      <c r="D60" s="11" t="inlineStr">
        <is>
          <t>DECA0005</t>
        </is>
      </c>
      <c r="E60" s="31" t="inlineStr">
        <is>
          <t>DEFENS-CA-AE, 5 KG</t>
        </is>
      </c>
      <c r="F60" s="12" t="n">
        <v>0</v>
      </c>
      <c r="G60" s="13" t="n">
        <v>750</v>
      </c>
      <c r="H60" s="12">
        <f>ABS(G60-F60)</f>
        <v/>
      </c>
      <c r="I60" s="32">
        <f>IF(F60&gt;0, G60/F60, IF(G60&gt;0, 1.0, 0.0))</f>
        <v/>
      </c>
      <c r="J60" s="33" t="inlineStr">
        <is>
          <t>Pedido extra no previsto</t>
        </is>
      </c>
      <c r="K60" s="34" t="n">
        <v>0</v>
      </c>
      <c r="L60" s="35" t="n">
        <v>0</v>
      </c>
      <c r="M60" s="34" t="n">
        <v>0</v>
      </c>
      <c r="N60" s="35" t="n">
        <v>0</v>
      </c>
      <c r="O60" s="34" t="n">
        <v>0</v>
      </c>
      <c r="P60" s="35" t="n">
        <v>0</v>
      </c>
      <c r="Q60" s="12">
        <f>K60+M60+O60</f>
        <v/>
      </c>
      <c r="R60" s="13">
        <f>L60+N60+P60</f>
        <v/>
      </c>
      <c r="S60" s="36">
        <f>R60-Q60</f>
        <v/>
      </c>
      <c r="T60" s="37" t="inlineStr"/>
    </row>
    <row r="61" ht="20" customHeight="1">
      <c r="B61" s="11" t="inlineStr">
        <is>
          <t>ESPAÑA</t>
        </is>
      </c>
      <c r="C61" s="31" t="inlineStr">
        <is>
          <t xml:space="preserve">EUROFERTIL, S.A.    </t>
        </is>
      </c>
      <c r="D61" s="11" t="inlineStr">
        <is>
          <t>F-A1000</t>
        </is>
      </c>
      <c r="E61" s="31" t="inlineStr">
        <is>
          <t xml:space="preserve">FITOLIN AGRO, 1000 L </t>
        </is>
      </c>
      <c r="F61" s="12" t="n">
        <v>0</v>
      </c>
      <c r="G61" s="13" t="n">
        <v>1000</v>
      </c>
      <c r="H61" s="12">
        <f>ABS(G61-F61)</f>
        <v/>
      </c>
      <c r="I61" s="32">
        <f>IF(F61&gt;0, G61/F61, IF(G61&gt;0, 1.0, 0.0))</f>
        <v/>
      </c>
      <c r="J61" s="33" t="inlineStr">
        <is>
          <t>Pedido extra no previsto</t>
        </is>
      </c>
      <c r="K61" s="34" t="n">
        <v>0</v>
      </c>
      <c r="L61" s="35" t="n">
        <v>0</v>
      </c>
      <c r="M61" s="34" t="n">
        <v>0</v>
      </c>
      <c r="N61" s="35" t="n">
        <v>0</v>
      </c>
      <c r="O61" s="34" t="n">
        <v>0</v>
      </c>
      <c r="P61" s="35" t="n">
        <v>0</v>
      </c>
      <c r="Q61" s="12">
        <f>K61+M61+O61</f>
        <v/>
      </c>
      <c r="R61" s="13">
        <f>L61+N61+P61</f>
        <v/>
      </c>
      <c r="S61" s="36">
        <f>R61-Q61</f>
        <v/>
      </c>
      <c r="T61" s="37" t="inlineStr"/>
    </row>
    <row r="62" ht="20" customHeight="1">
      <c r="B62" s="11" t="inlineStr">
        <is>
          <t>ESPAÑA</t>
        </is>
      </c>
      <c r="C62" s="31" t="inlineStr">
        <is>
          <t xml:space="preserve">EUROFERTIL, S.A.    </t>
        </is>
      </c>
      <c r="D62" s="11" t="inlineStr">
        <is>
          <t>NB1000</t>
        </is>
      </c>
      <c r="E62" s="31" t="inlineStr">
        <is>
          <t>NITROBALANCE, 1000 L</t>
        </is>
      </c>
      <c r="F62" s="12" t="n">
        <v>0</v>
      </c>
      <c r="G62" s="13" t="n">
        <v>2000</v>
      </c>
      <c r="H62" s="12">
        <f>ABS(G62-F62)</f>
        <v/>
      </c>
      <c r="I62" s="32">
        <f>IF(F62&gt;0, G62/F62, IF(G62&gt;0, 1.0, 0.0))</f>
        <v/>
      </c>
      <c r="J62" s="33" t="inlineStr">
        <is>
          <t>Pedido extra no previsto</t>
        </is>
      </c>
      <c r="K62" s="34" t="n">
        <v>0</v>
      </c>
      <c r="L62" s="35" t="n">
        <v>0</v>
      </c>
      <c r="M62" s="34" t="n">
        <v>0</v>
      </c>
      <c r="N62" s="35" t="n">
        <v>0</v>
      </c>
      <c r="O62" s="34" t="n">
        <v>0</v>
      </c>
      <c r="P62" s="35" t="n">
        <v>0</v>
      </c>
      <c r="Q62" s="12">
        <f>K62+M62+O62</f>
        <v/>
      </c>
      <c r="R62" s="13">
        <f>L62+N62+P62</f>
        <v/>
      </c>
      <c r="S62" s="36">
        <f>R62-Q62</f>
        <v/>
      </c>
      <c r="T62" s="37" t="inlineStr"/>
    </row>
    <row r="63" ht="20" customHeight="1">
      <c r="B63" s="11" t="inlineStr">
        <is>
          <t>ESPAÑA</t>
        </is>
      </c>
      <c r="C63" s="31" t="inlineStr">
        <is>
          <t xml:space="preserve">EUROFERTIL, S.A.    </t>
        </is>
      </c>
      <c r="D63" s="11" t="inlineStr">
        <is>
          <t>SS0020</t>
        </is>
      </c>
      <c r="E63" s="31" t="inlineStr">
        <is>
          <t>SAL WAX MAX, 20 KG</t>
        </is>
      </c>
      <c r="F63" s="12" t="n">
        <v>0</v>
      </c>
      <c r="G63" s="13" t="n">
        <v>1600</v>
      </c>
      <c r="H63" s="12">
        <f>ABS(G63-F63)</f>
        <v/>
      </c>
      <c r="I63" s="32">
        <f>IF(F63&gt;0, G63/F63, IF(G63&gt;0, 1.0, 0.0))</f>
        <v/>
      </c>
      <c r="J63" s="33" t="inlineStr">
        <is>
          <t>Pedido extra no previsto</t>
        </is>
      </c>
      <c r="K63" s="34" t="n">
        <v>0</v>
      </c>
      <c r="L63" s="35" t="n">
        <v>0</v>
      </c>
      <c r="M63" s="34" t="n">
        <v>0</v>
      </c>
      <c r="N63" s="35" t="n">
        <v>0</v>
      </c>
      <c r="O63" s="34" t="n">
        <v>0</v>
      </c>
      <c r="P63" s="35" t="n">
        <v>0</v>
      </c>
      <c r="Q63" s="12">
        <f>K63+M63+O63</f>
        <v/>
      </c>
      <c r="R63" s="13">
        <f>L63+N63+P63</f>
        <v/>
      </c>
      <c r="S63" s="36">
        <f>R63-Q63</f>
        <v/>
      </c>
      <c r="T63" s="37" t="inlineStr"/>
    </row>
    <row r="64" ht="20" customHeight="1">
      <c r="B64" s="11" t="inlineStr">
        <is>
          <t>PERÚ</t>
        </is>
      </c>
      <c r="C64" s="31" t="inlineStr">
        <is>
          <t>HORTIFRUT - PERU, S.A.C.</t>
        </is>
      </c>
      <c r="D64" s="11" t="inlineStr">
        <is>
          <t>AN0020</t>
        </is>
      </c>
      <c r="E64" s="31" t="inlineStr">
        <is>
          <t>ALCAPLANT NEW, 20 KG</t>
        </is>
      </c>
      <c r="F64" s="12" t="n">
        <v>0</v>
      </c>
      <c r="G64" s="13" t="n">
        <v>1100</v>
      </c>
      <c r="H64" s="12">
        <f>ABS(G64-F64)</f>
        <v/>
      </c>
      <c r="I64" s="32">
        <f>IF(F64&gt;0, G64/F64, IF(G64&gt;0, 1.0, 0.0))</f>
        <v/>
      </c>
      <c r="J64" s="33" t="inlineStr">
        <is>
          <t>Pedido extra no previsto</t>
        </is>
      </c>
      <c r="K64" s="34" t="n">
        <v>0</v>
      </c>
      <c r="L64" s="35" t="n">
        <v>0</v>
      </c>
      <c r="M64" s="34" t="n">
        <v>0</v>
      </c>
      <c r="N64" s="35" t="n">
        <v>0</v>
      </c>
      <c r="O64" s="34" t="n">
        <v>0</v>
      </c>
      <c r="P64" s="35" t="n">
        <v>0</v>
      </c>
      <c r="Q64" s="12">
        <f>K64+M64+O64</f>
        <v/>
      </c>
      <c r="R64" s="13">
        <f>L64+N64+P64</f>
        <v/>
      </c>
      <c r="S64" s="36">
        <f>R64-Q64</f>
        <v/>
      </c>
      <c r="T64" s="37" t="inlineStr"/>
    </row>
    <row r="65" ht="20" customHeight="1">
      <c r="B65" s="11" t="inlineStr">
        <is>
          <t>DOMINICANA, REPÚBLICA</t>
        </is>
      </c>
      <c r="C65" s="31" t="inlineStr">
        <is>
          <t>JUAN JIMENEZ, SRL</t>
        </is>
      </c>
      <c r="D65" s="11" t="inlineStr">
        <is>
          <t>A-50(2)0001</t>
        </is>
      </c>
      <c r="E65" s="31" t="inlineStr">
        <is>
          <t>CODIORGAN A-50</t>
        </is>
      </c>
      <c r="F65" s="12" t="n">
        <v>0</v>
      </c>
      <c r="G65" s="13" t="n">
        <v>0</v>
      </c>
      <c r="H65" s="12">
        <f>ABS(G65-F65)</f>
        <v/>
      </c>
      <c r="I65" s="32">
        <f>IF(F65&gt;0, G65/F65, IF(G65&gt;0, 1.0, 0.0))</f>
        <v/>
      </c>
      <c r="J65" s="33" t="inlineStr"/>
      <c r="K65" s="34" t="n">
        <v>0</v>
      </c>
      <c r="L65" s="35" t="n">
        <v>0</v>
      </c>
      <c r="M65" s="34" t="n">
        <v>800</v>
      </c>
      <c r="N65" s="35" t="n">
        <v>800</v>
      </c>
      <c r="O65" s="34" t="n">
        <v>0</v>
      </c>
      <c r="P65" s="35" t="n">
        <v>0</v>
      </c>
      <c r="Q65" s="12">
        <f>K65+M65+O65</f>
        <v/>
      </c>
      <c r="R65" s="13">
        <f>L65+N65+P65</f>
        <v/>
      </c>
      <c r="S65" s="36">
        <f>R65-Q65</f>
        <v/>
      </c>
      <c r="T65" s="37" t="inlineStr"/>
    </row>
    <row r="66" ht="20" customHeight="1">
      <c r="B66" s="11" t="inlineStr">
        <is>
          <t>DOMINICANA, REPÚBLICA</t>
        </is>
      </c>
      <c r="C66" s="31" t="inlineStr">
        <is>
          <t>JUAN JIMENEZ, SRL</t>
        </is>
      </c>
      <c r="D66" s="11" t="inlineStr">
        <is>
          <t>AGXK0001</t>
        </is>
      </c>
      <c r="E66" s="31" t="inlineStr">
        <is>
          <t>AGROXILATO-K</t>
        </is>
      </c>
      <c r="F66" s="12" t="n">
        <v>0</v>
      </c>
      <c r="G66" s="13" t="n">
        <v>0</v>
      </c>
      <c r="H66" s="12">
        <f>ABS(G66-F66)</f>
        <v/>
      </c>
      <c r="I66" s="32">
        <f>IF(F66&gt;0, G66/F66, IF(G66&gt;0, 1.0, 0.0))</f>
        <v/>
      </c>
      <c r="J66" s="33" t="inlineStr"/>
      <c r="K66" s="34" t="n">
        <v>0</v>
      </c>
      <c r="L66" s="35" t="n">
        <v>0</v>
      </c>
      <c r="M66" s="34" t="n">
        <v>1000</v>
      </c>
      <c r="N66" s="35" t="n">
        <v>1000</v>
      </c>
      <c r="O66" s="34" t="n">
        <v>0</v>
      </c>
      <c r="P66" s="35" t="n">
        <v>0</v>
      </c>
      <c r="Q66" s="12">
        <f>K66+M66+O66</f>
        <v/>
      </c>
      <c r="R66" s="13">
        <f>L66+N66+P66</f>
        <v/>
      </c>
      <c r="S66" s="36">
        <f>R66-Q66</f>
        <v/>
      </c>
      <c r="T66" s="37" t="inlineStr"/>
    </row>
    <row r="67" ht="20" customHeight="1">
      <c r="B67" s="11" t="inlineStr">
        <is>
          <t>DOMINICANA, REPÚBLICA</t>
        </is>
      </c>
      <c r="C67" s="31" t="inlineStr">
        <is>
          <t>JUAN JIMENEZ, SRL</t>
        </is>
      </c>
      <c r="D67" s="11" t="inlineStr">
        <is>
          <t>AN0005</t>
        </is>
      </c>
      <c r="E67" s="31" t="inlineStr">
        <is>
          <t>ALCAPLANT NEW</t>
        </is>
      </c>
      <c r="F67" s="12" t="n">
        <v>0</v>
      </c>
      <c r="G67" s="13" t="n">
        <v>0</v>
      </c>
      <c r="H67" s="12">
        <f>ABS(G67-F67)</f>
        <v/>
      </c>
      <c r="I67" s="32">
        <f>IF(F67&gt;0, G67/F67, IF(G67&gt;0, 1.0, 0.0))</f>
        <v/>
      </c>
      <c r="J67" s="33" t="inlineStr"/>
      <c r="K67" s="34" t="n">
        <v>0</v>
      </c>
      <c r="L67" s="35" t="n">
        <v>0</v>
      </c>
      <c r="M67" s="34" t="n">
        <v>3300</v>
      </c>
      <c r="N67" s="35" t="n">
        <v>3300</v>
      </c>
      <c r="O67" s="34" t="n">
        <v>0</v>
      </c>
      <c r="P67" s="35" t="n">
        <v>0</v>
      </c>
      <c r="Q67" s="12">
        <f>K67+M67+O67</f>
        <v/>
      </c>
      <c r="R67" s="13">
        <f>L67+N67+P67</f>
        <v/>
      </c>
      <c r="S67" s="36">
        <f>R67-Q67</f>
        <v/>
      </c>
      <c r="T67" s="37" t="inlineStr"/>
    </row>
    <row r="68" ht="20" customHeight="1">
      <c r="B68" s="11" t="inlineStr">
        <is>
          <t>DOMINICANA, REPÚBLICA</t>
        </is>
      </c>
      <c r="C68" s="31" t="inlineStr">
        <is>
          <t>JUAN JIMENEZ, SRL</t>
        </is>
      </c>
      <c r="D68" s="11" t="inlineStr">
        <is>
          <t>B0001</t>
        </is>
      </c>
      <c r="E68" s="31" t="inlineStr">
        <is>
          <t>BOROCAL</t>
        </is>
      </c>
      <c r="F68" s="12" t="n">
        <v>0</v>
      </c>
      <c r="G68" s="13" t="n">
        <v>0</v>
      </c>
      <c r="H68" s="12">
        <f>ABS(G68-F68)</f>
        <v/>
      </c>
      <c r="I68" s="32">
        <f>IF(F68&gt;0, G68/F68, IF(G68&gt;0, 1.0, 0.0))</f>
        <v/>
      </c>
      <c r="J68" s="33" t="inlineStr"/>
      <c r="K68" s="34" t="n">
        <v>0</v>
      </c>
      <c r="L68" s="35" t="n">
        <v>0</v>
      </c>
      <c r="M68" s="34" t="n">
        <v>1000</v>
      </c>
      <c r="N68" s="35" t="n">
        <v>1000</v>
      </c>
      <c r="O68" s="34" t="n">
        <v>0</v>
      </c>
      <c r="P68" s="35" t="n">
        <v>0</v>
      </c>
      <c r="Q68" s="12">
        <f>K68+M68+O68</f>
        <v/>
      </c>
      <c r="R68" s="13">
        <f>L68+N68+P68</f>
        <v/>
      </c>
      <c r="S68" s="36">
        <f>R68-Q68</f>
        <v/>
      </c>
      <c r="T68" s="37" t="inlineStr"/>
    </row>
    <row r="69" ht="20" customHeight="1">
      <c r="B69" s="11" t="inlineStr">
        <is>
          <t>DOMINICANA, REPÚBLICA</t>
        </is>
      </c>
      <c r="C69" s="31" t="inlineStr">
        <is>
          <t>JUAN JIMENEZ, SRL</t>
        </is>
      </c>
      <c r="D69" s="11" t="inlineStr">
        <is>
          <t>BIO0001</t>
        </is>
      </c>
      <c r="E69" s="31" t="inlineStr">
        <is>
          <t>BIORAD-20</t>
        </is>
      </c>
      <c r="F69" s="12" t="n">
        <v>0</v>
      </c>
      <c r="G69" s="13" t="n">
        <v>0</v>
      </c>
      <c r="H69" s="12">
        <f>ABS(G69-F69)</f>
        <v/>
      </c>
      <c r="I69" s="32">
        <f>IF(F69&gt;0, G69/F69, IF(G69&gt;0, 1.0, 0.0))</f>
        <v/>
      </c>
      <c r="J69" s="33" t="inlineStr"/>
      <c r="K69" s="34" t="n">
        <v>0</v>
      </c>
      <c r="L69" s="35" t="n">
        <v>0</v>
      </c>
      <c r="M69" s="34" t="n">
        <v>1224</v>
      </c>
      <c r="N69" s="35" t="n">
        <v>1224</v>
      </c>
      <c r="O69" s="34" t="n">
        <v>0</v>
      </c>
      <c r="P69" s="35" t="n">
        <v>0</v>
      </c>
      <c r="Q69" s="12">
        <f>K69+M69+O69</f>
        <v/>
      </c>
      <c r="R69" s="13">
        <f>L69+N69+P69</f>
        <v/>
      </c>
      <c r="S69" s="36">
        <f>R69-Q69</f>
        <v/>
      </c>
      <c r="T69" s="37" t="inlineStr"/>
    </row>
    <row r="70" ht="20" customHeight="1">
      <c r="B70" s="11" t="inlineStr">
        <is>
          <t>DOMINICANA, REPÚBLICA</t>
        </is>
      </c>
      <c r="C70" s="31" t="inlineStr">
        <is>
          <t>JUAN JIMENEZ, SRL</t>
        </is>
      </c>
      <c r="D70" s="11" t="inlineStr">
        <is>
          <t>BIO0005</t>
        </is>
      </c>
      <c r="E70" s="31" t="inlineStr">
        <is>
          <t>BIORAD-20</t>
        </is>
      </c>
      <c r="F70" s="12" t="n">
        <v>0</v>
      </c>
      <c r="G70" s="13" t="n">
        <v>0</v>
      </c>
      <c r="H70" s="12">
        <f>ABS(G70-F70)</f>
        <v/>
      </c>
      <c r="I70" s="32">
        <f>IF(F70&gt;0, G70/F70, IF(G70&gt;0, 1.0, 0.0))</f>
        <v/>
      </c>
      <c r="J70" s="33" t="inlineStr"/>
      <c r="K70" s="34" t="n">
        <v>0</v>
      </c>
      <c r="L70" s="35" t="n">
        <v>0</v>
      </c>
      <c r="M70" s="34" t="n">
        <v>3620</v>
      </c>
      <c r="N70" s="35" t="n">
        <v>3620</v>
      </c>
      <c r="O70" s="34" t="n">
        <v>0</v>
      </c>
      <c r="P70" s="35" t="n">
        <v>0</v>
      </c>
      <c r="Q70" s="12">
        <f>K70+M70+O70</f>
        <v/>
      </c>
      <c r="R70" s="13">
        <f>L70+N70+P70</f>
        <v/>
      </c>
      <c r="S70" s="36">
        <f>R70-Q70</f>
        <v/>
      </c>
      <c r="T70" s="37" t="inlineStr"/>
    </row>
    <row r="71" ht="20" customHeight="1">
      <c r="B71" s="11" t="inlineStr">
        <is>
          <t>DOMINICANA, REPÚBLICA</t>
        </is>
      </c>
      <c r="C71" s="31" t="inlineStr">
        <is>
          <t>JUAN JIMENEZ, SRL</t>
        </is>
      </c>
      <c r="D71" s="11" t="inlineStr">
        <is>
          <t>BIO0020</t>
        </is>
      </c>
      <c r="E71" s="31" t="inlineStr">
        <is>
          <t>BIORAD-20</t>
        </is>
      </c>
      <c r="F71" s="12" t="n">
        <v>0</v>
      </c>
      <c r="G71" s="13" t="n">
        <v>0</v>
      </c>
      <c r="H71" s="12">
        <f>ABS(G71-F71)</f>
        <v/>
      </c>
      <c r="I71" s="32">
        <f>IF(F71&gt;0, G71/F71, IF(G71&gt;0, 1.0, 0.0))</f>
        <v/>
      </c>
      <c r="J71" s="33" t="inlineStr"/>
      <c r="K71" s="34" t="n">
        <v>0</v>
      </c>
      <c r="L71" s="35" t="n">
        <v>0</v>
      </c>
      <c r="M71" s="34" t="n">
        <v>2500</v>
      </c>
      <c r="N71" s="35" t="n">
        <v>2500</v>
      </c>
      <c r="O71" s="34" t="n">
        <v>0</v>
      </c>
      <c r="P71" s="35" t="n">
        <v>0</v>
      </c>
      <c r="Q71" s="12">
        <f>K71+M71+O71</f>
        <v/>
      </c>
      <c r="R71" s="13">
        <f>L71+N71+P71</f>
        <v/>
      </c>
      <c r="S71" s="36">
        <f>R71-Q71</f>
        <v/>
      </c>
      <c r="T71" s="37" t="inlineStr"/>
    </row>
    <row r="72" ht="20" customHeight="1">
      <c r="B72" s="11" t="inlineStr">
        <is>
          <t>DOMINICANA, REPÚBLICA</t>
        </is>
      </c>
      <c r="C72" s="31" t="inlineStr">
        <is>
          <t>JUAN JIMENEZ, SRL</t>
        </is>
      </c>
      <c r="D72" s="11" t="inlineStr">
        <is>
          <t>C-L0001</t>
        </is>
      </c>
      <c r="E72" s="31" t="inlineStr">
        <is>
          <t>CODIBOR-L, 1 L</t>
        </is>
      </c>
      <c r="F72" s="12" t="n">
        <v>0</v>
      </c>
      <c r="G72" s="13" t="n">
        <v>0</v>
      </c>
      <c r="H72" s="12">
        <f>ABS(G72-F72)</f>
        <v/>
      </c>
      <c r="I72" s="32">
        <f>IF(F72&gt;0, G72/F72, IF(G72&gt;0, 1.0, 0.0))</f>
        <v/>
      </c>
      <c r="J72" s="33" t="inlineStr"/>
      <c r="K72" s="34" t="n">
        <v>0</v>
      </c>
      <c r="L72" s="35" t="n">
        <v>0</v>
      </c>
      <c r="M72" s="34" t="n">
        <v>300</v>
      </c>
      <c r="N72" s="35" t="n">
        <v>300</v>
      </c>
      <c r="O72" s="34" t="n">
        <v>0</v>
      </c>
      <c r="P72" s="35" t="n">
        <v>0</v>
      </c>
      <c r="Q72" s="12">
        <f>K72+M72+O72</f>
        <v/>
      </c>
      <c r="R72" s="13">
        <f>L72+N72+P72</f>
        <v/>
      </c>
      <c r="S72" s="36">
        <f>R72-Q72</f>
        <v/>
      </c>
      <c r="T72" s="37" t="inlineStr"/>
    </row>
    <row r="73" ht="20" customHeight="1">
      <c r="B73" s="11" t="inlineStr">
        <is>
          <t>DOMINICANA, REPÚBLICA</t>
        </is>
      </c>
      <c r="C73" s="31" t="inlineStr">
        <is>
          <t>JUAN JIMENEZ, SRL</t>
        </is>
      </c>
      <c r="D73" s="11" t="inlineStr">
        <is>
          <t>F-A0001</t>
        </is>
      </c>
      <c r="E73" s="31" t="inlineStr">
        <is>
          <t>FITOLIN-AGRO</t>
        </is>
      </c>
      <c r="F73" s="12" t="n">
        <v>0</v>
      </c>
      <c r="G73" s="13" t="n">
        <v>0</v>
      </c>
      <c r="H73" s="12">
        <f>ABS(G73-F73)</f>
        <v/>
      </c>
      <c r="I73" s="32">
        <f>IF(F73&gt;0, G73/F73, IF(G73&gt;0, 1.0, 0.0))</f>
        <v/>
      </c>
      <c r="J73" s="33" t="inlineStr"/>
      <c r="K73" s="34" t="n">
        <v>0</v>
      </c>
      <c r="L73" s="35" t="n">
        <v>0</v>
      </c>
      <c r="M73" s="34" t="n">
        <v>1000</v>
      </c>
      <c r="N73" s="35" t="n">
        <v>1000</v>
      </c>
      <c r="O73" s="34" t="n">
        <v>0</v>
      </c>
      <c r="P73" s="35" t="n">
        <v>0</v>
      </c>
      <c r="Q73" s="12">
        <f>K73+M73+O73</f>
        <v/>
      </c>
      <c r="R73" s="13">
        <f>L73+N73+P73</f>
        <v/>
      </c>
      <c r="S73" s="36">
        <f>R73-Q73</f>
        <v/>
      </c>
      <c r="T73" s="37" t="inlineStr"/>
    </row>
    <row r="74" ht="20" customHeight="1">
      <c r="B74" s="11" t="inlineStr">
        <is>
          <t>DOMINICANA, REPÚBLICA</t>
        </is>
      </c>
      <c r="C74" s="31" t="inlineStr">
        <is>
          <t>JUAN JIMENEZ, SRL</t>
        </is>
      </c>
      <c r="D74" s="11" t="inlineStr">
        <is>
          <t>F-A0005</t>
        </is>
      </c>
      <c r="E74" s="31" t="inlineStr">
        <is>
          <t>FITOLIN-AGRO</t>
        </is>
      </c>
      <c r="F74" s="12" t="n">
        <v>0</v>
      </c>
      <c r="G74" s="13" t="n">
        <v>0</v>
      </c>
      <c r="H74" s="12">
        <f>ABS(G74-F74)</f>
        <v/>
      </c>
      <c r="I74" s="32">
        <f>IF(F74&gt;0, G74/F74, IF(G74&gt;0, 1.0, 0.0))</f>
        <v/>
      </c>
      <c r="J74" s="33" t="inlineStr"/>
      <c r="K74" s="34" t="n">
        <v>0</v>
      </c>
      <c r="L74" s="35" t="n">
        <v>0</v>
      </c>
      <c r="M74" s="34" t="n">
        <v>1500</v>
      </c>
      <c r="N74" s="35" t="n">
        <v>1500</v>
      </c>
      <c r="O74" s="34" t="n">
        <v>0</v>
      </c>
      <c r="P74" s="35" t="n">
        <v>0</v>
      </c>
      <c r="Q74" s="12">
        <f>K74+M74+O74</f>
        <v/>
      </c>
      <c r="R74" s="13">
        <f>L74+N74+P74</f>
        <v/>
      </c>
      <c r="S74" s="36">
        <f>R74-Q74</f>
        <v/>
      </c>
      <c r="T74" s="37" t="inlineStr"/>
    </row>
    <row r="75" ht="20" customHeight="1">
      <c r="B75" s="11" t="inlineStr">
        <is>
          <t>DOMINICANA, REPÚBLICA</t>
        </is>
      </c>
      <c r="C75" s="31" t="inlineStr">
        <is>
          <t>JUAN JIMENEZ, SRL</t>
        </is>
      </c>
      <c r="D75" s="11" t="inlineStr">
        <is>
          <t>FLOR0001</t>
        </is>
      </c>
      <c r="E75" s="31" t="inlineStr">
        <is>
          <t>FLORAMEC</t>
        </is>
      </c>
      <c r="F75" s="12" t="n">
        <v>0</v>
      </c>
      <c r="G75" s="13" t="n">
        <v>0</v>
      </c>
      <c r="H75" s="12">
        <f>ABS(G75-F75)</f>
        <v/>
      </c>
      <c r="I75" s="32">
        <f>IF(F75&gt;0, G75/F75, IF(G75&gt;0, 1.0, 0.0))</f>
        <v/>
      </c>
      <c r="J75" s="33" t="inlineStr"/>
      <c r="K75" s="34" t="n">
        <v>0</v>
      </c>
      <c r="L75" s="35" t="n">
        <v>0</v>
      </c>
      <c r="M75" s="34" t="n">
        <v>800</v>
      </c>
      <c r="N75" s="35" t="n">
        <v>800</v>
      </c>
      <c r="O75" s="34" t="n">
        <v>0</v>
      </c>
      <c r="P75" s="35" t="n">
        <v>0</v>
      </c>
      <c r="Q75" s="12">
        <f>K75+M75+O75</f>
        <v/>
      </c>
      <c r="R75" s="13">
        <f>L75+N75+P75</f>
        <v/>
      </c>
      <c r="S75" s="36">
        <f>R75-Q75</f>
        <v/>
      </c>
      <c r="T75" s="37" t="inlineStr"/>
    </row>
    <row r="76" ht="20" customHeight="1">
      <c r="B76" s="11" t="inlineStr">
        <is>
          <t>DOMINICANA, REPÚBLICA</t>
        </is>
      </c>
      <c r="C76" s="31" t="inlineStr">
        <is>
          <t>JUAN JIMENEZ, SRL</t>
        </is>
      </c>
      <c r="D76" s="11" t="inlineStr">
        <is>
          <t>FU0001</t>
        </is>
      </c>
      <c r="E76" s="31" t="inlineStr">
        <is>
          <t>FULVIGIN</t>
        </is>
      </c>
      <c r="F76" s="12" t="n">
        <v>0</v>
      </c>
      <c r="G76" s="13" t="n">
        <v>0</v>
      </c>
      <c r="H76" s="12">
        <f>ABS(G76-F76)</f>
        <v/>
      </c>
      <c r="I76" s="32">
        <f>IF(F76&gt;0, G76/F76, IF(G76&gt;0, 1.0, 0.0))</f>
        <v/>
      </c>
      <c r="J76" s="33" t="inlineStr"/>
      <c r="K76" s="34" t="n">
        <v>0</v>
      </c>
      <c r="L76" s="35" t="n">
        <v>0</v>
      </c>
      <c r="M76" s="34" t="n">
        <v>500</v>
      </c>
      <c r="N76" s="35" t="n">
        <v>500</v>
      </c>
      <c r="O76" s="34" t="n">
        <v>0</v>
      </c>
      <c r="P76" s="35" t="n">
        <v>0</v>
      </c>
      <c r="Q76" s="12">
        <f>K76+M76+O76</f>
        <v/>
      </c>
      <c r="R76" s="13">
        <f>L76+N76+P76</f>
        <v/>
      </c>
      <c r="S76" s="36">
        <f>R76-Q76</f>
        <v/>
      </c>
      <c r="T76" s="37" t="inlineStr"/>
    </row>
    <row r="77" ht="20" customHeight="1">
      <c r="B77" s="11" t="inlineStr">
        <is>
          <t>DOMINICANA, REPÚBLICA</t>
        </is>
      </c>
      <c r="C77" s="31" t="inlineStr">
        <is>
          <t>JUAN JIMENEZ, SRL</t>
        </is>
      </c>
      <c r="D77" s="11" t="inlineStr">
        <is>
          <t>LP0001</t>
        </is>
      </c>
      <c r="E77" s="31" t="inlineStr">
        <is>
          <t>LAVAPLANT GRANEL</t>
        </is>
      </c>
      <c r="F77" s="12" t="n">
        <v>0</v>
      </c>
      <c r="G77" s="13" t="n">
        <v>0</v>
      </c>
      <c r="H77" s="12">
        <f>ABS(G77-F77)</f>
        <v/>
      </c>
      <c r="I77" s="32">
        <f>IF(F77&gt;0, G77/F77, IF(G77&gt;0, 1.0, 0.0))</f>
        <v/>
      </c>
      <c r="J77" s="33" t="inlineStr"/>
      <c r="K77" s="34" t="n">
        <v>0</v>
      </c>
      <c r="L77" s="35" t="n">
        <v>0</v>
      </c>
      <c r="M77" s="34" t="n">
        <v>2000</v>
      </c>
      <c r="N77" s="35" t="n">
        <v>2000</v>
      </c>
      <c r="O77" s="34" t="n">
        <v>0</v>
      </c>
      <c r="P77" s="35" t="n">
        <v>0</v>
      </c>
      <c r="Q77" s="12">
        <f>K77+M77+O77</f>
        <v/>
      </c>
      <c r="R77" s="13">
        <f>L77+N77+P77</f>
        <v/>
      </c>
      <c r="S77" s="36">
        <f>R77-Q77</f>
        <v/>
      </c>
      <c r="T77" s="37" t="inlineStr"/>
    </row>
    <row r="78" ht="20" customHeight="1">
      <c r="B78" s="11" t="inlineStr">
        <is>
          <t>DOMINICANA, REPÚBLICA</t>
        </is>
      </c>
      <c r="C78" s="31" t="inlineStr">
        <is>
          <t>JUAN JIMENEZ, SRL</t>
        </is>
      </c>
      <c r="D78" s="11" t="inlineStr">
        <is>
          <t>LP0005</t>
        </is>
      </c>
      <c r="E78" s="31" t="inlineStr">
        <is>
          <t>LAVAPLANT, 5 L</t>
        </is>
      </c>
      <c r="F78" s="12" t="n">
        <v>0</v>
      </c>
      <c r="G78" s="13" t="n">
        <v>0</v>
      </c>
      <c r="H78" s="12">
        <f>ABS(G78-F78)</f>
        <v/>
      </c>
      <c r="I78" s="32">
        <f>IF(F78&gt;0, G78/F78, IF(G78&gt;0, 1.0, 0.0))</f>
        <v/>
      </c>
      <c r="J78" s="33" t="inlineStr"/>
      <c r="K78" s="34" t="n">
        <v>0</v>
      </c>
      <c r="L78" s="35" t="n">
        <v>0</v>
      </c>
      <c r="M78" s="34" t="n">
        <v>500</v>
      </c>
      <c r="N78" s="35" t="n">
        <v>500</v>
      </c>
      <c r="O78" s="34" t="n">
        <v>0</v>
      </c>
      <c r="P78" s="35" t="n">
        <v>0</v>
      </c>
      <c r="Q78" s="12">
        <f>K78+M78+O78</f>
        <v/>
      </c>
      <c r="R78" s="13">
        <f>L78+N78+P78</f>
        <v/>
      </c>
      <c r="S78" s="36">
        <f>R78-Q78</f>
        <v/>
      </c>
      <c r="T78" s="37" t="inlineStr"/>
    </row>
    <row r="79" ht="20" customHeight="1">
      <c r="B79" s="11" t="inlineStr">
        <is>
          <t>DOMINICANA, REPÚBLICA</t>
        </is>
      </c>
      <c r="C79" s="31" t="inlineStr">
        <is>
          <t>JUAN JIMENEZ, SRL</t>
        </is>
      </c>
      <c r="D79" s="11" t="inlineStr">
        <is>
          <t>MPH0001</t>
        </is>
      </c>
      <c r="E79" s="31" t="inlineStr">
        <is>
          <t>MOJALINE</t>
        </is>
      </c>
      <c r="F79" s="12" t="n">
        <v>0</v>
      </c>
      <c r="G79" s="13" t="n">
        <v>0</v>
      </c>
      <c r="H79" s="12">
        <f>ABS(G79-F79)</f>
        <v/>
      </c>
      <c r="I79" s="32">
        <f>IF(F79&gt;0, G79/F79, IF(G79&gt;0, 1.0, 0.0))</f>
        <v/>
      </c>
      <c r="J79" s="33" t="inlineStr"/>
      <c r="K79" s="34" t="n">
        <v>0</v>
      </c>
      <c r="L79" s="35" t="n">
        <v>0</v>
      </c>
      <c r="M79" s="34" t="n">
        <v>500</v>
      </c>
      <c r="N79" s="35" t="n">
        <v>500</v>
      </c>
      <c r="O79" s="34" t="n">
        <v>0</v>
      </c>
      <c r="P79" s="35" t="n">
        <v>0</v>
      </c>
      <c r="Q79" s="12">
        <f>K79+M79+O79</f>
        <v/>
      </c>
      <c r="R79" s="13">
        <f>L79+N79+P79</f>
        <v/>
      </c>
      <c r="S79" s="36">
        <f>R79-Q79</f>
        <v/>
      </c>
      <c r="T79" s="37" t="inlineStr"/>
    </row>
    <row r="80" ht="20" customHeight="1">
      <c r="B80" s="11" t="inlineStr">
        <is>
          <t>DOMINICANA, REPÚBLICA</t>
        </is>
      </c>
      <c r="C80" s="31" t="inlineStr">
        <is>
          <t>JUAN JIMENEZ, SRL</t>
        </is>
      </c>
      <c r="D80" s="11" t="inlineStr">
        <is>
          <t>MPH0005</t>
        </is>
      </c>
      <c r="E80" s="31" t="inlineStr">
        <is>
          <t>MOJALINE NL, 5 L</t>
        </is>
      </c>
      <c r="F80" s="12" t="n">
        <v>0</v>
      </c>
      <c r="G80" s="13" t="n">
        <v>0</v>
      </c>
      <c r="H80" s="12">
        <f>ABS(G80-F80)</f>
        <v/>
      </c>
      <c r="I80" s="32">
        <f>IF(F80&gt;0, G80/F80, IF(G80&gt;0, 1.0, 0.0))</f>
        <v/>
      </c>
      <c r="J80" s="33" t="inlineStr"/>
      <c r="K80" s="34" t="n">
        <v>0</v>
      </c>
      <c r="L80" s="35" t="n">
        <v>0</v>
      </c>
      <c r="M80" s="34" t="n">
        <v>300</v>
      </c>
      <c r="N80" s="35" t="n">
        <v>300</v>
      </c>
      <c r="O80" s="34" t="n">
        <v>0</v>
      </c>
      <c r="P80" s="35" t="n">
        <v>0</v>
      </c>
      <c r="Q80" s="12">
        <f>K80+M80+O80</f>
        <v/>
      </c>
      <c r="R80" s="13">
        <f>L80+N80+P80</f>
        <v/>
      </c>
      <c r="S80" s="36">
        <f>R80-Q80</f>
        <v/>
      </c>
      <c r="T80" s="37" t="inlineStr"/>
    </row>
    <row r="81" ht="20" customHeight="1">
      <c r="B81" s="11" t="inlineStr">
        <is>
          <t>DOMINICANA, REPÚBLICA</t>
        </is>
      </c>
      <c r="C81" s="31" t="inlineStr">
        <is>
          <t>JUAN JIMENEZ, SRL</t>
        </is>
      </c>
      <c r="D81" s="11" t="inlineStr">
        <is>
          <t>PT0001</t>
        </is>
      </c>
      <c r="E81" s="31" t="inlineStr">
        <is>
          <t>AGROPOTASION</t>
        </is>
      </c>
      <c r="F81" s="12" t="n">
        <v>0</v>
      </c>
      <c r="G81" s="13" t="n">
        <v>0</v>
      </c>
      <c r="H81" s="12">
        <f>ABS(G81-F81)</f>
        <v/>
      </c>
      <c r="I81" s="32">
        <f>IF(F81&gt;0, G81/F81, IF(G81&gt;0, 1.0, 0.0))</f>
        <v/>
      </c>
      <c r="J81" s="33" t="inlineStr"/>
      <c r="K81" s="34" t="n">
        <v>0</v>
      </c>
      <c r="L81" s="35" t="n">
        <v>0</v>
      </c>
      <c r="M81" s="34" t="n">
        <v>2000</v>
      </c>
      <c r="N81" s="35" t="n">
        <v>2000</v>
      </c>
      <c r="O81" s="34" t="n">
        <v>0</v>
      </c>
      <c r="P81" s="35" t="n">
        <v>0</v>
      </c>
      <c r="Q81" s="12">
        <f>K81+M81+O81</f>
        <v/>
      </c>
      <c r="R81" s="13">
        <f>L81+N81+P81</f>
        <v/>
      </c>
      <c r="S81" s="36">
        <f>R81-Q81</f>
        <v/>
      </c>
      <c r="T81" s="37" t="inlineStr"/>
    </row>
    <row r="82" ht="20" customHeight="1">
      <c r="B82" s="11" t="inlineStr">
        <is>
          <t>DOMINICANA, REPÚBLICA</t>
        </is>
      </c>
      <c r="C82" s="31" t="inlineStr">
        <is>
          <t>JUAN JIMENEZ, SRL</t>
        </is>
      </c>
      <c r="D82" s="11" t="inlineStr">
        <is>
          <t>PT0005</t>
        </is>
      </c>
      <c r="E82" s="31" t="inlineStr">
        <is>
          <t>AGROPOTASION, 5 L</t>
        </is>
      </c>
      <c r="F82" s="12" t="n">
        <v>0</v>
      </c>
      <c r="G82" s="13" t="n">
        <v>0</v>
      </c>
      <c r="H82" s="12">
        <f>ABS(G82-F82)</f>
        <v/>
      </c>
      <c r="I82" s="32">
        <f>IF(F82&gt;0, G82/F82, IF(G82&gt;0, 1.0, 0.0))</f>
        <v/>
      </c>
      <c r="J82" s="33" t="inlineStr"/>
      <c r="K82" s="34" t="n">
        <v>0</v>
      </c>
      <c r="L82" s="35" t="n">
        <v>0</v>
      </c>
      <c r="M82" s="34" t="n">
        <v>1000</v>
      </c>
      <c r="N82" s="35" t="n">
        <v>1000</v>
      </c>
      <c r="O82" s="34" t="n">
        <v>0</v>
      </c>
      <c r="P82" s="35" t="n">
        <v>0</v>
      </c>
      <c r="Q82" s="12">
        <f>K82+M82+O82</f>
        <v/>
      </c>
      <c r="R82" s="13">
        <f>L82+N82+P82</f>
        <v/>
      </c>
      <c r="S82" s="36">
        <f>R82-Q82</f>
        <v/>
      </c>
      <c r="T82" s="37" t="inlineStr"/>
    </row>
    <row r="83" ht="20" customHeight="1">
      <c r="B83" s="11" t="inlineStr">
        <is>
          <t>DOMINICANA, REPÚBLICA</t>
        </is>
      </c>
      <c r="C83" s="31" t="inlineStr">
        <is>
          <t>JUAN JIMENEZ, SRL</t>
        </is>
      </c>
      <c r="D83" s="11" t="inlineStr">
        <is>
          <t>SPCE2B0001</t>
        </is>
      </c>
      <c r="E83" s="31" t="inlineStr">
        <is>
          <t>SPRINTENE</t>
        </is>
      </c>
      <c r="F83" s="12" t="n">
        <v>0</v>
      </c>
      <c r="G83" s="13" t="n">
        <v>0</v>
      </c>
      <c r="H83" s="12">
        <f>ABS(G83-F83)</f>
        <v/>
      </c>
      <c r="I83" s="32">
        <f>IF(F83&gt;0, G83/F83, IF(G83&gt;0, 1.0, 0.0))</f>
        <v/>
      </c>
      <c r="J83" s="33" t="inlineStr"/>
      <c r="K83" s="34" t="n">
        <v>0</v>
      </c>
      <c r="L83" s="35" t="n">
        <v>0</v>
      </c>
      <c r="M83" s="34" t="n">
        <v>360</v>
      </c>
      <c r="N83" s="35" t="n">
        <v>360</v>
      </c>
      <c r="O83" s="34" t="n">
        <v>0</v>
      </c>
      <c r="P83" s="35" t="n">
        <v>0</v>
      </c>
      <c r="Q83" s="12">
        <f>K83+M83+O83</f>
        <v/>
      </c>
      <c r="R83" s="13">
        <f>L83+N83+P83</f>
        <v/>
      </c>
      <c r="S83" s="36">
        <f>R83-Q83</f>
        <v/>
      </c>
      <c r="T83" s="37" t="inlineStr"/>
    </row>
    <row r="84" ht="20" customHeight="1">
      <c r="B84" s="11" t="inlineStr">
        <is>
          <t>DOMINICANA, REPÚBLICA</t>
        </is>
      </c>
      <c r="C84" s="31" t="inlineStr">
        <is>
          <t>JUAN JIMENEZ, SRL</t>
        </is>
      </c>
      <c r="D84" s="11" t="inlineStr">
        <is>
          <t>SS0001</t>
        </is>
      </c>
      <c r="E84" s="31" t="inlineStr">
        <is>
          <t>SAL-WAX</t>
        </is>
      </c>
      <c r="F84" s="12" t="n">
        <v>0</v>
      </c>
      <c r="G84" s="13" t="n">
        <v>0</v>
      </c>
      <c r="H84" s="12">
        <f>ABS(G84-F84)</f>
        <v/>
      </c>
      <c r="I84" s="32">
        <f>IF(F84&gt;0, G84/F84, IF(G84&gt;0, 1.0, 0.0))</f>
        <v/>
      </c>
      <c r="J84" s="33" t="inlineStr"/>
      <c r="K84" s="34" t="n">
        <v>0</v>
      </c>
      <c r="L84" s="35" t="n">
        <v>0</v>
      </c>
      <c r="M84" s="34" t="n">
        <v>640</v>
      </c>
      <c r="N84" s="35" t="n">
        <v>640</v>
      </c>
      <c r="O84" s="34" t="n">
        <v>0</v>
      </c>
      <c r="P84" s="35" t="n">
        <v>0</v>
      </c>
      <c r="Q84" s="12">
        <f>K84+M84+O84</f>
        <v/>
      </c>
      <c r="R84" s="13">
        <f>L84+N84+P84</f>
        <v/>
      </c>
      <c r="S84" s="36">
        <f>R84-Q84</f>
        <v/>
      </c>
      <c r="T84" s="37" t="inlineStr"/>
    </row>
    <row r="85" ht="20" customHeight="1">
      <c r="B85" s="11" t="inlineStr">
        <is>
          <t>DOMINICANA, REPÚBLICA</t>
        </is>
      </c>
      <c r="C85" s="31" t="inlineStr">
        <is>
          <t>JUAN JIMENEZ, SRL</t>
        </is>
      </c>
      <c r="D85" s="11" t="inlineStr">
        <is>
          <t>START20001</t>
        </is>
      </c>
      <c r="E85" s="31" t="inlineStr">
        <is>
          <t>RADISOL</t>
        </is>
      </c>
      <c r="F85" s="12" t="n">
        <v>0</v>
      </c>
      <c r="G85" s="13" t="n">
        <v>0</v>
      </c>
      <c r="H85" s="12">
        <f>ABS(G85-F85)</f>
        <v/>
      </c>
      <c r="I85" s="32">
        <f>IF(F85&gt;0, G85/F85, IF(G85&gt;0, 1.0, 0.0))</f>
        <v/>
      </c>
      <c r="J85" s="33" t="inlineStr"/>
      <c r="K85" s="34" t="n">
        <v>0</v>
      </c>
      <c r="L85" s="35" t="n">
        <v>0</v>
      </c>
      <c r="M85" s="34" t="n">
        <v>2000</v>
      </c>
      <c r="N85" s="35" t="n">
        <v>2000</v>
      </c>
      <c r="O85" s="34" t="n">
        <v>0</v>
      </c>
      <c r="P85" s="35" t="n">
        <v>0</v>
      </c>
      <c r="Q85" s="12">
        <f>K85+M85+O85</f>
        <v/>
      </c>
      <c r="R85" s="13">
        <f>L85+N85+P85</f>
        <v/>
      </c>
      <c r="S85" s="36">
        <f>R85-Q85</f>
        <v/>
      </c>
      <c r="T85" s="37" t="inlineStr"/>
    </row>
    <row r="86" ht="20" customHeight="1">
      <c r="B86" s="11" t="inlineStr">
        <is>
          <t>NETHERLANS</t>
        </is>
      </c>
      <c r="C86" s="31" t="inlineStr">
        <is>
          <t>LEKKERBIO B.V.</t>
        </is>
      </c>
      <c r="D86" s="11" t="inlineStr">
        <is>
          <t>AGXK0020</t>
        </is>
      </c>
      <c r="E86" s="31" t="inlineStr">
        <is>
          <t>AGROXILATO-K</t>
        </is>
      </c>
      <c r="F86" s="12" t="n">
        <v>0</v>
      </c>
      <c r="G86" s="13" t="n">
        <v>0</v>
      </c>
      <c r="H86" s="12">
        <f>ABS(G86-F86)</f>
        <v/>
      </c>
      <c r="I86" s="32">
        <f>IF(F86&gt;0, G86/F86, IF(G86&gt;0, 1.0, 0.0))</f>
        <v/>
      </c>
      <c r="J86" s="33" t="inlineStr"/>
      <c r="K86" s="34" t="n">
        <v>9600</v>
      </c>
      <c r="L86" s="35" t="n">
        <v>9600</v>
      </c>
      <c r="M86" s="34" t="n">
        <v>16800</v>
      </c>
      <c r="N86" s="35" t="n">
        <v>16800</v>
      </c>
      <c r="O86" s="34" t="n">
        <v>0</v>
      </c>
      <c r="P86" s="35" t="n">
        <v>0</v>
      </c>
      <c r="Q86" s="12">
        <f>K86+M86+O86</f>
        <v/>
      </c>
      <c r="R86" s="13">
        <f>L86+N86+P86</f>
        <v/>
      </c>
      <c r="S86" s="36">
        <f>R86-Q86</f>
        <v/>
      </c>
      <c r="T86" s="37" t="inlineStr"/>
    </row>
    <row r="87" ht="20" customHeight="1">
      <c r="B87" s="11" t="inlineStr">
        <is>
          <t>NETHERLANS</t>
        </is>
      </c>
      <c r="C87" s="31" t="inlineStr">
        <is>
          <t>LEKKERBIO B.V.</t>
        </is>
      </c>
      <c r="D87" s="11" t="inlineStr">
        <is>
          <t>AO0020</t>
        </is>
      </c>
      <c r="E87" s="31" t="inlineStr">
        <is>
          <t>ALCAPLANT NEW</t>
        </is>
      </c>
      <c r="F87" s="12" t="n">
        <v>44000</v>
      </c>
      <c r="G87" s="13" t="n">
        <v>0</v>
      </c>
      <c r="H87" s="12">
        <f>ABS(G87-F87)</f>
        <v/>
      </c>
      <c r="I87" s="32">
        <f>IF(F87&gt;0, G87/F87, IF(G87&gt;0, 1.0, 0.0))</f>
        <v/>
      </c>
      <c r="J87" s="33" t="inlineStr"/>
      <c r="K87" s="34" t="n">
        <v>22000</v>
      </c>
      <c r="L87" s="35" t="n">
        <v>22000</v>
      </c>
      <c r="M87" s="34" t="n">
        <v>44000</v>
      </c>
      <c r="N87" s="35" t="n">
        <v>44000</v>
      </c>
      <c r="O87" s="34" t="n">
        <v>44000</v>
      </c>
      <c r="P87" s="35" t="n">
        <v>44000</v>
      </c>
      <c r="Q87" s="12">
        <f>K87+M87+O87</f>
        <v/>
      </c>
      <c r="R87" s="13">
        <f>L87+N87+P87</f>
        <v/>
      </c>
      <c r="S87" s="36">
        <f>R87-Q87</f>
        <v/>
      </c>
      <c r="T87" s="37" t="inlineStr"/>
    </row>
    <row r="88" ht="20" customHeight="1">
      <c r="B88" s="11" t="inlineStr">
        <is>
          <t>NETHERLANS</t>
        </is>
      </c>
      <c r="C88" s="31" t="inlineStr">
        <is>
          <t>LEKKERBIO B.V.</t>
        </is>
      </c>
      <c r="D88" s="11" t="inlineStr">
        <is>
          <t>SS0005</t>
        </is>
      </c>
      <c r="E88" s="31" t="inlineStr">
        <is>
          <t>SAL-WAX-Ca</t>
        </is>
      </c>
      <c r="F88" s="12" t="n">
        <v>0</v>
      </c>
      <c r="G88" s="13" t="n">
        <v>0</v>
      </c>
      <c r="H88" s="12">
        <f>ABS(G88-F88)</f>
        <v/>
      </c>
      <c r="I88" s="32">
        <f>IF(F88&gt;0, G88/F88, IF(G88&gt;0, 1.0, 0.0))</f>
        <v/>
      </c>
      <c r="J88" s="33" t="inlineStr"/>
      <c r="K88" s="34" t="n">
        <v>0</v>
      </c>
      <c r="L88" s="35" t="n">
        <v>0</v>
      </c>
      <c r="M88" s="34" t="n">
        <v>4000</v>
      </c>
      <c r="N88" s="35" t="n">
        <v>4000</v>
      </c>
      <c r="O88" s="34" t="n">
        <v>0</v>
      </c>
      <c r="P88" s="35" t="n">
        <v>0</v>
      </c>
      <c r="Q88" s="12">
        <f>K88+M88+O88</f>
        <v/>
      </c>
      <c r="R88" s="13">
        <f>L88+N88+P88</f>
        <v/>
      </c>
      <c r="S88" s="36">
        <f>R88-Q88</f>
        <v/>
      </c>
      <c r="T88" s="37" t="inlineStr"/>
    </row>
    <row r="89" ht="20" customHeight="1">
      <c r="B89" s="11" t="inlineStr">
        <is>
          <t>PANAMÁ</t>
        </is>
      </c>
      <c r="C89" s="31" t="inlineStr">
        <is>
          <t>SERVICIOS AGROPECUARIOS EL LLANO, S. A.</t>
        </is>
      </c>
      <c r="D89" s="11" t="inlineStr">
        <is>
          <t>AGXCR0001</t>
        </is>
      </c>
      <c r="E89" s="31" t="inlineStr">
        <is>
          <t>AGROXILATO-K  (0-5-20), 1 L</t>
        </is>
      </c>
      <c r="F89" s="12" t="n">
        <v>0</v>
      </c>
      <c r="G89" s="13" t="n">
        <v>0</v>
      </c>
      <c r="H89" s="12">
        <f>ABS(G89-F89)</f>
        <v/>
      </c>
      <c r="I89" s="32">
        <f>IF(F89&gt;0, G89/F89, IF(G89&gt;0, 1.0, 0.0))</f>
        <v/>
      </c>
      <c r="J89" s="33" t="inlineStr"/>
      <c r="K89" s="34" t="n">
        <v>0</v>
      </c>
      <c r="L89" s="35" t="n">
        <v>0</v>
      </c>
      <c r="M89" s="34" t="n">
        <v>1584</v>
      </c>
      <c r="N89" s="35" t="n">
        <v>1584</v>
      </c>
      <c r="O89" s="34" t="n">
        <v>0</v>
      </c>
      <c r="P89" s="35" t="n">
        <v>0</v>
      </c>
      <c r="Q89" s="12">
        <f>K89+M89+O89</f>
        <v/>
      </c>
      <c r="R89" s="13">
        <f>L89+N89+P89</f>
        <v/>
      </c>
      <c r="S89" s="36">
        <f>R89-Q89</f>
        <v/>
      </c>
      <c r="T89" s="37" t="inlineStr"/>
    </row>
    <row r="90" ht="20" customHeight="1">
      <c r="B90" s="11" t="inlineStr">
        <is>
          <t>PANAMÁ</t>
        </is>
      </c>
      <c r="C90" s="31" t="inlineStr">
        <is>
          <t>SERVICIOS AGROPECUARIOS EL LLANO, S. A.</t>
        </is>
      </c>
      <c r="D90" s="11" t="inlineStr">
        <is>
          <t>AGXCR0005</t>
        </is>
      </c>
      <c r="E90" s="31" t="inlineStr">
        <is>
          <t>AGROXILATO-K (0-5-20), 5 Lts.</t>
        </is>
      </c>
      <c r="F90" s="12" t="n">
        <v>0</v>
      </c>
      <c r="G90" s="13" t="n">
        <v>0</v>
      </c>
      <c r="H90" s="12">
        <f>ABS(G90-F90)</f>
        <v/>
      </c>
      <c r="I90" s="32">
        <f>IF(F90&gt;0, G90/F90, IF(G90&gt;0, 1.0, 0.0))</f>
        <v/>
      </c>
      <c r="J90" s="33" t="inlineStr"/>
      <c r="K90" s="34" t="n">
        <v>0</v>
      </c>
      <c r="L90" s="35" t="n">
        <v>0</v>
      </c>
      <c r="M90" s="34" t="n">
        <v>800</v>
      </c>
      <c r="N90" s="35" t="n">
        <v>800</v>
      </c>
      <c r="O90" s="34" t="n">
        <v>0</v>
      </c>
      <c r="P90" s="35" t="n">
        <v>0</v>
      </c>
      <c r="Q90" s="12">
        <f>K90+M90+O90</f>
        <v/>
      </c>
      <c r="R90" s="13">
        <f>L90+N90+P90</f>
        <v/>
      </c>
      <c r="S90" s="36">
        <f>R90-Q90</f>
        <v/>
      </c>
      <c r="T90" s="37" t="inlineStr"/>
    </row>
    <row r="91" ht="20" customHeight="1">
      <c r="B91" s="11" t="inlineStr">
        <is>
          <t>PANAMÁ</t>
        </is>
      </c>
      <c r="C91" s="31" t="inlineStr">
        <is>
          <t>SERVICIOS AGROPECUARIOS EL LLANO, S. A.</t>
        </is>
      </c>
      <c r="D91" s="11" t="inlineStr">
        <is>
          <t>AN0005</t>
        </is>
      </c>
      <c r="E91" s="31" t="inlineStr">
        <is>
          <t>ALCAPLANT</t>
        </is>
      </c>
      <c r="F91" s="12" t="n">
        <v>0</v>
      </c>
      <c r="G91" s="13" t="n">
        <v>0</v>
      </c>
      <c r="H91" s="12">
        <f>ABS(G91-F91)</f>
        <v/>
      </c>
      <c r="I91" s="32">
        <f>IF(F91&gt;0, G91/F91, IF(G91&gt;0, 1.0, 0.0))</f>
        <v/>
      </c>
      <c r="J91" s="33" t="inlineStr"/>
      <c r="K91" s="34" t="n">
        <v>0</v>
      </c>
      <c r="L91" s="35" t="n">
        <v>0</v>
      </c>
      <c r="M91" s="34" t="n">
        <v>6000</v>
      </c>
      <c r="N91" s="35" t="n">
        <v>6000</v>
      </c>
      <c r="O91" s="34" t="n">
        <v>0</v>
      </c>
      <c r="P91" s="35" t="n">
        <v>0</v>
      </c>
      <c r="Q91" s="12">
        <f>K91+M91+O91</f>
        <v/>
      </c>
      <c r="R91" s="13">
        <f>L91+N91+P91</f>
        <v/>
      </c>
      <c r="S91" s="36">
        <f>R91-Q91</f>
        <v/>
      </c>
      <c r="T91" s="37" t="inlineStr"/>
    </row>
    <row r="92" ht="20" customHeight="1">
      <c r="B92" s="11" t="inlineStr">
        <is>
          <t>PANAMÁ</t>
        </is>
      </c>
      <c r="C92" s="31" t="inlineStr">
        <is>
          <t>SERVICIOS AGROPECUARIOS EL LLANO, S. A.</t>
        </is>
      </c>
      <c r="D92" s="11" t="inlineStr">
        <is>
          <t>CODIR0001</t>
        </is>
      </c>
      <c r="E92" s="31" t="inlineStr">
        <is>
          <t>CODIRESIST, 1 L</t>
        </is>
      </c>
      <c r="F92" s="12" t="n">
        <v>0</v>
      </c>
      <c r="G92" s="13" t="n">
        <v>0</v>
      </c>
      <c r="H92" s="12">
        <f>ABS(G92-F92)</f>
        <v/>
      </c>
      <c r="I92" s="32">
        <f>IF(F92&gt;0, G92/F92, IF(G92&gt;0, 1.0, 0.0))</f>
        <v/>
      </c>
      <c r="J92" s="33" t="inlineStr"/>
      <c r="K92" s="34" t="n">
        <v>0</v>
      </c>
      <c r="L92" s="35" t="n">
        <v>0</v>
      </c>
      <c r="M92" s="34" t="n">
        <v>1584</v>
      </c>
      <c r="N92" s="35" t="n">
        <v>1584</v>
      </c>
      <c r="O92" s="34" t="n">
        <v>0</v>
      </c>
      <c r="P92" s="35" t="n">
        <v>0</v>
      </c>
      <c r="Q92" s="12">
        <f>K92+M92+O92</f>
        <v/>
      </c>
      <c r="R92" s="13">
        <f>L92+N92+P92</f>
        <v/>
      </c>
      <c r="S92" s="36">
        <f>R92-Q92</f>
        <v/>
      </c>
      <c r="T92" s="37" t="inlineStr"/>
    </row>
    <row r="93" ht="20" customHeight="1">
      <c r="B93" s="11" t="inlineStr">
        <is>
          <t>PANAMÁ</t>
        </is>
      </c>
      <c r="C93" s="31" t="inlineStr">
        <is>
          <t>SERVICIOS AGROPECUARIOS EL LLANO, S. A.</t>
        </is>
      </c>
      <c r="D93" s="11" t="inlineStr">
        <is>
          <t>CODIR0005</t>
        </is>
      </c>
      <c r="E93" s="31" t="inlineStr">
        <is>
          <t>CODIRESIST, 5 L</t>
        </is>
      </c>
      <c r="F93" s="12" t="n">
        <v>0</v>
      </c>
      <c r="G93" s="13" t="n">
        <v>0</v>
      </c>
      <c r="H93" s="12">
        <f>ABS(G93-F93)</f>
        <v/>
      </c>
      <c r="I93" s="32">
        <f>IF(F93&gt;0, G93/F93, IF(G93&gt;0, 1.0, 0.0))</f>
        <v/>
      </c>
      <c r="J93" s="33" t="inlineStr"/>
      <c r="K93" s="34" t="n">
        <v>0</v>
      </c>
      <c r="L93" s="35" t="n">
        <v>0</v>
      </c>
      <c r="M93" s="34" t="n">
        <v>800</v>
      </c>
      <c r="N93" s="35" t="n">
        <v>800</v>
      </c>
      <c r="O93" s="34" t="n">
        <v>0</v>
      </c>
      <c r="P93" s="35" t="n">
        <v>0</v>
      </c>
      <c r="Q93" s="12">
        <f>K93+M93+O93</f>
        <v/>
      </c>
      <c r="R93" s="13">
        <f>L93+N93+P93</f>
        <v/>
      </c>
      <c r="S93" s="36">
        <f>R93-Q93</f>
        <v/>
      </c>
      <c r="T93" s="37" t="inlineStr"/>
    </row>
    <row r="94" ht="20" customHeight="1">
      <c r="B94" s="11" t="inlineStr">
        <is>
          <t>PANAMÁ</t>
        </is>
      </c>
      <c r="C94" s="31" t="inlineStr">
        <is>
          <t>SERVICIOS AGROPECUARIOS EL LLANO, S. A.</t>
        </is>
      </c>
      <c r="D94" s="11" t="inlineStr">
        <is>
          <t>FLORCR0001</t>
        </is>
      </c>
      <c r="E94" s="31" t="inlineStr">
        <is>
          <t>FLORAMEC</t>
        </is>
      </c>
      <c r="F94" s="12" t="n">
        <v>0</v>
      </c>
      <c r="G94" s="13" t="n">
        <v>0</v>
      </c>
      <c r="H94" s="12">
        <f>ABS(G94-F94)</f>
        <v/>
      </c>
      <c r="I94" s="32">
        <f>IF(F94&gt;0, G94/F94, IF(G94&gt;0, 1.0, 0.0))</f>
        <v/>
      </c>
      <c r="J94" s="33" t="inlineStr"/>
      <c r="K94" s="34" t="n">
        <v>0</v>
      </c>
      <c r="L94" s="35" t="n">
        <v>0</v>
      </c>
      <c r="M94" s="34" t="n">
        <v>1584</v>
      </c>
      <c r="N94" s="35" t="n">
        <v>1584</v>
      </c>
      <c r="O94" s="34" t="n">
        <v>0</v>
      </c>
      <c r="P94" s="35" t="n">
        <v>0</v>
      </c>
      <c r="Q94" s="12">
        <f>K94+M94+O94</f>
        <v/>
      </c>
      <c r="R94" s="13">
        <f>L94+N94+P94</f>
        <v/>
      </c>
      <c r="S94" s="36">
        <f>R94-Q94</f>
        <v/>
      </c>
      <c r="T94" s="37" t="inlineStr"/>
    </row>
    <row r="95" ht="20" customHeight="1">
      <c r="B95" s="11" t="inlineStr">
        <is>
          <t>PANAMÁ</t>
        </is>
      </c>
      <c r="C95" s="31" t="inlineStr">
        <is>
          <t>SERVICIOS AGROPECUARIOS EL LLANO, S. A.</t>
        </is>
      </c>
      <c r="D95" s="11" t="inlineStr">
        <is>
          <t>FLORCR0005</t>
        </is>
      </c>
      <c r="E95" s="31" t="inlineStr">
        <is>
          <t>FLORAMEC</t>
        </is>
      </c>
      <c r="F95" s="12" t="n">
        <v>0</v>
      </c>
      <c r="G95" s="13" t="n">
        <v>0</v>
      </c>
      <c r="H95" s="12">
        <f>ABS(G95-F95)</f>
        <v/>
      </c>
      <c r="I95" s="32">
        <f>IF(F95&gt;0, G95/F95, IF(G95&gt;0, 1.0, 0.0))</f>
        <v/>
      </c>
      <c r="J95" s="33" t="inlineStr"/>
      <c r="K95" s="34" t="n">
        <v>0</v>
      </c>
      <c r="L95" s="35" t="n">
        <v>0</v>
      </c>
      <c r="M95" s="34" t="n">
        <v>400</v>
      </c>
      <c r="N95" s="35" t="n">
        <v>400</v>
      </c>
      <c r="O95" s="34" t="n">
        <v>0</v>
      </c>
      <c r="P95" s="35" t="n">
        <v>0</v>
      </c>
      <c r="Q95" s="12">
        <f>K95+M95+O95</f>
        <v/>
      </c>
      <c r="R95" s="13">
        <f>L95+N95+P95</f>
        <v/>
      </c>
      <c r="S95" s="36">
        <f>R95-Q95</f>
        <v/>
      </c>
      <c r="T95" s="37" t="inlineStr"/>
    </row>
    <row r="96" ht="20" customHeight="1">
      <c r="B96" s="11" t="inlineStr">
        <is>
          <t>PANAMÁ</t>
        </is>
      </c>
      <c r="C96" s="31" t="inlineStr">
        <is>
          <t>SERVICIOS AGROPECUARIOS EL LLANO, S. A.</t>
        </is>
      </c>
      <c r="D96" s="11" t="inlineStr">
        <is>
          <t>G0001</t>
        </is>
      </c>
      <c r="E96" s="31" t="inlineStr">
        <is>
          <t>TRANSLOCADOR</t>
        </is>
      </c>
      <c r="F96" s="12" t="n">
        <v>0</v>
      </c>
      <c r="G96" s="13" t="n">
        <v>0</v>
      </c>
      <c r="H96" s="12">
        <f>ABS(G96-F96)</f>
        <v/>
      </c>
      <c r="I96" s="32">
        <f>IF(F96&gt;0, G96/F96, IF(G96&gt;0, 1.0, 0.0))</f>
        <v/>
      </c>
      <c r="J96" s="33" t="inlineStr"/>
      <c r="K96" s="34" t="n">
        <v>0</v>
      </c>
      <c r="L96" s="35" t="n">
        <v>0</v>
      </c>
      <c r="M96" s="34" t="n">
        <v>792</v>
      </c>
      <c r="N96" s="35" t="n">
        <v>792</v>
      </c>
      <c r="O96" s="34" t="n">
        <v>0</v>
      </c>
      <c r="P96" s="35" t="n">
        <v>0</v>
      </c>
      <c r="Q96" s="12">
        <f>K96+M96+O96</f>
        <v/>
      </c>
      <c r="R96" s="13">
        <f>L96+N96+P96</f>
        <v/>
      </c>
      <c r="S96" s="36">
        <f>R96-Q96</f>
        <v/>
      </c>
      <c r="T96" s="37" t="inlineStr"/>
    </row>
    <row r="97" ht="20" customHeight="1">
      <c r="B97" s="11" t="inlineStr">
        <is>
          <t>PANAMÁ</t>
        </is>
      </c>
      <c r="C97" s="31" t="inlineStr">
        <is>
          <t>SERVICIOS AGROPECUARIOS EL LLANO, S. A.</t>
        </is>
      </c>
      <c r="D97" s="11" t="inlineStr">
        <is>
          <t>G0005</t>
        </is>
      </c>
      <c r="E97" s="31" t="inlineStr">
        <is>
          <t>TRANSLOCADOR</t>
        </is>
      </c>
      <c r="F97" s="12" t="n">
        <v>0</v>
      </c>
      <c r="G97" s="13" t="n">
        <v>0</v>
      </c>
      <c r="H97" s="12">
        <f>ABS(G97-F97)</f>
        <v/>
      </c>
      <c r="I97" s="32">
        <f>IF(F97&gt;0, G97/F97, IF(G97&gt;0, 1.0, 0.0))</f>
        <v/>
      </c>
      <c r="J97" s="33" t="inlineStr"/>
      <c r="K97" s="34" t="n">
        <v>0</v>
      </c>
      <c r="L97" s="35" t="n">
        <v>0</v>
      </c>
      <c r="M97" s="34" t="n">
        <v>400</v>
      </c>
      <c r="N97" s="35" t="n">
        <v>400</v>
      </c>
      <c r="O97" s="34" t="n">
        <v>0</v>
      </c>
      <c r="P97" s="35" t="n">
        <v>0</v>
      </c>
      <c r="Q97" s="12">
        <f>K97+M97+O97</f>
        <v/>
      </c>
      <c r="R97" s="13">
        <f>L97+N97+P97</f>
        <v/>
      </c>
      <c r="S97" s="36">
        <f>R97-Q97</f>
        <v/>
      </c>
      <c r="T97" s="37" t="inlineStr"/>
    </row>
    <row r="98" ht="20" customHeight="1">
      <c r="B98" s="11" t="inlineStr">
        <is>
          <t>PANAMÁ</t>
        </is>
      </c>
      <c r="C98" s="31" t="inlineStr">
        <is>
          <t>SERVICIOS AGROPECUARIOS EL LLANO, S. A.</t>
        </is>
      </c>
      <c r="D98" s="11" t="inlineStr">
        <is>
          <t>PT0001</t>
        </is>
      </c>
      <c r="E98" s="31" t="inlineStr">
        <is>
          <t>POTASION PLUS</t>
        </is>
      </c>
      <c r="F98" s="12" t="n">
        <v>0</v>
      </c>
      <c r="G98" s="13" t="n">
        <v>0</v>
      </c>
      <c r="H98" s="12">
        <f>ABS(G98-F98)</f>
        <v/>
      </c>
      <c r="I98" s="32">
        <f>IF(F98&gt;0, G98/F98, IF(G98&gt;0, 1.0, 0.0))</f>
        <v/>
      </c>
      <c r="J98" s="33" t="inlineStr"/>
      <c r="K98" s="34" t="n">
        <v>0</v>
      </c>
      <c r="L98" s="35" t="n">
        <v>0</v>
      </c>
      <c r="M98" s="34" t="n">
        <v>528</v>
      </c>
      <c r="N98" s="35" t="n">
        <v>528</v>
      </c>
      <c r="O98" s="34" t="n">
        <v>0</v>
      </c>
      <c r="P98" s="35" t="n">
        <v>0</v>
      </c>
      <c r="Q98" s="12">
        <f>K98+M98+O98</f>
        <v/>
      </c>
      <c r="R98" s="13">
        <f>L98+N98+P98</f>
        <v/>
      </c>
      <c r="S98" s="36">
        <f>R98-Q98</f>
        <v/>
      </c>
      <c r="T98" s="37" t="inlineStr"/>
    </row>
    <row r="99" ht="20" customHeight="1">
      <c r="B99" s="11" t="inlineStr">
        <is>
          <t>PANAMÁ</t>
        </is>
      </c>
      <c r="C99" s="31" t="inlineStr">
        <is>
          <t>SERVICIOS AGROPECUARIOS EL LLANO, S. A.</t>
        </is>
      </c>
      <c r="D99" s="11" t="inlineStr">
        <is>
          <t>SS0001</t>
        </is>
      </c>
      <c r="E99" s="31" t="inlineStr">
        <is>
          <t>SAL WAX MAX</t>
        </is>
      </c>
      <c r="F99" s="12" t="n">
        <v>0</v>
      </c>
      <c r="G99" s="13" t="n">
        <v>0</v>
      </c>
      <c r="H99" s="12">
        <f>ABS(G99-F99)</f>
        <v/>
      </c>
      <c r="I99" s="32">
        <f>IF(F99&gt;0, G99/F99, IF(G99&gt;0, 1.0, 0.0))</f>
        <v/>
      </c>
      <c r="J99" s="33" t="inlineStr"/>
      <c r="K99" s="34" t="n">
        <v>0</v>
      </c>
      <c r="L99" s="35" t="n">
        <v>0</v>
      </c>
      <c r="M99" s="34" t="n">
        <v>528</v>
      </c>
      <c r="N99" s="35" t="n">
        <v>528</v>
      </c>
      <c r="O99" s="34" t="n">
        <v>0</v>
      </c>
      <c r="P99" s="35" t="n">
        <v>0</v>
      </c>
      <c r="Q99" s="12">
        <f>K99+M99+O99</f>
        <v/>
      </c>
      <c r="R99" s="13">
        <f>L99+N99+P99</f>
        <v/>
      </c>
      <c r="S99" s="36">
        <f>R99-Q99</f>
        <v/>
      </c>
      <c r="T99" s="37" t="inlineStr"/>
    </row>
    <row r="100" ht="20" customHeight="1">
      <c r="B100" s="11" t="inlineStr">
        <is>
          <t>ESPAÑA</t>
        </is>
      </c>
      <c r="C100" s="31" t="inlineStr">
        <is>
          <t xml:space="preserve">SERVICIOS AGROPECUARIOS EL LLANO, S. A. </t>
        </is>
      </c>
      <c r="D100" s="11" t="inlineStr">
        <is>
          <t>A-500001</t>
        </is>
      </c>
      <c r="E100" s="31" t="inlineStr">
        <is>
          <t>CODIORGAN-A50, 1 KG</t>
        </is>
      </c>
      <c r="F100" s="12" t="n">
        <v>0</v>
      </c>
      <c r="G100" s="13" t="n">
        <v>368</v>
      </c>
      <c r="H100" s="12">
        <f>ABS(G100-F100)</f>
        <v/>
      </c>
      <c r="I100" s="32">
        <f>IF(F100&gt;0, G100/F100, IF(G100&gt;0, 1.0, 0.0))</f>
        <v/>
      </c>
      <c r="J100" s="33" t="inlineStr">
        <is>
          <t>Pedido extra no previsto</t>
        </is>
      </c>
      <c r="K100" s="34" t="n">
        <v>0</v>
      </c>
      <c r="L100" s="35" t="n">
        <v>0</v>
      </c>
      <c r="M100" s="34" t="n">
        <v>0</v>
      </c>
      <c r="N100" s="35" t="n">
        <v>0</v>
      </c>
      <c r="O100" s="34" t="n">
        <v>0</v>
      </c>
      <c r="P100" s="35" t="n">
        <v>0</v>
      </c>
      <c r="Q100" s="12">
        <f>K100+M100+O100</f>
        <v/>
      </c>
      <c r="R100" s="13">
        <f>L100+N100+P100</f>
        <v/>
      </c>
      <c r="S100" s="36">
        <f>R100-Q100</f>
        <v/>
      </c>
      <c r="T100" s="37" t="inlineStr"/>
    </row>
    <row r="101" ht="20" customHeight="1">
      <c r="B101" s="11" t="inlineStr">
        <is>
          <t>ESPAÑA</t>
        </is>
      </c>
      <c r="C101" s="31" t="inlineStr">
        <is>
          <t xml:space="preserve">SERVICIOS AGROPECUARIOS EL LLANO, S. A. </t>
        </is>
      </c>
      <c r="D101" s="11" t="inlineStr">
        <is>
          <t>AGXCR0001</t>
        </is>
      </c>
      <c r="E101" s="31" t="inlineStr">
        <is>
          <t>AGROXILATO-K, 1 L</t>
        </is>
      </c>
      <c r="F101" s="12" t="n">
        <v>0</v>
      </c>
      <c r="G101" s="13" t="n">
        <v>540</v>
      </c>
      <c r="H101" s="12">
        <f>ABS(G101-F101)</f>
        <v/>
      </c>
      <c r="I101" s="32">
        <f>IF(F101&gt;0, G101/F101, IF(G101&gt;0, 1.0, 0.0))</f>
        <v/>
      </c>
      <c r="J101" s="33" t="inlineStr">
        <is>
          <t>Pedido extra no previsto</t>
        </is>
      </c>
      <c r="K101" s="34" t="n">
        <v>0</v>
      </c>
      <c r="L101" s="35" t="n">
        <v>0</v>
      </c>
      <c r="M101" s="34" t="n">
        <v>0</v>
      </c>
      <c r="N101" s="35" t="n">
        <v>0</v>
      </c>
      <c r="O101" s="34" t="n">
        <v>0</v>
      </c>
      <c r="P101" s="35" t="n">
        <v>0</v>
      </c>
      <c r="Q101" s="12">
        <f>K101+M101+O101</f>
        <v/>
      </c>
      <c r="R101" s="13">
        <f>L101+N101+P101</f>
        <v/>
      </c>
      <c r="S101" s="36">
        <f>R101-Q101</f>
        <v/>
      </c>
      <c r="T101" s="37" t="inlineStr"/>
    </row>
    <row r="102" ht="20" customHeight="1">
      <c r="B102" s="11" t="inlineStr">
        <is>
          <t>ESPAÑA</t>
        </is>
      </c>
      <c r="C102" s="31" t="inlineStr">
        <is>
          <t xml:space="preserve">SERVICIOS AGROPECUARIOS EL LLANO, S. A. </t>
        </is>
      </c>
      <c r="D102" s="11" t="inlineStr">
        <is>
          <t>AGXCR0005</t>
        </is>
      </c>
      <c r="E102" s="31" t="inlineStr">
        <is>
          <t>AGROXILATO-K, 5 L</t>
        </is>
      </c>
      <c r="F102" s="12" t="n">
        <v>0</v>
      </c>
      <c r="G102" s="13" t="n">
        <v>300</v>
      </c>
      <c r="H102" s="12">
        <f>ABS(G102-F102)</f>
        <v/>
      </c>
      <c r="I102" s="32">
        <f>IF(F102&gt;0, G102/F102, IF(G102&gt;0, 1.0, 0.0))</f>
        <v/>
      </c>
      <c r="J102" s="33" t="inlineStr">
        <is>
          <t>Pedido extra no previsto</t>
        </is>
      </c>
      <c r="K102" s="34" t="n">
        <v>0</v>
      </c>
      <c r="L102" s="35" t="n">
        <v>0</v>
      </c>
      <c r="M102" s="34" t="n">
        <v>0</v>
      </c>
      <c r="N102" s="35" t="n">
        <v>0</v>
      </c>
      <c r="O102" s="34" t="n">
        <v>0</v>
      </c>
      <c r="P102" s="35" t="n">
        <v>0</v>
      </c>
      <c r="Q102" s="12">
        <f>K102+M102+O102</f>
        <v/>
      </c>
      <c r="R102" s="13">
        <f>L102+N102+P102</f>
        <v/>
      </c>
      <c r="S102" s="36">
        <f>R102-Q102</f>
        <v/>
      </c>
      <c r="T102" s="37" t="inlineStr"/>
    </row>
    <row r="103" ht="20" customHeight="1">
      <c r="B103" s="11" t="inlineStr">
        <is>
          <t>ESPAÑA</t>
        </is>
      </c>
      <c r="C103" s="31" t="inlineStr">
        <is>
          <t xml:space="preserve">SERVICIOS AGROPECUARIOS EL LLANO, S. A. </t>
        </is>
      </c>
      <c r="D103" s="11" t="inlineStr">
        <is>
          <t>AN0005</t>
        </is>
      </c>
      <c r="E103" s="31" t="inlineStr">
        <is>
          <t>ALCAPLANT, 5 KG</t>
        </is>
      </c>
      <c r="F103" s="12" t="n">
        <v>0</v>
      </c>
      <c r="G103" s="13" t="n">
        <v>7920</v>
      </c>
      <c r="H103" s="12">
        <f>ABS(G103-F103)</f>
        <v/>
      </c>
      <c r="I103" s="32">
        <f>IF(F103&gt;0, G103/F103, IF(G103&gt;0, 1.0, 0.0))</f>
        <v/>
      </c>
      <c r="J103" s="33" t="inlineStr">
        <is>
          <t>Pedido extra no previsto</t>
        </is>
      </c>
      <c r="K103" s="34" t="n">
        <v>0</v>
      </c>
      <c r="L103" s="35" t="n">
        <v>0</v>
      </c>
      <c r="M103" s="34" t="n">
        <v>0</v>
      </c>
      <c r="N103" s="35" t="n">
        <v>0</v>
      </c>
      <c r="O103" s="34" t="n">
        <v>0</v>
      </c>
      <c r="P103" s="35" t="n">
        <v>0</v>
      </c>
      <c r="Q103" s="12">
        <f>K103+M103+O103</f>
        <v/>
      </c>
      <c r="R103" s="13">
        <f>L103+N103+P103</f>
        <v/>
      </c>
      <c r="S103" s="36">
        <f>R103-Q103</f>
        <v/>
      </c>
      <c r="T103" s="37" t="inlineStr"/>
    </row>
    <row r="104" ht="20" customHeight="1">
      <c r="B104" s="11" t="inlineStr">
        <is>
          <t>ESPAÑA</t>
        </is>
      </c>
      <c r="C104" s="31" t="inlineStr">
        <is>
          <t xml:space="preserve">SERVICIOS AGROPECUARIOS EL LLANO, S. A. </t>
        </is>
      </c>
      <c r="D104" s="11" t="inlineStr">
        <is>
          <t>B0001</t>
        </is>
      </c>
      <c r="E104" s="31" t="inlineStr">
        <is>
          <t>FORTALEZA,1 L</t>
        </is>
      </c>
      <c r="F104" s="12" t="n">
        <v>0</v>
      </c>
      <c r="G104" s="13" t="n">
        <v>540</v>
      </c>
      <c r="H104" s="12">
        <f>ABS(G104-F104)</f>
        <v/>
      </c>
      <c r="I104" s="32">
        <f>IF(F104&gt;0, G104/F104, IF(G104&gt;0, 1.0, 0.0))</f>
        <v/>
      </c>
      <c r="J104" s="33" t="inlineStr">
        <is>
          <t>Pedido extra no previsto</t>
        </is>
      </c>
      <c r="K104" s="34" t="n">
        <v>0</v>
      </c>
      <c r="L104" s="35" t="n">
        <v>0</v>
      </c>
      <c r="M104" s="34" t="n">
        <v>0</v>
      </c>
      <c r="N104" s="35" t="n">
        <v>0</v>
      </c>
      <c r="O104" s="34" t="n">
        <v>0</v>
      </c>
      <c r="P104" s="35" t="n">
        <v>0</v>
      </c>
      <c r="Q104" s="12">
        <f>K104+M104+O104</f>
        <v/>
      </c>
      <c r="R104" s="13">
        <f>L104+N104+P104</f>
        <v/>
      </c>
      <c r="S104" s="36">
        <f>R104-Q104</f>
        <v/>
      </c>
      <c r="T104" s="37" t="inlineStr"/>
    </row>
    <row r="105" ht="20" customHeight="1">
      <c r="B105" s="11" t="inlineStr">
        <is>
          <t>ESPAÑA</t>
        </is>
      </c>
      <c r="C105" s="31" t="inlineStr">
        <is>
          <t xml:space="preserve">SERVICIOS AGROPECUARIOS EL LLANO, S. A. </t>
        </is>
      </c>
      <c r="D105" s="11" t="inlineStr">
        <is>
          <t>C-CU0001</t>
        </is>
      </c>
      <c r="E105" s="31" t="inlineStr">
        <is>
          <t>CODICOBRE, 1 L</t>
        </is>
      </c>
      <c r="F105" s="12" t="n">
        <v>0</v>
      </c>
      <c r="G105" s="13" t="n">
        <v>840</v>
      </c>
      <c r="H105" s="12">
        <f>ABS(G105-F105)</f>
        <v/>
      </c>
      <c r="I105" s="32">
        <f>IF(F105&gt;0, G105/F105, IF(G105&gt;0, 1.0, 0.0))</f>
        <v/>
      </c>
      <c r="J105" s="33" t="inlineStr">
        <is>
          <t>Pedido extra no previsto</t>
        </is>
      </c>
      <c r="K105" s="34" t="n">
        <v>0</v>
      </c>
      <c r="L105" s="35" t="n">
        <v>0</v>
      </c>
      <c r="M105" s="34" t="n">
        <v>0</v>
      </c>
      <c r="N105" s="35" t="n">
        <v>0</v>
      </c>
      <c r="O105" s="34" t="n">
        <v>0</v>
      </c>
      <c r="P105" s="35" t="n">
        <v>0</v>
      </c>
      <c r="Q105" s="12">
        <f>K105+M105+O105</f>
        <v/>
      </c>
      <c r="R105" s="13">
        <f>L105+N105+P105</f>
        <v/>
      </c>
      <c r="S105" s="36">
        <f>R105-Q105</f>
        <v/>
      </c>
      <c r="T105" s="37" t="inlineStr"/>
    </row>
    <row r="106" ht="20" customHeight="1">
      <c r="B106" s="11" t="inlineStr">
        <is>
          <t>ESPAÑA</t>
        </is>
      </c>
      <c r="C106" s="31" t="inlineStr">
        <is>
          <t xml:space="preserve">SERVICIOS AGROPECUARIOS EL LLANO, S. A. </t>
        </is>
      </c>
      <c r="D106" s="11" t="inlineStr">
        <is>
          <t>C-CU0005</t>
        </is>
      </c>
      <c r="E106" s="31" t="inlineStr">
        <is>
          <t>CODICOBRE, 5 L</t>
        </is>
      </c>
      <c r="F106" s="12" t="n">
        <v>0</v>
      </c>
      <c r="G106" s="13" t="n">
        <v>600</v>
      </c>
      <c r="H106" s="12">
        <f>ABS(G106-F106)</f>
        <v/>
      </c>
      <c r="I106" s="32">
        <f>IF(F106&gt;0, G106/F106, IF(G106&gt;0, 1.0, 0.0))</f>
        <v/>
      </c>
      <c r="J106" s="33" t="inlineStr">
        <is>
          <t>Pedido extra no previsto</t>
        </is>
      </c>
      <c r="K106" s="34" t="n">
        <v>0</v>
      </c>
      <c r="L106" s="35" t="n">
        <v>0</v>
      </c>
      <c r="M106" s="34" t="n">
        <v>0</v>
      </c>
      <c r="N106" s="35" t="n">
        <v>0</v>
      </c>
      <c r="O106" s="34" t="n">
        <v>0</v>
      </c>
      <c r="P106" s="35" t="n">
        <v>0</v>
      </c>
      <c r="Q106" s="12">
        <f>K106+M106+O106</f>
        <v/>
      </c>
      <c r="R106" s="13">
        <f>L106+N106+P106</f>
        <v/>
      </c>
      <c r="S106" s="36">
        <f>R106-Q106</f>
        <v/>
      </c>
      <c r="T106" s="37" t="inlineStr"/>
    </row>
    <row r="107" ht="20" customHeight="1">
      <c r="B107" s="11" t="inlineStr">
        <is>
          <t>ESPAÑA</t>
        </is>
      </c>
      <c r="C107" s="31" t="inlineStr">
        <is>
          <t xml:space="preserve">SERVICIOS AGROPECUARIOS EL LLANO, S. A. </t>
        </is>
      </c>
      <c r="D107" s="11" t="inlineStr">
        <is>
          <t>SERVFLETE</t>
        </is>
      </c>
      <c r="E107" s="31" t="inlineStr">
        <is>
          <t>FREIGHT</t>
        </is>
      </c>
      <c r="F107" s="12" t="n">
        <v>0</v>
      </c>
      <c r="G107" s="13" t="n">
        <v>1</v>
      </c>
      <c r="H107" s="12">
        <f>ABS(G107-F107)</f>
        <v/>
      </c>
      <c r="I107" s="32">
        <f>IF(F107&gt;0, G107/F107, IF(G107&gt;0, 1.0, 0.0))</f>
        <v/>
      </c>
      <c r="J107" s="33" t="inlineStr">
        <is>
          <t>Pedido extra no previsto</t>
        </is>
      </c>
      <c r="K107" s="34" t="n">
        <v>0</v>
      </c>
      <c r="L107" s="35" t="n">
        <v>0</v>
      </c>
      <c r="M107" s="34" t="n">
        <v>0</v>
      </c>
      <c r="N107" s="35" t="n">
        <v>0</v>
      </c>
      <c r="O107" s="34" t="n">
        <v>0</v>
      </c>
      <c r="P107" s="35" t="n">
        <v>0</v>
      </c>
      <c r="Q107" s="12">
        <f>K107+M107+O107</f>
        <v/>
      </c>
      <c r="R107" s="13">
        <f>L107+N107+P107</f>
        <v/>
      </c>
      <c r="S107" s="36">
        <f>R107-Q107</f>
        <v/>
      </c>
      <c r="T107" s="37" t="inlineStr"/>
    </row>
    <row r="108" ht="20" customHeight="1">
      <c r="B108" s="11" t="inlineStr">
        <is>
          <t>ESPAÑA</t>
        </is>
      </c>
      <c r="C108" s="31" t="inlineStr">
        <is>
          <t xml:space="preserve">SERVICIOS AGROPECUARIOS EL LLANO, S. A. </t>
        </is>
      </c>
      <c r="D108" s="11" t="inlineStr">
        <is>
          <t>SERVSEGURO</t>
        </is>
      </c>
      <c r="E108" s="31" t="inlineStr">
        <is>
          <t>INSURANCE</t>
        </is>
      </c>
      <c r="F108" s="12" t="n">
        <v>0</v>
      </c>
      <c r="G108" s="13" t="n">
        <v>1</v>
      </c>
      <c r="H108" s="12">
        <f>ABS(G108-F108)</f>
        <v/>
      </c>
      <c r="I108" s="32">
        <f>IF(F108&gt;0, G108/F108, IF(G108&gt;0, 1.0, 0.0))</f>
        <v/>
      </c>
      <c r="J108" s="33" t="inlineStr">
        <is>
          <t>Pedido extra no previsto</t>
        </is>
      </c>
      <c r="K108" s="34" t="n">
        <v>0</v>
      </c>
      <c r="L108" s="35" t="n">
        <v>0</v>
      </c>
      <c r="M108" s="34" t="n">
        <v>0</v>
      </c>
      <c r="N108" s="35" t="n">
        <v>0</v>
      </c>
      <c r="O108" s="34" t="n">
        <v>0</v>
      </c>
      <c r="P108" s="35" t="n">
        <v>0</v>
      </c>
      <c r="Q108" s="12">
        <f>K108+M108+O108</f>
        <v/>
      </c>
      <c r="R108" s="13">
        <f>L108+N108+P108</f>
        <v/>
      </c>
      <c r="S108" s="36">
        <f>R108-Q108</f>
        <v/>
      </c>
      <c r="T108" s="37" t="inlineStr"/>
    </row>
    <row r="109" ht="20" customHeight="1">
      <c r="B109" s="11" t="inlineStr">
        <is>
          <t>ESPAÑA</t>
        </is>
      </c>
      <c r="C109" s="31" t="inlineStr">
        <is>
          <t xml:space="preserve">SERVICIOS AGROPECUARIOS EL LLANO, S. A. </t>
        </is>
      </c>
      <c r="D109" s="11" t="inlineStr">
        <is>
          <t>SPCE0001</t>
        </is>
      </c>
      <c r="E109" s="31" t="inlineStr">
        <is>
          <t>SPRINTENE ABONO CE, 1 L</t>
        </is>
      </c>
      <c r="F109" s="12" t="n">
        <v>0</v>
      </c>
      <c r="G109" s="13" t="n">
        <v>180</v>
      </c>
      <c r="H109" s="12">
        <f>ABS(G109-F109)</f>
        <v/>
      </c>
      <c r="I109" s="32">
        <f>IF(F109&gt;0, G109/F109, IF(G109&gt;0, 1.0, 0.0))</f>
        <v/>
      </c>
      <c r="J109" s="33" t="inlineStr">
        <is>
          <t>Pedido extra no previsto</t>
        </is>
      </c>
      <c r="K109" s="34" t="n">
        <v>0</v>
      </c>
      <c r="L109" s="35" t="n">
        <v>0</v>
      </c>
      <c r="M109" s="34" t="n">
        <v>0</v>
      </c>
      <c r="N109" s="35" t="n">
        <v>0</v>
      </c>
      <c r="O109" s="34" t="n">
        <v>0</v>
      </c>
      <c r="P109" s="35" t="n">
        <v>0</v>
      </c>
      <c r="Q109" s="12">
        <f>K109+M109+O109</f>
        <v/>
      </c>
      <c r="R109" s="13">
        <f>L109+N109+P109</f>
        <v/>
      </c>
      <c r="S109" s="36">
        <f>R109-Q109</f>
        <v/>
      </c>
      <c r="T109" s="37" t="inlineStr"/>
    </row>
    <row r="110" ht="20" customHeight="1">
      <c r="B110" s="11" t="inlineStr">
        <is>
          <t>ESPAÑA</t>
        </is>
      </c>
      <c r="C110" s="31" t="inlineStr">
        <is>
          <t xml:space="preserve">SERVICIOS AGROPECUARIOS EL LLANO, S. A. </t>
        </is>
      </c>
      <c r="D110" s="11" t="inlineStr">
        <is>
          <t>SS0001</t>
        </is>
      </c>
      <c r="E110" s="31" t="inlineStr">
        <is>
          <t>SAL WAX MAX, 1 KG</t>
        </is>
      </c>
      <c r="F110" s="12" t="n">
        <v>0</v>
      </c>
      <c r="G110" s="13" t="n">
        <v>1584</v>
      </c>
      <c r="H110" s="12">
        <f>ABS(G110-F110)</f>
        <v/>
      </c>
      <c r="I110" s="32">
        <f>IF(F110&gt;0, G110/F110, IF(G110&gt;0, 1.0, 0.0))</f>
        <v/>
      </c>
      <c r="J110" s="33" t="inlineStr">
        <is>
          <t>Pedido extra no previsto</t>
        </is>
      </c>
      <c r="K110" s="34" t="n">
        <v>0</v>
      </c>
      <c r="L110" s="35" t="n">
        <v>0</v>
      </c>
      <c r="M110" s="34" t="n">
        <v>0</v>
      </c>
      <c r="N110" s="35" t="n">
        <v>0</v>
      </c>
      <c r="O110" s="34" t="n">
        <v>0</v>
      </c>
      <c r="P110" s="35" t="n">
        <v>0</v>
      </c>
      <c r="Q110" s="12">
        <f>K110+M110+O110</f>
        <v/>
      </c>
      <c r="R110" s="13">
        <f>L110+N110+P110</f>
        <v/>
      </c>
      <c r="S110" s="36">
        <f>R110-Q110</f>
        <v/>
      </c>
      <c r="T110" s="37" t="inlineStr"/>
    </row>
    <row r="111" ht="25" customHeight="1">
      <c r="B111" s="38" t="inlineStr">
        <is>
          <t>TOTAL CONSOLIDADO - RICARDO (UNIDADES)</t>
        </is>
      </c>
      <c r="C111" s="39" t="n"/>
      <c r="D111" s="39" t="n"/>
      <c r="E111" s="39" t="n"/>
      <c r="F111" s="19">
        <f>SUM(F10:F110)</f>
        <v/>
      </c>
      <c r="G111" s="19">
        <f>SUM(G10:G110)</f>
        <v/>
      </c>
      <c r="H111" s="19">
        <f>SUM(H10:H110)</f>
        <v/>
      </c>
      <c r="I111" s="20">
        <f>IF(F111&gt;0, G111/F111, 1.0)</f>
        <v/>
      </c>
      <c r="J111" s="40" t="n"/>
      <c r="K111" s="19">
        <f>SUM(K10:K110)</f>
        <v/>
      </c>
      <c r="L111" s="19">
        <f>SUM(L10:L110)</f>
        <v/>
      </c>
      <c r="M111" s="19">
        <f>SUM(M10:M110)</f>
        <v/>
      </c>
      <c r="N111" s="19">
        <f>SUM(N10:N110)</f>
        <v/>
      </c>
      <c r="O111" s="19">
        <f>SUM(O10:O110)</f>
        <v/>
      </c>
      <c r="P111" s="19">
        <f>SUM(P10:P110)</f>
        <v/>
      </c>
      <c r="Q111" s="19">
        <f>SUM(Q10:Q110)</f>
        <v/>
      </c>
      <c r="R111" s="19">
        <f>SUM(R10:R110)</f>
        <v/>
      </c>
      <c r="S111" s="41">
        <f>SUM(S10:S110)</f>
        <v/>
      </c>
      <c r="T111" s="40" t="n"/>
    </row>
  </sheetData>
  <mergeCells count="20">
    <mergeCell ref="N5:P5"/>
    <mergeCell ref="E6:G6"/>
    <mergeCell ref="K8:P8"/>
    <mergeCell ref="B4:T4"/>
    <mergeCell ref="B6:D6"/>
    <mergeCell ref="F8:J8"/>
    <mergeCell ref="N6:P6"/>
    <mergeCell ref="B3:T3"/>
    <mergeCell ref="B5:D5"/>
    <mergeCell ref="Q8:T8"/>
    <mergeCell ref="K6:M6"/>
    <mergeCell ref="H5:J5"/>
    <mergeCell ref="Q5:T5"/>
    <mergeCell ref="B111:E111"/>
    <mergeCell ref="B2:T2"/>
    <mergeCell ref="B8:E8"/>
    <mergeCell ref="E5:G5"/>
    <mergeCell ref="K5:M5"/>
    <mergeCell ref="Q6:T6"/>
    <mergeCell ref="H6:J6"/>
  </mergeCells>
  <dataValidations count="1">
    <dataValidation sqref="J10:J43 J10:J127" showDropDown="0" showInputMessage="0" showErrorMessage="0" allowBlank="1" errorTitle="Motivo de Desviación" error="Por favor seleccione un motivo de la lista o escriba su comentario" type="list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2026-10-01T12:16:57Z</dcterms:created>
  <dcterms:modified xmlns:dcterms="http://purl.org/dc/terms/" xmlns:xsi="http://www.w3.org/2001/XMLSchema-instance" xsi:type="dcterms:W3CDTF">2026-10-01T12:17:03Z</dcterms:modified>
</cp:coreProperties>
</file>