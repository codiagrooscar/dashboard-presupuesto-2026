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0" documentId="8_{EFB14329-26AE-4DE1-A9D2-39C1118763A8}" xr6:coauthVersionLast="47" xr6:coauthVersionMax="47" xr10:uidLastSave="{00000000-0000-0000-0000-000000000000}"/>
  <bookViews>
    <workbookView xWindow="-110" yWindow="-110" windowWidth="25820" windowHeight="13900" xr2:uid="{A0CDA8AF-EE7C-49B0-A50F-12CBDC62DFF4}"/>
  </bookViews>
  <sheets>
    <sheet name="PL Mensual 2026" sheetId="1" r:id="rId1"/>
  </sheets>
  <externalReferences>
    <externalReference r:id="rId2"/>
  </externalReferences>
  <definedNames>
    <definedName name="_xlnm._FilterDatabase" localSheetId="0" hidden="1">'PL Mensual 2026'!$B$3:$W$259</definedName>
    <definedName name="Dat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2" i="1" l="1"/>
  <c r="V2" i="1"/>
  <c r="U2" i="1"/>
  <c r="T2" i="1"/>
  <c r="S2" i="1"/>
  <c r="R2" i="1"/>
  <c r="Q2" i="1"/>
  <c r="P2" i="1"/>
  <c r="O2" i="1"/>
  <c r="N2" i="1"/>
  <c r="M2" i="1"/>
  <c r="L2" i="1"/>
  <c r="K2" i="1"/>
</calcChain>
</file>

<file path=xl/sharedStrings.xml><?xml version="1.0" encoding="utf-8"?>
<sst xmlns="http://schemas.openxmlformats.org/spreadsheetml/2006/main" count="1993" uniqueCount="324">
  <si>
    <t>Periodo</t>
  </si>
  <si>
    <t>Empresa</t>
  </si>
  <si>
    <t>Nivel 1</t>
  </si>
  <si>
    <t>Nivel 2</t>
  </si>
  <si>
    <t>Nivel 3</t>
  </si>
  <si>
    <t>Nivel 4</t>
  </si>
  <si>
    <t>Nivel 5</t>
  </si>
  <si>
    <t>Cuenta</t>
  </si>
  <si>
    <t>Grupo Ext Item</t>
  </si>
  <si>
    <t>Total 2026</t>
  </si>
  <si>
    <t>Codiagro</t>
  </si>
  <si>
    <t>RESULTADO DEL EJERCICIO</t>
  </si>
  <si>
    <t>RESULTADO ANTES DE IMPUESTOS</t>
  </si>
  <si>
    <t>RESULTADO DE LA EXPLOTACION</t>
  </si>
  <si>
    <t>1.- Importe neto de la cifra de negocios</t>
  </si>
  <si>
    <t>(700) Ventas</t>
  </si>
  <si>
    <t>700000000 - Ventas de mercaderías</t>
  </si>
  <si>
    <t>-</t>
  </si>
  <si>
    <t>Presupuesto de Ventas 2026: volumen de unidades comerciales presupuestadas x precios medios de venta por SKU y cliente.</t>
  </si>
  <si>
    <t>700000001 - VENTA MERCADERIAS POR ANTICIPO</t>
  </si>
  <si>
    <t xml:space="preserve">                            -  </t>
  </si>
  <si>
    <t>Cuenta sin saldo en el ejercicio. Sin previsión de movimientos.</t>
  </si>
  <si>
    <t>700000624 - VENTA POR TRANSP. REP. AL CLIENTE</t>
  </si>
  <si>
    <t>Partida puntual / no recurrente en el periodo enero-agosto. Sin movimiento adicional proyectado para el último cuatrimestre.</t>
  </si>
  <si>
    <t>5.- Otros ingresos de explotación</t>
  </si>
  <si>
    <t>700001624 - VENTA POR TRANSPORTE REP. AL CLIENTE DEFINITIVO</t>
  </si>
  <si>
    <t>Coste/Ingreso variable según volumen de ventas y fletes repercutidos al cliente (ratio histórico 1,10% s/ventas) + inflación de fletes.</t>
  </si>
  <si>
    <t>700000769 - INGRESOS POR RETRASOS DE COBRO Y ACTUALIZACION</t>
  </si>
  <si>
    <t>RESULTADO FINANCIERO</t>
  </si>
  <si>
    <t>14.- Ingresos financieros</t>
  </si>
  <si>
    <t>(702) Ventas de productos semiterminados</t>
  </si>
  <si>
    <t>702000000 - Ventas de productos semiterminados</t>
  </si>
  <si>
    <t>(703) Ventas por subproductos y residuos</t>
  </si>
  <si>
    <t>703000000 - Ventas de subproductos y residuos</t>
  </si>
  <si>
    <t>(704) Venta de envases y embalajes</t>
  </si>
  <si>
    <t>704000000 - Ventas de envases y embalajes</t>
  </si>
  <si>
    <t>(705) Prestación de servicios</t>
  </si>
  <si>
    <t>705000000 - Prestaciones de servicios</t>
  </si>
  <si>
    <t>705000001 - INGRESO POR GESTIÓN DE ENVASES</t>
  </si>
  <si>
    <t>Modelo de gestión de envases (Envases y transportes.xlsx): histórico 2025 ajustado por +12,35% en unidades y +4,5% en tarifas (factor 1,1685).</t>
  </si>
  <si>
    <t>(706) Dto. s/vtas p.p.</t>
  </si>
  <si>
    <t>706000000 - Dtos. ventas por pronto pago mercaderías</t>
  </si>
  <si>
    <t>(709) Bonificaciones s/ventas</t>
  </si>
  <si>
    <t>709000000 - «Rappels» ventas de mercaderías</t>
  </si>
  <si>
    <t>709000001 - PROVISION RAPPELS</t>
  </si>
  <si>
    <t>Provisión estimada para regularización de rappels comerciales a cierre de ejercicio según escalados de volumen anual pactados.</t>
  </si>
  <si>
    <t>11.- Deterioro y resultado por enajenaciones del inmovilizado</t>
  </si>
  <si>
    <t>(771) Beneficios procedentes IM</t>
  </si>
  <si>
    <t>771000000 - Beneficios del inmovilizado material</t>
  </si>
  <si>
    <t>13.- Otros resultados</t>
  </si>
  <si>
    <t>(678) Gastos excepcionales PGC 2008</t>
  </si>
  <si>
    <t>678000000 - Gastos excepcionales</t>
  </si>
  <si>
    <t>(778) Ingresos excepcionales PGC 2008</t>
  </si>
  <si>
    <t>778000000 - Ingresos excepcionales</t>
  </si>
  <si>
    <t>2.- Variación de existencias</t>
  </si>
  <si>
    <t>(711) Variación de existencias de productos semiterminados</t>
  </si>
  <si>
    <t>711000000 - Variación existencias de prod. semiterminados</t>
  </si>
  <si>
    <t>Ajuste previsional de variación de existencias para regularización de inventarios a cierre de ejercicio.</t>
  </si>
  <si>
    <t>(712) Variación de existencias producto terminado</t>
  </si>
  <si>
    <t>712000000 - Variación existencias de prod. terminados</t>
  </si>
  <si>
    <t>4.- Aprovisionamientos</t>
  </si>
  <si>
    <t>(601) Compras de materias primas</t>
  </si>
  <si>
    <t>601000000 - Compras de materias primas</t>
  </si>
  <si>
    <t>Coste variable directo: volumen de unidades a producir/vender según presupuesto (ratio medio histórico 27,0% s/ventas) + ajuste inflacionario de materias primas (+4,5%).</t>
  </si>
  <si>
    <t>(602) Compras de otros aprovisionamientos</t>
  </si>
  <si>
    <t>602000001 - COMPRA DE ENVASES Y EMBALAJES</t>
  </si>
  <si>
    <t>Coste variable por unidades envasadas (garrafas, bidones, IBCs): ratio histórico del 5,22% s/ventas + incremento de precios de envases (+4,5% inflación).</t>
  </si>
  <si>
    <t>602000000 - Compras de otros aprovisionamientos</t>
  </si>
  <si>
    <t>Coste operativo menor de planta: proyección basada en el promedio mensual histórico de reposición.</t>
  </si>
  <si>
    <t>602000002 - COMPRA DE ETIQUETAS</t>
  </si>
  <si>
    <t>Coste variable según volumen de unidades a etiquetar (0,57% s/ventas) con ajuste de precios de imprenta.</t>
  </si>
  <si>
    <t>602000003 - COMPRA DE PALETS</t>
  </si>
  <si>
    <t>Coste variable según expediciones y paletización requerida (0,59% s/ventas) + inflación de suministros logísticos.</t>
  </si>
  <si>
    <t>602000004 - COMPRA MATERIAL DE LIMPIEZA</t>
  </si>
  <si>
    <t>602000005 - COMPRA MATERIAL DE OFICINA</t>
  </si>
  <si>
    <t>602000006 - COMPRA TAPONES DE ENVASES</t>
  </si>
  <si>
    <t>Coste variable directamente proporcional al número de unidades/tapones envasados (0,22% s/ventas).</t>
  </si>
  <si>
    <t>602000007 - COMPRAS LABORATORIO</t>
  </si>
  <si>
    <t>Cuenta inactiva / sin saldo en el ejercicio. Sin previsión de movimientos.</t>
  </si>
  <si>
    <t>602000008 - RESPUESTOS PLANTA</t>
  </si>
  <si>
    <t>602000010 - COMPRA RIBBON</t>
  </si>
  <si>
    <t>602000011 - COMPRAS VARIAS PLANTA</t>
  </si>
  <si>
    <t>602000012 - REPUESTOS INFORMATICOS</t>
  </si>
  <si>
    <t>602000013 - COMPRA TINTA INPRESORA ETIQUETAS</t>
  </si>
  <si>
    <t>Coste semi-variable de consumibles de marcaje y codificación en planta vinculado al volumen de producción envasado.</t>
  </si>
  <si>
    <t>602000100 - ENVASES Y EMBALAJES A DEVOLVER</t>
  </si>
  <si>
    <t>(607) Trabajos realizados por otras empresas</t>
  </si>
  <si>
    <t>607000000 - Trabajos realizados por otras empresas</t>
  </si>
  <si>
    <t>Coste variable: subcontratación y apoyos externos de formulación según picos de carga fabril.</t>
  </si>
  <si>
    <t>(611) Variación de existencias de materias primas</t>
  </si>
  <si>
    <t>611000000 - Variación de existencias de materias primas</t>
  </si>
  <si>
    <t>(612) Variación de existencias envases/etiquetas</t>
  </si>
  <si>
    <t>612000000 - Variación de existencias otros aprovisionamientos</t>
  </si>
  <si>
    <t>(759) Otros ingresos de gestión</t>
  </si>
  <si>
    <t>759000000 - Ingresos por servicios diversos</t>
  </si>
  <si>
    <t>6.- Gastos de personal</t>
  </si>
  <si>
    <t>(640) Sueldos y salarios</t>
  </si>
  <si>
    <t>640000000 - Sueldos y salarios</t>
  </si>
  <si>
    <t>Coste fijo de estructura salarial (~112k€/mes) con incremento en diciembre por devengo de la Paga Extraordinaria de Navidad.</t>
  </si>
  <si>
    <t>(642) Seguridad social a cargo empresa</t>
  </si>
  <si>
    <t>642000000 - Seguridad Social a cargo empresa</t>
  </si>
  <si>
    <t>Coste fijo regulado: cotizaciones sociales de la plantilla fija según bases de cotización vigentes.</t>
  </si>
  <si>
    <t>(649) Otros gastos sociales</t>
  </si>
  <si>
    <t>649000000 - Otros gastos sociales</t>
  </si>
  <si>
    <t>649000001 - GASTOS COMERCIALES NIEVES RUIZ</t>
  </si>
  <si>
    <t>649000002 - GASTOS EMPR. ANTONIO ANDREU</t>
  </si>
  <si>
    <t>649000004 - GASTOS COMERCIALES RICARDO PEREZ</t>
  </si>
  <si>
    <t>649000007 - GASTOS COMERCIALES J.PAREDES</t>
  </si>
  <si>
    <t>649000009 - GASTOS COMERCIALES J.A. GARCIA</t>
  </si>
  <si>
    <t>649000010 - GASTOS EMP. CURRO</t>
  </si>
  <si>
    <t>649000012 - GASTOS COMERCIALES IRENE GARCIA</t>
  </si>
  <si>
    <t>649000100 - GTOS. CURSOS PERSONAL</t>
  </si>
  <si>
    <t>Gasto discrecional de formación continua y capacitación técnica del personal.</t>
  </si>
  <si>
    <t>649000101 - GTOS. SEG. Y RIESGOS PERSONAL</t>
  </si>
  <si>
    <t>649000102 - GASTOS ROPA UNIFORMES TRABAJADORES</t>
  </si>
  <si>
    <t>649000103 - GASTOS COMBUSTIBLE TRAB.</t>
  </si>
  <si>
    <t>649100001 - GTOS. COMIDAS TRAB.</t>
  </si>
  <si>
    <t>649100002 - GASTOS TRAB. EMPRESA VARIOS</t>
  </si>
  <si>
    <t>7.- Otros gastos de explotación</t>
  </si>
  <si>
    <t>(620) Gastos de investigación y desarrollo</t>
  </si>
  <si>
    <t>620000002 - COMPRAS LABORATORIO</t>
  </si>
  <si>
    <t>Coste estratégico de I+D: ensayos agronómicos de eficacia y desarrollo de bioestimulantes.</t>
  </si>
  <si>
    <t>620000003 - SUMINISTROS LABORATORIO</t>
  </si>
  <si>
    <t>620000004 - GTOS. ANALISIS LABORATORIOS</t>
  </si>
  <si>
    <t>(621) Arrendamientos y cánones</t>
  </si>
  <si>
    <t>621000001 - ALQUILER OFICINA CARTAGENA</t>
  </si>
  <si>
    <t>Coste fijo mensual según contratos vigentes de renting de vehículos y maquinaria auxiliar.</t>
  </si>
  <si>
    <t>621000014 - ALQUILER MURANO</t>
  </si>
  <si>
    <t>Coste fijo contractual: cuota mensual inalterada según contrato de arrendamiento Murano.</t>
  </si>
  <si>
    <t>621000023 - RENTING TRANSPALETA ELECTRICA DE PIE</t>
  </si>
  <si>
    <t>621000024 - ALQUILER RENTING 2255KXN ANTONIO</t>
  </si>
  <si>
    <t>621000025 - ALQUILER RENTING 9128 LBT NIEVES</t>
  </si>
  <si>
    <t>621000026 - ALQUILER RENTING 9319LCL CURRO</t>
  </si>
  <si>
    <t>621000030 - ALQUILER RENTING 1075-LSC GARCIA</t>
  </si>
  <si>
    <t>621000031 - ALQUILER RENTING KONICA-MINOLTA Y KYOCERA</t>
  </si>
  <si>
    <t>621000032 - ALQUILER RENTING 6665-LVK JOSE JUAN</t>
  </si>
  <si>
    <t>621000033 - ALQUILER RENTING 2612-MBY ANTONIO</t>
  </si>
  <si>
    <t>621000034 - ALQUILER RENTING 3108-LZM NIEVES</t>
  </si>
  <si>
    <t>621000035 - ALQUILER RENTING 2142-MCS RICARDO</t>
  </si>
  <si>
    <t>621000036 - ALQUILER RENTING 3277-MDX JAVIER</t>
  </si>
  <si>
    <t>621000037 - CARRETILLA STILL ELEKTROSTAPLER 516213H00521</t>
  </si>
  <si>
    <t xml:space="preserve">                                             -  </t>
  </si>
  <si>
    <t>621000038 - CARRETILLA STILL ELEKTROSTAPLER 516223J00123</t>
  </si>
  <si>
    <t>621000039 - ALQUILER RENTING 5043-MWW CURRO</t>
  </si>
  <si>
    <t>621000040 - ALQUILER RENTING 8917-MZT JAVIER</t>
  </si>
  <si>
    <t>621000041 - ALQUILER RENTING 8929-MZT RICARDO</t>
  </si>
  <si>
    <t>621000042 - ALQUILER RENTING 4946-NFH GARCIA</t>
  </si>
  <si>
    <t>621000044 - ALQUILER COMPRESOR DE TORNILLO 37KW KAESER BSD 75C</t>
  </si>
  <si>
    <t>621000045 - ALQUILER RENTING 3421-NJT PERE</t>
  </si>
  <si>
    <t>621000046 - ALQUILER CARRETILLAS</t>
  </si>
  <si>
    <t>(622) Reparación/conservación/mantenimiento</t>
  </si>
  <si>
    <t>622000001 - REPAR. EQUIPOS INFORM. Y FOTOCOPIADORAS</t>
  </si>
  <si>
    <t>Coste semi-variable: mantenimiento preventivo y correctivo de planta ajustado por inflación (+4,5%).</t>
  </si>
  <si>
    <t>622000004 - REP. Y CONSERV. CARRETILLA ELECTRICA</t>
  </si>
  <si>
    <t>622000005 - REP. Y MANT. EQUIPOS SEGURIDAD</t>
  </si>
  <si>
    <t>622000006 - REP. Y MANT. INSTALACIONES VARIAS</t>
  </si>
  <si>
    <t>622000007 - REP. Y MANT. HYUNDAI 0377CJG</t>
  </si>
  <si>
    <t>622000008 - REP. Y MANT. MAQUINA BARREDORA</t>
  </si>
  <si>
    <t>622000009 - REP. Y MANT. FURGONETA 2589CRJ</t>
  </si>
  <si>
    <t>622000012 - LIMPIEZA OFICINAS, LABORATORIO Y VESTUARIOS</t>
  </si>
  <si>
    <t>622010000 MANTENIMIENTO</t>
  </si>
  <si>
    <t>622010001 - MANTENIMIENTO REPUESTO COMPRA AMAZON</t>
  </si>
  <si>
    <t>622010200 - ALCAPLANT</t>
  </si>
  <si>
    <t>622010201 - REPARACIONES ALCAPLANT</t>
  </si>
  <si>
    <t>622010300 - SOLIDOS</t>
  </si>
  <si>
    <t>622010400 - LIQUIDOS</t>
  </si>
  <si>
    <t>622010500 - REPUESTOS MANT. VARIOS</t>
  </si>
  <si>
    <t>622010501 - REP. MANT. FONTANERIA</t>
  </si>
  <si>
    <t>(623) Servicios profesionales independientes</t>
  </si>
  <si>
    <t>623000001 - SERV. PROF. INDEPENDIENTES</t>
  </si>
  <si>
    <t>Coste fijo de asesoramiento legal, técnico y fiscal, con refuerzo en diciembre por preparación del cierre y auditoría.</t>
  </si>
  <si>
    <t>623000002 - SERVICIOS CONTABLES Y FINANCIEROS</t>
  </si>
  <si>
    <t>Coste fijo mensual por servicios externos de gestión contable, fiscal y laboral.</t>
  </si>
  <si>
    <t>623000003 - SERV. NOTARIOS, REGISTROS, LEGAL</t>
  </si>
  <si>
    <t>Gastos de registro de formulaciones, marcas y actos notariales.</t>
  </si>
  <si>
    <t>623000004 - GTOS. BCS. OKO</t>
  </si>
  <si>
    <t>Proyección basada en el promedio mensual histórico de actividad.</t>
  </si>
  <si>
    <t>623000005 - SERVICIOS PREST. CAMARA COMERCIO</t>
  </si>
  <si>
    <t>623100002 - GASTOS MAURICIO ALISTE</t>
  </si>
  <si>
    <t>Honorarios y gastos comerciales de zona según plan de actividad presupuestado.</t>
  </si>
  <si>
    <t>623100006 - GASTOS Y SERVICIOS AGRICOLA DEL JUCAR</t>
  </si>
  <si>
    <t>Honorarios y servicios comerciales agronómicos de apoyo en campo.</t>
  </si>
  <si>
    <t>623100007 - GASTOS Y SUELDO MEHMET CILOGLU</t>
  </si>
  <si>
    <t>Coste recurrente de gestión comercial internacional (honorarios mensuales + dietas y viajes según actividad de mercado).</t>
  </si>
  <si>
    <t>623100008 - COMISIONES KAMAL KEHAL</t>
  </si>
  <si>
    <t>623100009 - COMISIONES ABEL SALAZAR</t>
  </si>
  <si>
    <t>623200001 - GASTOS MARCAS EN ESPAÑA</t>
  </si>
  <si>
    <t>623200005 - GASTOS MARCAS CHILE</t>
  </si>
  <si>
    <t>623200006 - MARCAS UNION EUROPEA</t>
  </si>
  <si>
    <t>623200011 - GASTOS MARCAS COLOMBIA</t>
  </si>
  <si>
    <t>623200021 - GASTOS MARCAS GUATEMALA</t>
  </si>
  <si>
    <t>623200023 - GASTOS MARCAS ARGELIA</t>
  </si>
  <si>
    <t>623200002 - GASTOS MARCAS MEXICO</t>
  </si>
  <si>
    <t>623200033 - GASTOS MARCAS MUNDIAL</t>
  </si>
  <si>
    <t>623200008 - GASTOS MARCAS EGIPTO</t>
  </si>
  <si>
    <t>623200009 - GASTOS MARCAS MARRUECOS</t>
  </si>
  <si>
    <t>623200010 - GASTOS MARCAS TURQUIA</t>
  </si>
  <si>
    <t>623200016 - GASTOS MARCAS ECUADOR</t>
  </si>
  <si>
    <t>623200017 GASTOS MARCAS EL SALVADOR</t>
  </si>
  <si>
    <t>623200020 - GASTOS MARCAS TUNEZ</t>
  </si>
  <si>
    <t>623200022 - GASTOS MARCAS BOLIVIA</t>
  </si>
  <si>
    <t>623200024 - GASTOS MARCAS INTERNACIONALES</t>
  </si>
  <si>
    <t>623200029 - GASTOS MARCAS GEORGIA</t>
  </si>
  <si>
    <t>623200030 - GASTOS MARCAS AZERBAIYAN</t>
  </si>
  <si>
    <t>623200037 - GASTOS MARCAS ESTADOS UNIDOS</t>
  </si>
  <si>
    <t>(624) Transportes ventas</t>
  </si>
  <si>
    <t>624000001 - TRANSPORTES NACIONAL</t>
  </si>
  <si>
    <t>Coste 100% variable: transporte nacional calculado en función del volumen de expediciones presupuestadas + incremento tarifas logísticas.</t>
  </si>
  <si>
    <t>624000002 - TRANSPORTE INTERNACIONAL</t>
  </si>
  <si>
    <t>Coste variable: transporte marítimo y terrestre de exportación según volumen internacional presupuestado + fletes internacionales.</t>
  </si>
  <si>
    <t>624000003 - TRANSPORTES CANARIAS</t>
  </si>
  <si>
    <t>Coste variable: logística insular según previsión de ventas en Canarias.</t>
  </si>
  <si>
    <t>624000004 - GTOS. FLETE REP. AL CLIENTE</t>
  </si>
  <si>
    <t>Coste variable de fletes con repercusión comercial al cliente final (correlativo con ingreso 700001624).</t>
  </si>
  <si>
    <t xml:space="preserve">624000005 - TTE. PAQUETERIA </t>
  </si>
  <si>
    <t>624000006 - TRANSPORTES IMPORTACIÓN</t>
  </si>
  <si>
    <t>624000007 - ENVIO MUESTRAS</t>
  </si>
  <si>
    <t>(625) Primas de seguros</t>
  </si>
  <si>
    <t>625000001 - SEGUROS VEHÍCULOS</t>
  </si>
  <si>
    <t>Coste fijo: prima mensualizada de pólizas de seguro industrial y responsabilidad civil.</t>
  </si>
  <si>
    <t>625000003 SEGURO ACCIDENTES TRABAJADORES</t>
  </si>
  <si>
    <t>625000004 - SEGURO RESP. CIVIL</t>
  </si>
  <si>
    <t>625000005 - SEGUROS ACTIVIDAD</t>
  </si>
  <si>
    <t>(626) Servicios bancarios</t>
  </si>
  <si>
    <t>626000000 - Servicios bancarios y similares</t>
  </si>
  <si>
    <t>626000002 - GASTOS Y COMISIONES BANCO SABADELL</t>
  </si>
  <si>
    <t>Coste operativo recurrente por transaccionalidad bancaria y comisiones de gestión.</t>
  </si>
  <si>
    <t>626000005 - GASTOS Y COMISIONES CAIXALMASSORA</t>
  </si>
  <si>
    <t>626000007 - GASTOS Y COMISIONES BBVA</t>
  </si>
  <si>
    <t>(627) Publicidad</t>
  </si>
  <si>
    <t>627000001 - GTOS. PUBLICIDAD EN INTERNET</t>
  </si>
  <si>
    <t>627000004 - RELACIONES PUBLICAS</t>
  </si>
  <si>
    <t>Gasto comercial y marketing: promedio mensual con refuerzo en octubre por ferias agrícolas de otoño.</t>
  </si>
  <si>
    <t>627000005 - INVITACIONES CLIENTES</t>
  </si>
  <si>
    <t>627000006 - PUBLICIDAD CATALOGOS Y FOLLETOS</t>
  </si>
  <si>
    <t>627000007 - FERIAS</t>
  </si>
  <si>
    <t>627000008 - MARKETING</t>
  </si>
  <si>
    <t>627000009 - ARTICULOS PUBLICIDAD</t>
  </si>
  <si>
    <t>Gasto comercial estratégico con estacionalidad: refuerzo en octubre por ferias agrícolas (Fruit Attraction) y catálogos.</t>
  </si>
  <si>
    <t>627000010 - RELACIONES PUBLICAS TEC. CLIENTES</t>
  </si>
  <si>
    <t>(628) Suministros</t>
  </si>
  <si>
    <t>628000001 - SUMINISTROS INFORMATICOS</t>
  </si>
  <si>
    <t>628000002 - SUMINISTROS ELECTRICIDAD</t>
  </si>
  <si>
    <t>Coste semi-variable: término fijo de potencia contratada + consumo eléctrico de reactores y envasado proporcional a la producción.</t>
  </si>
  <si>
    <t>628000003 - SUMINISTROS AGUA</t>
  </si>
  <si>
    <t>628000004 - SUMINISTROS TELEFONIA E INTERNET</t>
  </si>
  <si>
    <t>Coste semi-variable estacional: climatización de instalaciones y caldera durante meses fríos.</t>
  </si>
  <si>
    <t>628000005 - SUMINISTROS GASOLEO</t>
  </si>
  <si>
    <t>(629) Otros servicios</t>
  </si>
  <si>
    <t>629000001 - HOSPEDAJE WEB</t>
  </si>
  <si>
    <t>Coste operativo general de estructura y servicios de oficinas/fábrica (promedio histórico).</t>
  </si>
  <si>
    <t>629000002 - OTROS GASTOS</t>
  </si>
  <si>
    <t>629000003 - SUSCRIPCIONES A REVISTAS Y PERIODICOS</t>
  </si>
  <si>
    <t>629000004 - GTOS. SERV. VIGILANCIA</t>
  </si>
  <si>
    <t>629000005 - GTOS. ANALISIS LABORATORIOS</t>
  </si>
  <si>
    <t>629000006 - GASTOS CORREOS</t>
  </si>
  <si>
    <t>629000007 - GASTOS RETIRADA DE RESIDUOS</t>
  </si>
  <si>
    <t>Coste semi-variable: gestión medioambiental y retirada autorizada de residuos fabriles según actividad.</t>
  </si>
  <si>
    <t>629000008 - CUOTAS ASOCIACIONES</t>
  </si>
  <si>
    <t>629000009 - SANCIONES Y MULTAS</t>
  </si>
  <si>
    <t>629000010 - GASTOS COMERCIALES</t>
  </si>
  <si>
    <t>629000011 - EPIS PERSONAL</t>
  </si>
  <si>
    <t>629000012 - GASTOS VARIOS PERSONAL</t>
  </si>
  <si>
    <t>629000013 - FORMACION NO BONIFICADA</t>
  </si>
  <si>
    <t>629000014 - ROPA LABORAL</t>
  </si>
  <si>
    <t>629000015 MATERIAL DE OFICINA</t>
  </si>
  <si>
    <t>629000016 HERRAMIENTAS</t>
  </si>
  <si>
    <t>629100001 - GASTOS COMERCIALES PERE PORTA</t>
  </si>
  <si>
    <t>Gastos comerciales de viaje, kilometraje y dietas vinculados a visitas y prospección de clientes.</t>
  </si>
  <si>
    <t>629100002 - GASTOS RICARDO PEREZ-SANTAMARINA</t>
  </si>
  <si>
    <t>Gastos comerciales de viaje, representación y prospección comercial en zona asignada.</t>
  </si>
  <si>
    <t>629100003 - GASTOS JAVIER PAREDES</t>
  </si>
  <si>
    <t>629100004 - GASTOS GARCIA</t>
  </si>
  <si>
    <t>629100005 - GASTOS IRENE</t>
  </si>
  <si>
    <t>629100006 - GASTOS ANTONIO ANDREU</t>
  </si>
  <si>
    <t>629100007 - GASTOS CURRO</t>
  </si>
  <si>
    <t>629100008 GASTOS PEDRO MEDINA</t>
  </si>
  <si>
    <t>(631) Otros tributos</t>
  </si>
  <si>
    <t>631000001 - IMPUESTOS VEHÍCULOS</t>
  </si>
  <si>
    <t>Coste fijo tributario: tasas municipales y tributos recurrentes de la actividad.</t>
  </si>
  <si>
    <t>631000002 - TASAS</t>
  </si>
  <si>
    <t>631000004 IBIB</t>
  </si>
  <si>
    <t>631000006 - IMPUESTO PLASTICO NO RECICLADO</t>
  </si>
  <si>
    <t>Coste variable regulatorio: tributo legal sobre envases de plástico virgen en función de los kg de plástico envasados.</t>
  </si>
  <si>
    <t>(634) Ajustes negativos en la imposición indirecta</t>
  </si>
  <si>
    <t>634100000 - Ajustes negat. IVA circulante</t>
  </si>
  <si>
    <t>(694) Pérdidas por op. Comerciales</t>
  </si>
  <si>
    <t>694000000 - Pérdidas deterioro de créditos por op.comerciales</t>
  </si>
  <si>
    <t>8.- Amortización del inmovilizado</t>
  </si>
  <si>
    <t>(681) Amortización del inmovilizado material</t>
  </si>
  <si>
    <t>681100000 - Amortización de construcciones</t>
  </si>
  <si>
    <t>Coste fijo estricto: dotación lineal mensual calculada según las tablas oficiales de amortización y vida útil del inmovilizado.</t>
  </si>
  <si>
    <t>681200000 - Amortización de instalaciones técnicas</t>
  </si>
  <si>
    <t>681300000 - Amortización de maquinaria</t>
  </si>
  <si>
    <t>681500000 - Amortización de otras instalaciones</t>
  </si>
  <si>
    <t>681600000 - Amortización de mobiliario</t>
  </si>
  <si>
    <t>681700000 - Amortización de equipos para procesos de informac.</t>
  </si>
  <si>
    <t>681800000 - Amortización de elementos de transporte</t>
  </si>
  <si>
    <t>15.- Gastos financieros</t>
  </si>
  <si>
    <t>706000001 - DESCUENTO POR PRONTO PAGO DEFINITIVO</t>
  </si>
  <si>
    <t>Coste financiero variable: descuentos por pronto pago concedidos a clientes según presupuesto de ventas (ratio histórico 2,70%).</t>
  </si>
  <si>
    <t>(665) Intereses por descuento de efectos y operaciones de "factoring"</t>
  </si>
  <si>
    <t>665700015 - INTERESES PAGO FINANCIADO POR BBVA</t>
  </si>
  <si>
    <t>Coste financiero por descuento comercial y confirming de proveedores vinculado al volumen de compras.</t>
  </si>
  <si>
    <t>(662) Intereses de deudas con entidades de crédito</t>
  </si>
  <si>
    <t>662310005 - INTERESES PRESTAMO CAIXALMASSORA</t>
  </si>
  <si>
    <t>Proyección basada en el promedio mensual histórico.</t>
  </si>
  <si>
    <t>(669) Otros gastos financieros</t>
  </si>
  <si>
    <t>669000002 - OTROS GTOS. DTO. EFECTOS SABADELL</t>
  </si>
  <si>
    <t>669000007 - OTROS GTOS. DTO.EFECTOS BBVA</t>
  </si>
  <si>
    <t>669100002 - OTROS GTOS. FINAN. SABADELL</t>
  </si>
  <si>
    <t>669100005 - OTROS GTOS. FINAN. C.RURAL ALMASSORA</t>
  </si>
  <si>
    <t>669100007 - OTROS GTOS. FINAN. BBVA.</t>
  </si>
  <si>
    <t>669200002 - GTOS. COBRO EXPORT B.SABADELL</t>
  </si>
  <si>
    <t>669200007 - GTOS. COBRO EXPORT. BBVA</t>
  </si>
  <si>
    <t>17.- Diferencias de cambio</t>
  </si>
  <si>
    <t>(768) Diferencias positivas de cambio</t>
  </si>
  <si>
    <t>768000000 - Diferencias positivas de cambio</t>
  </si>
  <si>
    <t>Estimación conservadora basada en liquidaciones de divisas en exportación a tipos de cambio de mercado.</t>
  </si>
  <si>
    <t>(709) Publicidad</t>
  </si>
  <si>
    <t>709001500 - RAPPEL BONIFICACIONES POR PMK DEFINITIVO</t>
  </si>
  <si>
    <t>(769) Otros ingresos financieros</t>
  </si>
  <si>
    <t>769000000 - Otros ingresos financieros</t>
  </si>
  <si>
    <t>Rendimientos financieros por saldos de tesorería y cuentas remuneradas a cierre de año.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</si>
</sst>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.5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" fontId="0" fillId="0" borderId="0" xfId="0" applyNumberFormat="1"/>
    <xf numFmtId="43" fontId="0" fillId="0" borderId="0" xfId="1" applyFont="1"/>
    <xf numFmtId="0" fontId="2" fillId="2" borderId="0" xfId="0" applyFont="1" applyFill="1" applyAlignment="1">
      <alignment horizontal="left"/>
    </xf>
    <xf numFmtId="17" fontId="2" fillId="2" borderId="0" xfId="0" applyNumberFormat="1" applyFont="1" applyFill="1" applyAlignment="1">
      <alignment horizontal="left"/>
    </xf>
    <xf numFmtId="43" fontId="0" fillId="0" borderId="0" xfId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groquimicacodiagro365-my.sharepoint.com/personal/oscar_ocampo_codiagro_com/Documents/Escritorio/Presupuesto%202026/Calsif%20Comerciales/Gastos/2026-08-Codiagro%20P&amp;L%20para%20proyectar.xlsx" TargetMode="External"/><Relationship Id="rId1" Type="http://schemas.openxmlformats.org/officeDocument/2006/relationships/externalLinkPath" Target="2026-08-Codiagro%20P&amp;L%20para%20proyect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o"/>
      <sheetName val="Febrero"/>
      <sheetName val="Marzo"/>
      <sheetName val="Abril"/>
      <sheetName val="Mayo"/>
      <sheetName val="Junio"/>
      <sheetName val="Julio"/>
      <sheetName val="Agosto"/>
      <sheetName val="TABLA"/>
      <sheetName val="PL Mensual 2026"/>
      <sheetName val="Ginger"/>
      <sheetName val="Extraitems 2026"/>
      <sheetName val="Ext Items 2026"/>
      <sheetName val="Ext Items Budget"/>
      <sheetName val="Ext Items 2025"/>
      <sheetName val="Cuenta Ok"/>
      <sheetName val="P&amp;L Mensualitzada 2025"/>
      <sheetName val="Budget26 sin E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E502-7071-4695-899E-13939B2B5EF7}">
  <dimension ref="B2:X259"/>
  <sheetViews>
    <sheetView tabSelected="1" topLeftCell="H1" zoomScale="85" zoomScaleNormal="85" workbookViewId="0">
      <selection activeCell="J29" sqref="J29"/>
    </sheetView>
  </sheetViews>
  <sheetFormatPr baseColWidth="10" defaultRowHeight="14.5" x14ac:dyDescent="0.35"/>
  <cols>
    <col min="1" max="1" width="2" customWidth="1"/>
    <col min="2" max="2" width="14.26953125" customWidth="1"/>
    <col min="3" max="3" width="12" customWidth="1"/>
    <col min="4" max="4" width="24.453125" customWidth="1"/>
    <col min="5" max="5" width="30.26953125" customWidth="1"/>
    <col min="6" max="6" width="29.1796875" customWidth="1"/>
    <col min="7" max="7" width="51.81640625" customWidth="1"/>
    <col min="8" max="8" width="58.54296875" customWidth="1"/>
    <col min="9" max="9" width="64.81640625" bestFit="1" customWidth="1"/>
    <col min="10" max="10" width="30.26953125" bestFit="1" customWidth="1"/>
    <col min="11" max="11" width="11.1796875" customWidth="1"/>
    <col min="12" max="14" width="12.1796875" customWidth="1"/>
    <col min="15" max="15" width="15.7265625" style="2" customWidth="1"/>
    <col min="16" max="16" width="14.453125" bestFit="1" customWidth="1"/>
    <col min="17" max="17" width="21.81640625" style="2" bestFit="1" customWidth="1"/>
    <col min="18" max="18" width="21.81640625" bestFit="1" customWidth="1"/>
    <col min="19" max="20" width="11.1796875" bestFit="1" customWidth="1"/>
    <col min="21" max="22" width="12.1796875" bestFit="1" customWidth="1"/>
    <col min="23" max="23" width="13.26953125" bestFit="1" customWidth="1"/>
  </cols>
  <sheetData>
    <row r="2" spans="2:24" x14ac:dyDescent="0.35">
      <c r="K2" s="1">
        <f>SUBTOTAL(9,K4:K215)</f>
        <v>250047.39000000025</v>
      </c>
      <c r="L2" s="1">
        <f>SUBTOTAL(9,L4:L215)</f>
        <v>889710.85000000044</v>
      </c>
      <c r="M2" s="1">
        <f>SUBTOTAL(9,M4:M215)</f>
        <v>874282.34999999974</v>
      </c>
      <c r="N2" s="1">
        <f>SUBTOTAL(9,N4:N215)</f>
        <v>676576.86000000034</v>
      </c>
      <c r="O2" s="2">
        <f>SUBTOTAL(9,O4:O2027)</f>
        <v>1013450.7200000004</v>
      </c>
      <c r="P2" s="2">
        <f>SUBTOTAL(9,P4:P2027)</f>
        <v>830198.85000000033</v>
      </c>
      <c r="Q2" s="2">
        <f>SUBTOTAL(9,Q4:Q2096)</f>
        <v>410468.3057810028</v>
      </c>
      <c r="R2" s="1">
        <f>SUBTOTAL(9,R4:R2015)</f>
        <v>205726.73896870387</v>
      </c>
      <c r="S2" s="1">
        <f t="shared" ref="S2:V2" si="0">SUBTOTAL(9,S4:S215)</f>
        <v>-42354.239999999925</v>
      </c>
      <c r="T2" s="1">
        <f t="shared" si="0"/>
        <v>210981.86999999938</v>
      </c>
      <c r="U2" s="1">
        <f t="shared" si="0"/>
        <v>406012.64999999997</v>
      </c>
      <c r="V2" s="1">
        <f t="shared" si="0"/>
        <v>316409.78000000014</v>
      </c>
      <c r="W2" s="1">
        <f>SUBTOTAL(9,W4:W2036)</f>
        <v>5906112.8047497068</v>
      </c>
    </row>
    <row r="3" spans="2:24" x14ac:dyDescent="0.35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4">
        <v>46023</v>
      </c>
      <c r="L3" s="4">
        <v>46054</v>
      </c>
      <c r="M3" s="4">
        <v>46082</v>
      </c>
      <c r="N3" s="4">
        <v>46113</v>
      </c>
      <c r="O3" s="4">
        <v>46143</v>
      </c>
      <c r="P3" s="4">
        <v>46174</v>
      </c>
      <c r="Q3" s="4">
        <v>46204</v>
      </c>
      <c r="R3" s="4">
        <v>46235</v>
      </c>
      <c r="S3" s="4">
        <v>46266</v>
      </c>
      <c r="T3" s="4">
        <v>46296</v>
      </c>
      <c r="U3" s="4">
        <v>46327</v>
      </c>
      <c r="V3" s="4">
        <v>46357</v>
      </c>
      <c r="W3" s="4" t="s">
        <v>9</v>
      </c>
    </row>
    <row r="4" spans="2:24" x14ac:dyDescent="0.35">
      <c r="B4">
        <v>2026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s="1">
        <v>993280.49</v>
      </c>
      <c r="L4" s="1">
        <v>1607537.98</v>
      </c>
      <c r="M4" s="1">
        <v>1536177.86</v>
      </c>
      <c r="N4" s="1">
        <v>1217250.42</v>
      </c>
      <c r="O4" s="2">
        <v>2029266.99</v>
      </c>
      <c r="P4" s="1">
        <v>2009948.67</v>
      </c>
      <c r="Q4" s="1">
        <v>1288443.6399999999</v>
      </c>
      <c r="R4" s="1">
        <v>802410.56</v>
      </c>
      <c r="S4" s="1">
        <v>484353.92</v>
      </c>
      <c r="T4" s="1">
        <v>917514.69</v>
      </c>
      <c r="U4" s="1">
        <v>1233455.99</v>
      </c>
      <c r="V4" s="1">
        <v>1331692.45</v>
      </c>
      <c r="W4" s="1">
        <v>15451333.66</v>
      </c>
      <c r="X4" t="s">
        <v>18</v>
      </c>
    </row>
    <row r="5" spans="2:24" x14ac:dyDescent="0.35">
      <c r="B5">
        <v>2026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19</v>
      </c>
      <c r="J5" t="s">
        <v>17</v>
      </c>
      <c r="K5" s="1">
        <v>0</v>
      </c>
      <c r="L5" s="1">
        <v>0</v>
      </c>
      <c r="M5" s="1">
        <v>0</v>
      </c>
      <c r="N5" s="1">
        <v>106250.17</v>
      </c>
      <c r="O5" s="2">
        <v>-106250.17</v>
      </c>
      <c r="P5" s="1" t="s">
        <v>20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t="s">
        <v>21</v>
      </c>
    </row>
    <row r="6" spans="2:24" x14ac:dyDescent="0.35">
      <c r="B6">
        <v>2026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22</v>
      </c>
      <c r="J6" t="s">
        <v>17</v>
      </c>
      <c r="K6" s="1">
        <v>17921.38</v>
      </c>
      <c r="L6" s="1">
        <v>12025.38</v>
      </c>
      <c r="M6" s="1">
        <v>8455.5499999999993</v>
      </c>
      <c r="N6" s="1">
        <v>0</v>
      </c>
      <c r="O6" s="2">
        <v>0</v>
      </c>
      <c r="P6" s="1" t="s">
        <v>20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38402.31</v>
      </c>
      <c r="X6" t="s">
        <v>23</v>
      </c>
    </row>
    <row r="7" spans="2:24" x14ac:dyDescent="0.35">
      <c r="B7">
        <v>2026</v>
      </c>
      <c r="C7" t="s">
        <v>10</v>
      </c>
      <c r="D7" t="s">
        <v>11</v>
      </c>
      <c r="E7" t="s">
        <v>12</v>
      </c>
      <c r="F7" t="s">
        <v>13</v>
      </c>
      <c r="G7" t="s">
        <v>24</v>
      </c>
      <c r="H7" t="s">
        <v>15</v>
      </c>
      <c r="I7" t="s">
        <v>25</v>
      </c>
      <c r="J7" t="s">
        <v>17</v>
      </c>
      <c r="K7" s="1">
        <v>0</v>
      </c>
      <c r="L7" s="1">
        <v>0</v>
      </c>
      <c r="M7" s="1">
        <v>0</v>
      </c>
      <c r="N7" s="1">
        <v>750.75</v>
      </c>
      <c r="O7" s="2">
        <v>25140.75</v>
      </c>
      <c r="P7" s="1">
        <v>22977.599999999999</v>
      </c>
      <c r="Q7" s="1">
        <v>11027.24</v>
      </c>
      <c r="R7" s="1">
        <v>11429</v>
      </c>
      <c r="S7" s="1">
        <v>5327.89</v>
      </c>
      <c r="T7" s="1">
        <v>10092.66</v>
      </c>
      <c r="U7" s="1">
        <v>13568.02</v>
      </c>
      <c r="V7" s="1">
        <v>14648.62</v>
      </c>
      <c r="W7" s="1">
        <v>114962.53</v>
      </c>
      <c r="X7" t="s">
        <v>26</v>
      </c>
    </row>
    <row r="8" spans="2:24" x14ac:dyDescent="0.35">
      <c r="B8">
        <v>2026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27</v>
      </c>
      <c r="J8" t="s">
        <v>17</v>
      </c>
      <c r="K8" s="1">
        <v>5635.79</v>
      </c>
      <c r="L8" s="1">
        <v>202.81</v>
      </c>
      <c r="M8" s="1">
        <v>178.05</v>
      </c>
      <c r="N8" s="1">
        <v>0</v>
      </c>
      <c r="O8" s="2" t="s">
        <v>20</v>
      </c>
      <c r="P8" s="1" t="s">
        <v>20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6016.6500000000005</v>
      </c>
      <c r="X8" t="s">
        <v>23</v>
      </c>
    </row>
    <row r="9" spans="2:24" x14ac:dyDescent="0.35">
      <c r="B9">
        <v>2026</v>
      </c>
      <c r="C9" t="s">
        <v>10</v>
      </c>
      <c r="D9" t="s">
        <v>11</v>
      </c>
      <c r="E9" t="s">
        <v>12</v>
      </c>
      <c r="F9" t="s">
        <v>28</v>
      </c>
      <c r="G9" t="s">
        <v>29</v>
      </c>
      <c r="H9" t="s">
        <v>15</v>
      </c>
      <c r="I9" t="s">
        <v>27</v>
      </c>
      <c r="J9" t="s">
        <v>17</v>
      </c>
      <c r="K9" s="1">
        <v>0</v>
      </c>
      <c r="L9" s="1">
        <v>0</v>
      </c>
      <c r="M9" s="1">
        <v>0</v>
      </c>
      <c r="N9" s="1">
        <v>0</v>
      </c>
      <c r="O9" s="2" t="s">
        <v>20</v>
      </c>
      <c r="P9" s="1" t="s">
        <v>20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t="s">
        <v>21</v>
      </c>
    </row>
    <row r="10" spans="2:24" x14ac:dyDescent="0.35">
      <c r="B10">
        <v>2026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30</v>
      </c>
      <c r="I10" t="s">
        <v>31</v>
      </c>
      <c r="J10" t="s">
        <v>17</v>
      </c>
      <c r="K10" s="1">
        <v>0</v>
      </c>
      <c r="L10" s="1">
        <v>0</v>
      </c>
      <c r="M10" s="1">
        <v>0</v>
      </c>
      <c r="N10" s="1">
        <v>51164.86</v>
      </c>
      <c r="P10" s="1"/>
      <c r="Q10" s="1"/>
      <c r="R10" s="1"/>
      <c r="S10" s="1"/>
      <c r="T10" s="1"/>
      <c r="U10" s="1"/>
      <c r="V10" s="1"/>
      <c r="W10" s="1"/>
    </row>
    <row r="11" spans="2:24" x14ac:dyDescent="0.35">
      <c r="B11">
        <v>2026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32</v>
      </c>
      <c r="I11" t="s">
        <v>33</v>
      </c>
      <c r="J11" t="s">
        <v>17</v>
      </c>
      <c r="K11" s="1">
        <v>0</v>
      </c>
      <c r="L11" s="1">
        <v>0</v>
      </c>
      <c r="M11" s="1">
        <v>26.26</v>
      </c>
      <c r="N11" s="1">
        <v>0</v>
      </c>
      <c r="O11" s="5" t="s">
        <v>20</v>
      </c>
      <c r="P11" s="1" t="s">
        <v>20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26.26</v>
      </c>
      <c r="X11" t="s">
        <v>23</v>
      </c>
    </row>
    <row r="12" spans="2:24" x14ac:dyDescent="0.35">
      <c r="B12">
        <v>2026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34</v>
      </c>
      <c r="I12" t="s">
        <v>35</v>
      </c>
      <c r="J12" t="s">
        <v>17</v>
      </c>
      <c r="K12" s="1">
        <v>0</v>
      </c>
      <c r="L12" s="1">
        <v>4500</v>
      </c>
      <c r="M12" s="1">
        <v>13500</v>
      </c>
      <c r="N12" s="1">
        <v>35533.660000000003</v>
      </c>
      <c r="O12" s="5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18000</v>
      </c>
      <c r="X12" t="s">
        <v>23</v>
      </c>
    </row>
    <row r="13" spans="2:24" x14ac:dyDescent="0.35">
      <c r="B13">
        <v>2026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36</v>
      </c>
      <c r="I13" t="s">
        <v>37</v>
      </c>
      <c r="J13" t="s">
        <v>17</v>
      </c>
      <c r="K13" s="1">
        <v>0</v>
      </c>
      <c r="L13" s="1">
        <v>0</v>
      </c>
      <c r="M13" s="1">
        <v>0</v>
      </c>
      <c r="N13" s="1">
        <v>48700.800000000003</v>
      </c>
      <c r="O13" s="5"/>
      <c r="P13" s="1"/>
      <c r="Q13" s="1"/>
      <c r="R13" s="1"/>
      <c r="S13" s="1"/>
      <c r="T13" s="1"/>
      <c r="U13" s="1"/>
      <c r="V13" s="1"/>
      <c r="W13" s="1"/>
    </row>
    <row r="14" spans="2:24" x14ac:dyDescent="0.35">
      <c r="B14">
        <v>2026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36</v>
      </c>
      <c r="I14" t="s">
        <v>38</v>
      </c>
      <c r="J14" t="s">
        <v>17</v>
      </c>
      <c r="K14" s="1">
        <v>1295.6300000000001</v>
      </c>
      <c r="L14" s="1">
        <v>6097.12</v>
      </c>
      <c r="M14" s="1">
        <v>-1420.15</v>
      </c>
      <c r="N14" s="1">
        <v>3246.37</v>
      </c>
      <c r="O14" s="5">
        <v>2913.09</v>
      </c>
      <c r="P14" s="1">
        <v>2313.16</v>
      </c>
      <c r="Q14" s="1">
        <v>2210.59</v>
      </c>
      <c r="R14" s="1">
        <v>1694.59</v>
      </c>
      <c r="S14" s="1">
        <v>2520.44</v>
      </c>
      <c r="T14" s="1">
        <v>1721.46</v>
      </c>
      <c r="U14" s="1">
        <v>1519.01</v>
      </c>
      <c r="V14" s="1">
        <v>5378.56</v>
      </c>
      <c r="W14" s="1">
        <v>29489.87</v>
      </c>
      <c r="X14" t="s">
        <v>39</v>
      </c>
    </row>
    <row r="15" spans="2:24" x14ac:dyDescent="0.35">
      <c r="B15">
        <v>2026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 t="s">
        <v>40</v>
      </c>
      <c r="I15" t="s">
        <v>41</v>
      </c>
      <c r="J15" t="s">
        <v>17</v>
      </c>
      <c r="K15" s="1">
        <v>-34316.160000000003</v>
      </c>
      <c r="L15" s="1">
        <v>-77173.86</v>
      </c>
      <c r="M15" s="1">
        <v>-22849.78</v>
      </c>
      <c r="N15" s="1">
        <v>0</v>
      </c>
      <c r="O15" s="5">
        <v>0</v>
      </c>
      <c r="P15" s="1" t="s">
        <v>20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-134339.79999999999</v>
      </c>
      <c r="X15" t="s">
        <v>23</v>
      </c>
    </row>
    <row r="16" spans="2:24" x14ac:dyDescent="0.35">
      <c r="B16">
        <v>2026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42</v>
      </c>
      <c r="I16" t="s">
        <v>43</v>
      </c>
      <c r="J16" t="s">
        <v>17</v>
      </c>
      <c r="K16" s="1">
        <v>0</v>
      </c>
      <c r="L16" s="1">
        <v>0</v>
      </c>
      <c r="M16" s="1">
        <v>-278.38</v>
      </c>
      <c r="N16" s="1">
        <v>0</v>
      </c>
      <c r="O16" s="2" t="s">
        <v>20</v>
      </c>
      <c r="P16" s="1" t="s">
        <v>20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-278.38</v>
      </c>
      <c r="X16" t="s">
        <v>23</v>
      </c>
    </row>
    <row r="17" spans="2:24" x14ac:dyDescent="0.35">
      <c r="B17">
        <v>2026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42</v>
      </c>
      <c r="I17" t="s">
        <v>44</v>
      </c>
      <c r="J17" t="s">
        <v>17</v>
      </c>
      <c r="K17" s="1">
        <v>0</v>
      </c>
      <c r="L17" s="1">
        <v>-82761.279999999999</v>
      </c>
      <c r="M17" s="1">
        <v>0</v>
      </c>
      <c r="N17" s="1">
        <v>0</v>
      </c>
      <c r="O17" s="2" t="s">
        <v>20</v>
      </c>
      <c r="P17" s="1">
        <v>-50000</v>
      </c>
      <c r="Q17" s="1">
        <v>0</v>
      </c>
      <c r="R17" s="1">
        <v>-16000</v>
      </c>
      <c r="S17" s="1">
        <v>0</v>
      </c>
      <c r="T17" s="1">
        <v>0</v>
      </c>
      <c r="U17" s="1">
        <v>0</v>
      </c>
      <c r="V17" s="1">
        <v>-65000</v>
      </c>
      <c r="W17" s="1">
        <v>-213761.28</v>
      </c>
      <c r="X17" t="s">
        <v>45</v>
      </c>
    </row>
    <row r="18" spans="2:24" x14ac:dyDescent="0.35">
      <c r="B18">
        <v>2026</v>
      </c>
      <c r="C18" t="s">
        <v>10</v>
      </c>
      <c r="D18" t="s">
        <v>11</v>
      </c>
      <c r="E18" t="s">
        <v>12</v>
      </c>
      <c r="F18" t="s">
        <v>13</v>
      </c>
      <c r="G18" t="s">
        <v>46</v>
      </c>
      <c r="H18" t="s">
        <v>47</v>
      </c>
      <c r="I18" t="s">
        <v>48</v>
      </c>
      <c r="J18" t="s">
        <v>17</v>
      </c>
      <c r="K18" s="1">
        <v>0</v>
      </c>
      <c r="L18" s="1">
        <v>0</v>
      </c>
      <c r="M18" s="1">
        <v>2000</v>
      </c>
      <c r="N18" s="1">
        <v>0</v>
      </c>
      <c r="O18" s="2" t="s">
        <v>20</v>
      </c>
      <c r="P18" s="1" t="s">
        <v>20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2000</v>
      </c>
      <c r="X18" t="s">
        <v>23</v>
      </c>
    </row>
    <row r="19" spans="2:24" x14ac:dyDescent="0.35">
      <c r="B19">
        <v>2026</v>
      </c>
      <c r="C19" t="s">
        <v>10</v>
      </c>
      <c r="D19" t="s">
        <v>11</v>
      </c>
      <c r="E19" t="s">
        <v>12</v>
      </c>
      <c r="F19" t="s">
        <v>13</v>
      </c>
      <c r="G19" t="s">
        <v>49</v>
      </c>
      <c r="H19" t="s">
        <v>50</v>
      </c>
      <c r="I19" t="s">
        <v>51</v>
      </c>
      <c r="J19" t="s">
        <v>17</v>
      </c>
      <c r="K19" s="1">
        <v>-0.2</v>
      </c>
      <c r="L19" s="1">
        <v>0</v>
      </c>
      <c r="M19" s="1">
        <v>-0.14000000000000001</v>
      </c>
      <c r="N19" s="1">
        <v>-93.18</v>
      </c>
      <c r="O19" s="2">
        <v>-1.43</v>
      </c>
      <c r="P19" s="1" t="s">
        <v>20</v>
      </c>
      <c r="Q19" s="1">
        <v>-88.03</v>
      </c>
      <c r="R19" s="1">
        <v>-0.02</v>
      </c>
      <c r="S19" s="1">
        <v>0</v>
      </c>
      <c r="T19" s="1">
        <v>0</v>
      </c>
      <c r="U19" s="1">
        <v>0</v>
      </c>
      <c r="V19" s="1">
        <v>0</v>
      </c>
      <c r="W19" s="1">
        <v>-183.00000000000003</v>
      </c>
      <c r="X19" t="s">
        <v>23</v>
      </c>
    </row>
    <row r="20" spans="2:24" x14ac:dyDescent="0.35">
      <c r="B20">
        <v>2026</v>
      </c>
      <c r="C20" t="s">
        <v>10</v>
      </c>
      <c r="D20" t="s">
        <v>11</v>
      </c>
      <c r="E20" t="s">
        <v>12</v>
      </c>
      <c r="F20" t="s">
        <v>13</v>
      </c>
      <c r="G20" t="s">
        <v>49</v>
      </c>
      <c r="H20" t="s">
        <v>52</v>
      </c>
      <c r="I20" t="s">
        <v>53</v>
      </c>
      <c r="J20" t="s">
        <v>17</v>
      </c>
      <c r="K20" s="1">
        <v>3065.47</v>
      </c>
      <c r="L20" s="1">
        <v>0.02</v>
      </c>
      <c r="M20" s="1">
        <v>0</v>
      </c>
      <c r="N20" s="1">
        <v>1117.44</v>
      </c>
      <c r="O20" s="2" t="s">
        <v>20</v>
      </c>
      <c r="P20" s="1" t="s">
        <v>20</v>
      </c>
      <c r="Q20" s="1">
        <v>0</v>
      </c>
      <c r="R20" s="1">
        <v>0.01</v>
      </c>
      <c r="S20" s="1">
        <v>0</v>
      </c>
      <c r="T20" s="1">
        <v>0</v>
      </c>
      <c r="U20" s="1">
        <v>0</v>
      </c>
      <c r="V20" s="1">
        <v>0</v>
      </c>
      <c r="W20" s="1">
        <v>4182.9400000000005</v>
      </c>
      <c r="X20" t="s">
        <v>23</v>
      </c>
    </row>
    <row r="21" spans="2:24" x14ac:dyDescent="0.35">
      <c r="B21">
        <v>2026</v>
      </c>
      <c r="C21" t="s">
        <v>10</v>
      </c>
      <c r="D21" t="s">
        <v>11</v>
      </c>
      <c r="E21" t="s">
        <v>12</v>
      </c>
      <c r="F21" t="s">
        <v>13</v>
      </c>
      <c r="G21" t="s">
        <v>54</v>
      </c>
      <c r="H21" t="s">
        <v>55</v>
      </c>
      <c r="I21" t="s">
        <v>56</v>
      </c>
      <c r="J21" t="s">
        <v>17</v>
      </c>
      <c r="K21" s="1">
        <v>1191.8499999999999</v>
      </c>
      <c r="L21" s="1">
        <v>-20400.169999999998</v>
      </c>
      <c r="M21" s="1">
        <v>-3284.66</v>
      </c>
      <c r="N21" s="1">
        <v>15429.21</v>
      </c>
      <c r="O21" s="2">
        <v>4436.0200000000004</v>
      </c>
      <c r="P21" s="1">
        <v>-12387.42</v>
      </c>
      <c r="Q21" s="1">
        <v>-48438.2</v>
      </c>
      <c r="R21" s="1">
        <v>27557.62</v>
      </c>
      <c r="S21" s="1">
        <v>0</v>
      </c>
      <c r="T21" s="1">
        <v>0</v>
      </c>
      <c r="U21" s="1">
        <v>0</v>
      </c>
      <c r="V21" s="1">
        <v>0</v>
      </c>
      <c r="W21" s="1">
        <v>-35895.75</v>
      </c>
      <c r="X21" t="s">
        <v>57</v>
      </c>
    </row>
    <row r="22" spans="2:24" x14ac:dyDescent="0.35">
      <c r="B22">
        <v>2026</v>
      </c>
      <c r="C22" t="s">
        <v>10</v>
      </c>
      <c r="D22" t="s">
        <v>11</v>
      </c>
      <c r="E22" t="s">
        <v>12</v>
      </c>
      <c r="F22" t="s">
        <v>13</v>
      </c>
      <c r="G22" t="s">
        <v>54</v>
      </c>
      <c r="H22" t="s">
        <v>58</v>
      </c>
      <c r="I22" t="s">
        <v>59</v>
      </c>
      <c r="J22" t="s">
        <v>17</v>
      </c>
      <c r="K22" s="1">
        <v>-86069.93</v>
      </c>
      <c r="L22" s="1">
        <v>70405.740000000005</v>
      </c>
      <c r="M22" s="1">
        <v>86837.43</v>
      </c>
      <c r="N22" s="1">
        <v>-6784.01</v>
      </c>
      <c r="O22" s="2">
        <v>-34727.120000000003</v>
      </c>
      <c r="P22" s="1">
        <v>-77717.45</v>
      </c>
      <c r="Q22" s="1">
        <v>42145.57</v>
      </c>
      <c r="R22" s="1">
        <v>-20822.98</v>
      </c>
      <c r="S22" s="1">
        <v>0</v>
      </c>
      <c r="T22" s="1">
        <v>0</v>
      </c>
      <c r="U22" s="1">
        <v>0</v>
      </c>
      <c r="V22" s="1">
        <v>0</v>
      </c>
      <c r="W22" s="1">
        <v>-26732.749999999996</v>
      </c>
      <c r="X22" t="s">
        <v>57</v>
      </c>
    </row>
    <row r="23" spans="2:24" x14ac:dyDescent="0.35">
      <c r="B23">
        <v>2026</v>
      </c>
      <c r="C23" t="s">
        <v>10</v>
      </c>
      <c r="D23" t="s">
        <v>11</v>
      </c>
      <c r="E23" t="s">
        <v>12</v>
      </c>
      <c r="F23" t="s">
        <v>13</v>
      </c>
      <c r="G23" t="s">
        <v>60</v>
      </c>
      <c r="H23" t="s">
        <v>61</v>
      </c>
      <c r="I23" t="s">
        <v>62</v>
      </c>
      <c r="J23" t="s">
        <v>17</v>
      </c>
      <c r="K23" s="1">
        <v>-372155.73</v>
      </c>
      <c r="L23" s="1">
        <v>-457091.9</v>
      </c>
      <c r="M23" s="1">
        <v>-457890.87</v>
      </c>
      <c r="N23" s="1">
        <v>-391545.47</v>
      </c>
      <c r="O23" s="2">
        <v>-423709.62999999989</v>
      </c>
      <c r="P23" s="1">
        <v>-393937.01</v>
      </c>
      <c r="Q23" s="1">
        <v>-362186.44</v>
      </c>
      <c r="R23" s="1">
        <v>-189242.44</v>
      </c>
      <c r="S23" s="1">
        <v>-130848.21</v>
      </c>
      <c r="T23" s="1">
        <v>-247866.59</v>
      </c>
      <c r="U23" s="1">
        <v>-333218.14</v>
      </c>
      <c r="V23" s="1">
        <v>-359756.72</v>
      </c>
      <c r="W23" s="1">
        <v>-4119449.1499999994</v>
      </c>
      <c r="X23" t="s">
        <v>63</v>
      </c>
    </row>
    <row r="24" spans="2:24" x14ac:dyDescent="0.35">
      <c r="B24">
        <v>2026</v>
      </c>
      <c r="C24" t="s">
        <v>10</v>
      </c>
      <c r="D24" t="s">
        <v>11</v>
      </c>
      <c r="E24" t="s">
        <v>12</v>
      </c>
      <c r="F24" t="s">
        <v>13</v>
      </c>
      <c r="G24" t="s">
        <v>60</v>
      </c>
      <c r="H24" t="s">
        <v>64</v>
      </c>
      <c r="I24" t="s">
        <v>65</v>
      </c>
      <c r="J24" t="s">
        <v>17</v>
      </c>
      <c r="K24" s="1">
        <v>-103817.84</v>
      </c>
      <c r="L24" s="1">
        <v>-62983.5</v>
      </c>
      <c r="M24" s="1">
        <v>-55812.27</v>
      </c>
      <c r="N24" s="1">
        <v>-92652.34</v>
      </c>
      <c r="O24" s="2">
        <v>-30193.149999999991</v>
      </c>
      <c r="P24" s="1">
        <v>-89165.98000000001</v>
      </c>
      <c r="Q24" s="1">
        <v>-145291.04999999999</v>
      </c>
      <c r="R24" s="1">
        <v>-8606.0399999999936</v>
      </c>
      <c r="S24" s="1">
        <v>-25268.74</v>
      </c>
      <c r="T24" s="1">
        <v>-47866.74</v>
      </c>
      <c r="U24" s="1">
        <v>-64349.4</v>
      </c>
      <c r="V24" s="1">
        <v>-69474.399999999994</v>
      </c>
      <c r="W24" s="1">
        <v>-795481.45</v>
      </c>
      <c r="X24" t="s">
        <v>66</v>
      </c>
    </row>
    <row r="25" spans="2:24" x14ac:dyDescent="0.35">
      <c r="B25">
        <v>2026</v>
      </c>
      <c r="C25" t="s">
        <v>10</v>
      </c>
      <c r="D25" t="s">
        <v>11</v>
      </c>
      <c r="E25" t="s">
        <v>12</v>
      </c>
      <c r="F25" t="s">
        <v>13</v>
      </c>
      <c r="G25" t="s">
        <v>60</v>
      </c>
      <c r="H25" t="s">
        <v>64</v>
      </c>
      <c r="I25" t="s">
        <v>67</v>
      </c>
      <c r="J25" t="s">
        <v>17</v>
      </c>
      <c r="K25" s="1"/>
      <c r="L25" s="1"/>
      <c r="M25" s="1"/>
      <c r="N25" s="1"/>
      <c r="P25" s="1">
        <v>-30306.17</v>
      </c>
      <c r="Q25" s="1">
        <v>0</v>
      </c>
      <c r="R25" s="1">
        <v>0</v>
      </c>
      <c r="S25" s="1">
        <v>-30306.17</v>
      </c>
      <c r="T25" s="1">
        <v>-30306.17</v>
      </c>
      <c r="U25" s="1">
        <v>-30306.17</v>
      </c>
      <c r="V25" s="1">
        <v>-30306.17</v>
      </c>
      <c r="W25" s="1">
        <v>-151530.84999999998</v>
      </c>
      <c r="X25" t="s">
        <v>68</v>
      </c>
    </row>
    <row r="26" spans="2:24" x14ac:dyDescent="0.35">
      <c r="B26">
        <v>2026</v>
      </c>
      <c r="C26" t="s">
        <v>10</v>
      </c>
      <c r="D26" t="s">
        <v>11</v>
      </c>
      <c r="E26" t="s">
        <v>12</v>
      </c>
      <c r="F26" t="s">
        <v>13</v>
      </c>
      <c r="G26" t="s">
        <v>60</v>
      </c>
      <c r="H26" t="s">
        <v>64</v>
      </c>
      <c r="I26" t="s">
        <v>69</v>
      </c>
      <c r="J26" t="s">
        <v>17</v>
      </c>
      <c r="K26" s="1">
        <v>-12617.31</v>
      </c>
      <c r="L26" s="1">
        <v>-5458.67</v>
      </c>
      <c r="M26" s="1">
        <v>-15267.33</v>
      </c>
      <c r="N26" s="1">
        <v>-9307.32</v>
      </c>
      <c r="O26" s="2">
        <v>-2784.91</v>
      </c>
      <c r="P26" s="1">
        <v>-5867.49</v>
      </c>
      <c r="Q26" s="1">
        <v>-10270.19</v>
      </c>
      <c r="R26" s="1">
        <v>-2886.68</v>
      </c>
      <c r="S26" s="1">
        <v>-2765.66</v>
      </c>
      <c r="T26" s="1">
        <v>-5239.01</v>
      </c>
      <c r="U26" s="1">
        <v>-7043.03</v>
      </c>
      <c r="V26" s="1">
        <v>-7603.96</v>
      </c>
      <c r="W26" s="1">
        <v>-87111.56</v>
      </c>
      <c r="X26" t="s">
        <v>70</v>
      </c>
    </row>
    <row r="27" spans="2:24" x14ac:dyDescent="0.35">
      <c r="B27">
        <v>2026</v>
      </c>
      <c r="C27" t="s">
        <v>10</v>
      </c>
      <c r="D27" t="s">
        <v>11</v>
      </c>
      <c r="E27" t="s">
        <v>12</v>
      </c>
      <c r="F27" t="s">
        <v>13</v>
      </c>
      <c r="G27" t="s">
        <v>60</v>
      </c>
      <c r="H27" t="s">
        <v>64</v>
      </c>
      <c r="I27" t="s">
        <v>71</v>
      </c>
      <c r="J27" t="s">
        <v>17</v>
      </c>
      <c r="K27" s="1">
        <v>-7425.6</v>
      </c>
      <c r="L27" s="1">
        <v>-3712.8</v>
      </c>
      <c r="M27" s="1">
        <v>-4331.6000000000004</v>
      </c>
      <c r="N27" s="1">
        <v>-12608.05</v>
      </c>
      <c r="O27" s="2">
        <v>-17326.400000000001</v>
      </c>
      <c r="P27" s="1">
        <v>-12994.8</v>
      </c>
      <c r="Q27" s="1">
        <v>-4331.6000000000004</v>
      </c>
      <c r="R27" s="1">
        <v>-4331.6000000000004</v>
      </c>
      <c r="S27" s="1">
        <v>-2877.06</v>
      </c>
      <c r="T27" s="1">
        <v>-5450.04</v>
      </c>
      <c r="U27" s="1">
        <v>-7326.73</v>
      </c>
      <c r="V27" s="1">
        <v>-7910.25</v>
      </c>
      <c r="W27" s="1">
        <v>-90626.529999999984</v>
      </c>
      <c r="X27" t="s">
        <v>72</v>
      </c>
    </row>
    <row r="28" spans="2:24" x14ac:dyDescent="0.35">
      <c r="B28">
        <v>2026</v>
      </c>
      <c r="C28" t="s">
        <v>10</v>
      </c>
      <c r="D28" t="s">
        <v>11</v>
      </c>
      <c r="E28" t="s">
        <v>12</v>
      </c>
      <c r="F28" t="s">
        <v>13</v>
      </c>
      <c r="G28" t="s">
        <v>60</v>
      </c>
      <c r="H28" t="s">
        <v>64</v>
      </c>
      <c r="I28" t="s">
        <v>73</v>
      </c>
      <c r="J28" t="s">
        <v>17</v>
      </c>
      <c r="K28" s="1">
        <v>-131.91999999999999</v>
      </c>
      <c r="L28" s="1">
        <v>0</v>
      </c>
      <c r="M28" s="1">
        <v>0</v>
      </c>
      <c r="N28" s="1">
        <v>0</v>
      </c>
      <c r="O28" s="2" t="s">
        <v>20</v>
      </c>
      <c r="P28" s="1" t="s">
        <v>20</v>
      </c>
      <c r="Q28" s="1">
        <v>0</v>
      </c>
      <c r="R28" s="1">
        <v>0</v>
      </c>
      <c r="S28" s="1">
        <v>-131.91999999999999</v>
      </c>
      <c r="T28" s="1">
        <v>-131.91999999999999</v>
      </c>
      <c r="U28" s="1">
        <v>-131.91999999999999</v>
      </c>
      <c r="V28" s="1">
        <v>-131.91999999999999</v>
      </c>
      <c r="W28" s="1">
        <v>-659.59999999999991</v>
      </c>
      <c r="X28" t="s">
        <v>68</v>
      </c>
    </row>
    <row r="29" spans="2:24" x14ac:dyDescent="0.35">
      <c r="B29">
        <v>2026</v>
      </c>
      <c r="C29" t="s">
        <v>10</v>
      </c>
      <c r="D29" t="s">
        <v>11</v>
      </c>
      <c r="E29" t="s">
        <v>12</v>
      </c>
      <c r="F29" t="s">
        <v>13</v>
      </c>
      <c r="G29" t="s">
        <v>60</v>
      </c>
      <c r="H29" t="s">
        <v>64</v>
      </c>
      <c r="I29" t="s">
        <v>74</v>
      </c>
      <c r="J29" t="s">
        <v>17</v>
      </c>
      <c r="K29" s="1">
        <v>-95.3</v>
      </c>
      <c r="L29" s="1">
        <v>-136</v>
      </c>
      <c r="M29" s="1">
        <v>0</v>
      </c>
      <c r="N29" s="1">
        <v>-380.75</v>
      </c>
      <c r="O29" s="2" t="s">
        <v>20</v>
      </c>
      <c r="P29" s="1" t="s">
        <v>20</v>
      </c>
      <c r="Q29" s="1">
        <v>0</v>
      </c>
      <c r="R29" s="1">
        <v>0</v>
      </c>
      <c r="S29" s="1">
        <v>-204.02</v>
      </c>
      <c r="T29" s="1">
        <v>-204.02</v>
      </c>
      <c r="U29" s="1">
        <v>-204.02</v>
      </c>
      <c r="V29" s="1">
        <v>-204.02</v>
      </c>
      <c r="W29" s="1">
        <v>-1428.1299999999999</v>
      </c>
      <c r="X29" t="s">
        <v>68</v>
      </c>
    </row>
    <row r="30" spans="2:24" x14ac:dyDescent="0.35">
      <c r="B30">
        <v>2026</v>
      </c>
      <c r="C30" t="s">
        <v>10</v>
      </c>
      <c r="D30" t="s">
        <v>11</v>
      </c>
      <c r="E30" t="s">
        <v>12</v>
      </c>
      <c r="F30" t="s">
        <v>13</v>
      </c>
      <c r="G30" t="s">
        <v>60</v>
      </c>
      <c r="H30" t="s">
        <v>64</v>
      </c>
      <c r="I30" t="s">
        <v>75</v>
      </c>
      <c r="J30" t="s">
        <v>17</v>
      </c>
      <c r="K30" s="1">
        <v>-3578.65</v>
      </c>
      <c r="L30" s="1">
        <v>0</v>
      </c>
      <c r="M30" s="1">
        <v>-5949</v>
      </c>
      <c r="N30" s="1">
        <v>-5353</v>
      </c>
      <c r="O30" s="2" t="s">
        <v>20</v>
      </c>
      <c r="P30" s="1">
        <v>-3337.38</v>
      </c>
      <c r="Q30" s="1">
        <v>-5826.6</v>
      </c>
      <c r="R30" s="1">
        <v>-1108.8</v>
      </c>
      <c r="S30" s="1">
        <v>-1080.1099999999999</v>
      </c>
      <c r="T30" s="1">
        <v>-2046.06</v>
      </c>
      <c r="U30" s="1">
        <v>-2750.61</v>
      </c>
      <c r="V30" s="1">
        <v>-2969.67</v>
      </c>
      <c r="W30" s="1">
        <v>-33999.879999999997</v>
      </c>
      <c r="X30" t="s">
        <v>76</v>
      </c>
    </row>
    <row r="31" spans="2:24" x14ac:dyDescent="0.35">
      <c r="B31">
        <v>2026</v>
      </c>
      <c r="C31" t="s">
        <v>10</v>
      </c>
      <c r="D31" t="s">
        <v>11</v>
      </c>
      <c r="E31" t="s">
        <v>12</v>
      </c>
      <c r="F31" t="s">
        <v>13</v>
      </c>
      <c r="G31" t="s">
        <v>60</v>
      </c>
      <c r="H31" t="s">
        <v>64</v>
      </c>
      <c r="I31" t="s">
        <v>77</v>
      </c>
      <c r="J31" t="s">
        <v>17</v>
      </c>
      <c r="K31" s="1">
        <v>0</v>
      </c>
      <c r="L31" s="1">
        <v>0</v>
      </c>
      <c r="M31" s="1">
        <v>0</v>
      </c>
      <c r="N31" s="1">
        <v>0</v>
      </c>
      <c r="O31" s="2">
        <v>0</v>
      </c>
      <c r="P31" s="1" t="s">
        <v>20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t="s">
        <v>78</v>
      </c>
    </row>
    <row r="32" spans="2:24" x14ac:dyDescent="0.35">
      <c r="B32">
        <v>2026</v>
      </c>
      <c r="C32" t="s">
        <v>10</v>
      </c>
      <c r="D32" t="s">
        <v>11</v>
      </c>
      <c r="E32" t="s">
        <v>12</v>
      </c>
      <c r="F32" t="s">
        <v>13</v>
      </c>
      <c r="G32" t="s">
        <v>60</v>
      </c>
      <c r="H32" t="s">
        <v>64</v>
      </c>
      <c r="I32" t="s">
        <v>79</v>
      </c>
      <c r="J32" t="s">
        <v>17</v>
      </c>
      <c r="K32" s="1">
        <v>0</v>
      </c>
      <c r="L32" s="1">
        <v>0</v>
      </c>
      <c r="M32" s="1">
        <v>0</v>
      </c>
      <c r="N32" s="1">
        <v>0</v>
      </c>
      <c r="O32" s="2">
        <v>0</v>
      </c>
      <c r="P32" s="1" t="s">
        <v>20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t="s">
        <v>78</v>
      </c>
    </row>
    <row r="33" spans="2:24" x14ac:dyDescent="0.35">
      <c r="B33">
        <v>2026</v>
      </c>
      <c r="C33" t="s">
        <v>10</v>
      </c>
      <c r="D33" t="s">
        <v>11</v>
      </c>
      <c r="E33" t="s">
        <v>12</v>
      </c>
      <c r="F33" t="s">
        <v>13</v>
      </c>
      <c r="G33" t="s">
        <v>60</v>
      </c>
      <c r="H33" t="s">
        <v>64</v>
      </c>
      <c r="I33" t="s">
        <v>80</v>
      </c>
      <c r="J33" t="s">
        <v>17</v>
      </c>
      <c r="K33" s="1">
        <v>0</v>
      </c>
      <c r="L33" s="1">
        <v>0</v>
      </c>
      <c r="M33" s="1">
        <v>0</v>
      </c>
      <c r="N33" s="1">
        <v>0</v>
      </c>
      <c r="O33" s="2">
        <v>0</v>
      </c>
      <c r="P33" s="1" t="s">
        <v>20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t="s">
        <v>78</v>
      </c>
    </row>
    <row r="34" spans="2:24" x14ac:dyDescent="0.35">
      <c r="B34">
        <v>2026</v>
      </c>
      <c r="C34" t="s">
        <v>10</v>
      </c>
      <c r="D34" t="s">
        <v>11</v>
      </c>
      <c r="E34" t="s">
        <v>12</v>
      </c>
      <c r="F34" t="s">
        <v>13</v>
      </c>
      <c r="G34" t="s">
        <v>60</v>
      </c>
      <c r="H34" t="s">
        <v>64</v>
      </c>
      <c r="I34" t="s">
        <v>81</v>
      </c>
      <c r="J34" t="s">
        <v>17</v>
      </c>
      <c r="K34" s="1">
        <v>0</v>
      </c>
      <c r="L34" s="1">
        <v>-1575</v>
      </c>
      <c r="M34" s="1">
        <v>0</v>
      </c>
      <c r="N34" s="1">
        <v>0</v>
      </c>
      <c r="O34" s="2" t="s">
        <v>20</v>
      </c>
      <c r="P34" s="1">
        <v>-1735.41</v>
      </c>
      <c r="Q34" s="1">
        <v>-175.92</v>
      </c>
      <c r="R34" s="1">
        <v>-371.23</v>
      </c>
      <c r="S34" s="1">
        <v>-964.39</v>
      </c>
      <c r="T34" s="1">
        <v>-964.39</v>
      </c>
      <c r="U34" s="1">
        <v>-964.39</v>
      </c>
      <c r="V34" s="1">
        <v>-964.39</v>
      </c>
      <c r="W34" s="1">
        <v>-7715.1200000000008</v>
      </c>
      <c r="X34" t="s">
        <v>68</v>
      </c>
    </row>
    <row r="35" spans="2:24" x14ac:dyDescent="0.35">
      <c r="B35">
        <v>2026</v>
      </c>
      <c r="C35" t="s">
        <v>10</v>
      </c>
      <c r="D35" t="s">
        <v>11</v>
      </c>
      <c r="E35" t="s">
        <v>12</v>
      </c>
      <c r="F35" t="s">
        <v>13</v>
      </c>
      <c r="G35" t="s">
        <v>60</v>
      </c>
      <c r="H35" t="s">
        <v>64</v>
      </c>
      <c r="I35" t="s">
        <v>82</v>
      </c>
      <c r="J35" t="s">
        <v>17</v>
      </c>
      <c r="K35" s="1">
        <v>0</v>
      </c>
      <c r="L35" s="1">
        <v>-1887.21</v>
      </c>
      <c r="M35" s="1">
        <v>0</v>
      </c>
      <c r="N35" s="1">
        <v>0</v>
      </c>
      <c r="O35" s="2" t="s">
        <v>20</v>
      </c>
      <c r="P35" s="1" t="s">
        <v>20</v>
      </c>
      <c r="Q35" s="1">
        <v>-1232.05</v>
      </c>
      <c r="R35" s="1">
        <v>0</v>
      </c>
      <c r="S35" s="1">
        <v>-1559.63</v>
      </c>
      <c r="T35" s="1">
        <v>-1559.63</v>
      </c>
      <c r="U35" s="1">
        <v>-1559.63</v>
      </c>
      <c r="V35" s="1">
        <v>-1559.63</v>
      </c>
      <c r="W35" s="1">
        <v>-9357.7800000000007</v>
      </c>
      <c r="X35" t="s">
        <v>68</v>
      </c>
    </row>
    <row r="36" spans="2:24" x14ac:dyDescent="0.35">
      <c r="B36">
        <v>2026</v>
      </c>
      <c r="C36" t="s">
        <v>10</v>
      </c>
      <c r="D36" t="s">
        <v>11</v>
      </c>
      <c r="E36" t="s">
        <v>12</v>
      </c>
      <c r="F36" t="s">
        <v>13</v>
      </c>
      <c r="G36" t="s">
        <v>60</v>
      </c>
      <c r="H36" t="s">
        <v>64</v>
      </c>
      <c r="I36" t="s">
        <v>83</v>
      </c>
      <c r="J36" t="s">
        <v>17</v>
      </c>
      <c r="K36" s="1">
        <v>-157</v>
      </c>
      <c r="L36" s="1">
        <v>-2350.16</v>
      </c>
      <c r="M36" s="1">
        <v>0</v>
      </c>
      <c r="N36" s="1">
        <v>-2676.19</v>
      </c>
      <c r="O36" s="2">
        <v>-480.84</v>
      </c>
      <c r="P36" s="1">
        <v>-2604.9699999999998</v>
      </c>
      <c r="Q36" s="1">
        <v>-2809.41</v>
      </c>
      <c r="R36" s="1">
        <v>-2557.66</v>
      </c>
      <c r="S36" s="1">
        <v>-2200</v>
      </c>
      <c r="T36" s="1">
        <v>-2500</v>
      </c>
      <c r="U36" s="1">
        <v>-2700</v>
      </c>
      <c r="V36" s="1">
        <v>-2700</v>
      </c>
      <c r="W36" s="1">
        <v>-23736.23</v>
      </c>
      <c r="X36" t="s">
        <v>84</v>
      </c>
    </row>
    <row r="37" spans="2:24" x14ac:dyDescent="0.35">
      <c r="B37">
        <v>2026</v>
      </c>
      <c r="C37" t="s">
        <v>10</v>
      </c>
      <c r="D37" t="s">
        <v>11</v>
      </c>
      <c r="E37" t="s">
        <v>12</v>
      </c>
      <c r="F37" t="s">
        <v>13</v>
      </c>
      <c r="G37" t="s">
        <v>60</v>
      </c>
      <c r="H37" t="s">
        <v>64</v>
      </c>
      <c r="I37" t="s">
        <v>85</v>
      </c>
      <c r="J37" t="s">
        <v>17</v>
      </c>
      <c r="K37" s="1">
        <v>-1200.4000000000001</v>
      </c>
      <c r="L37" s="1">
        <v>-562</v>
      </c>
      <c r="M37" s="1">
        <v>-363</v>
      </c>
      <c r="N37" s="1">
        <v>67</v>
      </c>
      <c r="O37" s="2">
        <v>1124</v>
      </c>
      <c r="P37" s="1">
        <v>-1708</v>
      </c>
      <c r="Q37" s="1">
        <v>1360</v>
      </c>
      <c r="R37" s="1">
        <v>0</v>
      </c>
      <c r="S37" s="1">
        <v>-183.2</v>
      </c>
      <c r="T37" s="1">
        <v>-183.2</v>
      </c>
      <c r="U37" s="1">
        <v>-183.2</v>
      </c>
      <c r="V37" s="1">
        <v>-183.2</v>
      </c>
      <c r="W37" s="1">
        <v>-2015.2000000000003</v>
      </c>
      <c r="X37" t="s">
        <v>68</v>
      </c>
    </row>
    <row r="38" spans="2:24" x14ac:dyDescent="0.35">
      <c r="B38">
        <v>2026</v>
      </c>
      <c r="C38" t="s">
        <v>10</v>
      </c>
      <c r="D38" t="s">
        <v>11</v>
      </c>
      <c r="E38" t="s">
        <v>12</v>
      </c>
      <c r="F38" t="s">
        <v>13</v>
      </c>
      <c r="G38" t="s">
        <v>60</v>
      </c>
      <c r="H38" t="s">
        <v>86</v>
      </c>
      <c r="I38" t="s">
        <v>87</v>
      </c>
      <c r="J38" t="s">
        <v>17</v>
      </c>
      <c r="K38" s="1">
        <v>-4010</v>
      </c>
      <c r="L38" s="1">
        <v>-8438.9599999999991</v>
      </c>
      <c r="M38" s="1">
        <v>-10901.61</v>
      </c>
      <c r="N38" s="1">
        <v>-20866.93</v>
      </c>
      <c r="O38" s="2">
        <v>-3540</v>
      </c>
      <c r="P38" s="1">
        <v>0.72000000000116415</v>
      </c>
      <c r="Q38" s="1">
        <v>-3900</v>
      </c>
      <c r="R38" s="1">
        <v>-6131.3100000000013</v>
      </c>
      <c r="S38" s="1">
        <v>-5500</v>
      </c>
      <c r="T38" s="1">
        <v>-6500</v>
      </c>
      <c r="U38" s="1">
        <v>-7500</v>
      </c>
      <c r="V38" s="1">
        <v>-8000</v>
      </c>
      <c r="W38" s="1">
        <v>-85288.09</v>
      </c>
      <c r="X38" t="s">
        <v>88</v>
      </c>
    </row>
    <row r="39" spans="2:24" x14ac:dyDescent="0.35">
      <c r="B39">
        <v>2026</v>
      </c>
      <c r="C39" t="s">
        <v>10</v>
      </c>
      <c r="D39" t="s">
        <v>11</v>
      </c>
      <c r="E39" t="s">
        <v>12</v>
      </c>
      <c r="F39" t="s">
        <v>13</v>
      </c>
      <c r="G39" t="s">
        <v>60</v>
      </c>
      <c r="H39" t="s">
        <v>89</v>
      </c>
      <c r="I39" t="s">
        <v>90</v>
      </c>
      <c r="J39" t="s">
        <v>17</v>
      </c>
      <c r="K39" s="1">
        <v>25970.74</v>
      </c>
      <c r="L39" s="1">
        <v>149437.84</v>
      </c>
      <c r="M39" s="1">
        <v>81262.98</v>
      </c>
      <c r="N39" s="1">
        <v>-23562.66</v>
      </c>
      <c r="O39" s="2">
        <v>-43504.89</v>
      </c>
      <c r="P39" s="1">
        <v>-145710</v>
      </c>
      <c r="Q39" s="1">
        <v>649.66999999999996</v>
      </c>
      <c r="R39" s="1">
        <v>-59037.03</v>
      </c>
      <c r="S39" s="1">
        <v>0</v>
      </c>
      <c r="T39" s="1">
        <v>0</v>
      </c>
      <c r="U39" s="1">
        <v>0</v>
      </c>
      <c r="V39" s="1">
        <v>-15000</v>
      </c>
      <c r="W39" s="1">
        <v>-29493.349999999991</v>
      </c>
      <c r="X39" t="s">
        <v>57</v>
      </c>
    </row>
    <row r="40" spans="2:24" x14ac:dyDescent="0.35">
      <c r="B40">
        <v>2026</v>
      </c>
      <c r="C40" t="s">
        <v>10</v>
      </c>
      <c r="D40" t="s">
        <v>11</v>
      </c>
      <c r="E40" t="s">
        <v>12</v>
      </c>
      <c r="F40" t="s">
        <v>13</v>
      </c>
      <c r="G40" t="s">
        <v>60</v>
      </c>
      <c r="H40" t="s">
        <v>91</v>
      </c>
      <c r="I40" t="s">
        <v>92</v>
      </c>
      <c r="J40" t="s">
        <v>17</v>
      </c>
      <c r="K40" s="1">
        <v>61431.54</v>
      </c>
      <c r="L40" s="1">
        <v>-11484.37</v>
      </c>
      <c r="M40" s="1">
        <v>0</v>
      </c>
      <c r="N40" s="1">
        <v>44037.42</v>
      </c>
      <c r="O40" s="2">
        <v>-73565.42</v>
      </c>
      <c r="P40" s="1">
        <v>33912.769999999997</v>
      </c>
      <c r="Q40" s="1">
        <v>14991.19</v>
      </c>
      <c r="R40" s="1">
        <v>-4582.08</v>
      </c>
      <c r="S40" s="1">
        <v>0</v>
      </c>
      <c r="T40" s="1">
        <v>0</v>
      </c>
      <c r="U40" s="1">
        <v>0</v>
      </c>
      <c r="V40" s="1">
        <v>10000</v>
      </c>
      <c r="W40" s="1">
        <v>74741.049999999988</v>
      </c>
      <c r="X40" t="s">
        <v>57</v>
      </c>
    </row>
    <row r="41" spans="2:24" x14ac:dyDescent="0.35">
      <c r="B41">
        <v>2026</v>
      </c>
      <c r="C41" t="s">
        <v>10</v>
      </c>
      <c r="D41" t="s">
        <v>11</v>
      </c>
      <c r="E41" t="s">
        <v>12</v>
      </c>
      <c r="F41" t="s">
        <v>13</v>
      </c>
      <c r="G41" t="s">
        <v>24</v>
      </c>
      <c r="H41" t="s">
        <v>93</v>
      </c>
      <c r="I41" t="s">
        <v>94</v>
      </c>
      <c r="J41" t="s">
        <v>17</v>
      </c>
      <c r="K41" s="1">
        <v>0</v>
      </c>
      <c r="L41" s="1">
        <v>0</v>
      </c>
      <c r="M41" s="1">
        <v>0</v>
      </c>
      <c r="N41" s="1">
        <v>0</v>
      </c>
      <c r="O41" s="2">
        <v>0</v>
      </c>
      <c r="P41" s="1" t="s">
        <v>20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t="s">
        <v>78</v>
      </c>
    </row>
    <row r="42" spans="2:24" x14ac:dyDescent="0.35">
      <c r="B42">
        <v>2026</v>
      </c>
      <c r="C42" t="s">
        <v>10</v>
      </c>
      <c r="D42" t="s">
        <v>11</v>
      </c>
      <c r="E42" t="s">
        <v>12</v>
      </c>
      <c r="F42" t="s">
        <v>13</v>
      </c>
      <c r="G42" t="s">
        <v>95</v>
      </c>
      <c r="H42" t="s">
        <v>96</v>
      </c>
      <c r="I42" t="s">
        <v>97</v>
      </c>
      <c r="J42" t="s">
        <v>17</v>
      </c>
      <c r="K42" s="1">
        <v>-84814.92</v>
      </c>
      <c r="L42" s="1">
        <v>-115852.5</v>
      </c>
      <c r="M42" s="1">
        <v>-111568.08</v>
      </c>
      <c r="N42" s="1">
        <v>-100687.82</v>
      </c>
      <c r="O42" s="2">
        <v>-104048.18</v>
      </c>
      <c r="P42" s="1">
        <v>-114103.58</v>
      </c>
      <c r="Q42" s="1">
        <v>-121813.59</v>
      </c>
      <c r="R42" s="1">
        <v>-128060.74</v>
      </c>
      <c r="S42" s="1">
        <v>-110000</v>
      </c>
      <c r="T42" s="1">
        <v>-112000</v>
      </c>
      <c r="U42" s="1">
        <v>-112000</v>
      </c>
      <c r="V42" s="1">
        <v>-192000</v>
      </c>
      <c r="W42" s="1">
        <v>-1406949.41</v>
      </c>
      <c r="X42" t="s">
        <v>98</v>
      </c>
    </row>
    <row r="43" spans="2:24" x14ac:dyDescent="0.35">
      <c r="B43">
        <v>2026</v>
      </c>
      <c r="C43" t="s">
        <v>10</v>
      </c>
      <c r="D43" t="s">
        <v>11</v>
      </c>
      <c r="E43" t="s">
        <v>12</v>
      </c>
      <c r="F43" t="s">
        <v>13</v>
      </c>
      <c r="G43" t="s">
        <v>95</v>
      </c>
      <c r="H43" t="s">
        <v>99</v>
      </c>
      <c r="I43" t="s">
        <v>100</v>
      </c>
      <c r="J43" t="s">
        <v>17</v>
      </c>
      <c r="K43" s="1">
        <v>-26717.09</v>
      </c>
      <c r="L43" s="1">
        <v>-27074.7</v>
      </c>
      <c r="M43" s="1">
        <v>-32042.23</v>
      </c>
      <c r="N43" s="1">
        <v>-29359.85</v>
      </c>
      <c r="O43" s="2">
        <v>-30856.34</v>
      </c>
      <c r="P43" s="1">
        <v>-30968.7</v>
      </c>
      <c r="Q43" s="1">
        <v>-31720.06</v>
      </c>
      <c r="R43" s="1">
        <v>-24572.05</v>
      </c>
      <c r="S43" s="1">
        <v>-29000</v>
      </c>
      <c r="T43" s="1">
        <v>-30000</v>
      </c>
      <c r="U43" s="1">
        <v>-30000</v>
      </c>
      <c r="V43" s="1">
        <v>-31000</v>
      </c>
      <c r="W43" s="1">
        <v>-353311.02</v>
      </c>
      <c r="X43" t="s">
        <v>101</v>
      </c>
    </row>
    <row r="44" spans="2:24" x14ac:dyDescent="0.35">
      <c r="B44">
        <v>2026</v>
      </c>
      <c r="C44" t="s">
        <v>10</v>
      </c>
      <c r="D44" t="s">
        <v>11</v>
      </c>
      <c r="E44" t="s">
        <v>12</v>
      </c>
      <c r="F44" t="s">
        <v>13</v>
      </c>
      <c r="G44" t="s">
        <v>95</v>
      </c>
      <c r="H44" t="s">
        <v>102</v>
      </c>
      <c r="I44" t="s">
        <v>103</v>
      </c>
      <c r="J44" t="s">
        <v>17</v>
      </c>
      <c r="K44" s="1">
        <v>0</v>
      </c>
      <c r="L44" s="1">
        <v>0</v>
      </c>
      <c r="M44" s="1">
        <v>0</v>
      </c>
      <c r="N44" s="1">
        <v>0</v>
      </c>
      <c r="O44" s="2">
        <v>0</v>
      </c>
      <c r="P44" s="1" t="s">
        <v>20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t="s">
        <v>78</v>
      </c>
    </row>
    <row r="45" spans="2:24" x14ac:dyDescent="0.35">
      <c r="B45">
        <v>2026</v>
      </c>
      <c r="C45" t="s">
        <v>10</v>
      </c>
      <c r="D45" t="s">
        <v>11</v>
      </c>
      <c r="E45" t="s">
        <v>12</v>
      </c>
      <c r="F45" t="s">
        <v>13</v>
      </c>
      <c r="G45" t="s">
        <v>95</v>
      </c>
      <c r="H45" t="s">
        <v>102</v>
      </c>
      <c r="I45" t="s">
        <v>104</v>
      </c>
      <c r="J45" t="s">
        <v>17</v>
      </c>
      <c r="K45" s="1">
        <v>0</v>
      </c>
      <c r="L45" s="1">
        <v>0</v>
      </c>
      <c r="M45" s="1">
        <v>0</v>
      </c>
      <c r="N45" s="1">
        <v>0</v>
      </c>
      <c r="O45" s="2">
        <v>0</v>
      </c>
      <c r="P45" s="1" t="s">
        <v>20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t="s">
        <v>78</v>
      </c>
    </row>
    <row r="46" spans="2:24" x14ac:dyDescent="0.35">
      <c r="B46">
        <v>2026</v>
      </c>
      <c r="C46" t="s">
        <v>10</v>
      </c>
      <c r="D46" t="s">
        <v>11</v>
      </c>
      <c r="E46" t="s">
        <v>12</v>
      </c>
      <c r="F46" t="s">
        <v>13</v>
      </c>
      <c r="G46" t="s">
        <v>95</v>
      </c>
      <c r="H46" t="s">
        <v>102</v>
      </c>
      <c r="I46" t="s">
        <v>105</v>
      </c>
      <c r="J46" t="s">
        <v>17</v>
      </c>
      <c r="K46" s="1">
        <v>0</v>
      </c>
      <c r="L46" s="1">
        <v>0</v>
      </c>
      <c r="M46" s="1">
        <v>0</v>
      </c>
      <c r="N46" s="1">
        <v>0</v>
      </c>
      <c r="O46" s="2">
        <v>0</v>
      </c>
      <c r="P46" s="1" t="s">
        <v>20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t="s">
        <v>78</v>
      </c>
    </row>
    <row r="47" spans="2:24" x14ac:dyDescent="0.35">
      <c r="B47">
        <v>2026</v>
      </c>
      <c r="C47" t="s">
        <v>10</v>
      </c>
      <c r="D47" t="s">
        <v>11</v>
      </c>
      <c r="E47" t="s">
        <v>12</v>
      </c>
      <c r="F47" t="s">
        <v>13</v>
      </c>
      <c r="G47" t="s">
        <v>95</v>
      </c>
      <c r="H47" t="s">
        <v>102</v>
      </c>
      <c r="I47" t="s">
        <v>106</v>
      </c>
      <c r="J47" t="s">
        <v>17</v>
      </c>
      <c r="K47" s="1">
        <v>0</v>
      </c>
      <c r="L47" s="1">
        <v>0</v>
      </c>
      <c r="M47" s="1">
        <v>0</v>
      </c>
      <c r="N47" s="1">
        <v>0</v>
      </c>
      <c r="O47" s="2">
        <v>0</v>
      </c>
      <c r="P47" s="1" t="s">
        <v>20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t="s">
        <v>78</v>
      </c>
    </row>
    <row r="48" spans="2:24" x14ac:dyDescent="0.35">
      <c r="B48">
        <v>2026</v>
      </c>
      <c r="C48" t="s">
        <v>10</v>
      </c>
      <c r="D48" t="s">
        <v>11</v>
      </c>
      <c r="E48" t="s">
        <v>12</v>
      </c>
      <c r="F48" t="s">
        <v>13</v>
      </c>
      <c r="G48" t="s">
        <v>95</v>
      </c>
      <c r="H48" t="s">
        <v>102</v>
      </c>
      <c r="I48" t="s">
        <v>107</v>
      </c>
      <c r="J48" t="s">
        <v>17</v>
      </c>
      <c r="K48" s="1">
        <v>0</v>
      </c>
      <c r="L48" s="1">
        <v>0</v>
      </c>
      <c r="M48" s="1">
        <v>0</v>
      </c>
      <c r="N48" s="1">
        <v>0</v>
      </c>
      <c r="O48" s="2">
        <v>0</v>
      </c>
      <c r="P48" s="1" t="s">
        <v>20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t="s">
        <v>78</v>
      </c>
    </row>
    <row r="49" spans="2:24" x14ac:dyDescent="0.35">
      <c r="B49">
        <v>2026</v>
      </c>
      <c r="C49" t="s">
        <v>10</v>
      </c>
      <c r="D49" t="s">
        <v>11</v>
      </c>
      <c r="E49" t="s">
        <v>12</v>
      </c>
      <c r="F49" t="s">
        <v>13</v>
      </c>
      <c r="G49" t="s">
        <v>95</v>
      </c>
      <c r="H49" t="s">
        <v>102</v>
      </c>
      <c r="I49" t="s">
        <v>108</v>
      </c>
      <c r="J49" t="s">
        <v>17</v>
      </c>
      <c r="K49" s="1">
        <v>0</v>
      </c>
      <c r="L49" s="1">
        <v>0</v>
      </c>
      <c r="M49" s="1">
        <v>0</v>
      </c>
      <c r="N49" s="1">
        <v>0</v>
      </c>
      <c r="O49" s="2">
        <v>0</v>
      </c>
      <c r="P49" s="1" t="s">
        <v>20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t="s">
        <v>78</v>
      </c>
    </row>
    <row r="50" spans="2:24" x14ac:dyDescent="0.35">
      <c r="B50">
        <v>2026</v>
      </c>
      <c r="C50" t="s">
        <v>10</v>
      </c>
      <c r="D50" t="s">
        <v>11</v>
      </c>
      <c r="E50" t="s">
        <v>12</v>
      </c>
      <c r="F50" t="s">
        <v>13</v>
      </c>
      <c r="G50" t="s">
        <v>95</v>
      </c>
      <c r="H50" t="s">
        <v>102</v>
      </c>
      <c r="I50" t="s">
        <v>109</v>
      </c>
      <c r="J50" t="s">
        <v>17</v>
      </c>
      <c r="K50" s="1">
        <v>0</v>
      </c>
      <c r="L50" s="1">
        <v>0</v>
      </c>
      <c r="M50" s="1">
        <v>0</v>
      </c>
      <c r="N50" s="1">
        <v>0</v>
      </c>
      <c r="O50" s="2">
        <v>0</v>
      </c>
      <c r="P50" s="1" t="s">
        <v>20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t="s">
        <v>78</v>
      </c>
    </row>
    <row r="51" spans="2:24" x14ac:dyDescent="0.35">
      <c r="B51">
        <v>2026</v>
      </c>
      <c r="C51" t="s">
        <v>10</v>
      </c>
      <c r="D51" t="s">
        <v>11</v>
      </c>
      <c r="E51" t="s">
        <v>12</v>
      </c>
      <c r="F51" t="s">
        <v>13</v>
      </c>
      <c r="G51" t="s">
        <v>95</v>
      </c>
      <c r="H51" t="s">
        <v>102</v>
      </c>
      <c r="I51" t="s">
        <v>110</v>
      </c>
      <c r="J51" t="s">
        <v>17</v>
      </c>
      <c r="K51" s="1">
        <v>0</v>
      </c>
      <c r="L51" s="1">
        <v>0</v>
      </c>
      <c r="M51" s="1">
        <v>0</v>
      </c>
      <c r="N51" s="1">
        <v>0</v>
      </c>
      <c r="O51" s="2">
        <v>0</v>
      </c>
      <c r="P51" s="1" t="s">
        <v>20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t="s">
        <v>78</v>
      </c>
    </row>
    <row r="52" spans="2:24" x14ac:dyDescent="0.35">
      <c r="B52">
        <v>2026</v>
      </c>
      <c r="C52" t="s">
        <v>10</v>
      </c>
      <c r="D52" t="s">
        <v>11</v>
      </c>
      <c r="E52" t="s">
        <v>12</v>
      </c>
      <c r="F52" t="s">
        <v>13</v>
      </c>
      <c r="G52" t="s">
        <v>95</v>
      </c>
      <c r="H52" t="s">
        <v>102</v>
      </c>
      <c r="I52" t="s">
        <v>111</v>
      </c>
      <c r="J52" t="s">
        <v>17</v>
      </c>
      <c r="K52" s="1">
        <v>0</v>
      </c>
      <c r="L52" s="1">
        <v>0</v>
      </c>
      <c r="M52" s="1">
        <v>-2623</v>
      </c>
      <c r="N52" s="1">
        <v>0</v>
      </c>
      <c r="O52" s="2">
        <v>-88</v>
      </c>
      <c r="P52" s="1" t="s">
        <v>20</v>
      </c>
      <c r="Q52" s="1">
        <v>0</v>
      </c>
      <c r="R52" s="1">
        <v>0</v>
      </c>
      <c r="S52" s="1">
        <v>0</v>
      </c>
      <c r="T52" s="1">
        <v>0</v>
      </c>
      <c r="U52" s="1">
        <v>-1000</v>
      </c>
      <c r="V52" s="1">
        <v>-1500</v>
      </c>
      <c r="W52" s="1">
        <v>-5211</v>
      </c>
      <c r="X52" t="s">
        <v>112</v>
      </c>
    </row>
    <row r="53" spans="2:24" x14ac:dyDescent="0.35">
      <c r="B53">
        <v>2026</v>
      </c>
      <c r="C53" t="s">
        <v>10</v>
      </c>
      <c r="D53" t="s">
        <v>11</v>
      </c>
      <c r="E53" t="s">
        <v>12</v>
      </c>
      <c r="F53" t="s">
        <v>13</v>
      </c>
      <c r="G53" t="s">
        <v>95</v>
      </c>
      <c r="H53" t="s">
        <v>102</v>
      </c>
      <c r="I53" t="s">
        <v>113</v>
      </c>
      <c r="J53" t="s">
        <v>17</v>
      </c>
      <c r="K53" s="1">
        <v>0</v>
      </c>
      <c r="L53" s="1">
        <v>0</v>
      </c>
      <c r="M53" s="1">
        <v>0</v>
      </c>
      <c r="N53" s="1">
        <v>0</v>
      </c>
      <c r="O53" s="2">
        <v>0</v>
      </c>
      <c r="P53" s="1" t="s">
        <v>20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t="s">
        <v>78</v>
      </c>
    </row>
    <row r="54" spans="2:24" x14ac:dyDescent="0.35">
      <c r="B54">
        <v>2026</v>
      </c>
      <c r="C54" t="s">
        <v>10</v>
      </c>
      <c r="D54" t="s">
        <v>11</v>
      </c>
      <c r="E54" t="s">
        <v>12</v>
      </c>
      <c r="F54" t="s">
        <v>13</v>
      </c>
      <c r="G54" t="s">
        <v>95</v>
      </c>
      <c r="H54" t="s">
        <v>102</v>
      </c>
      <c r="I54" t="s">
        <v>114</v>
      </c>
      <c r="J54" t="s">
        <v>17</v>
      </c>
      <c r="K54" s="1">
        <v>0</v>
      </c>
      <c r="L54" s="1">
        <v>0</v>
      </c>
      <c r="M54" s="1">
        <v>0</v>
      </c>
      <c r="N54" s="1">
        <v>0</v>
      </c>
      <c r="O54" s="2">
        <v>0</v>
      </c>
      <c r="P54" s="1" t="s">
        <v>20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t="s">
        <v>78</v>
      </c>
    </row>
    <row r="55" spans="2:24" x14ac:dyDescent="0.35">
      <c r="B55">
        <v>2026</v>
      </c>
      <c r="C55" t="s">
        <v>10</v>
      </c>
      <c r="D55" t="s">
        <v>11</v>
      </c>
      <c r="E55" t="s">
        <v>12</v>
      </c>
      <c r="F55" t="s">
        <v>13</v>
      </c>
      <c r="G55" t="s">
        <v>95</v>
      </c>
      <c r="H55" t="s">
        <v>102</v>
      </c>
      <c r="I55" t="s">
        <v>115</v>
      </c>
      <c r="J55" t="s">
        <v>17</v>
      </c>
      <c r="K55" s="1">
        <v>0</v>
      </c>
      <c r="L55" s="1">
        <v>0</v>
      </c>
      <c r="M55" s="1">
        <v>0</v>
      </c>
      <c r="N55" s="1">
        <v>0</v>
      </c>
      <c r="O55" s="2">
        <v>0</v>
      </c>
      <c r="P55" s="1" t="s">
        <v>20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t="s">
        <v>78</v>
      </c>
    </row>
    <row r="56" spans="2:24" x14ac:dyDescent="0.35">
      <c r="B56">
        <v>2026</v>
      </c>
      <c r="C56" t="s">
        <v>10</v>
      </c>
      <c r="D56" t="s">
        <v>11</v>
      </c>
      <c r="E56" t="s">
        <v>12</v>
      </c>
      <c r="F56" t="s">
        <v>13</v>
      </c>
      <c r="G56" t="s">
        <v>95</v>
      </c>
      <c r="H56" t="s">
        <v>102</v>
      </c>
      <c r="I56" t="s">
        <v>116</v>
      </c>
      <c r="J56" t="s">
        <v>17</v>
      </c>
      <c r="K56" s="1">
        <v>0</v>
      </c>
      <c r="L56" s="1">
        <v>0</v>
      </c>
      <c r="M56" s="1">
        <v>0</v>
      </c>
      <c r="N56" s="1">
        <v>0</v>
      </c>
      <c r="O56" s="2">
        <v>0</v>
      </c>
      <c r="P56" s="1" t="s">
        <v>20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t="s">
        <v>78</v>
      </c>
    </row>
    <row r="57" spans="2:24" x14ac:dyDescent="0.35">
      <c r="B57">
        <v>2026</v>
      </c>
      <c r="C57" t="s">
        <v>10</v>
      </c>
      <c r="D57" t="s">
        <v>11</v>
      </c>
      <c r="E57" t="s">
        <v>12</v>
      </c>
      <c r="F57" t="s">
        <v>13</v>
      </c>
      <c r="G57" t="s">
        <v>95</v>
      </c>
      <c r="H57" t="s">
        <v>102</v>
      </c>
      <c r="I57" t="s">
        <v>117</v>
      </c>
      <c r="J57" t="s">
        <v>17</v>
      </c>
      <c r="K57" s="1">
        <v>0</v>
      </c>
      <c r="L57" s="1">
        <v>0</v>
      </c>
      <c r="M57" s="1">
        <v>0</v>
      </c>
      <c r="N57" s="1">
        <v>0</v>
      </c>
      <c r="O57" s="2">
        <v>0</v>
      </c>
      <c r="P57" s="1" t="s">
        <v>20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t="s">
        <v>78</v>
      </c>
    </row>
    <row r="58" spans="2:24" x14ac:dyDescent="0.35">
      <c r="B58">
        <v>2026</v>
      </c>
      <c r="C58" t="s">
        <v>10</v>
      </c>
      <c r="D58" t="s">
        <v>11</v>
      </c>
      <c r="E58" t="s">
        <v>12</v>
      </c>
      <c r="F58" t="s">
        <v>13</v>
      </c>
      <c r="G58" t="s">
        <v>118</v>
      </c>
      <c r="H58" t="s">
        <v>119</v>
      </c>
      <c r="I58" t="s">
        <v>120</v>
      </c>
      <c r="J58" t="s">
        <v>17</v>
      </c>
      <c r="K58" s="1">
        <v>0</v>
      </c>
      <c r="L58" s="1">
        <v>0</v>
      </c>
      <c r="M58" s="1">
        <v>-113.13</v>
      </c>
      <c r="N58" s="1">
        <v>-87.6</v>
      </c>
      <c r="O58" s="2">
        <v>-487.47</v>
      </c>
      <c r="P58" s="1">
        <v>-697.81</v>
      </c>
      <c r="Q58" s="1">
        <v>-226.47</v>
      </c>
      <c r="R58" s="1">
        <v>0</v>
      </c>
      <c r="S58" s="1">
        <v>-322.5</v>
      </c>
      <c r="T58" s="1">
        <v>-322.5</v>
      </c>
      <c r="U58" s="1">
        <v>-322.5</v>
      </c>
      <c r="V58" s="1">
        <v>-322.5</v>
      </c>
      <c r="W58" s="1">
        <v>-2902.48</v>
      </c>
      <c r="X58" t="s">
        <v>121</v>
      </c>
    </row>
    <row r="59" spans="2:24" x14ac:dyDescent="0.35">
      <c r="B59">
        <v>2026</v>
      </c>
      <c r="C59" t="s">
        <v>10</v>
      </c>
      <c r="D59" t="s">
        <v>11</v>
      </c>
      <c r="E59" t="s">
        <v>12</v>
      </c>
      <c r="F59" t="s">
        <v>13</v>
      </c>
      <c r="G59" t="s">
        <v>118</v>
      </c>
      <c r="H59" t="s">
        <v>119</v>
      </c>
      <c r="I59" t="s">
        <v>122</v>
      </c>
      <c r="J59" t="s">
        <v>17</v>
      </c>
      <c r="K59" s="1">
        <v>-522.30999999999995</v>
      </c>
      <c r="L59" s="1">
        <v>-356.17</v>
      </c>
      <c r="M59" s="1">
        <v>0</v>
      </c>
      <c r="N59" s="1">
        <v>-1440.58</v>
      </c>
      <c r="O59" s="2">
        <v>-1464.58</v>
      </c>
      <c r="P59" s="1">
        <v>-752.24</v>
      </c>
      <c r="Q59" s="1">
        <v>-752.24</v>
      </c>
      <c r="R59" s="1">
        <v>-399.98</v>
      </c>
      <c r="S59" s="1">
        <v>-812.59</v>
      </c>
      <c r="T59" s="1">
        <v>-812.59</v>
      </c>
      <c r="U59" s="1">
        <v>-812.59</v>
      </c>
      <c r="V59" s="1">
        <v>-812.59</v>
      </c>
      <c r="W59" s="1">
        <v>-8938.4600000000009</v>
      </c>
      <c r="X59" t="s">
        <v>121</v>
      </c>
    </row>
    <row r="60" spans="2:24" x14ac:dyDescent="0.35">
      <c r="B60">
        <v>2026</v>
      </c>
      <c r="C60" t="s">
        <v>10</v>
      </c>
      <c r="D60" t="s">
        <v>11</v>
      </c>
      <c r="E60" t="s">
        <v>12</v>
      </c>
      <c r="F60" t="s">
        <v>13</v>
      </c>
      <c r="G60" t="s">
        <v>118</v>
      </c>
      <c r="H60" t="s">
        <v>119</v>
      </c>
      <c r="I60" t="s">
        <v>123</v>
      </c>
      <c r="J60" t="s">
        <v>17</v>
      </c>
      <c r="K60" s="1">
        <v>-523.96</v>
      </c>
      <c r="L60" s="1">
        <v>-1019.07</v>
      </c>
      <c r="M60" s="1">
        <v>-1573.25</v>
      </c>
      <c r="N60" s="1">
        <v>-41.5</v>
      </c>
      <c r="O60" s="2">
        <v>-1476.12</v>
      </c>
      <c r="P60" s="1">
        <v>-2389.0100000000002</v>
      </c>
      <c r="Q60" s="1">
        <v>-1899.09</v>
      </c>
      <c r="R60" s="1">
        <v>-911.52</v>
      </c>
      <c r="S60" s="1">
        <v>-1229.19</v>
      </c>
      <c r="T60" s="1">
        <v>-1229.19</v>
      </c>
      <c r="U60" s="1">
        <v>-1229.19</v>
      </c>
      <c r="V60" s="1">
        <v>-1229.19</v>
      </c>
      <c r="W60" s="1">
        <v>-14750.280000000002</v>
      </c>
      <c r="X60" t="s">
        <v>121</v>
      </c>
    </row>
    <row r="61" spans="2:24" x14ac:dyDescent="0.35">
      <c r="B61">
        <v>2026</v>
      </c>
      <c r="C61" t="s">
        <v>10</v>
      </c>
      <c r="D61" t="s">
        <v>11</v>
      </c>
      <c r="E61" t="s">
        <v>12</v>
      </c>
      <c r="F61" t="s">
        <v>13</v>
      </c>
      <c r="G61" t="s">
        <v>118</v>
      </c>
      <c r="H61" t="s">
        <v>124</v>
      </c>
      <c r="I61" t="s">
        <v>125</v>
      </c>
      <c r="J61" t="s">
        <v>17</v>
      </c>
      <c r="K61" s="1">
        <v>-192</v>
      </c>
      <c r="L61" s="1">
        <v>-192</v>
      </c>
      <c r="M61" s="1">
        <v>-192</v>
      </c>
      <c r="N61" s="1">
        <v>-192</v>
      </c>
      <c r="O61" s="2">
        <v>-192</v>
      </c>
      <c r="P61" s="1">
        <v>-192</v>
      </c>
      <c r="Q61" s="1">
        <v>-192</v>
      </c>
      <c r="R61" s="1">
        <v>-192</v>
      </c>
      <c r="S61" s="1">
        <v>-192</v>
      </c>
      <c r="T61" s="1">
        <v>-192</v>
      </c>
      <c r="U61" s="1">
        <v>-192</v>
      </c>
      <c r="V61" s="1">
        <v>-192</v>
      </c>
      <c r="W61" s="1">
        <v>-2304</v>
      </c>
      <c r="X61" t="s">
        <v>126</v>
      </c>
    </row>
    <row r="62" spans="2:24" x14ac:dyDescent="0.35">
      <c r="B62">
        <v>2026</v>
      </c>
      <c r="C62" t="s">
        <v>10</v>
      </c>
      <c r="D62" t="s">
        <v>11</v>
      </c>
      <c r="E62" t="s">
        <v>12</v>
      </c>
      <c r="F62" t="s">
        <v>13</v>
      </c>
      <c r="G62" t="s">
        <v>118</v>
      </c>
      <c r="H62" t="s">
        <v>124</v>
      </c>
      <c r="I62" t="s">
        <v>127</v>
      </c>
      <c r="J62" t="s">
        <v>17</v>
      </c>
      <c r="K62" s="1"/>
      <c r="L62" s="1"/>
      <c r="M62" s="1"/>
      <c r="N62" s="1"/>
      <c r="O62" s="2">
        <v>-15421.92</v>
      </c>
      <c r="P62" s="1" t="s">
        <v>20</v>
      </c>
      <c r="Q62" s="1">
        <v>-6139.04</v>
      </c>
      <c r="R62" s="1">
        <v>0</v>
      </c>
      <c r="S62" s="1">
        <v>-2695.12</v>
      </c>
      <c r="T62" s="1">
        <v>-2695.12</v>
      </c>
      <c r="U62" s="1">
        <v>-2695.12</v>
      </c>
      <c r="V62" s="1">
        <v>-2695.12</v>
      </c>
      <c r="W62" s="1">
        <v>-32341.439999999995</v>
      </c>
      <c r="X62" t="s">
        <v>128</v>
      </c>
    </row>
    <row r="63" spans="2:24" x14ac:dyDescent="0.35">
      <c r="B63">
        <v>2026</v>
      </c>
      <c r="C63" t="s">
        <v>10</v>
      </c>
      <c r="D63" t="s">
        <v>11</v>
      </c>
      <c r="E63" t="s">
        <v>12</v>
      </c>
      <c r="F63" t="s">
        <v>13</v>
      </c>
      <c r="G63" t="s">
        <v>118</v>
      </c>
      <c r="H63" t="s">
        <v>124</v>
      </c>
      <c r="I63" t="s">
        <v>129</v>
      </c>
      <c r="J63" t="s">
        <v>17</v>
      </c>
      <c r="K63" s="1">
        <v>0</v>
      </c>
      <c r="L63" s="1">
        <v>0</v>
      </c>
      <c r="M63" s="1">
        <v>0</v>
      </c>
      <c r="N63" s="1">
        <v>0</v>
      </c>
      <c r="O63" s="2">
        <v>0</v>
      </c>
      <c r="P63" s="1" t="s">
        <v>20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t="s">
        <v>21</v>
      </c>
    </row>
    <row r="64" spans="2:24" x14ac:dyDescent="0.35">
      <c r="B64">
        <v>2026</v>
      </c>
      <c r="C64" t="s">
        <v>10</v>
      </c>
      <c r="D64" t="s">
        <v>11</v>
      </c>
      <c r="E64" t="s">
        <v>12</v>
      </c>
      <c r="F64" t="s">
        <v>13</v>
      </c>
      <c r="G64" t="s">
        <v>118</v>
      </c>
      <c r="H64" t="s">
        <v>124</v>
      </c>
      <c r="I64" t="s">
        <v>130</v>
      </c>
      <c r="J64" t="s">
        <v>17</v>
      </c>
      <c r="K64" s="1">
        <v>0</v>
      </c>
      <c r="L64" s="1">
        <v>-361.46</v>
      </c>
      <c r="M64" s="1">
        <v>0</v>
      </c>
      <c r="N64" s="1">
        <v>-361.46</v>
      </c>
      <c r="O64" s="2" t="s">
        <v>20</v>
      </c>
      <c r="P64" s="1" t="s">
        <v>20</v>
      </c>
      <c r="Q64" s="1">
        <v>0</v>
      </c>
      <c r="R64" s="1">
        <v>0</v>
      </c>
      <c r="S64" s="1">
        <v>-361.46</v>
      </c>
      <c r="T64" s="1">
        <v>-361.46</v>
      </c>
      <c r="U64" s="1">
        <v>-361.46</v>
      </c>
      <c r="V64" s="1">
        <v>-361.46</v>
      </c>
      <c r="W64" s="1">
        <v>-2168.7599999999998</v>
      </c>
      <c r="X64" t="s">
        <v>126</v>
      </c>
    </row>
    <row r="65" spans="2:24" x14ac:dyDescent="0.35">
      <c r="B65">
        <v>2026</v>
      </c>
      <c r="C65" t="s">
        <v>10</v>
      </c>
      <c r="D65" t="s">
        <v>11</v>
      </c>
      <c r="E65" t="s">
        <v>12</v>
      </c>
      <c r="F65" t="s">
        <v>13</v>
      </c>
      <c r="G65" t="s">
        <v>118</v>
      </c>
      <c r="H65" t="s">
        <v>124</v>
      </c>
      <c r="I65" t="s">
        <v>131</v>
      </c>
      <c r="J65" t="s">
        <v>17</v>
      </c>
      <c r="K65" s="1">
        <v>0</v>
      </c>
      <c r="L65" s="1">
        <v>0</v>
      </c>
      <c r="M65" s="1">
        <v>0</v>
      </c>
      <c r="N65" s="1">
        <v>0</v>
      </c>
      <c r="O65" s="2">
        <v>0</v>
      </c>
      <c r="P65" s="1" t="s">
        <v>20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t="s">
        <v>21</v>
      </c>
    </row>
    <row r="66" spans="2:24" x14ac:dyDescent="0.35">
      <c r="B66">
        <v>2026</v>
      </c>
      <c r="C66" t="s">
        <v>10</v>
      </c>
      <c r="D66" t="s">
        <v>11</v>
      </c>
      <c r="E66" t="s">
        <v>12</v>
      </c>
      <c r="F66" t="s">
        <v>13</v>
      </c>
      <c r="G66" t="s">
        <v>118</v>
      </c>
      <c r="H66" t="s">
        <v>124</v>
      </c>
      <c r="I66" t="s">
        <v>132</v>
      </c>
      <c r="J66" t="s">
        <v>17</v>
      </c>
      <c r="K66" s="1">
        <v>0</v>
      </c>
      <c r="L66" s="1">
        <v>0</v>
      </c>
      <c r="M66" s="1">
        <v>-369.97</v>
      </c>
      <c r="N66" s="1">
        <v>-369.97</v>
      </c>
      <c r="O66" s="2" t="s">
        <v>20</v>
      </c>
      <c r="P66" s="1" t="s">
        <v>20</v>
      </c>
      <c r="Q66" s="1">
        <v>0</v>
      </c>
      <c r="R66" s="1">
        <v>0</v>
      </c>
      <c r="S66" s="1">
        <v>-369.97</v>
      </c>
      <c r="T66" s="1">
        <v>-369.97</v>
      </c>
      <c r="U66" s="1">
        <v>-369.97</v>
      </c>
      <c r="V66" s="1">
        <v>-369.97</v>
      </c>
      <c r="W66" s="1">
        <v>-2219.8200000000002</v>
      </c>
      <c r="X66" t="s">
        <v>126</v>
      </c>
    </row>
    <row r="67" spans="2:24" x14ac:dyDescent="0.35">
      <c r="B67">
        <v>2026</v>
      </c>
      <c r="C67" t="s">
        <v>10</v>
      </c>
      <c r="D67" t="s">
        <v>11</v>
      </c>
      <c r="E67" t="s">
        <v>12</v>
      </c>
      <c r="F67" t="s">
        <v>13</v>
      </c>
      <c r="G67" t="s">
        <v>118</v>
      </c>
      <c r="H67" t="s">
        <v>124</v>
      </c>
      <c r="I67" t="s">
        <v>133</v>
      </c>
      <c r="J67" t="s">
        <v>17</v>
      </c>
      <c r="K67" s="1">
        <v>0</v>
      </c>
      <c r="L67" s="1">
        <v>0</v>
      </c>
      <c r="M67" s="1">
        <v>0</v>
      </c>
      <c r="N67" s="1">
        <v>0</v>
      </c>
      <c r="O67" s="2">
        <v>0</v>
      </c>
      <c r="P67" s="1" t="s">
        <v>20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t="s">
        <v>21</v>
      </c>
    </row>
    <row r="68" spans="2:24" x14ac:dyDescent="0.35">
      <c r="B68">
        <v>2026</v>
      </c>
      <c r="C68" t="s">
        <v>10</v>
      </c>
      <c r="D68" t="s">
        <v>11</v>
      </c>
      <c r="E68" t="s">
        <v>12</v>
      </c>
      <c r="F68" t="s">
        <v>13</v>
      </c>
      <c r="G68" t="s">
        <v>118</v>
      </c>
      <c r="H68" t="s">
        <v>124</v>
      </c>
      <c r="I68" t="s">
        <v>134</v>
      </c>
      <c r="J68" t="s">
        <v>17</v>
      </c>
      <c r="K68" s="1">
        <v>-338</v>
      </c>
      <c r="L68" s="1">
        <v>-338</v>
      </c>
      <c r="M68" s="1">
        <v>-338</v>
      </c>
      <c r="N68" s="1">
        <v>-338</v>
      </c>
      <c r="O68" s="2">
        <v>-338</v>
      </c>
      <c r="P68" s="1">
        <v>-338</v>
      </c>
      <c r="Q68" s="1">
        <v>-338</v>
      </c>
      <c r="R68" s="1">
        <v>-338</v>
      </c>
      <c r="S68" s="1">
        <v>-338</v>
      </c>
      <c r="T68" s="1">
        <v>-338</v>
      </c>
      <c r="U68" s="1">
        <v>-338</v>
      </c>
      <c r="V68" s="1">
        <v>-338</v>
      </c>
      <c r="W68" s="1">
        <v>-4056</v>
      </c>
      <c r="X68" t="s">
        <v>126</v>
      </c>
    </row>
    <row r="69" spans="2:24" x14ac:dyDescent="0.35">
      <c r="B69">
        <v>2026</v>
      </c>
      <c r="C69" t="s">
        <v>10</v>
      </c>
      <c r="D69" t="s">
        <v>11</v>
      </c>
      <c r="E69" t="s">
        <v>12</v>
      </c>
      <c r="F69" t="s">
        <v>13</v>
      </c>
      <c r="G69" t="s">
        <v>118</v>
      </c>
      <c r="H69" t="s">
        <v>124</v>
      </c>
      <c r="I69" t="s">
        <v>135</v>
      </c>
      <c r="J69" t="s">
        <v>17</v>
      </c>
      <c r="K69" s="1">
        <v>-349</v>
      </c>
      <c r="L69" s="1">
        <v>-349</v>
      </c>
      <c r="M69" s="1">
        <v>-349</v>
      </c>
      <c r="N69" s="1">
        <v>0</v>
      </c>
      <c r="O69" s="2">
        <v>-443.49</v>
      </c>
      <c r="P69" s="1">
        <v>-443.49</v>
      </c>
      <c r="Q69" s="1">
        <v>-886.98</v>
      </c>
      <c r="R69" s="1">
        <v>0</v>
      </c>
      <c r="S69" s="1">
        <v>-470.16</v>
      </c>
      <c r="T69" s="1">
        <v>-470.16</v>
      </c>
      <c r="U69" s="1">
        <v>-470.16</v>
      </c>
      <c r="V69" s="1">
        <v>-470.16</v>
      </c>
      <c r="W69" s="1">
        <v>-4701.5999999999995</v>
      </c>
      <c r="X69" t="s">
        <v>126</v>
      </c>
    </row>
    <row r="70" spans="2:24" x14ac:dyDescent="0.35">
      <c r="B70">
        <v>2026</v>
      </c>
      <c r="C70" t="s">
        <v>10</v>
      </c>
      <c r="D70" t="s">
        <v>11</v>
      </c>
      <c r="E70" t="s">
        <v>12</v>
      </c>
      <c r="F70" t="s">
        <v>13</v>
      </c>
      <c r="G70" t="s">
        <v>118</v>
      </c>
      <c r="H70" t="s">
        <v>124</v>
      </c>
      <c r="I70" t="s">
        <v>136</v>
      </c>
      <c r="J70" t="s">
        <v>17</v>
      </c>
      <c r="K70" s="1">
        <v>-361.46</v>
      </c>
      <c r="L70" s="1">
        <v>0</v>
      </c>
      <c r="M70" s="1">
        <v>-361.46</v>
      </c>
      <c r="N70" s="1">
        <v>0</v>
      </c>
      <c r="O70" s="2">
        <v>-399.42</v>
      </c>
      <c r="P70" s="1">
        <v>-399.42</v>
      </c>
      <c r="Q70" s="1">
        <v>-149.15</v>
      </c>
      <c r="R70" s="1">
        <v>-399.42</v>
      </c>
      <c r="S70" s="1">
        <v>-345.06</v>
      </c>
      <c r="T70" s="1">
        <v>-345.06</v>
      </c>
      <c r="U70" s="1">
        <v>-345.06</v>
      </c>
      <c r="V70" s="1">
        <v>-345.06</v>
      </c>
      <c r="W70" s="1">
        <v>-3450.5699999999997</v>
      </c>
      <c r="X70" t="s">
        <v>126</v>
      </c>
    </row>
    <row r="71" spans="2:24" x14ac:dyDescent="0.35">
      <c r="B71">
        <v>2026</v>
      </c>
      <c r="C71" t="s">
        <v>10</v>
      </c>
      <c r="D71" t="s">
        <v>11</v>
      </c>
      <c r="E71" t="s">
        <v>12</v>
      </c>
      <c r="F71" t="s">
        <v>13</v>
      </c>
      <c r="G71" t="s">
        <v>118</v>
      </c>
      <c r="H71" t="s">
        <v>124</v>
      </c>
      <c r="I71" t="s">
        <v>137</v>
      </c>
      <c r="J71" t="s">
        <v>17</v>
      </c>
      <c r="K71" s="1">
        <v>-650.95000000000005</v>
      </c>
      <c r="L71" s="1">
        <v>-650.95000000000005</v>
      </c>
      <c r="M71" s="1">
        <v>0</v>
      </c>
      <c r="N71" s="1">
        <v>0</v>
      </c>
      <c r="O71" s="2" t="s">
        <v>20</v>
      </c>
      <c r="P71" s="1" t="s">
        <v>20</v>
      </c>
      <c r="Q71" s="1">
        <v>0</v>
      </c>
      <c r="R71" s="1">
        <v>-1139.1600000000001</v>
      </c>
      <c r="S71" s="1">
        <v>-813.69</v>
      </c>
      <c r="T71" s="1">
        <v>-813.69</v>
      </c>
      <c r="U71" s="1">
        <v>-813.69</v>
      </c>
      <c r="V71" s="1">
        <v>-813.69</v>
      </c>
      <c r="W71" s="1">
        <v>-5695.8200000000015</v>
      </c>
      <c r="X71" t="s">
        <v>126</v>
      </c>
    </row>
    <row r="72" spans="2:24" x14ac:dyDescent="0.35">
      <c r="B72">
        <v>2026</v>
      </c>
      <c r="C72" t="s">
        <v>10</v>
      </c>
      <c r="D72" t="s">
        <v>11</v>
      </c>
      <c r="E72" t="s">
        <v>12</v>
      </c>
      <c r="F72" t="s">
        <v>13</v>
      </c>
      <c r="G72" t="s">
        <v>118</v>
      </c>
      <c r="H72" t="s">
        <v>124</v>
      </c>
      <c r="I72" t="s">
        <v>138</v>
      </c>
      <c r="J72" t="s">
        <v>17</v>
      </c>
      <c r="K72" s="1">
        <v>0</v>
      </c>
      <c r="L72" s="1">
        <v>0</v>
      </c>
      <c r="M72" s="1">
        <v>0</v>
      </c>
      <c r="N72" s="1">
        <v>0</v>
      </c>
      <c r="O72" s="2">
        <v>0</v>
      </c>
      <c r="P72" s="1" t="s">
        <v>20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t="s">
        <v>21</v>
      </c>
    </row>
    <row r="73" spans="2:24" x14ac:dyDescent="0.35">
      <c r="B73">
        <v>2026</v>
      </c>
      <c r="C73" t="s">
        <v>10</v>
      </c>
      <c r="D73" t="s">
        <v>11</v>
      </c>
      <c r="E73" t="s">
        <v>12</v>
      </c>
      <c r="F73" t="s">
        <v>13</v>
      </c>
      <c r="G73" t="s">
        <v>118</v>
      </c>
      <c r="H73" t="s">
        <v>124</v>
      </c>
      <c r="I73" t="s">
        <v>139</v>
      </c>
      <c r="J73" t="s">
        <v>17</v>
      </c>
      <c r="K73" s="1">
        <v>0</v>
      </c>
      <c r="L73" s="1">
        <v>0</v>
      </c>
      <c r="M73" s="1">
        <v>0</v>
      </c>
      <c r="N73" s="1">
        <v>0</v>
      </c>
      <c r="O73" s="2">
        <v>0</v>
      </c>
      <c r="P73" s="1" t="s">
        <v>20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t="s">
        <v>21</v>
      </c>
    </row>
    <row r="74" spans="2:24" x14ac:dyDescent="0.35">
      <c r="B74">
        <v>2026</v>
      </c>
      <c r="C74" t="s">
        <v>10</v>
      </c>
      <c r="D74" t="s">
        <v>11</v>
      </c>
      <c r="E74" t="s">
        <v>12</v>
      </c>
      <c r="F74" t="s">
        <v>13</v>
      </c>
      <c r="G74" t="s">
        <v>118</v>
      </c>
      <c r="H74" t="s">
        <v>124</v>
      </c>
      <c r="I74" t="s">
        <v>140</v>
      </c>
      <c r="J74" t="s">
        <v>17</v>
      </c>
      <c r="K74" s="1">
        <v>-200</v>
      </c>
      <c r="L74" s="1">
        <v>-200</v>
      </c>
      <c r="M74" s="1">
        <v>-200</v>
      </c>
      <c r="N74" s="1">
        <v>-200</v>
      </c>
      <c r="O74" s="2">
        <v>-200</v>
      </c>
      <c r="P74" s="1">
        <v>-200</v>
      </c>
      <c r="Q74" s="1" t="s">
        <v>141</v>
      </c>
      <c r="R74" s="1">
        <v>-400</v>
      </c>
      <c r="S74" s="1">
        <v>-228.57</v>
      </c>
      <c r="T74" s="1">
        <v>-228.57</v>
      </c>
      <c r="U74" s="1">
        <v>-228.57</v>
      </c>
      <c r="V74" s="1">
        <v>-228.57</v>
      </c>
      <c r="W74" s="1">
        <v>-2514.2800000000002</v>
      </c>
      <c r="X74" t="s">
        <v>126</v>
      </c>
    </row>
    <row r="75" spans="2:24" x14ac:dyDescent="0.35">
      <c r="B75">
        <v>2026</v>
      </c>
      <c r="C75" t="s">
        <v>10</v>
      </c>
      <c r="D75" t="s">
        <v>11</v>
      </c>
      <c r="E75" t="s">
        <v>12</v>
      </c>
      <c r="F75" t="s">
        <v>13</v>
      </c>
      <c r="G75" t="s">
        <v>118</v>
      </c>
      <c r="H75" t="s">
        <v>124</v>
      </c>
      <c r="I75" t="s">
        <v>142</v>
      </c>
      <c r="J75" t="s">
        <v>17</v>
      </c>
      <c r="K75" s="1">
        <v>-200.22</v>
      </c>
      <c r="L75" s="1">
        <v>-200.22</v>
      </c>
      <c r="M75" s="1">
        <v>-200.22</v>
      </c>
      <c r="N75" s="1">
        <v>-200.22</v>
      </c>
      <c r="O75" s="2">
        <v>-200.22</v>
      </c>
      <c r="P75" s="1">
        <v>-200.22</v>
      </c>
      <c r="Q75" s="1" t="s">
        <v>141</v>
      </c>
      <c r="R75" s="1">
        <v>-400.44</v>
      </c>
      <c r="S75" s="1">
        <v>-228.82</v>
      </c>
      <c r="T75" s="1">
        <v>-228.82</v>
      </c>
      <c r="U75" s="1">
        <v>-228.82</v>
      </c>
      <c r="V75" s="1">
        <v>-228.82</v>
      </c>
      <c r="W75" s="1">
        <v>-2517.0400000000004</v>
      </c>
      <c r="X75" t="s">
        <v>126</v>
      </c>
    </row>
    <row r="76" spans="2:24" x14ac:dyDescent="0.35">
      <c r="B76">
        <v>2026</v>
      </c>
      <c r="C76" t="s">
        <v>10</v>
      </c>
      <c r="D76" t="s">
        <v>11</v>
      </c>
      <c r="E76" t="s">
        <v>12</v>
      </c>
      <c r="F76" t="s">
        <v>13</v>
      </c>
      <c r="G76" t="s">
        <v>118</v>
      </c>
      <c r="H76" t="s">
        <v>124</v>
      </c>
      <c r="I76" t="s">
        <v>143</v>
      </c>
      <c r="J76" t="s">
        <v>17</v>
      </c>
      <c r="K76" s="1">
        <v>-369.97</v>
      </c>
      <c r="L76" s="1">
        <v>-369.97</v>
      </c>
      <c r="M76" s="1">
        <v>-150</v>
      </c>
      <c r="N76" s="1">
        <v>-1039.51</v>
      </c>
      <c r="O76" s="2" t="s">
        <v>20</v>
      </c>
      <c r="P76" s="1" t="s">
        <v>20</v>
      </c>
      <c r="Q76" s="1">
        <v>0</v>
      </c>
      <c r="R76" s="1">
        <v>0</v>
      </c>
      <c r="S76" s="1">
        <v>-482.36</v>
      </c>
      <c r="T76" s="1">
        <v>-482.36</v>
      </c>
      <c r="U76" s="1">
        <v>-482.36</v>
      </c>
      <c r="V76" s="1">
        <v>-482.36</v>
      </c>
      <c r="W76" s="1">
        <v>-3858.8900000000003</v>
      </c>
      <c r="X76" t="s">
        <v>126</v>
      </c>
    </row>
    <row r="77" spans="2:24" x14ac:dyDescent="0.35">
      <c r="B77">
        <v>2026</v>
      </c>
      <c r="C77" t="s">
        <v>10</v>
      </c>
      <c r="D77" t="s">
        <v>11</v>
      </c>
      <c r="E77" t="s">
        <v>12</v>
      </c>
      <c r="F77" t="s">
        <v>13</v>
      </c>
      <c r="G77" t="s">
        <v>118</v>
      </c>
      <c r="H77" t="s">
        <v>124</v>
      </c>
      <c r="I77" t="s">
        <v>144</v>
      </c>
      <c r="J77" t="s">
        <v>17</v>
      </c>
      <c r="K77" s="1">
        <v>-1068.22</v>
      </c>
      <c r="L77" s="1">
        <v>0</v>
      </c>
      <c r="M77" s="1">
        <v>-2136.44</v>
      </c>
      <c r="N77" s="1">
        <v>-1068.22</v>
      </c>
      <c r="O77" s="2">
        <v>-1172.1400000000001</v>
      </c>
      <c r="P77" s="1" t="s">
        <v>20</v>
      </c>
      <c r="Q77" s="1">
        <v>-2344.3000000000002</v>
      </c>
      <c r="R77" s="1">
        <v>0</v>
      </c>
      <c r="S77" s="1">
        <v>-1557.86</v>
      </c>
      <c r="T77" s="1">
        <v>-1557.86</v>
      </c>
      <c r="U77" s="1">
        <v>-1557.86</v>
      </c>
      <c r="V77" s="1">
        <v>-1557.86</v>
      </c>
      <c r="W77" s="1">
        <v>-14020.760000000002</v>
      </c>
      <c r="X77" t="s">
        <v>126</v>
      </c>
    </row>
    <row r="78" spans="2:24" x14ac:dyDescent="0.35">
      <c r="B78">
        <v>2026</v>
      </c>
      <c r="C78" t="s">
        <v>10</v>
      </c>
      <c r="D78" t="s">
        <v>11</v>
      </c>
      <c r="E78" t="s">
        <v>12</v>
      </c>
      <c r="F78" t="s">
        <v>13</v>
      </c>
      <c r="G78" t="s">
        <v>118</v>
      </c>
      <c r="H78" t="s">
        <v>124</v>
      </c>
      <c r="I78" t="s">
        <v>145</v>
      </c>
      <c r="J78" t="s">
        <v>17</v>
      </c>
      <c r="K78" s="1">
        <v>-911.28</v>
      </c>
      <c r="L78" s="1">
        <v>0</v>
      </c>
      <c r="M78" s="1">
        <v>-1822.56</v>
      </c>
      <c r="N78" s="1">
        <v>-911.28</v>
      </c>
      <c r="O78" s="2">
        <v>-1015.21</v>
      </c>
      <c r="P78" s="1" t="s">
        <v>20</v>
      </c>
      <c r="Q78" s="1">
        <v>-2030.4</v>
      </c>
      <c r="R78" s="1">
        <v>0</v>
      </c>
      <c r="S78" s="1">
        <v>-1338.15</v>
      </c>
      <c r="T78" s="1">
        <v>-1338.15</v>
      </c>
      <c r="U78" s="1">
        <v>-1338.15</v>
      </c>
      <c r="V78" s="1">
        <v>-1338.15</v>
      </c>
      <c r="W78" s="1">
        <v>-12043.329999999998</v>
      </c>
      <c r="X78" t="s">
        <v>126</v>
      </c>
    </row>
    <row r="79" spans="2:24" x14ac:dyDescent="0.35">
      <c r="B79">
        <v>2026</v>
      </c>
      <c r="C79" t="s">
        <v>10</v>
      </c>
      <c r="D79" t="s">
        <v>11</v>
      </c>
      <c r="E79" t="s">
        <v>12</v>
      </c>
      <c r="F79" t="s">
        <v>13</v>
      </c>
      <c r="G79" t="s">
        <v>118</v>
      </c>
      <c r="H79" t="s">
        <v>124</v>
      </c>
      <c r="I79" t="s">
        <v>146</v>
      </c>
      <c r="J79" t="s">
        <v>17</v>
      </c>
      <c r="K79" s="1">
        <v>-613.16</v>
      </c>
      <c r="L79" s="1">
        <v>-613.15</v>
      </c>
      <c r="M79" s="1">
        <v>-613.15</v>
      </c>
      <c r="N79" s="1">
        <v>-613.15</v>
      </c>
      <c r="O79" s="2">
        <v>-677.53</v>
      </c>
      <c r="P79" s="1">
        <v>-677.53</v>
      </c>
      <c r="Q79" s="1">
        <v>-677.53</v>
      </c>
      <c r="R79" s="1">
        <v>-677.53</v>
      </c>
      <c r="S79" s="1">
        <v>-645.34</v>
      </c>
      <c r="T79" s="1">
        <v>-645.34</v>
      </c>
      <c r="U79" s="1">
        <v>-645.34</v>
      </c>
      <c r="V79" s="1">
        <v>-645.34</v>
      </c>
      <c r="W79" s="1">
        <v>-7744.09</v>
      </c>
      <c r="X79" t="s">
        <v>126</v>
      </c>
    </row>
    <row r="80" spans="2:24" x14ac:dyDescent="0.35">
      <c r="B80">
        <v>2026</v>
      </c>
      <c r="C80" t="s">
        <v>10</v>
      </c>
      <c r="D80" t="s">
        <v>11</v>
      </c>
      <c r="E80" t="s">
        <v>12</v>
      </c>
      <c r="F80" t="s">
        <v>13</v>
      </c>
      <c r="G80" t="s">
        <v>118</v>
      </c>
      <c r="H80" t="s">
        <v>124</v>
      </c>
      <c r="I80" t="s">
        <v>147</v>
      </c>
      <c r="J80" t="s">
        <v>17</v>
      </c>
      <c r="K80" s="1">
        <v>-1600</v>
      </c>
      <c r="L80" s="1">
        <v>-1600</v>
      </c>
      <c r="M80" s="1">
        <v>-1600</v>
      </c>
      <c r="N80" s="1">
        <v>-1600</v>
      </c>
      <c r="O80" s="2">
        <v>-1600</v>
      </c>
      <c r="P80" s="1">
        <v>-1600</v>
      </c>
      <c r="Q80" s="1">
        <v>-1600</v>
      </c>
      <c r="R80" s="1">
        <v>-1600</v>
      </c>
      <c r="S80" s="1">
        <v>-1600</v>
      </c>
      <c r="T80" s="1">
        <v>-1600</v>
      </c>
      <c r="U80" s="1">
        <v>-1600</v>
      </c>
      <c r="V80" s="1">
        <v>-1600</v>
      </c>
      <c r="W80" s="1">
        <v>-19200</v>
      </c>
      <c r="X80" t="s">
        <v>126</v>
      </c>
    </row>
    <row r="81" spans="2:24" x14ac:dyDescent="0.35">
      <c r="B81">
        <v>2026</v>
      </c>
      <c r="C81" t="s">
        <v>10</v>
      </c>
      <c r="D81" t="s">
        <v>11</v>
      </c>
      <c r="E81" t="s">
        <v>12</v>
      </c>
      <c r="F81" t="s">
        <v>13</v>
      </c>
      <c r="G81" t="s">
        <v>118</v>
      </c>
      <c r="H81" t="s">
        <v>124</v>
      </c>
      <c r="I81" t="s">
        <v>148</v>
      </c>
      <c r="J81" t="s">
        <v>17</v>
      </c>
      <c r="K81" s="1">
        <v>-634.77</v>
      </c>
      <c r="L81" s="1">
        <v>-1093.22</v>
      </c>
      <c r="M81" s="1">
        <v>-1093.22</v>
      </c>
      <c r="N81" s="1">
        <v>-1093.22</v>
      </c>
      <c r="O81" s="2">
        <v>-1208.01</v>
      </c>
      <c r="P81" s="1">
        <v>-1208.01</v>
      </c>
      <c r="Q81" s="1">
        <v>-1208.01</v>
      </c>
      <c r="R81" s="1">
        <v>-1208.01</v>
      </c>
      <c r="S81" s="1">
        <v>-1093.31</v>
      </c>
      <c r="T81" s="1">
        <v>-1093.31</v>
      </c>
      <c r="U81" s="1">
        <v>-1093.31</v>
      </c>
      <c r="V81" s="1">
        <v>-1093.31</v>
      </c>
      <c r="W81" s="1">
        <v>-13119.71</v>
      </c>
      <c r="X81" t="s">
        <v>126</v>
      </c>
    </row>
    <row r="82" spans="2:24" x14ac:dyDescent="0.35">
      <c r="B82">
        <v>2026</v>
      </c>
      <c r="C82" t="s">
        <v>10</v>
      </c>
      <c r="D82" t="s">
        <v>11</v>
      </c>
      <c r="E82" t="s">
        <v>12</v>
      </c>
      <c r="F82" t="s">
        <v>13</v>
      </c>
      <c r="G82" t="s">
        <v>118</v>
      </c>
      <c r="H82" t="s">
        <v>124</v>
      </c>
      <c r="I82" t="s">
        <v>149</v>
      </c>
      <c r="J82" t="s">
        <v>17</v>
      </c>
      <c r="K82" s="1">
        <v>0</v>
      </c>
      <c r="L82" s="1">
        <v>0</v>
      </c>
      <c r="M82" s="1">
        <v>0</v>
      </c>
      <c r="N82" s="1">
        <v>-381.67</v>
      </c>
      <c r="O82" s="2">
        <v>0</v>
      </c>
      <c r="P82" s="1">
        <v>-845.32999999999993</v>
      </c>
      <c r="Q82" s="1">
        <v>-742</v>
      </c>
      <c r="R82" s="1">
        <v>-742</v>
      </c>
      <c r="S82" s="1">
        <v>-677.75</v>
      </c>
      <c r="T82" s="1">
        <v>-677.75</v>
      </c>
      <c r="U82" s="1">
        <v>-677.75</v>
      </c>
      <c r="V82" s="1">
        <v>-677.75</v>
      </c>
      <c r="W82" s="1">
        <v>-5422</v>
      </c>
      <c r="X82" t="s">
        <v>126</v>
      </c>
    </row>
    <row r="83" spans="2:24" x14ac:dyDescent="0.35">
      <c r="B83">
        <v>2026</v>
      </c>
      <c r="C83" t="s">
        <v>10</v>
      </c>
      <c r="D83" t="s">
        <v>11</v>
      </c>
      <c r="E83" t="s">
        <v>12</v>
      </c>
      <c r="F83" t="s">
        <v>13</v>
      </c>
      <c r="G83" t="s">
        <v>118</v>
      </c>
      <c r="H83" t="s">
        <v>150</v>
      </c>
      <c r="I83" t="s">
        <v>151</v>
      </c>
      <c r="J83" t="s">
        <v>17</v>
      </c>
      <c r="K83" s="1">
        <v>-1621.56</v>
      </c>
      <c r="L83" s="1">
        <v>-815.7</v>
      </c>
      <c r="M83" s="1">
        <v>-136.16</v>
      </c>
      <c r="N83" s="1">
        <v>-218</v>
      </c>
      <c r="O83" s="2" t="s">
        <v>20</v>
      </c>
      <c r="P83" s="1">
        <v>-790.66</v>
      </c>
      <c r="Q83" s="1" t="s">
        <v>141</v>
      </c>
      <c r="R83" s="1">
        <v>0</v>
      </c>
      <c r="S83" s="1">
        <v>-748.65</v>
      </c>
      <c r="T83" s="1">
        <v>-748.65</v>
      </c>
      <c r="U83" s="1">
        <v>-748.65</v>
      </c>
      <c r="V83" s="1">
        <v>-748.65</v>
      </c>
      <c r="W83" s="1">
        <v>-6576.6799999999985</v>
      </c>
      <c r="X83" t="s">
        <v>152</v>
      </c>
    </row>
    <row r="84" spans="2:24" x14ac:dyDescent="0.35">
      <c r="B84">
        <v>2026</v>
      </c>
      <c r="C84" t="s">
        <v>10</v>
      </c>
      <c r="D84" t="s">
        <v>11</v>
      </c>
      <c r="E84" t="s">
        <v>12</v>
      </c>
      <c r="F84" t="s">
        <v>13</v>
      </c>
      <c r="G84" t="s">
        <v>118</v>
      </c>
      <c r="H84" t="s">
        <v>150</v>
      </c>
      <c r="I84" t="s">
        <v>153</v>
      </c>
      <c r="J84" t="s">
        <v>17</v>
      </c>
      <c r="K84" s="1">
        <v>0</v>
      </c>
      <c r="L84" s="1">
        <v>0</v>
      </c>
      <c r="M84" s="1">
        <v>-1006.36</v>
      </c>
      <c r="N84" s="1">
        <v>0</v>
      </c>
      <c r="O84" s="2" t="s">
        <v>20</v>
      </c>
      <c r="P84" s="1">
        <v>-979.23</v>
      </c>
      <c r="Q84" s="1" t="s">
        <v>141</v>
      </c>
      <c r="R84" s="1">
        <v>-115.48</v>
      </c>
      <c r="S84" s="1">
        <v>-731.87</v>
      </c>
      <c r="T84" s="1">
        <v>-731.87</v>
      </c>
      <c r="U84" s="1">
        <v>-731.87</v>
      </c>
      <c r="V84" s="1">
        <v>-731.87</v>
      </c>
      <c r="W84" s="1">
        <v>-5028.55</v>
      </c>
      <c r="X84" t="s">
        <v>152</v>
      </c>
    </row>
    <row r="85" spans="2:24" x14ac:dyDescent="0.35">
      <c r="B85">
        <v>2026</v>
      </c>
      <c r="C85" t="s">
        <v>10</v>
      </c>
      <c r="D85" t="s">
        <v>11</v>
      </c>
      <c r="E85" t="s">
        <v>12</v>
      </c>
      <c r="F85" t="s">
        <v>13</v>
      </c>
      <c r="G85" t="s">
        <v>118</v>
      </c>
      <c r="H85" t="s">
        <v>150</v>
      </c>
      <c r="I85" t="s">
        <v>154</v>
      </c>
      <c r="J85" t="s">
        <v>17</v>
      </c>
      <c r="K85" s="1">
        <v>0</v>
      </c>
      <c r="L85" s="1">
        <v>-73.72</v>
      </c>
      <c r="M85" s="1">
        <v>0</v>
      </c>
      <c r="N85" s="1">
        <v>-13.33</v>
      </c>
      <c r="O85" s="2">
        <v>-183.66</v>
      </c>
      <c r="P85" s="1" t="s">
        <v>20</v>
      </c>
      <c r="Q85" s="1">
        <v>-196.99</v>
      </c>
      <c r="R85" s="1">
        <v>0</v>
      </c>
      <c r="S85" s="1">
        <v>-122.19</v>
      </c>
      <c r="T85" s="1">
        <v>-122.19</v>
      </c>
      <c r="U85" s="1">
        <v>-122.19</v>
      </c>
      <c r="V85" s="1">
        <v>-122.19</v>
      </c>
      <c r="W85" s="1">
        <v>-956.46</v>
      </c>
      <c r="X85" t="s">
        <v>152</v>
      </c>
    </row>
    <row r="86" spans="2:24" x14ac:dyDescent="0.35">
      <c r="B86">
        <v>2026</v>
      </c>
      <c r="C86" t="s">
        <v>10</v>
      </c>
      <c r="D86" t="s">
        <v>11</v>
      </c>
      <c r="E86" t="s">
        <v>12</v>
      </c>
      <c r="F86" t="s">
        <v>13</v>
      </c>
      <c r="G86" t="s">
        <v>118</v>
      </c>
      <c r="H86" t="s">
        <v>150</v>
      </c>
      <c r="I86" t="s">
        <v>155</v>
      </c>
      <c r="J86" t="s">
        <v>17</v>
      </c>
      <c r="K86" s="1">
        <v>0</v>
      </c>
      <c r="L86" s="1">
        <v>-1833.95</v>
      </c>
      <c r="M86" s="1">
        <v>-468.78</v>
      </c>
      <c r="N86" s="1">
        <v>-344</v>
      </c>
      <c r="O86" s="2" t="s">
        <v>20</v>
      </c>
      <c r="P86" s="1">
        <v>-1900.59</v>
      </c>
      <c r="Q86" s="1">
        <v>-2274.92</v>
      </c>
      <c r="R86" s="1">
        <v>0</v>
      </c>
      <c r="S86" s="1">
        <v>-1425.85</v>
      </c>
      <c r="T86" s="1">
        <v>-1425.85</v>
      </c>
      <c r="U86" s="1">
        <v>-1425.85</v>
      </c>
      <c r="V86" s="1">
        <v>-1425.85</v>
      </c>
      <c r="W86" s="1">
        <v>-12525.640000000001</v>
      </c>
      <c r="X86" t="s">
        <v>152</v>
      </c>
    </row>
    <row r="87" spans="2:24" x14ac:dyDescent="0.35">
      <c r="B87">
        <v>2026</v>
      </c>
      <c r="C87" t="s">
        <v>10</v>
      </c>
      <c r="D87" t="s">
        <v>11</v>
      </c>
      <c r="E87" t="s">
        <v>12</v>
      </c>
      <c r="F87" t="s">
        <v>13</v>
      </c>
      <c r="G87" t="s">
        <v>118</v>
      </c>
      <c r="H87" t="s">
        <v>150</v>
      </c>
      <c r="I87" t="s">
        <v>156</v>
      </c>
      <c r="J87" t="s">
        <v>17</v>
      </c>
      <c r="K87" s="1">
        <v>0</v>
      </c>
      <c r="L87" s="1">
        <v>0</v>
      </c>
      <c r="M87" s="1">
        <v>-238.88</v>
      </c>
      <c r="N87" s="1">
        <v>0</v>
      </c>
      <c r="O87" s="2" t="s">
        <v>20</v>
      </c>
      <c r="P87" s="1" t="s">
        <v>20</v>
      </c>
      <c r="Q87" s="1">
        <v>0</v>
      </c>
      <c r="R87" s="1">
        <v>0</v>
      </c>
      <c r="S87" s="1">
        <v>-249.63</v>
      </c>
      <c r="T87" s="1">
        <v>-249.63</v>
      </c>
      <c r="U87" s="1">
        <v>-249.63</v>
      </c>
      <c r="V87" s="1">
        <v>-249.63</v>
      </c>
      <c r="W87" s="1">
        <v>-1237.4000000000001</v>
      </c>
      <c r="X87" t="s">
        <v>152</v>
      </c>
    </row>
    <row r="88" spans="2:24" x14ac:dyDescent="0.35">
      <c r="B88">
        <v>2026</v>
      </c>
      <c r="C88" t="s">
        <v>10</v>
      </c>
      <c r="D88" t="s">
        <v>11</v>
      </c>
      <c r="E88" t="s">
        <v>12</v>
      </c>
      <c r="F88" t="s">
        <v>13</v>
      </c>
      <c r="G88" t="s">
        <v>118</v>
      </c>
      <c r="H88" t="s">
        <v>150</v>
      </c>
      <c r="I88" t="s">
        <v>157</v>
      </c>
      <c r="J88" t="s">
        <v>17</v>
      </c>
      <c r="K88" s="1">
        <v>0</v>
      </c>
      <c r="L88" s="1">
        <v>0</v>
      </c>
      <c r="M88" s="1">
        <v>0</v>
      </c>
      <c r="N88" s="1">
        <v>-350.75</v>
      </c>
      <c r="O88" s="2" t="s">
        <v>20</v>
      </c>
      <c r="P88" s="1" t="s">
        <v>20</v>
      </c>
      <c r="Q88" s="1">
        <v>-634.91</v>
      </c>
      <c r="R88" s="1">
        <v>0</v>
      </c>
      <c r="S88" s="1">
        <v>-515.01</v>
      </c>
      <c r="T88" s="1">
        <v>-515.01</v>
      </c>
      <c r="U88" s="1">
        <v>-515.01</v>
      </c>
      <c r="V88" s="1">
        <v>-515.01</v>
      </c>
      <c r="W88" s="1">
        <v>-3045.7</v>
      </c>
      <c r="X88" t="s">
        <v>152</v>
      </c>
    </row>
    <row r="89" spans="2:24" x14ac:dyDescent="0.35">
      <c r="B89">
        <v>2026</v>
      </c>
      <c r="C89" t="s">
        <v>10</v>
      </c>
      <c r="D89" t="s">
        <v>11</v>
      </c>
      <c r="E89" t="s">
        <v>12</v>
      </c>
      <c r="F89" t="s">
        <v>13</v>
      </c>
      <c r="G89" t="s">
        <v>118</v>
      </c>
      <c r="H89" t="s">
        <v>150</v>
      </c>
      <c r="I89" t="s">
        <v>158</v>
      </c>
      <c r="J89" t="s">
        <v>17</v>
      </c>
      <c r="K89" s="1">
        <v>0</v>
      </c>
      <c r="L89" s="1">
        <v>0</v>
      </c>
      <c r="M89" s="1">
        <v>0</v>
      </c>
      <c r="N89" s="1">
        <v>0</v>
      </c>
      <c r="O89" s="2">
        <v>0</v>
      </c>
      <c r="P89" s="1" t="s">
        <v>20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t="s">
        <v>21</v>
      </c>
    </row>
    <row r="90" spans="2:24" x14ac:dyDescent="0.35">
      <c r="B90">
        <v>2026</v>
      </c>
      <c r="C90" t="s">
        <v>10</v>
      </c>
      <c r="D90" t="s">
        <v>11</v>
      </c>
      <c r="E90" t="s">
        <v>12</v>
      </c>
      <c r="F90" t="s">
        <v>13</v>
      </c>
      <c r="G90" t="s">
        <v>118</v>
      </c>
      <c r="H90" t="s">
        <v>150</v>
      </c>
      <c r="I90" t="s">
        <v>159</v>
      </c>
      <c r="J90" t="s">
        <v>17</v>
      </c>
      <c r="K90" s="1">
        <v>-585</v>
      </c>
      <c r="L90" s="1">
        <v>0</v>
      </c>
      <c r="M90" s="1">
        <v>-1101.5999999999999</v>
      </c>
      <c r="N90" s="1">
        <v>-495</v>
      </c>
      <c r="O90" s="2" t="s">
        <v>20</v>
      </c>
      <c r="P90" s="1">
        <v>-1566.9</v>
      </c>
      <c r="Q90" s="1">
        <v>-642.6</v>
      </c>
      <c r="R90" s="1">
        <v>-977.98</v>
      </c>
      <c r="S90" s="1">
        <v>-935.11</v>
      </c>
      <c r="T90" s="1">
        <v>-935.11</v>
      </c>
      <c r="U90" s="1">
        <v>-935.11</v>
      </c>
      <c r="V90" s="1">
        <v>-935.11</v>
      </c>
      <c r="W90" s="1">
        <v>-9109.5199999999986</v>
      </c>
      <c r="X90" t="s">
        <v>152</v>
      </c>
    </row>
    <row r="91" spans="2:24" x14ac:dyDescent="0.35">
      <c r="B91">
        <v>2026</v>
      </c>
      <c r="C91" t="s">
        <v>10</v>
      </c>
      <c r="D91" t="s">
        <v>11</v>
      </c>
      <c r="E91" t="s">
        <v>12</v>
      </c>
      <c r="F91" t="s">
        <v>13</v>
      </c>
      <c r="G91" t="s">
        <v>118</v>
      </c>
      <c r="H91" t="s">
        <v>150</v>
      </c>
      <c r="I91" t="s">
        <v>160</v>
      </c>
      <c r="J91" t="s">
        <v>17</v>
      </c>
      <c r="K91" s="1">
        <v>0</v>
      </c>
      <c r="L91" s="1">
        <v>0</v>
      </c>
      <c r="M91" s="1">
        <v>0</v>
      </c>
      <c r="N91" s="1">
        <v>0</v>
      </c>
      <c r="O91" s="2">
        <v>0</v>
      </c>
      <c r="P91" s="1">
        <v>0</v>
      </c>
      <c r="Q91" s="1">
        <v>-1409.04</v>
      </c>
      <c r="R91" s="1">
        <v>0</v>
      </c>
      <c r="S91" s="1">
        <v>-1472.45</v>
      </c>
      <c r="T91" s="1">
        <v>-1472.45</v>
      </c>
      <c r="U91" s="1">
        <v>-1472.45</v>
      </c>
      <c r="V91" s="1">
        <v>-1472.45</v>
      </c>
      <c r="W91" s="1">
        <v>-7298.8399999999992</v>
      </c>
      <c r="X91" t="s">
        <v>152</v>
      </c>
    </row>
    <row r="92" spans="2:24" x14ac:dyDescent="0.35">
      <c r="B92">
        <v>2026</v>
      </c>
      <c r="C92" t="s">
        <v>10</v>
      </c>
      <c r="D92" t="s">
        <v>11</v>
      </c>
      <c r="E92" t="s">
        <v>12</v>
      </c>
      <c r="F92" t="s">
        <v>13</v>
      </c>
      <c r="G92" t="s">
        <v>118</v>
      </c>
      <c r="H92" t="s">
        <v>150</v>
      </c>
      <c r="I92" t="s">
        <v>161</v>
      </c>
      <c r="J92" t="s">
        <v>17</v>
      </c>
      <c r="K92" s="1">
        <v>0</v>
      </c>
      <c r="L92" s="1">
        <v>0</v>
      </c>
      <c r="M92" s="1">
        <v>0</v>
      </c>
      <c r="N92" s="1">
        <v>0</v>
      </c>
      <c r="O92" s="2">
        <v>0</v>
      </c>
      <c r="P92" s="1" t="s">
        <v>20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t="s">
        <v>21</v>
      </c>
    </row>
    <row r="93" spans="2:24" x14ac:dyDescent="0.35">
      <c r="B93">
        <v>2026</v>
      </c>
      <c r="C93" t="s">
        <v>10</v>
      </c>
      <c r="D93" t="s">
        <v>11</v>
      </c>
      <c r="E93" t="s">
        <v>12</v>
      </c>
      <c r="F93" t="s">
        <v>13</v>
      </c>
      <c r="G93" t="s">
        <v>118</v>
      </c>
      <c r="H93" t="s">
        <v>150</v>
      </c>
      <c r="I93" t="s">
        <v>162</v>
      </c>
      <c r="J93" t="s">
        <v>17</v>
      </c>
      <c r="K93" s="1">
        <v>-1342.54</v>
      </c>
      <c r="L93" s="1">
        <v>-586</v>
      </c>
      <c r="M93" s="1">
        <v>-2280</v>
      </c>
      <c r="N93" s="1">
        <v>0</v>
      </c>
      <c r="O93" s="2">
        <v>-942.88</v>
      </c>
      <c r="P93" s="1">
        <v>-354.5</v>
      </c>
      <c r="Q93" s="1">
        <v>-9441.85</v>
      </c>
      <c r="R93" s="1">
        <v>-1983.69</v>
      </c>
      <c r="S93" s="1">
        <v>-2527.63</v>
      </c>
      <c r="T93" s="1">
        <v>-2527.63</v>
      </c>
      <c r="U93" s="1">
        <v>-2527.63</v>
      </c>
      <c r="V93" s="1">
        <v>-2527.63</v>
      </c>
      <c r="W93" s="1">
        <v>-27041.980000000003</v>
      </c>
      <c r="X93" t="s">
        <v>152</v>
      </c>
    </row>
    <row r="94" spans="2:24" x14ac:dyDescent="0.35">
      <c r="B94">
        <v>2026</v>
      </c>
      <c r="C94" t="s">
        <v>10</v>
      </c>
      <c r="D94" t="s">
        <v>11</v>
      </c>
      <c r="E94" t="s">
        <v>12</v>
      </c>
      <c r="F94" t="s">
        <v>13</v>
      </c>
      <c r="G94" t="s">
        <v>118</v>
      </c>
      <c r="H94" t="s">
        <v>150</v>
      </c>
      <c r="I94" t="s">
        <v>163</v>
      </c>
      <c r="J94" t="s">
        <v>17</v>
      </c>
      <c r="K94" s="1">
        <v>-667.12</v>
      </c>
      <c r="L94" s="1">
        <v>0</v>
      </c>
      <c r="M94" s="1">
        <v>0</v>
      </c>
      <c r="N94" s="1">
        <v>0</v>
      </c>
      <c r="O94" s="2" t="s">
        <v>20</v>
      </c>
      <c r="P94" s="1">
        <v>-4282.05</v>
      </c>
      <c r="Q94" s="1">
        <v>-5230</v>
      </c>
      <c r="R94" s="1">
        <v>-5848.16</v>
      </c>
      <c r="S94" s="1">
        <v>-4187.1400000000003</v>
      </c>
      <c r="T94" s="1">
        <v>-4187.1400000000003</v>
      </c>
      <c r="U94" s="1">
        <v>-4187.1400000000003</v>
      </c>
      <c r="V94" s="1">
        <v>-4187.1400000000003</v>
      </c>
      <c r="W94" s="1">
        <v>-32775.89</v>
      </c>
      <c r="X94" t="s">
        <v>152</v>
      </c>
    </row>
    <row r="95" spans="2:24" x14ac:dyDescent="0.35">
      <c r="B95">
        <v>2026</v>
      </c>
      <c r="C95" t="s">
        <v>10</v>
      </c>
      <c r="D95" t="s">
        <v>11</v>
      </c>
      <c r="E95" t="s">
        <v>12</v>
      </c>
      <c r="F95" t="s">
        <v>13</v>
      </c>
      <c r="G95" t="s">
        <v>118</v>
      </c>
      <c r="H95" t="s">
        <v>150</v>
      </c>
      <c r="I95" t="s">
        <v>164</v>
      </c>
      <c r="J95" t="s">
        <v>17</v>
      </c>
      <c r="K95" s="1">
        <v>-617.41999999999996</v>
      </c>
      <c r="L95" s="1">
        <v>0</v>
      </c>
      <c r="M95" s="1">
        <v>0</v>
      </c>
      <c r="N95" s="1">
        <v>0</v>
      </c>
      <c r="O95" s="2" t="s">
        <v>20</v>
      </c>
      <c r="P95" s="1">
        <v>-4467.0200000000004</v>
      </c>
      <c r="Q95" s="1" t="s">
        <v>141</v>
      </c>
      <c r="R95" s="1">
        <v>-11965.55</v>
      </c>
      <c r="S95" s="1">
        <v>-5939.08</v>
      </c>
      <c r="T95" s="1">
        <v>-5939.08</v>
      </c>
      <c r="U95" s="1">
        <v>-5939.08</v>
      </c>
      <c r="V95" s="1">
        <v>-5939.08</v>
      </c>
      <c r="W95" s="1">
        <v>-40806.310000000005</v>
      </c>
      <c r="X95" t="s">
        <v>152</v>
      </c>
    </row>
    <row r="96" spans="2:24" x14ac:dyDescent="0.35">
      <c r="B96">
        <v>2026</v>
      </c>
      <c r="C96" t="s">
        <v>10</v>
      </c>
      <c r="D96" t="s">
        <v>11</v>
      </c>
      <c r="E96" t="s">
        <v>12</v>
      </c>
      <c r="F96" t="s">
        <v>13</v>
      </c>
      <c r="G96" t="s">
        <v>118</v>
      </c>
      <c r="H96" t="s">
        <v>150</v>
      </c>
      <c r="I96" t="s">
        <v>165</v>
      </c>
      <c r="J96" t="s">
        <v>17</v>
      </c>
      <c r="K96" s="1">
        <v>0</v>
      </c>
      <c r="L96" s="1">
        <v>0</v>
      </c>
      <c r="M96" s="1">
        <v>-1502.54</v>
      </c>
      <c r="N96" s="1">
        <v>-55.82</v>
      </c>
      <c r="O96" s="2">
        <v>-1092.45</v>
      </c>
      <c r="P96" s="1">
        <v>-8017.35</v>
      </c>
      <c r="Q96" s="1">
        <v>5697.8</v>
      </c>
      <c r="R96" s="1">
        <v>-288.39</v>
      </c>
      <c r="S96" s="1">
        <v>-915.9</v>
      </c>
      <c r="T96" s="1">
        <v>-915.9</v>
      </c>
      <c r="U96" s="1">
        <v>-915.9</v>
      </c>
      <c r="V96" s="1">
        <v>-915.9</v>
      </c>
      <c r="W96" s="1">
        <v>-8922.3499999999985</v>
      </c>
      <c r="X96" t="s">
        <v>152</v>
      </c>
    </row>
    <row r="97" spans="2:24" x14ac:dyDescent="0.35">
      <c r="B97">
        <v>2026</v>
      </c>
      <c r="C97" t="s">
        <v>10</v>
      </c>
      <c r="D97" t="s">
        <v>11</v>
      </c>
      <c r="E97" t="s">
        <v>12</v>
      </c>
      <c r="F97" t="s">
        <v>13</v>
      </c>
      <c r="G97" t="s">
        <v>118</v>
      </c>
      <c r="H97" t="s">
        <v>150</v>
      </c>
      <c r="I97" t="s">
        <v>166</v>
      </c>
      <c r="J97" t="s">
        <v>17</v>
      </c>
      <c r="K97" s="1">
        <v>0</v>
      </c>
      <c r="L97" s="1">
        <v>-155.11000000000001</v>
      </c>
      <c r="M97" s="1">
        <v>-1072.93</v>
      </c>
      <c r="N97" s="1">
        <v>-2283.52</v>
      </c>
      <c r="O97" s="2">
        <v>-799.04</v>
      </c>
      <c r="P97" s="1">
        <v>-106.8</v>
      </c>
      <c r="Q97" s="1" t="s">
        <v>141</v>
      </c>
      <c r="R97" s="1">
        <v>-108.17</v>
      </c>
      <c r="S97" s="1">
        <v>-788.2</v>
      </c>
      <c r="T97" s="1">
        <v>-788.2</v>
      </c>
      <c r="U97" s="1">
        <v>-788.2</v>
      </c>
      <c r="V97" s="1">
        <v>-788.2</v>
      </c>
      <c r="W97" s="1">
        <v>-7678.37</v>
      </c>
      <c r="X97" t="s">
        <v>152</v>
      </c>
    </row>
    <row r="98" spans="2:24" x14ac:dyDescent="0.35">
      <c r="B98">
        <v>2026</v>
      </c>
      <c r="C98" t="s">
        <v>10</v>
      </c>
      <c r="D98" t="s">
        <v>11</v>
      </c>
      <c r="E98" t="s">
        <v>12</v>
      </c>
      <c r="F98" t="s">
        <v>13</v>
      </c>
      <c r="G98" t="s">
        <v>118</v>
      </c>
      <c r="H98" t="s">
        <v>150</v>
      </c>
      <c r="I98" t="s">
        <v>167</v>
      </c>
      <c r="J98" t="s">
        <v>17</v>
      </c>
      <c r="K98" s="1">
        <v>0</v>
      </c>
      <c r="L98" s="1">
        <v>-39.799999999999997</v>
      </c>
      <c r="M98" s="1">
        <v>-227.04</v>
      </c>
      <c r="N98" s="1">
        <v>0</v>
      </c>
      <c r="O98" s="1" t="s">
        <v>20</v>
      </c>
      <c r="P98" s="1">
        <v>-81.8</v>
      </c>
      <c r="Q98" s="1" t="s">
        <v>141</v>
      </c>
      <c r="R98" s="1">
        <v>0</v>
      </c>
      <c r="S98" s="1">
        <v>-121.44</v>
      </c>
      <c r="T98" s="1">
        <v>-121.44</v>
      </c>
      <c r="U98" s="1">
        <v>-121.44</v>
      </c>
      <c r="V98" s="1">
        <v>-121.44</v>
      </c>
      <c r="W98" s="1">
        <v>-834.40000000000009</v>
      </c>
      <c r="X98" t="s">
        <v>152</v>
      </c>
    </row>
    <row r="99" spans="2:24" x14ac:dyDescent="0.35">
      <c r="B99">
        <v>2026</v>
      </c>
      <c r="C99" t="s">
        <v>10</v>
      </c>
      <c r="D99" t="s">
        <v>11</v>
      </c>
      <c r="E99" t="s">
        <v>12</v>
      </c>
      <c r="F99" t="s">
        <v>13</v>
      </c>
      <c r="G99" t="s">
        <v>118</v>
      </c>
      <c r="H99" t="s">
        <v>168</v>
      </c>
      <c r="I99" t="s">
        <v>169</v>
      </c>
      <c r="J99" t="s">
        <v>17</v>
      </c>
      <c r="K99" s="1">
        <v>-1902.37</v>
      </c>
      <c r="L99" s="1">
        <v>-497</v>
      </c>
      <c r="M99" s="1">
        <v>-5360.3</v>
      </c>
      <c r="N99" s="1">
        <v>-10729</v>
      </c>
      <c r="O99" s="2">
        <v>-21698</v>
      </c>
      <c r="P99" s="1">
        <v>-2988</v>
      </c>
      <c r="Q99" s="1">
        <v>-2584.62</v>
      </c>
      <c r="R99" s="1">
        <v>-2853.02</v>
      </c>
      <c r="S99" s="1">
        <v>-6000</v>
      </c>
      <c r="T99" s="1">
        <v>-6000</v>
      </c>
      <c r="U99" s="1">
        <v>-6000</v>
      </c>
      <c r="V99" s="1">
        <v>-8000</v>
      </c>
      <c r="W99" s="1">
        <v>-74612.31</v>
      </c>
      <c r="X99" t="s">
        <v>170</v>
      </c>
    </row>
    <row r="100" spans="2:24" x14ac:dyDescent="0.35">
      <c r="B100">
        <v>2026</v>
      </c>
      <c r="C100" t="s">
        <v>10</v>
      </c>
      <c r="D100" t="s">
        <v>11</v>
      </c>
      <c r="E100" t="s">
        <v>12</v>
      </c>
      <c r="F100" t="s">
        <v>13</v>
      </c>
      <c r="G100" t="s">
        <v>118</v>
      </c>
      <c r="H100" t="s">
        <v>168</v>
      </c>
      <c r="I100" t="s">
        <v>171</v>
      </c>
      <c r="J100" t="s">
        <v>17</v>
      </c>
      <c r="K100" s="1">
        <v>-1417.95</v>
      </c>
      <c r="L100" s="1">
        <v>-1417.95</v>
      </c>
      <c r="M100" s="1">
        <v>-5837.67</v>
      </c>
      <c r="N100" s="1">
        <v>-2891.19</v>
      </c>
      <c r="O100" s="2">
        <v>-2891.19</v>
      </c>
      <c r="P100" s="1">
        <v>-2891.19</v>
      </c>
      <c r="Q100" s="1">
        <v>-2891.19</v>
      </c>
      <c r="R100" s="1">
        <v>-2148.2399999999998</v>
      </c>
      <c r="S100" s="1">
        <v>-2800</v>
      </c>
      <c r="T100" s="1">
        <v>-2800</v>
      </c>
      <c r="U100" s="1">
        <v>-2800</v>
      </c>
      <c r="V100" s="1">
        <v>-2800</v>
      </c>
      <c r="W100" s="1">
        <v>-33586.57</v>
      </c>
      <c r="X100" t="s">
        <v>172</v>
      </c>
    </row>
    <row r="101" spans="2:24" x14ac:dyDescent="0.35">
      <c r="B101">
        <v>2026</v>
      </c>
      <c r="C101" t="s">
        <v>10</v>
      </c>
      <c r="D101" t="s">
        <v>11</v>
      </c>
      <c r="E101" t="s">
        <v>12</v>
      </c>
      <c r="F101" t="s">
        <v>13</v>
      </c>
      <c r="G101" t="s">
        <v>118</v>
      </c>
      <c r="H101" t="s">
        <v>168</v>
      </c>
      <c r="I101" t="s">
        <v>173</v>
      </c>
      <c r="J101" t="s">
        <v>17</v>
      </c>
      <c r="K101" s="1">
        <v>-548.32000000000005</v>
      </c>
      <c r="L101" s="1">
        <v>-3007.86</v>
      </c>
      <c r="M101" s="1">
        <v>-3805.86</v>
      </c>
      <c r="N101" s="1">
        <v>-3053.37</v>
      </c>
      <c r="O101" s="2">
        <v>-2271.2399999999998</v>
      </c>
      <c r="P101" s="1">
        <v>-2271.2399999999998</v>
      </c>
      <c r="Q101" s="1">
        <v>-736.62</v>
      </c>
      <c r="R101" s="1">
        <v>0</v>
      </c>
      <c r="S101" s="1">
        <v>-1800</v>
      </c>
      <c r="T101" s="1">
        <v>-2000</v>
      </c>
      <c r="U101" s="1">
        <v>-2000</v>
      </c>
      <c r="V101" s="1">
        <v>-2200</v>
      </c>
      <c r="W101" s="1">
        <v>-23694.510000000002</v>
      </c>
      <c r="X101" t="s">
        <v>174</v>
      </c>
    </row>
    <row r="102" spans="2:24" x14ac:dyDescent="0.35">
      <c r="B102">
        <v>2026</v>
      </c>
      <c r="C102" t="s">
        <v>10</v>
      </c>
      <c r="D102" t="s">
        <v>11</v>
      </c>
      <c r="E102" t="s">
        <v>12</v>
      </c>
      <c r="F102" t="s">
        <v>13</v>
      </c>
      <c r="G102" t="s">
        <v>118</v>
      </c>
      <c r="H102" t="s">
        <v>168</v>
      </c>
      <c r="I102" t="s">
        <v>175</v>
      </c>
      <c r="J102" t="s">
        <v>17</v>
      </c>
      <c r="K102" s="1">
        <v>-971.47</v>
      </c>
      <c r="L102" s="1">
        <v>0</v>
      </c>
      <c r="M102" s="1">
        <v>0</v>
      </c>
      <c r="N102" s="1">
        <v>0</v>
      </c>
      <c r="O102" s="2">
        <v>-1574.71</v>
      </c>
      <c r="P102" s="1">
        <v>-1267.24</v>
      </c>
      <c r="Q102" s="1" t="s">
        <v>141</v>
      </c>
      <c r="R102" s="1">
        <v>0</v>
      </c>
      <c r="S102" s="1">
        <v>-1271.1400000000001</v>
      </c>
      <c r="T102" s="1">
        <v>-1271.1400000000001</v>
      </c>
      <c r="U102" s="1">
        <v>-1271.1400000000001</v>
      </c>
      <c r="V102" s="1">
        <v>-1271.1400000000001</v>
      </c>
      <c r="W102" s="1">
        <v>-8897.9800000000014</v>
      </c>
      <c r="X102" t="s">
        <v>176</v>
      </c>
    </row>
    <row r="103" spans="2:24" x14ac:dyDescent="0.35">
      <c r="B103">
        <v>2026</v>
      </c>
      <c r="C103" t="s">
        <v>10</v>
      </c>
      <c r="D103" t="s">
        <v>11</v>
      </c>
      <c r="E103" t="s">
        <v>12</v>
      </c>
      <c r="F103" t="s">
        <v>13</v>
      </c>
      <c r="G103" t="s">
        <v>118</v>
      </c>
      <c r="H103" t="s">
        <v>168</v>
      </c>
      <c r="I103" t="s">
        <v>177</v>
      </c>
      <c r="J103" t="s">
        <v>17</v>
      </c>
      <c r="K103" s="1">
        <v>-692.3</v>
      </c>
      <c r="L103" s="1">
        <v>-689.7</v>
      </c>
      <c r="M103" s="1">
        <v>-324</v>
      </c>
      <c r="N103" s="1">
        <v>-591</v>
      </c>
      <c r="O103" s="2">
        <v>-429</v>
      </c>
      <c r="P103" s="1">
        <v>-1185.44</v>
      </c>
      <c r="Q103" s="1">
        <v>-763</v>
      </c>
      <c r="R103" s="1">
        <v>-210</v>
      </c>
      <c r="S103" s="1">
        <v>-610.55999999999995</v>
      </c>
      <c r="T103" s="1">
        <v>-610.55999999999995</v>
      </c>
      <c r="U103" s="1">
        <v>-610.55999999999995</v>
      </c>
      <c r="V103" s="1">
        <v>-610.55999999999995</v>
      </c>
      <c r="W103" s="1">
        <v>-7326.6799999999985</v>
      </c>
      <c r="X103" t="s">
        <v>176</v>
      </c>
    </row>
    <row r="104" spans="2:24" x14ac:dyDescent="0.35">
      <c r="B104">
        <v>2026</v>
      </c>
      <c r="C104" t="s">
        <v>10</v>
      </c>
      <c r="D104" t="s">
        <v>11</v>
      </c>
      <c r="E104" t="s">
        <v>12</v>
      </c>
      <c r="F104" t="s">
        <v>13</v>
      </c>
      <c r="G104" t="s">
        <v>118</v>
      </c>
      <c r="H104" t="s">
        <v>168</v>
      </c>
      <c r="I104" t="s">
        <v>178</v>
      </c>
      <c r="J104" t="s">
        <v>17</v>
      </c>
      <c r="K104" s="1">
        <v>-3245.91</v>
      </c>
      <c r="L104" s="1">
        <v>-4213.45</v>
      </c>
      <c r="M104" s="1">
        <v>-5262.62</v>
      </c>
      <c r="N104" s="1">
        <v>-2950.29</v>
      </c>
      <c r="O104" s="2">
        <v>-4225.22</v>
      </c>
      <c r="P104" s="1">
        <v>-3567.95</v>
      </c>
      <c r="Q104" s="1">
        <v>-3428.16</v>
      </c>
      <c r="R104" s="1">
        <v>-4396.3900000000003</v>
      </c>
      <c r="S104" s="1">
        <v>-3800</v>
      </c>
      <c r="T104" s="1">
        <v>-4000</v>
      </c>
      <c r="U104" s="1">
        <v>-4000</v>
      </c>
      <c r="V104" s="1">
        <v>-4200</v>
      </c>
      <c r="W104" s="1">
        <v>-47289.990000000005</v>
      </c>
      <c r="X104" t="s">
        <v>179</v>
      </c>
    </row>
    <row r="105" spans="2:24" x14ac:dyDescent="0.35">
      <c r="B105">
        <v>2026</v>
      </c>
      <c r="C105" t="s">
        <v>10</v>
      </c>
      <c r="D105" t="s">
        <v>11</v>
      </c>
      <c r="E105" t="s">
        <v>12</v>
      </c>
      <c r="F105" t="s">
        <v>13</v>
      </c>
      <c r="G105" t="s">
        <v>118</v>
      </c>
      <c r="H105" t="s">
        <v>168</v>
      </c>
      <c r="I105" t="s">
        <v>180</v>
      </c>
      <c r="J105" t="s">
        <v>17</v>
      </c>
      <c r="K105" s="1">
        <v>0</v>
      </c>
      <c r="L105" s="1">
        <v>-236.74</v>
      </c>
      <c r="M105" s="1">
        <v>-895.06</v>
      </c>
      <c r="N105" s="1">
        <v>-438.09</v>
      </c>
      <c r="O105" s="2">
        <v>-141.55000000000001</v>
      </c>
      <c r="P105" s="1">
        <v>-54.55</v>
      </c>
      <c r="Q105" s="1" t="s">
        <v>141</v>
      </c>
      <c r="R105" s="1">
        <v>-20364.61</v>
      </c>
      <c r="S105" s="1">
        <v>-2700</v>
      </c>
      <c r="T105" s="1">
        <v>-2800</v>
      </c>
      <c r="U105" s="1">
        <v>-2800</v>
      </c>
      <c r="V105" s="1">
        <v>-3000</v>
      </c>
      <c r="W105" s="1">
        <v>-33430.6</v>
      </c>
      <c r="X105" t="s">
        <v>181</v>
      </c>
    </row>
    <row r="106" spans="2:24" x14ac:dyDescent="0.35">
      <c r="B106">
        <v>2026</v>
      </c>
      <c r="C106" t="s">
        <v>10</v>
      </c>
      <c r="D106" t="s">
        <v>11</v>
      </c>
      <c r="E106" t="s">
        <v>12</v>
      </c>
      <c r="F106" t="s">
        <v>13</v>
      </c>
      <c r="G106" t="s">
        <v>118</v>
      </c>
      <c r="H106" t="s">
        <v>168</v>
      </c>
      <c r="I106" t="s">
        <v>182</v>
      </c>
      <c r="J106" t="s">
        <v>17</v>
      </c>
      <c r="K106" s="1">
        <v>-5502.03</v>
      </c>
      <c r="L106" s="1">
        <v>-5916.14</v>
      </c>
      <c r="M106" s="1">
        <v>-5438.35</v>
      </c>
      <c r="N106" s="1">
        <v>-5067.2299999999996</v>
      </c>
      <c r="O106" s="2" t="s">
        <v>20</v>
      </c>
      <c r="P106" s="1">
        <v>-41963.34</v>
      </c>
      <c r="Q106" s="1">
        <v>-20123.98</v>
      </c>
      <c r="R106" s="1">
        <v>-6760.66</v>
      </c>
      <c r="S106" s="1">
        <v>-11000</v>
      </c>
      <c r="T106" s="1">
        <v>-11500</v>
      </c>
      <c r="U106" s="1">
        <v>-11500</v>
      </c>
      <c r="V106" s="1">
        <v>-12000</v>
      </c>
      <c r="W106" s="1">
        <v>-136771.72999999998</v>
      </c>
      <c r="X106" t="s">
        <v>183</v>
      </c>
    </row>
    <row r="107" spans="2:24" x14ac:dyDescent="0.35">
      <c r="B107">
        <v>2026</v>
      </c>
      <c r="C107" t="s">
        <v>10</v>
      </c>
      <c r="D107" t="s">
        <v>11</v>
      </c>
      <c r="E107" t="s">
        <v>12</v>
      </c>
      <c r="F107" t="s">
        <v>13</v>
      </c>
      <c r="G107" t="s">
        <v>118</v>
      </c>
      <c r="H107" t="s">
        <v>168</v>
      </c>
      <c r="I107" t="s">
        <v>184</v>
      </c>
      <c r="J107" t="s">
        <v>17</v>
      </c>
      <c r="K107" s="1"/>
      <c r="L107" s="1"/>
      <c r="M107" s="1"/>
      <c r="N107" s="1"/>
      <c r="O107" s="2">
        <v>-3398.55</v>
      </c>
      <c r="P107" s="1" t="s">
        <v>20</v>
      </c>
      <c r="Q107" s="1">
        <v>0</v>
      </c>
      <c r="R107" s="1">
        <v>0</v>
      </c>
      <c r="S107" s="1">
        <v>-3398.55</v>
      </c>
      <c r="T107" s="1">
        <v>-3398.55</v>
      </c>
      <c r="U107" s="1">
        <v>-3398.55</v>
      </c>
      <c r="V107" s="1">
        <v>-3398.55</v>
      </c>
      <c r="W107" s="1">
        <v>-16992.75</v>
      </c>
      <c r="X107" t="s">
        <v>176</v>
      </c>
    </row>
    <row r="108" spans="2:24" x14ac:dyDescent="0.35">
      <c r="B108">
        <v>2026</v>
      </c>
      <c r="C108" t="s">
        <v>10</v>
      </c>
      <c r="D108" t="s">
        <v>11</v>
      </c>
      <c r="E108" t="s">
        <v>12</v>
      </c>
      <c r="F108" t="s">
        <v>13</v>
      </c>
      <c r="G108" t="s">
        <v>118</v>
      </c>
      <c r="H108" t="s">
        <v>168</v>
      </c>
      <c r="I108" t="s">
        <v>185</v>
      </c>
      <c r="J108" t="s">
        <v>17</v>
      </c>
      <c r="K108" s="1">
        <v>0</v>
      </c>
      <c r="L108" s="1">
        <v>0</v>
      </c>
      <c r="M108" s="1">
        <v>0</v>
      </c>
      <c r="N108" s="1">
        <v>0</v>
      </c>
      <c r="O108" s="2">
        <v>0</v>
      </c>
      <c r="P108" s="1" t="s">
        <v>20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t="s">
        <v>21</v>
      </c>
    </row>
    <row r="109" spans="2:24" x14ac:dyDescent="0.35">
      <c r="B109">
        <v>2026</v>
      </c>
      <c r="C109" t="s">
        <v>10</v>
      </c>
      <c r="D109" t="s">
        <v>11</v>
      </c>
      <c r="E109" t="s">
        <v>12</v>
      </c>
      <c r="F109" t="s">
        <v>13</v>
      </c>
      <c r="G109" t="s">
        <v>118</v>
      </c>
      <c r="H109" t="s">
        <v>168</v>
      </c>
      <c r="I109" t="s">
        <v>186</v>
      </c>
      <c r="J109" t="s">
        <v>17</v>
      </c>
      <c r="K109" s="1">
        <v>-377.56</v>
      </c>
      <c r="L109" s="1">
        <v>0</v>
      </c>
      <c r="M109" s="1">
        <v>0</v>
      </c>
      <c r="N109" s="1">
        <v>0</v>
      </c>
      <c r="O109" s="2">
        <v>-377.56</v>
      </c>
      <c r="P109" s="1" t="s">
        <v>20</v>
      </c>
      <c r="Q109" s="1">
        <v>0</v>
      </c>
      <c r="R109" s="1">
        <v>0</v>
      </c>
      <c r="S109" s="1">
        <v>-377.56</v>
      </c>
      <c r="T109" s="1">
        <v>-377.56</v>
      </c>
      <c r="U109" s="1">
        <v>-377.56</v>
      </c>
      <c r="V109" s="1">
        <v>-377.56</v>
      </c>
      <c r="W109" s="1">
        <v>-2265.36</v>
      </c>
      <c r="X109" t="s">
        <v>176</v>
      </c>
    </row>
    <row r="110" spans="2:24" x14ac:dyDescent="0.35">
      <c r="B110">
        <v>2026</v>
      </c>
      <c r="C110" t="s">
        <v>10</v>
      </c>
      <c r="D110" t="s">
        <v>11</v>
      </c>
      <c r="E110" t="s">
        <v>12</v>
      </c>
      <c r="F110" t="s">
        <v>13</v>
      </c>
      <c r="G110" t="s">
        <v>118</v>
      </c>
      <c r="H110" t="s">
        <v>168</v>
      </c>
      <c r="I110" t="s">
        <v>187</v>
      </c>
      <c r="J110" t="s">
        <v>17</v>
      </c>
      <c r="K110" s="1">
        <v>0</v>
      </c>
      <c r="L110" s="1">
        <v>0</v>
      </c>
      <c r="M110" s="1">
        <v>0</v>
      </c>
      <c r="N110" s="1">
        <v>0</v>
      </c>
      <c r="O110" s="2">
        <v>0</v>
      </c>
      <c r="P110" s="1" t="s">
        <v>20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t="s">
        <v>21</v>
      </c>
    </row>
    <row r="111" spans="2:24" x14ac:dyDescent="0.35">
      <c r="B111">
        <v>2026</v>
      </c>
      <c r="C111" t="s">
        <v>10</v>
      </c>
      <c r="D111" t="s">
        <v>11</v>
      </c>
      <c r="E111" t="s">
        <v>12</v>
      </c>
      <c r="F111" t="s">
        <v>13</v>
      </c>
      <c r="G111" t="s">
        <v>118</v>
      </c>
      <c r="H111" t="s">
        <v>168</v>
      </c>
      <c r="I111" t="s">
        <v>188</v>
      </c>
      <c r="J111" t="s">
        <v>17</v>
      </c>
      <c r="K111" s="1">
        <v>0</v>
      </c>
      <c r="L111" s="1">
        <v>-1218.75</v>
      </c>
      <c r="M111" s="1">
        <v>0</v>
      </c>
      <c r="N111" s="1">
        <v>0</v>
      </c>
      <c r="O111" s="2" t="s">
        <v>20</v>
      </c>
      <c r="P111" s="1">
        <v>-30.35</v>
      </c>
      <c r="Q111" s="1" t="s">
        <v>141</v>
      </c>
      <c r="R111" s="1">
        <v>-663</v>
      </c>
      <c r="S111" s="1">
        <v>-637.37</v>
      </c>
      <c r="T111" s="1">
        <v>-637.37</v>
      </c>
      <c r="U111" s="1">
        <v>-637.37</v>
      </c>
      <c r="V111" s="1">
        <v>-637.37</v>
      </c>
      <c r="W111" s="1">
        <v>-4461.58</v>
      </c>
      <c r="X111" t="s">
        <v>176</v>
      </c>
    </row>
    <row r="112" spans="2:24" x14ac:dyDescent="0.35">
      <c r="B112">
        <v>2026</v>
      </c>
      <c r="C112" t="s">
        <v>10</v>
      </c>
      <c r="D112" t="s">
        <v>11</v>
      </c>
      <c r="E112" t="s">
        <v>12</v>
      </c>
      <c r="F112" t="s">
        <v>13</v>
      </c>
      <c r="G112" t="s">
        <v>118</v>
      </c>
      <c r="H112" t="s">
        <v>168</v>
      </c>
      <c r="I112" t="s">
        <v>189</v>
      </c>
      <c r="J112" t="s">
        <v>17</v>
      </c>
      <c r="K112" s="1">
        <v>0</v>
      </c>
      <c r="L112" s="1">
        <v>0</v>
      </c>
      <c r="M112" s="1">
        <v>-212.5</v>
      </c>
      <c r="N112" s="1">
        <v>-513</v>
      </c>
      <c r="O112" s="2">
        <v>-53.12</v>
      </c>
      <c r="P112" s="1">
        <v>-30.35</v>
      </c>
      <c r="Q112" s="1" t="s">
        <v>141</v>
      </c>
      <c r="R112" s="1">
        <v>0</v>
      </c>
      <c r="S112" s="1">
        <v>-202.24</v>
      </c>
      <c r="T112" s="1">
        <v>-202.24</v>
      </c>
      <c r="U112" s="1">
        <v>-202.24</v>
      </c>
      <c r="V112" s="1">
        <v>-202.24</v>
      </c>
      <c r="W112" s="1">
        <v>-1617.93</v>
      </c>
      <c r="X112" t="s">
        <v>176</v>
      </c>
    </row>
    <row r="113" spans="2:24" x14ac:dyDescent="0.35">
      <c r="B113">
        <v>2026</v>
      </c>
      <c r="C113" t="s">
        <v>10</v>
      </c>
      <c r="D113" t="s">
        <v>11</v>
      </c>
      <c r="E113" t="s">
        <v>12</v>
      </c>
      <c r="F113" t="s">
        <v>13</v>
      </c>
      <c r="G113" t="s">
        <v>118</v>
      </c>
      <c r="H113" t="s">
        <v>168</v>
      </c>
      <c r="I113" t="s">
        <v>190</v>
      </c>
      <c r="J113" t="s">
        <v>17</v>
      </c>
      <c r="K113" s="1">
        <v>0</v>
      </c>
      <c r="L113" s="1">
        <v>0</v>
      </c>
      <c r="M113" s="1">
        <v>0</v>
      </c>
      <c r="N113" s="1">
        <v>0</v>
      </c>
      <c r="O113" s="2">
        <v>0</v>
      </c>
      <c r="P113" s="1" t="s">
        <v>20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t="s">
        <v>21</v>
      </c>
    </row>
    <row r="114" spans="2:24" x14ac:dyDescent="0.35">
      <c r="B114">
        <v>2026</v>
      </c>
      <c r="C114" t="s">
        <v>10</v>
      </c>
      <c r="D114" t="s">
        <v>11</v>
      </c>
      <c r="E114" t="s">
        <v>12</v>
      </c>
      <c r="F114" t="s">
        <v>13</v>
      </c>
      <c r="G114" t="s">
        <v>118</v>
      </c>
      <c r="H114" t="s">
        <v>168</v>
      </c>
      <c r="I114" t="s">
        <v>191</v>
      </c>
      <c r="J114" t="s">
        <v>17</v>
      </c>
      <c r="K114" s="1"/>
      <c r="L114" s="1"/>
      <c r="M114" s="1"/>
      <c r="N114" s="1"/>
      <c r="O114" s="2">
        <v>-53.12</v>
      </c>
      <c r="P114" s="1">
        <v>-30.35</v>
      </c>
      <c r="Q114" s="1" t="s">
        <v>141</v>
      </c>
      <c r="R114" s="1">
        <v>0</v>
      </c>
      <c r="S114" s="1">
        <v>-41.73</v>
      </c>
      <c r="T114" s="1">
        <v>-41.73</v>
      </c>
      <c r="U114" s="1">
        <v>-41.73</v>
      </c>
      <c r="V114" s="1">
        <v>-41.73</v>
      </c>
      <c r="W114" s="1">
        <v>-250.38999999999996</v>
      </c>
      <c r="X114" t="s">
        <v>176</v>
      </c>
    </row>
    <row r="115" spans="2:24" x14ac:dyDescent="0.35">
      <c r="B115">
        <v>2026</v>
      </c>
      <c r="C115" t="s">
        <v>10</v>
      </c>
      <c r="D115" t="s">
        <v>11</v>
      </c>
      <c r="E115" t="s">
        <v>12</v>
      </c>
      <c r="F115" t="s">
        <v>13</v>
      </c>
      <c r="G115" t="s">
        <v>118</v>
      </c>
      <c r="H115" t="s">
        <v>168</v>
      </c>
      <c r="I115" t="s">
        <v>192</v>
      </c>
      <c r="J115" t="s">
        <v>17</v>
      </c>
      <c r="K115" s="1"/>
      <c r="L115" s="1"/>
      <c r="M115" s="1"/>
      <c r="N115" s="1"/>
      <c r="P115" s="1">
        <v>-267.75</v>
      </c>
      <c r="Q115" s="1" t="s">
        <v>141</v>
      </c>
      <c r="R115" s="1">
        <v>0</v>
      </c>
      <c r="S115" s="1">
        <v>-267.75</v>
      </c>
      <c r="T115" s="1">
        <v>-267.75</v>
      </c>
      <c r="U115" s="1">
        <v>-267.75</v>
      </c>
      <c r="V115" s="1">
        <v>-267.75</v>
      </c>
      <c r="W115" s="1">
        <v>-1338.75</v>
      </c>
      <c r="X115" t="s">
        <v>176</v>
      </c>
    </row>
    <row r="116" spans="2:24" x14ac:dyDescent="0.35">
      <c r="B116">
        <v>2026</v>
      </c>
      <c r="C116" t="s">
        <v>10</v>
      </c>
      <c r="D116" t="s">
        <v>11</v>
      </c>
      <c r="E116" t="s">
        <v>12</v>
      </c>
      <c r="F116" t="s">
        <v>13</v>
      </c>
      <c r="G116" t="s">
        <v>118</v>
      </c>
      <c r="H116" t="s">
        <v>168</v>
      </c>
      <c r="I116" t="s">
        <v>193</v>
      </c>
      <c r="J116" t="s">
        <v>17</v>
      </c>
      <c r="K116" s="1"/>
      <c r="L116" s="1"/>
      <c r="M116" s="1"/>
      <c r="N116" s="1"/>
      <c r="P116" s="1">
        <v>-2450</v>
      </c>
      <c r="Q116" s="1" t="s">
        <v>141</v>
      </c>
      <c r="R116" s="1">
        <v>0</v>
      </c>
      <c r="S116" s="1">
        <v>-2450</v>
      </c>
      <c r="T116" s="1">
        <v>-2450</v>
      </c>
      <c r="U116" s="1">
        <v>-2450</v>
      </c>
      <c r="V116" s="1">
        <v>-2450</v>
      </c>
      <c r="W116" s="1">
        <v>-12250</v>
      </c>
      <c r="X116" t="s">
        <v>176</v>
      </c>
    </row>
    <row r="117" spans="2:24" x14ac:dyDescent="0.35">
      <c r="B117">
        <v>2026</v>
      </c>
      <c r="C117" t="s">
        <v>10</v>
      </c>
      <c r="D117" t="s">
        <v>11</v>
      </c>
      <c r="E117" t="s">
        <v>12</v>
      </c>
      <c r="F117" t="s">
        <v>13</v>
      </c>
      <c r="G117" t="s">
        <v>118</v>
      </c>
      <c r="H117" t="s">
        <v>168</v>
      </c>
      <c r="I117" t="s">
        <v>194</v>
      </c>
      <c r="J117" t="s">
        <v>17</v>
      </c>
      <c r="K117" s="1">
        <v>0</v>
      </c>
      <c r="L117" s="1">
        <v>0</v>
      </c>
      <c r="M117" s="1">
        <v>0</v>
      </c>
      <c r="N117" s="1">
        <v>-513</v>
      </c>
      <c r="O117" s="2">
        <v>-53.14</v>
      </c>
      <c r="P117" s="1" t="s">
        <v>20</v>
      </c>
      <c r="Q117" s="1">
        <v>0</v>
      </c>
      <c r="R117" s="1">
        <v>0</v>
      </c>
      <c r="S117" s="1">
        <v>-283.07</v>
      </c>
      <c r="T117" s="1">
        <v>-283.07</v>
      </c>
      <c r="U117" s="1">
        <v>-283.07</v>
      </c>
      <c r="V117" s="1">
        <v>-283.07</v>
      </c>
      <c r="W117" s="1">
        <v>-1698.4199999999998</v>
      </c>
      <c r="X117" t="s">
        <v>176</v>
      </c>
    </row>
    <row r="118" spans="2:24" x14ac:dyDescent="0.35">
      <c r="B118">
        <v>2026</v>
      </c>
      <c r="C118" t="s">
        <v>10</v>
      </c>
      <c r="D118" t="s">
        <v>11</v>
      </c>
      <c r="E118" t="s">
        <v>12</v>
      </c>
      <c r="F118" t="s">
        <v>13</v>
      </c>
      <c r="G118" t="s">
        <v>118</v>
      </c>
      <c r="H118" t="s">
        <v>168</v>
      </c>
      <c r="I118" t="s">
        <v>195</v>
      </c>
      <c r="J118" t="s">
        <v>17</v>
      </c>
      <c r="K118" s="1">
        <v>0</v>
      </c>
      <c r="L118" s="1">
        <v>0</v>
      </c>
      <c r="M118" s="1">
        <v>0</v>
      </c>
      <c r="N118" s="1">
        <v>-513</v>
      </c>
      <c r="O118" s="2" t="s">
        <v>20</v>
      </c>
      <c r="P118" s="1">
        <v>-30.35</v>
      </c>
      <c r="Q118" s="1" t="s">
        <v>141</v>
      </c>
      <c r="R118" s="1">
        <v>0</v>
      </c>
      <c r="S118" s="1">
        <v>-271.68</v>
      </c>
      <c r="T118" s="1">
        <v>-271.68</v>
      </c>
      <c r="U118" s="1">
        <v>-271.68</v>
      </c>
      <c r="V118" s="1">
        <v>-271.68</v>
      </c>
      <c r="W118" s="1">
        <v>-1630.0700000000002</v>
      </c>
      <c r="X118" t="s">
        <v>176</v>
      </c>
    </row>
    <row r="119" spans="2:24" x14ac:dyDescent="0.35">
      <c r="B119">
        <v>2026</v>
      </c>
      <c r="C119" t="s">
        <v>10</v>
      </c>
      <c r="D119" t="s">
        <v>11</v>
      </c>
      <c r="E119" t="s">
        <v>12</v>
      </c>
      <c r="F119" t="s">
        <v>13</v>
      </c>
      <c r="G119" t="s">
        <v>118</v>
      </c>
      <c r="H119" t="s">
        <v>168</v>
      </c>
      <c r="I119" t="s">
        <v>196</v>
      </c>
      <c r="J119" t="s">
        <v>17</v>
      </c>
      <c r="K119" s="1">
        <v>0</v>
      </c>
      <c r="L119" s="1">
        <v>0</v>
      </c>
      <c r="M119" s="1">
        <v>0</v>
      </c>
      <c r="N119" s="1">
        <v>-513</v>
      </c>
      <c r="O119" s="2" t="s">
        <v>20</v>
      </c>
      <c r="P119" s="1">
        <v>-30.4</v>
      </c>
      <c r="Q119" s="1" t="s">
        <v>141</v>
      </c>
      <c r="R119" s="1">
        <v>0</v>
      </c>
      <c r="S119" s="1">
        <v>-271.7</v>
      </c>
      <c r="T119" s="1">
        <v>-271.7</v>
      </c>
      <c r="U119" s="1">
        <v>-271.7</v>
      </c>
      <c r="V119" s="1">
        <v>-271.7</v>
      </c>
      <c r="W119" s="1">
        <v>-1630.2</v>
      </c>
      <c r="X119" t="s">
        <v>176</v>
      </c>
    </row>
    <row r="120" spans="2:24" x14ac:dyDescent="0.35">
      <c r="B120">
        <v>2026</v>
      </c>
      <c r="C120" t="s">
        <v>10</v>
      </c>
      <c r="D120" t="s">
        <v>11</v>
      </c>
      <c r="E120" t="s">
        <v>12</v>
      </c>
      <c r="F120" t="s">
        <v>13</v>
      </c>
      <c r="G120" t="s">
        <v>118</v>
      </c>
      <c r="H120" t="s">
        <v>168</v>
      </c>
      <c r="I120" t="s">
        <v>197</v>
      </c>
      <c r="J120" t="s">
        <v>17</v>
      </c>
      <c r="K120" s="1">
        <v>0</v>
      </c>
      <c r="L120" s="1">
        <v>0</v>
      </c>
      <c r="M120" s="1">
        <v>0</v>
      </c>
      <c r="N120" s="1">
        <v>-1190</v>
      </c>
      <c r="O120" s="2" t="s">
        <v>20</v>
      </c>
      <c r="P120" s="1" t="s">
        <v>20</v>
      </c>
      <c r="Q120" s="1">
        <v>0</v>
      </c>
      <c r="R120" s="1">
        <v>0</v>
      </c>
      <c r="S120" s="1">
        <v>-1190</v>
      </c>
      <c r="T120" s="1">
        <v>-1190</v>
      </c>
      <c r="U120" s="1">
        <v>-1190</v>
      </c>
      <c r="V120" s="1">
        <v>-1190</v>
      </c>
      <c r="W120" s="1">
        <v>-5950</v>
      </c>
      <c r="X120" t="s">
        <v>176</v>
      </c>
    </row>
    <row r="121" spans="2:24" x14ac:dyDescent="0.35">
      <c r="B121">
        <v>2026</v>
      </c>
      <c r="C121" t="s">
        <v>10</v>
      </c>
      <c r="D121" t="s">
        <v>11</v>
      </c>
      <c r="E121" t="s">
        <v>12</v>
      </c>
      <c r="F121" t="s">
        <v>13</v>
      </c>
      <c r="G121" t="s">
        <v>118</v>
      </c>
      <c r="H121" t="s">
        <v>168</v>
      </c>
      <c r="I121" t="s">
        <v>198</v>
      </c>
      <c r="J121" t="s">
        <v>17</v>
      </c>
      <c r="K121" s="1"/>
      <c r="L121" s="1"/>
      <c r="M121" s="1"/>
      <c r="N121" s="1"/>
      <c r="P121" s="1"/>
      <c r="Q121" s="1"/>
      <c r="R121" s="1">
        <v>-4869.95</v>
      </c>
      <c r="S121" s="1">
        <v>-4869.95</v>
      </c>
      <c r="T121" s="1">
        <v>-4869.95</v>
      </c>
      <c r="U121" s="1">
        <v>-4869.95</v>
      </c>
      <c r="V121" s="1">
        <v>-4869.95</v>
      </c>
      <c r="W121" s="1">
        <v>-24349.75</v>
      </c>
      <c r="X121" t="s">
        <v>176</v>
      </c>
    </row>
    <row r="122" spans="2:24" x14ac:dyDescent="0.35">
      <c r="B122">
        <v>2026</v>
      </c>
      <c r="C122" t="s">
        <v>10</v>
      </c>
      <c r="D122" t="s">
        <v>11</v>
      </c>
      <c r="E122" t="s">
        <v>12</v>
      </c>
      <c r="F122" t="s">
        <v>13</v>
      </c>
      <c r="G122" t="s">
        <v>118</v>
      </c>
      <c r="H122" t="s">
        <v>168</v>
      </c>
      <c r="I122" t="s">
        <v>199</v>
      </c>
      <c r="J122" t="s">
        <v>17</v>
      </c>
      <c r="K122" s="1">
        <v>0</v>
      </c>
      <c r="L122" s="1">
        <v>0</v>
      </c>
      <c r="M122" s="1">
        <v>0</v>
      </c>
      <c r="N122" s="1">
        <v>-513</v>
      </c>
      <c r="O122" s="2" t="s">
        <v>20</v>
      </c>
      <c r="P122" s="1">
        <v>-30.35</v>
      </c>
      <c r="Q122" s="1" t="s">
        <v>141</v>
      </c>
      <c r="R122" s="1">
        <v>0</v>
      </c>
      <c r="S122" s="1">
        <v>-271.68</v>
      </c>
      <c r="T122" s="1">
        <v>-271.68</v>
      </c>
      <c r="U122" s="1">
        <v>-271.68</v>
      </c>
      <c r="V122" s="1">
        <v>-271.68</v>
      </c>
      <c r="W122" s="1">
        <v>-1630.0700000000002</v>
      </c>
      <c r="X122" t="s">
        <v>176</v>
      </c>
    </row>
    <row r="123" spans="2:24" x14ac:dyDescent="0.35">
      <c r="B123">
        <v>2026</v>
      </c>
      <c r="C123" t="s">
        <v>10</v>
      </c>
      <c r="D123" t="s">
        <v>11</v>
      </c>
      <c r="E123" t="s">
        <v>12</v>
      </c>
      <c r="F123" t="s">
        <v>13</v>
      </c>
      <c r="G123" t="s">
        <v>118</v>
      </c>
      <c r="H123" t="s">
        <v>168</v>
      </c>
      <c r="I123" t="s">
        <v>200</v>
      </c>
      <c r="J123" t="s">
        <v>17</v>
      </c>
      <c r="K123" s="1">
        <v>0</v>
      </c>
      <c r="L123" s="1">
        <v>0</v>
      </c>
      <c r="M123" s="1">
        <v>0</v>
      </c>
      <c r="N123" s="1">
        <v>-513</v>
      </c>
      <c r="O123" s="2" t="s">
        <v>20</v>
      </c>
      <c r="P123" s="1" t="s">
        <v>20</v>
      </c>
      <c r="Q123" s="1">
        <v>0</v>
      </c>
      <c r="R123" s="1">
        <v>0</v>
      </c>
      <c r="S123" s="1">
        <v>-513</v>
      </c>
      <c r="T123" s="1">
        <v>-513</v>
      </c>
      <c r="U123" s="1">
        <v>-513</v>
      </c>
      <c r="V123" s="1">
        <v>-513</v>
      </c>
      <c r="W123" s="1">
        <v>-2565</v>
      </c>
      <c r="X123" t="s">
        <v>176</v>
      </c>
    </row>
    <row r="124" spans="2:24" x14ac:dyDescent="0.35">
      <c r="B124">
        <v>2026</v>
      </c>
      <c r="C124" t="s">
        <v>10</v>
      </c>
      <c r="D124" t="s">
        <v>11</v>
      </c>
      <c r="E124" t="s">
        <v>12</v>
      </c>
      <c r="F124" t="s">
        <v>13</v>
      </c>
      <c r="G124" t="s">
        <v>118</v>
      </c>
      <c r="H124" t="s">
        <v>168</v>
      </c>
      <c r="I124" t="s">
        <v>201</v>
      </c>
      <c r="J124" t="s">
        <v>17</v>
      </c>
      <c r="K124" s="1">
        <v>0</v>
      </c>
      <c r="L124" s="1">
        <v>0</v>
      </c>
      <c r="M124" s="1">
        <v>0</v>
      </c>
      <c r="N124" s="1">
        <v>-9951.56</v>
      </c>
      <c r="O124" s="2" t="s">
        <v>20</v>
      </c>
      <c r="P124" s="1" t="s">
        <v>20</v>
      </c>
      <c r="Q124" s="1">
        <v>0</v>
      </c>
      <c r="R124" s="1">
        <v>-212.5</v>
      </c>
      <c r="S124" s="1">
        <v>-5082.03</v>
      </c>
      <c r="T124" s="1">
        <v>-5082.03</v>
      </c>
      <c r="U124" s="1">
        <v>-5082.03</v>
      </c>
      <c r="V124" s="1">
        <v>-5082.03</v>
      </c>
      <c r="W124" s="1">
        <v>-30492.179999999997</v>
      </c>
      <c r="X124" t="s">
        <v>176</v>
      </c>
    </row>
    <row r="125" spans="2:24" x14ac:dyDescent="0.35">
      <c r="B125">
        <v>2026</v>
      </c>
      <c r="C125" t="s">
        <v>10</v>
      </c>
      <c r="D125" t="s">
        <v>11</v>
      </c>
      <c r="E125" t="s">
        <v>12</v>
      </c>
      <c r="F125" t="s">
        <v>13</v>
      </c>
      <c r="G125" t="s">
        <v>118</v>
      </c>
      <c r="H125" t="s">
        <v>168</v>
      </c>
      <c r="I125" t="s">
        <v>202</v>
      </c>
      <c r="J125" t="s">
        <v>17</v>
      </c>
      <c r="K125" s="1">
        <v>0</v>
      </c>
      <c r="L125" s="1">
        <v>0</v>
      </c>
      <c r="M125" s="1">
        <v>0</v>
      </c>
      <c r="N125" s="1">
        <v>-513</v>
      </c>
      <c r="O125" s="2" t="s">
        <v>20</v>
      </c>
      <c r="P125" s="1" t="s">
        <v>20</v>
      </c>
      <c r="Q125" s="1">
        <v>0</v>
      </c>
      <c r="R125" s="1">
        <v>0</v>
      </c>
      <c r="S125" s="1">
        <v>-513</v>
      </c>
      <c r="T125" s="1">
        <v>-513</v>
      </c>
      <c r="U125" s="1">
        <v>-513</v>
      </c>
      <c r="V125" s="1">
        <v>-513</v>
      </c>
      <c r="W125" s="1">
        <v>-2565</v>
      </c>
      <c r="X125" t="s">
        <v>176</v>
      </c>
    </row>
    <row r="126" spans="2:24" x14ac:dyDescent="0.35">
      <c r="B126">
        <v>2026</v>
      </c>
      <c r="C126" t="s">
        <v>10</v>
      </c>
      <c r="D126" t="s">
        <v>11</v>
      </c>
      <c r="E126" t="s">
        <v>12</v>
      </c>
      <c r="F126" t="s">
        <v>13</v>
      </c>
      <c r="G126" t="s">
        <v>118</v>
      </c>
      <c r="H126" t="s">
        <v>168</v>
      </c>
      <c r="I126" t="s">
        <v>203</v>
      </c>
      <c r="J126" t="s">
        <v>17</v>
      </c>
      <c r="K126" s="1">
        <v>0</v>
      </c>
      <c r="L126" s="1">
        <v>0</v>
      </c>
      <c r="M126" s="1">
        <v>0</v>
      </c>
      <c r="N126" s="1">
        <v>-513</v>
      </c>
      <c r="O126" s="2">
        <v>-53.12</v>
      </c>
      <c r="P126" s="1">
        <v>-30.35</v>
      </c>
      <c r="Q126" s="1" t="s">
        <v>141</v>
      </c>
      <c r="R126" s="1">
        <v>0</v>
      </c>
      <c r="S126" s="1">
        <v>-198.82</v>
      </c>
      <c r="T126" s="1">
        <v>-198.82</v>
      </c>
      <c r="U126" s="1">
        <v>-198.82</v>
      </c>
      <c r="V126" s="1">
        <v>-198.82</v>
      </c>
      <c r="W126" s="1">
        <v>-1391.7499999999998</v>
      </c>
      <c r="X126" t="s">
        <v>176</v>
      </c>
    </row>
    <row r="127" spans="2:24" x14ac:dyDescent="0.35">
      <c r="B127">
        <v>2026</v>
      </c>
      <c r="C127" t="s">
        <v>10</v>
      </c>
      <c r="D127" t="s">
        <v>11</v>
      </c>
      <c r="E127" t="s">
        <v>12</v>
      </c>
      <c r="F127" t="s">
        <v>13</v>
      </c>
      <c r="G127" t="s">
        <v>118</v>
      </c>
      <c r="H127" t="s">
        <v>168</v>
      </c>
      <c r="I127" t="s">
        <v>204</v>
      </c>
      <c r="J127" t="s">
        <v>17</v>
      </c>
      <c r="K127" s="1">
        <v>0</v>
      </c>
      <c r="L127" s="1">
        <v>0</v>
      </c>
      <c r="M127" s="1">
        <v>0</v>
      </c>
      <c r="N127" s="1">
        <v>0</v>
      </c>
      <c r="O127" s="2">
        <v>0</v>
      </c>
      <c r="P127" s="1" t="s">
        <v>20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t="s">
        <v>21</v>
      </c>
    </row>
    <row r="128" spans="2:24" x14ac:dyDescent="0.35">
      <c r="B128">
        <v>2026</v>
      </c>
      <c r="C128" t="s">
        <v>10</v>
      </c>
      <c r="D128" t="s">
        <v>11</v>
      </c>
      <c r="E128" t="s">
        <v>12</v>
      </c>
      <c r="F128" t="s">
        <v>13</v>
      </c>
      <c r="G128" t="s">
        <v>118</v>
      </c>
      <c r="H128" t="s">
        <v>205</v>
      </c>
      <c r="I128" t="s">
        <v>206</v>
      </c>
      <c r="J128" t="s">
        <v>17</v>
      </c>
      <c r="K128" s="1">
        <v>-6935.76</v>
      </c>
      <c r="L128" s="1">
        <v>-9119.9699999999993</v>
      </c>
      <c r="M128" s="1">
        <v>-14742.05</v>
      </c>
      <c r="N128" s="1">
        <v>-19866.740000000002</v>
      </c>
      <c r="O128" s="2">
        <v>-17966.84</v>
      </c>
      <c r="P128" s="1">
        <v>-14634.83</v>
      </c>
      <c r="Q128" s="1">
        <v>-11227.02</v>
      </c>
      <c r="R128" s="1">
        <v>-7363.19</v>
      </c>
      <c r="S128" s="1">
        <v>-8500</v>
      </c>
      <c r="T128" s="1">
        <v>-14000</v>
      </c>
      <c r="U128" s="1">
        <v>-17500</v>
      </c>
      <c r="V128" s="1">
        <v>-18500</v>
      </c>
      <c r="W128" s="1">
        <v>-160356.40000000002</v>
      </c>
      <c r="X128" t="s">
        <v>207</v>
      </c>
    </row>
    <row r="129" spans="2:24" x14ac:dyDescent="0.35">
      <c r="B129">
        <v>2026</v>
      </c>
      <c r="C129" t="s">
        <v>10</v>
      </c>
      <c r="D129" t="s">
        <v>11</v>
      </c>
      <c r="E129" t="s">
        <v>12</v>
      </c>
      <c r="F129" t="s">
        <v>13</v>
      </c>
      <c r="G129" t="s">
        <v>118</v>
      </c>
      <c r="H129" t="s">
        <v>205</v>
      </c>
      <c r="I129" t="s">
        <v>208</v>
      </c>
      <c r="J129" t="s">
        <v>17</v>
      </c>
      <c r="K129" s="1">
        <v>-2898.1</v>
      </c>
      <c r="L129" s="1">
        <v>-864.32</v>
      </c>
      <c r="M129" s="1">
        <v>-4611.7700000000004</v>
      </c>
      <c r="N129" s="1">
        <v>-1313.78</v>
      </c>
      <c r="O129" s="2">
        <v>-951.38</v>
      </c>
      <c r="P129" s="1">
        <v>-23539.9</v>
      </c>
      <c r="Q129" s="1">
        <v>-30143.15</v>
      </c>
      <c r="R129" s="1">
        <v>-8087.44</v>
      </c>
      <c r="S129" s="1">
        <v>-6000</v>
      </c>
      <c r="T129" s="1">
        <v>-9500</v>
      </c>
      <c r="U129" s="1">
        <v>-13000</v>
      </c>
      <c r="V129" s="1">
        <v>-14000</v>
      </c>
      <c r="W129" s="1">
        <v>-114909.84</v>
      </c>
      <c r="X129" t="s">
        <v>209</v>
      </c>
    </row>
    <row r="130" spans="2:24" x14ac:dyDescent="0.35">
      <c r="B130">
        <v>2026</v>
      </c>
      <c r="C130" t="s">
        <v>10</v>
      </c>
      <c r="D130" t="s">
        <v>11</v>
      </c>
      <c r="E130" t="s">
        <v>12</v>
      </c>
      <c r="F130" t="s">
        <v>13</v>
      </c>
      <c r="G130" t="s">
        <v>118</v>
      </c>
      <c r="H130" t="s">
        <v>205</v>
      </c>
      <c r="I130" t="s">
        <v>210</v>
      </c>
      <c r="J130" t="s">
        <v>17</v>
      </c>
      <c r="K130" s="1">
        <v>-5283.6</v>
      </c>
      <c r="L130" s="1">
        <v>-4717.34</v>
      </c>
      <c r="M130" s="1">
        <v>-6216.75</v>
      </c>
      <c r="N130" s="1">
        <v>-3107.88</v>
      </c>
      <c r="O130" s="2">
        <v>-6790.44</v>
      </c>
      <c r="P130" s="1">
        <v>-6162.89</v>
      </c>
      <c r="Q130" s="1">
        <v>-1597.42</v>
      </c>
      <c r="R130" s="1">
        <v>-11901.38</v>
      </c>
      <c r="S130" s="1">
        <v>-3500</v>
      </c>
      <c r="T130" s="1">
        <v>-5500</v>
      </c>
      <c r="U130" s="1">
        <v>-7000</v>
      </c>
      <c r="V130" s="1">
        <v>-7500</v>
      </c>
      <c r="W130" s="1">
        <v>-69277.7</v>
      </c>
      <c r="X130" t="s">
        <v>211</v>
      </c>
    </row>
    <row r="131" spans="2:24" x14ac:dyDescent="0.35">
      <c r="B131">
        <v>2026</v>
      </c>
      <c r="C131" t="s">
        <v>10</v>
      </c>
      <c r="D131" t="s">
        <v>11</v>
      </c>
      <c r="E131" t="s">
        <v>12</v>
      </c>
      <c r="F131" t="s">
        <v>13</v>
      </c>
      <c r="G131" t="s">
        <v>118</v>
      </c>
      <c r="H131" t="s">
        <v>205</v>
      </c>
      <c r="I131" t="s">
        <v>212</v>
      </c>
      <c r="J131" t="s">
        <v>17</v>
      </c>
      <c r="K131" s="1">
        <v>-18803.73</v>
      </c>
      <c r="L131" s="1">
        <v>-3406.44</v>
      </c>
      <c r="M131" s="1">
        <v>-15879.46</v>
      </c>
      <c r="N131" s="1">
        <v>0</v>
      </c>
      <c r="O131" s="2" t="s">
        <v>20</v>
      </c>
      <c r="P131" s="1" t="s">
        <v>20</v>
      </c>
      <c r="Q131" s="1">
        <v>0</v>
      </c>
      <c r="R131" s="1">
        <v>0</v>
      </c>
      <c r="S131" s="1">
        <v>-3000</v>
      </c>
      <c r="T131" s="1">
        <v>-5000</v>
      </c>
      <c r="U131" s="1">
        <v>-6500</v>
      </c>
      <c r="V131" s="1">
        <v>-7000</v>
      </c>
      <c r="W131" s="1">
        <v>-59589.63</v>
      </c>
      <c r="X131" t="s">
        <v>213</v>
      </c>
    </row>
    <row r="132" spans="2:24" x14ac:dyDescent="0.35">
      <c r="B132">
        <v>2026</v>
      </c>
      <c r="C132" t="s">
        <v>10</v>
      </c>
      <c r="D132" t="s">
        <v>11</v>
      </c>
      <c r="E132" t="s">
        <v>12</v>
      </c>
      <c r="F132" t="s">
        <v>13</v>
      </c>
      <c r="G132" t="s">
        <v>118</v>
      </c>
      <c r="H132" t="s">
        <v>205</v>
      </c>
      <c r="I132" t="s">
        <v>214</v>
      </c>
      <c r="J132" t="s">
        <v>17</v>
      </c>
      <c r="K132" s="1">
        <v>-202.03</v>
      </c>
      <c r="L132" s="1">
        <v>-389.24</v>
      </c>
      <c r="M132" s="1">
        <v>-280.8</v>
      </c>
      <c r="N132" s="1">
        <v>0</v>
      </c>
      <c r="O132" s="2" t="s">
        <v>20</v>
      </c>
      <c r="P132" s="1">
        <v>-1935.01</v>
      </c>
      <c r="Q132" s="1">
        <v>-592.1</v>
      </c>
      <c r="R132" s="1">
        <v>-149.55000000000001</v>
      </c>
      <c r="S132" s="1">
        <v>-591.46</v>
      </c>
      <c r="T132" s="1">
        <v>-591.46</v>
      </c>
      <c r="U132" s="1">
        <v>-591.46</v>
      </c>
      <c r="V132" s="1">
        <v>-591.46</v>
      </c>
      <c r="W132" s="1">
        <v>-5914.5700000000006</v>
      </c>
      <c r="X132" t="s">
        <v>176</v>
      </c>
    </row>
    <row r="133" spans="2:24" x14ac:dyDescent="0.35">
      <c r="B133">
        <v>2026</v>
      </c>
      <c r="C133" t="s">
        <v>10</v>
      </c>
      <c r="D133" t="s">
        <v>11</v>
      </c>
      <c r="E133" t="s">
        <v>12</v>
      </c>
      <c r="F133" t="s">
        <v>13</v>
      </c>
      <c r="G133" t="s">
        <v>118</v>
      </c>
      <c r="H133" t="s">
        <v>205</v>
      </c>
      <c r="I133" t="s">
        <v>215</v>
      </c>
      <c r="J133" t="s">
        <v>17</v>
      </c>
      <c r="K133" s="1">
        <v>0</v>
      </c>
      <c r="L133" s="1">
        <v>-1750</v>
      </c>
      <c r="M133" s="1">
        <v>-487.13</v>
      </c>
      <c r="N133" s="1">
        <v>-1930</v>
      </c>
      <c r="O133" s="2" t="s">
        <v>20</v>
      </c>
      <c r="P133" s="1" t="s">
        <v>20</v>
      </c>
      <c r="Q133" s="1">
        <v>0</v>
      </c>
      <c r="R133" s="1">
        <v>0</v>
      </c>
      <c r="S133" s="1">
        <v>-1389.04</v>
      </c>
      <c r="T133" s="1">
        <v>-1389.04</v>
      </c>
      <c r="U133" s="1">
        <v>-1389.04</v>
      </c>
      <c r="V133" s="1">
        <v>-1389.04</v>
      </c>
      <c r="W133" s="1">
        <v>-9723.2900000000009</v>
      </c>
      <c r="X133" t="s">
        <v>176</v>
      </c>
    </row>
    <row r="134" spans="2:24" x14ac:dyDescent="0.35">
      <c r="B134">
        <v>2026</v>
      </c>
      <c r="C134" t="s">
        <v>10</v>
      </c>
      <c r="D134" t="s">
        <v>11</v>
      </c>
      <c r="E134" t="s">
        <v>12</v>
      </c>
      <c r="F134" t="s">
        <v>13</v>
      </c>
      <c r="G134" t="s">
        <v>118</v>
      </c>
      <c r="H134" t="s">
        <v>205</v>
      </c>
      <c r="I134" t="s">
        <v>216</v>
      </c>
      <c r="J134" t="s">
        <v>17</v>
      </c>
      <c r="K134" s="1">
        <v>0</v>
      </c>
      <c r="L134" s="1">
        <v>0</v>
      </c>
      <c r="M134" s="1">
        <v>0</v>
      </c>
      <c r="N134" s="1">
        <v>0</v>
      </c>
      <c r="O134" s="2">
        <v>0</v>
      </c>
      <c r="P134" s="1" t="s">
        <v>20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t="s">
        <v>21</v>
      </c>
    </row>
    <row r="135" spans="2:24" x14ac:dyDescent="0.35">
      <c r="B135">
        <v>2026</v>
      </c>
      <c r="C135" t="s">
        <v>10</v>
      </c>
      <c r="D135" t="s">
        <v>11</v>
      </c>
      <c r="E135" t="s">
        <v>12</v>
      </c>
      <c r="F135" t="s">
        <v>13</v>
      </c>
      <c r="G135" t="s">
        <v>118</v>
      </c>
      <c r="H135" t="s">
        <v>217</v>
      </c>
      <c r="I135" t="s">
        <v>218</v>
      </c>
      <c r="J135" t="s">
        <v>17</v>
      </c>
      <c r="K135" s="1">
        <v>0</v>
      </c>
      <c r="L135" s="1">
        <v>0</v>
      </c>
      <c r="M135" s="1">
        <v>-188.17</v>
      </c>
      <c r="N135" s="1">
        <v>0</v>
      </c>
      <c r="O135" s="2" t="s">
        <v>20</v>
      </c>
      <c r="P135" s="1" t="s">
        <v>20</v>
      </c>
      <c r="Q135" s="1">
        <v>0</v>
      </c>
      <c r="R135" s="1">
        <v>0</v>
      </c>
      <c r="S135" s="1">
        <v>-188.17</v>
      </c>
      <c r="T135" s="1">
        <v>-188.17</v>
      </c>
      <c r="U135" s="1">
        <v>-188.17</v>
      </c>
      <c r="V135" s="1">
        <v>-188.17</v>
      </c>
      <c r="W135" s="1">
        <v>-940.84999999999991</v>
      </c>
      <c r="X135" t="s">
        <v>219</v>
      </c>
    </row>
    <row r="136" spans="2:24" x14ac:dyDescent="0.35">
      <c r="B136">
        <v>2026</v>
      </c>
      <c r="C136" t="s">
        <v>10</v>
      </c>
      <c r="D136" t="s">
        <v>11</v>
      </c>
      <c r="E136" t="s">
        <v>12</v>
      </c>
      <c r="F136" t="s">
        <v>13</v>
      </c>
      <c r="G136" t="s">
        <v>118</v>
      </c>
      <c r="H136" t="s">
        <v>217</v>
      </c>
      <c r="I136" t="s">
        <v>220</v>
      </c>
      <c r="J136" t="s">
        <v>17</v>
      </c>
      <c r="K136" s="1">
        <v>0</v>
      </c>
      <c r="L136" s="1">
        <v>0</v>
      </c>
      <c r="M136" s="1">
        <v>0</v>
      </c>
      <c r="N136" s="1">
        <v>0</v>
      </c>
      <c r="O136" s="2">
        <v>0</v>
      </c>
      <c r="P136" s="1">
        <v>0</v>
      </c>
      <c r="Q136" s="1">
        <v>-194.64</v>
      </c>
      <c r="R136" s="1">
        <v>0</v>
      </c>
      <c r="S136" s="1">
        <v>-194.64</v>
      </c>
      <c r="T136" s="1">
        <v>-194.64</v>
      </c>
      <c r="U136" s="1">
        <v>-194.64</v>
      </c>
      <c r="V136" s="1">
        <v>-194.64</v>
      </c>
      <c r="W136" s="1">
        <v>-973.19999999999993</v>
      </c>
      <c r="X136" t="s">
        <v>219</v>
      </c>
    </row>
    <row r="137" spans="2:24" x14ac:dyDescent="0.35">
      <c r="B137">
        <v>2026</v>
      </c>
      <c r="C137" t="s">
        <v>10</v>
      </c>
      <c r="D137" t="s">
        <v>11</v>
      </c>
      <c r="E137" t="s">
        <v>12</v>
      </c>
      <c r="F137" t="s">
        <v>13</v>
      </c>
      <c r="G137" t="s">
        <v>118</v>
      </c>
      <c r="H137" t="s">
        <v>217</v>
      </c>
      <c r="I137" t="s">
        <v>221</v>
      </c>
      <c r="J137" t="s">
        <v>17</v>
      </c>
      <c r="K137" s="1">
        <v>0</v>
      </c>
      <c r="L137" s="1">
        <v>0</v>
      </c>
      <c r="M137" s="1">
        <v>0</v>
      </c>
      <c r="N137" s="1">
        <v>0</v>
      </c>
      <c r="O137" s="2">
        <v>-5788.51</v>
      </c>
      <c r="P137" s="1">
        <v>-774.67</v>
      </c>
      <c r="Q137" s="1" t="s">
        <v>141</v>
      </c>
      <c r="R137" s="1">
        <v>0</v>
      </c>
      <c r="S137" s="1">
        <v>-3281.59</v>
      </c>
      <c r="T137" s="1">
        <v>-3281.59</v>
      </c>
      <c r="U137" s="1">
        <v>-3281.59</v>
      </c>
      <c r="V137" s="1">
        <v>-3281.59</v>
      </c>
      <c r="W137" s="1">
        <v>-19689.54</v>
      </c>
      <c r="X137" t="s">
        <v>219</v>
      </c>
    </row>
    <row r="138" spans="2:24" x14ac:dyDescent="0.35">
      <c r="B138">
        <v>2026</v>
      </c>
      <c r="C138" t="s">
        <v>10</v>
      </c>
      <c r="D138" t="s">
        <v>11</v>
      </c>
      <c r="E138" t="s">
        <v>12</v>
      </c>
      <c r="F138" t="s">
        <v>13</v>
      </c>
      <c r="G138" t="s">
        <v>118</v>
      </c>
      <c r="H138" t="s">
        <v>217</v>
      </c>
      <c r="I138" t="s">
        <v>222</v>
      </c>
      <c r="J138" t="s">
        <v>17</v>
      </c>
      <c r="K138" s="1">
        <v>-8631.83</v>
      </c>
      <c r="L138" s="1">
        <v>0</v>
      </c>
      <c r="M138" s="1">
        <v>-2798.15</v>
      </c>
      <c r="N138" s="1">
        <v>-608.9</v>
      </c>
      <c r="O138" s="2" t="s">
        <v>20</v>
      </c>
      <c r="P138" s="1">
        <v>-2798.15</v>
      </c>
      <c r="Q138" s="1">
        <v>-41.37</v>
      </c>
      <c r="R138" s="1">
        <v>0</v>
      </c>
      <c r="S138" s="1">
        <v>-2975.68</v>
      </c>
      <c r="T138" s="1">
        <v>-2975.68</v>
      </c>
      <c r="U138" s="1">
        <v>-2975.68</v>
      </c>
      <c r="V138" s="1">
        <v>-2975.68</v>
      </c>
      <c r="W138" s="1">
        <v>-26781.119999999999</v>
      </c>
      <c r="X138" t="s">
        <v>219</v>
      </c>
    </row>
    <row r="139" spans="2:24" x14ac:dyDescent="0.35">
      <c r="B139">
        <v>2026</v>
      </c>
      <c r="C139" t="s">
        <v>10</v>
      </c>
      <c r="D139" t="s">
        <v>11</v>
      </c>
      <c r="E139" t="s">
        <v>12</v>
      </c>
      <c r="F139" t="s">
        <v>13</v>
      </c>
      <c r="G139" t="s">
        <v>118</v>
      </c>
      <c r="H139" t="s">
        <v>223</v>
      </c>
      <c r="I139" t="s">
        <v>224</v>
      </c>
      <c r="J139" t="s">
        <v>17</v>
      </c>
      <c r="K139" s="1">
        <v>0</v>
      </c>
      <c r="L139" s="1">
        <v>0</v>
      </c>
      <c r="M139" s="1">
        <v>0</v>
      </c>
      <c r="N139" s="1">
        <v>0</v>
      </c>
      <c r="O139" s="2">
        <v>0</v>
      </c>
      <c r="P139" s="1" t="s">
        <v>20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t="s">
        <v>21</v>
      </c>
    </row>
    <row r="140" spans="2:24" x14ac:dyDescent="0.35">
      <c r="B140">
        <v>2026</v>
      </c>
      <c r="C140" t="s">
        <v>10</v>
      </c>
      <c r="D140" t="s">
        <v>11</v>
      </c>
      <c r="E140" t="s">
        <v>12</v>
      </c>
      <c r="F140" t="s">
        <v>13</v>
      </c>
      <c r="G140" t="s">
        <v>118</v>
      </c>
      <c r="H140" t="s">
        <v>223</v>
      </c>
      <c r="I140" t="s">
        <v>225</v>
      </c>
      <c r="J140" t="s">
        <v>17</v>
      </c>
      <c r="K140" s="1">
        <v>-111.93</v>
      </c>
      <c r="L140" s="1">
        <v>-38.96</v>
      </c>
      <c r="M140" s="1">
        <v>-1.21</v>
      </c>
      <c r="N140" s="1">
        <v>-1.21</v>
      </c>
      <c r="O140" s="2">
        <v>-8.4700000000000006</v>
      </c>
      <c r="P140" s="1">
        <v>-102.05</v>
      </c>
      <c r="Q140" s="1">
        <v>-121.06</v>
      </c>
      <c r="R140" s="1">
        <v>-7.26</v>
      </c>
      <c r="S140" s="1">
        <v>-49.02</v>
      </c>
      <c r="T140" s="1">
        <v>-49.02</v>
      </c>
      <c r="U140" s="1">
        <v>-49.02</v>
      </c>
      <c r="V140" s="1">
        <v>-49.02</v>
      </c>
      <c r="W140" s="1">
        <v>-588.23</v>
      </c>
      <c r="X140" t="s">
        <v>226</v>
      </c>
    </row>
    <row r="141" spans="2:24" x14ac:dyDescent="0.35">
      <c r="B141">
        <v>2026</v>
      </c>
      <c r="C141" t="s">
        <v>10</v>
      </c>
      <c r="D141" t="s">
        <v>11</v>
      </c>
      <c r="E141" t="s">
        <v>12</v>
      </c>
      <c r="F141" t="s">
        <v>13</v>
      </c>
      <c r="G141" t="s">
        <v>118</v>
      </c>
      <c r="H141" t="s">
        <v>223</v>
      </c>
      <c r="I141" t="s">
        <v>227</v>
      </c>
      <c r="J141" t="s">
        <v>17</v>
      </c>
      <c r="K141" s="1">
        <v>-138.5</v>
      </c>
      <c r="L141" s="1">
        <v>-149.62</v>
      </c>
      <c r="M141" s="1">
        <v>-353.89</v>
      </c>
      <c r="N141" s="1">
        <v>-230.86</v>
      </c>
      <c r="O141" s="2">
        <v>-43.09</v>
      </c>
      <c r="P141" s="1">
        <v>-200.29</v>
      </c>
      <c r="Q141" s="1">
        <v>-109.75</v>
      </c>
      <c r="R141" s="1">
        <v>-143.33000000000001</v>
      </c>
      <c r="S141" s="1">
        <v>-171.17</v>
      </c>
      <c r="T141" s="1">
        <v>-171.17</v>
      </c>
      <c r="U141" s="1">
        <v>-171.17</v>
      </c>
      <c r="V141" s="1">
        <v>-171.17</v>
      </c>
      <c r="W141" s="1">
        <v>-2054.0100000000002</v>
      </c>
      <c r="X141" t="s">
        <v>226</v>
      </c>
    </row>
    <row r="142" spans="2:24" x14ac:dyDescent="0.35">
      <c r="B142">
        <v>2026</v>
      </c>
      <c r="C142" t="s">
        <v>10</v>
      </c>
      <c r="D142" t="s">
        <v>11</v>
      </c>
      <c r="E142" t="s">
        <v>12</v>
      </c>
      <c r="F142" t="s">
        <v>13</v>
      </c>
      <c r="G142" t="s">
        <v>118</v>
      </c>
      <c r="H142" t="s">
        <v>223</v>
      </c>
      <c r="I142" t="s">
        <v>228</v>
      </c>
      <c r="J142" t="s">
        <v>17</v>
      </c>
      <c r="K142" s="1">
        <v>-342.23</v>
      </c>
      <c r="L142" s="1">
        <v>-704.39</v>
      </c>
      <c r="M142" s="1">
        <v>-687.65</v>
      </c>
      <c r="N142" s="1">
        <v>-381.46</v>
      </c>
      <c r="O142" s="2">
        <v>-1201.98</v>
      </c>
      <c r="P142" s="1">
        <v>-1201.74</v>
      </c>
      <c r="Q142" s="1">
        <v>-1353.52</v>
      </c>
      <c r="R142" s="1">
        <v>-615.71</v>
      </c>
      <c r="S142" s="1">
        <v>-811.09</v>
      </c>
      <c r="T142" s="1">
        <v>-811.09</v>
      </c>
      <c r="U142" s="1">
        <v>-811.09</v>
      </c>
      <c r="V142" s="1">
        <v>-811.09</v>
      </c>
      <c r="W142" s="1">
        <v>-9733.0399999999991</v>
      </c>
      <c r="X142" t="s">
        <v>226</v>
      </c>
    </row>
    <row r="143" spans="2:24" x14ac:dyDescent="0.35">
      <c r="B143">
        <v>2026</v>
      </c>
      <c r="C143" t="s">
        <v>10</v>
      </c>
      <c r="D143" t="s">
        <v>11</v>
      </c>
      <c r="E143" t="s">
        <v>12</v>
      </c>
      <c r="F143" t="s">
        <v>13</v>
      </c>
      <c r="G143" t="s">
        <v>118</v>
      </c>
      <c r="H143" t="s">
        <v>229</v>
      </c>
      <c r="I143" t="s">
        <v>230</v>
      </c>
      <c r="J143" t="s">
        <v>17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 t="s">
        <v>20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t="s">
        <v>21</v>
      </c>
    </row>
    <row r="144" spans="2:24" x14ac:dyDescent="0.35">
      <c r="B144">
        <v>2026</v>
      </c>
      <c r="C144" t="s">
        <v>10</v>
      </c>
      <c r="D144" t="s">
        <v>11</v>
      </c>
      <c r="E144" t="s">
        <v>12</v>
      </c>
      <c r="F144" t="s">
        <v>13</v>
      </c>
      <c r="G144" t="s">
        <v>118</v>
      </c>
      <c r="H144" t="s">
        <v>229</v>
      </c>
      <c r="I144" t="s">
        <v>231</v>
      </c>
      <c r="J144" t="s">
        <v>17</v>
      </c>
      <c r="K144" s="1">
        <v>0</v>
      </c>
      <c r="L144" s="1">
        <v>0</v>
      </c>
      <c r="M144" s="1">
        <v>0</v>
      </c>
      <c r="N144" s="1">
        <v>0</v>
      </c>
      <c r="O144" s="2">
        <v>0</v>
      </c>
      <c r="P144" s="1" t="s">
        <v>20</v>
      </c>
      <c r="Q144" s="1">
        <v>0</v>
      </c>
      <c r="R144" s="1">
        <v>-214.6</v>
      </c>
      <c r="S144" s="1">
        <v>-214.6</v>
      </c>
      <c r="T144" s="1">
        <v>-321.89999999999998</v>
      </c>
      <c r="U144" s="1">
        <v>-214.6</v>
      </c>
      <c r="V144" s="1">
        <v>-214.6</v>
      </c>
      <c r="W144" s="1">
        <v>-1180.3</v>
      </c>
      <c r="X144" t="s">
        <v>232</v>
      </c>
    </row>
    <row r="145" spans="2:24" x14ac:dyDescent="0.35">
      <c r="B145">
        <v>2026</v>
      </c>
      <c r="C145" t="s">
        <v>10</v>
      </c>
      <c r="D145" t="s">
        <v>11</v>
      </c>
      <c r="E145" t="s">
        <v>12</v>
      </c>
      <c r="F145" t="s">
        <v>13</v>
      </c>
      <c r="G145" t="s">
        <v>118</v>
      </c>
      <c r="H145" t="s">
        <v>229</v>
      </c>
      <c r="I145" t="s">
        <v>233</v>
      </c>
      <c r="J145" t="s">
        <v>17</v>
      </c>
      <c r="K145" s="1">
        <v>0</v>
      </c>
      <c r="L145" s="1">
        <v>0</v>
      </c>
      <c r="M145" s="1">
        <v>0</v>
      </c>
      <c r="N145" s="1">
        <v>0</v>
      </c>
      <c r="O145" s="2">
        <v>0</v>
      </c>
      <c r="P145" s="1" t="s">
        <v>20</v>
      </c>
      <c r="Q145" s="1">
        <v>-407</v>
      </c>
      <c r="R145" s="1">
        <v>0</v>
      </c>
      <c r="S145" s="1">
        <v>-407</v>
      </c>
      <c r="T145" s="1">
        <v>-610.5</v>
      </c>
      <c r="U145" s="1">
        <v>-407</v>
      </c>
      <c r="V145" s="1">
        <v>-407</v>
      </c>
      <c r="W145" s="1">
        <v>-2238.5</v>
      </c>
      <c r="X145" t="s">
        <v>232</v>
      </c>
    </row>
    <row r="146" spans="2:24" x14ac:dyDescent="0.35">
      <c r="B146">
        <v>2026</v>
      </c>
      <c r="C146" t="s">
        <v>10</v>
      </c>
      <c r="D146" t="s">
        <v>11</v>
      </c>
      <c r="E146" t="s">
        <v>12</v>
      </c>
      <c r="F146" t="s">
        <v>13</v>
      </c>
      <c r="G146" t="s">
        <v>118</v>
      </c>
      <c r="H146" t="s">
        <v>229</v>
      </c>
      <c r="I146" t="s">
        <v>234</v>
      </c>
      <c r="J146" t="s">
        <v>17</v>
      </c>
      <c r="K146" s="1">
        <v>-27.52</v>
      </c>
      <c r="L146" s="1">
        <v>0</v>
      </c>
      <c r="M146" s="1">
        <v>0</v>
      </c>
      <c r="N146" s="1">
        <v>0</v>
      </c>
      <c r="O146" s="2">
        <v>-170.36</v>
      </c>
      <c r="P146" s="1" t="s">
        <v>20</v>
      </c>
      <c r="Q146" s="1">
        <v>0</v>
      </c>
      <c r="R146" s="1">
        <v>0</v>
      </c>
      <c r="S146" s="1">
        <v>-98.94</v>
      </c>
      <c r="T146" s="1">
        <v>-148.41</v>
      </c>
      <c r="U146" s="1">
        <v>-98.94</v>
      </c>
      <c r="V146" s="1">
        <v>-98.94</v>
      </c>
      <c r="W146" s="1">
        <v>-643.11000000000013</v>
      </c>
      <c r="X146" t="s">
        <v>232</v>
      </c>
    </row>
    <row r="147" spans="2:24" x14ac:dyDescent="0.35">
      <c r="B147">
        <v>2026</v>
      </c>
      <c r="C147" t="s">
        <v>10</v>
      </c>
      <c r="D147" t="s">
        <v>11</v>
      </c>
      <c r="E147" t="s">
        <v>12</v>
      </c>
      <c r="F147" t="s">
        <v>13</v>
      </c>
      <c r="G147" t="s">
        <v>118</v>
      </c>
      <c r="H147" t="s">
        <v>229</v>
      </c>
      <c r="I147" t="s">
        <v>235</v>
      </c>
      <c r="J147" t="s">
        <v>17</v>
      </c>
      <c r="K147" s="1">
        <v>0</v>
      </c>
      <c r="L147" s="1">
        <v>0</v>
      </c>
      <c r="M147" s="1">
        <v>0</v>
      </c>
      <c r="N147" s="1">
        <v>-308.45999999999998</v>
      </c>
      <c r="O147" s="2" t="s">
        <v>20</v>
      </c>
      <c r="P147" s="1" t="s">
        <v>20</v>
      </c>
      <c r="Q147" s="1">
        <v>0</v>
      </c>
      <c r="R147" s="1">
        <v>0</v>
      </c>
      <c r="S147" s="1">
        <v>-308.45999999999998</v>
      </c>
      <c r="T147" s="1">
        <v>-462.69</v>
      </c>
      <c r="U147" s="1">
        <v>-308.45999999999998</v>
      </c>
      <c r="V147" s="1">
        <v>-308.45999999999998</v>
      </c>
      <c r="W147" s="1">
        <v>-1696.53</v>
      </c>
      <c r="X147" t="s">
        <v>232</v>
      </c>
    </row>
    <row r="148" spans="2:24" x14ac:dyDescent="0.35">
      <c r="B148">
        <v>2026</v>
      </c>
      <c r="C148" t="s">
        <v>10</v>
      </c>
      <c r="D148" t="s">
        <v>11</v>
      </c>
      <c r="E148" t="s">
        <v>12</v>
      </c>
      <c r="F148" t="s">
        <v>13</v>
      </c>
      <c r="G148" t="s">
        <v>118</v>
      </c>
      <c r="H148" t="s">
        <v>229</v>
      </c>
      <c r="I148" t="s">
        <v>236</v>
      </c>
      <c r="J148" t="s">
        <v>17</v>
      </c>
      <c r="K148" s="1">
        <v>0</v>
      </c>
      <c r="L148" s="1">
        <v>0</v>
      </c>
      <c r="M148" s="1">
        <v>-1568.58</v>
      </c>
      <c r="N148" s="1">
        <v>-4485</v>
      </c>
      <c r="O148" s="2">
        <v>-55</v>
      </c>
      <c r="P148" s="1">
        <v>-3000</v>
      </c>
      <c r="Q148" s="1" t="s">
        <v>141</v>
      </c>
      <c r="R148" s="1">
        <v>0</v>
      </c>
      <c r="S148" s="1">
        <v>-2277.14</v>
      </c>
      <c r="T148" s="1">
        <v>-3415.71</v>
      </c>
      <c r="U148" s="1">
        <v>-2277.14</v>
      </c>
      <c r="V148" s="1">
        <v>-2277.14</v>
      </c>
      <c r="W148" s="1">
        <v>-19355.71</v>
      </c>
      <c r="X148" t="s">
        <v>232</v>
      </c>
    </row>
    <row r="149" spans="2:24" x14ac:dyDescent="0.35">
      <c r="B149">
        <v>2026</v>
      </c>
      <c r="C149" t="s">
        <v>10</v>
      </c>
      <c r="D149" t="s">
        <v>11</v>
      </c>
      <c r="E149" t="s">
        <v>12</v>
      </c>
      <c r="F149" t="s">
        <v>13</v>
      </c>
      <c r="G149" t="s">
        <v>118</v>
      </c>
      <c r="H149" t="s">
        <v>229</v>
      </c>
      <c r="I149" t="s">
        <v>237</v>
      </c>
      <c r="J149" t="s">
        <v>17</v>
      </c>
      <c r="K149" s="1">
        <v>0</v>
      </c>
      <c r="L149" s="1">
        <v>0</v>
      </c>
      <c r="M149" s="1">
        <v>0</v>
      </c>
      <c r="N149" s="1">
        <v>0</v>
      </c>
      <c r="O149" s="2">
        <v>-3208.9</v>
      </c>
      <c r="P149" s="1">
        <v>-438</v>
      </c>
      <c r="Q149" s="1">
        <v>-9082.9</v>
      </c>
      <c r="R149" s="1">
        <v>-3164.3</v>
      </c>
      <c r="S149" s="1">
        <v>-1500</v>
      </c>
      <c r="T149" s="1">
        <v>-4500</v>
      </c>
      <c r="U149" s="1">
        <v>-2000</v>
      </c>
      <c r="V149" s="1">
        <v>-2000</v>
      </c>
      <c r="W149" s="1">
        <v>-25894.1</v>
      </c>
      <c r="X149" t="s">
        <v>238</v>
      </c>
    </row>
    <row r="150" spans="2:24" x14ac:dyDescent="0.35">
      <c r="B150">
        <v>2026</v>
      </c>
      <c r="C150" t="s">
        <v>10</v>
      </c>
      <c r="D150" t="s">
        <v>11</v>
      </c>
      <c r="E150" t="s">
        <v>12</v>
      </c>
      <c r="F150" t="s">
        <v>13</v>
      </c>
      <c r="G150" t="s">
        <v>118</v>
      </c>
      <c r="H150" t="s">
        <v>229</v>
      </c>
      <c r="I150" t="s">
        <v>239</v>
      </c>
      <c r="J150" t="s">
        <v>17</v>
      </c>
      <c r="K150" s="1">
        <v>0</v>
      </c>
      <c r="L150" s="1">
        <v>0</v>
      </c>
      <c r="M150" s="1">
        <v>-826.76</v>
      </c>
      <c r="N150" s="1">
        <v>0</v>
      </c>
      <c r="O150" s="2" t="s">
        <v>20</v>
      </c>
      <c r="P150" s="1" t="s">
        <v>20</v>
      </c>
      <c r="Q150" s="1">
        <v>0</v>
      </c>
      <c r="R150" s="1">
        <v>0</v>
      </c>
      <c r="S150" s="1">
        <v>-826.76</v>
      </c>
      <c r="T150" s="1">
        <v>-1240.1400000000001</v>
      </c>
      <c r="U150" s="1">
        <v>-826.76</v>
      </c>
      <c r="V150" s="1">
        <v>-826.76</v>
      </c>
      <c r="W150" s="1">
        <v>-4547.18</v>
      </c>
      <c r="X150" t="s">
        <v>232</v>
      </c>
    </row>
    <row r="151" spans="2:24" x14ac:dyDescent="0.35">
      <c r="B151">
        <v>2026</v>
      </c>
      <c r="C151" t="s">
        <v>10</v>
      </c>
      <c r="D151" t="s">
        <v>11</v>
      </c>
      <c r="E151" t="s">
        <v>12</v>
      </c>
      <c r="F151" t="s">
        <v>13</v>
      </c>
      <c r="G151" t="s">
        <v>118</v>
      </c>
      <c r="H151" t="s">
        <v>240</v>
      </c>
      <c r="I151" t="s">
        <v>241</v>
      </c>
      <c r="J151" t="s">
        <v>17</v>
      </c>
      <c r="K151" s="1">
        <v>0</v>
      </c>
      <c r="L151" s="1">
        <v>0</v>
      </c>
      <c r="M151" s="1">
        <v>0</v>
      </c>
      <c r="N151" s="1">
        <v>0</v>
      </c>
      <c r="O151" s="2">
        <v>0</v>
      </c>
      <c r="P151" s="1">
        <v>-489</v>
      </c>
      <c r="Q151" s="1" t="s">
        <v>141</v>
      </c>
      <c r="R151" s="1">
        <v>0</v>
      </c>
      <c r="S151" s="1">
        <v>-489</v>
      </c>
      <c r="T151" s="1">
        <v>-489</v>
      </c>
      <c r="U151" s="1">
        <v>-489</v>
      </c>
      <c r="V151" s="1">
        <v>-489</v>
      </c>
      <c r="W151" s="1">
        <v>-2445</v>
      </c>
      <c r="X151" t="s">
        <v>176</v>
      </c>
    </row>
    <row r="152" spans="2:24" x14ac:dyDescent="0.35">
      <c r="B152">
        <v>2026</v>
      </c>
      <c r="C152" t="s">
        <v>10</v>
      </c>
      <c r="D152" t="s">
        <v>11</v>
      </c>
      <c r="E152" t="s">
        <v>12</v>
      </c>
      <c r="F152" t="s">
        <v>13</v>
      </c>
      <c r="G152" t="s">
        <v>118</v>
      </c>
      <c r="H152" t="s">
        <v>240</v>
      </c>
      <c r="I152" t="s">
        <v>242</v>
      </c>
      <c r="J152" t="s">
        <v>17</v>
      </c>
      <c r="K152" s="1">
        <v>-4457.07</v>
      </c>
      <c r="L152" s="1">
        <v>-4192.18</v>
      </c>
      <c r="M152" s="1">
        <v>0</v>
      </c>
      <c r="N152" s="1">
        <v>-8417.9</v>
      </c>
      <c r="O152" s="2">
        <v>-1115.2</v>
      </c>
      <c r="P152" s="1">
        <v>-7205.31</v>
      </c>
      <c r="Q152" s="1">
        <v>-3014.475435477108</v>
      </c>
      <c r="R152" s="1">
        <v>-1350.4331431072339</v>
      </c>
      <c r="S152" s="1">
        <v>-3200</v>
      </c>
      <c r="T152" s="1">
        <v>-3800</v>
      </c>
      <c r="U152" s="1">
        <v>-4200</v>
      </c>
      <c r="V152" s="1">
        <v>-4400</v>
      </c>
      <c r="W152" s="1">
        <v>-45352.568578584345</v>
      </c>
      <c r="X152" t="s">
        <v>243</v>
      </c>
    </row>
    <row r="153" spans="2:24" x14ac:dyDescent="0.35">
      <c r="B153">
        <v>2026</v>
      </c>
      <c r="C153" t="s">
        <v>10</v>
      </c>
      <c r="D153" t="s">
        <v>11</v>
      </c>
      <c r="E153" t="s">
        <v>12</v>
      </c>
      <c r="F153" t="s">
        <v>13</v>
      </c>
      <c r="G153" t="s">
        <v>118</v>
      </c>
      <c r="H153" t="s">
        <v>240</v>
      </c>
      <c r="I153" t="s">
        <v>244</v>
      </c>
      <c r="J153" t="s">
        <v>17</v>
      </c>
      <c r="K153" s="1">
        <v>-1170.76</v>
      </c>
      <c r="L153" s="1">
        <v>0</v>
      </c>
      <c r="M153" s="1">
        <v>0</v>
      </c>
      <c r="N153" s="1">
        <v>-1209.46</v>
      </c>
      <c r="O153" s="2" t="s">
        <v>20</v>
      </c>
      <c r="P153" s="1" t="s">
        <v>20</v>
      </c>
      <c r="Q153" s="1">
        <v>-1927.6</v>
      </c>
      <c r="R153" s="1">
        <v>0</v>
      </c>
      <c r="S153" s="1">
        <v>-1435.94</v>
      </c>
      <c r="T153" s="1">
        <v>-1435.94</v>
      </c>
      <c r="U153" s="1">
        <v>-1435.94</v>
      </c>
      <c r="V153" s="1">
        <v>-1435.94</v>
      </c>
      <c r="W153" s="1">
        <v>-10051.580000000002</v>
      </c>
      <c r="X153" t="s">
        <v>176</v>
      </c>
    </row>
    <row r="154" spans="2:24" x14ac:dyDescent="0.35">
      <c r="B154">
        <v>2026</v>
      </c>
      <c r="C154" t="s">
        <v>10</v>
      </c>
      <c r="D154" t="s">
        <v>11</v>
      </c>
      <c r="E154" t="s">
        <v>12</v>
      </c>
      <c r="F154" t="s">
        <v>13</v>
      </c>
      <c r="G154" t="s">
        <v>118</v>
      </c>
      <c r="H154" t="s">
        <v>240</v>
      </c>
      <c r="I154" t="s">
        <v>245</v>
      </c>
      <c r="J154" t="s">
        <v>17</v>
      </c>
      <c r="K154" s="1">
        <v>-697.53</v>
      </c>
      <c r="L154" s="1">
        <v>-707.86</v>
      </c>
      <c r="M154" s="1">
        <v>-721.07</v>
      </c>
      <c r="N154" s="1">
        <v>-752.94</v>
      </c>
      <c r="O154" s="2">
        <v>-259.61</v>
      </c>
      <c r="P154" s="1">
        <v>-1232.48</v>
      </c>
      <c r="Q154" s="1">
        <v>-761.55</v>
      </c>
      <c r="R154" s="1">
        <v>-853</v>
      </c>
      <c r="S154" s="1">
        <v>-200</v>
      </c>
      <c r="T154" s="1">
        <v>-400</v>
      </c>
      <c r="U154" s="1">
        <v>-700</v>
      </c>
      <c r="V154" s="1">
        <v>-900</v>
      </c>
      <c r="W154" s="1">
        <v>-8186.04</v>
      </c>
      <c r="X154" t="s">
        <v>246</v>
      </c>
    </row>
    <row r="155" spans="2:24" x14ac:dyDescent="0.35">
      <c r="B155">
        <v>2026</v>
      </c>
      <c r="C155" t="s">
        <v>10</v>
      </c>
      <c r="D155" t="s">
        <v>11</v>
      </c>
      <c r="E155" t="s">
        <v>12</v>
      </c>
      <c r="F155" t="s">
        <v>13</v>
      </c>
      <c r="G155" t="s">
        <v>118</v>
      </c>
      <c r="H155" t="s">
        <v>240</v>
      </c>
      <c r="I155" t="s">
        <v>247</v>
      </c>
      <c r="J155" t="s">
        <v>17</v>
      </c>
      <c r="K155" s="1">
        <v>0</v>
      </c>
      <c r="L155" s="1">
        <v>0</v>
      </c>
      <c r="M155" s="1">
        <v>0</v>
      </c>
      <c r="N155" s="1">
        <v>0</v>
      </c>
      <c r="O155" s="2">
        <v>-1891.22</v>
      </c>
      <c r="P155" s="1" t="s">
        <v>20</v>
      </c>
      <c r="Q155" s="1">
        <v>0</v>
      </c>
      <c r="R155" s="1">
        <v>-1496.33</v>
      </c>
      <c r="S155" s="1">
        <v>-1693.78</v>
      </c>
      <c r="T155" s="1">
        <v>-1693.78</v>
      </c>
      <c r="U155" s="1">
        <v>-1693.78</v>
      </c>
      <c r="V155" s="1">
        <v>-1693.78</v>
      </c>
      <c r="W155" s="1">
        <v>-10162.67</v>
      </c>
      <c r="X155" t="s">
        <v>176</v>
      </c>
    </row>
    <row r="156" spans="2:24" x14ac:dyDescent="0.35">
      <c r="B156">
        <v>2026</v>
      </c>
      <c r="C156" t="s">
        <v>10</v>
      </c>
      <c r="D156" t="s">
        <v>11</v>
      </c>
      <c r="E156" t="s">
        <v>12</v>
      </c>
      <c r="F156" t="s">
        <v>13</v>
      </c>
      <c r="G156" t="s">
        <v>118</v>
      </c>
      <c r="H156" t="s">
        <v>248</v>
      </c>
      <c r="I156" t="s">
        <v>249</v>
      </c>
      <c r="J156" t="s">
        <v>17</v>
      </c>
      <c r="K156" s="1">
        <v>-396</v>
      </c>
      <c r="L156" s="1">
        <v>0</v>
      </c>
      <c r="M156" s="1">
        <v>0</v>
      </c>
      <c r="N156" s="1">
        <v>0</v>
      </c>
      <c r="O156" s="2" t="s">
        <v>20</v>
      </c>
      <c r="P156" s="1">
        <v>-30</v>
      </c>
      <c r="Q156" s="1" t="s">
        <v>141</v>
      </c>
      <c r="R156" s="1">
        <v>0</v>
      </c>
      <c r="S156" s="1">
        <v>-213</v>
      </c>
      <c r="T156" s="1">
        <v>-213</v>
      </c>
      <c r="U156" s="1">
        <v>-213</v>
      </c>
      <c r="V156" s="1">
        <v>-213</v>
      </c>
      <c r="W156" s="1">
        <v>-1278</v>
      </c>
      <c r="X156" t="s">
        <v>250</v>
      </c>
    </row>
    <row r="157" spans="2:24" x14ac:dyDescent="0.35">
      <c r="B157">
        <v>2026</v>
      </c>
      <c r="C157" t="s">
        <v>10</v>
      </c>
      <c r="D157" t="s">
        <v>11</v>
      </c>
      <c r="E157" t="s">
        <v>12</v>
      </c>
      <c r="F157" t="s">
        <v>13</v>
      </c>
      <c r="G157" t="s">
        <v>118</v>
      </c>
      <c r="H157" t="s">
        <v>248</v>
      </c>
      <c r="I157" t="s">
        <v>251</v>
      </c>
      <c r="J157" t="s">
        <v>17</v>
      </c>
      <c r="K157" s="1">
        <v>-194.68</v>
      </c>
      <c r="L157" s="1">
        <v>-108</v>
      </c>
      <c r="M157" s="1">
        <v>-1186.24</v>
      </c>
      <c r="N157" s="1">
        <v>-80.59</v>
      </c>
      <c r="O157" s="2">
        <v>-277.83999999999997</v>
      </c>
      <c r="P157" s="1">
        <v>-254.03</v>
      </c>
      <c r="Q157" s="1">
        <v>-4498.18</v>
      </c>
      <c r="R157" s="1">
        <v>-986.98</v>
      </c>
      <c r="S157" s="1">
        <v>-948.32</v>
      </c>
      <c r="T157" s="1">
        <v>-948.32</v>
      </c>
      <c r="U157" s="1">
        <v>-948.32</v>
      </c>
      <c r="V157" s="1">
        <v>-948.32</v>
      </c>
      <c r="W157" s="1">
        <v>-11379.82</v>
      </c>
      <c r="X157" t="s">
        <v>250</v>
      </c>
    </row>
    <row r="158" spans="2:24" x14ac:dyDescent="0.35">
      <c r="B158">
        <v>2026</v>
      </c>
      <c r="C158" t="s">
        <v>10</v>
      </c>
      <c r="D158" t="s">
        <v>11</v>
      </c>
      <c r="E158" t="s">
        <v>12</v>
      </c>
      <c r="F158" t="s">
        <v>13</v>
      </c>
      <c r="G158" t="s">
        <v>118</v>
      </c>
      <c r="H158" t="s">
        <v>248</v>
      </c>
      <c r="I158" t="s">
        <v>252</v>
      </c>
      <c r="J158" t="s">
        <v>17</v>
      </c>
      <c r="K158" s="1">
        <v>-460.58</v>
      </c>
      <c r="L158" s="1">
        <v>0</v>
      </c>
      <c r="M158" s="1">
        <v>0</v>
      </c>
      <c r="N158" s="1">
        <v>0</v>
      </c>
      <c r="O158" s="2" t="s">
        <v>20</v>
      </c>
      <c r="P158" s="1" t="s">
        <v>20</v>
      </c>
      <c r="Q158" s="1">
        <v>0</v>
      </c>
      <c r="R158" s="1">
        <v>0</v>
      </c>
      <c r="S158" s="1">
        <v>-460.58</v>
      </c>
      <c r="T158" s="1">
        <v>-460.58</v>
      </c>
      <c r="U158" s="1">
        <v>-460.58</v>
      </c>
      <c r="V158" s="1">
        <v>-460.58</v>
      </c>
      <c r="W158" s="1">
        <v>-2302.9</v>
      </c>
      <c r="X158" t="s">
        <v>250</v>
      </c>
    </row>
    <row r="159" spans="2:24" x14ac:dyDescent="0.35">
      <c r="B159">
        <v>2026</v>
      </c>
      <c r="C159" t="s">
        <v>10</v>
      </c>
      <c r="D159" t="s">
        <v>11</v>
      </c>
      <c r="E159" t="s">
        <v>12</v>
      </c>
      <c r="F159" t="s">
        <v>13</v>
      </c>
      <c r="G159" t="s">
        <v>118</v>
      </c>
      <c r="H159" t="s">
        <v>248</v>
      </c>
      <c r="I159" t="s">
        <v>253</v>
      </c>
      <c r="J159" t="s">
        <v>17</v>
      </c>
      <c r="K159" s="1">
        <v>-73.72</v>
      </c>
      <c r="L159" s="1">
        <v>0</v>
      </c>
      <c r="M159" s="1">
        <v>-73.72</v>
      </c>
      <c r="N159" s="1">
        <v>-73.72</v>
      </c>
      <c r="O159" s="2">
        <v>-75.94</v>
      </c>
      <c r="P159" s="1">
        <v>-75.94</v>
      </c>
      <c r="Q159" s="1">
        <v>-75.94</v>
      </c>
      <c r="R159" s="1">
        <v>-75.94</v>
      </c>
      <c r="S159" s="1">
        <v>-74.989999999999995</v>
      </c>
      <c r="T159" s="1">
        <v>-74.989999999999995</v>
      </c>
      <c r="U159" s="1">
        <v>-74.989999999999995</v>
      </c>
      <c r="V159" s="1">
        <v>-74.989999999999995</v>
      </c>
      <c r="W159" s="1">
        <v>-824.88000000000011</v>
      </c>
      <c r="X159" t="s">
        <v>250</v>
      </c>
    </row>
    <row r="160" spans="2:24" x14ac:dyDescent="0.35">
      <c r="B160">
        <v>2026</v>
      </c>
      <c r="C160" t="s">
        <v>10</v>
      </c>
      <c r="D160" t="s">
        <v>11</v>
      </c>
      <c r="E160" t="s">
        <v>12</v>
      </c>
      <c r="F160" t="s">
        <v>13</v>
      </c>
      <c r="G160" t="s">
        <v>118</v>
      </c>
      <c r="H160" t="s">
        <v>248</v>
      </c>
      <c r="I160" t="s">
        <v>254</v>
      </c>
      <c r="J160" t="s">
        <v>17</v>
      </c>
      <c r="K160" s="1">
        <v>-87.98</v>
      </c>
      <c r="L160" s="1">
        <v>0</v>
      </c>
      <c r="M160" s="1">
        <v>0</v>
      </c>
      <c r="N160" s="1">
        <v>-2772</v>
      </c>
      <c r="O160" s="2">
        <v>36.18</v>
      </c>
      <c r="P160" s="1" t="s">
        <v>20</v>
      </c>
      <c r="Q160" s="1">
        <v>0</v>
      </c>
      <c r="R160" s="1">
        <v>0</v>
      </c>
      <c r="S160" s="1">
        <v>-941.27</v>
      </c>
      <c r="T160" s="1">
        <v>-941.27</v>
      </c>
      <c r="U160" s="1">
        <v>-941.27</v>
      </c>
      <c r="V160" s="1">
        <v>-941.27</v>
      </c>
      <c r="W160" s="1">
        <v>-6588.880000000001</v>
      </c>
      <c r="X160" t="s">
        <v>250</v>
      </c>
    </row>
    <row r="161" spans="2:24" x14ac:dyDescent="0.35">
      <c r="B161">
        <v>2026</v>
      </c>
      <c r="C161" t="s">
        <v>10</v>
      </c>
      <c r="D161" t="s">
        <v>11</v>
      </c>
      <c r="E161" t="s">
        <v>12</v>
      </c>
      <c r="F161" t="s">
        <v>13</v>
      </c>
      <c r="G161" t="s">
        <v>118</v>
      </c>
      <c r="H161" t="s">
        <v>248</v>
      </c>
      <c r="I161" t="s">
        <v>255</v>
      </c>
      <c r="J161" t="s">
        <v>17</v>
      </c>
      <c r="K161" s="1">
        <v>-48</v>
      </c>
      <c r="L161" s="1">
        <v>0</v>
      </c>
      <c r="M161" s="1">
        <v>0</v>
      </c>
      <c r="N161" s="1">
        <v>0</v>
      </c>
      <c r="O161" s="2">
        <v>-144</v>
      </c>
      <c r="P161" s="1" t="s">
        <v>20</v>
      </c>
      <c r="Q161" s="1">
        <v>0</v>
      </c>
      <c r="R161" s="1">
        <v>0</v>
      </c>
      <c r="S161" s="1">
        <v>-96</v>
      </c>
      <c r="T161" s="1">
        <v>-96</v>
      </c>
      <c r="U161" s="1">
        <v>-96</v>
      </c>
      <c r="V161" s="1">
        <v>-96</v>
      </c>
      <c r="W161" s="1">
        <v>-576</v>
      </c>
      <c r="X161" t="s">
        <v>250</v>
      </c>
    </row>
    <row r="162" spans="2:24" x14ac:dyDescent="0.35">
      <c r="B162">
        <v>2026</v>
      </c>
      <c r="C162" t="s">
        <v>10</v>
      </c>
      <c r="D162" t="s">
        <v>11</v>
      </c>
      <c r="E162" t="s">
        <v>12</v>
      </c>
      <c r="F162" t="s">
        <v>13</v>
      </c>
      <c r="G162" t="s">
        <v>118</v>
      </c>
      <c r="H162" t="s">
        <v>248</v>
      </c>
      <c r="I162" t="s">
        <v>256</v>
      </c>
      <c r="J162" t="s">
        <v>17</v>
      </c>
      <c r="K162" s="1">
        <v>-7569.69</v>
      </c>
      <c r="L162" s="1">
        <v>1670.07</v>
      </c>
      <c r="M162" s="1">
        <v>-1388.15</v>
      </c>
      <c r="N162" s="1">
        <v>-1276.52</v>
      </c>
      <c r="O162" s="2">
        <v>-545.44999999999993</v>
      </c>
      <c r="P162" s="1">
        <v>-1758.33</v>
      </c>
      <c r="Q162" s="1">
        <v>-11469.318783520101</v>
      </c>
      <c r="R162" s="1">
        <v>667.67211181104619</v>
      </c>
      <c r="S162" s="1">
        <v>-2500</v>
      </c>
      <c r="T162" s="1">
        <v>-2800</v>
      </c>
      <c r="U162" s="1">
        <v>-3000</v>
      </c>
      <c r="V162" s="1">
        <v>-3200</v>
      </c>
      <c r="W162" s="1">
        <v>-33169.716671709059</v>
      </c>
      <c r="X162" t="s">
        <v>257</v>
      </c>
    </row>
    <row r="163" spans="2:24" x14ac:dyDescent="0.35">
      <c r="B163">
        <v>2026</v>
      </c>
      <c r="C163" t="s">
        <v>10</v>
      </c>
      <c r="D163" t="s">
        <v>11</v>
      </c>
      <c r="E163" t="s">
        <v>12</v>
      </c>
      <c r="F163" t="s">
        <v>13</v>
      </c>
      <c r="G163" t="s">
        <v>118</v>
      </c>
      <c r="H163" t="s">
        <v>248</v>
      </c>
      <c r="I163" t="s">
        <v>258</v>
      </c>
      <c r="J163" t="s">
        <v>17</v>
      </c>
      <c r="K163" s="1">
        <v>-1148.29</v>
      </c>
      <c r="L163" s="1">
        <v>0</v>
      </c>
      <c r="M163" s="1">
        <v>-600</v>
      </c>
      <c r="N163" s="1">
        <v>-945</v>
      </c>
      <c r="O163" s="2" t="s">
        <v>20</v>
      </c>
      <c r="P163" s="1" t="s">
        <v>20</v>
      </c>
      <c r="Q163" s="1">
        <v>-514</v>
      </c>
      <c r="R163" s="1">
        <v>0</v>
      </c>
      <c r="S163" s="1">
        <v>-801.82</v>
      </c>
      <c r="T163" s="1">
        <v>-801.82</v>
      </c>
      <c r="U163" s="1">
        <v>-801.82</v>
      </c>
      <c r="V163" s="1">
        <v>-801.82</v>
      </c>
      <c r="W163" s="1">
        <v>-6414.57</v>
      </c>
      <c r="X163" t="s">
        <v>250</v>
      </c>
    </row>
    <row r="164" spans="2:24" x14ac:dyDescent="0.35">
      <c r="B164">
        <v>2026</v>
      </c>
      <c r="C164" t="s">
        <v>10</v>
      </c>
      <c r="D164" t="s">
        <v>11</v>
      </c>
      <c r="E164" t="s">
        <v>12</v>
      </c>
      <c r="F164" t="s">
        <v>13</v>
      </c>
      <c r="G164" t="s">
        <v>118</v>
      </c>
      <c r="H164" t="s">
        <v>248</v>
      </c>
      <c r="I164" t="s">
        <v>259</v>
      </c>
      <c r="J164" t="s">
        <v>17</v>
      </c>
      <c r="K164" s="1">
        <v>0</v>
      </c>
      <c r="L164" s="1">
        <v>0</v>
      </c>
      <c r="M164" s="1">
        <v>0</v>
      </c>
      <c r="N164" s="1">
        <v>0</v>
      </c>
      <c r="O164" s="2">
        <v>0</v>
      </c>
      <c r="P164" s="1" t="s">
        <v>20</v>
      </c>
      <c r="Q164" s="1">
        <v>-90</v>
      </c>
      <c r="R164" s="1">
        <v>0</v>
      </c>
      <c r="S164" s="1">
        <v>-90</v>
      </c>
      <c r="T164" s="1">
        <v>-90</v>
      </c>
      <c r="U164" s="1">
        <v>-90</v>
      </c>
      <c r="V164" s="1">
        <v>-90</v>
      </c>
      <c r="W164" s="1">
        <v>-450</v>
      </c>
      <c r="X164" t="s">
        <v>250</v>
      </c>
    </row>
    <row r="165" spans="2:24" x14ac:dyDescent="0.35">
      <c r="B165">
        <v>2026</v>
      </c>
      <c r="C165" t="s">
        <v>10</v>
      </c>
      <c r="D165" t="s">
        <v>11</v>
      </c>
      <c r="E165" t="s">
        <v>12</v>
      </c>
      <c r="F165" t="s">
        <v>13</v>
      </c>
      <c r="G165" t="s">
        <v>118</v>
      </c>
      <c r="H165" t="s">
        <v>248</v>
      </c>
      <c r="I165" t="s">
        <v>260</v>
      </c>
      <c r="J165" t="s">
        <v>17</v>
      </c>
      <c r="K165" s="1">
        <v>-1233.23</v>
      </c>
      <c r="L165" s="1">
        <v>0</v>
      </c>
      <c r="M165" s="1">
        <v>29.06</v>
      </c>
      <c r="N165" s="1">
        <v>46.51</v>
      </c>
      <c r="O165" s="2">
        <v>29.06</v>
      </c>
      <c r="P165" s="1" t="s">
        <v>20</v>
      </c>
      <c r="Q165" s="1">
        <v>-2125.27</v>
      </c>
      <c r="R165" s="1">
        <v>-1663.31</v>
      </c>
      <c r="S165" s="1">
        <v>-819.53</v>
      </c>
      <c r="T165" s="1">
        <v>-819.53</v>
      </c>
      <c r="U165" s="1">
        <v>-819.53</v>
      </c>
      <c r="V165" s="1">
        <v>-819.53</v>
      </c>
      <c r="W165" s="1">
        <v>-8195.2999999999993</v>
      </c>
      <c r="X165" t="s">
        <v>250</v>
      </c>
    </row>
    <row r="166" spans="2:24" x14ac:dyDescent="0.35">
      <c r="B166">
        <v>2026</v>
      </c>
      <c r="C166" t="s">
        <v>10</v>
      </c>
      <c r="D166" t="s">
        <v>11</v>
      </c>
      <c r="E166" t="s">
        <v>12</v>
      </c>
      <c r="F166" t="s">
        <v>13</v>
      </c>
      <c r="G166" t="s">
        <v>118</v>
      </c>
      <c r="H166" t="s">
        <v>248</v>
      </c>
      <c r="I166" t="s">
        <v>261</v>
      </c>
      <c r="J166" t="s">
        <v>17</v>
      </c>
      <c r="K166" s="1">
        <v>-425</v>
      </c>
      <c r="L166" s="1">
        <v>0</v>
      </c>
      <c r="M166" s="1">
        <v>0</v>
      </c>
      <c r="N166" s="1">
        <v>-35.25</v>
      </c>
      <c r="O166" s="2">
        <v>-425</v>
      </c>
      <c r="P166" s="1" t="s">
        <v>20</v>
      </c>
      <c r="Q166" s="1">
        <v>0</v>
      </c>
      <c r="R166" s="1">
        <v>0</v>
      </c>
      <c r="S166" s="1">
        <v>-295.08</v>
      </c>
      <c r="T166" s="1">
        <v>-295.08</v>
      </c>
      <c r="U166" s="1">
        <v>-295.08</v>
      </c>
      <c r="V166" s="1">
        <v>-295.08</v>
      </c>
      <c r="W166" s="1">
        <v>-2065.5699999999997</v>
      </c>
      <c r="X166" t="s">
        <v>250</v>
      </c>
    </row>
    <row r="167" spans="2:24" x14ac:dyDescent="0.35">
      <c r="B167">
        <v>2026</v>
      </c>
      <c r="C167" t="s">
        <v>10</v>
      </c>
      <c r="D167" t="s">
        <v>11</v>
      </c>
      <c r="E167" t="s">
        <v>12</v>
      </c>
      <c r="F167" t="s">
        <v>13</v>
      </c>
      <c r="G167" t="s">
        <v>118</v>
      </c>
      <c r="H167" t="s">
        <v>248</v>
      </c>
      <c r="I167" t="s">
        <v>262</v>
      </c>
      <c r="J167" t="s">
        <v>17</v>
      </c>
      <c r="K167" s="1">
        <v>-808.04</v>
      </c>
      <c r="L167" s="1">
        <v>-2163.44</v>
      </c>
      <c r="M167" s="1">
        <v>-2173.63</v>
      </c>
      <c r="N167" s="1">
        <v>-237.86</v>
      </c>
      <c r="O167" s="2">
        <v>-2671.84</v>
      </c>
      <c r="P167" s="1">
        <v>-503.74</v>
      </c>
      <c r="Q167" s="1">
        <v>-1117.8599999999999</v>
      </c>
      <c r="R167" s="1">
        <v>-932.8</v>
      </c>
      <c r="S167" s="1">
        <v>-1326.15</v>
      </c>
      <c r="T167" s="1">
        <v>-1326.15</v>
      </c>
      <c r="U167" s="1">
        <v>-1326.15</v>
      </c>
      <c r="V167" s="1">
        <v>-1326.15</v>
      </c>
      <c r="W167" s="1">
        <v>-15913.81</v>
      </c>
      <c r="X167" t="s">
        <v>250</v>
      </c>
    </row>
    <row r="168" spans="2:24" x14ac:dyDescent="0.35">
      <c r="B168">
        <v>2026</v>
      </c>
      <c r="C168" t="s">
        <v>10</v>
      </c>
      <c r="D168" t="s">
        <v>11</v>
      </c>
      <c r="E168" t="s">
        <v>12</v>
      </c>
      <c r="F168" t="s">
        <v>13</v>
      </c>
      <c r="G168" t="s">
        <v>118</v>
      </c>
      <c r="H168" t="s">
        <v>248</v>
      </c>
      <c r="I168" t="s">
        <v>263</v>
      </c>
      <c r="J168" t="s">
        <v>17</v>
      </c>
      <c r="K168" s="1">
        <v>0</v>
      </c>
      <c r="L168" s="1">
        <v>0</v>
      </c>
      <c r="M168" s="1">
        <v>-400</v>
      </c>
      <c r="N168" s="1">
        <v>0</v>
      </c>
      <c r="O168" s="2">
        <v>-625.20000000000005</v>
      </c>
      <c r="P168" s="1" t="s">
        <v>20</v>
      </c>
      <c r="Q168" s="1">
        <v>0</v>
      </c>
      <c r="R168" s="1">
        <v>-4513.8</v>
      </c>
      <c r="S168" s="1">
        <v>-1846.33</v>
      </c>
      <c r="T168" s="1">
        <v>-1846.33</v>
      </c>
      <c r="U168" s="1">
        <v>-1846.33</v>
      </c>
      <c r="V168" s="1">
        <v>-1846.33</v>
      </c>
      <c r="W168" s="1">
        <v>-12924.32</v>
      </c>
      <c r="X168" t="s">
        <v>250</v>
      </c>
    </row>
    <row r="169" spans="2:24" x14ac:dyDescent="0.35">
      <c r="B169">
        <v>2026</v>
      </c>
      <c r="C169" t="s">
        <v>10</v>
      </c>
      <c r="D169" t="s">
        <v>11</v>
      </c>
      <c r="E169" t="s">
        <v>12</v>
      </c>
      <c r="F169" t="s">
        <v>13</v>
      </c>
      <c r="G169" t="s">
        <v>118</v>
      </c>
      <c r="H169" t="s">
        <v>248</v>
      </c>
      <c r="I169" t="s">
        <v>264</v>
      </c>
      <c r="J169" t="s">
        <v>17</v>
      </c>
      <c r="K169" s="1">
        <v>0</v>
      </c>
      <c r="L169" s="1">
        <v>-351.4</v>
      </c>
      <c r="M169" s="1">
        <v>0</v>
      </c>
      <c r="N169" s="1">
        <v>0</v>
      </c>
      <c r="O169" s="2" t="s">
        <v>20</v>
      </c>
      <c r="P169" s="1" t="s">
        <v>20</v>
      </c>
      <c r="Q169" s="1">
        <v>-98.8</v>
      </c>
      <c r="R169" s="1">
        <v>-340</v>
      </c>
      <c r="S169" s="1">
        <v>-263.39999999999998</v>
      </c>
      <c r="T169" s="1">
        <v>-263.39999999999998</v>
      </c>
      <c r="U169" s="1">
        <v>-263.39999999999998</v>
      </c>
      <c r="V169" s="1">
        <v>-263.39999999999998</v>
      </c>
      <c r="W169" s="1">
        <v>-1843.8000000000002</v>
      </c>
      <c r="X169" t="s">
        <v>250</v>
      </c>
    </row>
    <row r="170" spans="2:24" x14ac:dyDescent="0.35">
      <c r="B170">
        <v>2026</v>
      </c>
      <c r="C170" t="s">
        <v>10</v>
      </c>
      <c r="D170" t="s">
        <v>11</v>
      </c>
      <c r="E170" t="s">
        <v>12</v>
      </c>
      <c r="F170" t="s">
        <v>13</v>
      </c>
      <c r="G170" t="s">
        <v>118</v>
      </c>
      <c r="H170" t="s">
        <v>248</v>
      </c>
      <c r="I170" t="s">
        <v>265</v>
      </c>
      <c r="J170" t="s">
        <v>17</v>
      </c>
      <c r="K170" s="1">
        <v>0</v>
      </c>
      <c r="L170" s="1">
        <v>0</v>
      </c>
      <c r="M170" s="1">
        <v>0</v>
      </c>
      <c r="N170" s="1">
        <v>0</v>
      </c>
      <c r="O170" s="2">
        <v>0</v>
      </c>
      <c r="P170" s="1">
        <v>0</v>
      </c>
      <c r="Q170" s="1">
        <v>-206.45</v>
      </c>
      <c r="R170" s="1">
        <v>-107.24</v>
      </c>
      <c r="S170" s="1">
        <v>-156.84</v>
      </c>
      <c r="T170" s="1">
        <v>-156.84</v>
      </c>
      <c r="U170" s="1">
        <v>-156.84</v>
      </c>
      <c r="V170" s="1">
        <v>-156.84</v>
      </c>
      <c r="W170" s="1">
        <v>-941.05000000000007</v>
      </c>
      <c r="X170" t="s">
        <v>250</v>
      </c>
    </row>
    <row r="171" spans="2:24" x14ac:dyDescent="0.35">
      <c r="B171">
        <v>2026</v>
      </c>
      <c r="C171" t="s">
        <v>10</v>
      </c>
      <c r="D171" t="s">
        <v>11</v>
      </c>
      <c r="E171" t="s">
        <v>12</v>
      </c>
      <c r="F171" t="s">
        <v>13</v>
      </c>
      <c r="G171" t="s">
        <v>118</v>
      </c>
      <c r="H171" t="s">
        <v>248</v>
      </c>
      <c r="I171" t="s">
        <v>266</v>
      </c>
      <c r="J171" t="s">
        <v>17</v>
      </c>
      <c r="K171" s="1"/>
      <c r="L171" s="1"/>
      <c r="M171" s="1"/>
      <c r="N171" s="1"/>
      <c r="P171" s="1"/>
      <c r="Q171" s="1"/>
      <c r="R171" s="1">
        <v>-500.03</v>
      </c>
      <c r="S171" s="1">
        <v>-500.03</v>
      </c>
      <c r="T171" s="1">
        <v>-500.03</v>
      </c>
      <c r="U171" s="1">
        <v>-500.03</v>
      </c>
      <c r="V171" s="1">
        <v>-500.03</v>
      </c>
      <c r="W171" s="1">
        <v>-2500.1499999999996</v>
      </c>
      <c r="X171" t="s">
        <v>250</v>
      </c>
    </row>
    <row r="172" spans="2:24" x14ac:dyDescent="0.35">
      <c r="B172">
        <v>2026</v>
      </c>
      <c r="C172" t="s">
        <v>10</v>
      </c>
      <c r="D172" t="s">
        <v>11</v>
      </c>
      <c r="E172" t="s">
        <v>12</v>
      </c>
      <c r="F172" t="s">
        <v>13</v>
      </c>
      <c r="G172" t="s">
        <v>118</v>
      </c>
      <c r="H172" t="s">
        <v>248</v>
      </c>
      <c r="I172" t="s">
        <v>267</v>
      </c>
      <c r="J172" t="s">
        <v>17</v>
      </c>
      <c r="K172" s="1">
        <v>-1325.34</v>
      </c>
      <c r="L172" s="1">
        <v>-2819.19</v>
      </c>
      <c r="M172" s="1">
        <v>-1737.88</v>
      </c>
      <c r="N172" s="1">
        <v>-1506.87</v>
      </c>
      <c r="O172" s="2">
        <v>-2533.9299999999998</v>
      </c>
      <c r="P172" s="1">
        <v>-5047.3500000000004</v>
      </c>
      <c r="Q172" s="1">
        <v>-6591.35</v>
      </c>
      <c r="R172" s="1">
        <v>-2380.04</v>
      </c>
      <c r="S172" s="1">
        <v>-2800</v>
      </c>
      <c r="T172" s="1">
        <v>-3200</v>
      </c>
      <c r="U172" s="1">
        <v>-3200</v>
      </c>
      <c r="V172" s="1">
        <v>-3500</v>
      </c>
      <c r="W172" s="1">
        <v>-36641.949999999997</v>
      </c>
      <c r="X172" t="s">
        <v>268</v>
      </c>
    </row>
    <row r="173" spans="2:24" x14ac:dyDescent="0.35">
      <c r="B173">
        <v>2026</v>
      </c>
      <c r="C173" t="s">
        <v>10</v>
      </c>
      <c r="D173" t="s">
        <v>11</v>
      </c>
      <c r="E173" t="s">
        <v>12</v>
      </c>
      <c r="F173" t="s">
        <v>13</v>
      </c>
      <c r="G173" t="s">
        <v>118</v>
      </c>
      <c r="H173" t="s">
        <v>248</v>
      </c>
      <c r="I173" t="s">
        <v>269</v>
      </c>
      <c r="J173" t="s">
        <v>17</v>
      </c>
      <c r="K173" s="1">
        <v>-3865.16</v>
      </c>
      <c r="L173" s="1">
        <v>34.200000000000003</v>
      </c>
      <c r="M173" s="1">
        <v>-1710.02</v>
      </c>
      <c r="N173" s="1">
        <v>-532.08000000000004</v>
      </c>
      <c r="O173" s="2">
        <v>-2522.2600000000002</v>
      </c>
      <c r="P173" s="1">
        <v>-4633.3500000000004</v>
      </c>
      <c r="Q173" s="1">
        <v>-2854.53</v>
      </c>
      <c r="R173" s="1">
        <v>-1290.01</v>
      </c>
      <c r="S173" s="1">
        <v>-2000</v>
      </c>
      <c r="T173" s="1">
        <v>-2300</v>
      </c>
      <c r="U173" s="1">
        <v>-2300</v>
      </c>
      <c r="V173" s="1">
        <v>-2500</v>
      </c>
      <c r="W173" s="1">
        <v>-26473.21</v>
      </c>
      <c r="X173" t="s">
        <v>270</v>
      </c>
    </row>
    <row r="174" spans="2:24" x14ac:dyDescent="0.35">
      <c r="B174">
        <v>2026</v>
      </c>
      <c r="C174" t="s">
        <v>10</v>
      </c>
      <c r="D174" t="s">
        <v>11</v>
      </c>
      <c r="E174" t="s">
        <v>12</v>
      </c>
      <c r="F174" t="s">
        <v>13</v>
      </c>
      <c r="G174" t="s">
        <v>118</v>
      </c>
      <c r="H174" t="s">
        <v>248</v>
      </c>
      <c r="I174" t="s">
        <v>271</v>
      </c>
      <c r="J174" t="s">
        <v>17</v>
      </c>
      <c r="K174" s="1">
        <v>-557.42999999999995</v>
      </c>
      <c r="L174" s="1">
        <v>-1592.89</v>
      </c>
      <c r="M174" s="1">
        <v>-800.56</v>
      </c>
      <c r="N174" s="1">
        <v>-929.26</v>
      </c>
      <c r="O174" s="2">
        <v>-1786.27</v>
      </c>
      <c r="P174" s="1">
        <v>-936.54</v>
      </c>
      <c r="Q174" s="1">
        <v>-759.39</v>
      </c>
      <c r="R174" s="1">
        <v>-1377.28</v>
      </c>
      <c r="S174" s="1">
        <v>-1092.45</v>
      </c>
      <c r="T174" s="1">
        <v>-1092.45</v>
      </c>
      <c r="U174" s="1">
        <v>-1092.45</v>
      </c>
      <c r="V174" s="1">
        <v>-1092.45</v>
      </c>
      <c r="W174" s="1">
        <v>-13109.420000000004</v>
      </c>
      <c r="X174" t="s">
        <v>250</v>
      </c>
    </row>
    <row r="175" spans="2:24" x14ac:dyDescent="0.35">
      <c r="B175">
        <v>2026</v>
      </c>
      <c r="C175" t="s">
        <v>10</v>
      </c>
      <c r="D175" t="s">
        <v>11</v>
      </c>
      <c r="E175" t="s">
        <v>12</v>
      </c>
      <c r="F175" t="s">
        <v>13</v>
      </c>
      <c r="G175" t="s">
        <v>118</v>
      </c>
      <c r="H175" t="s">
        <v>248</v>
      </c>
      <c r="I175" t="s">
        <v>272</v>
      </c>
      <c r="J175" t="s">
        <v>17</v>
      </c>
      <c r="K175" s="1">
        <v>-274.08</v>
      </c>
      <c r="L175" s="1">
        <v>-503.96</v>
      </c>
      <c r="M175" s="1">
        <v>-762.8</v>
      </c>
      <c r="N175" s="1">
        <v>-391.86</v>
      </c>
      <c r="O175" s="2">
        <v>-3016.62</v>
      </c>
      <c r="P175" s="1">
        <v>-553.36</v>
      </c>
      <c r="Q175" s="1">
        <v>-614.65</v>
      </c>
      <c r="R175" s="1">
        <v>-283.02999999999997</v>
      </c>
      <c r="S175" s="1">
        <v>-800.04</v>
      </c>
      <c r="T175" s="1">
        <v>-800.04</v>
      </c>
      <c r="U175" s="1">
        <v>-800.04</v>
      </c>
      <c r="V175" s="1">
        <v>-800.04</v>
      </c>
      <c r="W175" s="1">
        <v>-9600.52</v>
      </c>
      <c r="X175" t="s">
        <v>250</v>
      </c>
    </row>
    <row r="176" spans="2:24" x14ac:dyDescent="0.35">
      <c r="B176">
        <v>2026</v>
      </c>
      <c r="C176" t="s">
        <v>10</v>
      </c>
      <c r="D176" t="s">
        <v>11</v>
      </c>
      <c r="E176" t="s">
        <v>12</v>
      </c>
      <c r="F176" t="s">
        <v>13</v>
      </c>
      <c r="G176" t="s">
        <v>118</v>
      </c>
      <c r="H176" t="s">
        <v>248</v>
      </c>
      <c r="I176" t="s">
        <v>273</v>
      </c>
      <c r="J176" t="s">
        <v>17</v>
      </c>
      <c r="K176" s="1">
        <v>-313.19</v>
      </c>
      <c r="L176" s="1">
        <v>-219.25</v>
      </c>
      <c r="M176" s="1">
        <v>-436.29</v>
      </c>
      <c r="N176" s="1">
        <v>-325.14999999999998</v>
      </c>
      <c r="O176" s="2">
        <v>-506.79</v>
      </c>
      <c r="P176" s="1">
        <v>-887.3</v>
      </c>
      <c r="Q176" s="1">
        <v>-413.5</v>
      </c>
      <c r="R176" s="1">
        <v>-281.24</v>
      </c>
      <c r="S176" s="1">
        <v>-422.84</v>
      </c>
      <c r="T176" s="1">
        <v>-422.84</v>
      </c>
      <c r="U176" s="1">
        <v>-422.84</v>
      </c>
      <c r="V176" s="1">
        <v>-422.84</v>
      </c>
      <c r="W176" s="1">
        <v>-5074.0700000000006</v>
      </c>
      <c r="X176" t="s">
        <v>250</v>
      </c>
    </row>
    <row r="177" spans="2:24" x14ac:dyDescent="0.35">
      <c r="B177">
        <v>2026</v>
      </c>
      <c r="C177" t="s">
        <v>10</v>
      </c>
      <c r="D177" t="s">
        <v>11</v>
      </c>
      <c r="E177" t="s">
        <v>12</v>
      </c>
      <c r="F177" t="s">
        <v>13</v>
      </c>
      <c r="G177" t="s">
        <v>118</v>
      </c>
      <c r="H177" t="s">
        <v>248</v>
      </c>
      <c r="I177" t="s">
        <v>274</v>
      </c>
      <c r="J177" t="s">
        <v>17</v>
      </c>
      <c r="K177" s="1">
        <v>-118.28</v>
      </c>
      <c r="L177" s="1">
        <v>0</v>
      </c>
      <c r="M177" s="1">
        <v>-301.79000000000002</v>
      </c>
      <c r="N177" s="1">
        <v>-166.56</v>
      </c>
      <c r="O177" s="1">
        <v>-222.62</v>
      </c>
      <c r="P177" s="1">
        <v>-202.95</v>
      </c>
      <c r="Q177" s="1" t="s">
        <v>141</v>
      </c>
      <c r="R177" s="1">
        <v>0</v>
      </c>
      <c r="S177" s="1">
        <v>-202.44</v>
      </c>
      <c r="T177" s="1">
        <v>-202.44</v>
      </c>
      <c r="U177" s="1">
        <v>-202.44</v>
      </c>
      <c r="V177" s="1">
        <v>-202.44</v>
      </c>
      <c r="W177" s="1">
        <v>-1821.9600000000003</v>
      </c>
      <c r="X177" t="s">
        <v>250</v>
      </c>
    </row>
    <row r="178" spans="2:24" x14ac:dyDescent="0.35">
      <c r="B178">
        <v>2026</v>
      </c>
      <c r="C178" t="s">
        <v>10</v>
      </c>
      <c r="D178" t="s">
        <v>11</v>
      </c>
      <c r="E178" t="s">
        <v>12</v>
      </c>
      <c r="F178" t="s">
        <v>13</v>
      </c>
      <c r="G178" t="s">
        <v>118</v>
      </c>
      <c r="H178" t="s">
        <v>248</v>
      </c>
      <c r="I178" t="s">
        <v>275</v>
      </c>
      <c r="J178" t="s">
        <v>17</v>
      </c>
      <c r="K178" s="1">
        <v>-210.18</v>
      </c>
      <c r="L178" s="1">
        <v>0</v>
      </c>
      <c r="M178" s="1">
        <v>-33.06</v>
      </c>
      <c r="N178" s="1">
        <v>0</v>
      </c>
      <c r="O178" s="1" t="s">
        <v>20</v>
      </c>
      <c r="P178" s="1">
        <v>-20.5</v>
      </c>
      <c r="Q178" s="1" t="s">
        <v>141</v>
      </c>
      <c r="R178" s="1">
        <v>-100.45</v>
      </c>
      <c r="S178" s="1">
        <v>-91.05</v>
      </c>
      <c r="T178" s="1">
        <v>-91.05</v>
      </c>
      <c r="U178" s="1">
        <v>-91.05</v>
      </c>
      <c r="V178" s="1">
        <v>-91.05</v>
      </c>
      <c r="W178" s="1">
        <v>-728.38999999999987</v>
      </c>
      <c r="X178" t="s">
        <v>250</v>
      </c>
    </row>
    <row r="179" spans="2:24" x14ac:dyDescent="0.35">
      <c r="B179">
        <v>2026</v>
      </c>
      <c r="C179" t="s">
        <v>10</v>
      </c>
      <c r="D179" t="s">
        <v>11</v>
      </c>
      <c r="E179" t="s">
        <v>12</v>
      </c>
      <c r="F179" t="s">
        <v>13</v>
      </c>
      <c r="G179" t="s">
        <v>118</v>
      </c>
      <c r="H179" t="s">
        <v>248</v>
      </c>
      <c r="I179" t="s">
        <v>276</v>
      </c>
      <c r="J179" t="s">
        <v>17</v>
      </c>
      <c r="K179" s="1"/>
      <c r="L179" s="1"/>
      <c r="M179" s="1"/>
      <c r="N179" s="1"/>
      <c r="P179" s="1"/>
      <c r="Q179" s="1"/>
      <c r="R179" s="1">
        <v>-141.13999999999999</v>
      </c>
      <c r="S179" s="1">
        <v>-141.13999999999999</v>
      </c>
      <c r="T179" s="1">
        <v>-141.13999999999999</v>
      </c>
      <c r="U179" s="1">
        <v>-141.13999999999999</v>
      </c>
      <c r="V179" s="1">
        <v>-141.13999999999999</v>
      </c>
      <c r="W179" s="1">
        <v>-705.69999999999993</v>
      </c>
      <c r="X179" t="s">
        <v>250</v>
      </c>
    </row>
    <row r="180" spans="2:24" x14ac:dyDescent="0.35">
      <c r="B180">
        <v>2026</v>
      </c>
      <c r="C180" t="s">
        <v>10</v>
      </c>
      <c r="D180" t="s">
        <v>11</v>
      </c>
      <c r="E180" t="s">
        <v>12</v>
      </c>
      <c r="F180" t="s">
        <v>13</v>
      </c>
      <c r="G180" t="s">
        <v>118</v>
      </c>
      <c r="H180" t="s">
        <v>277</v>
      </c>
      <c r="I180" t="s">
        <v>278</v>
      </c>
      <c r="J180" t="s">
        <v>17</v>
      </c>
      <c r="K180" s="1">
        <v>0</v>
      </c>
      <c r="L180" s="1">
        <v>0</v>
      </c>
      <c r="M180" s="1">
        <v>0</v>
      </c>
      <c r="N180" s="1">
        <v>-284.56</v>
      </c>
      <c r="O180" s="2">
        <v>-27.57</v>
      </c>
      <c r="P180" s="1" t="s">
        <v>20</v>
      </c>
      <c r="Q180" s="1">
        <v>0</v>
      </c>
      <c r="R180" s="1">
        <v>0</v>
      </c>
      <c r="S180" s="1">
        <v>-156.06</v>
      </c>
      <c r="T180" s="1">
        <v>-156.06</v>
      </c>
      <c r="U180" s="1">
        <v>-156.06</v>
      </c>
      <c r="V180" s="1">
        <v>-156.06</v>
      </c>
      <c r="W180" s="1">
        <v>-936.36999999999989</v>
      </c>
      <c r="X180" t="s">
        <v>279</v>
      </c>
    </row>
    <row r="181" spans="2:24" x14ac:dyDescent="0.35">
      <c r="B181">
        <v>2026</v>
      </c>
      <c r="C181" t="s">
        <v>10</v>
      </c>
      <c r="D181" t="s">
        <v>11</v>
      </c>
      <c r="E181" t="s">
        <v>12</v>
      </c>
      <c r="F181" t="s">
        <v>13</v>
      </c>
      <c r="G181" t="s">
        <v>118</v>
      </c>
      <c r="H181" t="s">
        <v>277</v>
      </c>
      <c r="I181" t="s">
        <v>280</v>
      </c>
      <c r="J181" t="s">
        <v>17</v>
      </c>
      <c r="K181" s="1"/>
      <c r="L181" s="1"/>
      <c r="M181" s="1"/>
      <c r="N181" s="1"/>
      <c r="O181" s="2">
        <v>-581.49</v>
      </c>
      <c r="P181" s="1" t="s">
        <v>20</v>
      </c>
      <c r="Q181" s="1">
        <v>0</v>
      </c>
      <c r="R181" s="1">
        <v>0</v>
      </c>
      <c r="S181" s="1">
        <v>-581.49</v>
      </c>
      <c r="T181" s="1">
        <v>-581.49</v>
      </c>
      <c r="U181" s="1">
        <v>-581.49</v>
      </c>
      <c r="V181" s="1">
        <v>-581.49</v>
      </c>
      <c r="W181" s="1">
        <v>-2907.45</v>
      </c>
      <c r="X181" t="s">
        <v>279</v>
      </c>
    </row>
    <row r="182" spans="2:24" x14ac:dyDescent="0.35">
      <c r="B182">
        <v>2026</v>
      </c>
      <c r="C182" t="s">
        <v>10</v>
      </c>
      <c r="D182" t="s">
        <v>11</v>
      </c>
      <c r="E182" t="s">
        <v>12</v>
      </c>
      <c r="F182" t="s">
        <v>13</v>
      </c>
      <c r="G182" t="s">
        <v>118</v>
      </c>
      <c r="H182" t="s">
        <v>277</v>
      </c>
      <c r="I182" t="s">
        <v>281</v>
      </c>
      <c r="J182" t="s">
        <v>17</v>
      </c>
      <c r="K182" s="1"/>
      <c r="L182" s="1"/>
      <c r="M182" s="1"/>
      <c r="N182" s="1"/>
      <c r="P182" s="1"/>
      <c r="Q182" s="1"/>
      <c r="R182" s="1">
        <v>-7396.59</v>
      </c>
      <c r="S182" s="1">
        <v>-7396.59</v>
      </c>
      <c r="T182" s="1">
        <v>-7396.59</v>
      </c>
      <c r="U182" s="1">
        <v>-7396.59</v>
      </c>
      <c r="V182" s="1">
        <v>-7396.59</v>
      </c>
      <c r="W182" s="1">
        <v>-36982.949999999997</v>
      </c>
      <c r="X182" t="s">
        <v>279</v>
      </c>
    </row>
    <row r="183" spans="2:24" x14ac:dyDescent="0.35">
      <c r="B183">
        <v>2026</v>
      </c>
      <c r="C183" t="s">
        <v>10</v>
      </c>
      <c r="D183" t="s">
        <v>11</v>
      </c>
      <c r="E183" t="s">
        <v>12</v>
      </c>
      <c r="F183" t="s">
        <v>13</v>
      </c>
      <c r="G183" t="s">
        <v>118</v>
      </c>
      <c r="H183" t="s">
        <v>277</v>
      </c>
      <c r="I183" t="s">
        <v>282</v>
      </c>
      <c r="J183" t="s">
        <v>17</v>
      </c>
      <c r="K183" s="1">
        <v>-5921.54</v>
      </c>
      <c r="L183" s="1">
        <v>-1801.72</v>
      </c>
      <c r="M183" s="1">
        <v>-2503.2199999999998</v>
      </c>
      <c r="N183" s="1">
        <v>-285.97000000000003</v>
      </c>
      <c r="O183" s="2">
        <v>-159.84</v>
      </c>
      <c r="P183" s="1">
        <v>-4575.29</v>
      </c>
      <c r="Q183" s="1">
        <v>-5203.66</v>
      </c>
      <c r="R183" s="1">
        <v>-838.08</v>
      </c>
      <c r="S183" s="1">
        <v>-1200</v>
      </c>
      <c r="T183" s="1">
        <v>-2200</v>
      </c>
      <c r="U183" s="1">
        <v>-3000</v>
      </c>
      <c r="V183" s="1">
        <v>-3200</v>
      </c>
      <c r="W183" s="1">
        <v>-30889.32</v>
      </c>
      <c r="X183" t="s">
        <v>283</v>
      </c>
    </row>
    <row r="184" spans="2:24" x14ac:dyDescent="0.35">
      <c r="B184">
        <v>2026</v>
      </c>
      <c r="C184" t="s">
        <v>10</v>
      </c>
      <c r="D184" t="s">
        <v>11</v>
      </c>
      <c r="E184" t="s">
        <v>12</v>
      </c>
      <c r="F184" t="s">
        <v>13</v>
      </c>
      <c r="G184" t="s">
        <v>118</v>
      </c>
      <c r="H184" t="s">
        <v>284</v>
      </c>
      <c r="I184" t="s">
        <v>285</v>
      </c>
      <c r="J184" t="s">
        <v>17</v>
      </c>
      <c r="K184" s="1">
        <v>-693.91</v>
      </c>
      <c r="L184" s="1">
        <v>-557.9</v>
      </c>
      <c r="M184" s="1">
        <v>-881.48</v>
      </c>
      <c r="N184" s="1">
        <v>-630.79</v>
      </c>
      <c r="O184" s="2" t="s">
        <v>20</v>
      </c>
      <c r="P184" s="1" t="s">
        <v>20</v>
      </c>
      <c r="Q184" s="1">
        <v>0</v>
      </c>
      <c r="R184" s="1">
        <v>0</v>
      </c>
      <c r="S184" s="1">
        <v>-691.02</v>
      </c>
      <c r="T184" s="1">
        <v>-691.02</v>
      </c>
      <c r="U184" s="1">
        <v>-691.02</v>
      </c>
      <c r="V184" s="1">
        <v>-691.02</v>
      </c>
      <c r="W184" s="1">
        <v>-5528.16</v>
      </c>
      <c r="X184" t="s">
        <v>176</v>
      </c>
    </row>
    <row r="185" spans="2:24" x14ac:dyDescent="0.35">
      <c r="B185">
        <v>2026</v>
      </c>
      <c r="C185" t="s">
        <v>10</v>
      </c>
      <c r="D185" t="s">
        <v>11</v>
      </c>
      <c r="E185" t="s">
        <v>12</v>
      </c>
      <c r="F185" t="s">
        <v>13</v>
      </c>
      <c r="G185" t="s">
        <v>118</v>
      </c>
      <c r="H185" t="s">
        <v>286</v>
      </c>
      <c r="I185" t="s">
        <v>287</v>
      </c>
      <c r="J185" t="s">
        <v>17</v>
      </c>
      <c r="K185" s="1"/>
      <c r="L185" s="1"/>
      <c r="M185" s="1"/>
      <c r="N185" s="1"/>
      <c r="P185" s="1">
        <v>-211.6</v>
      </c>
      <c r="Q185" s="1" t="s">
        <v>141</v>
      </c>
      <c r="R185" s="1">
        <v>0</v>
      </c>
      <c r="S185" s="1">
        <v>-211.6</v>
      </c>
      <c r="T185" s="1">
        <v>-211.6</v>
      </c>
      <c r="U185" s="1">
        <v>-211.6</v>
      </c>
      <c r="V185" s="1">
        <v>-211.6</v>
      </c>
      <c r="W185" s="1">
        <v>-1058</v>
      </c>
      <c r="X185" t="s">
        <v>176</v>
      </c>
    </row>
    <row r="186" spans="2:24" x14ac:dyDescent="0.35">
      <c r="B186">
        <v>2026</v>
      </c>
      <c r="C186" t="s">
        <v>10</v>
      </c>
      <c r="D186" t="s">
        <v>11</v>
      </c>
      <c r="E186" t="s">
        <v>12</v>
      </c>
      <c r="F186" t="s">
        <v>13</v>
      </c>
      <c r="G186" t="s">
        <v>288</v>
      </c>
      <c r="H186" t="s">
        <v>289</v>
      </c>
      <c r="I186" t="s">
        <v>290</v>
      </c>
      <c r="J186" t="s">
        <v>17</v>
      </c>
      <c r="K186" s="1">
        <v>-3154.35</v>
      </c>
      <c r="L186" s="1">
        <v>-3154.35</v>
      </c>
      <c r="M186" s="1">
        <v>-3154.35</v>
      </c>
      <c r="N186" s="1">
        <v>-3154.35</v>
      </c>
      <c r="O186" s="2">
        <v>-3154.35</v>
      </c>
      <c r="P186" s="1">
        <v>-3154.35</v>
      </c>
      <c r="Q186" s="1">
        <v>-3154.35</v>
      </c>
      <c r="R186" s="1">
        <v>-3154.35</v>
      </c>
      <c r="S186" s="1">
        <v>-3154.35</v>
      </c>
      <c r="T186" s="1">
        <v>-3154.35</v>
      </c>
      <c r="U186" s="1">
        <v>-3154.35</v>
      </c>
      <c r="V186" s="1">
        <v>-3154.35</v>
      </c>
      <c r="W186" s="1">
        <v>-37852.19999999999</v>
      </c>
      <c r="X186" t="s">
        <v>291</v>
      </c>
    </row>
    <row r="187" spans="2:24" x14ac:dyDescent="0.35">
      <c r="B187">
        <v>2026</v>
      </c>
      <c r="C187" t="s">
        <v>10</v>
      </c>
      <c r="D187" t="s">
        <v>11</v>
      </c>
      <c r="E187" t="s">
        <v>12</v>
      </c>
      <c r="F187" t="s">
        <v>13</v>
      </c>
      <c r="G187" t="s">
        <v>288</v>
      </c>
      <c r="H187" t="s">
        <v>289</v>
      </c>
      <c r="I187" t="s">
        <v>292</v>
      </c>
      <c r="J187" t="s">
        <v>17</v>
      </c>
      <c r="K187" s="1">
        <v>-6245.7</v>
      </c>
      <c r="L187" s="1">
        <v>-6245.7</v>
      </c>
      <c r="M187" s="1">
        <v>-5719.74</v>
      </c>
      <c r="N187" s="1">
        <v>-5719.74</v>
      </c>
      <c r="O187" s="2">
        <v>-5719.74</v>
      </c>
      <c r="P187" s="1">
        <v>-5719.74</v>
      </c>
      <c r="Q187" s="1">
        <v>-5772.02</v>
      </c>
      <c r="R187" s="1">
        <v>-5772.02</v>
      </c>
      <c r="S187" s="1">
        <v>-5772</v>
      </c>
      <c r="T187" s="1">
        <v>-5772</v>
      </c>
      <c r="U187" s="1">
        <v>-5772</v>
      </c>
      <c r="V187" s="1">
        <v>-5772</v>
      </c>
      <c r="W187" s="1">
        <v>-70002.399999999994</v>
      </c>
      <c r="X187" t="s">
        <v>291</v>
      </c>
    </row>
    <row r="188" spans="2:24" x14ac:dyDescent="0.35">
      <c r="B188">
        <v>2026</v>
      </c>
      <c r="C188" t="s">
        <v>10</v>
      </c>
      <c r="D188" t="s">
        <v>11</v>
      </c>
      <c r="E188" t="s">
        <v>12</v>
      </c>
      <c r="F188" t="s">
        <v>13</v>
      </c>
      <c r="G188" t="s">
        <v>288</v>
      </c>
      <c r="H188" t="s">
        <v>289</v>
      </c>
      <c r="I188" t="s">
        <v>293</v>
      </c>
      <c r="J188" t="s">
        <v>17</v>
      </c>
      <c r="K188" s="1">
        <v>-6398.5</v>
      </c>
      <c r="L188" s="1">
        <v>-6398.5</v>
      </c>
      <c r="M188" s="1">
        <v>-6398.5</v>
      </c>
      <c r="N188" s="1">
        <v>-6398.5</v>
      </c>
      <c r="O188" s="2">
        <v>-6398.5</v>
      </c>
      <c r="P188" s="1">
        <v>-6410.5</v>
      </c>
      <c r="Q188" s="1">
        <v>-6419.19</v>
      </c>
      <c r="R188" s="1">
        <v>-6419.19</v>
      </c>
      <c r="S188" s="1">
        <v>-6419</v>
      </c>
      <c r="T188" s="1">
        <v>-6419</v>
      </c>
      <c r="U188" s="1">
        <v>-6419</v>
      </c>
      <c r="V188" s="1">
        <v>-6419</v>
      </c>
      <c r="W188" s="1">
        <v>-76917.38</v>
      </c>
      <c r="X188" t="s">
        <v>291</v>
      </c>
    </row>
    <row r="189" spans="2:24" x14ac:dyDescent="0.35">
      <c r="B189">
        <v>2026</v>
      </c>
      <c r="C189" t="s">
        <v>10</v>
      </c>
      <c r="D189" t="s">
        <v>11</v>
      </c>
      <c r="E189" t="s">
        <v>12</v>
      </c>
      <c r="F189" t="s">
        <v>13</v>
      </c>
      <c r="G189" t="s">
        <v>288</v>
      </c>
      <c r="H189" t="s">
        <v>289</v>
      </c>
      <c r="I189" t="s">
        <v>294</v>
      </c>
      <c r="J189" t="s">
        <v>17</v>
      </c>
      <c r="K189" s="1">
        <v>-1522.43</v>
      </c>
      <c r="L189" s="1">
        <v>-1522.43</v>
      </c>
      <c r="M189" s="1">
        <v>-1522.43</v>
      </c>
      <c r="N189" s="1">
        <v>-1522.43</v>
      </c>
      <c r="O189" s="2">
        <v>-1522.43</v>
      </c>
      <c r="P189" s="1">
        <v>-1631.75</v>
      </c>
      <c r="Q189" s="1">
        <v>-1642.07</v>
      </c>
      <c r="R189" s="1">
        <v>-1642.07</v>
      </c>
      <c r="S189" s="1">
        <v>-1642</v>
      </c>
      <c r="T189" s="1">
        <v>-1642</v>
      </c>
      <c r="U189" s="1">
        <v>-1642</v>
      </c>
      <c r="V189" s="1">
        <v>-1642</v>
      </c>
      <c r="W189" s="1">
        <v>-19096.04</v>
      </c>
      <c r="X189" t="s">
        <v>291</v>
      </c>
    </row>
    <row r="190" spans="2:24" x14ac:dyDescent="0.35">
      <c r="B190">
        <v>2026</v>
      </c>
      <c r="C190" t="s">
        <v>10</v>
      </c>
      <c r="D190" t="s">
        <v>11</v>
      </c>
      <c r="E190" t="s">
        <v>12</v>
      </c>
      <c r="F190" t="s">
        <v>13</v>
      </c>
      <c r="G190" t="s">
        <v>288</v>
      </c>
      <c r="H190" t="s">
        <v>289</v>
      </c>
      <c r="I190" t="s">
        <v>295</v>
      </c>
      <c r="J190" t="s">
        <v>17</v>
      </c>
      <c r="K190" s="1">
        <v>-1325.66</v>
      </c>
      <c r="L190" s="1">
        <v>-1325.66</v>
      </c>
      <c r="M190" s="1">
        <v>-1325.66</v>
      </c>
      <c r="N190" s="1">
        <v>-1325.66</v>
      </c>
      <c r="O190" s="2">
        <v>-1325.66</v>
      </c>
      <c r="P190" s="1">
        <v>-1337.16</v>
      </c>
      <c r="Q190" s="1">
        <v>-1337.16</v>
      </c>
      <c r="R190" s="1">
        <v>-1337.16</v>
      </c>
      <c r="S190" s="1">
        <v>-1337</v>
      </c>
      <c r="T190" s="1">
        <v>-1337</v>
      </c>
      <c r="U190" s="1">
        <v>-1337</v>
      </c>
      <c r="V190" s="1">
        <v>-1337</v>
      </c>
      <c r="W190" s="1">
        <v>-15987.78</v>
      </c>
      <c r="X190" t="s">
        <v>291</v>
      </c>
    </row>
    <row r="191" spans="2:24" x14ac:dyDescent="0.35">
      <c r="B191">
        <v>2026</v>
      </c>
      <c r="C191" t="s">
        <v>10</v>
      </c>
      <c r="D191" t="s">
        <v>11</v>
      </c>
      <c r="E191" t="s">
        <v>12</v>
      </c>
      <c r="F191" t="s">
        <v>13</v>
      </c>
      <c r="G191" t="s">
        <v>288</v>
      </c>
      <c r="H191" t="s">
        <v>289</v>
      </c>
      <c r="I191" t="s">
        <v>296</v>
      </c>
      <c r="J191" t="s">
        <v>17</v>
      </c>
      <c r="K191" s="1">
        <v>-448.73</v>
      </c>
      <c r="L191" s="1">
        <v>-448.73</v>
      </c>
      <c r="M191" s="1">
        <v>-745.37</v>
      </c>
      <c r="N191" s="1">
        <v>-745.37</v>
      </c>
      <c r="O191" s="2">
        <v>-937.75</v>
      </c>
      <c r="P191" s="1">
        <v>-848</v>
      </c>
      <c r="Q191" s="1">
        <v>-855.5</v>
      </c>
      <c r="R191" s="1">
        <v>-855.5</v>
      </c>
      <c r="S191" s="1">
        <v>-856</v>
      </c>
      <c r="T191" s="1">
        <v>-856</v>
      </c>
      <c r="U191" s="1">
        <v>-856</v>
      </c>
      <c r="V191" s="1">
        <v>-856</v>
      </c>
      <c r="W191" s="1">
        <v>-9308.9500000000007</v>
      </c>
      <c r="X191" t="s">
        <v>291</v>
      </c>
    </row>
    <row r="192" spans="2:24" x14ac:dyDescent="0.35">
      <c r="B192">
        <v>2026</v>
      </c>
      <c r="C192" t="s">
        <v>10</v>
      </c>
      <c r="D192" t="s">
        <v>11</v>
      </c>
      <c r="E192" t="s">
        <v>12</v>
      </c>
      <c r="F192" t="s">
        <v>13</v>
      </c>
      <c r="G192" t="s">
        <v>288</v>
      </c>
      <c r="H192" t="s">
        <v>289</v>
      </c>
      <c r="I192" t="s">
        <v>297</v>
      </c>
      <c r="J192" t="s">
        <v>17</v>
      </c>
      <c r="K192" s="1">
        <v>-37.5</v>
      </c>
      <c r="L192" s="1">
        <v>-37.5</v>
      </c>
      <c r="M192" s="1">
        <v>-37.5</v>
      </c>
      <c r="N192" s="1">
        <v>-37.5</v>
      </c>
      <c r="O192" s="2">
        <v>-131.25</v>
      </c>
      <c r="P192" s="1">
        <v>41.25</v>
      </c>
      <c r="Q192" s="1">
        <v>-45</v>
      </c>
      <c r="R192" s="1">
        <v>-45</v>
      </c>
      <c r="S192" s="1">
        <v>-45</v>
      </c>
      <c r="T192" s="1">
        <v>-45</v>
      </c>
      <c r="U192" s="1">
        <v>-45</v>
      </c>
      <c r="V192" s="1">
        <v>-45</v>
      </c>
      <c r="W192" s="1">
        <v>-510</v>
      </c>
      <c r="X192" t="s">
        <v>291</v>
      </c>
    </row>
    <row r="193" spans="2:24" x14ac:dyDescent="0.35">
      <c r="B193">
        <v>2026</v>
      </c>
      <c r="C193" t="s">
        <v>10</v>
      </c>
      <c r="D193" t="s">
        <v>11</v>
      </c>
      <c r="E193" t="s">
        <v>12</v>
      </c>
      <c r="F193" t="s">
        <v>28</v>
      </c>
      <c r="G193" t="s">
        <v>298</v>
      </c>
      <c r="H193" t="s">
        <v>40</v>
      </c>
      <c r="I193" t="s">
        <v>299</v>
      </c>
      <c r="J193" t="s">
        <v>17</v>
      </c>
      <c r="K193" s="1">
        <v>0</v>
      </c>
      <c r="L193" s="1">
        <v>0</v>
      </c>
      <c r="M193" s="1">
        <v>0</v>
      </c>
      <c r="N193" s="1">
        <v>-23519.91</v>
      </c>
      <c r="O193" s="2">
        <v>-38633.949999999997</v>
      </c>
      <c r="P193" s="1">
        <v>-78488.47</v>
      </c>
      <c r="Q193" s="1">
        <v>-32604.18</v>
      </c>
      <c r="R193" s="1">
        <v>-19768.43</v>
      </c>
      <c r="S193" s="1">
        <v>-13077.56</v>
      </c>
      <c r="T193" s="1">
        <v>-24772.9</v>
      </c>
      <c r="U193" s="1">
        <v>-33303.31</v>
      </c>
      <c r="V193" s="1">
        <v>-35955.699999999997</v>
      </c>
      <c r="W193" s="1">
        <v>-300124.40999999997</v>
      </c>
      <c r="X193" t="s">
        <v>300</v>
      </c>
    </row>
    <row r="194" spans="2:24" x14ac:dyDescent="0.35">
      <c r="B194">
        <v>2026</v>
      </c>
      <c r="C194" t="s">
        <v>10</v>
      </c>
      <c r="D194" t="s">
        <v>11</v>
      </c>
      <c r="E194" t="s">
        <v>12</v>
      </c>
      <c r="F194" t="s">
        <v>28</v>
      </c>
      <c r="G194" t="s">
        <v>298</v>
      </c>
      <c r="H194" t="s">
        <v>301</v>
      </c>
      <c r="I194" t="s">
        <v>302</v>
      </c>
      <c r="J194" t="s">
        <v>17</v>
      </c>
      <c r="K194" s="1">
        <v>0</v>
      </c>
      <c r="L194" s="1">
        <v>0</v>
      </c>
      <c r="M194" s="1">
        <v>0</v>
      </c>
      <c r="N194" s="1">
        <v>-937.05</v>
      </c>
      <c r="O194" s="2" t="s">
        <v>20</v>
      </c>
      <c r="P194" s="1" t="s">
        <v>20</v>
      </c>
      <c r="Q194" s="1">
        <v>0</v>
      </c>
      <c r="R194" s="1">
        <v>0</v>
      </c>
      <c r="S194" s="1">
        <v>0</v>
      </c>
      <c r="T194" s="1">
        <v>-500</v>
      </c>
      <c r="U194" s="1">
        <v>-800</v>
      </c>
      <c r="V194" s="1">
        <v>-1000</v>
      </c>
      <c r="W194" s="1">
        <v>-3237.05</v>
      </c>
      <c r="X194" t="s">
        <v>303</v>
      </c>
    </row>
    <row r="195" spans="2:24" x14ac:dyDescent="0.35">
      <c r="B195">
        <v>2026</v>
      </c>
      <c r="C195" t="s">
        <v>10</v>
      </c>
      <c r="D195" t="s">
        <v>11</v>
      </c>
      <c r="E195" t="s">
        <v>12</v>
      </c>
      <c r="F195" t="s">
        <v>28</v>
      </c>
      <c r="G195" t="s">
        <v>298</v>
      </c>
      <c r="H195" t="s">
        <v>304</v>
      </c>
      <c r="I195" t="s">
        <v>305</v>
      </c>
      <c r="J195" t="s">
        <v>17</v>
      </c>
      <c r="K195" s="1">
        <v>-52.82</v>
      </c>
      <c r="L195" s="1">
        <v>0</v>
      </c>
      <c r="M195" s="1">
        <v>-79.37</v>
      </c>
      <c r="N195" s="1">
        <v>-26.51</v>
      </c>
      <c r="O195" s="2">
        <v>-17.690000000000001</v>
      </c>
      <c r="P195" s="1">
        <v>-8.86</v>
      </c>
      <c r="Q195" s="1">
        <v>0</v>
      </c>
      <c r="R195" s="1">
        <v>0</v>
      </c>
      <c r="S195" s="1">
        <v>-37.049999999999997</v>
      </c>
      <c r="T195" s="1">
        <v>-37.049999999999997</v>
      </c>
      <c r="U195" s="1">
        <v>-37.049999999999997</v>
      </c>
      <c r="V195" s="1">
        <v>-37.049999999999997</v>
      </c>
      <c r="W195" s="1">
        <v>-333.45000000000005</v>
      </c>
      <c r="X195" t="s">
        <v>306</v>
      </c>
    </row>
    <row r="196" spans="2:24" x14ac:dyDescent="0.35">
      <c r="B196">
        <v>2026</v>
      </c>
      <c r="C196" t="s">
        <v>10</v>
      </c>
      <c r="D196" t="s">
        <v>11</v>
      </c>
      <c r="E196" t="s">
        <v>12</v>
      </c>
      <c r="F196" t="s">
        <v>28</v>
      </c>
      <c r="G196" t="s">
        <v>298</v>
      </c>
      <c r="H196" t="s">
        <v>307</v>
      </c>
      <c r="I196" t="s">
        <v>308</v>
      </c>
      <c r="J196" t="s">
        <v>17</v>
      </c>
      <c r="K196" s="1">
        <v>0</v>
      </c>
      <c r="L196" s="1">
        <v>0</v>
      </c>
      <c r="M196" s="1">
        <v>0</v>
      </c>
      <c r="N196" s="1">
        <v>0</v>
      </c>
      <c r="O196" s="2">
        <v>0</v>
      </c>
      <c r="P196" s="1" t="s">
        <v>20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t="s">
        <v>78</v>
      </c>
    </row>
    <row r="197" spans="2:24" x14ac:dyDescent="0.35">
      <c r="B197">
        <v>2026</v>
      </c>
      <c r="C197" t="s">
        <v>10</v>
      </c>
      <c r="D197" t="s">
        <v>11</v>
      </c>
      <c r="E197" t="s">
        <v>12</v>
      </c>
      <c r="F197" t="s">
        <v>28</v>
      </c>
      <c r="G197" t="s">
        <v>298</v>
      </c>
      <c r="H197" t="s">
        <v>307</v>
      </c>
      <c r="I197" t="s">
        <v>309</v>
      </c>
      <c r="J197" t="s">
        <v>17</v>
      </c>
      <c r="K197" s="1">
        <v>0</v>
      </c>
      <c r="L197" s="1">
        <v>0</v>
      </c>
      <c r="M197" s="1">
        <v>0</v>
      </c>
      <c r="N197" s="1">
        <v>0</v>
      </c>
      <c r="O197" s="2">
        <v>0</v>
      </c>
      <c r="P197" s="1" t="s">
        <v>20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t="s">
        <v>78</v>
      </c>
    </row>
    <row r="198" spans="2:24" x14ac:dyDescent="0.35">
      <c r="B198">
        <v>2026</v>
      </c>
      <c r="C198" t="s">
        <v>10</v>
      </c>
      <c r="D198" t="s">
        <v>11</v>
      </c>
      <c r="E198" t="s">
        <v>12</v>
      </c>
      <c r="F198" t="s">
        <v>28</v>
      </c>
      <c r="G198" t="s">
        <v>298</v>
      </c>
      <c r="H198" t="s">
        <v>307</v>
      </c>
      <c r="I198" t="s">
        <v>310</v>
      </c>
      <c r="J198" t="s">
        <v>17</v>
      </c>
      <c r="K198" s="1">
        <v>0</v>
      </c>
      <c r="L198" s="1">
        <v>0</v>
      </c>
      <c r="M198" s="1">
        <v>0</v>
      </c>
      <c r="N198" s="1">
        <v>0</v>
      </c>
      <c r="O198" s="2">
        <v>0</v>
      </c>
      <c r="P198" s="1" t="s">
        <v>20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t="s">
        <v>78</v>
      </c>
    </row>
    <row r="199" spans="2:24" x14ac:dyDescent="0.35">
      <c r="B199">
        <v>2026</v>
      </c>
      <c r="C199" t="s">
        <v>10</v>
      </c>
      <c r="D199" t="s">
        <v>11</v>
      </c>
      <c r="E199" t="s">
        <v>12</v>
      </c>
      <c r="F199" t="s">
        <v>28</v>
      </c>
      <c r="G199" t="s">
        <v>298</v>
      </c>
      <c r="H199" t="s">
        <v>307</v>
      </c>
      <c r="I199" t="s">
        <v>311</v>
      </c>
      <c r="J199" t="s">
        <v>17</v>
      </c>
      <c r="K199" s="1">
        <v>0</v>
      </c>
      <c r="L199" s="1">
        <v>0</v>
      </c>
      <c r="M199" s="1">
        <v>0</v>
      </c>
      <c r="N199" s="1">
        <v>0</v>
      </c>
      <c r="O199" s="2">
        <v>0</v>
      </c>
      <c r="P199" s="1" t="s">
        <v>20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t="s">
        <v>78</v>
      </c>
    </row>
    <row r="200" spans="2:24" x14ac:dyDescent="0.35">
      <c r="B200">
        <v>2026</v>
      </c>
      <c r="C200" t="s">
        <v>10</v>
      </c>
      <c r="D200" t="s">
        <v>11</v>
      </c>
      <c r="E200" t="s">
        <v>12</v>
      </c>
      <c r="F200" t="s">
        <v>28</v>
      </c>
      <c r="G200" t="s">
        <v>298</v>
      </c>
      <c r="H200" t="s">
        <v>307</v>
      </c>
      <c r="I200" t="s">
        <v>312</v>
      </c>
      <c r="J200" t="s">
        <v>17</v>
      </c>
      <c r="K200" s="1">
        <v>0</v>
      </c>
      <c r="L200" s="1">
        <v>0</v>
      </c>
      <c r="M200" s="1">
        <v>0</v>
      </c>
      <c r="N200" s="1">
        <v>0</v>
      </c>
      <c r="O200" s="2">
        <v>0</v>
      </c>
      <c r="P200" s="1" t="s">
        <v>20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t="s">
        <v>78</v>
      </c>
    </row>
    <row r="201" spans="2:24" x14ac:dyDescent="0.35">
      <c r="B201">
        <v>2026</v>
      </c>
      <c r="C201" t="s">
        <v>10</v>
      </c>
      <c r="D201" t="s">
        <v>11</v>
      </c>
      <c r="E201" t="s">
        <v>12</v>
      </c>
      <c r="F201" t="s">
        <v>28</v>
      </c>
      <c r="G201" t="s">
        <v>298</v>
      </c>
      <c r="H201" t="s">
        <v>307</v>
      </c>
      <c r="I201" t="s">
        <v>313</v>
      </c>
      <c r="J201" t="s">
        <v>17</v>
      </c>
      <c r="K201" s="1">
        <v>0</v>
      </c>
      <c r="L201" s="1">
        <v>0</v>
      </c>
      <c r="M201" s="1">
        <v>0</v>
      </c>
      <c r="N201" s="1">
        <v>0</v>
      </c>
      <c r="O201" s="2">
        <v>0</v>
      </c>
      <c r="P201" s="1" t="s">
        <v>20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t="s">
        <v>78</v>
      </c>
    </row>
    <row r="202" spans="2:24" x14ac:dyDescent="0.35">
      <c r="B202">
        <v>2026</v>
      </c>
      <c r="C202" t="s">
        <v>10</v>
      </c>
      <c r="D202" t="s">
        <v>11</v>
      </c>
      <c r="E202" t="s">
        <v>12</v>
      </c>
      <c r="F202" t="s">
        <v>28</v>
      </c>
      <c r="G202" t="s">
        <v>298</v>
      </c>
      <c r="H202" t="s">
        <v>307</v>
      </c>
      <c r="I202" t="s">
        <v>314</v>
      </c>
      <c r="J202" t="s">
        <v>17</v>
      </c>
      <c r="K202" s="1">
        <v>0</v>
      </c>
      <c r="L202" s="1">
        <v>0</v>
      </c>
      <c r="M202" s="1">
        <v>0</v>
      </c>
      <c r="N202" s="1">
        <v>0</v>
      </c>
      <c r="O202" s="2">
        <v>0</v>
      </c>
      <c r="P202" s="1" t="s">
        <v>20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t="s">
        <v>78</v>
      </c>
    </row>
    <row r="203" spans="2:24" x14ac:dyDescent="0.35">
      <c r="B203">
        <v>2026</v>
      </c>
      <c r="C203" t="s">
        <v>10</v>
      </c>
      <c r="D203" t="s">
        <v>11</v>
      </c>
      <c r="E203" t="s">
        <v>12</v>
      </c>
      <c r="F203" t="s">
        <v>28</v>
      </c>
      <c r="G203" t="s">
        <v>315</v>
      </c>
      <c r="H203" t="s">
        <v>316</v>
      </c>
      <c r="I203" t="s">
        <v>317</v>
      </c>
      <c r="J203" t="s">
        <v>17</v>
      </c>
      <c r="K203" s="1">
        <v>0</v>
      </c>
      <c r="L203" s="1">
        <v>78.790000000000006</v>
      </c>
      <c r="M203" s="1">
        <v>15.51</v>
      </c>
      <c r="N203" s="1">
        <v>0</v>
      </c>
      <c r="O203" s="2">
        <v>2879.75</v>
      </c>
      <c r="P203" s="1">
        <v>1665.7</v>
      </c>
      <c r="Q203" s="1">
        <v>604.76</v>
      </c>
      <c r="R203" s="1">
        <v>0</v>
      </c>
      <c r="S203" s="1">
        <v>400</v>
      </c>
      <c r="T203" s="1">
        <v>600</v>
      </c>
      <c r="U203" s="1">
        <v>800</v>
      </c>
      <c r="V203" s="1">
        <v>800</v>
      </c>
      <c r="W203" s="1">
        <v>7844.51</v>
      </c>
      <c r="X203" t="s">
        <v>318</v>
      </c>
    </row>
    <row r="204" spans="2:24" x14ac:dyDescent="0.35">
      <c r="B204">
        <v>2026</v>
      </c>
      <c r="C204" t="s">
        <v>10</v>
      </c>
      <c r="D204" t="s">
        <v>11</v>
      </c>
      <c r="E204" t="s">
        <v>12</v>
      </c>
      <c r="F204" t="s">
        <v>13</v>
      </c>
      <c r="G204" t="s">
        <v>118</v>
      </c>
      <c r="H204" t="s">
        <v>319</v>
      </c>
      <c r="I204" t="s">
        <v>320</v>
      </c>
      <c r="J204" t="s">
        <v>17</v>
      </c>
      <c r="K204" s="1"/>
      <c r="L204" s="1"/>
      <c r="M204" s="1"/>
      <c r="N204" s="1"/>
      <c r="O204" s="2">
        <v>-1350</v>
      </c>
      <c r="P204" s="1" t="s">
        <v>20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-1350</v>
      </c>
      <c r="X204" t="s">
        <v>23</v>
      </c>
    </row>
    <row r="205" spans="2:24" x14ac:dyDescent="0.35">
      <c r="B205">
        <v>2026</v>
      </c>
      <c r="C205" t="s">
        <v>10</v>
      </c>
      <c r="D205" t="s">
        <v>11</v>
      </c>
      <c r="E205" t="s">
        <v>12</v>
      </c>
      <c r="F205" t="s">
        <v>28</v>
      </c>
      <c r="G205" t="s">
        <v>29</v>
      </c>
      <c r="H205" t="s">
        <v>321</v>
      </c>
      <c r="I205" t="s">
        <v>322</v>
      </c>
      <c r="J205" t="s">
        <v>17</v>
      </c>
      <c r="K205" s="1"/>
      <c r="L205" s="1"/>
      <c r="M205" s="1"/>
      <c r="N205" s="1"/>
      <c r="P205" s="1">
        <v>4495.93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2500</v>
      </c>
      <c r="W205" s="1">
        <v>6995.93</v>
      </c>
      <c r="X205" t="s">
        <v>323</v>
      </c>
    </row>
    <row r="206" spans="2:24" x14ac:dyDescent="0.35">
      <c r="K206" s="1"/>
      <c r="L206" s="1"/>
      <c r="M206" s="1"/>
      <c r="N206" s="1"/>
      <c r="P206" s="1"/>
      <c r="Q206" s="1"/>
      <c r="R206" s="1"/>
      <c r="S206" s="1"/>
      <c r="T206" s="1"/>
      <c r="U206" s="1"/>
      <c r="V206" s="1"/>
      <c r="W206" s="1"/>
    </row>
    <row r="207" spans="2:24" x14ac:dyDescent="0.35">
      <c r="K207" s="1"/>
      <c r="L207" s="1"/>
      <c r="M207" s="1"/>
      <c r="N207" s="1"/>
      <c r="P207" s="1"/>
      <c r="Q207" s="1"/>
      <c r="R207" s="1"/>
      <c r="S207" s="1"/>
      <c r="T207" s="1"/>
      <c r="U207" s="1"/>
      <c r="V207" s="1"/>
      <c r="W207" s="1"/>
    </row>
    <row r="208" spans="2:24" x14ac:dyDescent="0.35">
      <c r="K208" s="1"/>
      <c r="L208" s="1"/>
      <c r="M208" s="1"/>
      <c r="N208" s="1"/>
      <c r="P208" s="1"/>
      <c r="Q208" s="1"/>
      <c r="R208" s="1"/>
      <c r="S208" s="1"/>
      <c r="T208" s="1"/>
      <c r="U208" s="1"/>
      <c r="V208" s="1"/>
      <c r="W208" s="1"/>
    </row>
    <row r="209" spans="11:23" x14ac:dyDescent="0.35">
      <c r="K209" s="1"/>
      <c r="L209" s="1"/>
      <c r="M209" s="1"/>
      <c r="N209" s="1"/>
      <c r="P209" s="1"/>
      <c r="Q209" s="1"/>
      <c r="R209" s="1"/>
      <c r="S209" s="1"/>
      <c r="T209" s="1"/>
      <c r="U209" s="1"/>
      <c r="V209" s="1"/>
      <c r="W209" s="1"/>
    </row>
    <row r="210" spans="11:23" x14ac:dyDescent="0.35">
      <c r="K210" s="1"/>
      <c r="L210" s="1"/>
      <c r="M210" s="1"/>
      <c r="N210" s="1"/>
      <c r="P210" s="1"/>
      <c r="Q210" s="1"/>
      <c r="R210" s="1"/>
      <c r="S210" s="1"/>
      <c r="T210" s="1"/>
      <c r="U210" s="1"/>
      <c r="V210" s="1"/>
      <c r="W210" s="1"/>
    </row>
    <row r="211" spans="11:23" x14ac:dyDescent="0.35">
      <c r="P211" s="1"/>
      <c r="Q211" s="1"/>
      <c r="R211" s="1"/>
      <c r="W211" s="1"/>
    </row>
    <row r="212" spans="11:23" x14ac:dyDescent="0.35">
      <c r="K212" s="1"/>
      <c r="L212" s="1"/>
      <c r="M212" s="1"/>
      <c r="N212" s="1"/>
      <c r="P212" s="1"/>
      <c r="R212" s="1"/>
      <c r="S212" s="1"/>
      <c r="T212" s="1"/>
      <c r="U212" s="1"/>
      <c r="V212" s="1"/>
      <c r="W212" s="1"/>
    </row>
    <row r="213" spans="11:23" x14ac:dyDescent="0.35">
      <c r="K213" s="1"/>
      <c r="L213" s="1"/>
      <c r="M213" s="1"/>
      <c r="N213" s="1"/>
      <c r="P213" s="1"/>
      <c r="R213" s="1"/>
      <c r="S213" s="1"/>
      <c r="T213" s="1"/>
      <c r="U213" s="1"/>
      <c r="V213" s="1"/>
      <c r="W213" s="1"/>
    </row>
    <row r="214" spans="11:23" x14ac:dyDescent="0.35">
      <c r="K214" s="1"/>
      <c r="L214" s="1"/>
      <c r="M214" s="1"/>
      <c r="N214" s="1"/>
      <c r="P214" s="1"/>
      <c r="R214" s="1"/>
      <c r="S214" s="1"/>
      <c r="T214" s="1"/>
      <c r="U214" s="1"/>
      <c r="V214" s="1"/>
      <c r="W214" s="1"/>
    </row>
    <row r="215" spans="11:23" x14ac:dyDescent="0.35">
      <c r="K215" s="1"/>
      <c r="L215" s="1"/>
      <c r="M215" s="1"/>
      <c r="N215" s="1"/>
      <c r="P215" s="1"/>
      <c r="R215" s="1"/>
      <c r="S215" s="1"/>
      <c r="T215" s="1"/>
      <c r="U215" s="1"/>
      <c r="V215" s="1"/>
      <c r="W215" s="1"/>
    </row>
    <row r="216" spans="11:23" x14ac:dyDescent="0.35">
      <c r="K216" s="1"/>
      <c r="L216" s="1"/>
      <c r="M216" s="1"/>
      <c r="N216" s="1"/>
      <c r="P216" s="1"/>
      <c r="R216" s="1"/>
      <c r="W216" s="1"/>
    </row>
    <row r="217" spans="11:23" x14ac:dyDescent="0.35">
      <c r="K217" s="1"/>
      <c r="L217" s="1"/>
      <c r="M217" s="1"/>
      <c r="N217" s="1"/>
      <c r="P217" s="1"/>
      <c r="R217" s="1"/>
      <c r="W217" s="1"/>
    </row>
    <row r="218" spans="11:23" x14ac:dyDescent="0.35">
      <c r="K218" s="1"/>
      <c r="L218" s="1"/>
      <c r="M218" s="1"/>
      <c r="N218" s="1"/>
      <c r="P218" s="1"/>
      <c r="R218" s="1"/>
      <c r="W218" s="1"/>
    </row>
    <row r="219" spans="11:23" x14ac:dyDescent="0.35">
      <c r="K219" s="1"/>
      <c r="L219" s="1"/>
      <c r="M219" s="1"/>
      <c r="N219" s="1"/>
      <c r="P219" s="1"/>
      <c r="R219" s="1"/>
      <c r="W219" s="1"/>
    </row>
    <row r="220" spans="11:23" x14ac:dyDescent="0.35">
      <c r="K220" s="1"/>
      <c r="L220" s="1"/>
      <c r="M220" s="1"/>
      <c r="N220" s="1"/>
      <c r="O220" s="5"/>
      <c r="P220" s="5"/>
      <c r="R220" s="1"/>
      <c r="S220" s="1"/>
      <c r="T220" s="1"/>
      <c r="U220" s="1"/>
      <c r="V220" s="1"/>
      <c r="W220" s="1"/>
    </row>
    <row r="221" spans="11:23" x14ac:dyDescent="0.35">
      <c r="K221" s="1"/>
      <c r="L221" s="1"/>
      <c r="M221" s="1"/>
      <c r="N221" s="1"/>
      <c r="O221" s="5"/>
      <c r="P221" s="5"/>
      <c r="R221" s="1"/>
      <c r="S221" s="1"/>
      <c r="T221" s="1"/>
      <c r="U221" s="1"/>
      <c r="V221" s="1"/>
      <c r="W221" s="1"/>
    </row>
    <row r="222" spans="11:23" x14ac:dyDescent="0.35">
      <c r="K222" s="1"/>
      <c r="L222" s="1"/>
      <c r="M222" s="1"/>
      <c r="N222" s="1"/>
      <c r="O222" s="5"/>
      <c r="P222" s="5"/>
      <c r="R222" s="1"/>
      <c r="S222" s="1"/>
      <c r="T222" s="1"/>
      <c r="U222" s="1"/>
      <c r="V222" s="1"/>
      <c r="W222" s="1"/>
    </row>
    <row r="223" spans="11:23" x14ac:dyDescent="0.35">
      <c r="K223" s="1"/>
      <c r="L223" s="1"/>
      <c r="M223" s="1"/>
      <c r="N223" s="1"/>
      <c r="O223" s="5"/>
      <c r="P223" s="1"/>
      <c r="R223" s="1"/>
      <c r="W223" s="1"/>
    </row>
    <row r="224" spans="11:23" x14ac:dyDescent="0.35">
      <c r="K224" s="1"/>
      <c r="L224" s="1"/>
      <c r="M224" s="1"/>
      <c r="N224" s="1"/>
      <c r="O224" s="5"/>
      <c r="P224" s="1"/>
      <c r="R224" s="1"/>
      <c r="W224" s="1"/>
    </row>
    <row r="225" spans="16:23" x14ac:dyDescent="0.35">
      <c r="P225" s="1"/>
      <c r="Q225" s="1"/>
      <c r="R225" s="1"/>
      <c r="W225" s="1"/>
    </row>
    <row r="226" spans="16:23" x14ac:dyDescent="0.35">
      <c r="W226" s="1"/>
    </row>
    <row r="227" spans="16:23" x14ac:dyDescent="0.35">
      <c r="W227" s="1"/>
    </row>
    <row r="228" spans="16:23" x14ac:dyDescent="0.35">
      <c r="W228" s="1"/>
    </row>
    <row r="229" spans="16:23" x14ac:dyDescent="0.35">
      <c r="W229" s="1"/>
    </row>
    <row r="230" spans="16:23" x14ac:dyDescent="0.35">
      <c r="W230" s="1"/>
    </row>
    <row r="231" spans="16:23" x14ac:dyDescent="0.35">
      <c r="W231" s="1"/>
    </row>
    <row r="232" spans="16:23" x14ac:dyDescent="0.35">
      <c r="W232" s="1"/>
    </row>
    <row r="233" spans="16:23" x14ac:dyDescent="0.35">
      <c r="W233" s="1"/>
    </row>
    <row r="234" spans="16:23" x14ac:dyDescent="0.35">
      <c r="W234" s="1"/>
    </row>
    <row r="235" spans="16:23" x14ac:dyDescent="0.35">
      <c r="W235" s="1"/>
    </row>
    <row r="236" spans="16:23" x14ac:dyDescent="0.35">
      <c r="W236" s="1"/>
    </row>
    <row r="237" spans="16:23" x14ac:dyDescent="0.35">
      <c r="W237" s="1"/>
    </row>
    <row r="238" spans="16:23" x14ac:dyDescent="0.35">
      <c r="W238" s="1"/>
    </row>
    <row r="239" spans="16:23" x14ac:dyDescent="0.35">
      <c r="W239" s="1"/>
    </row>
    <row r="240" spans="16:23" x14ac:dyDescent="0.35">
      <c r="W240" s="1"/>
    </row>
    <row r="241" spans="23:23" x14ac:dyDescent="0.35">
      <c r="W241" s="1"/>
    </row>
    <row r="242" spans="23:23" x14ac:dyDescent="0.35">
      <c r="W242" s="1"/>
    </row>
    <row r="243" spans="23:23" x14ac:dyDescent="0.35">
      <c r="W243" s="1"/>
    </row>
    <row r="244" spans="23:23" x14ac:dyDescent="0.35">
      <c r="W244" s="1"/>
    </row>
    <row r="245" spans="23:23" x14ac:dyDescent="0.35">
      <c r="W245" s="1"/>
    </row>
    <row r="246" spans="23:23" x14ac:dyDescent="0.35">
      <c r="W246" s="1"/>
    </row>
    <row r="247" spans="23:23" x14ac:dyDescent="0.35">
      <c r="W247" s="1"/>
    </row>
    <row r="248" spans="23:23" x14ac:dyDescent="0.35">
      <c r="W248" s="1"/>
    </row>
    <row r="249" spans="23:23" x14ac:dyDescent="0.35">
      <c r="W249" s="1"/>
    </row>
    <row r="250" spans="23:23" x14ac:dyDescent="0.35">
      <c r="W250" s="1"/>
    </row>
    <row r="251" spans="23:23" x14ac:dyDescent="0.35">
      <c r="W251" s="1"/>
    </row>
    <row r="252" spans="23:23" x14ac:dyDescent="0.35">
      <c r="W252" s="1"/>
    </row>
    <row r="253" spans="23:23" x14ac:dyDescent="0.35">
      <c r="W253" s="1"/>
    </row>
    <row r="254" spans="23:23" x14ac:dyDescent="0.35">
      <c r="W254" s="1"/>
    </row>
    <row r="255" spans="23:23" x14ac:dyDescent="0.35">
      <c r="W255" s="1"/>
    </row>
    <row r="256" spans="23:23" x14ac:dyDescent="0.35">
      <c r="W256" s="1"/>
    </row>
    <row r="257" spans="23:23" x14ac:dyDescent="0.35">
      <c r="W257" s="1"/>
    </row>
    <row r="258" spans="23:23" x14ac:dyDescent="0.35">
      <c r="W258" s="1"/>
    </row>
    <row r="259" spans="23:23" x14ac:dyDescent="0.35">
      <c r="W259" s="1"/>
    </row>
  </sheetData>
  <autoFilter ref="B3:W259" xr:uid="{54B74828-DB15-400E-91CA-6CE7FA9D1E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 Mensual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2026-09-24T10:16:55Z</dcterms:created>
  <dcterms:modified xsi:type="dcterms:W3CDTF">2026-09-24T10:17:35Z</dcterms:modified>
</cp:coreProperties>
</file>