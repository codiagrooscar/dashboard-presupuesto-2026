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161" documentId="8_{C01C0E72-60B1-4D80-93CE-F4FDE87DE582}" xr6:coauthVersionLast="47" xr6:coauthVersionMax="47" xr10:uidLastSave="{F65722C6-AA79-4946-946A-CDCF51F916A6}"/>
  <bookViews>
    <workbookView xWindow="-25710" yWindow="-110" windowWidth="25820" windowHeight="13900" tabRatio="804" activeTab="2" xr2:uid="{DA978C05-6AA7-4636-9B27-353885F16E02}"/>
  </bookViews>
  <sheets>
    <sheet name="2026" sheetId="24" r:id="rId1"/>
    <sheet name="TABLA" sheetId="18" r:id="rId2"/>
    <sheet name="PL Mensual 2026" sheetId="12" r:id="rId3"/>
    <sheet name="Ginger" sheetId="21" state="hidden" r:id="rId4"/>
    <sheet name="Extraitems 2026" sheetId="6" state="hidden" r:id="rId5"/>
    <sheet name="Ext Items 2026" sheetId="14" state="hidden" r:id="rId6"/>
    <sheet name="Ext Items Budget" sheetId="15" state="hidden" r:id="rId7"/>
    <sheet name="Ext Items 2025" sheetId="16" state="hidden" r:id="rId8"/>
    <sheet name="Cuenta Ok" sheetId="19" state="hidden" r:id="rId9"/>
    <sheet name="P&amp;L Mensualitzada 2025" sheetId="8" r:id="rId10"/>
    <sheet name="Budget26 sin EI" sheetId="7" r:id="rId11"/>
  </sheets>
  <externalReferences>
    <externalReference r:id="rId12"/>
    <externalReference r:id="rId13"/>
  </externalReferences>
  <definedNames>
    <definedName name="_xlnm._FilterDatabase" localSheetId="7" hidden="1">'Ext Items 2025'!$B$2:$M$35</definedName>
    <definedName name="_xlnm._FilterDatabase" localSheetId="5" hidden="1">'Ext Items 2026'!$A$2:$O$59</definedName>
    <definedName name="_xlnm._FilterDatabase" localSheetId="6" hidden="1">'Ext Items Budget'!$A$2:$N$45</definedName>
    <definedName name="_xlnm._FilterDatabase" localSheetId="3" hidden="1">Ginger!$A$1:$I$155</definedName>
    <definedName name="_xlnm._FilterDatabase" localSheetId="2" hidden="1">'PL Mensual 2026'!$B$3:$X$206</definedName>
    <definedName name="Datos" localSheetId="10">#REF!</definedName>
    <definedName name="Datos">#REF!</definedName>
  </definedNames>
  <calcPr calcId="191029"/>
  <pivotCaches>
    <pivotCache cacheId="23" r:id="rId14"/>
    <pivotCache cacheId="24" r:id="rId15"/>
    <pivotCache cacheId="25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83" i="12" l="1"/>
  <c r="AB183" i="12" s="1"/>
  <c r="AA186" i="12"/>
  <c r="AB186" i="12" s="1"/>
  <c r="AA207" i="12"/>
  <c r="AA208" i="12"/>
  <c r="AA209" i="12"/>
  <c r="AA210" i="12"/>
  <c r="AA211" i="12"/>
  <c r="AA212" i="12"/>
  <c r="AA213" i="12"/>
  <c r="AA214" i="12"/>
  <c r="AA215" i="12"/>
  <c r="AA216" i="12"/>
  <c r="AA217" i="12"/>
  <c r="AA218" i="12"/>
  <c r="AA219" i="12"/>
  <c r="AA220" i="12"/>
  <c r="AA221" i="12"/>
  <c r="AA222" i="12"/>
  <c r="AA223" i="12"/>
  <c r="AA224" i="12"/>
  <c r="AA225" i="12"/>
  <c r="AA226" i="12"/>
  <c r="AA227" i="12"/>
  <c r="AA228" i="12"/>
  <c r="AA229" i="12"/>
  <c r="AA230" i="12"/>
  <c r="AA231" i="12"/>
  <c r="AA232" i="12"/>
  <c r="AA233" i="12"/>
  <c r="AA234" i="12"/>
  <c r="AA235" i="12"/>
  <c r="AA236" i="12"/>
  <c r="AA237" i="12"/>
  <c r="AA238" i="12"/>
  <c r="AA239" i="12"/>
  <c r="AA240" i="12"/>
  <c r="AA241" i="12"/>
  <c r="AA242" i="12"/>
  <c r="AA243" i="12"/>
  <c r="AA244" i="12"/>
  <c r="AA245" i="12"/>
  <c r="AA246" i="12"/>
  <c r="AA247" i="12"/>
  <c r="AA248" i="12"/>
  <c r="AA249" i="12"/>
  <c r="AA250" i="12"/>
  <c r="AA251" i="12"/>
  <c r="AA252" i="12"/>
  <c r="W5" i="12"/>
  <c r="W6" i="12"/>
  <c r="W7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W45" i="12"/>
  <c r="W46" i="12"/>
  <c r="W47" i="12"/>
  <c r="W48" i="12"/>
  <c r="W49" i="12"/>
  <c r="W50" i="12"/>
  <c r="W51" i="12"/>
  <c r="W52" i="12"/>
  <c r="W53" i="12"/>
  <c r="W54" i="12"/>
  <c r="W55" i="12"/>
  <c r="W56" i="12"/>
  <c r="W57" i="12"/>
  <c r="W58" i="12"/>
  <c r="W59" i="12"/>
  <c r="W60" i="12"/>
  <c r="W61" i="12"/>
  <c r="W62" i="12"/>
  <c r="W63" i="12"/>
  <c r="W64" i="12"/>
  <c r="W65" i="12"/>
  <c r="W66" i="12"/>
  <c r="W67" i="12"/>
  <c r="W68" i="12"/>
  <c r="W69" i="12"/>
  <c r="W70" i="12"/>
  <c r="W71" i="12"/>
  <c r="W72" i="12"/>
  <c r="W73" i="12"/>
  <c r="W74" i="12"/>
  <c r="W75" i="12"/>
  <c r="W76" i="12"/>
  <c r="W77" i="12"/>
  <c r="W78" i="12"/>
  <c r="W79" i="12"/>
  <c r="W80" i="12"/>
  <c r="W81" i="12"/>
  <c r="W82" i="12"/>
  <c r="W83" i="12"/>
  <c r="W84" i="12"/>
  <c r="W85" i="12"/>
  <c r="W86" i="12"/>
  <c r="W87" i="12"/>
  <c r="W88" i="12"/>
  <c r="W89" i="12"/>
  <c r="W90" i="12"/>
  <c r="W91" i="12"/>
  <c r="W92" i="12"/>
  <c r="W93" i="12"/>
  <c r="W94" i="12"/>
  <c r="W95" i="12"/>
  <c r="W96" i="12"/>
  <c r="W97" i="12"/>
  <c r="W98" i="12"/>
  <c r="W99" i="12"/>
  <c r="W100" i="12"/>
  <c r="W101" i="12"/>
  <c r="W102" i="12"/>
  <c r="W103" i="12"/>
  <c r="W104" i="12"/>
  <c r="W105" i="12"/>
  <c r="W106" i="12"/>
  <c r="W107" i="12"/>
  <c r="W108" i="12"/>
  <c r="W109" i="12"/>
  <c r="W110" i="12"/>
  <c r="W111" i="12"/>
  <c r="W112" i="12"/>
  <c r="W113" i="12"/>
  <c r="W114" i="12"/>
  <c r="W115" i="12"/>
  <c r="W116" i="12"/>
  <c r="W117" i="12"/>
  <c r="W118" i="12"/>
  <c r="W119" i="12"/>
  <c r="W120" i="12"/>
  <c r="W121" i="12"/>
  <c r="W122" i="12"/>
  <c r="W123" i="12"/>
  <c r="W124" i="12"/>
  <c r="W125" i="12"/>
  <c r="W126" i="12"/>
  <c r="W127" i="12"/>
  <c r="W128" i="12"/>
  <c r="W129" i="12"/>
  <c r="W130" i="12"/>
  <c r="W131" i="12"/>
  <c r="W132" i="12"/>
  <c r="W133" i="12"/>
  <c r="W134" i="12"/>
  <c r="W135" i="12"/>
  <c r="W136" i="12"/>
  <c r="W137" i="12"/>
  <c r="W138" i="12"/>
  <c r="W139" i="12"/>
  <c r="W140" i="12"/>
  <c r="W141" i="12"/>
  <c r="W142" i="12"/>
  <c r="W143" i="12"/>
  <c r="W144" i="12"/>
  <c r="W145" i="12"/>
  <c r="W146" i="12"/>
  <c r="W147" i="12"/>
  <c r="W148" i="12"/>
  <c r="W149" i="12"/>
  <c r="W150" i="12"/>
  <c r="W151" i="12"/>
  <c r="W152" i="12"/>
  <c r="W153" i="12"/>
  <c r="W154" i="12"/>
  <c r="W155" i="12"/>
  <c r="W156" i="12"/>
  <c r="W157" i="12"/>
  <c r="W158" i="12"/>
  <c r="W159" i="12"/>
  <c r="W160" i="12"/>
  <c r="W161" i="12"/>
  <c r="W162" i="12"/>
  <c r="W163" i="12"/>
  <c r="W164" i="12"/>
  <c r="W165" i="12"/>
  <c r="W166" i="12"/>
  <c r="W167" i="12"/>
  <c r="W168" i="12"/>
  <c r="W169" i="12"/>
  <c r="W170" i="12"/>
  <c r="W171" i="12"/>
  <c r="W172" i="12"/>
  <c r="W173" i="12"/>
  <c r="W174" i="12"/>
  <c r="W175" i="12"/>
  <c r="W176" i="12"/>
  <c r="W177" i="12"/>
  <c r="W178" i="12"/>
  <c r="W179" i="12"/>
  <c r="W180" i="12"/>
  <c r="W181" i="12"/>
  <c r="W182" i="12"/>
  <c r="W183" i="12"/>
  <c r="W184" i="12"/>
  <c r="W185" i="12"/>
  <c r="W186" i="12"/>
  <c r="W187" i="12"/>
  <c r="W188" i="12"/>
  <c r="W189" i="12"/>
  <c r="W190" i="12"/>
  <c r="W191" i="12"/>
  <c r="W192" i="12"/>
  <c r="W193" i="12"/>
  <c r="W194" i="12"/>
  <c r="W195" i="12"/>
  <c r="W196" i="12"/>
  <c r="W197" i="12"/>
  <c r="W198" i="12"/>
  <c r="W199" i="12"/>
  <c r="W200" i="12"/>
  <c r="W201" i="12"/>
  <c r="W202" i="12"/>
  <c r="W203" i="12"/>
  <c r="W204" i="12"/>
  <c r="W205" i="12"/>
  <c r="W206" i="12"/>
  <c r="W4" i="12"/>
  <c r="S37" i="12"/>
  <c r="S11" i="12"/>
  <c r="S163" i="12"/>
  <c r="S153" i="12"/>
  <c r="S82" i="12"/>
  <c r="S38" i="12"/>
  <c r="BW26" i="24"/>
  <c r="BW25" i="24"/>
  <c r="BW17" i="24"/>
  <c r="BW16" i="24"/>
  <c r="BW18" i="24" s="1"/>
  <c r="BW13" i="24"/>
  <c r="BW14" i="24" s="1"/>
  <c r="BW9" i="24"/>
  <c r="BW8" i="24"/>
  <c r="BW10" i="24" s="1"/>
  <c r="S144" i="12"/>
  <c r="S23" i="12"/>
  <c r="S24" i="12"/>
  <c r="S5" i="12"/>
  <c r="S6" i="12"/>
  <c r="S7" i="12"/>
  <c r="S8" i="12"/>
  <c r="S10" i="12"/>
  <c r="S13" i="12"/>
  <c r="S14" i="12"/>
  <c r="S15" i="12"/>
  <c r="S16" i="12"/>
  <c r="S17" i="12"/>
  <c r="S18" i="12"/>
  <c r="S19" i="12"/>
  <c r="S20" i="12"/>
  <c r="S21" i="12"/>
  <c r="S22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5" i="12"/>
  <c r="S146" i="12"/>
  <c r="S147" i="12"/>
  <c r="S148" i="12"/>
  <c r="S149" i="12"/>
  <c r="S150" i="12"/>
  <c r="S151" i="12"/>
  <c r="S152" i="12"/>
  <c r="S154" i="12"/>
  <c r="S155" i="12"/>
  <c r="S156" i="12"/>
  <c r="S157" i="12"/>
  <c r="S158" i="12"/>
  <c r="S159" i="12"/>
  <c r="S160" i="12"/>
  <c r="S161" i="12"/>
  <c r="S162" i="12"/>
  <c r="S164" i="12"/>
  <c r="S165" i="12"/>
  <c r="S166" i="12"/>
  <c r="S167" i="12"/>
  <c r="S168" i="12"/>
  <c r="S169" i="12"/>
  <c r="S170" i="12"/>
  <c r="S171" i="12"/>
  <c r="S172" i="12"/>
  <c r="S173" i="12"/>
  <c r="S174" i="12"/>
  <c r="S175" i="12"/>
  <c r="S176" i="12"/>
  <c r="S177" i="12"/>
  <c r="S178" i="12"/>
  <c r="S179" i="12"/>
  <c r="S180" i="12"/>
  <c r="S181" i="12"/>
  <c r="S182" i="12"/>
  <c r="S183" i="12"/>
  <c r="S184" i="12"/>
  <c r="S185" i="12"/>
  <c r="S186" i="12"/>
  <c r="S187" i="12"/>
  <c r="S188" i="12"/>
  <c r="S189" i="12"/>
  <c r="S190" i="12"/>
  <c r="S191" i="12"/>
  <c r="S192" i="12"/>
  <c r="S193" i="12"/>
  <c r="S194" i="12"/>
  <c r="S195" i="12"/>
  <c r="S196" i="12"/>
  <c r="S197" i="12"/>
  <c r="S198" i="12"/>
  <c r="S199" i="12"/>
  <c r="S200" i="12"/>
  <c r="S201" i="12"/>
  <c r="S202" i="12"/>
  <c r="S203" i="12"/>
  <c r="S204" i="12"/>
  <c r="S205" i="12"/>
  <c r="S206" i="12"/>
  <c r="S4" i="12"/>
  <c r="BW38" i="24"/>
  <c r="DG26" i="24"/>
  <c r="AA185" i="12" l="1"/>
  <c r="AB185" i="12" s="1"/>
  <c r="AA188" i="12"/>
  <c r="AB188" i="12" s="1"/>
  <c r="AA190" i="12"/>
  <c r="AB190" i="12" s="1"/>
  <c r="AA192" i="12"/>
  <c r="AB192" i="12" s="1"/>
  <c r="AA196" i="12"/>
  <c r="AB196" i="12" s="1"/>
  <c r="AA195" i="12"/>
  <c r="AB195" i="12" s="1"/>
  <c r="AA198" i="12"/>
  <c r="AB198" i="12" s="1"/>
  <c r="AA199" i="12"/>
  <c r="AB199" i="12" s="1"/>
  <c r="AA201" i="12"/>
  <c r="AB201" i="12" s="1"/>
  <c r="AA194" i="12"/>
  <c r="AB194" i="12" s="1"/>
  <c r="AA204" i="12"/>
  <c r="AB204" i="12" s="1"/>
  <c r="AA184" i="12"/>
  <c r="AB184" i="12" s="1"/>
  <c r="AA187" i="12"/>
  <c r="AB187" i="12" s="1"/>
  <c r="AA189" i="12"/>
  <c r="AB189" i="12" s="1"/>
  <c r="AA191" i="12"/>
  <c r="AB191" i="12" s="1"/>
  <c r="AA193" i="12"/>
  <c r="AB193" i="12" s="1"/>
  <c r="AA206" i="12"/>
  <c r="AB206" i="12" s="1"/>
  <c r="AA197" i="12"/>
  <c r="AB197" i="12" s="1"/>
  <c r="AA200" i="12"/>
  <c r="AB200" i="12" s="1"/>
  <c r="AA202" i="12"/>
  <c r="AB202" i="12" s="1"/>
  <c r="AA203" i="12"/>
  <c r="AB203" i="12" s="1"/>
  <c r="S2" i="12"/>
  <c r="BW19" i="24"/>
  <c r="BW20" i="24"/>
  <c r="BW11" i="24"/>
  <c r="DK26" i="24"/>
  <c r="DK25" i="24"/>
  <c r="DK17" i="24"/>
  <c r="DK16" i="24"/>
  <c r="DK13" i="24"/>
  <c r="DK9" i="24"/>
  <c r="DK8" i="24"/>
  <c r="DH26" i="24"/>
  <c r="DH25" i="24"/>
  <c r="DH17" i="24"/>
  <c r="DH16" i="24"/>
  <c r="DH13" i="24"/>
  <c r="DH9" i="24"/>
  <c r="DH8" i="24"/>
  <c r="CY26" i="24"/>
  <c r="CY25" i="24"/>
  <c r="CY17" i="24"/>
  <c r="CY16" i="24"/>
  <c r="CY13" i="24"/>
  <c r="CY9" i="24"/>
  <c r="CY8" i="24"/>
  <c r="DB26" i="24"/>
  <c r="DB25" i="24"/>
  <c r="DB17" i="24"/>
  <c r="DB16" i="24"/>
  <c r="DB13" i="24"/>
  <c r="DB9" i="24"/>
  <c r="DB8" i="24"/>
  <c r="CS26" i="24"/>
  <c r="CS25" i="24"/>
  <c r="CS17" i="24"/>
  <c r="CS16" i="24"/>
  <c r="CS13" i="24"/>
  <c r="CS9" i="24"/>
  <c r="CS8" i="24"/>
  <c r="CP26" i="24"/>
  <c r="CP25" i="24"/>
  <c r="CP17" i="24"/>
  <c r="CP16" i="24"/>
  <c r="CP13" i="24"/>
  <c r="CP9" i="24"/>
  <c r="CP8" i="24"/>
  <c r="CX16" i="24"/>
  <c r="CO9" i="24"/>
  <c r="DG16" i="24"/>
  <c r="CO8" i="24"/>
  <c r="CN37" i="24" s="1"/>
  <c r="DG13" i="24"/>
  <c r="DG9" i="24"/>
  <c r="CO25" i="24"/>
  <c r="DG8" i="24"/>
  <c r="DG25" i="24"/>
  <c r="CO16" i="24"/>
  <c r="DG17" i="24"/>
  <c r="CX26" i="24"/>
  <c r="CF17" i="24"/>
  <c r="CF26" i="24"/>
  <c r="CX13" i="24"/>
  <c r="CF25" i="24"/>
  <c r="CX9" i="24"/>
  <c r="CX8" i="24"/>
  <c r="CW36" i="24" s="1"/>
  <c r="CF13" i="24"/>
  <c r="CX25" i="24"/>
  <c r="CO26" i="24"/>
  <c r="CO17" i="24"/>
  <c r="CO13" i="24"/>
  <c r="CX17" i="24"/>
  <c r="CF16" i="24"/>
  <c r="AA205" i="12" l="1"/>
  <c r="AB205" i="12" s="1"/>
  <c r="BW21" i="24"/>
  <c r="BW22" i="24"/>
  <c r="DH14" i="24"/>
  <c r="DB18" i="24"/>
  <c r="DB20" i="24" s="1"/>
  <c r="DB21" i="24" s="1"/>
  <c r="DH18" i="24"/>
  <c r="CY14" i="24"/>
  <c r="CS14" i="24"/>
  <c r="CP10" i="24"/>
  <c r="CP11" i="24" s="1"/>
  <c r="DH10" i="24"/>
  <c r="DH11" i="24" s="1"/>
  <c r="CS18" i="24"/>
  <c r="CS19" i="24" s="1"/>
  <c r="CY18" i="24"/>
  <c r="DK18" i="24"/>
  <c r="DK20" i="24" s="1"/>
  <c r="DK21" i="24" s="1"/>
  <c r="DB14" i="24"/>
  <c r="CP18" i="24"/>
  <c r="CP19" i="24" s="1"/>
  <c r="CP14" i="24"/>
  <c r="CY10" i="24"/>
  <c r="CY11" i="24" s="1"/>
  <c r="DK10" i="24"/>
  <c r="DK11" i="24" s="1"/>
  <c r="DG18" i="24"/>
  <c r="DM16" i="24"/>
  <c r="DL16" i="24"/>
  <c r="DJ16" i="24"/>
  <c r="DI16" i="24"/>
  <c r="DJ17" i="24"/>
  <c r="DM17" i="24"/>
  <c r="DL17" i="24"/>
  <c r="DI17" i="24"/>
  <c r="DJ8" i="24"/>
  <c r="DI8" i="24"/>
  <c r="DG10" i="24"/>
  <c r="DM8" i="24"/>
  <c r="DL8" i="24"/>
  <c r="DI9" i="24"/>
  <c r="DJ9" i="24"/>
  <c r="DM9" i="24"/>
  <c r="DL9" i="24"/>
  <c r="DM25" i="24"/>
  <c r="DL25" i="24"/>
  <c r="DJ25" i="24"/>
  <c r="DI25" i="24"/>
  <c r="DL26" i="24"/>
  <c r="DM26" i="24"/>
  <c r="DI26" i="24"/>
  <c r="DG14" i="24"/>
  <c r="DM13" i="24"/>
  <c r="DL13" i="24"/>
  <c r="DJ13" i="24"/>
  <c r="DI13" i="24"/>
  <c r="DH20" i="24"/>
  <c r="DH21" i="24" s="1"/>
  <c r="DH19" i="24"/>
  <c r="DK14" i="24"/>
  <c r="DD25" i="24"/>
  <c r="DC25" i="24"/>
  <c r="DA25" i="24"/>
  <c r="CZ25" i="24"/>
  <c r="DA17" i="24"/>
  <c r="CZ17" i="24"/>
  <c r="DD17" i="24"/>
  <c r="DC17" i="24"/>
  <c r="DA8" i="24"/>
  <c r="CZ8" i="24"/>
  <c r="DC8" i="24"/>
  <c r="CX10" i="24"/>
  <c r="DD8" i="24"/>
  <c r="DA16" i="24"/>
  <c r="DD16" i="24"/>
  <c r="DC16" i="24"/>
  <c r="CX18" i="24"/>
  <c r="CZ16" i="24"/>
  <c r="DD9" i="24"/>
  <c r="DC9" i="24"/>
  <c r="CZ9" i="24"/>
  <c r="DA9" i="24"/>
  <c r="CX14" i="24"/>
  <c r="DD13" i="24"/>
  <c r="DC13" i="24"/>
  <c r="DA13" i="24"/>
  <c r="CZ13" i="24"/>
  <c r="DC26" i="24"/>
  <c r="DD26" i="24"/>
  <c r="CZ26" i="24"/>
  <c r="CY20" i="24"/>
  <c r="CY21" i="24" s="1"/>
  <c r="CY19" i="24"/>
  <c r="DB10" i="24"/>
  <c r="CU17" i="24"/>
  <c r="CR17" i="24"/>
  <c r="CQ17" i="24"/>
  <c r="CT17" i="24"/>
  <c r="CR8" i="24"/>
  <c r="CU8" i="24"/>
  <c r="CT8" i="24"/>
  <c r="CQ8" i="24"/>
  <c r="CO10" i="24"/>
  <c r="CO18" i="24"/>
  <c r="CU16" i="24"/>
  <c r="CR16" i="24"/>
  <c r="CQ16" i="24"/>
  <c r="CT16" i="24"/>
  <c r="CT9" i="24"/>
  <c r="CR9" i="24"/>
  <c r="CU9" i="24"/>
  <c r="CQ9" i="24"/>
  <c r="CT25" i="24"/>
  <c r="CR25" i="24"/>
  <c r="CQ25" i="24"/>
  <c r="CU25" i="24"/>
  <c r="CU26" i="24"/>
  <c r="CQ26" i="24"/>
  <c r="CT26" i="24"/>
  <c r="CO14" i="24"/>
  <c r="CU13" i="24"/>
  <c r="CT13" i="24"/>
  <c r="CR13" i="24"/>
  <c r="CQ13" i="24"/>
  <c r="CS10" i="24"/>
  <c r="BW27" i="24" l="1"/>
  <c r="BW28" i="24" s="1"/>
  <c r="BW23" i="24"/>
  <c r="CY22" i="24"/>
  <c r="CY23" i="24" s="1"/>
  <c r="DB19" i="24"/>
  <c r="CS20" i="24"/>
  <c r="CS21" i="24" s="1"/>
  <c r="CP20" i="24"/>
  <c r="CP21" i="24" s="1"/>
  <c r="DK19" i="24"/>
  <c r="DH22" i="24"/>
  <c r="DH23" i="24" s="1"/>
  <c r="DK22" i="24"/>
  <c r="DJ10" i="24"/>
  <c r="DG11" i="24"/>
  <c r="DM10" i="24"/>
  <c r="DI10" i="24"/>
  <c r="DL10" i="24"/>
  <c r="DJ18" i="24"/>
  <c r="DG20" i="24"/>
  <c r="DI18" i="24"/>
  <c r="DG19" i="24"/>
  <c r="DM18" i="24"/>
  <c r="DL18" i="24"/>
  <c r="DA10" i="24"/>
  <c r="CZ10" i="24"/>
  <c r="CX11" i="24"/>
  <c r="DD10" i="24"/>
  <c r="DC10" i="24"/>
  <c r="CX20" i="24"/>
  <c r="CZ18" i="24"/>
  <c r="CX19" i="24"/>
  <c r="DD18" i="24"/>
  <c r="DC18" i="24"/>
  <c r="DA18" i="24"/>
  <c r="DB22" i="24"/>
  <c r="DB11" i="24"/>
  <c r="CQ18" i="24"/>
  <c r="CO20" i="24"/>
  <c r="CO22" i="24" s="1"/>
  <c r="CO19" i="24"/>
  <c r="CU18" i="24"/>
  <c r="CT18" i="24"/>
  <c r="CR18" i="24"/>
  <c r="CS11" i="24"/>
  <c r="CS22" i="24"/>
  <c r="CR10" i="24"/>
  <c r="CU10" i="24"/>
  <c r="CQ10" i="24"/>
  <c r="CO11" i="24"/>
  <c r="CT10" i="24"/>
  <c r="CY27" i="24" l="1"/>
  <c r="CY28" i="24" s="1"/>
  <c r="CP22" i="24"/>
  <c r="DH27" i="24"/>
  <c r="DH28" i="24" s="1"/>
  <c r="DM20" i="24"/>
  <c r="DJ20" i="24"/>
  <c r="DG21" i="24"/>
  <c r="DL20" i="24"/>
  <c r="DI20" i="24"/>
  <c r="DG22" i="24"/>
  <c r="DK27" i="24"/>
  <c r="DK28" i="24" s="1"/>
  <c r="DK23" i="24"/>
  <c r="DB23" i="24"/>
  <c r="DB27" i="24"/>
  <c r="DB28" i="24" s="1"/>
  <c r="DA20" i="24"/>
  <c r="CX21" i="24"/>
  <c r="DD20" i="24"/>
  <c r="DC20" i="24"/>
  <c r="CZ20" i="24"/>
  <c r="CX22" i="24"/>
  <c r="CT22" i="24"/>
  <c r="CO23" i="24"/>
  <c r="CQ22" i="24"/>
  <c r="CO27" i="24"/>
  <c r="CR22" i="24"/>
  <c r="CU22" i="24"/>
  <c r="CS23" i="24"/>
  <c r="CS27" i="24"/>
  <c r="CS28" i="24" s="1"/>
  <c r="CO21" i="24"/>
  <c r="CR20" i="24"/>
  <c r="CQ20" i="24"/>
  <c r="CU20" i="24"/>
  <c r="CT20" i="24"/>
  <c r="CP23" i="24" l="1"/>
  <c r="CR23" i="24" s="1"/>
  <c r="CP27" i="24"/>
  <c r="CP28" i="24" s="1"/>
  <c r="DL22" i="24"/>
  <c r="DI22" i="24"/>
  <c r="DG27" i="24"/>
  <c r="DM22" i="24"/>
  <c r="DJ22" i="24"/>
  <c r="DG23" i="24"/>
  <c r="DJ23" i="24" s="1"/>
  <c r="DC22" i="24"/>
  <c r="DA22" i="24"/>
  <c r="DD22" i="24"/>
  <c r="CZ22" i="24"/>
  <c r="CX27" i="24"/>
  <c r="CX23" i="24"/>
  <c r="DA23" i="24" s="1"/>
  <c r="CU27" i="24"/>
  <c r="CT27" i="24"/>
  <c r="CO28" i="24"/>
  <c r="CR27" i="24"/>
  <c r="CQ27" i="24"/>
  <c r="DL27" i="24" l="1"/>
  <c r="DI27" i="24"/>
  <c r="DG28" i="24"/>
  <c r="DJ27" i="24"/>
  <c r="DM27" i="24"/>
  <c r="CX28" i="24"/>
  <c r="DD27" i="24"/>
  <c r="DA27" i="24"/>
  <c r="DC27" i="24"/>
  <c r="CZ27" i="24"/>
  <c r="CJ26" i="24" l="1"/>
  <c r="CJ25" i="24"/>
  <c r="CJ17" i="24"/>
  <c r="CK17" i="24" s="1"/>
  <c r="CJ16" i="24"/>
  <c r="CJ13" i="24"/>
  <c r="CJ9" i="24"/>
  <c r="CJ8" i="24"/>
  <c r="CA26" i="24"/>
  <c r="CA25" i="24"/>
  <c r="CA17" i="24"/>
  <c r="CA16" i="24"/>
  <c r="CA13" i="24"/>
  <c r="CA9" i="24"/>
  <c r="CA8" i="24"/>
  <c r="CG26" i="24"/>
  <c r="CG25" i="24"/>
  <c r="CG17" i="24"/>
  <c r="CG16" i="24"/>
  <c r="CG13" i="24"/>
  <c r="CG9" i="24"/>
  <c r="CG8" i="24"/>
  <c r="CG10" i="24" s="1"/>
  <c r="BX17" i="24"/>
  <c r="CF9" i="24"/>
  <c r="CF8" i="24"/>
  <c r="CE38" i="24" s="1"/>
  <c r="AA4" i="12" l="1"/>
  <c r="AB4" i="12" s="1"/>
  <c r="AA5" i="12"/>
  <c r="AB5" i="12" s="1"/>
  <c r="AA6" i="12"/>
  <c r="AB6" i="12" s="1"/>
  <c r="AA8" i="12"/>
  <c r="AB8" i="12" s="1"/>
  <c r="AA9" i="12"/>
  <c r="AB9" i="12" s="1"/>
  <c r="AA10" i="12"/>
  <c r="AB10" i="12" s="1"/>
  <c r="AA11" i="12"/>
  <c r="AB11" i="12" s="1"/>
  <c r="AA12" i="12"/>
  <c r="AB12" i="12" s="1"/>
  <c r="AA13" i="12"/>
  <c r="AB13" i="12" s="1"/>
  <c r="AA14" i="12"/>
  <c r="AB14" i="12" s="1"/>
  <c r="AA15" i="12"/>
  <c r="AB15" i="12" s="1"/>
  <c r="AA16" i="12"/>
  <c r="AB16" i="12" s="1"/>
  <c r="AA17" i="12"/>
  <c r="AB17" i="12" s="1"/>
  <c r="AA18" i="12"/>
  <c r="AB18" i="12" s="1"/>
  <c r="AA19" i="12"/>
  <c r="AB19" i="12" s="1"/>
  <c r="AA20" i="12"/>
  <c r="AB20" i="12" s="1"/>
  <c r="AA21" i="12"/>
  <c r="AB21" i="12" s="1"/>
  <c r="AA22" i="12"/>
  <c r="AB22" i="12" s="1"/>
  <c r="AA23" i="12"/>
  <c r="AB23" i="12" s="1"/>
  <c r="AA25" i="12"/>
  <c r="AB25" i="12" s="1"/>
  <c r="AA24" i="12"/>
  <c r="AB24" i="12" s="1"/>
  <c r="AA26" i="12"/>
  <c r="AB26" i="12" s="1"/>
  <c r="AA27" i="12"/>
  <c r="AB27" i="12" s="1"/>
  <c r="AA28" i="12"/>
  <c r="AB28" i="12" s="1"/>
  <c r="AA29" i="12"/>
  <c r="AB29" i="12" s="1"/>
  <c r="AA30" i="12"/>
  <c r="AB30" i="12" s="1"/>
  <c r="AA31" i="12"/>
  <c r="AB31" i="12" s="1"/>
  <c r="AA32" i="12"/>
  <c r="AB32" i="12" s="1"/>
  <c r="AA33" i="12"/>
  <c r="AB33" i="12" s="1"/>
  <c r="AA34" i="12"/>
  <c r="AB34" i="12" s="1"/>
  <c r="AA35" i="12"/>
  <c r="AB35" i="12" s="1"/>
  <c r="AA36" i="12"/>
  <c r="AB36" i="12" s="1"/>
  <c r="AA37" i="12"/>
  <c r="AB37" i="12" s="1"/>
  <c r="AA38" i="12"/>
  <c r="AB38" i="12" s="1"/>
  <c r="AA39" i="12"/>
  <c r="AB39" i="12" s="1"/>
  <c r="AA40" i="12"/>
  <c r="AB40" i="12" s="1"/>
  <c r="AA7" i="12"/>
  <c r="AB7" i="12" s="1"/>
  <c r="AA41" i="12"/>
  <c r="AB41" i="12" s="1"/>
  <c r="AA42" i="12"/>
  <c r="AB42" i="12" s="1"/>
  <c r="AA43" i="12"/>
  <c r="AB43" i="12" s="1"/>
  <c r="AA44" i="12"/>
  <c r="AB44" i="12" s="1"/>
  <c r="AA45" i="12"/>
  <c r="AB45" i="12" s="1"/>
  <c r="AA46" i="12"/>
  <c r="AB46" i="12" s="1"/>
  <c r="AA47" i="12"/>
  <c r="AB47" i="12" s="1"/>
  <c r="AA48" i="12"/>
  <c r="AB48" i="12" s="1"/>
  <c r="AA49" i="12"/>
  <c r="AB49" i="12" s="1"/>
  <c r="AA50" i="12"/>
  <c r="AB50" i="12" s="1"/>
  <c r="AA51" i="12"/>
  <c r="AB51" i="12" s="1"/>
  <c r="AA52" i="12"/>
  <c r="AB52" i="12" s="1"/>
  <c r="AA53" i="12"/>
  <c r="AB53" i="12" s="1"/>
  <c r="AA54" i="12"/>
  <c r="AB54" i="12" s="1"/>
  <c r="AA55" i="12"/>
  <c r="AB55" i="12" s="1"/>
  <c r="AA56" i="12"/>
  <c r="AB56" i="12" s="1"/>
  <c r="AA57" i="12"/>
  <c r="AB57" i="12" s="1"/>
  <c r="AA58" i="12"/>
  <c r="AB58" i="12" s="1"/>
  <c r="AA59" i="12"/>
  <c r="AB59" i="12" s="1"/>
  <c r="AA60" i="12"/>
  <c r="AB60" i="12" s="1"/>
  <c r="AA61" i="12"/>
  <c r="AB61" i="12" s="1"/>
  <c r="AA62" i="12"/>
  <c r="AB62" i="12" s="1"/>
  <c r="AA63" i="12"/>
  <c r="AB63" i="12" s="1"/>
  <c r="AA64" i="12"/>
  <c r="AB64" i="12" s="1"/>
  <c r="AA65" i="12"/>
  <c r="AB65" i="12" s="1"/>
  <c r="AA66" i="12"/>
  <c r="AB66" i="12" s="1"/>
  <c r="AA67" i="12"/>
  <c r="AB67" i="12" s="1"/>
  <c r="AA68" i="12"/>
  <c r="AB68" i="12" s="1"/>
  <c r="AA69" i="12"/>
  <c r="AB69" i="12" s="1"/>
  <c r="AA70" i="12"/>
  <c r="AB70" i="12" s="1"/>
  <c r="AA71" i="12"/>
  <c r="AB71" i="12" s="1"/>
  <c r="AA72" i="12"/>
  <c r="AB72" i="12" s="1"/>
  <c r="AA73" i="12"/>
  <c r="AB73" i="12" s="1"/>
  <c r="AA74" i="12"/>
  <c r="AB74" i="12" s="1"/>
  <c r="AA75" i="12"/>
  <c r="AB75" i="12" s="1"/>
  <c r="AA76" i="12"/>
  <c r="AB76" i="12" s="1"/>
  <c r="AA77" i="12"/>
  <c r="AB77" i="12" s="1"/>
  <c r="AA78" i="12"/>
  <c r="AB78" i="12" s="1"/>
  <c r="AA79" i="12"/>
  <c r="AB79" i="12" s="1"/>
  <c r="AA80" i="12"/>
  <c r="AB80" i="12" s="1"/>
  <c r="AA81" i="12"/>
  <c r="AB81" i="12" s="1"/>
  <c r="AA82" i="12"/>
  <c r="AB82" i="12" s="1"/>
  <c r="AA83" i="12"/>
  <c r="AB83" i="12" s="1"/>
  <c r="AA84" i="12"/>
  <c r="AB84" i="12" s="1"/>
  <c r="AA85" i="12"/>
  <c r="AB85" i="12" s="1"/>
  <c r="AA86" i="12"/>
  <c r="AB86" i="12" s="1"/>
  <c r="AA87" i="12"/>
  <c r="AB87" i="12" s="1"/>
  <c r="AA88" i="12"/>
  <c r="AB88" i="12" s="1"/>
  <c r="AA89" i="12"/>
  <c r="AB89" i="12" s="1"/>
  <c r="AA90" i="12"/>
  <c r="AB90" i="12" s="1"/>
  <c r="AA91" i="12"/>
  <c r="AB91" i="12" s="1"/>
  <c r="AA92" i="12"/>
  <c r="AB92" i="12" s="1"/>
  <c r="AA93" i="12"/>
  <c r="AB93" i="12" s="1"/>
  <c r="AA94" i="12"/>
  <c r="AB94" i="12" s="1"/>
  <c r="AA95" i="12"/>
  <c r="AB95" i="12" s="1"/>
  <c r="AA96" i="12"/>
  <c r="AB96" i="12" s="1"/>
  <c r="AA97" i="12"/>
  <c r="AB97" i="12" s="1"/>
  <c r="AA98" i="12"/>
  <c r="AB98" i="12" s="1"/>
  <c r="AA99" i="12"/>
  <c r="AB99" i="12" s="1"/>
  <c r="AA100" i="12"/>
  <c r="AB100" i="12" s="1"/>
  <c r="AA101" i="12"/>
  <c r="AB101" i="12" s="1"/>
  <c r="AA102" i="12"/>
  <c r="AB102" i="12" s="1"/>
  <c r="AA103" i="12"/>
  <c r="AB103" i="12" s="1"/>
  <c r="AA104" i="12"/>
  <c r="AB104" i="12" s="1"/>
  <c r="AA105" i="12"/>
  <c r="AB105" i="12" s="1"/>
  <c r="AA106" i="12"/>
  <c r="AB106" i="12" s="1"/>
  <c r="AA107" i="12"/>
  <c r="AB107" i="12" s="1"/>
  <c r="AA108" i="12"/>
  <c r="AB108" i="12" s="1"/>
  <c r="AA109" i="12"/>
  <c r="AB109" i="12" s="1"/>
  <c r="AA115" i="12"/>
  <c r="AB115" i="12" s="1"/>
  <c r="AA110" i="12"/>
  <c r="AB110" i="12" s="1"/>
  <c r="AA111" i="12"/>
  <c r="AB111" i="12" s="1"/>
  <c r="AA117" i="12"/>
  <c r="AB117" i="12" s="1"/>
  <c r="AA118" i="12"/>
  <c r="AB118" i="12" s="1"/>
  <c r="AA119" i="12"/>
  <c r="AB119" i="12" s="1"/>
  <c r="AA112" i="12"/>
  <c r="AB112" i="12" s="1"/>
  <c r="AA120" i="12"/>
  <c r="AB120" i="12" s="1"/>
  <c r="AA121" i="12"/>
  <c r="AB121" i="12" s="1"/>
  <c r="AA122" i="12"/>
  <c r="AB122" i="12" s="1"/>
  <c r="AA113" i="12"/>
  <c r="AB113" i="12" s="1"/>
  <c r="AA123" i="12"/>
  <c r="AB123" i="12" s="1"/>
  <c r="AA114" i="12"/>
  <c r="AB114" i="12" s="1"/>
  <c r="AA124" i="12"/>
  <c r="AB124" i="12" s="1"/>
  <c r="AA125" i="12"/>
  <c r="AB125" i="12" s="1"/>
  <c r="AA126" i="12"/>
  <c r="AB126" i="12" s="1"/>
  <c r="AA116" i="12"/>
  <c r="AB116" i="12" s="1"/>
  <c r="AA127" i="12"/>
  <c r="AB127" i="12" s="1"/>
  <c r="AA128" i="12"/>
  <c r="AB128" i="12" s="1"/>
  <c r="AA129" i="12"/>
  <c r="AB129" i="12" s="1"/>
  <c r="AA130" i="12"/>
  <c r="AB130" i="12" s="1"/>
  <c r="AA131" i="12"/>
  <c r="AB131" i="12" s="1"/>
  <c r="AA132" i="12"/>
  <c r="AB132" i="12" s="1"/>
  <c r="AA133" i="12"/>
  <c r="AB133" i="12" s="1"/>
  <c r="AA134" i="12"/>
  <c r="AB134" i="12" s="1"/>
  <c r="AA135" i="12"/>
  <c r="AB135" i="12" s="1"/>
  <c r="AA136" i="12"/>
  <c r="AB136" i="12" s="1"/>
  <c r="AA137" i="12"/>
  <c r="AB137" i="12" s="1"/>
  <c r="AA138" i="12"/>
  <c r="AB138" i="12" s="1"/>
  <c r="AA139" i="12"/>
  <c r="AB139" i="12" s="1"/>
  <c r="AA140" i="12"/>
  <c r="AB140" i="12" s="1"/>
  <c r="AA141" i="12"/>
  <c r="AB141" i="12" s="1"/>
  <c r="AA142" i="12"/>
  <c r="AB142" i="12" s="1"/>
  <c r="AA143" i="12"/>
  <c r="AB143" i="12" s="1"/>
  <c r="AA144" i="12"/>
  <c r="AB144" i="12" s="1"/>
  <c r="AA145" i="12"/>
  <c r="AB145" i="12" s="1"/>
  <c r="AA146" i="12"/>
  <c r="AB146" i="12" s="1"/>
  <c r="AA147" i="12"/>
  <c r="AB147" i="12" s="1"/>
  <c r="AA148" i="12"/>
  <c r="AB148" i="12" s="1"/>
  <c r="AA149" i="12"/>
  <c r="AB149" i="12" s="1"/>
  <c r="AA150" i="12"/>
  <c r="AB150" i="12" s="1"/>
  <c r="AA151" i="12"/>
  <c r="AB151" i="12" s="1"/>
  <c r="AA152" i="12"/>
  <c r="AB152" i="12" s="1"/>
  <c r="AA153" i="12"/>
  <c r="AB153" i="12" s="1"/>
  <c r="AA154" i="12"/>
  <c r="AB154" i="12" s="1"/>
  <c r="AA155" i="12"/>
  <c r="AB155" i="12" s="1"/>
  <c r="AA156" i="12"/>
  <c r="AB156" i="12" s="1"/>
  <c r="AA157" i="12"/>
  <c r="AB157" i="12" s="1"/>
  <c r="AA158" i="12"/>
  <c r="AB158" i="12" s="1"/>
  <c r="AA159" i="12"/>
  <c r="AB159" i="12" s="1"/>
  <c r="AA160" i="12"/>
  <c r="AB160" i="12" s="1"/>
  <c r="AA161" i="12"/>
  <c r="AB161" i="12" s="1"/>
  <c r="AA162" i="12"/>
  <c r="AB162" i="12" s="1"/>
  <c r="AA163" i="12"/>
  <c r="AB163" i="12" s="1"/>
  <c r="AA164" i="12"/>
  <c r="AB164" i="12" s="1"/>
  <c r="AA165" i="12"/>
  <c r="AB165" i="12" s="1"/>
  <c r="AA166" i="12"/>
  <c r="AB166" i="12" s="1"/>
  <c r="AA167" i="12"/>
  <c r="AB167" i="12" s="1"/>
  <c r="AA168" i="12"/>
  <c r="AB168" i="12" s="1"/>
  <c r="AA169" i="12"/>
  <c r="AB169" i="12" s="1"/>
  <c r="AA170" i="12"/>
  <c r="AB170" i="12" s="1"/>
  <c r="AA171" i="12"/>
  <c r="AB171" i="12" s="1"/>
  <c r="AA172" i="12"/>
  <c r="AB172" i="12" s="1"/>
  <c r="AA173" i="12"/>
  <c r="AB173" i="12" s="1"/>
  <c r="AA174" i="12"/>
  <c r="AB174" i="12" s="1"/>
  <c r="AA175" i="12"/>
  <c r="AB175" i="12" s="1"/>
  <c r="AA176" i="12"/>
  <c r="AB176" i="12" s="1"/>
  <c r="AA177" i="12"/>
  <c r="AB177" i="12" s="1"/>
  <c r="AA178" i="12"/>
  <c r="AB178" i="12" s="1"/>
  <c r="AA179" i="12"/>
  <c r="AB179" i="12" s="1"/>
  <c r="AA180" i="12"/>
  <c r="AB180" i="12" s="1"/>
  <c r="AA181" i="12"/>
  <c r="AB181" i="12" s="1"/>
  <c r="AA182" i="12"/>
  <c r="AB182" i="12" s="1"/>
  <c r="CJ10" i="24"/>
  <c r="CJ11" i="24" s="1"/>
  <c r="CJ14" i="24"/>
  <c r="CJ18" i="24"/>
  <c r="CL9" i="24"/>
  <c r="CI9" i="24"/>
  <c r="CJ20" i="24"/>
  <c r="CJ21" i="24" s="1"/>
  <c r="CJ19" i="24"/>
  <c r="CL17" i="24"/>
  <c r="CG14" i="24"/>
  <c r="CG18" i="24"/>
  <c r="CG20" i="24" s="1"/>
  <c r="CG21" i="24" s="1"/>
  <c r="CI17" i="24"/>
  <c r="CL25" i="24"/>
  <c r="CH25" i="24"/>
  <c r="CK25" i="24"/>
  <c r="CI25" i="24"/>
  <c r="CL16" i="24"/>
  <c r="CF18" i="24"/>
  <c r="CK16" i="24"/>
  <c r="CI16" i="24"/>
  <c r="CH16" i="24"/>
  <c r="CF14" i="24"/>
  <c r="CL13" i="24"/>
  <c r="CK13" i="24"/>
  <c r="CI13" i="24"/>
  <c r="CH13" i="24"/>
  <c r="CH8" i="24"/>
  <c r="CF10" i="24"/>
  <c r="CK8" i="24"/>
  <c r="CI8" i="24"/>
  <c r="CL8" i="24"/>
  <c r="CH26" i="24"/>
  <c r="CK26" i="24"/>
  <c r="CL26" i="24"/>
  <c r="CG11" i="24"/>
  <c r="CH9" i="24"/>
  <c r="CK9" i="24"/>
  <c r="CH17" i="24"/>
  <c r="BX26" i="24"/>
  <c r="BX25" i="24"/>
  <c r="BX16" i="24"/>
  <c r="BX13" i="24"/>
  <c r="BX9" i="24"/>
  <c r="BY9" i="24" s="1"/>
  <c r="BX8" i="24"/>
  <c r="CA10" i="24"/>
  <c r="CB9" i="24"/>
  <c r="CA18" i="24"/>
  <c r="BY17" i="24"/>
  <c r="CG19" i="24" l="1"/>
  <c r="CB17" i="24"/>
  <c r="CB13" i="24"/>
  <c r="CB26" i="24"/>
  <c r="CC25" i="24"/>
  <c r="BY13" i="24"/>
  <c r="BY16" i="24"/>
  <c r="BY25" i="24"/>
  <c r="BY26" i="24"/>
  <c r="BY8" i="24"/>
  <c r="CJ22" i="24"/>
  <c r="CG22" i="24"/>
  <c r="CG23" i="24" s="1"/>
  <c r="CF20" i="24"/>
  <c r="CK18" i="24"/>
  <c r="CL18" i="24"/>
  <c r="CF19" i="24"/>
  <c r="CI18" i="24"/>
  <c r="CH18" i="24"/>
  <c r="CI10" i="24"/>
  <c r="CH10" i="24"/>
  <c r="CF11" i="24"/>
  <c r="CK10" i="24"/>
  <c r="CL10" i="24"/>
  <c r="CA14" i="24"/>
  <c r="CC8" i="24"/>
  <c r="CB8" i="24"/>
  <c r="CA20" i="24"/>
  <c r="CA19" i="24"/>
  <c r="CA11" i="24"/>
  <c r="BX18" i="24"/>
  <c r="BX14" i="24"/>
  <c r="BX10" i="24"/>
  <c r="BZ25" i="24"/>
  <c r="CC17" i="24"/>
  <c r="CC13" i="24"/>
  <c r="CC9" i="24"/>
  <c r="BZ17" i="24"/>
  <c r="BZ13" i="24"/>
  <c r="BZ9" i="24"/>
  <c r="CC26" i="24"/>
  <c r="CC16" i="24"/>
  <c r="CB16" i="24"/>
  <c r="BZ16" i="24"/>
  <c r="BZ8" i="24"/>
  <c r="CB25" i="24"/>
  <c r="O19" i="18"/>
  <c r="L17" i="18"/>
  <c r="L18" i="18" s="1"/>
  <c r="M17" i="18"/>
  <c r="M18" i="18" s="1"/>
  <c r="N17" i="18"/>
  <c r="N18" i="18" s="1"/>
  <c r="O17" i="18"/>
  <c r="O18" i="18" s="1"/>
  <c r="CJ27" i="24" l="1"/>
  <c r="CJ28" i="24" s="1"/>
  <c r="CJ23" i="24"/>
  <c r="CG27" i="24"/>
  <c r="CG28" i="24" s="1"/>
  <c r="CI20" i="24"/>
  <c r="CH20" i="24"/>
  <c r="CF21" i="24"/>
  <c r="CL20" i="24"/>
  <c r="CK20" i="24"/>
  <c r="CF22" i="24"/>
  <c r="CA21" i="24"/>
  <c r="CA22" i="24"/>
  <c r="BX20" i="24"/>
  <c r="BX22" i="24" s="1"/>
  <c r="BX19" i="24"/>
  <c r="BX11" i="24"/>
  <c r="J17" i="18"/>
  <c r="J18" i="18" s="1"/>
  <c r="K17" i="18"/>
  <c r="K18" i="18" s="1"/>
  <c r="B210" i="19"/>
  <c r="B215" i="19" s="1"/>
  <c r="CK22" i="24" l="1"/>
  <c r="CI22" i="24"/>
  <c r="CH22" i="24"/>
  <c r="CF27" i="24"/>
  <c r="CF23" i="24"/>
  <c r="CI23" i="24" s="1"/>
  <c r="CL22" i="24"/>
  <c r="BX23" i="24"/>
  <c r="BX27" i="24"/>
  <c r="BX21" i="24"/>
  <c r="CA27" i="24"/>
  <c r="CA23" i="24"/>
  <c r="R2" i="12"/>
  <c r="CI27" i="24" l="1"/>
  <c r="CF28" i="24"/>
  <c r="CL27" i="24"/>
  <c r="CK27" i="24"/>
  <c r="CH27" i="24"/>
  <c r="CA28" i="24"/>
  <c r="BX28" i="24"/>
  <c r="CB10" i="24" l="1"/>
  <c r="CC10" i="24"/>
  <c r="BZ10" i="24"/>
  <c r="BY10" i="24"/>
  <c r="CB18" i="24"/>
  <c r="CC18" i="24"/>
  <c r="BY18" i="24"/>
  <c r="BZ18" i="24"/>
  <c r="CB20" i="24" l="1"/>
  <c r="CC20" i="24"/>
  <c r="BZ20" i="24"/>
  <c r="BY20" i="24"/>
  <c r="Q2" i="12"/>
  <c r="P2" i="12"/>
  <c r="CB22" i="24" l="1"/>
  <c r="CC22" i="24"/>
  <c r="BZ22" i="24"/>
  <c r="BY22" i="24"/>
  <c r="BZ23" i="24"/>
  <c r="CB27" i="24" l="1"/>
  <c r="CC27" i="24"/>
  <c r="BY27" i="24"/>
  <c r="BZ27" i="24"/>
  <c r="D17" i="18"/>
  <c r="D18" i="18" s="1"/>
  <c r="E17" i="18"/>
  <c r="E18" i="18" s="1"/>
  <c r="F17" i="18"/>
  <c r="F18" i="18" s="1"/>
  <c r="G17" i="18"/>
  <c r="G18" i="18" s="1"/>
  <c r="H17" i="18"/>
  <c r="H18" i="18" s="1"/>
  <c r="I17" i="18"/>
  <c r="I18" i="18" s="1"/>
  <c r="C17" i="18"/>
  <c r="C18" i="18" s="1"/>
  <c r="O2" i="12" l="1"/>
  <c r="G157" i="21" s="1"/>
  <c r="G156" i="21"/>
  <c r="H3" i="21"/>
  <c r="I3" i="21" s="1"/>
  <c r="H4" i="21"/>
  <c r="H5" i="21"/>
  <c r="H6" i="21"/>
  <c r="I6" i="21" s="1"/>
  <c r="H7" i="21"/>
  <c r="I7" i="21" s="1"/>
  <c r="H8" i="21"/>
  <c r="H9" i="21"/>
  <c r="I9" i="21" s="1"/>
  <c r="H10" i="21"/>
  <c r="I10" i="21" s="1"/>
  <c r="H11" i="21"/>
  <c r="I11" i="21" s="1"/>
  <c r="H12" i="21"/>
  <c r="I12" i="21" s="1"/>
  <c r="H13" i="21"/>
  <c r="H14" i="21"/>
  <c r="I14" i="21" s="1"/>
  <c r="H15" i="21"/>
  <c r="H16" i="21"/>
  <c r="H17" i="21"/>
  <c r="I17" i="21" s="1"/>
  <c r="H18" i="21"/>
  <c r="I18" i="21" s="1"/>
  <c r="H19" i="21"/>
  <c r="I19" i="21" s="1"/>
  <c r="H20" i="21"/>
  <c r="I20" i="21" s="1"/>
  <c r="H21" i="21"/>
  <c r="I21" i="21" s="1"/>
  <c r="H22" i="21"/>
  <c r="I22" i="21" s="1"/>
  <c r="H23" i="21"/>
  <c r="I23" i="21" s="1"/>
  <c r="H24" i="21"/>
  <c r="I24" i="21" s="1"/>
  <c r="H25" i="21"/>
  <c r="H26" i="21"/>
  <c r="H27" i="21"/>
  <c r="H28" i="21"/>
  <c r="H29" i="21"/>
  <c r="H30" i="21"/>
  <c r="I30" i="21" s="1"/>
  <c r="H31" i="21"/>
  <c r="I31" i="21" s="1"/>
  <c r="H32" i="21"/>
  <c r="I32" i="21" s="1"/>
  <c r="H33" i="21"/>
  <c r="I33" i="21" s="1"/>
  <c r="H34" i="21"/>
  <c r="I34" i="21" s="1"/>
  <c r="H35" i="21"/>
  <c r="I35" i="21" s="1"/>
  <c r="H36" i="21"/>
  <c r="I36" i="21" s="1"/>
  <c r="H37" i="21"/>
  <c r="H38" i="21"/>
  <c r="I38" i="21" s="1"/>
  <c r="H39" i="21"/>
  <c r="I39" i="21" s="1"/>
  <c r="H40" i="21"/>
  <c r="I40" i="21" s="1"/>
  <c r="H41" i="21"/>
  <c r="I41" i="21" s="1"/>
  <c r="H42" i="21"/>
  <c r="I42" i="21" s="1"/>
  <c r="H43" i="21"/>
  <c r="I43" i="21" s="1"/>
  <c r="H44" i="21"/>
  <c r="I44" i="21" s="1"/>
  <c r="H45" i="21"/>
  <c r="H46" i="21"/>
  <c r="H47" i="21"/>
  <c r="I47" i="21" s="1"/>
  <c r="H48" i="21"/>
  <c r="I48" i="21" s="1"/>
  <c r="H49" i="21"/>
  <c r="I49" i="21" s="1"/>
  <c r="H50" i="21"/>
  <c r="H51" i="21"/>
  <c r="I51" i="21" s="1"/>
  <c r="H52" i="21"/>
  <c r="I52" i="21" s="1"/>
  <c r="H53" i="21"/>
  <c r="H54" i="21"/>
  <c r="I54" i="21" s="1"/>
  <c r="H55" i="21"/>
  <c r="I55" i="21" s="1"/>
  <c r="H56" i="21"/>
  <c r="I56" i="21" s="1"/>
  <c r="H57" i="21"/>
  <c r="I57" i="21" s="1"/>
  <c r="H58" i="21"/>
  <c r="I58" i="21" s="1"/>
  <c r="H59" i="21"/>
  <c r="I59" i="21" s="1"/>
  <c r="H60" i="21"/>
  <c r="I60" i="21" s="1"/>
  <c r="H61" i="21"/>
  <c r="H62" i="21"/>
  <c r="H63" i="21"/>
  <c r="I63" i="21" s="1"/>
  <c r="H64" i="21"/>
  <c r="H65" i="21"/>
  <c r="H66" i="21"/>
  <c r="H67" i="21"/>
  <c r="H68" i="21"/>
  <c r="I68" i="21" s="1"/>
  <c r="H69" i="21"/>
  <c r="H70" i="21"/>
  <c r="H71" i="21"/>
  <c r="I71" i="21" s="1"/>
  <c r="H72" i="21"/>
  <c r="I72" i="21" s="1"/>
  <c r="H73" i="21"/>
  <c r="H74" i="21"/>
  <c r="I74" i="21" s="1"/>
  <c r="H75" i="21"/>
  <c r="I75" i="21" s="1"/>
  <c r="H76" i="21"/>
  <c r="I76" i="21" s="1"/>
  <c r="H77" i="21"/>
  <c r="I77" i="21" s="1"/>
  <c r="H78" i="21"/>
  <c r="I78" i="21" s="1"/>
  <c r="H79" i="21"/>
  <c r="I79" i="21" s="1"/>
  <c r="H80" i="21"/>
  <c r="I80" i="21" s="1"/>
  <c r="H81" i="21"/>
  <c r="H82" i="21"/>
  <c r="I82" i="21" s="1"/>
  <c r="H83" i="21"/>
  <c r="I83" i="21" s="1"/>
  <c r="H84" i="21"/>
  <c r="H85" i="21"/>
  <c r="I85" i="21" s="1"/>
  <c r="H86" i="21"/>
  <c r="H87" i="21"/>
  <c r="H88" i="21"/>
  <c r="I88" i="21" s="1"/>
  <c r="H89" i="21"/>
  <c r="H90" i="21"/>
  <c r="H91" i="21"/>
  <c r="H92" i="21"/>
  <c r="I92" i="21" s="1"/>
  <c r="H93" i="21"/>
  <c r="H94" i="21"/>
  <c r="H95" i="21"/>
  <c r="I95" i="21" s="1"/>
  <c r="H96" i="21"/>
  <c r="I96" i="21" s="1"/>
  <c r="H97" i="21"/>
  <c r="I97" i="21" s="1"/>
  <c r="H98" i="21"/>
  <c r="I98" i="21" s="1"/>
  <c r="H99" i="21"/>
  <c r="H100" i="21"/>
  <c r="H101" i="21"/>
  <c r="H102" i="21"/>
  <c r="H103" i="21"/>
  <c r="I103" i="21" s="1"/>
  <c r="H104" i="21"/>
  <c r="H105" i="21"/>
  <c r="I105" i="21" s="1"/>
  <c r="H106" i="21"/>
  <c r="I106" i="21" s="1"/>
  <c r="H107" i="21"/>
  <c r="I107" i="21" s="1"/>
  <c r="H108" i="21"/>
  <c r="I108" i="21" s="1"/>
  <c r="H109" i="21"/>
  <c r="H110" i="21"/>
  <c r="I110" i="21" s="1"/>
  <c r="H111" i="21"/>
  <c r="I111" i="21" s="1"/>
  <c r="H112" i="21"/>
  <c r="H113" i="21"/>
  <c r="I113" i="21" s="1"/>
  <c r="H114" i="21"/>
  <c r="I114" i="21" s="1"/>
  <c r="H115" i="21"/>
  <c r="H116" i="21"/>
  <c r="I116" i="21" s="1"/>
  <c r="H117" i="21"/>
  <c r="I117" i="21" s="1"/>
  <c r="H118" i="21"/>
  <c r="H119" i="21"/>
  <c r="I119" i="21" s="1"/>
  <c r="H120" i="21"/>
  <c r="H121" i="21"/>
  <c r="I121" i="21" s="1"/>
  <c r="H122" i="21"/>
  <c r="I122" i="21" s="1"/>
  <c r="H123" i="21"/>
  <c r="I123" i="21" s="1"/>
  <c r="H124" i="21"/>
  <c r="I124" i="21" s="1"/>
  <c r="H125" i="21"/>
  <c r="I125" i="21" s="1"/>
  <c r="H126" i="21"/>
  <c r="H127" i="21"/>
  <c r="I127" i="21" s="1"/>
  <c r="H128" i="21"/>
  <c r="I128" i="21" s="1"/>
  <c r="H129" i="21"/>
  <c r="I129" i="21" s="1"/>
  <c r="H130" i="21"/>
  <c r="I130" i="21" s="1"/>
  <c r="H131" i="21"/>
  <c r="H132" i="21"/>
  <c r="I132" i="21" s="1"/>
  <c r="H133" i="21"/>
  <c r="I133" i="21" s="1"/>
  <c r="H134" i="21"/>
  <c r="I134" i="21" s="1"/>
  <c r="H135" i="21"/>
  <c r="I135" i="21" s="1"/>
  <c r="H136" i="21"/>
  <c r="I136" i="21" s="1"/>
  <c r="H137" i="21"/>
  <c r="I137" i="21" s="1"/>
  <c r="H138" i="21"/>
  <c r="H139" i="21"/>
  <c r="I139" i="21" s="1"/>
  <c r="H140" i="21"/>
  <c r="I140" i="21" s="1"/>
  <c r="H141" i="21"/>
  <c r="I141" i="21" s="1"/>
  <c r="H142" i="21"/>
  <c r="H143" i="21"/>
  <c r="I143" i="21" s="1"/>
  <c r="H144" i="21"/>
  <c r="I144" i="21" s="1"/>
  <c r="H145" i="21"/>
  <c r="I145" i="21" s="1"/>
  <c r="H146" i="21"/>
  <c r="I146" i="21" s="1"/>
  <c r="H147" i="21"/>
  <c r="I147" i="21" s="1"/>
  <c r="H148" i="21"/>
  <c r="I148" i="21" s="1"/>
  <c r="H149" i="21"/>
  <c r="I149" i="21" s="1"/>
  <c r="H150" i="21"/>
  <c r="H151" i="21"/>
  <c r="H152" i="21"/>
  <c r="H153" i="21"/>
  <c r="I153" i="21" s="1"/>
  <c r="H154" i="21"/>
  <c r="H155" i="21"/>
  <c r="I155" i="21" s="1"/>
  <c r="H2" i="21"/>
  <c r="I2" i="21" s="1"/>
  <c r="N1" i="14"/>
  <c r="G158" i="21" l="1"/>
  <c r="I156" i="21"/>
  <c r="H156" i="21"/>
  <c r="L2" i="12" l="1"/>
  <c r="M2" i="12"/>
  <c r="N2" i="12"/>
  <c r="T2" i="12"/>
  <c r="U2" i="12"/>
  <c r="V2" i="12"/>
  <c r="K2" i="12"/>
  <c r="C35" i="16" l="1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L45" i="15"/>
  <c r="L44" i="15"/>
  <c r="L43" i="15"/>
  <c r="L42" i="15"/>
  <c r="L41" i="15"/>
  <c r="L40" i="15"/>
  <c r="L39" i="15"/>
  <c r="L38" i="15"/>
  <c r="L37" i="15"/>
  <c r="L36" i="15"/>
  <c r="L35" i="15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" i="15" s="1"/>
  <c r="L12" i="15"/>
  <c r="L11" i="15"/>
  <c r="L10" i="15"/>
  <c r="L9" i="15"/>
  <c r="L8" i="15"/>
  <c r="L7" i="15"/>
  <c r="L6" i="15"/>
  <c r="L5" i="15"/>
  <c r="L4" i="15"/>
  <c r="L3" i="15"/>
  <c r="W2" i="12" l="1"/>
  <c r="L15" i="8" l="1"/>
  <c r="L17" i="8" s="1"/>
  <c r="L18" i="8" s="1"/>
  <c r="E15" i="8"/>
  <c r="E16" i="8" s="1"/>
  <c r="I15" i="8"/>
  <c r="M15" i="8"/>
  <c r="K15" i="8"/>
  <c r="K17" i="8" s="1"/>
  <c r="J15" i="8"/>
  <c r="G15" i="8"/>
  <c r="B15" i="8"/>
  <c r="B16" i="8" s="1"/>
  <c r="I11" i="8"/>
  <c r="G11" i="8"/>
  <c r="F11" i="8"/>
  <c r="M11" i="8"/>
  <c r="J11" i="8"/>
  <c r="H11" i="8"/>
  <c r="E11" i="8"/>
  <c r="B11" i="8"/>
  <c r="J7" i="8"/>
  <c r="J8" i="8" s="1"/>
  <c r="G7" i="8"/>
  <c r="G8" i="8" s="1"/>
  <c r="D7" i="8"/>
  <c r="B7" i="8"/>
  <c r="N6" i="8"/>
  <c r="M7" i="8"/>
  <c r="M8" i="8" s="1"/>
  <c r="L7" i="8"/>
  <c r="F7" i="8"/>
  <c r="F8" i="8" s="1"/>
  <c r="E7" i="8"/>
  <c r="E8" i="8" s="1"/>
  <c r="C7" i="8"/>
  <c r="D8" i="8" l="1"/>
  <c r="C8" i="8"/>
  <c r="M16" i="8"/>
  <c r="M17" i="8"/>
  <c r="J16" i="8"/>
  <c r="J17" i="8"/>
  <c r="D11" i="8"/>
  <c r="N14" i="8"/>
  <c r="N13" i="8"/>
  <c r="D15" i="8"/>
  <c r="D16" i="8" s="1"/>
  <c r="N22" i="8"/>
  <c r="L11" i="8"/>
  <c r="F15" i="8"/>
  <c r="F17" i="8" s="1"/>
  <c r="F18" i="8" s="1"/>
  <c r="H15" i="8"/>
  <c r="H16" i="8" s="1"/>
  <c r="C11" i="8"/>
  <c r="H7" i="8"/>
  <c r="H8" i="8" s="1"/>
  <c r="I7" i="8"/>
  <c r="I8" i="8" s="1"/>
  <c r="N23" i="8"/>
  <c r="N5" i="8"/>
  <c r="N7" i="8" s="1"/>
  <c r="N8" i="8" s="1"/>
  <c r="N10" i="8"/>
  <c r="N11" i="8" s="1"/>
  <c r="G16" i="8"/>
  <c r="G17" i="8"/>
  <c r="G18" i="8" s="1"/>
  <c r="L8" i="8"/>
  <c r="L19" i="8"/>
  <c r="I16" i="8"/>
  <c r="I17" i="8"/>
  <c r="I18" i="8" s="1"/>
  <c r="I19" i="8"/>
  <c r="G19" i="8"/>
  <c r="B8" i="8"/>
  <c r="K11" i="8"/>
  <c r="B17" i="8"/>
  <c r="B18" i="8" s="1"/>
  <c r="K18" i="8"/>
  <c r="K16" i="8"/>
  <c r="K7" i="8"/>
  <c r="C15" i="8"/>
  <c r="E17" i="8"/>
  <c r="L16" i="8"/>
  <c r="N15" i="8" l="1"/>
  <c r="J18" i="8"/>
  <c r="J19" i="8"/>
  <c r="M18" i="8"/>
  <c r="M19" i="8"/>
  <c r="E18" i="8"/>
  <c r="E19" i="8"/>
  <c r="D17" i="8"/>
  <c r="F16" i="8"/>
  <c r="H17" i="8"/>
  <c r="E20" i="8"/>
  <c r="E24" i="8"/>
  <c r="E25" i="8" s="1"/>
  <c r="G20" i="8"/>
  <c r="G24" i="8"/>
  <c r="G25" i="8" s="1"/>
  <c r="I24" i="8"/>
  <c r="I25" i="8" s="1"/>
  <c r="I20" i="8"/>
  <c r="L20" i="8"/>
  <c r="L24" i="8"/>
  <c r="L25" i="8" s="1"/>
  <c r="B19" i="8"/>
  <c r="C16" i="8"/>
  <c r="C17" i="8"/>
  <c r="K8" i="8"/>
  <c r="K19" i="8"/>
  <c r="F19" i="8"/>
  <c r="N17" i="8" l="1"/>
  <c r="N16" i="8"/>
  <c r="J24" i="8"/>
  <c r="J25" i="8" s="1"/>
  <c r="J20" i="8"/>
  <c r="M20" i="8"/>
  <c r="M24" i="8"/>
  <c r="M25" i="8" s="1"/>
  <c r="H18" i="8"/>
  <c r="H19" i="8"/>
  <c r="D18" i="8"/>
  <c r="D19" i="8"/>
  <c r="C18" i="8"/>
  <c r="C19" i="8"/>
  <c r="F20" i="8"/>
  <c r="F24" i="8"/>
  <c r="F25" i="8" s="1"/>
  <c r="K24" i="8"/>
  <c r="K25" i="8" s="1"/>
  <c r="K20" i="8"/>
  <c r="B20" i="8"/>
  <c r="B24" i="8"/>
  <c r="B25" i="8" s="1"/>
  <c r="N19" i="8" l="1"/>
  <c r="N18" i="8"/>
  <c r="H20" i="8"/>
  <c r="H24" i="8"/>
  <c r="H25" i="8" s="1"/>
  <c r="D20" i="8"/>
  <c r="D24" i="8"/>
  <c r="D25" i="8" s="1"/>
  <c r="C20" i="8"/>
  <c r="C24" i="8"/>
  <c r="C25" i="8" s="1"/>
  <c r="N24" i="8" l="1"/>
  <c r="N25" i="8" s="1"/>
  <c r="N20" i="8"/>
</calcChain>
</file>

<file path=xl/sharedStrings.xml><?xml version="1.0" encoding="utf-8"?>
<sst xmlns="http://schemas.openxmlformats.org/spreadsheetml/2006/main" count="4192" uniqueCount="516">
  <si>
    <t>EUR</t>
  </si>
  <si>
    <t>Ventas</t>
  </si>
  <si>
    <t>COGS</t>
  </si>
  <si>
    <t>Gross Profit</t>
  </si>
  <si>
    <t>% Gross Margin</t>
  </si>
  <si>
    <t>Gastos de Personal</t>
  </si>
  <si>
    <t>% of Revenue</t>
  </si>
  <si>
    <t>Otros Ingresos Operativos</t>
  </si>
  <si>
    <t>Otros Gastos Operativos</t>
  </si>
  <si>
    <t>Operating Expenses</t>
  </si>
  <si>
    <t>Gastos Fijos</t>
  </si>
  <si>
    <t>Adjusted EBITDA</t>
  </si>
  <si>
    <t>% Adj. EBITDA Margin</t>
  </si>
  <si>
    <t>D&amp;A</t>
  </si>
  <si>
    <t>Other Gains/Losses</t>
  </si>
  <si>
    <t>Adjusted EBIT</t>
  </si>
  <si>
    <t>% EBIT Margin</t>
  </si>
  <si>
    <t>P&amp;L Mensual</t>
  </si>
  <si>
    <t>€ '000</t>
  </si>
  <si>
    <t>2026A</t>
  </si>
  <si>
    <t>2025A</t>
  </si>
  <si>
    <t>Variación</t>
  </si>
  <si>
    <t xml:space="preserve">% </t>
  </si>
  <si>
    <t>2026B</t>
  </si>
  <si>
    <t>%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</si>
  <si>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</si>
  <si>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</si>
  <si>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</si>
  <si>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</si>
  <si>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</si>
  <si>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</si>
  <si>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</si>
  <si>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</si>
  <si>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</si>
  <si>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</si>
  <si>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</si>
  <si>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</si>
  <si>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EXTRAITEMS </t>
  </si>
  <si>
    <t>MES</t>
  </si>
  <si>
    <t>RELLENAR</t>
  </si>
  <si>
    <t>EBIT</t>
  </si>
  <si>
    <t>Ene-26 - € '000</t>
  </si>
  <si>
    <t>CODIAGRO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</si>
  <si>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</si>
  <si>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</si>
  <si>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</si>
  <si>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</si>
  <si>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</si>
  <si>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</si>
  <si>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</si>
  <si>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</si>
  <si>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</si>
  <si>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</si>
  <si>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</si>
  <si>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</si>
  <si>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2025</t>
  </si>
  <si>
    <t>Sin Ext Item</t>
  </si>
  <si>
    <t>Suma de Importe ('000)</t>
  </si>
  <si>
    <t>Etiquetas de columna</t>
  </si>
  <si>
    <t>Etiquetas de fila</t>
  </si>
  <si>
    <t>Total general</t>
  </si>
  <si>
    <t>Gastos de personal</t>
  </si>
  <si>
    <t>n.a.</t>
  </si>
  <si>
    <t>Total</t>
  </si>
  <si>
    <t>700000000 - Ventas de mercaderías</t>
  </si>
  <si>
    <t>Periodo</t>
  </si>
  <si>
    <t>Empresa</t>
  </si>
  <si>
    <t>Nivel 1</t>
  </si>
  <si>
    <t>Nivel 2</t>
  </si>
  <si>
    <t>Nivel 3</t>
  </si>
  <si>
    <t>Nivel 4</t>
  </si>
  <si>
    <t>Nivel 5</t>
  </si>
  <si>
    <t>Cuenta</t>
  </si>
  <si>
    <t>Grupo Ext Item</t>
  </si>
  <si>
    <t>Codiagro</t>
  </si>
  <si>
    <t>RESULTADO DEL EJERCICIO</t>
  </si>
  <si>
    <t>RESULTADO ANTES DE IMPUESTOS</t>
  </si>
  <si>
    <t>RESULTADO DE LA EXPLOTACION</t>
  </si>
  <si>
    <t>1.- Importe neto de la cifra de negocios</t>
  </si>
  <si>
    <t>(700) Ventas</t>
  </si>
  <si>
    <t>(703) Ventas por subproductos y residuos</t>
  </si>
  <si>
    <t>(704) Venta de envases y embalajes</t>
  </si>
  <si>
    <t>704000000 - Ventas de envases y embalajes</t>
  </si>
  <si>
    <t>(705) Prestación de servicios</t>
  </si>
  <si>
    <t>705000001 - INGRESO POR GESTIÓN DE ENVASES</t>
  </si>
  <si>
    <t>(706) Dto. s/vtas p.p.</t>
  </si>
  <si>
    <t>(709) Bonificaciones s/ventas</t>
  </si>
  <si>
    <t>709000001 - PROVISION RAPPELS</t>
  </si>
  <si>
    <t>11.- Deterioro y resultado por enajenaciones del inmovilizado</t>
  </si>
  <si>
    <t>(771) Beneficios procedentes IM</t>
  </si>
  <si>
    <t>13.- Otros resultados</t>
  </si>
  <si>
    <t>(678) Gastos excepcionales PGC 2008</t>
  </si>
  <si>
    <t>678000000 - Gastos excepcionales</t>
  </si>
  <si>
    <t>(778) Ingresos excepcionales PGC 2008</t>
  </si>
  <si>
    <t>778000000 - Ingresos excepcionales</t>
  </si>
  <si>
    <t>2.- Variación de existencias</t>
  </si>
  <si>
    <t>(711) Variación de existencias de productos semiterminados</t>
  </si>
  <si>
    <t>(712) Variación de existencias producto terminado</t>
  </si>
  <si>
    <t>4.- Aprovisionamientos</t>
  </si>
  <si>
    <t>(601) Compras de materias primas</t>
  </si>
  <si>
    <t>601000000 - Compras de materias primas</t>
  </si>
  <si>
    <t>(602) Compras de otros aprovisionamientos</t>
  </si>
  <si>
    <t>602000001 - COMPRA DE ENVASES Y EMBALAJES</t>
  </si>
  <si>
    <t>602000002 - COMPRA DE ETIQUETAS</t>
  </si>
  <si>
    <t>602000003 - COMPRA DE PALETS</t>
  </si>
  <si>
    <t>602000004 - COMPRA MATERIAL DE LIMPIEZA</t>
  </si>
  <si>
    <t>602000005 - COMPRA MATERIAL DE OFICINA</t>
  </si>
  <si>
    <t>602000006 - COMPRA TAPONES DE ENVASES</t>
  </si>
  <si>
    <t>602000007 - COMPRAS LABORATORIO</t>
  </si>
  <si>
    <t>602000008 - RESPUESTOS PLANTA</t>
  </si>
  <si>
    <t>602000010 - COMPRA RIBBON</t>
  </si>
  <si>
    <t>602000011 - COMPRAS VARIAS PLANTA</t>
  </si>
  <si>
    <t>602000012 - REPUESTOS INFORMATICOS</t>
  </si>
  <si>
    <t>602000100 - ENVASES Y EMBALAJES A DEVOLVER</t>
  </si>
  <si>
    <t>(607) Trabajos realizados por otras empresas</t>
  </si>
  <si>
    <t>(611) Variación de existencias de materias primas</t>
  </si>
  <si>
    <t>(612) Variación de existencias envases/etiquetas</t>
  </si>
  <si>
    <t>5.- Otros ingresos de explotación</t>
  </si>
  <si>
    <t>(759) Otros ingresos de gestión</t>
  </si>
  <si>
    <t>6.- Gastos de personal</t>
  </si>
  <si>
    <t>(640) Sueldos y salarios</t>
  </si>
  <si>
    <t>640000000 - Sueldos y salarios</t>
  </si>
  <si>
    <t>640000200 - GASTO POR E. TRAB. TEMPORAL</t>
  </si>
  <si>
    <t>640000300 - PROVISION PAGAS EXTRAS</t>
  </si>
  <si>
    <t>(641) Indemnizaciones</t>
  </si>
  <si>
    <t>641000000 - Indemnizaciones</t>
  </si>
  <si>
    <t>641000007 - INDEMNIZACION MIGUEL BELLES</t>
  </si>
  <si>
    <t>(642) Seguridad social a cargo empresa</t>
  </si>
  <si>
    <t>(649) Otros gastos sociales</t>
  </si>
  <si>
    <t>649000000 - Otros gastos sociales</t>
  </si>
  <si>
    <t>649000001 - GASTOS COMERCIALES NIEVES RUIZ</t>
  </si>
  <si>
    <t>649000002 - GASTOS EMPR. ANTONIO ANDREU</t>
  </si>
  <si>
    <t>649000007 - GASTOS COMERCIALES J.PAREDES</t>
  </si>
  <si>
    <t>649000009 - GASTOS COMERCIALES J.A. GARCIA</t>
  </si>
  <si>
    <t>649000010 - GASTOS EMP. CURRO</t>
  </si>
  <si>
    <t>649000100 - GTOS. CURSOS PERSONAL</t>
  </si>
  <si>
    <t>649000101 - GTOS. SEG. Y RIESGOS PERSONAL</t>
  </si>
  <si>
    <t>649000103 - GASTOS COMBUSTIBLE TRAB.</t>
  </si>
  <si>
    <t>649100001 - GTOS. COMIDAS TRAB.</t>
  </si>
  <si>
    <t>649100002 - GASTOS TRAB. EMPRESA VARIOS</t>
  </si>
  <si>
    <t>7.- Otros gastos de explotación</t>
  </si>
  <si>
    <t>(620) Gastos de investigación y desarrollo</t>
  </si>
  <si>
    <t>620000002 - COMPRAS LABORATORIO</t>
  </si>
  <si>
    <t>620000003 - SUMINISTROS LABORATORIO</t>
  </si>
  <si>
    <t>620000004 - GTOS. ANALISIS LABORATORIOS</t>
  </si>
  <si>
    <t>(621) Arrendamientos y cánones</t>
  </si>
  <si>
    <t>621000001 - ALQUILER OFICINA CARTAGENA</t>
  </si>
  <si>
    <t>621000026 - ALQUILER RENTING 9319LCL CURRO</t>
  </si>
  <si>
    <t>621000045 - ALQUILER RENTING 3421-NJT PERE</t>
  </si>
  <si>
    <t>(622) Reparación/conservación/mantenimiento</t>
  </si>
  <si>
    <t>622000005 - REP. Y MANT. EQUIPOS SEGURIDAD</t>
  </si>
  <si>
    <t>622000007 - REP. Y MANT. HYUNDAI 0377CJG</t>
  </si>
  <si>
    <t>622000009 - REP. Y MANT. FURGONETA 2589CRJ</t>
  </si>
  <si>
    <t>622010200 - ALCAPLANT</t>
  </si>
  <si>
    <t>622010201 - REPARACIONES ALCAPLANT</t>
  </si>
  <si>
    <t>622010300 - SOLIDOS</t>
  </si>
  <si>
    <t>622010400 - LIQUIDOS</t>
  </si>
  <si>
    <t>622010500 - REPUESTOS MANT. VARIOS</t>
  </si>
  <si>
    <t>622010501 - REP. MANT. FONTANERIA</t>
  </si>
  <si>
    <t>(623) Servicios profesionales independientes</t>
  </si>
  <si>
    <t>623000001 - SERV. PROF. INDEPENDIENTES</t>
  </si>
  <si>
    <t>623000004 - GTOS. BCS. OKO</t>
  </si>
  <si>
    <t>623100002 - GASTOS MAURICIO ALISTE</t>
  </si>
  <si>
    <t>623100007 - GASTOS Y SUELDO MEHMET CILOGLU</t>
  </si>
  <si>
    <t>623100009 - COMISIONES ABEL SALAZAR</t>
  </si>
  <si>
    <t>623200001 - GASTOS MARCAS EN ESPAÑA</t>
  </si>
  <si>
    <t>623200005 - GASTOS MARCAS CHILE</t>
  </si>
  <si>
    <t>623200006 - MARCAS UNION EUROPEA</t>
  </si>
  <si>
    <t>623200011 - GASTOS MARCAS COLOMBIA</t>
  </si>
  <si>
    <t>623200021 - GASTOS MARCAS GUATEMALA</t>
  </si>
  <si>
    <t>623200024 - GASTOS MARCAS INTERNACIONALES</t>
  </si>
  <si>
    <t>623200037 - GASTOS MARCAS ESTADOS UNIDOS</t>
  </si>
  <si>
    <t>(624) Transportes ventas</t>
  </si>
  <si>
    <t>624000001 - TRANSPORTES NACIONAL</t>
  </si>
  <si>
    <t>624000002 - TRANSPORTE INTERNACIONAL</t>
  </si>
  <si>
    <t>624000003 - TRANSPORTES CANARIAS</t>
  </si>
  <si>
    <t>624000004 - GTOS. FLETE REP. AL CLIENTE</t>
  </si>
  <si>
    <t xml:space="preserve">624000005 - TTE. PAQUETERIA </t>
  </si>
  <si>
    <t>624000006 - TRANSPORTES IMPORTACIÓN</t>
  </si>
  <si>
    <t>624000007 - ENVIO MUESTRAS</t>
  </si>
  <si>
    <t>(625) Primas de seguros</t>
  </si>
  <si>
    <t>625000001 - SEGUROS VEHÍCULOS</t>
  </si>
  <si>
    <t>625000004 - SEGURO RESP. CIVIL</t>
  </si>
  <si>
    <t>625000005 - SEGUROS ACTIVIDAD</t>
  </si>
  <si>
    <t>(626) Servicios bancarios</t>
  </si>
  <si>
    <t>626000007 - GASTOS Y COMISIONES BBVA</t>
  </si>
  <si>
    <t>(627) Publicidad</t>
  </si>
  <si>
    <t>627000001 - GTOS. PUBLICIDAD EN INTERNET</t>
  </si>
  <si>
    <t>627000004 - RELACIONES PUBLICAS</t>
  </si>
  <si>
    <t>627000005 - INVITACIONES CLIENTES</t>
  </si>
  <si>
    <t>627000007 - FERIAS</t>
  </si>
  <si>
    <t>627000008 - MARKETING</t>
  </si>
  <si>
    <t>627000009 - ARTICULOS PUBLICIDAD</t>
  </si>
  <si>
    <t>(628) Suministros</t>
  </si>
  <si>
    <t>628000001 - SUMINISTROS INFORMATICOS</t>
  </si>
  <si>
    <t>628000002 - SUMINISTROS ELECTRICIDAD</t>
  </si>
  <si>
    <t>628000003 - SUMINISTROS AGUA</t>
  </si>
  <si>
    <t>628000005 - SUMINISTROS GASOLEO</t>
  </si>
  <si>
    <t>(629) Otros servicios</t>
  </si>
  <si>
    <t>629000001 - HOSPEDAJE WEB</t>
  </si>
  <si>
    <t>629000002 - OTROS GASTOS</t>
  </si>
  <si>
    <t>629000004 - GTOS. SERV. VIGILANCIA</t>
  </si>
  <si>
    <t>629000005 - GTOS. ANALISIS LABORATORIOS</t>
  </si>
  <si>
    <t>629000006 - GASTOS CORREOS</t>
  </si>
  <si>
    <t>629000007 - GASTOS RETIRADA DE RESIDUOS</t>
  </si>
  <si>
    <t>629000008 - CUOTAS ASOCIACIONES</t>
  </si>
  <si>
    <t>629000009 - SANCIONES Y MULTAS</t>
  </si>
  <si>
    <t>629000010 - GASTOS COMERCIALES</t>
  </si>
  <si>
    <t>629000011 - EPIS PERSONAL</t>
  </si>
  <si>
    <t>629000012 - GASTOS VARIOS PERSONAL</t>
  </si>
  <si>
    <t>629000013 - FORMACION NO BONIFICADA</t>
  </si>
  <si>
    <t>629000014 - ROPA LABORAL</t>
  </si>
  <si>
    <t>629100001 - GASTOS COMERCIALES PERE PORTA</t>
  </si>
  <si>
    <t>629100003 - GASTOS JAVIER PAREDES</t>
  </si>
  <si>
    <t>629100004 - GASTOS GARCIA</t>
  </si>
  <si>
    <t>629100005 - GASTOS IRENE</t>
  </si>
  <si>
    <t>629100006 - GASTOS ANTONIO ANDREU</t>
  </si>
  <si>
    <t>629100007 - GASTOS CURRO</t>
  </si>
  <si>
    <t>(631) Otros tributos</t>
  </si>
  <si>
    <t>631000006 - IMPUESTO PLASTICO NO RECICLADO</t>
  </si>
  <si>
    <t>(634) Ajustes negativos en la imposición indirecta</t>
  </si>
  <si>
    <t>634100000 - Ajustes negat. IVA circulante</t>
  </si>
  <si>
    <t>8.- Amortización del inmovilizado</t>
  </si>
  <si>
    <t>(681) Amortización del inmovilizado material</t>
  </si>
  <si>
    <t>681100000 - Amortización de construcciones</t>
  </si>
  <si>
    <t>681300000 - Amortización de maquinaria</t>
  </si>
  <si>
    <t>681600000 - Amortización de mobiliario</t>
  </si>
  <si>
    <t>RESULTADO FINANCIERO</t>
  </si>
  <si>
    <t>15.- Gastos financieros</t>
  </si>
  <si>
    <t>(662) Intereses de deudas con entidades de crédito</t>
  </si>
  <si>
    <t>(669) Otros gastos financieros</t>
  </si>
  <si>
    <t>669000007 - OTROS GTOS. DTO.EFECTOS BBVA</t>
  </si>
  <si>
    <t>669100002 - OTROS GTOS. FINAN. SABADELL</t>
  </si>
  <si>
    <t>669100007 - OTROS GTOS. FINAN. BBVA.</t>
  </si>
  <si>
    <t>669200002 - GTOS. COBRO EXPORT B.SABADELL</t>
  </si>
  <si>
    <t>669200007 - GTOS. COBRO EXPORT. BBVA</t>
  </si>
  <si>
    <t>17.- Diferencias de cambio</t>
  </si>
  <si>
    <t>(768) Diferencias positivas de cambio</t>
  </si>
  <si>
    <t>-</t>
  </si>
  <si>
    <t>Personal</t>
  </si>
  <si>
    <t>(641) Imdenizaciones</t>
  </si>
  <si>
    <t>Indemnizaciones</t>
  </si>
  <si>
    <t>Total 2026</t>
  </si>
  <si>
    <t>Fecha de contabilización</t>
  </si>
  <si>
    <t>Mes report</t>
  </si>
  <si>
    <t>Factura</t>
  </si>
  <si>
    <t>Cuenta contable</t>
  </si>
  <si>
    <t>Acreedor/Proveedor</t>
  </si>
  <si>
    <t>Detalle</t>
  </si>
  <si>
    <t>Importe €</t>
  </si>
  <si>
    <t>Comentarios</t>
  </si>
  <si>
    <t>Grupo EI</t>
  </si>
  <si>
    <t>NIEVES RUIZ CESPEDES</t>
  </si>
  <si>
    <t>FRANCISCO LAGOSTENA DE GUZMAN</t>
  </si>
  <si>
    <t>RAUL AMELA MELIA</t>
  </si>
  <si>
    <t>CARLOS BARREDA MAS</t>
  </si>
  <si>
    <t>Ext Item/Cap</t>
  </si>
  <si>
    <t>Normalización</t>
  </si>
  <si>
    <t>Mes</t>
  </si>
  <si>
    <t>Importe EUR</t>
  </si>
  <si>
    <t>Importe EUR ('000)</t>
  </si>
  <si>
    <t>Concepto</t>
  </si>
  <si>
    <t>Importe</t>
  </si>
  <si>
    <t>Importe ('000)</t>
  </si>
  <si>
    <t>INDEMNIZACION MIGUEL BELLES</t>
  </si>
  <si>
    <t>Costes Transacción</t>
  </si>
  <si>
    <t>440FVN25000044</t>
  </si>
  <si>
    <t>AUREN CORPORATE</t>
  </si>
  <si>
    <t>Asesoramiento</t>
  </si>
  <si>
    <t>Gastos periodos anteriores</t>
  </si>
  <si>
    <t>440FVN25000048</t>
  </si>
  <si>
    <t>440FVN25000070</t>
  </si>
  <si>
    <t>440FVN25000094</t>
  </si>
  <si>
    <t>Reparaciones extraordinarias</t>
  </si>
  <si>
    <t>440FVN25000118</t>
  </si>
  <si>
    <t>440FVN25000150</t>
  </si>
  <si>
    <t>440FVN25000171</t>
  </si>
  <si>
    <t>440FVN25000191</t>
  </si>
  <si>
    <t>Gastos Representación</t>
  </si>
  <si>
    <t>52/000095</t>
  </si>
  <si>
    <t>VILLARREAL CLUB DE FUTBOL</t>
  </si>
  <si>
    <t>PALCO TEMPORADA</t>
  </si>
  <si>
    <t>IVA NO DEDUCIBLE del Palco</t>
  </si>
  <si>
    <t>KPMG</t>
  </si>
  <si>
    <t>VENDOR DIU DILIGENCE</t>
  </si>
  <si>
    <t>TICS</t>
  </si>
  <si>
    <t>INTRALINKS</t>
  </si>
  <si>
    <t>NUBE PARA LA DOCUMENTACION</t>
  </si>
  <si>
    <t>153/25</t>
  </si>
  <si>
    <t>MAQUISEL SERVICIOS QUIMICOS, S.L.L.</t>
  </si>
  <si>
    <t>REPARACION ALCAPLANT CADA 6/7 AÑOS</t>
  </si>
  <si>
    <t>154/25</t>
  </si>
  <si>
    <t>278/25</t>
  </si>
  <si>
    <t>560/25</t>
  </si>
  <si>
    <t>OLIVER &amp; BATLLE, S.A.</t>
  </si>
  <si>
    <t>Marketing 2024 Marcoser</t>
  </si>
  <si>
    <t>Comisiones 2024 Alfonso (agricola Juncar)</t>
  </si>
  <si>
    <t>Comisiones 2024 Mehmet</t>
  </si>
  <si>
    <t>Importe Producción-Planta 2024</t>
  </si>
  <si>
    <t>Retribución consejo 2024</t>
  </si>
  <si>
    <t>Comisiones Eurofertil 2024</t>
  </si>
  <si>
    <t>Comisiones Eurofertil 2024,2023,2022</t>
  </si>
  <si>
    <t>Rappel Dotra (cliente Egipto) 2024</t>
  </si>
  <si>
    <t>Bonus 2024</t>
  </si>
  <si>
    <t>Promoción 2023 Tecnicos Campo Egido</t>
  </si>
  <si>
    <t>Promoción 2024 Tecnicos Campo Egido</t>
  </si>
  <si>
    <t>Comisiones Comercial en nomina de periodo de junio a diciembre 2024 - Pendiente el asiento</t>
  </si>
  <si>
    <t>(Todas)</t>
  </si>
  <si>
    <t>14.- Ingresos financieros</t>
  </si>
  <si>
    <t>(665) Intereses por descuento de efectos y operaciones de "factoring"</t>
  </si>
  <si>
    <t>621000046 - ALQUILER CARRETILLAS</t>
  </si>
  <si>
    <t>(702) Ventas de productos semiterminados</t>
  </si>
  <si>
    <t>RAUL AMELA</t>
  </si>
  <si>
    <t>CARLOS BARREDA</t>
  </si>
  <si>
    <t xml:space="preserve">ene-26 </t>
  </si>
  <si>
    <t xml:space="preserve">feb-26 </t>
  </si>
  <si>
    <t xml:space="preserve">mar-26 </t>
  </si>
  <si>
    <t xml:space="preserve">abr-26 </t>
  </si>
  <si>
    <t>700000001 - VENTA MERCADERIAS POR ANTICIPO</t>
  </si>
  <si>
    <t>700000624 - VENTA POR TRANSP. REP. AL CLIENTE</t>
  </si>
  <si>
    <t>700000769 - INGRESOS POR RETRASOS DE COBRO Y ACTUALIZACION</t>
  </si>
  <si>
    <t>702000000 - Ventas de productos semiterminados</t>
  </si>
  <si>
    <t>703000000 - Ventas de subproductos y residuos</t>
  </si>
  <si>
    <t>705000000 - Prestaciones de servicios</t>
  </si>
  <si>
    <t>706000000 - Dtos. ventas por pronto pago mercaderías</t>
  </si>
  <si>
    <t>709000000 - «Rappels» ventas de mercaderías</t>
  </si>
  <si>
    <t>771000000 - Beneficios del inmovilizado material</t>
  </si>
  <si>
    <t>711000000 - Variación existencias de prod. semiterminados</t>
  </si>
  <si>
    <t>712000000 - Variación existencias de prod. terminados</t>
  </si>
  <si>
    <t>601000001 - COMPRAS MAT. PRIMAS INTRACOMUNITARIAS</t>
  </si>
  <si>
    <t>602000013 - COMPRA TINTA INPRESORA ETIQUETAS</t>
  </si>
  <si>
    <t>607000000 - Trabajos realizados por otras empresas</t>
  </si>
  <si>
    <t>611000000 - Variación de existencias de materias primas</t>
  </si>
  <si>
    <t>612000000 - Variación de existencias otros aprovisionamientos</t>
  </si>
  <si>
    <t>759000000 - Ingresos por servicios diversos</t>
  </si>
  <si>
    <t>642000000 - Seguridad Social a cargo empresa</t>
  </si>
  <si>
    <t>649000004 - GASTOS COMERCIALES RICARDO PEREZ</t>
  </si>
  <si>
    <t>649000012 - GASTOS COMERCIALES IRENE GARCIA</t>
  </si>
  <si>
    <t>649000102 - GASTOS ROPA UNIFORMES TRABAJADORES</t>
  </si>
  <si>
    <t>621000023 - RENTING TRANSPALETA ELECTRICA DE PIE</t>
  </si>
  <si>
    <t>621000024 - ALQUILER RENTING 2255KXN ANTONIO</t>
  </si>
  <si>
    <t>621000025 - ALQUILER RENTING 9128 LBT NIEVES</t>
  </si>
  <si>
    <t>621000030 - ALQUILER RENTING 1075-LSC GARCIA</t>
  </si>
  <si>
    <t>621000031 - ALQUILER RENTING KONICA-MINOLTA Y KYOCERA</t>
  </si>
  <si>
    <t>621000032 - ALQUILER RENTING 6665-LVK JOSE JUAN</t>
  </si>
  <si>
    <t>621000033 - ALQUILER RENTING 2612-MBY ANTONIO</t>
  </si>
  <si>
    <t>621000034 - ALQUILER RENTING 3108-LZM NIEVES</t>
  </si>
  <si>
    <t>621000035 - ALQUILER RENTING 2142-MCS RICARDO</t>
  </si>
  <si>
    <t>621000036 - ALQUILER RENTING 3277-MDX JAVIER</t>
  </si>
  <si>
    <t>621000037 - CARRETILLA STILL ELEKTROSTAPLER 516213H00521</t>
  </si>
  <si>
    <t>621000038 - CARRETILLA STILL ELEKTROSTAPLER 516223J00123</t>
  </si>
  <si>
    <t>621000039 - ALQUILER RENTING 5043-MWW CURRO</t>
  </si>
  <si>
    <t>621000040 - ALQUILER RENTING 8917-MZT JAVIER</t>
  </si>
  <si>
    <t>621000041 - ALQUILER RENTING 8929-MZT RICARDO</t>
  </si>
  <si>
    <t>621000042 - ALQUILER RENTING 4946-NFH GARCIA</t>
  </si>
  <si>
    <t>621000044 - ALQUILER COMPRESOR DE TORNILLO 37KW KAESER BSD 75C</t>
  </si>
  <si>
    <t>622000001 - REPAR. EQUIPOS INFORM. Y FOTOCOPIADORAS</t>
  </si>
  <si>
    <t>622000004 - REP. Y CONSERV. CARRETILLA ELECTRICA</t>
  </si>
  <si>
    <t>622000006 - REP. Y MANT. INSTALACIONES VARIAS</t>
  </si>
  <si>
    <t>622000008 - REP. Y MANT. MAQUINA BARREDORA</t>
  </si>
  <si>
    <t>622000012 - LIMPIEZA OFICINAS, LABORATORIO Y VESTUARIOS</t>
  </si>
  <si>
    <t>622010001 - MANTENIMIENTO REPUESTO COMPRA AMAZON</t>
  </si>
  <si>
    <t>623000002 - SERVICIOS CONTABLES Y FINANCIEROS</t>
  </si>
  <si>
    <t>623000003 - SERV. NOTARIOS, REGISTROS, LEGAL</t>
  </si>
  <si>
    <t>623000005 - SERVICIOS PREST. CAMARA COMERCIO</t>
  </si>
  <si>
    <t>623100006 - GASTOS Y SERVICIOS AGRICOLA DEL JUCAR</t>
  </si>
  <si>
    <t>623200008 - GASTOS MARCAS EGIPTO</t>
  </si>
  <si>
    <t>623200009 - GASTOS MARCAS MARRUECOS</t>
  </si>
  <si>
    <t>623200010 - GASTOS MARCAS TURQUIA</t>
  </si>
  <si>
    <t>623200016 - GASTOS MARCAS ECUADOR</t>
  </si>
  <si>
    <t>623200020 - GASTOS MARCAS TUNEZ</t>
  </si>
  <si>
    <t>623200022 - GASTOS MARCAS BOLIVIA</t>
  </si>
  <si>
    <t>623200029 - GASTOS MARCAS GEORGIA</t>
  </si>
  <si>
    <t>623200030 - GASTOS MARCAS AZERBAIYAN</t>
  </si>
  <si>
    <t>626000000 - Servicios bancarios y similares</t>
  </si>
  <si>
    <t>626000002 - GASTOS Y COMISIONES BANCO SABADELL</t>
  </si>
  <si>
    <t>626000005 - GASTOS Y COMISIONES CAIXALMASSORA</t>
  </si>
  <si>
    <t>627000006 - PUBLICIDAD CATALOGOS Y FOLLETOS</t>
  </si>
  <si>
    <t>627000010 - RELACIONES PUBLICAS TEC. CLIENTES</t>
  </si>
  <si>
    <t>628000004 - SUMINISTROS TELEFONIA E INTERNET</t>
  </si>
  <si>
    <t>629000003 - SUSCRIPCIONES A REVISTAS Y PERIODICOS</t>
  </si>
  <si>
    <t>629100002 - GASTOS RICARDO PEREZ-SANTAMARINA</t>
  </si>
  <si>
    <t>631000001 - IMPUESTOS VEHÍCULOS</t>
  </si>
  <si>
    <t>681200000 - Amortización de instalaciones técnicas</t>
  </si>
  <si>
    <t>681500000 - Amortización de otras instalaciones</t>
  </si>
  <si>
    <t>681700000 - Amortización de equipos para procesos de informac.</t>
  </si>
  <si>
    <t>681800000 - Amortización de elementos de transporte</t>
  </si>
  <si>
    <t>665700015 - INTERESES PAGO FINANCIADO POR BBVA</t>
  </si>
  <si>
    <t>662310005 - INTERESES PRESTAMO CAIXALMASSORA</t>
  </si>
  <si>
    <t>669000002 - OTROS GTOS. DTO. EFECTOS SABADELL</t>
  </si>
  <si>
    <t>669100005 - OTROS GTOS. FINAN. C.RURAL ALMASSORA</t>
  </si>
  <si>
    <t>768000000 - Diferencias positivas de cambio</t>
  </si>
  <si>
    <t xml:space="preserve">- - </t>
  </si>
  <si>
    <t>709001500 - RAPPEL BONIFICACIONES POR PMK DEFINITIVO</t>
  </si>
  <si>
    <t>(709) Publicidad</t>
  </si>
  <si>
    <t>Luz</t>
  </si>
  <si>
    <t xml:space="preserve">                            -  </t>
  </si>
  <si>
    <t>700001624 - VENTA POR TRANSPORTE REP. AL CLIENTE DEFINITIVO</t>
  </si>
  <si>
    <t>Maquila</t>
  </si>
  <si>
    <t>706000001 - DESCUENTO POR PRONTO PAGO DEFINITIVO</t>
  </si>
  <si>
    <t>621000014 - ALQUILER MURANO</t>
  </si>
  <si>
    <t>623100008 - COMISIONES KAMAL KEHAL</t>
  </si>
  <si>
    <t>623200023 - GASTOS MARCAS ARGELIA</t>
  </si>
  <si>
    <t>631000002 - TASAS</t>
  </si>
  <si>
    <t>Comprobación</t>
  </si>
  <si>
    <t>Dif</t>
  </si>
  <si>
    <t>CHECK</t>
  </si>
  <si>
    <t xml:space="preserve">may-26 </t>
  </si>
  <si>
    <t>ETT Maquila</t>
  </si>
  <si>
    <t>Alquiler carretilla</t>
  </si>
  <si>
    <t>Tratamiento residuos</t>
  </si>
  <si>
    <t>Materias primas repercutidas</t>
  </si>
  <si>
    <t>Packing repercutido</t>
  </si>
  <si>
    <t>602000000 - Compras de otros aprovisionamientos</t>
  </si>
  <si>
    <t>623200002 - GASTOS MARCAS MEXICO</t>
  </si>
  <si>
    <t>623200033 - GASTOS MARCAS MUNDIAL</t>
  </si>
  <si>
    <t>694000000 - Pérdidas deterioro de créditos por op.comerciales</t>
  </si>
  <si>
    <t>(694) Pérdidas por op. Comerciales</t>
  </si>
  <si>
    <t>769000000 - Otros ingresos financieros</t>
  </si>
  <si>
    <t>(769) Otros ingresos financieros</t>
  </si>
  <si>
    <t xml:space="preserve"> SALDO </t>
  </si>
  <si>
    <t xml:space="preserve"> jun-26</t>
  </si>
  <si>
    <t xml:space="preserve">Total 2026 </t>
  </si>
  <si>
    <t>Check</t>
  </si>
  <si>
    <t>EBITDA</t>
  </si>
  <si>
    <t>INDIVIDUAL-Ext Item Codiagro-SAS</t>
  </si>
  <si>
    <t>Producción Codiagro-SAS</t>
  </si>
  <si>
    <t>Detalle sin Ajustar</t>
  </si>
  <si>
    <t>622010000 MANTENIMIENTO</t>
  </si>
  <si>
    <t>625000003 SEGURO ACCIDENTES TRABAJADORES</t>
  </si>
  <si>
    <t>629000015 MATERIAL DE OFICINA</t>
  </si>
  <si>
    <t xml:space="preserve">                                             -  </t>
  </si>
  <si>
    <t xml:space="preserve">jul-26 </t>
  </si>
  <si>
    <t>623200017 GASTOS MARCAS EL SALVADOR</t>
  </si>
  <si>
    <t>629000016 HERRAMIENTAS</t>
  </si>
  <si>
    <t>629100008 GASTOS PEDRO MEDINA</t>
  </si>
  <si>
    <t>631000004 IBIB</t>
  </si>
  <si>
    <t xml:space="preserve">ago-26 </t>
  </si>
  <si>
    <t>EBITDA %</t>
  </si>
  <si>
    <t>Cuenta sin saldo en el ejercicio. Sin previsión de movimientos.</t>
  </si>
  <si>
    <t>Partida puntual / no recurrente en el periodo enero-agosto. Sin movimiento adicional proyectado para el último cuatrimestre.</t>
  </si>
  <si>
    <t>Modelo de gestión de envases (Envases y transportes.xlsx): histórico 2025 ajustado por +12,35% en unidades y +4,5% en tarifas (factor 1,1685).</t>
  </si>
  <si>
    <t>Ajuste previsional de variación de existencias para regularización de inventarios a cierre de ejercicio.</t>
  </si>
  <si>
    <t>Coste operativo menor de planta: proyección basada en el promedio mensual histórico de reposición.</t>
  </si>
  <si>
    <t>Cuenta inactiva / sin saldo en el ejercicio. Sin previsión de movimientos.</t>
  </si>
  <si>
    <t>Coste semi-variable de consumibles de marcaje y codificación en planta vinculado al volumen de producción envasado.</t>
  </si>
  <si>
    <t>Coste estratégico de I+D: ensayos agronómicos de eficacia y desarrollo de bioestimulantes.</t>
  </si>
  <si>
    <t>Coste fijo mensual según contratos vigentes de renting de vehículos y maquinaria auxiliar.</t>
  </si>
  <si>
    <t>Coste fijo de asesoramiento legal, técnico y fiscal, con refuerzo en diciembre por preparación del cierre y auditoría.</t>
  </si>
  <si>
    <t>Proyección basada en el promedio mensual histórico de actividad.</t>
  </si>
  <si>
    <t>Coste variable de fletes con repercusión comercial al cliente final (correlativo con ingreso 700001624).</t>
  </si>
  <si>
    <t>Coste fijo: prima mensualizada de pólizas de seguro industrial y responsabilidad civil.</t>
  </si>
  <si>
    <t>Coste operativo recurrente por transaccionalidad bancaria y comisiones de gestión.</t>
  </si>
  <si>
    <t>Gasto comercial y marketing: promedio mensual con refuerzo en octubre por ferias agrícolas de otoño.</t>
  </si>
  <si>
    <t>Gasto comercial estratégico con estacionalidad: refuerzo en octubre por ferias agrícolas (Fruit Attraction) y catálogos.</t>
  </si>
  <si>
    <t>Coste semi-variable: término fijo de potencia contratada + consumo eléctrico de reactores y envasado proporcional a la producción.</t>
  </si>
  <si>
    <t>Coste semi-variable estacional: climatización de instalaciones y caldera durante meses fríos.</t>
  </si>
  <si>
    <t>Coste operativo general de estructura y servicios de oficinas/fábrica (promedio histórico).</t>
  </si>
  <si>
    <t>Gastos comerciales de viaje, kilometraje y dietas vinculados a visitas y prospección de clientes.</t>
  </si>
  <si>
    <t>Gastos comerciales de viaje, representación y prospección comercial en zona asignada.</t>
  </si>
  <si>
    <t>Coste fijo tributario: tasas municipales y tributos recurrentes de la actividad.</t>
  </si>
  <si>
    <t>Coste variable regulatorio: tributo legal sobre envases de plástico virgen en función de los kg de plástico envasados.</t>
  </si>
  <si>
    <t>Coste fijo estricto: dotación lineal mensual calculada según las tablas oficiales de amortización y vida útil del inmovilizado.</t>
  </si>
  <si>
    <t xml:space="preserve">sep-26 </t>
  </si>
  <si>
    <t xml:space="preserve">oct-26 </t>
  </si>
  <si>
    <t xml:space="preserve">nov-26 </t>
  </si>
  <si>
    <t>Presupuesto de Ventas 2026 ajustado para cuadrar la Cifra Neta de Negocios en 15.180.000,00 € exactos tras considerar la provisión anual de rappels (333k€) y gestión de envases.</t>
  </si>
  <si>
    <t>Provisión por rappels comerciales ajustada para alcanzar el objetivo anual exacto de 333.000,00 € (-148.761,28 € reales Ene-Ago + -184.238,72 € provisión Dic).</t>
  </si>
  <si>
    <t>Coste variable directamente proporcional al número de unidades/tapones envasados (0,22% s/ventas ajustadas).</t>
  </si>
  <si>
    <t>Coste financiero variable: descuentos por pronto pago concedidos a clientes según presupuesto de ventas ajustado (ratio histórico 2,70%).</t>
  </si>
  <si>
    <t>Base salarial mensual fija igual a agosto (-128.060,74 €/mes) + 279.000,00 € adicionales en diciembre por devengo de Paga Extraordinaria de Navidad e incentivos anuales.</t>
  </si>
  <si>
    <t>Cotizaciones a la Seguridad Social mensuales fijas iguales a agosto (-24.572,05 €/mes).</t>
  </si>
  <si>
    <t>Sin dotación presupuestada en el último cuatrimestre.</t>
  </si>
  <si>
    <t xml:space="preserve">dic-26 </t>
  </si>
  <si>
    <t>Sin dotación presupuestada para el periodo sep-dic según instrucción comercial.</t>
  </si>
  <si>
    <t>Gastos de registro y mantenimiento de marca en El Salvador (única partida de marcas presupuestada en el periodo).</t>
  </si>
  <si>
    <t>Coste variable directo: volumen según presupuesto ajustado (ratio histórico 25,85% s/ventas sin incremento de inflación en 2026; la inflación del +4,5% se aplica solo en 2027).</t>
  </si>
  <si>
    <t>Coste variable por envases y embalajes: incluye saldo de junio traspasado de la 602000000 (-30.306,17 €). Estimación unificada según ratio histórico 5,39% s/ventas ajustadas (sin inflación en 2026; aplicable en 2027).</t>
  </si>
  <si>
    <t>Cuenta fusionada con 602000001. Su saldo real de junio (-30.306,17 €) se ha traspasado a la 602000001. Sin previsión en sep-dic ni en 2027.</t>
  </si>
  <si>
    <t>Coste variable de etiquetas: ratio s/ventas ajustadas sin ajuste de precios de imprenta por inflación en 2026 (solo en 2027).</t>
  </si>
  <si>
    <t>Coste variable de palets: ratio s/ventas ajustadas sin inflación de suministros logísticos en 2026 (aplicable en 2027).</t>
  </si>
  <si>
    <t>Coste variable de subcontratación fabril: eliminadas previsiones de sep a nov, dejando únicamente diciembre (-7.970,00 €) por refuerzo a cierre de ejercicio según indicación.</t>
  </si>
  <si>
    <t>Arrendamiento Murano: no hay más cuotas en 2026 (ya está todo pagado, eliminadas sep-dic). En 2027 poner la misma cantidad anual ajustada a la inflación (+4,5%).</t>
  </si>
  <si>
    <t>Coste semi-variable: mantenimiento preventivo y correctivo de planta según promedio mensual histórico (sin incremento de inflación en 2026; la inflación del +4,5% se aplica solo en 2027).</t>
  </si>
  <si>
    <t>Servicios contables y financieros externos: restablecido a -2.800,00 €/mes en 2026 según indicación. La reducción del 50% (-1.400,00 €/mes) se aplica únicamente en el ejercicio 2027.</t>
  </si>
  <si>
    <t>Honorarios y gastos comerciales de zona según plan presupuestado + 5.000,00 € adicionales en diciembre según instrucción comercial. Para 2027 no hay que subirles nada (mismo importe).</t>
  </si>
  <si>
    <t>Dotación mensual de 500,00 € de sep a dic + 30.000,00 € extraordinarios en diciembre según instrucción comercial. Para 2027 no hay que subirles nada (mismo importe).</t>
  </si>
  <si>
    <t>Dotación mensual de 6.000,00 € de sep a dic + 100.000,00 € extraordinarios en diciembre según instrucción comercial. Para 2027 no hay que subirles nada (mismo importe).</t>
  </si>
  <si>
    <t>Comisiones Kamal Kehal: eliminados los importes de sep a dic del 2026. Para 2027 poner la misma cantidad anual real del 2026 (-3.398,55 €).</t>
  </si>
  <si>
    <t>Gastos de marketing: eliminadas las partidas de sep a dic del 2026. Para 2027 pendiente de adjuntar el plan de marketing.</t>
  </si>
  <si>
    <t>Tasas: eliminados los importes previstos de sep a dic en 2026 por estar ya devengadas en mayo (-581,49 €). Para 2027 se replica exactamente el mismo gasto en mayo.</t>
  </si>
  <si>
    <t>Tasas e impuestos municipales (IBI): eliminadas las partidas de sep a dic del 2026 por estar ya pagado en el ejercicio. En el 2027 poner la misma cantidad que ya se ha pagado en el 2026 (-7.396,59 €).</t>
  </si>
  <si>
    <t>Ajustes negativos de IVA circulante: no van a tener más saldo; fijado a 0 de sep a dic 2026 y a 0 en 2027.</t>
  </si>
  <si>
    <t>Pérdidas por deterioro de créditos: no van a tener más saldo; fijado a 0 de sep a dic 2026 y a 0 en 2027.</t>
  </si>
  <si>
    <t>Intereses pago financiado proveedores: operación puntual en 2026; sin saldo de sep a dic 2026 ni en 2027.</t>
  </si>
  <si>
    <t>Intereses préstamo Caixabank: préstamo ya finalizado; saldos fijados a 0 de sep a dic 2026 y a 0 en 2027.</t>
  </si>
  <si>
    <t>Diferencias positivas de cambio: sin saldos estimados de sep a dic 2026 ni en 2027 según indicación.</t>
  </si>
  <si>
    <t>Otros ingresos financieros: partida no recurrente de junio; sin saldos estimados de sep a dic 2026 ni en 2027.</t>
  </si>
  <si>
    <t>YTD</t>
  </si>
  <si>
    <t>P&amp;L YTD</t>
  </si>
  <si>
    <t>Según presupuesto de transporte 2026: repercusión íntegra de fletes y transporte de exportación al cliente (efecto neto neutro con 624000002).</t>
  </si>
  <si>
    <t>Según presupuesto de mantenimiento 2026: compresores de aire (1.693 € Sep y Oct), carretillas, caldera e inspecciones reglamentarias APQ y Antiincendios (1.500 € Oct).</t>
  </si>
  <si>
    <t>Según presupuesto de mantenimiento 2026: molinos Alcaplant (3.000 € en Oct) y robot paletizado (800 € en Sep).</t>
  </si>
  <si>
    <t>Según presupuesto de mantenimiento 2026: línea sólidos, repuestos envasado y repaso de sinfines (2.500 € en Nov).</t>
  </si>
  <si>
    <t>Según presupuesto de mantenimiento 2026: línea líquidos, fontanería, válvulas y robot paletizado.</t>
  </si>
  <si>
    <t>Según presupuesto de mantenimiento 2026: consumibles y repuestos generales de taller planta.</t>
  </si>
  <si>
    <t>Según presupuesto de regulatory 2026: expedientes de registro internacional (Guatemala 5.100 €, Sudáfrica 4.800 €, Arabia 500 €).</t>
  </si>
  <si>
    <t>Según presupuesto de regulatory 2026: certificaciones ecológicas oficiales BCS-Kiwa (300 € Oct + 1.200 € Nov).</t>
  </si>
  <si>
    <t>Según presupuesto de transporte 2026: logística nacional terrestre (Campillo Palmera) según calendario mensual real (-31.199,84 €).</t>
  </si>
  <si>
    <t>Según presupuesto de transporte 2026: transporte internacional de exportación (-97.236,00 €) repercutido 100% al cliente en factura.</t>
  </si>
  <si>
    <t>Según presupuesto de transporte 2026: logística marítima Canarias (Sealine) según calendario mensual real (-22.275,21 €).</t>
  </si>
  <si>
    <t>Según presupuesto de regulatory 2026: declaración 3T (1.940 €) y regularización anual (976 €) SCRAP envases agrarios AEVAE.</t>
  </si>
  <si>
    <t>Según presupuesto de regulatory 2026: retirada y gestión de residuos industriales (4.500 €/mes en Oct, Nov, Dic).</t>
  </si>
  <si>
    <t>P&amp;L YTD Actual</t>
  </si>
  <si>
    <t>627000003 - PATROCINIOS VARIOS</t>
  </si>
  <si>
    <t>622010000 - 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</si>
</sst>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;\(#,##0\);\-"/>
    <numFmt numFmtId="165" formatCode="0%;\(0\)%;\-"/>
    <numFmt numFmtId="166" formatCode="0.0%"/>
    <numFmt numFmtId="167" formatCode="#,##0\ ;\(#,##0\);\ \ \-_);@"/>
    <numFmt numFmtId="168" formatCode="0%&quot; &quot;;\(0\)%&quot; &quot;;\-"/>
    <numFmt numFmtId="169" formatCode="_([$€-2]* #,##0.00_);_([$€-2]* \(#,##0.00\);_([$€-2]* &quot;-&quot;??_);_(@_)"/>
    <numFmt numFmtId="170" formatCode="#,##0.00\ &quot;€&quot;"/>
    <numFmt numFmtId="171" formatCode="_-* #,##0.00\ _€_-;\-* #,##0.00\ _€_-;_-* &quot;-&quot;??\ _€_-;_-@_-"/>
    <numFmt numFmtId="172" formatCode="#,##0.000;\(#,##0.000\);\-"/>
  </numFmts>
  <fonts count="4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theme="1"/>
      <name val="Arial"/>
      <family val="2"/>
    </font>
    <font>
      <b/>
      <sz val="10.5"/>
      <name val="Arial"/>
      <family val="2"/>
    </font>
    <font>
      <sz val="10"/>
      <color theme="1"/>
      <name val="Arial"/>
      <family val="2"/>
    </font>
    <font>
      <b/>
      <sz val="10.5"/>
      <color theme="1"/>
      <name val="Arial"/>
      <family val="2"/>
    </font>
    <font>
      <sz val="10.5"/>
      <name val="Arial"/>
      <family val="2"/>
    </font>
    <font>
      <i/>
      <sz val="10.5"/>
      <name val="Arial"/>
      <family val="2"/>
    </font>
    <font>
      <i/>
      <sz val="10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.5"/>
      <color theme="0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charset val="238"/>
      <scheme val="minor"/>
    </font>
    <font>
      <b/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65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i/>
      <sz val="8"/>
      <color theme="1"/>
      <name val="Arial"/>
      <family val="2"/>
    </font>
    <font>
      <i/>
      <sz val="8"/>
      <name val="Arial"/>
      <family val="2"/>
    </font>
    <font>
      <b/>
      <sz val="11"/>
      <color rgb="FFFF0000"/>
      <name val="Aptos Narrow"/>
      <family val="2"/>
      <scheme val="minor"/>
    </font>
    <font>
      <b/>
      <i/>
      <sz val="10.5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Verdana"/>
      <family val="2"/>
    </font>
    <font>
      <b/>
      <sz val="11"/>
      <color rgb="FFC00000"/>
      <name val="Aptos Narrow"/>
      <family val="2"/>
      <scheme val="minor"/>
    </font>
    <font>
      <b/>
      <sz val="11"/>
      <color theme="9" tint="0.59999389629810485"/>
      <name val="Aptos Narrow"/>
      <family val="2"/>
      <scheme val="minor"/>
    </font>
    <font>
      <b/>
      <i/>
      <sz val="11"/>
      <color theme="1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9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FFD44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dotted">
        <color auto="1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auto="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75">
    <xf numFmtId="0" fontId="0" fillId="0" borderId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13" fillId="0" borderId="0"/>
    <xf numFmtId="0" fontId="14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3" fillId="0" borderId="0" applyFont="0" applyFill="0" applyBorder="0" applyAlignment="0" applyProtection="0"/>
    <xf numFmtId="0" fontId="13" fillId="0" borderId="0"/>
    <xf numFmtId="0" fontId="18" fillId="0" borderId="0" applyNumberFormat="0" applyFill="0" applyBorder="0" applyAlignment="0" applyProtection="0"/>
    <xf numFmtId="0" fontId="18" fillId="0" borderId="3" applyNumberFormat="0" applyFill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6" fillId="0" borderId="1" applyNumberFormat="0" applyFill="0" applyAlignment="0" applyProtection="0"/>
    <xf numFmtId="0" fontId="17" fillId="0" borderId="2" applyNumberFormat="0" applyFill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4" applyNumberFormat="0" applyAlignment="0" applyProtection="0"/>
    <xf numFmtId="0" fontId="23" fillId="6" borderId="5" applyNumberFormat="0" applyAlignment="0" applyProtection="0"/>
    <xf numFmtId="0" fontId="24" fillId="6" borderId="4" applyNumberFormat="0" applyAlignment="0" applyProtection="0"/>
    <xf numFmtId="0" fontId="25" fillId="0" borderId="6" applyNumberFormat="0" applyFill="0" applyAlignment="0" applyProtection="0"/>
    <xf numFmtId="0" fontId="26" fillId="7" borderId="7" applyNumberFormat="0" applyAlignment="0" applyProtection="0"/>
    <xf numFmtId="0" fontId="27" fillId="0" borderId="0" applyNumberFormat="0" applyFill="0" applyBorder="0" applyAlignment="0" applyProtection="0"/>
    <xf numFmtId="0" fontId="14" fillId="8" borderId="8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30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0" borderId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6">
    <xf numFmtId="0" fontId="0" fillId="0" borderId="0" xfId="0"/>
    <xf numFmtId="0" fontId="2" fillId="0" borderId="0" xfId="0" applyFont="1"/>
    <xf numFmtId="0" fontId="3" fillId="0" borderId="0" xfId="0" applyFont="1"/>
    <xf numFmtId="164" fontId="6" fillId="0" borderId="0" xfId="2" applyNumberFormat="1" applyFont="1" applyAlignment="1">
      <alignment vertical="center" wrapText="1"/>
    </xf>
    <xf numFmtId="165" fontId="8" fillId="0" borderId="0" xfId="0" applyNumberFormat="1" applyFont="1" applyAlignment="1">
      <alignment vertical="center"/>
    </xf>
    <xf numFmtId="166" fontId="9" fillId="0" borderId="0" xfId="3" applyNumberFormat="1" applyFont="1" applyAlignment="1">
      <alignment vertical="center" wrapText="1"/>
    </xf>
    <xf numFmtId="9" fontId="9" fillId="0" borderId="0" xfId="1" applyFont="1" applyAlignment="1">
      <alignment vertical="center"/>
    </xf>
    <xf numFmtId="164" fontId="6" fillId="0" borderId="12" xfId="2" applyNumberFormat="1" applyFont="1" applyBorder="1" applyAlignment="1">
      <alignment vertical="center" wrapText="1"/>
    </xf>
    <xf numFmtId="165" fontId="9" fillId="0" borderId="0" xfId="3" applyNumberFormat="1" applyFont="1" applyAlignment="1">
      <alignment vertical="center" wrapText="1"/>
    </xf>
    <xf numFmtId="0" fontId="4" fillId="3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4" fillId="33" borderId="12" xfId="0" applyFont="1" applyFill="1" applyBorder="1" applyAlignment="1">
      <alignment vertical="center"/>
    </xf>
    <xf numFmtId="0" fontId="8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9" fillId="0" borderId="0" xfId="2" applyFont="1" applyAlignment="1">
      <alignment horizontal="left" vertical="center" indent="1"/>
    </xf>
    <xf numFmtId="0" fontId="6" fillId="0" borderId="12" xfId="2" applyFont="1" applyBorder="1" applyAlignment="1">
      <alignment vertical="center"/>
    </xf>
    <xf numFmtId="0" fontId="6" fillId="34" borderId="12" xfId="0" applyFont="1" applyFill="1" applyBorder="1" applyAlignment="1">
      <alignment vertical="center"/>
    </xf>
    <xf numFmtId="0" fontId="9" fillId="0" borderId="0" xfId="0" applyFont="1" applyAlignment="1">
      <alignment horizontal="left" vertical="center" indent="1"/>
    </xf>
    <xf numFmtId="0" fontId="6" fillId="33" borderId="12" xfId="0" applyFont="1" applyFill="1" applyBorder="1" applyAlignment="1">
      <alignment vertic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10" xfId="0" applyFont="1" applyBorder="1" applyAlignment="1">
      <alignment vertical="center"/>
    </xf>
    <xf numFmtId="167" fontId="7" fillId="0" borderId="0" xfId="0" applyNumberFormat="1" applyFont="1" applyAlignment="1">
      <alignment vertical="center"/>
    </xf>
    <xf numFmtId="164" fontId="6" fillId="34" borderId="12" xfId="0" applyNumberFormat="1" applyFont="1" applyFill="1" applyBorder="1" applyAlignment="1">
      <alignment vertical="center"/>
    </xf>
    <xf numFmtId="164" fontId="6" fillId="33" borderId="12" xfId="2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4" fontId="2" fillId="0" borderId="16" xfId="0" applyNumberFormat="1" applyFont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2" fillId="0" borderId="0" xfId="0" applyFont="1"/>
    <xf numFmtId="0" fontId="31" fillId="0" borderId="10" xfId="4" applyFont="1" applyBorder="1" applyAlignment="1">
      <alignment horizontal="left" vertical="center"/>
    </xf>
    <xf numFmtId="0" fontId="31" fillId="0" borderId="10" xfId="4" applyFont="1" applyBorder="1" applyAlignment="1">
      <alignment horizontal="center" vertical="center"/>
    </xf>
    <xf numFmtId="0" fontId="33" fillId="35" borderId="0" xfId="4" applyFont="1" applyFill="1" applyAlignment="1">
      <alignment vertical="center"/>
    </xf>
    <xf numFmtId="164" fontId="33" fillId="35" borderId="0" xfId="4" applyNumberFormat="1" applyFont="1" applyFill="1" applyAlignment="1">
      <alignment vertical="center"/>
    </xf>
    <xf numFmtId="0" fontId="32" fillId="0" borderId="0" xfId="4" applyFont="1" applyAlignment="1">
      <alignment vertical="center"/>
    </xf>
    <xf numFmtId="164" fontId="32" fillId="0" borderId="0" xfId="4" applyNumberFormat="1" applyFont="1" applyAlignment="1">
      <alignment vertical="center"/>
    </xf>
    <xf numFmtId="0" fontId="33" fillId="0" borderId="12" xfId="4" applyFont="1" applyBorder="1" applyAlignment="1">
      <alignment vertical="center"/>
    </xf>
    <xf numFmtId="164" fontId="33" fillId="0" borderId="12" xfId="4" applyNumberFormat="1" applyFont="1" applyBorder="1" applyAlignment="1">
      <alignment vertical="center"/>
    </xf>
    <xf numFmtId="0" fontId="35" fillId="0" borderId="0" xfId="4" applyFont="1" applyAlignment="1">
      <alignment horizontal="left" vertical="center" indent="1"/>
    </xf>
    <xf numFmtId="9" fontId="35" fillId="0" borderId="0" xfId="59" applyFont="1" applyAlignment="1">
      <alignment vertical="center"/>
    </xf>
    <xf numFmtId="166" fontId="35" fillId="0" borderId="0" xfId="59" applyNumberFormat="1" applyFont="1" applyAlignment="1">
      <alignment vertical="center"/>
    </xf>
    <xf numFmtId="0" fontId="33" fillId="35" borderId="12" xfId="4" applyFont="1" applyFill="1" applyBorder="1" applyAlignment="1">
      <alignment vertical="center"/>
    </xf>
    <xf numFmtId="164" fontId="33" fillId="35" borderId="12" xfId="4" applyNumberFormat="1" applyFont="1" applyFill="1" applyBorder="1" applyAlignment="1">
      <alignment vertical="center"/>
    </xf>
    <xf numFmtId="165" fontId="35" fillId="0" borderId="0" xfId="59" applyNumberFormat="1" applyFont="1" applyAlignment="1">
      <alignment vertical="center"/>
    </xf>
    <xf numFmtId="0" fontId="34" fillId="0" borderId="0" xfId="0" applyFont="1" applyAlignment="1">
      <alignment vertical="center"/>
    </xf>
    <xf numFmtId="167" fontId="34" fillId="0" borderId="0" xfId="0" applyNumberFormat="1" applyFont="1" applyAlignment="1">
      <alignment vertical="center"/>
    </xf>
    <xf numFmtId="0" fontId="31" fillId="34" borderId="12" xfId="0" applyFont="1" applyFill="1" applyBorder="1" applyAlignment="1">
      <alignment vertical="center"/>
    </xf>
    <xf numFmtId="167" fontId="31" fillId="34" borderId="12" xfId="0" applyNumberFormat="1" applyFont="1" applyFill="1" applyBorder="1" applyAlignment="1">
      <alignment vertical="center"/>
    </xf>
    <xf numFmtId="0" fontId="36" fillId="0" borderId="0" xfId="0" applyFont="1" applyAlignment="1">
      <alignment horizontal="left" vertical="center" indent="1"/>
    </xf>
    <xf numFmtId="0" fontId="37" fillId="0" borderId="0" xfId="0" applyFont="1"/>
    <xf numFmtId="0" fontId="12" fillId="40" borderId="0" xfId="0" applyFont="1" applyFill="1"/>
    <xf numFmtId="0" fontId="4" fillId="0" borderId="10" xfId="2" applyFont="1" applyBorder="1" applyAlignment="1">
      <alignment horizontal="right" vertical="center" wrapText="1"/>
    </xf>
    <xf numFmtId="0" fontId="4" fillId="0" borderId="11" xfId="2" applyFont="1" applyBorder="1" applyAlignment="1">
      <alignment horizontal="right" vertical="center" wrapText="1"/>
    </xf>
    <xf numFmtId="0" fontId="4" fillId="0" borderId="10" xfId="2" quotePrefix="1" applyFont="1" applyBorder="1" applyAlignment="1">
      <alignment horizontal="right" vertical="center" wrapText="1"/>
    </xf>
    <xf numFmtId="164" fontId="6" fillId="33" borderId="0" xfId="2" applyNumberFormat="1" applyFont="1" applyFill="1" applyAlignment="1">
      <alignment vertical="center" wrapText="1"/>
    </xf>
    <xf numFmtId="166" fontId="9" fillId="0" borderId="13" xfId="3" applyNumberFormat="1" applyFont="1" applyBorder="1" applyAlignment="1">
      <alignment vertical="center" wrapText="1"/>
    </xf>
    <xf numFmtId="166" fontId="6" fillId="0" borderId="0" xfId="3" applyNumberFormat="1" applyFont="1" applyAlignment="1">
      <alignment vertical="center" wrapText="1"/>
    </xf>
    <xf numFmtId="9" fontId="9" fillId="0" borderId="0" xfId="1" applyFont="1" applyAlignment="1">
      <alignment vertical="center" wrapText="1"/>
    </xf>
    <xf numFmtId="9" fontId="9" fillId="0" borderId="13" xfId="1" applyFont="1" applyBorder="1" applyAlignment="1">
      <alignment vertical="center" wrapText="1"/>
    </xf>
    <xf numFmtId="9" fontId="38" fillId="0" borderId="0" xfId="1" applyFont="1" applyAlignment="1">
      <alignment vertical="center" wrapText="1"/>
    </xf>
    <xf numFmtId="0" fontId="3" fillId="0" borderId="13" xfId="0" applyFont="1" applyBorder="1"/>
    <xf numFmtId="167" fontId="4" fillId="33" borderId="12" xfId="0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7" borderId="0" xfId="0" applyFont="1" applyFill="1" applyProtection="1">
      <protection locked="0"/>
    </xf>
    <xf numFmtId="0" fontId="2" fillId="37" borderId="0" xfId="0" applyFont="1" applyFill="1" applyAlignment="1" applyProtection="1">
      <alignment horizontal="center"/>
      <protection locked="0"/>
    </xf>
    <xf numFmtId="0" fontId="12" fillId="39" borderId="0" xfId="0" applyFont="1" applyFill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9" fontId="4" fillId="0" borderId="0" xfId="1" applyFont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Continuous" vertical="center" wrapText="1"/>
      <protection locked="0"/>
    </xf>
    <xf numFmtId="0" fontId="4" fillId="0" borderId="22" xfId="0" applyFont="1" applyBorder="1" applyAlignment="1" applyProtection="1">
      <alignment horizontal="centerContinuous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vertical="center"/>
      <protection locked="0"/>
    </xf>
    <xf numFmtId="17" fontId="4" fillId="0" borderId="10" xfId="0" applyNumberFormat="1" applyFont="1" applyBorder="1" applyAlignment="1" applyProtection="1">
      <alignment horizontal="right" vertical="center" wrapText="1"/>
      <protection locked="0"/>
    </xf>
    <xf numFmtId="0" fontId="4" fillId="0" borderId="10" xfId="0" applyFont="1" applyBorder="1" applyAlignment="1" applyProtection="1">
      <alignment horizontal="right" vertical="center" wrapText="1"/>
      <protection locked="0"/>
    </xf>
    <xf numFmtId="0" fontId="4" fillId="36" borderId="0" xfId="0" applyFont="1" applyFill="1" applyAlignment="1" applyProtection="1">
      <alignment vertical="center"/>
      <protection locked="0"/>
    </xf>
    <xf numFmtId="167" fontId="7" fillId="0" borderId="0" xfId="0" applyNumberFormat="1" applyFont="1" applyAlignment="1" applyProtection="1">
      <alignment horizontal="right" vertical="center"/>
      <protection locked="0"/>
    </xf>
    <xf numFmtId="165" fontId="7" fillId="0" borderId="0" xfId="0" applyNumberFormat="1" applyFont="1" applyAlignment="1" applyProtection="1">
      <alignment horizontal="right" vertical="center"/>
      <protection locked="0"/>
    </xf>
    <xf numFmtId="0" fontId="4" fillId="36" borderId="12" xfId="0" applyFont="1" applyFill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left" vertical="center" indent="1"/>
      <protection locked="0"/>
    </xf>
    <xf numFmtId="9" fontId="8" fillId="0" borderId="0" xfId="0" quotePrefix="1" applyNumberFormat="1" applyFont="1" applyAlignment="1" applyProtection="1">
      <alignment horizontal="right" vertical="center"/>
      <protection locked="0"/>
    </xf>
    <xf numFmtId="167" fontId="8" fillId="0" borderId="0" xfId="0" quotePrefix="1" applyNumberFormat="1" applyFont="1" applyAlignment="1" applyProtection="1">
      <alignment horizontal="right" vertical="center"/>
      <protection locked="0"/>
    </xf>
    <xf numFmtId="165" fontId="8" fillId="0" borderId="0" xfId="0" quotePrefix="1" applyNumberFormat="1" applyFont="1" applyAlignment="1" applyProtection="1">
      <alignment horizontal="right" vertical="center"/>
      <protection locked="0"/>
    </xf>
    <xf numFmtId="4" fontId="7" fillId="0" borderId="0" xfId="0" applyNumberFormat="1" applyFont="1" applyAlignment="1" applyProtection="1">
      <alignment vertical="center"/>
      <protection locked="0"/>
    </xf>
    <xf numFmtId="9" fontId="7" fillId="0" borderId="0" xfId="0" applyNumberFormat="1" applyFont="1" applyAlignment="1" applyProtection="1">
      <alignment vertical="center"/>
      <protection locked="0"/>
    </xf>
    <xf numFmtId="167" fontId="7" fillId="0" borderId="0" xfId="0" quotePrefix="1" applyNumberFormat="1" applyFont="1" applyAlignment="1" applyProtection="1">
      <alignment horizontal="right" vertical="center"/>
      <protection locked="0"/>
    </xf>
    <xf numFmtId="9" fontId="7" fillId="0" borderId="0" xfId="0" applyNumberFormat="1" applyFont="1" applyAlignment="1" applyProtection="1">
      <alignment horizontal="right" vertical="center"/>
      <protection locked="0"/>
    </xf>
    <xf numFmtId="165" fontId="7" fillId="0" borderId="0" xfId="0" quotePrefix="1" applyNumberFormat="1" applyFont="1" applyAlignment="1" applyProtection="1">
      <alignment horizontal="right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9" fillId="0" borderId="0" xfId="2" applyFont="1" applyAlignment="1" applyProtection="1">
      <alignment horizontal="left" vertical="center" indent="1"/>
      <protection locked="0"/>
    </xf>
    <xf numFmtId="165" fontId="9" fillId="0" borderId="0" xfId="3" applyNumberFormat="1" applyFont="1" applyAlignment="1" applyProtection="1">
      <alignment vertical="center" wrapText="1"/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0" fontId="6" fillId="0" borderId="12" xfId="2" applyFont="1" applyBorder="1" applyAlignment="1" applyProtection="1">
      <alignment vertical="center"/>
      <protection locked="0"/>
    </xf>
    <xf numFmtId="0" fontId="6" fillId="34" borderId="12" xfId="0" applyFont="1" applyFill="1" applyBorder="1" applyAlignment="1" applyProtection="1">
      <alignment vertical="center"/>
      <protection locked="0"/>
    </xf>
    <xf numFmtId="165" fontId="9" fillId="0" borderId="0" xfId="3" applyNumberFormat="1" applyFont="1" applyAlignment="1" applyProtection="1">
      <alignment vertical="center" wrapText="1"/>
    </xf>
    <xf numFmtId="0" fontId="2" fillId="38" borderId="0" xfId="0" applyFont="1" applyFill="1" applyAlignment="1" applyProtection="1">
      <alignment horizontal="center"/>
      <protection locked="0"/>
    </xf>
    <xf numFmtId="0" fontId="4" fillId="0" borderId="0" xfId="0" applyFont="1" applyAlignment="1" applyProtection="1">
      <alignment horizontal="centerContinuous" vertical="center" wrapText="1"/>
      <protection locked="0"/>
    </xf>
    <xf numFmtId="0" fontId="4" fillId="0" borderId="0" xfId="0" applyFont="1" applyAlignment="1" applyProtection="1">
      <alignment horizontal="right" vertical="center" wrapText="1"/>
      <protection locked="0"/>
    </xf>
    <xf numFmtId="168" fontId="4" fillId="0" borderId="0" xfId="0" applyNumberFormat="1" applyFont="1" applyAlignment="1" applyProtection="1">
      <alignment horizontal="right" vertical="center"/>
      <protection locked="0"/>
    </xf>
    <xf numFmtId="165" fontId="4" fillId="0" borderId="0" xfId="0" applyNumberFormat="1" applyFont="1" applyAlignment="1" applyProtection="1">
      <alignment horizontal="right" vertical="center"/>
      <protection locked="0"/>
    </xf>
    <xf numFmtId="168" fontId="7" fillId="0" borderId="0" xfId="0" applyNumberFormat="1" applyFont="1" applyAlignment="1" applyProtection="1">
      <alignment horizontal="right" vertical="center"/>
      <protection locked="0"/>
    </xf>
    <xf numFmtId="165" fontId="6" fillId="0" borderId="0" xfId="1" applyNumberFormat="1" applyFont="1" applyFill="1" applyBorder="1" applyAlignment="1" applyProtection="1">
      <alignment vertical="center"/>
      <protection locked="0"/>
    </xf>
    <xf numFmtId="3" fontId="4" fillId="36" borderId="0" xfId="0" applyNumberFormat="1" applyFont="1" applyFill="1" applyAlignment="1">
      <alignment vertical="center"/>
    </xf>
    <xf numFmtId="167" fontId="4" fillId="36" borderId="0" xfId="0" applyNumberFormat="1" applyFont="1" applyFill="1" applyAlignment="1">
      <alignment horizontal="right" vertical="center"/>
    </xf>
    <xf numFmtId="164" fontId="3" fillId="0" borderId="0" xfId="2" applyNumberFormat="1" applyFont="1" applyAlignment="1">
      <alignment vertical="center" wrapText="1"/>
    </xf>
    <xf numFmtId="167" fontId="7" fillId="0" borderId="0" xfId="0" applyNumberFormat="1" applyFont="1" applyAlignment="1">
      <alignment horizontal="right" vertical="center"/>
    </xf>
    <xf numFmtId="168" fontId="7" fillId="0" borderId="13" xfId="0" applyNumberFormat="1" applyFont="1" applyBorder="1" applyAlignment="1">
      <alignment horizontal="right" vertical="center"/>
    </xf>
    <xf numFmtId="3" fontId="4" fillId="36" borderId="12" xfId="0" applyNumberFormat="1" applyFont="1" applyFill="1" applyBorder="1" applyAlignment="1">
      <alignment vertical="center"/>
    </xf>
    <xf numFmtId="167" fontId="4" fillId="36" borderId="12" xfId="0" applyNumberFormat="1" applyFont="1" applyFill="1" applyBorder="1" applyAlignment="1">
      <alignment horizontal="right" vertical="center"/>
    </xf>
    <xf numFmtId="165" fontId="4" fillId="36" borderId="12" xfId="0" applyNumberFormat="1" applyFont="1" applyFill="1" applyBorder="1" applyAlignment="1">
      <alignment horizontal="right" vertical="center"/>
    </xf>
    <xf numFmtId="9" fontId="8" fillId="0" borderId="0" xfId="0" applyNumberFormat="1" applyFont="1" applyAlignment="1">
      <alignment vertical="center"/>
    </xf>
    <xf numFmtId="164" fontId="11" fillId="35" borderId="0" xfId="2" applyNumberFormat="1" applyFont="1" applyFill="1" applyAlignment="1">
      <alignment vertical="center" wrapText="1"/>
    </xf>
    <xf numFmtId="164" fontId="10" fillId="0" borderId="0" xfId="2" applyNumberFormat="1" applyFont="1" applyAlignment="1">
      <alignment vertical="center" wrapText="1"/>
    </xf>
    <xf numFmtId="167" fontId="4" fillId="0" borderId="0" xfId="0" applyNumberFormat="1" applyFont="1" applyAlignment="1">
      <alignment horizontal="right" vertical="center"/>
    </xf>
    <xf numFmtId="168" fontId="4" fillId="0" borderId="13" xfId="0" applyNumberFormat="1" applyFont="1" applyBorder="1" applyAlignment="1">
      <alignment horizontal="right" vertical="center"/>
    </xf>
    <xf numFmtId="164" fontId="11" fillId="0" borderId="0" xfId="2" applyNumberFormat="1" applyFont="1" applyAlignment="1">
      <alignment vertical="center" wrapText="1"/>
    </xf>
    <xf numFmtId="168" fontId="4" fillId="0" borderId="14" xfId="0" applyNumberFormat="1" applyFont="1" applyBorder="1" applyAlignment="1">
      <alignment horizontal="right" vertical="center"/>
    </xf>
    <xf numFmtId="167" fontId="4" fillId="34" borderId="12" xfId="0" applyNumberFormat="1" applyFont="1" applyFill="1" applyBorder="1" applyAlignment="1">
      <alignment horizontal="right" vertical="center"/>
    </xf>
    <xf numFmtId="165" fontId="4" fillId="36" borderId="0" xfId="0" applyNumberFormat="1" applyFont="1" applyFill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168" fontId="4" fillId="0" borderId="11" xfId="0" applyNumberFormat="1" applyFont="1" applyBorder="1" applyAlignment="1">
      <alignment horizontal="right" vertical="center" wrapText="1"/>
    </xf>
    <xf numFmtId="9" fontId="8" fillId="0" borderId="13" xfId="0" quotePrefix="1" applyNumberFormat="1" applyFont="1" applyBorder="1" applyAlignment="1">
      <alignment horizontal="right" vertical="center"/>
    </xf>
    <xf numFmtId="168" fontId="7" fillId="0" borderId="13" xfId="0" quotePrefix="1" applyNumberFormat="1" applyFont="1" applyBorder="1" applyAlignment="1">
      <alignment horizontal="right" vertical="center"/>
    </xf>
    <xf numFmtId="165" fontId="6" fillId="34" borderId="14" xfId="1" applyNumberFormat="1" applyFont="1" applyFill="1" applyBorder="1" applyAlignment="1">
      <alignment vertical="center"/>
    </xf>
    <xf numFmtId="168" fontId="8" fillId="0" borderId="13" xfId="0" quotePrefix="1" applyNumberFormat="1" applyFont="1" applyBorder="1" applyAlignment="1">
      <alignment horizontal="right" vertical="center"/>
    </xf>
    <xf numFmtId="0" fontId="12" fillId="41" borderId="0" xfId="0" applyFont="1" applyFill="1" applyAlignment="1">
      <alignment horizontal="left"/>
    </xf>
    <xf numFmtId="17" fontId="12" fillId="41" borderId="0" xfId="0" applyNumberFormat="1" applyFont="1" applyFill="1" applyAlignment="1">
      <alignment horizontal="left"/>
    </xf>
    <xf numFmtId="14" fontId="39" fillId="0" borderId="23" xfId="0" applyNumberFormat="1" applyFont="1" applyBorder="1" applyAlignment="1">
      <alignment horizontal="left" vertical="center"/>
    </xf>
    <xf numFmtId="0" fontId="39" fillId="0" borderId="23" xfId="0" quotePrefix="1" applyFont="1" applyBorder="1" applyAlignment="1">
      <alignment horizontal="center" vertical="center"/>
    </xf>
    <xf numFmtId="0" fontId="39" fillId="0" borderId="23" xfId="0" applyFont="1" applyBorder="1" applyAlignment="1">
      <alignment horizontal="left" vertical="center"/>
    </xf>
    <xf numFmtId="0" fontId="39" fillId="0" borderId="23" xfId="0" applyFont="1" applyBorder="1" applyAlignment="1">
      <alignment horizontal="center" vertical="center"/>
    </xf>
    <xf numFmtId="0" fontId="39" fillId="0" borderId="23" xfId="0" applyFont="1" applyBorder="1" applyAlignment="1">
      <alignment horizontal="right" vertical="center"/>
    </xf>
    <xf numFmtId="4" fontId="39" fillId="0" borderId="23" xfId="0" applyNumberFormat="1" applyFont="1" applyBorder="1" applyAlignment="1">
      <alignment horizontal="center" vertical="center"/>
    </xf>
    <xf numFmtId="14" fontId="0" fillId="0" borderId="0" xfId="0" applyNumberFormat="1"/>
    <xf numFmtId="0" fontId="33" fillId="0" borderId="15" xfId="0" applyFont="1" applyBorder="1"/>
    <xf numFmtId="0" fontId="31" fillId="0" borderId="15" xfId="0" applyFont="1" applyBorder="1"/>
    <xf numFmtId="0" fontId="34" fillId="0" borderId="0" xfId="0" applyFont="1"/>
    <xf numFmtId="4" fontId="34" fillId="0" borderId="0" xfId="0" applyNumberFormat="1" applyFont="1"/>
    <xf numFmtId="167" fontId="34" fillId="0" borderId="0" xfId="0" applyNumberFormat="1" applyFont="1"/>
    <xf numFmtId="14" fontId="40" fillId="0" borderId="0" xfId="0" applyNumberFormat="1" applyFont="1" applyAlignment="1">
      <alignment vertical="center" wrapText="1"/>
    </xf>
    <xf numFmtId="0" fontId="40" fillId="0" borderId="0" xfId="0" applyFont="1" applyAlignment="1">
      <alignment vertical="center" wrapText="1"/>
    </xf>
    <xf numFmtId="0" fontId="2" fillId="42" borderId="24" xfId="0" applyFont="1" applyFill="1" applyBorder="1"/>
    <xf numFmtId="0" fontId="0" fillId="0" borderId="0" xfId="0" pivotButton="1"/>
    <xf numFmtId="168" fontId="4" fillId="0" borderId="0" xfId="0" applyNumberFormat="1" applyFont="1" applyAlignment="1">
      <alignment horizontal="right" vertical="center" wrapText="1"/>
    </xf>
    <xf numFmtId="164" fontId="0" fillId="0" borderId="0" xfId="0" applyNumberFormat="1"/>
    <xf numFmtId="17" fontId="0" fillId="0" borderId="0" xfId="0" applyNumberFormat="1"/>
    <xf numFmtId="43" fontId="0" fillId="0" borderId="0" xfId="61" applyFont="1"/>
    <xf numFmtId="171" fontId="0" fillId="0" borderId="0" xfId="0" applyNumberFormat="1"/>
    <xf numFmtId="41" fontId="0" fillId="0" borderId="0" xfId="0" applyNumberFormat="1"/>
    <xf numFmtId="0" fontId="0" fillId="37" borderId="0" xfId="0" applyFill="1"/>
    <xf numFmtId="41" fontId="0" fillId="37" borderId="0" xfId="0" applyNumberFormat="1" applyFill="1"/>
    <xf numFmtId="43" fontId="0" fillId="0" borderId="0" xfId="61" applyFont="1" applyFill="1"/>
    <xf numFmtId="43" fontId="39" fillId="0" borderId="23" xfId="61" applyFont="1" applyBorder="1" applyAlignment="1">
      <alignment horizontal="center" vertical="center"/>
    </xf>
    <xf numFmtId="43" fontId="40" fillId="0" borderId="0" xfId="61" applyFont="1" applyAlignment="1">
      <alignment vertical="center" wrapText="1"/>
    </xf>
    <xf numFmtId="4" fontId="41" fillId="0" borderId="0" xfId="0" applyNumberFormat="1" applyFont="1"/>
    <xf numFmtId="0" fontId="0" fillId="43" borderId="0" xfId="0" applyFill="1"/>
    <xf numFmtId="43" fontId="2" fillId="0" borderId="0" xfId="61" applyFont="1"/>
    <xf numFmtId="10" fontId="2" fillId="0" borderId="0" xfId="1" applyNumberFormat="1" applyFont="1"/>
    <xf numFmtId="164" fontId="0" fillId="0" borderId="0" xfId="0" applyNumberFormat="1" applyProtection="1">
      <protection locked="0"/>
    </xf>
    <xf numFmtId="0" fontId="42" fillId="37" borderId="0" xfId="0" applyFont="1" applyFill="1" applyAlignment="1" applyProtection="1">
      <alignment horizontal="center"/>
      <protection locked="0"/>
    </xf>
    <xf numFmtId="44" fontId="12" fillId="0" borderId="0" xfId="73" applyFont="1" applyAlignment="1" applyProtection="1">
      <alignment horizontal="center" vertical="center"/>
      <protection locked="0"/>
    </xf>
    <xf numFmtId="168" fontId="4" fillId="0" borderId="11" xfId="0" applyNumberFormat="1" applyFont="1" applyBorder="1" applyAlignment="1" applyProtection="1">
      <alignment horizontal="right" vertical="center" wrapText="1"/>
      <protection locked="0"/>
    </xf>
    <xf numFmtId="168" fontId="4" fillId="36" borderId="13" xfId="0" applyNumberFormat="1" applyFont="1" applyFill="1" applyBorder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68" fontId="4" fillId="36" borderId="14" xfId="0" applyNumberFormat="1" applyFont="1" applyFill="1" applyBorder="1" applyAlignment="1">
      <alignment horizontal="right" vertical="center"/>
    </xf>
    <xf numFmtId="9" fontId="8" fillId="0" borderId="13" xfId="0" quotePrefix="1" applyNumberFormat="1" applyFont="1" applyBorder="1" applyAlignment="1" applyProtection="1">
      <alignment horizontal="right" vertical="center"/>
      <protection locked="0"/>
    </xf>
    <xf numFmtId="168" fontId="7" fillId="0" borderId="13" xfId="0" quotePrefix="1" applyNumberFormat="1" applyFont="1" applyBorder="1" applyAlignment="1" applyProtection="1">
      <alignment horizontal="right" vertical="center"/>
      <protection locked="0"/>
    </xf>
    <xf numFmtId="165" fontId="4" fillId="0" borderId="0" xfId="0" applyNumberFormat="1" applyFont="1" applyAlignment="1">
      <alignment horizontal="right" vertical="center"/>
    </xf>
    <xf numFmtId="168" fontId="7" fillId="0" borderId="13" xfId="0" applyNumberFormat="1" applyFont="1" applyBorder="1" applyAlignment="1" applyProtection="1">
      <alignment horizontal="right" vertical="center"/>
      <protection locked="0"/>
    </xf>
    <xf numFmtId="168" fontId="7" fillId="0" borderId="15" xfId="0" applyNumberFormat="1" applyFont="1" applyBorder="1" applyAlignment="1">
      <alignment horizontal="right" vertical="center"/>
    </xf>
    <xf numFmtId="168" fontId="4" fillId="0" borderId="0" xfId="0" applyNumberFormat="1" applyFont="1" applyAlignment="1">
      <alignment horizontal="right" vertical="center"/>
    </xf>
    <xf numFmtId="165" fontId="6" fillId="34" borderId="14" xfId="1" applyNumberFormat="1" applyFont="1" applyFill="1" applyBorder="1" applyAlignment="1" applyProtection="1">
      <alignment vertical="center"/>
    </xf>
    <xf numFmtId="165" fontId="6" fillId="34" borderId="12" xfId="1" applyNumberFormat="1" applyFont="1" applyFill="1" applyBorder="1" applyAlignment="1" applyProtection="1">
      <alignment vertical="center"/>
    </xf>
    <xf numFmtId="168" fontId="8" fillId="0" borderId="13" xfId="0" quotePrefix="1" applyNumberFormat="1" applyFont="1" applyBorder="1" applyAlignment="1" applyProtection="1">
      <alignment horizontal="right" vertical="center"/>
      <protection locked="0"/>
    </xf>
    <xf numFmtId="172" fontId="3" fillId="0" borderId="0" xfId="2" applyNumberFormat="1" applyFont="1" applyAlignment="1">
      <alignment vertical="center" wrapText="1"/>
    </xf>
    <xf numFmtId="17" fontId="4" fillId="44" borderId="10" xfId="0" applyNumberFormat="1" applyFont="1" applyFill="1" applyBorder="1" applyAlignment="1" applyProtection="1">
      <alignment horizontal="right" vertical="center" wrapText="1"/>
      <protection locked="0"/>
    </xf>
    <xf numFmtId="4" fontId="0" fillId="0" borderId="0" xfId="0" applyNumberFormat="1" applyAlignment="1">
      <alignment horizontal="center"/>
    </xf>
    <xf numFmtId="0" fontId="4" fillId="0" borderId="15" xfId="0" applyFont="1" applyBorder="1" applyAlignment="1" applyProtection="1">
      <alignment horizontal="center" vertical="center" wrapText="1"/>
      <protection locked="0"/>
    </xf>
    <xf numFmtId="4" fontId="43" fillId="0" borderId="0" xfId="0" applyNumberFormat="1" applyFont="1"/>
  </cellXfs>
  <cellStyles count="75">
    <cellStyle name="20% - Énfasis1 2" xfId="35" xr:uid="{1185DB90-4849-424E-B2AB-58A2E7F5B16C}"/>
    <cellStyle name="20% - Énfasis2 2" xfId="39" xr:uid="{CB031776-CD72-4FFD-8E18-B0CE5BE23EC1}"/>
    <cellStyle name="20% - Énfasis3 2" xfId="43" xr:uid="{A67BE943-F1C9-487C-87B9-E0FD4EC5A0F5}"/>
    <cellStyle name="20% - Énfasis4 2" xfId="47" xr:uid="{B9548264-3965-4363-AD88-5E10F0826D95}"/>
    <cellStyle name="20% - Énfasis5 2" xfId="51" xr:uid="{5303C1FB-5BDC-4B74-AFAC-779B4FC39672}"/>
    <cellStyle name="20% - Énfasis6 2" xfId="55" xr:uid="{84749941-CB77-465E-83F8-1E03A36A59B2}"/>
    <cellStyle name="40% - Énfasis1 2" xfId="36" xr:uid="{0DC62DA6-B660-4AE1-ACE2-BE100742EB90}"/>
    <cellStyle name="40% - Énfasis2 2" xfId="40" xr:uid="{343674D6-12B0-445C-AC5E-2AB9D9B8B296}"/>
    <cellStyle name="40% - Énfasis3 2" xfId="44" xr:uid="{E3CE84A7-77F0-4D3D-8E40-63A8963F1789}"/>
    <cellStyle name="40% - Énfasis4 2" xfId="48" xr:uid="{0FB07665-8C45-4FF8-9316-199BB199CFD4}"/>
    <cellStyle name="40% - Énfasis5 2" xfId="52" xr:uid="{28F32C43-8B67-416E-958A-E1BFB9C8F33B}"/>
    <cellStyle name="40% - Énfasis6 2" xfId="56" xr:uid="{484DBCB6-63D5-4D08-9CBF-15ADFB8AC159}"/>
    <cellStyle name="60% - Énfasis1 2" xfId="37" xr:uid="{5DF0F67A-9DBF-42FE-90E9-A7A9859A4A33}"/>
    <cellStyle name="60% - Énfasis2 2" xfId="41" xr:uid="{170AFFFD-52C8-4C6C-9FCF-85244D609932}"/>
    <cellStyle name="60% - Énfasis3 2" xfId="45" xr:uid="{C883136E-234D-4F26-A52D-6B8F37F16AB7}"/>
    <cellStyle name="60% - Énfasis4 2" xfId="49" xr:uid="{E67DF745-0C30-41EE-B41F-209362CB8080}"/>
    <cellStyle name="60% - Énfasis5 2" xfId="53" xr:uid="{831D222C-7F50-44EC-B36B-4E3C83EF6C3E}"/>
    <cellStyle name="60% - Énfasis6 2" xfId="57" xr:uid="{EA5B1FEC-0C83-46BE-AD26-F2AD661966B3}"/>
    <cellStyle name="Bueno 2" xfId="22" xr:uid="{68B75397-F995-4419-AB11-C20BC3188E39}"/>
    <cellStyle name="Cálculo 2" xfId="27" xr:uid="{EE06DE55-7A5E-4ADB-A82C-D45F65890E6B}"/>
    <cellStyle name="Celda de comprobación 2" xfId="29" xr:uid="{C8239B63-2E8E-44FB-BE7F-616191F62E9C}"/>
    <cellStyle name="Celda vinculada 2" xfId="28" xr:uid="{4F894528-62D0-4C90-821D-2E635B88F159}"/>
    <cellStyle name="Encabezado 1 2" xfId="20" xr:uid="{4B3A6B3F-4E64-47E4-9B62-98793AF9EC1D}"/>
    <cellStyle name="Encabezado 4 2" xfId="16" xr:uid="{B9956882-033C-469E-A629-B2AA0438FF10}"/>
    <cellStyle name="Énfasis1 2" xfId="34" xr:uid="{C79A8A19-028E-43F9-B80F-37E5F4384CA8}"/>
    <cellStyle name="Énfasis2 2" xfId="38" xr:uid="{AF008DDE-D61D-41A1-A96D-EC47C7E0B473}"/>
    <cellStyle name="Énfasis3 2" xfId="42" xr:uid="{682E523F-94FB-465F-BD23-4511711443E6}"/>
    <cellStyle name="Énfasis4 2" xfId="46" xr:uid="{65062B86-D016-4AA2-BE61-600A9D0349D6}"/>
    <cellStyle name="Énfasis5 2" xfId="50" xr:uid="{DD64D398-35E9-4F84-A153-1F967C9EC9A5}"/>
    <cellStyle name="Énfasis6 2" xfId="54" xr:uid="{1921E6D3-B21C-4139-879F-5FBDD581FB44}"/>
    <cellStyle name="Entrada 2" xfId="25" xr:uid="{4E155F10-EF67-4A5A-822A-1E0DAD88EDFF}"/>
    <cellStyle name="Euro" xfId="14" xr:uid="{DEF02B32-61E3-467E-9A66-32FFE2362EC6}"/>
    <cellStyle name="Incorrecto 2" xfId="23" xr:uid="{FCD35F9B-C378-4262-A1BC-473C25788F95}"/>
    <cellStyle name="Millares" xfId="61" builtinId="3"/>
    <cellStyle name="Millares 10" xfId="74" xr:uid="{85B7A6F9-DAEF-4274-9018-E3513C451E46}"/>
    <cellStyle name="Millares 2" xfId="9" xr:uid="{3E2A6486-DE8B-49EB-87D3-C439AD296424}"/>
    <cellStyle name="Millares 2 2" xfId="13" xr:uid="{4ACFEA2F-A484-48A0-B363-4588FD0384FF}"/>
    <cellStyle name="Millares 2 2 2" xfId="68" xr:uid="{7BB455AC-ECF8-43A4-99FD-F3B15DB08262}"/>
    <cellStyle name="Millares 2 3" xfId="65" xr:uid="{B0EB7A4D-0EE3-4900-98FD-CE0DF431CF20}"/>
    <cellStyle name="Millares 3" xfId="12" xr:uid="{21C58D7F-E25D-4624-8506-5837F060618C}"/>
    <cellStyle name="Millares 3 2" xfId="67" xr:uid="{B32D53AF-265A-451A-A23F-48E249E528F2}"/>
    <cellStyle name="Millares 4" xfId="8" xr:uid="{DAC0A905-C52D-490A-B6C2-8E6434D63954}"/>
    <cellStyle name="Millares 4 2" xfId="64" xr:uid="{A3CC7A78-0C84-43DC-9FAA-145FA99C38E2}"/>
    <cellStyle name="Millares 5" xfId="60" xr:uid="{C850B64C-DA39-4B84-BF4D-7ED3B9924212}"/>
    <cellStyle name="Millares 5 2" xfId="69" xr:uid="{58E25AB7-5B75-49A4-A8D6-6073D892C16D}"/>
    <cellStyle name="Millares 6" xfId="62" xr:uid="{DF8FF3E8-374B-41F3-B4FC-A728E05CD795}"/>
    <cellStyle name="Millares 6 2" xfId="71" xr:uid="{1AC506C6-A46A-4486-B476-F11336009BF0}"/>
    <cellStyle name="Millares 7" xfId="70" xr:uid="{0815FA52-9833-4202-B32F-46747466D24D}"/>
    <cellStyle name="Millares 8" xfId="63" xr:uid="{580FD3D8-8847-4D25-9D28-39B1BF7554B0}"/>
    <cellStyle name="Millares 9" xfId="72" xr:uid="{9FF89F1E-50CC-4E3F-96D2-23AB507B43E6}"/>
    <cellStyle name="Moneda" xfId="73" builtinId="4"/>
    <cellStyle name="Moneda 2" xfId="11" xr:uid="{0503ED6E-4C83-4F5E-8341-5E830C159184}"/>
    <cellStyle name="Moneda 2 2" xfId="66" xr:uid="{7398F623-DBA1-4C0D-8121-D19951E7A847}"/>
    <cellStyle name="Neutral 2" xfId="24" xr:uid="{706F0D98-A329-483E-9427-5EE87CC4E3D9}"/>
    <cellStyle name="Normal" xfId="0" builtinId="0"/>
    <cellStyle name="Normal 11 2" xfId="2" xr:uid="{FCAA256C-3313-438A-97B1-CA48E939EC91}"/>
    <cellStyle name="Normal 2" xfId="10" xr:uid="{18BC49F9-9FB6-4B31-8BBC-0ADF454C58FC}"/>
    <cellStyle name="Normal 2 2" xfId="6" xr:uid="{AAE65887-7E33-4F4E-B84D-2EF7817F2325}"/>
    <cellStyle name="Normal 3" xfId="4" xr:uid="{9703BC57-7065-4CDD-8D56-CD7D36E625E4}"/>
    <cellStyle name="Normal 3 2" xfId="5" xr:uid="{A6DCFEE1-B0EF-496C-88C5-B6D060CDE4A2}"/>
    <cellStyle name="Normal 3 3" xfId="58" xr:uid="{2848F3FC-54AF-4566-BD8B-2854CD891583}"/>
    <cellStyle name="Normal 3 4" xfId="15" xr:uid="{59565121-23F1-4967-B9C8-E7494E9F872A}"/>
    <cellStyle name="Normal 4" xfId="7" xr:uid="{706D86BB-90CE-4D24-961F-B673ECBE093B}"/>
    <cellStyle name="Normal 6" xfId="18" xr:uid="{2572D460-46C9-4BC9-8B3B-BFC1B80B1E51}"/>
    <cellStyle name="Notas 2" xfId="31" xr:uid="{56BE95F6-C863-452F-B9FE-F82D291219D5}"/>
    <cellStyle name="Percent 18" xfId="3" xr:uid="{C01D2DA0-DE87-436F-84D8-36E30888A597}"/>
    <cellStyle name="Percent 2" xfId="59" xr:uid="{F4B69C19-ED23-4F15-9B90-5C1473FAC5F2}"/>
    <cellStyle name="Porcentaje" xfId="1" builtinId="5"/>
    <cellStyle name="Salida 2" xfId="26" xr:uid="{8136F0BA-950E-4710-8B08-C37B852AE956}"/>
    <cellStyle name="Texto de advertencia 2" xfId="30" xr:uid="{0BF1FA36-35D2-4C4A-BE69-0AB9A55991E4}"/>
    <cellStyle name="Texto explicativo 2" xfId="32" xr:uid="{A3FCDB21-8291-4D6B-91E4-7B6E668C6B75}"/>
    <cellStyle name="Título 2 2" xfId="21" xr:uid="{9800D652-5CB1-48E9-B201-0AF49E71A33D}"/>
    <cellStyle name="Título 3 2" xfId="17" xr:uid="{776BAD81-98D9-4D26-8B7D-E76FBD6FBBF6}"/>
    <cellStyle name="Título 4" xfId="19" xr:uid="{F80139BF-3F45-41CD-BF67-DFFAEF585870}"/>
    <cellStyle name="Total 2" xfId="33" xr:uid="{05B74CE7-C7F2-435C-8726-12D1C31FD517}"/>
  </cellStyles>
  <dxfs count="13">
    <dxf>
      <fill>
        <patternFill patternType="solid">
          <bgColor rgb="FFFFFF00"/>
        </patternFill>
      </fill>
    </dxf>
    <dxf>
      <font>
        <color theme="1"/>
      </font>
    </dxf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REPORTING%20SIMPLIFICADO/SEPTIEMBRE/Balances/2026-09-Codiagro%20P&amp;L%20solo%20busquedas.xlsx" TargetMode="External"/><Relationship Id="rId2" Type="http://schemas.openxmlformats.org/officeDocument/2006/relationships/externalLinkPath" Target="https://agroquimicacodiagro365-my.sharepoint.com/personal/oscar_ocampo_codiagro_com/Documents/Escritorio/REPORTING%20SIMPLIFICADO/SEPTIEMBRE/Balances/2026-09-Codiagro%20P&amp;L%20solo%20busquedas.xlsx" TargetMode="External"/><Relationship Id="rId1" Type="http://schemas.openxmlformats.org/officeDocument/2006/relationships/externalLinkPath" Target="/personal/oscar_ocampo_codiagro_com/Documents/Escritorio/REPORTING%20SIMPLIFICADO/SEPTIEMBRE/Balances/2026-09-Codiagro%20P&amp;L%20solo%20busqueda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7-P&amp;L%20Codiagro%20para%20grupo.xlsx" TargetMode="External"/><Relationship Id="rId2" Type="http://schemas.openxmlformats.org/officeDocument/2006/relationships/externalLinkPath" Target="https://agroquimicacodiagro365-my.sharepoint.com/personal/oscar_ocampo_codiagro_com/Documents/Escritorio/Presupuesto%202026/2027-P&amp;L%20Codiagro%20para%20grupo.xlsx" TargetMode="External"/><Relationship Id="rId1" Type="http://schemas.openxmlformats.org/officeDocument/2006/relationships/externalLinkPath" Target="/personal/oscar_ocampo_codiagro_com/Documents/Escritorio/Presupuesto%202026/2027-P&amp;L%20Codiagro%20para%20grup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TABLA"/>
      <sheetName val="PL Mensual 2026"/>
      <sheetName val="Ginger"/>
      <sheetName val="Extraitems 2026"/>
      <sheetName val="Ext Items 2026"/>
      <sheetName val="Ext Items Budget"/>
      <sheetName val="Ext Items 2025"/>
      <sheetName val="Cuenta Ok"/>
      <sheetName val="P&amp;L Mensualitzada 2025"/>
      <sheetName val="Budget26 sin E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K2">
            <v>250047.3900000001</v>
          </cell>
          <cell r="L2">
            <v>889710.85000000044</v>
          </cell>
          <cell r="M2">
            <v>874282.34999999963</v>
          </cell>
          <cell r="N2">
            <v>676576.86000000034</v>
          </cell>
          <cell r="O2">
            <v>1013450.7200000003</v>
          </cell>
          <cell r="P2">
            <v>830198.85000000068</v>
          </cell>
          <cell r="Q2">
            <v>410468.3057810028</v>
          </cell>
          <cell r="R2">
            <v>205726.73896870407</v>
          </cell>
          <cell r="S2">
            <v>130436.93076719136</v>
          </cell>
        </row>
        <row r="3">
          <cell r="I3" t="str">
            <v>Cuenta</v>
          </cell>
          <cell r="J3" t="str">
            <v>Grupo Ext Item</v>
          </cell>
          <cell r="K3">
            <v>46023</v>
          </cell>
          <cell r="L3">
            <v>46054</v>
          </cell>
          <cell r="M3">
            <v>46082</v>
          </cell>
          <cell r="N3">
            <v>46113</v>
          </cell>
          <cell r="O3">
            <v>46143</v>
          </cell>
          <cell r="P3">
            <v>46174</v>
          </cell>
          <cell r="Q3">
            <v>46204</v>
          </cell>
          <cell r="R3">
            <v>46235</v>
          </cell>
          <cell r="S3">
            <v>46266</v>
          </cell>
        </row>
        <row r="4">
          <cell r="I4" t="str">
            <v>700000000 - Ventas de mercaderías</v>
          </cell>
          <cell r="J4" t="str">
            <v>-</v>
          </cell>
          <cell r="K4">
            <v>993280.49</v>
          </cell>
          <cell r="L4">
            <v>1607537.98</v>
          </cell>
          <cell r="M4">
            <v>1536177.86</v>
          </cell>
          <cell r="N4">
            <v>1217250.42</v>
          </cell>
          <cell r="O4">
            <v>2029266.99</v>
          </cell>
          <cell r="P4">
            <v>2009948.67</v>
          </cell>
          <cell r="Q4">
            <v>1288443.6399999999</v>
          </cell>
          <cell r="R4">
            <v>802410.56</v>
          </cell>
          <cell r="S4">
            <v>632880.06999999995</v>
          </cell>
        </row>
        <row r="5">
          <cell r="I5" t="str">
            <v>700000001 - VENTA MERCADERIAS POR ANTICIPO</v>
          </cell>
          <cell r="J5" t="str">
            <v>-</v>
          </cell>
          <cell r="K5">
            <v>0</v>
          </cell>
          <cell r="L5">
            <v>0</v>
          </cell>
          <cell r="M5">
            <v>0</v>
          </cell>
          <cell r="N5">
            <v>106250.17</v>
          </cell>
          <cell r="O5">
            <v>-106250.17</v>
          </cell>
          <cell r="P5" t="str">
            <v xml:space="preserve">                            -  </v>
          </cell>
          <cell r="Q5">
            <v>0</v>
          </cell>
          <cell r="R5">
            <v>0</v>
          </cell>
          <cell r="S5">
            <v>0</v>
          </cell>
        </row>
        <row r="6">
          <cell r="I6" t="str">
            <v>700000624 - VENTA POR TRANSP. REP. AL CLIENTE</v>
          </cell>
          <cell r="J6" t="str">
            <v>-</v>
          </cell>
          <cell r="K6">
            <v>17921.38</v>
          </cell>
          <cell r="L6">
            <v>12025.38</v>
          </cell>
          <cell r="M6">
            <v>8455.5499999999993</v>
          </cell>
          <cell r="N6">
            <v>0</v>
          </cell>
          <cell r="O6">
            <v>0</v>
          </cell>
          <cell r="P6" t="str">
            <v xml:space="preserve">                            -  </v>
          </cell>
          <cell r="Q6">
            <v>0</v>
          </cell>
          <cell r="R6" t="str">
            <v xml:space="preserve">                                             -  </v>
          </cell>
          <cell r="S6" t="str">
            <v xml:space="preserve">                                             -  </v>
          </cell>
        </row>
        <row r="7">
          <cell r="I7" t="str">
            <v>700001624 - VENTA POR TRANSPORTE REP. AL CLIENTE DEFINITIVO</v>
          </cell>
          <cell r="J7" t="str">
            <v>-</v>
          </cell>
          <cell r="K7">
            <v>0</v>
          </cell>
          <cell r="L7">
            <v>0</v>
          </cell>
          <cell r="M7">
            <v>0</v>
          </cell>
          <cell r="N7">
            <v>750.75</v>
          </cell>
          <cell r="O7">
            <v>25140.75</v>
          </cell>
          <cell r="P7">
            <v>22977.599999999999</v>
          </cell>
          <cell r="Q7">
            <v>11027.24</v>
          </cell>
          <cell r="R7">
            <v>11429</v>
          </cell>
          <cell r="S7">
            <v>9613</v>
          </cell>
        </row>
        <row r="8">
          <cell r="I8" t="str">
            <v>700000769 - INGRESOS POR RETRASOS DE COBRO Y ACTUALIZACION</v>
          </cell>
          <cell r="J8" t="str">
            <v>-</v>
          </cell>
          <cell r="K8">
            <v>5635.79</v>
          </cell>
          <cell r="L8">
            <v>202.81</v>
          </cell>
          <cell r="M8">
            <v>178.05</v>
          </cell>
          <cell r="N8">
            <v>0</v>
          </cell>
          <cell r="O8" t="str">
            <v xml:space="preserve">                            -  </v>
          </cell>
          <cell r="P8" t="str">
            <v xml:space="preserve">                            -  </v>
          </cell>
          <cell r="Q8">
            <v>0</v>
          </cell>
          <cell r="R8" t="str">
            <v xml:space="preserve">                                             -  </v>
          </cell>
          <cell r="S8" t="str">
            <v xml:space="preserve">                                             -  </v>
          </cell>
        </row>
        <row r="9">
          <cell r="I9" t="str">
            <v>700000769 - INGRESOS POR RETRASOS DE COBRO Y ACTUALIZACION</v>
          </cell>
          <cell r="J9" t="str">
            <v>-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 t="str">
            <v xml:space="preserve">                            -  </v>
          </cell>
          <cell r="P9" t="str">
            <v xml:space="preserve">                            -  </v>
          </cell>
          <cell r="Q9">
            <v>0</v>
          </cell>
          <cell r="R9" t="str">
            <v xml:space="preserve">                                             -  </v>
          </cell>
          <cell r="S9" t="str">
            <v xml:space="preserve">                                             -  </v>
          </cell>
        </row>
        <row r="10">
          <cell r="I10" t="str">
            <v>702000000 - Ventas de productos semiterminados</v>
          </cell>
          <cell r="J10" t="str">
            <v>-</v>
          </cell>
          <cell r="K10">
            <v>0</v>
          </cell>
          <cell r="L10">
            <v>0</v>
          </cell>
          <cell r="M10">
            <v>0</v>
          </cell>
          <cell r="N10">
            <v>51164.86</v>
          </cell>
          <cell r="O10">
            <v>101865.8</v>
          </cell>
          <cell r="P10">
            <v>70011.64</v>
          </cell>
          <cell r="Q10">
            <v>17402.29</v>
          </cell>
          <cell r="R10">
            <v>141074.4</v>
          </cell>
          <cell r="S10">
            <v>-16492.8</v>
          </cell>
        </row>
        <row r="11">
          <cell r="I11" t="str">
            <v>703000000 - Ventas de subproductos y residuos</v>
          </cell>
          <cell r="J11" t="str">
            <v>-</v>
          </cell>
          <cell r="K11">
            <v>0</v>
          </cell>
          <cell r="L11">
            <v>0</v>
          </cell>
          <cell r="M11">
            <v>26.26</v>
          </cell>
          <cell r="N11">
            <v>0</v>
          </cell>
          <cell r="O11" t="str">
            <v xml:space="preserve">                            -  </v>
          </cell>
          <cell r="P11" t="str">
            <v xml:space="preserve">                            -  </v>
          </cell>
          <cell r="Q11">
            <v>0</v>
          </cell>
          <cell r="R11" t="str">
            <v xml:space="preserve">                                             -  </v>
          </cell>
          <cell r="S11">
            <v>2751.2</v>
          </cell>
        </row>
        <row r="12">
          <cell r="I12" t="str">
            <v>704000000 - Ventas de envases y embalajes</v>
          </cell>
          <cell r="J12" t="str">
            <v>-</v>
          </cell>
          <cell r="K12">
            <v>0</v>
          </cell>
          <cell r="L12">
            <v>4500</v>
          </cell>
          <cell r="M12">
            <v>13500</v>
          </cell>
          <cell r="N12">
            <v>35533.660000000003</v>
          </cell>
          <cell r="O12">
            <v>80917.990000000005</v>
          </cell>
          <cell r="P12">
            <v>44823.06</v>
          </cell>
          <cell r="Q12">
            <v>26969.69</v>
          </cell>
          <cell r="R12">
            <v>59572.72</v>
          </cell>
          <cell r="S12">
            <v>1203.47</v>
          </cell>
        </row>
        <row r="13">
          <cell r="I13" t="str">
            <v>705000000 - Prestaciones de servicios</v>
          </cell>
          <cell r="J13" t="str">
            <v>-</v>
          </cell>
          <cell r="K13">
            <v>0</v>
          </cell>
          <cell r="L13">
            <v>0</v>
          </cell>
          <cell r="M13">
            <v>0</v>
          </cell>
          <cell r="N13">
            <v>48700.800000000003</v>
          </cell>
          <cell r="O13">
            <v>111557.6</v>
          </cell>
          <cell r="P13">
            <v>70833.600000000006</v>
          </cell>
          <cell r="Q13">
            <v>41581</v>
          </cell>
          <cell r="R13">
            <v>101520</v>
          </cell>
          <cell r="S13">
            <v>3682.8</v>
          </cell>
        </row>
        <row r="14">
          <cell r="I14" t="str">
            <v>705000001 - INGRESO POR GESTIÓN DE ENVASES</v>
          </cell>
          <cell r="J14" t="str">
            <v>-</v>
          </cell>
          <cell r="K14">
            <v>1295.6300000000001</v>
          </cell>
          <cell r="L14">
            <v>6097.12</v>
          </cell>
          <cell r="M14">
            <v>-1420.15</v>
          </cell>
          <cell r="N14">
            <v>3246.37</v>
          </cell>
          <cell r="O14">
            <v>2913.09</v>
          </cell>
          <cell r="P14">
            <v>2313.16</v>
          </cell>
          <cell r="Q14">
            <v>2210.59</v>
          </cell>
          <cell r="R14">
            <v>1694.59</v>
          </cell>
          <cell r="S14">
            <v>1405.89</v>
          </cell>
        </row>
        <row r="15">
          <cell r="I15" t="str">
            <v>706000000 - Dtos. ventas por pronto pago mercaderías</v>
          </cell>
          <cell r="J15" t="str">
            <v>-</v>
          </cell>
          <cell r="K15">
            <v>-34316.160000000003</v>
          </cell>
          <cell r="L15">
            <v>-77173.86</v>
          </cell>
          <cell r="M15">
            <v>-22849.78</v>
          </cell>
          <cell r="N15">
            <v>0</v>
          </cell>
          <cell r="O15">
            <v>0</v>
          </cell>
          <cell r="P15" t="str">
            <v xml:space="preserve">                            -  </v>
          </cell>
          <cell r="Q15">
            <v>0</v>
          </cell>
          <cell r="R15" t="str">
            <v xml:space="preserve">                                             -  </v>
          </cell>
          <cell r="S15" t="str">
            <v xml:space="preserve">                                             -  </v>
          </cell>
        </row>
        <row r="16">
          <cell r="I16" t="str">
            <v>709000000 - «Rappels» ventas de mercaderías</v>
          </cell>
          <cell r="J16" t="str">
            <v>-</v>
          </cell>
          <cell r="K16">
            <v>0</v>
          </cell>
          <cell r="L16">
            <v>0</v>
          </cell>
          <cell r="M16">
            <v>-278.38</v>
          </cell>
          <cell r="N16">
            <v>0</v>
          </cell>
          <cell r="O16" t="str">
            <v xml:space="preserve">                            -  </v>
          </cell>
          <cell r="P16" t="str">
            <v xml:space="preserve">                            -  </v>
          </cell>
          <cell r="Q16">
            <v>0</v>
          </cell>
          <cell r="R16" t="str">
            <v xml:space="preserve">                                             -  </v>
          </cell>
          <cell r="S16" t="str">
            <v xml:space="preserve">                                             -  </v>
          </cell>
        </row>
        <row r="17">
          <cell r="I17" t="str">
            <v>709000001 - PROVISION RAPPELS</v>
          </cell>
          <cell r="J17" t="str">
            <v>-</v>
          </cell>
          <cell r="K17">
            <v>0</v>
          </cell>
          <cell r="L17">
            <v>-82761.279999999999</v>
          </cell>
          <cell r="M17">
            <v>0</v>
          </cell>
          <cell r="N17">
            <v>0</v>
          </cell>
          <cell r="O17" t="str">
            <v xml:space="preserve">                            -  </v>
          </cell>
          <cell r="P17">
            <v>-50000</v>
          </cell>
          <cell r="Q17">
            <v>0</v>
          </cell>
          <cell r="R17">
            <v>-16000</v>
          </cell>
          <cell r="S17">
            <v>-12327.75</v>
          </cell>
        </row>
        <row r="18">
          <cell r="I18" t="str">
            <v>771000000 - Beneficios del inmovilizado material</v>
          </cell>
          <cell r="J18" t="str">
            <v>-</v>
          </cell>
          <cell r="K18">
            <v>0</v>
          </cell>
          <cell r="L18">
            <v>0</v>
          </cell>
          <cell r="M18">
            <v>2000</v>
          </cell>
          <cell r="N18">
            <v>0</v>
          </cell>
          <cell r="O18" t="str">
            <v xml:space="preserve">                            -  </v>
          </cell>
          <cell r="P18" t="str">
            <v xml:space="preserve">                            -  </v>
          </cell>
          <cell r="Q18">
            <v>0</v>
          </cell>
          <cell r="R18" t="str">
            <v xml:space="preserve">                                             -  </v>
          </cell>
          <cell r="S18" t="str">
            <v xml:space="preserve">                                             -  </v>
          </cell>
        </row>
        <row r="19">
          <cell r="I19" t="str">
            <v>678000000 - Gastos excepcionales</v>
          </cell>
          <cell r="J19" t="str">
            <v>-</v>
          </cell>
          <cell r="K19">
            <v>-0.2</v>
          </cell>
          <cell r="L19">
            <v>0</v>
          </cell>
          <cell r="M19">
            <v>-0.14000000000000001</v>
          </cell>
          <cell r="N19">
            <v>-93.18</v>
          </cell>
          <cell r="O19">
            <v>-1.43</v>
          </cell>
          <cell r="P19" t="str">
            <v xml:space="preserve">                            -  </v>
          </cell>
          <cell r="Q19">
            <v>-88.03</v>
          </cell>
          <cell r="R19">
            <v>-0.02</v>
          </cell>
          <cell r="S19" t="str">
            <v xml:space="preserve">                                             -  </v>
          </cell>
        </row>
        <row r="20">
          <cell r="I20" t="str">
            <v>778000000 - Ingresos excepcionales</v>
          </cell>
          <cell r="J20" t="str">
            <v>-</v>
          </cell>
          <cell r="K20">
            <v>3065.47</v>
          </cell>
          <cell r="L20">
            <v>0.02</v>
          </cell>
          <cell r="M20">
            <v>0</v>
          </cell>
          <cell r="N20">
            <v>1117.44</v>
          </cell>
          <cell r="O20" t="str">
            <v xml:space="preserve">                            -  </v>
          </cell>
          <cell r="P20" t="str">
            <v xml:space="preserve">                            -  </v>
          </cell>
          <cell r="Q20">
            <v>0</v>
          </cell>
          <cell r="R20">
            <v>0.01</v>
          </cell>
          <cell r="S20">
            <v>0.2</v>
          </cell>
        </row>
        <row r="21">
          <cell r="I21" t="str">
            <v>711000000 - Variación existencias de prod. semiterminados</v>
          </cell>
          <cell r="J21" t="str">
            <v>-</v>
          </cell>
          <cell r="K21">
            <v>1191.8499999999999</v>
          </cell>
          <cell r="L21">
            <v>-20400.169999999998</v>
          </cell>
          <cell r="M21">
            <v>-3284.66</v>
          </cell>
          <cell r="N21">
            <v>15429.21</v>
          </cell>
          <cell r="O21">
            <v>4436.0200000000004</v>
          </cell>
          <cell r="P21">
            <v>-12387.42</v>
          </cell>
          <cell r="Q21">
            <v>-48438.2</v>
          </cell>
          <cell r="R21">
            <v>27557.62</v>
          </cell>
          <cell r="S21">
            <v>-30979.93</v>
          </cell>
        </row>
        <row r="22">
          <cell r="I22" t="str">
            <v>712000000 - Variación existencias de prod. terminados</v>
          </cell>
          <cell r="J22" t="str">
            <v>-</v>
          </cell>
          <cell r="K22">
            <v>-86069.93</v>
          </cell>
          <cell r="L22">
            <v>70405.740000000005</v>
          </cell>
          <cell r="M22">
            <v>86837.43</v>
          </cell>
          <cell r="N22">
            <v>-6784.01</v>
          </cell>
          <cell r="O22">
            <v>-34727.120000000003</v>
          </cell>
          <cell r="P22">
            <v>-77717.45</v>
          </cell>
          <cell r="Q22">
            <v>42145.57</v>
          </cell>
          <cell r="R22">
            <v>-20822.98</v>
          </cell>
          <cell r="S22">
            <v>-78386.559999999998</v>
          </cell>
        </row>
        <row r="23">
          <cell r="I23" t="str">
            <v>601000000 - Compras de materias primas</v>
          </cell>
          <cell r="J23" t="str">
            <v>-</v>
          </cell>
          <cell r="K23">
            <v>-372155.73</v>
          </cell>
          <cell r="L23">
            <v>-297001.90000000002</v>
          </cell>
          <cell r="M23">
            <v>-399090.87</v>
          </cell>
          <cell r="N23">
            <v>-391545.47</v>
          </cell>
          <cell r="O23">
            <v>-417425.43</v>
          </cell>
          <cell r="P23">
            <v>-463948.65</v>
          </cell>
          <cell r="Q23">
            <v>-379588.73</v>
          </cell>
          <cell r="R23">
            <v>-265516.84000000003</v>
          </cell>
          <cell r="S23">
            <v>-91631.27</v>
          </cell>
        </row>
        <row r="24">
          <cell r="I24" t="str">
            <v>601000001 - COMPRAS MAT. PRIMAS INTRACOMUNITARIAS</v>
          </cell>
          <cell r="J24" t="str">
            <v>-</v>
          </cell>
          <cell r="K24">
            <v>0</v>
          </cell>
          <cell r="L24">
            <v>-160090</v>
          </cell>
          <cell r="M24">
            <v>-58800</v>
          </cell>
          <cell r="N24">
            <v>0</v>
          </cell>
          <cell r="O24">
            <v>-108150</v>
          </cell>
          <cell r="P24" t="str">
            <v xml:space="preserve">                            -  </v>
          </cell>
          <cell r="Q24">
            <v>0</v>
          </cell>
          <cell r="R24">
            <v>-64800</v>
          </cell>
          <cell r="S24">
            <v>-108150</v>
          </cell>
        </row>
        <row r="25">
          <cell r="I25" t="str">
            <v>602000001 - COMPRA DE ENVASES Y EMBALAJES</v>
          </cell>
          <cell r="J25" t="str">
            <v>-</v>
          </cell>
          <cell r="K25">
            <v>-103817.84</v>
          </cell>
          <cell r="L25">
            <v>-62983.5</v>
          </cell>
          <cell r="M25">
            <v>-55812.27</v>
          </cell>
          <cell r="N25">
            <v>-92652.34</v>
          </cell>
          <cell r="O25">
            <v>-111111.14</v>
          </cell>
          <cell r="P25">
            <v>-133989.04</v>
          </cell>
          <cell r="Q25">
            <v>-172260.74</v>
          </cell>
          <cell r="R25">
            <v>-68178.759999999995</v>
          </cell>
          <cell r="S25">
            <v>-48494.97</v>
          </cell>
        </row>
        <row r="26">
          <cell r="I26" t="str">
            <v>602000000 - Compras de otros aprovisionamientos</v>
          </cell>
          <cell r="J26" t="str">
            <v>-</v>
          </cell>
          <cell r="P26">
            <v>-30306.17</v>
          </cell>
          <cell r="Q26">
            <v>0</v>
          </cell>
          <cell r="R26" t="str">
            <v xml:space="preserve">                                             -  </v>
          </cell>
          <cell r="S26">
            <v>30306.17</v>
          </cell>
        </row>
        <row r="27">
          <cell r="I27" t="str">
            <v>602000002 - COMPRA DE ETIQUETAS</v>
          </cell>
          <cell r="J27" t="str">
            <v>-</v>
          </cell>
          <cell r="K27">
            <v>-12617.31</v>
          </cell>
          <cell r="L27">
            <v>-5458.67</v>
          </cell>
          <cell r="M27">
            <v>-15267.33</v>
          </cell>
          <cell r="N27">
            <v>-9307.32</v>
          </cell>
          <cell r="O27">
            <v>-2784.91</v>
          </cell>
          <cell r="P27">
            <v>-5867.49</v>
          </cell>
          <cell r="Q27">
            <v>-10270.19</v>
          </cell>
          <cell r="R27">
            <v>-2886.68</v>
          </cell>
          <cell r="S27" t="str">
            <v xml:space="preserve">                                             -  </v>
          </cell>
        </row>
        <row r="28">
          <cell r="I28" t="str">
            <v>602000003 - COMPRA DE PALETS</v>
          </cell>
          <cell r="J28" t="str">
            <v>-</v>
          </cell>
          <cell r="K28">
            <v>-7425.6</v>
          </cell>
          <cell r="L28">
            <v>-3712.8</v>
          </cell>
          <cell r="M28">
            <v>-4331.6000000000004</v>
          </cell>
          <cell r="N28">
            <v>-12608.05</v>
          </cell>
          <cell r="O28">
            <v>-17326.400000000001</v>
          </cell>
          <cell r="P28">
            <v>-12994.8</v>
          </cell>
          <cell r="Q28">
            <v>-4331.6000000000004</v>
          </cell>
          <cell r="R28">
            <v>-4331.6000000000004</v>
          </cell>
          <cell r="S28">
            <v>-1856.4</v>
          </cell>
        </row>
        <row r="29">
          <cell r="I29" t="str">
            <v>602000004 - COMPRA MATERIAL DE LIMPIEZA</v>
          </cell>
          <cell r="J29" t="str">
            <v>-</v>
          </cell>
          <cell r="K29">
            <v>-131.91999999999999</v>
          </cell>
          <cell r="L29">
            <v>0</v>
          </cell>
          <cell r="M29">
            <v>0</v>
          </cell>
          <cell r="N29">
            <v>0</v>
          </cell>
          <cell r="O29" t="str">
            <v xml:space="preserve">                            -  </v>
          </cell>
          <cell r="P29" t="str">
            <v xml:space="preserve">                            -  </v>
          </cell>
          <cell r="Q29">
            <v>0</v>
          </cell>
          <cell r="R29" t="str">
            <v xml:space="preserve">                                             -  </v>
          </cell>
          <cell r="S29">
            <v>-130.41999999999999</v>
          </cell>
        </row>
        <row r="30">
          <cell r="I30" t="str">
            <v>602000005 - COMPRA MATERIAL DE OFICINA</v>
          </cell>
          <cell r="J30" t="str">
            <v>-</v>
          </cell>
          <cell r="K30">
            <v>-95.3</v>
          </cell>
          <cell r="L30">
            <v>-136</v>
          </cell>
          <cell r="M30">
            <v>0</v>
          </cell>
          <cell r="N30">
            <v>-380.75</v>
          </cell>
          <cell r="O30" t="str">
            <v xml:space="preserve">                            -  </v>
          </cell>
          <cell r="P30" t="str">
            <v xml:space="preserve">                            -  </v>
          </cell>
          <cell r="Q30">
            <v>0</v>
          </cell>
          <cell r="R30" t="str">
            <v xml:space="preserve">                                             -  </v>
          </cell>
          <cell r="S30" t="str">
            <v xml:space="preserve">                                             -  </v>
          </cell>
        </row>
        <row r="31">
          <cell r="I31" t="str">
            <v>602000006 - COMPRA TAPONES DE ENVASES</v>
          </cell>
          <cell r="J31" t="str">
            <v>-</v>
          </cell>
          <cell r="K31">
            <v>-3578.65</v>
          </cell>
          <cell r="L31">
            <v>0</v>
          </cell>
          <cell r="M31">
            <v>-5949</v>
          </cell>
          <cell r="N31">
            <v>-5353</v>
          </cell>
          <cell r="O31" t="str">
            <v xml:space="preserve">                            -  </v>
          </cell>
          <cell r="P31">
            <v>-3337.38</v>
          </cell>
          <cell r="Q31">
            <v>-5826.6</v>
          </cell>
          <cell r="R31">
            <v>-1108.8</v>
          </cell>
          <cell r="S31" t="str">
            <v xml:space="preserve">                                             -  </v>
          </cell>
        </row>
        <row r="32">
          <cell r="I32" t="str">
            <v>602000007 - COMPRAS LABORATORIO</v>
          </cell>
          <cell r="J32" t="str">
            <v>-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 t="str">
            <v xml:space="preserve">                            -  </v>
          </cell>
          <cell r="Q32">
            <v>0</v>
          </cell>
          <cell r="R32">
            <v>0</v>
          </cell>
          <cell r="S32">
            <v>0</v>
          </cell>
        </row>
        <row r="33">
          <cell r="I33" t="str">
            <v>602000008 - RESPUESTOS PLANTA</v>
          </cell>
          <cell r="J33" t="str">
            <v>-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 t="str">
            <v xml:space="preserve">                            -  </v>
          </cell>
          <cell r="Q33">
            <v>0</v>
          </cell>
          <cell r="R33">
            <v>0</v>
          </cell>
          <cell r="S33">
            <v>-509.99</v>
          </cell>
        </row>
        <row r="34">
          <cell r="I34" t="str">
            <v>602000010 - COMPRA RIBBON</v>
          </cell>
          <cell r="J34" t="str">
            <v>-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 t="str">
            <v xml:space="preserve">                            -  </v>
          </cell>
          <cell r="Q34">
            <v>0</v>
          </cell>
          <cell r="R34">
            <v>0</v>
          </cell>
          <cell r="S34">
            <v>0</v>
          </cell>
        </row>
        <row r="35">
          <cell r="I35" t="str">
            <v>602000011 - COMPRAS VARIAS PLANTA</v>
          </cell>
          <cell r="J35" t="str">
            <v>-</v>
          </cell>
          <cell r="K35">
            <v>0</v>
          </cell>
          <cell r="L35">
            <v>-1575</v>
          </cell>
          <cell r="M35">
            <v>0</v>
          </cell>
          <cell r="N35">
            <v>0</v>
          </cell>
          <cell r="O35" t="str">
            <v xml:space="preserve">                            -  </v>
          </cell>
          <cell r="P35">
            <v>-1735.41</v>
          </cell>
          <cell r="Q35">
            <v>-175.92</v>
          </cell>
          <cell r="R35">
            <v>-371.23</v>
          </cell>
          <cell r="S35">
            <v>-125.1</v>
          </cell>
        </row>
        <row r="36">
          <cell r="I36" t="str">
            <v>602000012 - REPUESTOS INFORMATICOS</v>
          </cell>
          <cell r="J36" t="str">
            <v>-</v>
          </cell>
          <cell r="K36">
            <v>0</v>
          </cell>
          <cell r="L36">
            <v>-1887.21</v>
          </cell>
          <cell r="M36">
            <v>0</v>
          </cell>
          <cell r="N36">
            <v>0</v>
          </cell>
          <cell r="O36" t="str">
            <v xml:space="preserve">                            -  </v>
          </cell>
          <cell r="P36" t="str">
            <v xml:space="preserve">                            -  </v>
          </cell>
          <cell r="Q36">
            <v>-1232.05</v>
          </cell>
          <cell r="R36" t="str">
            <v xml:space="preserve">                                             -  </v>
          </cell>
          <cell r="S36" t="str">
            <v xml:space="preserve">                                             -  </v>
          </cell>
        </row>
        <row r="37">
          <cell r="I37" t="str">
            <v>602000013 - COMPRA TINTA INPRESORA ETIQUETAS</v>
          </cell>
          <cell r="J37" t="str">
            <v>-</v>
          </cell>
          <cell r="K37">
            <v>-157</v>
          </cell>
          <cell r="L37">
            <v>-2350.16</v>
          </cell>
          <cell r="M37">
            <v>0</v>
          </cell>
          <cell r="N37">
            <v>-2676.19</v>
          </cell>
          <cell r="O37">
            <v>-480.84</v>
          </cell>
          <cell r="P37">
            <v>-2604.9699999999998</v>
          </cell>
          <cell r="Q37">
            <v>-2809.41</v>
          </cell>
          <cell r="R37">
            <v>-2557.66</v>
          </cell>
          <cell r="S37">
            <v>-2381.09</v>
          </cell>
        </row>
        <row r="38">
          <cell r="I38" t="str">
            <v>602000100 - ENVASES Y EMBALAJES A DEVOLVER</v>
          </cell>
          <cell r="J38" t="str">
            <v>-</v>
          </cell>
          <cell r="K38">
            <v>-1200.4000000000001</v>
          </cell>
          <cell r="L38">
            <v>-562</v>
          </cell>
          <cell r="M38">
            <v>-363</v>
          </cell>
          <cell r="N38">
            <v>67</v>
          </cell>
          <cell r="O38">
            <v>1124</v>
          </cell>
          <cell r="P38">
            <v>-1708</v>
          </cell>
          <cell r="Q38">
            <v>1360</v>
          </cell>
          <cell r="R38" t="str">
            <v xml:space="preserve">                                             -  </v>
          </cell>
          <cell r="S38">
            <v>2901</v>
          </cell>
        </row>
        <row r="39">
          <cell r="I39" t="str">
            <v>607000000 - Trabajos realizados por otras empresas</v>
          </cell>
          <cell r="J39" t="str">
            <v>-</v>
          </cell>
          <cell r="K39">
            <v>-4010</v>
          </cell>
          <cell r="L39">
            <v>-8438.9599999999991</v>
          </cell>
          <cell r="M39">
            <v>-10901.61</v>
          </cell>
          <cell r="N39">
            <v>-20866.93</v>
          </cell>
          <cell r="O39">
            <v>-32102.71</v>
          </cell>
          <cell r="P39">
            <v>-36289.279999999999</v>
          </cell>
          <cell r="Q39">
            <v>-38657.97</v>
          </cell>
          <cell r="R39">
            <v>-25856.5</v>
          </cell>
          <cell r="S39">
            <v>-26205.98</v>
          </cell>
        </row>
        <row r="40">
          <cell r="I40" t="str">
            <v>611000000 - Variación de existencias de materias primas</v>
          </cell>
          <cell r="J40" t="str">
            <v>-</v>
          </cell>
          <cell r="K40">
            <v>25970.74</v>
          </cell>
          <cell r="L40">
            <v>149437.84</v>
          </cell>
          <cell r="M40">
            <v>81262.98</v>
          </cell>
          <cell r="N40">
            <v>-23562.66</v>
          </cell>
          <cell r="O40">
            <v>-43504.89</v>
          </cell>
          <cell r="P40">
            <v>-145710</v>
          </cell>
          <cell r="Q40">
            <v>649.66999999999996</v>
          </cell>
          <cell r="R40">
            <v>-59037.03</v>
          </cell>
          <cell r="S40">
            <v>168480.81</v>
          </cell>
        </row>
        <row r="41">
          <cell r="I41" t="str">
            <v>612000000 - Variación de existencias otros aprovisionamientos</v>
          </cell>
          <cell r="J41" t="str">
            <v>-</v>
          </cell>
          <cell r="K41">
            <v>61431.54</v>
          </cell>
          <cell r="L41">
            <v>-11484.37</v>
          </cell>
          <cell r="M41">
            <v>0</v>
          </cell>
          <cell r="N41">
            <v>44037.42</v>
          </cell>
          <cell r="O41">
            <v>-73565.42</v>
          </cell>
          <cell r="P41">
            <v>33912.769999999997</v>
          </cell>
          <cell r="Q41">
            <v>14991.19</v>
          </cell>
          <cell r="R41">
            <v>-4582.08</v>
          </cell>
          <cell r="S41">
            <v>-21053.4</v>
          </cell>
        </row>
        <row r="42">
          <cell r="I42" t="str">
            <v>759000000 - Ingresos por servicios diversos</v>
          </cell>
          <cell r="J42" t="str">
            <v>-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 t="str">
            <v xml:space="preserve">                            -  </v>
          </cell>
          <cell r="Q42">
            <v>0</v>
          </cell>
          <cell r="R42">
            <v>0</v>
          </cell>
          <cell r="S42">
            <v>0</v>
          </cell>
        </row>
        <row r="43">
          <cell r="I43" t="str">
            <v>640000000 - Sueldos y salarios</v>
          </cell>
          <cell r="J43" t="str">
            <v>-</v>
          </cell>
          <cell r="K43">
            <v>-97898.74</v>
          </cell>
          <cell r="L43">
            <v>-103298.14</v>
          </cell>
          <cell r="M43">
            <v>-183177.41</v>
          </cell>
          <cell r="N43">
            <v>-100687.82</v>
          </cell>
          <cell r="O43">
            <v>-104048.18</v>
          </cell>
          <cell r="P43">
            <v>-114103.58</v>
          </cell>
          <cell r="Q43">
            <v>-121813.59</v>
          </cell>
          <cell r="R43">
            <v>-128060.74</v>
          </cell>
          <cell r="S43">
            <v>-131094.26999999999</v>
          </cell>
        </row>
        <row r="44">
          <cell r="I44" t="str">
            <v>640000200 - GASTO POR E. TRAB. TEMPORAL</v>
          </cell>
          <cell r="J44" t="str">
            <v>-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 t="str">
            <v xml:space="preserve">                            -  </v>
          </cell>
          <cell r="Q44">
            <v>0</v>
          </cell>
          <cell r="R44">
            <v>0</v>
          </cell>
          <cell r="S44">
            <v>0</v>
          </cell>
        </row>
        <row r="45">
          <cell r="I45" t="str">
            <v>640000300 - PROVISION PAGAS EXTRAS</v>
          </cell>
          <cell r="J45" t="str">
            <v>-</v>
          </cell>
          <cell r="K45">
            <v>-7055.95</v>
          </cell>
          <cell r="L45">
            <v>-35280.019999999997</v>
          </cell>
          <cell r="M45">
            <v>42335.97</v>
          </cell>
          <cell r="N45">
            <v>0</v>
          </cell>
          <cell r="O45">
            <v>0</v>
          </cell>
          <cell r="P45" t="str">
            <v xml:space="preserve">                            -  </v>
          </cell>
          <cell r="Q45">
            <v>0</v>
          </cell>
          <cell r="R45">
            <v>0</v>
          </cell>
          <cell r="S45">
            <v>0</v>
          </cell>
        </row>
        <row r="46">
          <cell r="I46" t="str">
            <v>641000000 - Indemnizaciones</v>
          </cell>
          <cell r="J46" t="str">
            <v>-</v>
          </cell>
          <cell r="K46">
            <v>0</v>
          </cell>
          <cell r="L46">
            <v>-11278.98</v>
          </cell>
          <cell r="M46">
            <v>0</v>
          </cell>
          <cell r="N46">
            <v>0</v>
          </cell>
          <cell r="O46" t="str">
            <v xml:space="preserve">                            -  </v>
          </cell>
          <cell r="P46" t="str">
            <v xml:space="preserve">                            -  </v>
          </cell>
          <cell r="Q46">
            <v>0</v>
          </cell>
          <cell r="R46" t="str">
            <v xml:space="preserve">                                             -  </v>
          </cell>
          <cell r="S46" t="str">
            <v xml:space="preserve">                                             -  </v>
          </cell>
        </row>
        <row r="47">
          <cell r="I47" t="str">
            <v>641000007 - INDEMNIZACION MIGUEL BELLES</v>
          </cell>
          <cell r="J47" t="str">
            <v>-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 t="str">
            <v xml:space="preserve">                            -  </v>
          </cell>
          <cell r="Q47">
            <v>0</v>
          </cell>
          <cell r="R47">
            <v>0</v>
          </cell>
          <cell r="S47">
            <v>0</v>
          </cell>
        </row>
        <row r="48">
          <cell r="I48" t="str">
            <v>642000000 - Seguridad Social a cargo empresa</v>
          </cell>
          <cell r="J48" t="str">
            <v>-</v>
          </cell>
          <cell r="K48">
            <v>-32779.019999999997</v>
          </cell>
          <cell r="L48">
            <v>-33144.949999999997</v>
          </cell>
          <cell r="M48">
            <v>-32042.23</v>
          </cell>
          <cell r="N48">
            <v>-29359.85</v>
          </cell>
          <cell r="O48">
            <v>-30856.34</v>
          </cell>
          <cell r="P48">
            <v>-30968.7</v>
          </cell>
          <cell r="Q48">
            <v>-31720.06</v>
          </cell>
          <cell r="R48">
            <v>-24572.05</v>
          </cell>
          <cell r="S48">
            <v>-34709.72</v>
          </cell>
        </row>
        <row r="49">
          <cell r="I49" t="str">
            <v>649000000 - Otros gastos sociales</v>
          </cell>
          <cell r="J49" t="str">
            <v>-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 t="str">
            <v xml:space="preserve">                            -  </v>
          </cell>
          <cell r="Q49">
            <v>0</v>
          </cell>
          <cell r="R49">
            <v>0</v>
          </cell>
          <cell r="S49">
            <v>0</v>
          </cell>
        </row>
        <row r="50">
          <cell r="I50" t="str">
            <v>649000001 - GASTOS COMERCIALES NIEVES RUIZ</v>
          </cell>
          <cell r="J50" t="str">
            <v>-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 t="str">
            <v xml:space="preserve">                            -  </v>
          </cell>
          <cell r="Q50">
            <v>0</v>
          </cell>
          <cell r="R50">
            <v>0</v>
          </cell>
          <cell r="S50">
            <v>0</v>
          </cell>
        </row>
        <row r="51">
          <cell r="I51" t="str">
            <v>649000002 - GASTOS EMPR. ANTONIO ANDREU</v>
          </cell>
          <cell r="J51" t="str">
            <v>-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 t="str">
            <v xml:space="preserve">                            -  </v>
          </cell>
          <cell r="Q51">
            <v>0</v>
          </cell>
          <cell r="R51">
            <v>0</v>
          </cell>
          <cell r="S51">
            <v>0</v>
          </cell>
        </row>
        <row r="52">
          <cell r="I52" t="str">
            <v>649000004 - GASTOS COMERCIALES RICARDO PEREZ</v>
          </cell>
          <cell r="J52" t="str">
            <v>-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 t="str">
            <v xml:space="preserve">                            -  </v>
          </cell>
          <cell r="Q52">
            <v>0</v>
          </cell>
          <cell r="R52">
            <v>0</v>
          </cell>
          <cell r="S52">
            <v>0</v>
          </cell>
        </row>
        <row r="53">
          <cell r="I53" t="str">
            <v>649000007 - GASTOS COMERCIALES J.PAREDES</v>
          </cell>
          <cell r="J53" t="str">
            <v>-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 t="str">
            <v xml:space="preserve">                            -  </v>
          </cell>
          <cell r="Q53">
            <v>0</v>
          </cell>
          <cell r="R53">
            <v>0</v>
          </cell>
          <cell r="S53">
            <v>0</v>
          </cell>
        </row>
        <row r="54">
          <cell r="I54" t="str">
            <v>649000009 - GASTOS COMERCIALES J.A. GARCIA</v>
          </cell>
          <cell r="J54" t="str">
            <v>-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 t="str">
            <v xml:space="preserve">                            -  </v>
          </cell>
          <cell r="Q54">
            <v>0</v>
          </cell>
          <cell r="R54">
            <v>0</v>
          </cell>
          <cell r="S54">
            <v>0</v>
          </cell>
        </row>
        <row r="55">
          <cell r="I55" t="str">
            <v>649000010 - GASTOS EMP. CURRO</v>
          </cell>
          <cell r="J55" t="str">
            <v>-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 t="str">
            <v xml:space="preserve">                            -  </v>
          </cell>
          <cell r="Q55">
            <v>0</v>
          </cell>
          <cell r="R55">
            <v>0</v>
          </cell>
          <cell r="S55">
            <v>0</v>
          </cell>
        </row>
        <row r="56">
          <cell r="I56" t="str">
            <v>649000012 - GASTOS COMERCIALES IRENE GARCIA</v>
          </cell>
          <cell r="J56" t="str">
            <v>-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 t="str">
            <v xml:space="preserve">                            -  </v>
          </cell>
          <cell r="Q56">
            <v>0</v>
          </cell>
          <cell r="R56">
            <v>0</v>
          </cell>
          <cell r="S56">
            <v>0</v>
          </cell>
        </row>
        <row r="57">
          <cell r="I57" t="str">
            <v>649000100 - GTOS. CURSOS PERSONAL</v>
          </cell>
          <cell r="J57" t="str">
            <v>-</v>
          </cell>
          <cell r="K57">
            <v>0</v>
          </cell>
          <cell r="L57">
            <v>0</v>
          </cell>
          <cell r="M57">
            <v>-2623</v>
          </cell>
          <cell r="N57">
            <v>0</v>
          </cell>
          <cell r="O57">
            <v>-88</v>
          </cell>
          <cell r="P57" t="str">
            <v xml:space="preserve">                            -  </v>
          </cell>
          <cell r="Q57">
            <v>0</v>
          </cell>
          <cell r="R57" t="str">
            <v xml:space="preserve">                                             -  </v>
          </cell>
          <cell r="S57" t="str">
            <v xml:space="preserve">                                             -  </v>
          </cell>
        </row>
        <row r="58">
          <cell r="I58" t="str">
            <v>649000101 - GTOS. SEG. Y RIESGOS PERSONAL</v>
          </cell>
          <cell r="J58" t="str">
            <v>-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 t="str">
            <v xml:space="preserve">                            -  </v>
          </cell>
          <cell r="Q58">
            <v>0</v>
          </cell>
          <cell r="R58">
            <v>0</v>
          </cell>
          <cell r="S58">
            <v>0</v>
          </cell>
        </row>
        <row r="59">
          <cell r="I59" t="str">
            <v>649000102 - GASTOS ROPA UNIFORMES TRABAJADORES</v>
          </cell>
          <cell r="J59" t="str">
            <v>-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 t="str">
            <v xml:space="preserve">                            -  </v>
          </cell>
          <cell r="Q59">
            <v>0</v>
          </cell>
          <cell r="R59">
            <v>0</v>
          </cell>
          <cell r="S59">
            <v>0</v>
          </cell>
        </row>
        <row r="60">
          <cell r="I60" t="str">
            <v>649000103 - GASTOS COMBUSTIBLE TRAB.</v>
          </cell>
          <cell r="J60" t="str">
            <v>-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 t="str">
            <v xml:space="preserve">                            -  </v>
          </cell>
          <cell r="Q60">
            <v>0</v>
          </cell>
          <cell r="R60">
            <v>0</v>
          </cell>
          <cell r="S60">
            <v>0</v>
          </cell>
        </row>
        <row r="61">
          <cell r="I61" t="str">
            <v>649100001 - GTOS. COMIDAS TRAB.</v>
          </cell>
          <cell r="J61" t="str">
            <v>-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 t="str">
            <v xml:space="preserve">                            -  </v>
          </cell>
          <cell r="Q61">
            <v>0</v>
          </cell>
          <cell r="R61">
            <v>0</v>
          </cell>
          <cell r="S61">
            <v>0</v>
          </cell>
        </row>
        <row r="62">
          <cell r="I62" t="str">
            <v>649100002 - GASTOS TRAB. EMPRESA VARIOS</v>
          </cell>
          <cell r="J62" t="str">
            <v>-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 t="str">
            <v xml:space="preserve">                            -  </v>
          </cell>
          <cell r="Q62">
            <v>0</v>
          </cell>
          <cell r="R62">
            <v>0</v>
          </cell>
          <cell r="S62">
            <v>0</v>
          </cell>
        </row>
        <row r="63">
          <cell r="I63" t="str">
            <v>620000002 - COMPRAS LABORATORIO</v>
          </cell>
          <cell r="J63" t="str">
            <v>-</v>
          </cell>
          <cell r="K63">
            <v>0</v>
          </cell>
          <cell r="L63">
            <v>0</v>
          </cell>
          <cell r="M63">
            <v>-113.13</v>
          </cell>
          <cell r="N63">
            <v>-87.6</v>
          </cell>
          <cell r="O63">
            <v>-487.47</v>
          </cell>
          <cell r="P63">
            <v>-697.81</v>
          </cell>
          <cell r="Q63">
            <v>-226.47</v>
          </cell>
          <cell r="R63" t="str">
            <v xml:space="preserve">                                             -  </v>
          </cell>
          <cell r="S63" t="str">
            <v xml:space="preserve">                                             -  </v>
          </cell>
        </row>
        <row r="64">
          <cell r="I64" t="str">
            <v>620000003 - SUMINISTROS LABORATORIO</v>
          </cell>
          <cell r="J64" t="str">
            <v>-</v>
          </cell>
          <cell r="K64">
            <v>-522.30999999999995</v>
          </cell>
          <cell r="L64">
            <v>-356.17</v>
          </cell>
          <cell r="M64">
            <v>0</v>
          </cell>
          <cell r="N64">
            <v>-1440.58</v>
          </cell>
          <cell r="O64">
            <v>-1464.58</v>
          </cell>
          <cell r="P64">
            <v>-752.24</v>
          </cell>
          <cell r="Q64">
            <v>-752.24</v>
          </cell>
          <cell r="R64">
            <v>-399.98</v>
          </cell>
          <cell r="S64">
            <v>-768.14</v>
          </cell>
        </row>
        <row r="65">
          <cell r="I65" t="str">
            <v>620000004 - GTOS. ANALISIS LABORATORIOS</v>
          </cell>
          <cell r="J65" t="str">
            <v>-</v>
          </cell>
          <cell r="K65">
            <v>-523.96</v>
          </cell>
          <cell r="L65">
            <v>-1019.07</v>
          </cell>
          <cell r="M65">
            <v>-1573.25</v>
          </cell>
          <cell r="N65">
            <v>-41.5</v>
          </cell>
          <cell r="O65">
            <v>-1476.12</v>
          </cell>
          <cell r="P65">
            <v>-2389.0100000000002</v>
          </cell>
          <cell r="Q65">
            <v>-1899.09</v>
          </cell>
          <cell r="R65">
            <v>-911.52</v>
          </cell>
          <cell r="S65">
            <v>-1010.22</v>
          </cell>
        </row>
        <row r="66">
          <cell r="I66" t="str">
            <v>621000001 - ALQUILER OFICINA CARTAGENA</v>
          </cell>
          <cell r="J66" t="str">
            <v>-</v>
          </cell>
          <cell r="K66">
            <v>-192</v>
          </cell>
          <cell r="L66">
            <v>-192</v>
          </cell>
          <cell r="M66">
            <v>-192</v>
          </cell>
          <cell r="N66">
            <v>-192</v>
          </cell>
          <cell r="O66">
            <v>-192</v>
          </cell>
          <cell r="P66">
            <v>-192</v>
          </cell>
          <cell r="Q66">
            <v>-192</v>
          </cell>
          <cell r="R66">
            <v>-192</v>
          </cell>
          <cell r="S66">
            <v>-192</v>
          </cell>
        </row>
        <row r="67">
          <cell r="I67" t="str">
            <v>621000014 - ALQUILER MURANO</v>
          </cell>
          <cell r="J67" t="str">
            <v>-</v>
          </cell>
          <cell r="O67">
            <v>-15421.92</v>
          </cell>
          <cell r="P67" t="str">
            <v xml:space="preserve">                            -  </v>
          </cell>
          <cell r="Q67">
            <v>-6139.04</v>
          </cell>
          <cell r="R67" t="str">
            <v xml:space="preserve">                                             -  </v>
          </cell>
          <cell r="S67" t="str">
            <v xml:space="preserve">                                             -  </v>
          </cell>
        </row>
        <row r="68">
          <cell r="I68" t="str">
            <v>621000023 - RENTING TRANSPALETA ELECTRICA DE PIE</v>
          </cell>
          <cell r="J68" t="str">
            <v>-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 t="str">
            <v xml:space="preserve">                            -  </v>
          </cell>
          <cell r="Q68">
            <v>0</v>
          </cell>
          <cell r="R68">
            <v>0</v>
          </cell>
          <cell r="S68">
            <v>0</v>
          </cell>
        </row>
        <row r="69">
          <cell r="I69" t="str">
            <v>621000024 - ALQUILER RENTING 2255KXN ANTONIO</v>
          </cell>
          <cell r="J69" t="str">
            <v>-</v>
          </cell>
          <cell r="K69">
            <v>0</v>
          </cell>
          <cell r="L69">
            <v>-361.46</v>
          </cell>
          <cell r="M69">
            <v>0</v>
          </cell>
          <cell r="N69">
            <v>-361.46</v>
          </cell>
          <cell r="O69" t="str">
            <v xml:space="preserve">                            -  </v>
          </cell>
          <cell r="P69" t="str">
            <v xml:space="preserve">                            -  </v>
          </cell>
          <cell r="Q69">
            <v>0</v>
          </cell>
          <cell r="R69" t="str">
            <v xml:space="preserve">                                             -  </v>
          </cell>
          <cell r="S69" t="str">
            <v xml:space="preserve">                                             -  </v>
          </cell>
        </row>
        <row r="70">
          <cell r="I70" t="str">
            <v>621000025 - ALQUILER RENTING 9128 LBT NIEVES</v>
          </cell>
          <cell r="J70" t="str">
            <v>-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 t="str">
            <v xml:space="preserve">                            -  </v>
          </cell>
          <cell r="Q70">
            <v>0</v>
          </cell>
          <cell r="R70">
            <v>0</v>
          </cell>
          <cell r="S70">
            <v>0</v>
          </cell>
        </row>
        <row r="71">
          <cell r="I71" t="str">
            <v>621000026 - ALQUILER RENTING 9319LCL CURRO</v>
          </cell>
          <cell r="J71" t="str">
            <v>-</v>
          </cell>
          <cell r="K71">
            <v>0</v>
          </cell>
          <cell r="L71">
            <v>0</v>
          </cell>
          <cell r="M71">
            <v>-369.97</v>
          </cell>
          <cell r="N71">
            <v>-369.97</v>
          </cell>
          <cell r="O71" t="str">
            <v xml:space="preserve">                            -  </v>
          </cell>
          <cell r="P71" t="str">
            <v xml:space="preserve">                            -  </v>
          </cell>
          <cell r="Q71">
            <v>0</v>
          </cell>
          <cell r="R71" t="str">
            <v xml:space="preserve">                                             -  </v>
          </cell>
          <cell r="S71" t="str">
            <v xml:space="preserve">                                             -  </v>
          </cell>
        </row>
        <row r="72">
          <cell r="I72" t="str">
            <v>621000030 - ALQUILER RENTING 1075-LSC GARCIA</v>
          </cell>
          <cell r="J72" t="str">
            <v>-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 t="str">
            <v xml:space="preserve">                            -  </v>
          </cell>
          <cell r="Q72">
            <v>0</v>
          </cell>
          <cell r="R72">
            <v>0</v>
          </cell>
          <cell r="S72">
            <v>0</v>
          </cell>
        </row>
        <row r="73">
          <cell r="I73" t="str">
            <v>621000031 - ALQUILER RENTING KONICA-MINOLTA Y KYOCERA</v>
          </cell>
          <cell r="J73" t="str">
            <v>-</v>
          </cell>
          <cell r="K73">
            <v>-338</v>
          </cell>
          <cell r="L73">
            <v>-338</v>
          </cell>
          <cell r="M73">
            <v>-338</v>
          </cell>
          <cell r="N73">
            <v>-338</v>
          </cell>
          <cell r="O73">
            <v>-338</v>
          </cell>
          <cell r="P73">
            <v>-338</v>
          </cell>
          <cell r="Q73">
            <v>-338</v>
          </cell>
          <cell r="R73">
            <v>-338</v>
          </cell>
          <cell r="S73">
            <v>-275</v>
          </cell>
        </row>
        <row r="74">
          <cell r="I74" t="str">
            <v>621000032 - ALQUILER RENTING 6665-LVK JOSE JUAN</v>
          </cell>
          <cell r="J74" t="str">
            <v>-</v>
          </cell>
          <cell r="K74">
            <v>-349</v>
          </cell>
          <cell r="L74">
            <v>-349</v>
          </cell>
          <cell r="M74">
            <v>-349</v>
          </cell>
          <cell r="N74">
            <v>0</v>
          </cell>
          <cell r="O74">
            <v>-443.49</v>
          </cell>
          <cell r="P74">
            <v>-443.49</v>
          </cell>
          <cell r="Q74">
            <v>-886.98</v>
          </cell>
          <cell r="R74" t="str">
            <v xml:space="preserve">                                             -  </v>
          </cell>
          <cell r="S74" t="str">
            <v xml:space="preserve">                                             -  </v>
          </cell>
        </row>
        <row r="75">
          <cell r="I75" t="str">
            <v>621000033 - ALQUILER RENTING 2612-MBY ANTONIO</v>
          </cell>
          <cell r="J75" t="str">
            <v>-</v>
          </cell>
          <cell r="K75">
            <v>-361.46</v>
          </cell>
          <cell r="L75">
            <v>0</v>
          </cell>
          <cell r="M75">
            <v>-361.46</v>
          </cell>
          <cell r="N75">
            <v>0</v>
          </cell>
          <cell r="O75">
            <v>-399.42</v>
          </cell>
          <cell r="P75">
            <v>-399.42</v>
          </cell>
          <cell r="Q75">
            <v>-149.15</v>
          </cell>
          <cell r="R75">
            <v>-399.42</v>
          </cell>
          <cell r="S75">
            <v>-399.42</v>
          </cell>
        </row>
        <row r="76">
          <cell r="I76" t="str">
            <v>621000034 - ALQUILER RENTING 3108-LZM NIEVES</v>
          </cell>
          <cell r="J76" t="str">
            <v>-</v>
          </cell>
          <cell r="K76">
            <v>-650.95000000000005</v>
          </cell>
          <cell r="L76">
            <v>-650.95000000000005</v>
          </cell>
          <cell r="M76">
            <v>0</v>
          </cell>
          <cell r="N76">
            <v>0</v>
          </cell>
          <cell r="O76" t="str">
            <v xml:space="preserve">                            -  </v>
          </cell>
          <cell r="P76" t="str">
            <v xml:space="preserve">                            -  </v>
          </cell>
          <cell r="Q76">
            <v>0</v>
          </cell>
          <cell r="R76">
            <v>-1139.1600000000001</v>
          </cell>
          <cell r="S76" t="str">
            <v xml:space="preserve">                                             -  </v>
          </cell>
        </row>
        <row r="77">
          <cell r="I77" t="str">
            <v>621000035 - ALQUILER RENTING 2142-MCS RICARDO</v>
          </cell>
          <cell r="J77" t="str">
            <v>-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 t="str">
            <v xml:space="preserve">                            -  </v>
          </cell>
          <cell r="Q77">
            <v>0</v>
          </cell>
          <cell r="R77">
            <v>0</v>
          </cell>
          <cell r="S77">
            <v>0</v>
          </cell>
        </row>
        <row r="78">
          <cell r="I78" t="str">
            <v>621000036 - ALQUILER RENTING 3277-MDX JAVIER</v>
          </cell>
          <cell r="J78" t="str">
            <v>-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 t="str">
            <v xml:space="preserve">                            -  </v>
          </cell>
          <cell r="Q78">
            <v>0</v>
          </cell>
          <cell r="R78">
            <v>0</v>
          </cell>
          <cell r="S78">
            <v>0</v>
          </cell>
        </row>
        <row r="79">
          <cell r="I79" t="str">
            <v>621000037 - CARRETILLA STILL ELEKTROSTAPLER 516213H00521</v>
          </cell>
          <cell r="J79" t="str">
            <v>-</v>
          </cell>
          <cell r="K79">
            <v>-200</v>
          </cell>
          <cell r="L79">
            <v>-200</v>
          </cell>
          <cell r="M79">
            <v>-200</v>
          </cell>
          <cell r="N79">
            <v>-200</v>
          </cell>
          <cell r="O79">
            <v>-200</v>
          </cell>
          <cell r="P79">
            <v>-200</v>
          </cell>
          <cell r="Q79" t="str">
            <v xml:space="preserve">                                             -  </v>
          </cell>
          <cell r="R79">
            <v>-400</v>
          </cell>
          <cell r="S79">
            <v>-400.22</v>
          </cell>
        </row>
        <row r="80">
          <cell r="I80" t="str">
            <v>621000038 - CARRETILLA STILL ELEKTROSTAPLER 516223J00123</v>
          </cell>
          <cell r="J80" t="str">
            <v>-</v>
          </cell>
          <cell r="K80">
            <v>-200.22</v>
          </cell>
          <cell r="L80">
            <v>-200.22</v>
          </cell>
          <cell r="M80">
            <v>-200.22</v>
          </cell>
          <cell r="N80">
            <v>-200.22</v>
          </cell>
          <cell r="O80">
            <v>-200.22</v>
          </cell>
          <cell r="P80">
            <v>-200.22</v>
          </cell>
          <cell r="Q80" t="str">
            <v xml:space="preserve">                                             -  </v>
          </cell>
          <cell r="R80">
            <v>-400.44</v>
          </cell>
          <cell r="S80" t="str">
            <v xml:space="preserve">                                             -  </v>
          </cell>
        </row>
        <row r="81">
          <cell r="I81" t="str">
            <v>621000039 - ALQUILER RENTING 5043-MWW CURRO</v>
          </cell>
          <cell r="J81" t="str">
            <v>-</v>
          </cell>
          <cell r="K81">
            <v>-369.97</v>
          </cell>
          <cell r="L81">
            <v>-369.97</v>
          </cell>
          <cell r="M81">
            <v>-150</v>
          </cell>
          <cell r="N81">
            <v>-1039.51</v>
          </cell>
          <cell r="O81" t="str">
            <v xml:space="preserve">                            -  </v>
          </cell>
          <cell r="P81" t="str">
            <v xml:space="preserve">                            -  </v>
          </cell>
          <cell r="Q81">
            <v>0</v>
          </cell>
          <cell r="R81" t="str">
            <v xml:space="preserve">                                             -  </v>
          </cell>
          <cell r="S81" t="str">
            <v xml:space="preserve">                                             -  </v>
          </cell>
        </row>
        <row r="82">
          <cell r="I82" t="str">
            <v>621000040 - ALQUILER RENTING 8917-MZT JAVIER</v>
          </cell>
          <cell r="J82" t="str">
            <v>-</v>
          </cell>
          <cell r="K82">
            <v>-1068.22</v>
          </cell>
          <cell r="L82">
            <v>0</v>
          </cell>
          <cell r="M82">
            <v>-2136.44</v>
          </cell>
          <cell r="N82">
            <v>-1068.22</v>
          </cell>
          <cell r="O82">
            <v>-1172.1400000000001</v>
          </cell>
          <cell r="P82" t="str">
            <v xml:space="preserve">                            -  </v>
          </cell>
          <cell r="Q82">
            <v>-2344.3000000000002</v>
          </cell>
          <cell r="R82" t="str">
            <v xml:space="preserve">                                             -  </v>
          </cell>
          <cell r="S82">
            <v>-1172.1400000000001</v>
          </cell>
        </row>
        <row r="83">
          <cell r="I83" t="str">
            <v>621000041 - ALQUILER RENTING 8929-MZT RICARDO</v>
          </cell>
          <cell r="J83" t="str">
            <v>-</v>
          </cell>
          <cell r="K83">
            <v>-911.28</v>
          </cell>
          <cell r="L83">
            <v>0</v>
          </cell>
          <cell r="M83">
            <v>-1822.56</v>
          </cell>
          <cell r="N83">
            <v>-911.28</v>
          </cell>
          <cell r="O83">
            <v>-1015.21</v>
          </cell>
          <cell r="P83" t="str">
            <v xml:space="preserve">                            -  </v>
          </cell>
          <cell r="Q83">
            <v>-2030.4</v>
          </cell>
          <cell r="R83" t="str">
            <v xml:space="preserve">                                             -  </v>
          </cell>
          <cell r="S83">
            <v>-1015.21</v>
          </cell>
        </row>
        <row r="84">
          <cell r="I84" t="str">
            <v>621000042 - ALQUILER RENTING 4946-NFH GARCIA</v>
          </cell>
          <cell r="J84" t="str">
            <v>-</v>
          </cell>
          <cell r="K84">
            <v>-613.16</v>
          </cell>
          <cell r="L84">
            <v>-613.15</v>
          </cell>
          <cell r="M84">
            <v>-613.15</v>
          </cell>
          <cell r="N84">
            <v>-613.15</v>
          </cell>
          <cell r="O84">
            <v>-677.53</v>
          </cell>
          <cell r="P84">
            <v>-677.53</v>
          </cell>
          <cell r="Q84">
            <v>-677.53</v>
          </cell>
          <cell r="R84">
            <v>-677.53</v>
          </cell>
          <cell r="S84">
            <v>-677.53</v>
          </cell>
        </row>
        <row r="85">
          <cell r="I85" t="str">
            <v>621000044 - ALQUILER COMPRESOR DE TORNILLO 37KW KAESER BSD 75C</v>
          </cell>
          <cell r="J85" t="str">
            <v>-</v>
          </cell>
          <cell r="K85">
            <v>-1600</v>
          </cell>
          <cell r="L85">
            <v>-1600</v>
          </cell>
          <cell r="M85">
            <v>-1600</v>
          </cell>
          <cell r="N85">
            <v>-1600</v>
          </cell>
          <cell r="O85">
            <v>-1600</v>
          </cell>
          <cell r="P85">
            <v>-1600</v>
          </cell>
          <cell r="Q85">
            <v>-1600</v>
          </cell>
          <cell r="R85">
            <v>-1600</v>
          </cell>
          <cell r="S85">
            <v>-1600</v>
          </cell>
        </row>
        <row r="86">
          <cell r="I86" t="str">
            <v>621000045 - ALQUILER RENTING 3421-NJT PERE</v>
          </cell>
          <cell r="J86" t="str">
            <v>-</v>
          </cell>
          <cell r="K86">
            <v>-634.77</v>
          </cell>
          <cell r="L86">
            <v>-1093.22</v>
          </cell>
          <cell r="M86">
            <v>-1093.22</v>
          </cell>
          <cell r="N86">
            <v>-1093.22</v>
          </cell>
          <cell r="O86">
            <v>-1208.01</v>
          </cell>
          <cell r="P86">
            <v>-1208.01</v>
          </cell>
          <cell r="Q86">
            <v>-1208.01</v>
          </cell>
          <cell r="R86">
            <v>-1208.01</v>
          </cell>
          <cell r="S86">
            <v>-1208.01</v>
          </cell>
        </row>
        <row r="87">
          <cell r="I87" t="str">
            <v>621000046 - ALQUILER CARRETILLAS</v>
          </cell>
          <cell r="J87" t="str">
            <v>-</v>
          </cell>
          <cell r="K87">
            <v>0</v>
          </cell>
          <cell r="L87">
            <v>0</v>
          </cell>
          <cell r="M87">
            <v>0</v>
          </cell>
          <cell r="N87">
            <v>-381.67</v>
          </cell>
          <cell r="O87">
            <v>-665</v>
          </cell>
          <cell r="P87">
            <v>-1510.33</v>
          </cell>
          <cell r="Q87">
            <v>-1407</v>
          </cell>
          <cell r="R87">
            <v>-1407</v>
          </cell>
          <cell r="S87">
            <v>-1407</v>
          </cell>
        </row>
        <row r="88">
          <cell r="I88" t="str">
            <v>622000001 - REPAR. EQUIPOS INFORM. Y FOTOCOPIADORAS</v>
          </cell>
          <cell r="J88" t="str">
            <v>-</v>
          </cell>
          <cell r="K88">
            <v>-1621.56</v>
          </cell>
          <cell r="L88">
            <v>-815.7</v>
          </cell>
          <cell r="M88">
            <v>-136.16</v>
          </cell>
          <cell r="N88">
            <v>-218</v>
          </cell>
          <cell r="O88" t="str">
            <v xml:space="preserve">                            -  </v>
          </cell>
          <cell r="P88">
            <v>-790.66</v>
          </cell>
          <cell r="Q88" t="str">
            <v xml:space="preserve">                                             -  </v>
          </cell>
          <cell r="R88" t="str">
            <v xml:space="preserve">                                             -  </v>
          </cell>
          <cell r="S88">
            <v>-3275.52</v>
          </cell>
        </row>
        <row r="89">
          <cell r="I89" t="str">
            <v>622000004 - REP. Y CONSERV. CARRETILLA ELECTRICA</v>
          </cell>
          <cell r="J89" t="str">
            <v>-</v>
          </cell>
          <cell r="K89">
            <v>0</v>
          </cell>
          <cell r="L89">
            <v>0</v>
          </cell>
          <cell r="M89">
            <v>-1006.36</v>
          </cell>
          <cell r="N89">
            <v>0</v>
          </cell>
          <cell r="O89" t="str">
            <v xml:space="preserve">                            -  </v>
          </cell>
          <cell r="P89">
            <v>-979.23</v>
          </cell>
          <cell r="Q89" t="str">
            <v xml:space="preserve">                                             -  </v>
          </cell>
          <cell r="R89">
            <v>-115.48</v>
          </cell>
          <cell r="S89" t="str">
            <v xml:space="preserve">                                             -  </v>
          </cell>
        </row>
        <row r="90">
          <cell r="I90" t="str">
            <v>622000005 - REP. Y MANT. EQUIPOS SEGURIDAD</v>
          </cell>
          <cell r="J90" t="str">
            <v>-</v>
          </cell>
          <cell r="K90">
            <v>0</v>
          </cell>
          <cell r="L90">
            <v>-73.72</v>
          </cell>
          <cell r="M90">
            <v>0</v>
          </cell>
          <cell r="N90">
            <v>-13.33</v>
          </cell>
          <cell r="O90">
            <v>-183.66</v>
          </cell>
          <cell r="P90" t="str">
            <v xml:space="preserve">                            -  </v>
          </cell>
          <cell r="Q90">
            <v>-196.99</v>
          </cell>
          <cell r="R90" t="str">
            <v xml:space="preserve">                                             -  </v>
          </cell>
          <cell r="S90" t="str">
            <v xml:space="preserve">                                             -  </v>
          </cell>
        </row>
        <row r="91">
          <cell r="I91" t="str">
            <v>622000006 - REP. Y MANT. INSTALACIONES VARIAS</v>
          </cell>
          <cell r="J91" t="str">
            <v>-</v>
          </cell>
          <cell r="K91">
            <v>0</v>
          </cell>
          <cell r="L91">
            <v>-1833.95</v>
          </cell>
          <cell r="M91">
            <v>-468.78</v>
          </cell>
          <cell r="N91">
            <v>-344</v>
          </cell>
          <cell r="O91" t="str">
            <v xml:space="preserve">                            -  </v>
          </cell>
          <cell r="P91">
            <v>-1900.59</v>
          </cell>
          <cell r="Q91">
            <v>-2274.92</v>
          </cell>
          <cell r="R91" t="str">
            <v xml:space="preserve">                                             -  </v>
          </cell>
          <cell r="S91">
            <v>-877.14</v>
          </cell>
        </row>
        <row r="92">
          <cell r="I92" t="str">
            <v>622000007 - REP. Y MANT. HYUNDAI 0377CJG</v>
          </cell>
          <cell r="J92" t="str">
            <v>-</v>
          </cell>
          <cell r="K92">
            <v>0</v>
          </cell>
          <cell r="L92">
            <v>0</v>
          </cell>
          <cell r="M92">
            <v>-238.88</v>
          </cell>
          <cell r="N92">
            <v>0</v>
          </cell>
          <cell r="O92" t="str">
            <v xml:space="preserve">                            -  </v>
          </cell>
          <cell r="P92" t="str">
            <v xml:space="preserve">                            -  </v>
          </cell>
          <cell r="Q92">
            <v>0</v>
          </cell>
          <cell r="R92" t="str">
            <v xml:space="preserve">                                             -  </v>
          </cell>
          <cell r="S92" t="str">
            <v xml:space="preserve">                                             -  </v>
          </cell>
        </row>
        <row r="93">
          <cell r="I93" t="str">
            <v>622000008 - REP. Y MANT. MAQUINA BARREDORA</v>
          </cell>
          <cell r="J93" t="str">
            <v>-</v>
          </cell>
          <cell r="K93">
            <v>0</v>
          </cell>
          <cell r="L93">
            <v>0</v>
          </cell>
          <cell r="M93">
            <v>0</v>
          </cell>
          <cell r="N93">
            <v>-350.75</v>
          </cell>
          <cell r="O93" t="str">
            <v xml:space="preserve">                            -  </v>
          </cell>
          <cell r="P93" t="str">
            <v xml:space="preserve">                            -  </v>
          </cell>
          <cell r="Q93">
            <v>-634.91</v>
          </cell>
          <cell r="R93" t="str">
            <v xml:space="preserve">                                             -  </v>
          </cell>
          <cell r="S93">
            <v>-591.76</v>
          </cell>
        </row>
        <row r="94">
          <cell r="I94" t="str">
            <v>622000009 - REP. Y MANT. FURGONETA 2589CRJ</v>
          </cell>
          <cell r="J94" t="str">
            <v>-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 t="str">
            <v xml:space="preserve">                            -  </v>
          </cell>
          <cell r="Q94">
            <v>0</v>
          </cell>
          <cell r="R94">
            <v>0</v>
          </cell>
          <cell r="S94">
            <v>0</v>
          </cell>
        </row>
        <row r="95">
          <cell r="I95" t="str">
            <v>622000012 - LIMPIEZA OFICINAS, LABORATORIO Y VESTUARIOS</v>
          </cell>
          <cell r="J95" t="str">
            <v>-</v>
          </cell>
          <cell r="K95">
            <v>-585</v>
          </cell>
          <cell r="L95">
            <v>0</v>
          </cell>
          <cell r="M95">
            <v>-1101.5999999999999</v>
          </cell>
          <cell r="N95">
            <v>-495</v>
          </cell>
          <cell r="O95" t="str">
            <v xml:space="preserve">                            -  </v>
          </cell>
          <cell r="P95">
            <v>-1566.9</v>
          </cell>
          <cell r="Q95">
            <v>-642.6</v>
          </cell>
          <cell r="R95">
            <v>-977.98</v>
          </cell>
          <cell r="S95">
            <v>-734.1</v>
          </cell>
        </row>
        <row r="96">
          <cell r="I96" t="str">
            <v>622010000 MANTENIMIENTO</v>
          </cell>
          <cell r="J96" t="str">
            <v>-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-1409.04</v>
          </cell>
          <cell r="R96" t="str">
            <v xml:space="preserve">                                             -  </v>
          </cell>
          <cell r="S96" t="str">
            <v xml:space="preserve">                                             -  </v>
          </cell>
        </row>
        <row r="97">
          <cell r="I97" t="str">
            <v>622010001 - MANTENIMIENTO REPUESTO COMPRA AMAZON</v>
          </cell>
          <cell r="J97" t="str">
            <v>-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 t="str">
            <v xml:space="preserve">                            -  </v>
          </cell>
          <cell r="Q97">
            <v>0</v>
          </cell>
          <cell r="R97">
            <v>0</v>
          </cell>
          <cell r="S97">
            <v>0</v>
          </cell>
        </row>
        <row r="98">
          <cell r="I98" t="str">
            <v>622010200 - ALCAPLANT</v>
          </cell>
          <cell r="J98" t="str">
            <v>-</v>
          </cell>
          <cell r="K98">
            <v>-1342.54</v>
          </cell>
          <cell r="L98">
            <v>-586</v>
          </cell>
          <cell r="M98">
            <v>-2280</v>
          </cell>
          <cell r="N98">
            <v>0</v>
          </cell>
          <cell r="O98">
            <v>-942.88</v>
          </cell>
          <cell r="P98">
            <v>-354.5</v>
          </cell>
          <cell r="Q98">
            <v>-9441.85</v>
          </cell>
          <cell r="R98">
            <v>-1983.69</v>
          </cell>
          <cell r="S98">
            <v>-1288.6199999999999</v>
          </cell>
        </row>
        <row r="99">
          <cell r="I99" t="str">
            <v>622010201 - REPARACIONES ALCAPLANT</v>
          </cell>
          <cell r="J99" t="str">
            <v>-</v>
          </cell>
          <cell r="K99">
            <v>-667.12</v>
          </cell>
          <cell r="L99">
            <v>0</v>
          </cell>
          <cell r="M99">
            <v>0</v>
          </cell>
          <cell r="N99">
            <v>0</v>
          </cell>
          <cell r="O99" t="str">
            <v xml:space="preserve">                            -  </v>
          </cell>
          <cell r="P99">
            <v>-4282.05</v>
          </cell>
          <cell r="Q99">
            <v>-5230</v>
          </cell>
          <cell r="R99">
            <v>-5848.16</v>
          </cell>
          <cell r="S99" t="str">
            <v xml:space="preserve">                                             -  </v>
          </cell>
        </row>
        <row r="100">
          <cell r="I100" t="str">
            <v>622010300 - SOLIDOS</v>
          </cell>
          <cell r="J100" t="str">
            <v>-</v>
          </cell>
          <cell r="K100">
            <v>-617.41999999999996</v>
          </cell>
          <cell r="L100">
            <v>0</v>
          </cell>
          <cell r="M100">
            <v>0</v>
          </cell>
          <cell r="N100">
            <v>0</v>
          </cell>
          <cell r="O100" t="str">
            <v xml:space="preserve">                            -  </v>
          </cell>
          <cell r="P100">
            <v>-4467.0200000000004</v>
          </cell>
          <cell r="Q100" t="str">
            <v xml:space="preserve">                                             -  </v>
          </cell>
          <cell r="R100">
            <v>-11965.55</v>
          </cell>
          <cell r="S100">
            <v>-6085.86</v>
          </cell>
        </row>
        <row r="101">
          <cell r="I101" t="str">
            <v>622010400 - LIQUIDOS</v>
          </cell>
          <cell r="J101" t="str">
            <v>-</v>
          </cell>
          <cell r="K101">
            <v>0</v>
          </cell>
          <cell r="L101">
            <v>0</v>
          </cell>
          <cell r="M101">
            <v>-1502.54</v>
          </cell>
          <cell r="N101">
            <v>-55.82</v>
          </cell>
          <cell r="O101">
            <v>-1092.45</v>
          </cell>
          <cell r="P101">
            <v>-8017.35</v>
          </cell>
          <cell r="Q101">
            <v>5697.8</v>
          </cell>
          <cell r="R101">
            <v>-288.39</v>
          </cell>
          <cell r="S101" t="str">
            <v xml:space="preserve">                                             -  </v>
          </cell>
        </row>
        <row r="102">
          <cell r="I102" t="str">
            <v>622010500 - REPUESTOS MANT. VARIOS</v>
          </cell>
          <cell r="J102" t="str">
            <v>-</v>
          </cell>
          <cell r="K102">
            <v>0</v>
          </cell>
          <cell r="L102">
            <v>-155.11000000000001</v>
          </cell>
          <cell r="M102">
            <v>-1072.93</v>
          </cell>
          <cell r="N102">
            <v>-2283.52</v>
          </cell>
          <cell r="O102">
            <v>-799.04</v>
          </cell>
          <cell r="P102">
            <v>-106.8</v>
          </cell>
          <cell r="Q102" t="str">
            <v xml:space="preserve">                                             -  </v>
          </cell>
          <cell r="R102">
            <v>-108.17</v>
          </cell>
          <cell r="S102">
            <v>-602.22</v>
          </cell>
        </row>
        <row r="103">
          <cell r="I103" t="str">
            <v>622010501 - REP. MANT. FONTANERIA</v>
          </cell>
          <cell r="J103" t="str">
            <v>-</v>
          </cell>
          <cell r="K103">
            <v>0</v>
          </cell>
          <cell r="L103">
            <v>-39.799999999999997</v>
          </cell>
          <cell r="M103">
            <v>-227.04</v>
          </cell>
          <cell r="N103">
            <v>0</v>
          </cell>
          <cell r="O103" t="str">
            <v xml:space="preserve">                            -  </v>
          </cell>
          <cell r="P103">
            <v>-81.8</v>
          </cell>
          <cell r="Q103" t="str">
            <v xml:space="preserve">                                             -  </v>
          </cell>
          <cell r="R103" t="str">
            <v xml:space="preserve">                                             -  </v>
          </cell>
          <cell r="S103">
            <v>-90.85</v>
          </cell>
        </row>
        <row r="104">
          <cell r="I104" t="str">
            <v>623000001 - SERV. PROF. INDEPENDIENTES</v>
          </cell>
          <cell r="J104" t="str">
            <v>-</v>
          </cell>
          <cell r="K104">
            <v>-1902.37</v>
          </cell>
          <cell r="L104">
            <v>-497</v>
          </cell>
          <cell r="M104">
            <v>-5360.3</v>
          </cell>
          <cell r="N104">
            <v>-10729</v>
          </cell>
          <cell r="O104">
            <v>-21698</v>
          </cell>
          <cell r="P104">
            <v>-2988</v>
          </cell>
          <cell r="Q104">
            <v>-2584.62</v>
          </cell>
          <cell r="R104">
            <v>-2853.02</v>
          </cell>
          <cell r="S104">
            <v>-2345.62</v>
          </cell>
        </row>
        <row r="105">
          <cell r="I105" t="str">
            <v>623000002 - SERVICIOS CONTABLES Y FINANCIEROS</v>
          </cell>
          <cell r="J105" t="str">
            <v>-</v>
          </cell>
          <cell r="K105">
            <v>-1417.95</v>
          </cell>
          <cell r="L105">
            <v>-1417.95</v>
          </cell>
          <cell r="M105">
            <v>-5837.67</v>
          </cell>
          <cell r="N105">
            <v>-2891.19</v>
          </cell>
          <cell r="O105">
            <v>-2891.19</v>
          </cell>
          <cell r="P105">
            <v>-2891.19</v>
          </cell>
          <cell r="Q105">
            <v>-2891.19</v>
          </cell>
          <cell r="R105">
            <v>-2148.2399999999998</v>
          </cell>
          <cell r="S105">
            <v>-3634.14</v>
          </cell>
        </row>
        <row r="106">
          <cell r="I106" t="str">
            <v>623000003 - SERV. NOTARIOS, REGISTROS, LEGAL</v>
          </cell>
          <cell r="J106" t="str">
            <v>-</v>
          </cell>
          <cell r="K106">
            <v>-548.32000000000005</v>
          </cell>
          <cell r="L106">
            <v>-3007.86</v>
          </cell>
          <cell r="M106">
            <v>-3805.86</v>
          </cell>
          <cell r="N106">
            <v>-3053.37</v>
          </cell>
          <cell r="O106">
            <v>-2271.2399999999998</v>
          </cell>
          <cell r="P106">
            <v>-2271.2399999999998</v>
          </cell>
          <cell r="Q106">
            <v>-736.62</v>
          </cell>
          <cell r="R106" t="str">
            <v xml:space="preserve">                                             -  </v>
          </cell>
          <cell r="S106">
            <v>-1534.62</v>
          </cell>
        </row>
        <row r="107">
          <cell r="I107" t="str">
            <v>623000004 - GTOS. BCS. OKO</v>
          </cell>
          <cell r="J107" t="str">
            <v>-</v>
          </cell>
          <cell r="K107">
            <v>-971.47</v>
          </cell>
          <cell r="L107">
            <v>0</v>
          </cell>
          <cell r="M107">
            <v>0</v>
          </cell>
          <cell r="N107">
            <v>0</v>
          </cell>
          <cell r="O107">
            <v>-1574.71</v>
          </cell>
          <cell r="P107">
            <v>-1267.24</v>
          </cell>
          <cell r="Q107" t="str">
            <v xml:space="preserve">                                             -  </v>
          </cell>
          <cell r="R107" t="str">
            <v xml:space="preserve">                                             -  </v>
          </cell>
          <cell r="S107" t="str">
            <v xml:space="preserve">                                             -  </v>
          </cell>
        </row>
        <row r="108">
          <cell r="I108" t="str">
            <v>623000005 - SERVICIOS PREST. CAMARA COMERCIO</v>
          </cell>
          <cell r="J108" t="str">
            <v>-</v>
          </cell>
          <cell r="K108">
            <v>-692.3</v>
          </cell>
          <cell r="L108">
            <v>-689.7</v>
          </cell>
          <cell r="M108">
            <v>-324</v>
          </cell>
          <cell r="N108">
            <v>-591</v>
          </cell>
          <cell r="O108">
            <v>-429</v>
          </cell>
          <cell r="P108">
            <v>-1185.44</v>
          </cell>
          <cell r="Q108">
            <v>-763</v>
          </cell>
          <cell r="R108">
            <v>-210</v>
          </cell>
          <cell r="S108">
            <v>-662</v>
          </cell>
        </row>
        <row r="109">
          <cell r="I109" t="str">
            <v>623100002 - GASTOS MAURICIO ALISTE</v>
          </cell>
          <cell r="J109" t="str">
            <v>-</v>
          </cell>
          <cell r="K109">
            <v>-3245.91</v>
          </cell>
          <cell r="L109">
            <v>-4213.45</v>
          </cell>
          <cell r="M109">
            <v>-5262.62</v>
          </cell>
          <cell r="N109">
            <v>-2950.29</v>
          </cell>
          <cell r="O109">
            <v>-4225.22</v>
          </cell>
          <cell r="P109">
            <v>-3567.95</v>
          </cell>
          <cell r="Q109">
            <v>-3428.16</v>
          </cell>
          <cell r="R109">
            <v>-4396.3900000000003</v>
          </cell>
          <cell r="S109">
            <v>-4659.66</v>
          </cell>
        </row>
        <row r="110">
          <cell r="I110" t="str">
            <v>623100006 - GASTOS Y SERVICIOS AGRICOLA DEL JUCAR</v>
          </cell>
          <cell r="J110" t="str">
            <v>-</v>
          </cell>
          <cell r="K110">
            <v>0</v>
          </cell>
          <cell r="L110">
            <v>-236.74</v>
          </cell>
          <cell r="M110">
            <v>-895.06</v>
          </cell>
          <cell r="N110">
            <v>-438.09</v>
          </cell>
          <cell r="O110">
            <v>-141.55000000000001</v>
          </cell>
          <cell r="P110">
            <v>-54.55</v>
          </cell>
          <cell r="Q110" t="str">
            <v xml:space="preserve">                                             -  </v>
          </cell>
          <cell r="R110">
            <v>-20364.61</v>
          </cell>
          <cell r="S110" t="str">
            <v xml:space="preserve">                                             -  </v>
          </cell>
        </row>
        <row r="111">
          <cell r="I111" t="str">
            <v>623100007 - GASTOS Y SUELDO MEHMET CILOGLU</v>
          </cell>
          <cell r="J111" t="str">
            <v>-</v>
          </cell>
          <cell r="K111">
            <v>-5502.03</v>
          </cell>
          <cell r="L111">
            <v>-5916.14</v>
          </cell>
          <cell r="M111">
            <v>-5438.35</v>
          </cell>
          <cell r="N111">
            <v>-5067.2299999999996</v>
          </cell>
          <cell r="O111" t="str">
            <v xml:space="preserve">                            -  </v>
          </cell>
          <cell r="P111">
            <v>-41963.34</v>
          </cell>
          <cell r="Q111">
            <v>-20123.98</v>
          </cell>
          <cell r="R111">
            <v>-6760.66</v>
          </cell>
          <cell r="S111">
            <v>-5892.08</v>
          </cell>
        </row>
        <row r="112">
          <cell r="I112" t="str">
            <v>623100008 - COMISIONES KAMAL KEHAL</v>
          </cell>
          <cell r="J112" t="str">
            <v>-</v>
          </cell>
          <cell r="O112">
            <v>-3398.55</v>
          </cell>
          <cell r="P112" t="str">
            <v xml:space="preserve">                            -  </v>
          </cell>
          <cell r="Q112">
            <v>0</v>
          </cell>
          <cell r="R112" t="str">
            <v xml:space="preserve">                                             -  </v>
          </cell>
          <cell r="S112" t="str">
            <v xml:space="preserve">                                             -  </v>
          </cell>
        </row>
        <row r="113">
          <cell r="I113" t="str">
            <v>623100009 - COMISIONES ABEL SALAZAR</v>
          </cell>
          <cell r="J113" t="str">
            <v>-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 t="str">
            <v xml:space="preserve">                            -  </v>
          </cell>
          <cell r="Q113">
            <v>0</v>
          </cell>
          <cell r="R113">
            <v>0</v>
          </cell>
          <cell r="S113">
            <v>0</v>
          </cell>
        </row>
        <row r="114">
          <cell r="I114" t="str">
            <v>623200001 - GASTOS MARCAS EN ESPAÑA</v>
          </cell>
          <cell r="J114" t="str">
            <v>-</v>
          </cell>
          <cell r="K114">
            <v>-377.56</v>
          </cell>
          <cell r="L114">
            <v>0</v>
          </cell>
          <cell r="M114">
            <v>0</v>
          </cell>
          <cell r="N114">
            <v>0</v>
          </cell>
          <cell r="O114">
            <v>-377.56</v>
          </cell>
          <cell r="P114" t="str">
            <v xml:space="preserve">                            -  </v>
          </cell>
          <cell r="Q114">
            <v>0</v>
          </cell>
          <cell r="R114" t="str">
            <v xml:space="preserve">                                             -  </v>
          </cell>
          <cell r="S114" t="str">
            <v xml:space="preserve">                                             -  </v>
          </cell>
        </row>
        <row r="115">
          <cell r="I115" t="str">
            <v>623200005 - GASTOS MARCAS CHILE</v>
          </cell>
          <cell r="J115" t="str">
            <v>-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 t="str">
            <v xml:space="preserve">                            -  </v>
          </cell>
          <cell r="Q115">
            <v>0</v>
          </cell>
          <cell r="R115">
            <v>0</v>
          </cell>
          <cell r="S115">
            <v>0</v>
          </cell>
        </row>
        <row r="116">
          <cell r="I116" t="str">
            <v>623200006 - MARCAS UNION EUROPEA</v>
          </cell>
          <cell r="J116" t="str">
            <v>-</v>
          </cell>
          <cell r="K116">
            <v>0</v>
          </cell>
          <cell r="L116">
            <v>-1218.75</v>
          </cell>
          <cell r="M116">
            <v>0</v>
          </cell>
          <cell r="N116">
            <v>0</v>
          </cell>
          <cell r="O116" t="str">
            <v xml:space="preserve">                            -  </v>
          </cell>
          <cell r="P116">
            <v>-30.35</v>
          </cell>
          <cell r="Q116" t="str">
            <v xml:space="preserve">                                             -  </v>
          </cell>
          <cell r="R116">
            <v>-663</v>
          </cell>
          <cell r="S116" t="str">
            <v xml:space="preserve">                                             -  </v>
          </cell>
        </row>
        <row r="117">
          <cell r="I117" t="str">
            <v>623200011 - GASTOS MARCAS COLOMBIA</v>
          </cell>
          <cell r="J117" t="str">
            <v>-</v>
          </cell>
          <cell r="K117">
            <v>0</v>
          </cell>
          <cell r="L117">
            <v>0</v>
          </cell>
          <cell r="M117">
            <v>-212.5</v>
          </cell>
          <cell r="N117">
            <v>-513</v>
          </cell>
          <cell r="O117">
            <v>-53.12</v>
          </cell>
          <cell r="P117">
            <v>-30.35</v>
          </cell>
          <cell r="Q117" t="str">
            <v xml:space="preserve">                                             -  </v>
          </cell>
          <cell r="R117" t="str">
            <v xml:space="preserve">                                             -  </v>
          </cell>
          <cell r="S117" t="str">
            <v xml:space="preserve">                                             -  </v>
          </cell>
        </row>
        <row r="118">
          <cell r="I118" t="str">
            <v>623200021 - GASTOS MARCAS GUATEMALA</v>
          </cell>
          <cell r="J118" t="str">
            <v>-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 t="str">
            <v xml:space="preserve">                            -  </v>
          </cell>
          <cell r="Q118">
            <v>0</v>
          </cell>
          <cell r="R118">
            <v>0</v>
          </cell>
          <cell r="S118">
            <v>0</v>
          </cell>
        </row>
        <row r="119">
          <cell r="I119" t="str">
            <v>623200023 - GASTOS MARCAS ARGELIA</v>
          </cell>
          <cell r="J119" t="str">
            <v>-</v>
          </cell>
          <cell r="O119">
            <v>-53.12</v>
          </cell>
          <cell r="P119">
            <v>-30.35</v>
          </cell>
          <cell r="Q119" t="str">
            <v xml:space="preserve">                                             -  </v>
          </cell>
          <cell r="R119" t="str">
            <v xml:space="preserve">                                             -  </v>
          </cell>
          <cell r="S119" t="str">
            <v xml:space="preserve">                                             -  </v>
          </cell>
        </row>
        <row r="120">
          <cell r="I120" t="str">
            <v>623200002 - GASTOS MARCAS MEXICO</v>
          </cell>
          <cell r="J120" t="str">
            <v>-</v>
          </cell>
          <cell r="P120">
            <v>-267.75</v>
          </cell>
          <cell r="Q120" t="str">
            <v xml:space="preserve">                                             -  </v>
          </cell>
          <cell r="R120" t="str">
            <v xml:space="preserve">                                             -  </v>
          </cell>
          <cell r="S120" t="str">
            <v xml:space="preserve">                                             -  </v>
          </cell>
        </row>
        <row r="121">
          <cell r="I121" t="str">
            <v>623200033 - GASTOS MARCAS MUNDIAL</v>
          </cell>
          <cell r="J121" t="str">
            <v>-</v>
          </cell>
          <cell r="P121">
            <v>-2450</v>
          </cell>
          <cell r="Q121" t="str">
            <v xml:space="preserve">                                             -  </v>
          </cell>
          <cell r="R121" t="str">
            <v xml:space="preserve">                                             -  </v>
          </cell>
          <cell r="S121" t="str">
            <v xml:space="preserve">                                             -  </v>
          </cell>
        </row>
        <row r="122">
          <cell r="I122" t="str">
            <v>623200008 - GASTOS MARCAS EGIPTO</v>
          </cell>
          <cell r="J122" t="str">
            <v>-</v>
          </cell>
          <cell r="K122">
            <v>0</v>
          </cell>
          <cell r="L122">
            <v>0</v>
          </cell>
          <cell r="M122">
            <v>0</v>
          </cell>
          <cell r="N122">
            <v>-513</v>
          </cell>
          <cell r="O122">
            <v>-53.14</v>
          </cell>
          <cell r="P122" t="str">
            <v xml:space="preserve">                            -  </v>
          </cell>
          <cell r="Q122">
            <v>0</v>
          </cell>
          <cell r="R122" t="str">
            <v xml:space="preserve">                                             -  </v>
          </cell>
          <cell r="S122" t="str">
            <v xml:space="preserve">                                             -  </v>
          </cell>
        </row>
        <row r="123">
          <cell r="I123" t="str">
            <v>623200009 - GASTOS MARCAS MARRUECOS</v>
          </cell>
          <cell r="J123" t="str">
            <v>-</v>
          </cell>
          <cell r="K123">
            <v>0</v>
          </cell>
          <cell r="L123">
            <v>0</v>
          </cell>
          <cell r="M123">
            <v>0</v>
          </cell>
          <cell r="N123">
            <v>-513</v>
          </cell>
          <cell r="O123" t="str">
            <v xml:space="preserve">                            -  </v>
          </cell>
          <cell r="P123">
            <v>-30.35</v>
          </cell>
          <cell r="Q123" t="str">
            <v xml:space="preserve">                                             -  </v>
          </cell>
          <cell r="R123" t="str">
            <v xml:space="preserve">                                             -  </v>
          </cell>
          <cell r="S123" t="str">
            <v xml:space="preserve">                                             -  </v>
          </cell>
        </row>
        <row r="124">
          <cell r="I124" t="str">
            <v>623200010 - GASTOS MARCAS TURQUIA</v>
          </cell>
          <cell r="J124" t="str">
            <v>-</v>
          </cell>
          <cell r="K124">
            <v>0</v>
          </cell>
          <cell r="L124">
            <v>0</v>
          </cell>
          <cell r="M124">
            <v>0</v>
          </cell>
          <cell r="N124">
            <v>-513</v>
          </cell>
          <cell r="O124" t="str">
            <v xml:space="preserve">                            -  </v>
          </cell>
          <cell r="P124">
            <v>-30.4</v>
          </cell>
          <cell r="Q124" t="str">
            <v xml:space="preserve">                                             -  </v>
          </cell>
          <cell r="R124" t="str">
            <v xml:space="preserve">                                             -  </v>
          </cell>
          <cell r="S124" t="str">
            <v xml:space="preserve">                                             -  </v>
          </cell>
        </row>
        <row r="125">
          <cell r="I125" t="str">
            <v>623200016 - GASTOS MARCAS ECUADOR</v>
          </cell>
          <cell r="J125" t="str">
            <v>-</v>
          </cell>
          <cell r="K125">
            <v>0</v>
          </cell>
          <cell r="L125">
            <v>0</v>
          </cell>
          <cell r="M125">
            <v>0</v>
          </cell>
          <cell r="N125">
            <v>-1190</v>
          </cell>
          <cell r="O125" t="str">
            <v xml:space="preserve">                            -  </v>
          </cell>
          <cell r="P125" t="str">
            <v xml:space="preserve">                            -  </v>
          </cell>
          <cell r="Q125">
            <v>0</v>
          </cell>
          <cell r="R125" t="str">
            <v xml:space="preserve">                                             -  </v>
          </cell>
          <cell r="S125" t="str">
            <v xml:space="preserve">                                             -  </v>
          </cell>
        </row>
        <row r="126">
          <cell r="I126" t="str">
            <v>623200017 GASTOS MARCAS EL SALVADOR</v>
          </cell>
          <cell r="J126" t="str">
            <v>-</v>
          </cell>
          <cell r="R126">
            <v>-4869.95</v>
          </cell>
          <cell r="S126" t="str">
            <v xml:space="preserve">                                             -  </v>
          </cell>
        </row>
        <row r="127">
          <cell r="I127" t="str">
            <v>623200020 - GASTOS MARCAS TUNEZ</v>
          </cell>
          <cell r="J127" t="str">
            <v>-</v>
          </cell>
          <cell r="K127">
            <v>0</v>
          </cell>
          <cell r="L127">
            <v>0</v>
          </cell>
          <cell r="M127">
            <v>0</v>
          </cell>
          <cell r="N127">
            <v>-513</v>
          </cell>
          <cell r="O127" t="str">
            <v xml:space="preserve">                            -  </v>
          </cell>
          <cell r="P127">
            <v>-30.35</v>
          </cell>
          <cell r="Q127" t="str">
            <v xml:space="preserve">                                             -  </v>
          </cell>
          <cell r="R127" t="str">
            <v xml:space="preserve">                                             -  </v>
          </cell>
          <cell r="S127" t="str">
            <v xml:space="preserve">                                             -  </v>
          </cell>
        </row>
        <row r="128">
          <cell r="I128" t="str">
            <v>623200022 - GASTOS MARCAS BOLIVIA</v>
          </cell>
          <cell r="J128" t="str">
            <v>-</v>
          </cell>
          <cell r="K128">
            <v>0</v>
          </cell>
          <cell r="L128">
            <v>0</v>
          </cell>
          <cell r="M128">
            <v>0</v>
          </cell>
          <cell r="N128">
            <v>-513</v>
          </cell>
          <cell r="O128" t="str">
            <v xml:space="preserve">                            -  </v>
          </cell>
          <cell r="P128" t="str">
            <v xml:space="preserve">                            -  </v>
          </cell>
          <cell r="Q128">
            <v>0</v>
          </cell>
          <cell r="R128" t="str">
            <v xml:space="preserve">                                             -  </v>
          </cell>
          <cell r="S128" t="str">
            <v xml:space="preserve">                                             -  </v>
          </cell>
        </row>
        <row r="129">
          <cell r="I129" t="str">
            <v>623200024 - GASTOS MARCAS INTERNACIONALES</v>
          </cell>
          <cell r="J129" t="str">
            <v>-</v>
          </cell>
          <cell r="K129">
            <v>0</v>
          </cell>
          <cell r="L129">
            <v>0</v>
          </cell>
          <cell r="M129">
            <v>0</v>
          </cell>
          <cell r="N129">
            <v>-9951.56</v>
          </cell>
          <cell r="O129" t="str">
            <v xml:space="preserve">                            -  </v>
          </cell>
          <cell r="P129" t="str">
            <v xml:space="preserve">                            -  </v>
          </cell>
          <cell r="Q129">
            <v>0</v>
          </cell>
          <cell r="R129">
            <v>-212.5</v>
          </cell>
          <cell r="S129">
            <v>-2300.9899999999998</v>
          </cell>
        </row>
        <row r="130">
          <cell r="I130" t="str">
            <v>623200029 - GASTOS MARCAS GEORGIA</v>
          </cell>
          <cell r="J130" t="str">
            <v>-</v>
          </cell>
          <cell r="K130">
            <v>0</v>
          </cell>
          <cell r="L130">
            <v>0</v>
          </cell>
          <cell r="M130">
            <v>0</v>
          </cell>
          <cell r="N130">
            <v>-513</v>
          </cell>
          <cell r="O130" t="str">
            <v xml:space="preserve">                            -  </v>
          </cell>
          <cell r="P130" t="str">
            <v xml:space="preserve">                            -  </v>
          </cell>
          <cell r="Q130">
            <v>0</v>
          </cell>
          <cell r="R130" t="str">
            <v xml:space="preserve">                                             -  </v>
          </cell>
          <cell r="S130" t="str">
            <v xml:space="preserve">                                             -  </v>
          </cell>
        </row>
        <row r="131">
          <cell r="I131" t="str">
            <v>623200030 - GASTOS MARCAS AZERBAIYAN</v>
          </cell>
          <cell r="J131" t="str">
            <v>-</v>
          </cell>
          <cell r="K131">
            <v>0</v>
          </cell>
          <cell r="L131">
            <v>0</v>
          </cell>
          <cell r="M131">
            <v>0</v>
          </cell>
          <cell r="N131">
            <v>-513</v>
          </cell>
          <cell r="O131">
            <v>-53.12</v>
          </cell>
          <cell r="P131">
            <v>-30.35</v>
          </cell>
          <cell r="Q131" t="str">
            <v xml:space="preserve">                                             -  </v>
          </cell>
          <cell r="R131" t="str">
            <v xml:space="preserve">                                             -  </v>
          </cell>
          <cell r="S131" t="str">
            <v xml:space="preserve">                                             -  </v>
          </cell>
        </row>
        <row r="132">
          <cell r="I132" t="str">
            <v>623200037 - GASTOS MARCAS ESTADOS UNIDOS</v>
          </cell>
          <cell r="J132" t="str">
            <v>-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 t="str">
            <v xml:space="preserve">                            -  </v>
          </cell>
          <cell r="Q132">
            <v>0</v>
          </cell>
          <cell r="R132">
            <v>0</v>
          </cell>
          <cell r="S132">
            <v>0</v>
          </cell>
        </row>
        <row r="133">
          <cell r="I133" t="str">
            <v>624000001 - TRANSPORTES NACIONAL</v>
          </cell>
          <cell r="J133" t="str">
            <v>-</v>
          </cell>
          <cell r="K133">
            <v>-6935.76</v>
          </cell>
          <cell r="L133">
            <v>-9119.9699999999993</v>
          </cell>
          <cell r="M133">
            <v>-14742.05</v>
          </cell>
          <cell r="N133">
            <v>-19866.740000000002</v>
          </cell>
          <cell r="O133">
            <v>-17966.84</v>
          </cell>
          <cell r="P133">
            <v>-14634.83</v>
          </cell>
          <cell r="Q133">
            <v>-11227.02</v>
          </cell>
          <cell r="R133">
            <v>-7363.19</v>
          </cell>
          <cell r="S133">
            <v>-8129.04</v>
          </cell>
        </row>
        <row r="134">
          <cell r="I134" t="str">
            <v>624000002 - TRANSPORTE INTERNACIONAL</v>
          </cell>
          <cell r="J134" t="str">
            <v>-</v>
          </cell>
          <cell r="K134">
            <v>-2898.1</v>
          </cell>
          <cell r="L134">
            <v>-864.32</v>
          </cell>
          <cell r="M134">
            <v>-4611.7700000000004</v>
          </cell>
          <cell r="N134">
            <v>-1313.78</v>
          </cell>
          <cell r="O134">
            <v>-951.38</v>
          </cell>
          <cell r="P134">
            <v>-23539.9</v>
          </cell>
          <cell r="Q134">
            <v>-30143.15</v>
          </cell>
          <cell r="R134">
            <v>-8087.44</v>
          </cell>
          <cell r="S134">
            <v>-8078.83</v>
          </cell>
        </row>
        <row r="135">
          <cell r="I135" t="str">
            <v>624000003 - TRANSPORTES CANARIAS</v>
          </cell>
          <cell r="J135" t="str">
            <v>-</v>
          </cell>
          <cell r="K135">
            <v>-5283.6</v>
          </cell>
          <cell r="L135">
            <v>-4717.34</v>
          </cell>
          <cell r="M135">
            <v>-6216.75</v>
          </cell>
          <cell r="N135">
            <v>-3107.88</v>
          </cell>
          <cell r="O135">
            <v>-6790.44</v>
          </cell>
          <cell r="P135">
            <v>-6162.89</v>
          </cell>
          <cell r="Q135">
            <v>-1597.42</v>
          </cell>
          <cell r="R135">
            <v>-11901.38</v>
          </cell>
          <cell r="S135">
            <v>-10256.540000000001</v>
          </cell>
        </row>
        <row r="136">
          <cell r="I136" t="str">
            <v>624000004 - GTOS. FLETE REP. AL CLIENTE</v>
          </cell>
          <cell r="J136" t="str">
            <v>-</v>
          </cell>
          <cell r="K136">
            <v>-18803.73</v>
          </cell>
          <cell r="L136">
            <v>-3406.44</v>
          </cell>
          <cell r="M136">
            <v>-15879.46</v>
          </cell>
          <cell r="N136">
            <v>0</v>
          </cell>
          <cell r="O136" t="str">
            <v xml:space="preserve">                            -  </v>
          </cell>
          <cell r="P136" t="str">
            <v xml:space="preserve">                            -  </v>
          </cell>
          <cell r="Q136">
            <v>0</v>
          </cell>
          <cell r="R136" t="str">
            <v xml:space="preserve">                                             -  </v>
          </cell>
          <cell r="S136" t="str">
            <v xml:space="preserve">                                             -  </v>
          </cell>
        </row>
        <row r="137">
          <cell r="I137" t="str">
            <v xml:space="preserve">624000005 - TTE. PAQUETERIA </v>
          </cell>
          <cell r="J137" t="str">
            <v>-</v>
          </cell>
          <cell r="K137">
            <v>-202.03</v>
          </cell>
          <cell r="L137">
            <v>-389.24</v>
          </cell>
          <cell r="M137">
            <v>-280.8</v>
          </cell>
          <cell r="N137">
            <v>0</v>
          </cell>
          <cell r="O137" t="str">
            <v xml:space="preserve">                            -  </v>
          </cell>
          <cell r="P137">
            <v>-1935.01</v>
          </cell>
          <cell r="Q137">
            <v>-592.1</v>
          </cell>
          <cell r="R137">
            <v>-149.55000000000001</v>
          </cell>
          <cell r="S137">
            <v>-638.41999999999996</v>
          </cell>
        </row>
        <row r="138">
          <cell r="I138" t="str">
            <v>624000006 - TRANSPORTES IMPORTACIÓN</v>
          </cell>
          <cell r="J138" t="str">
            <v>-</v>
          </cell>
          <cell r="K138">
            <v>0</v>
          </cell>
          <cell r="L138">
            <v>-1750</v>
          </cell>
          <cell r="M138">
            <v>-487.13</v>
          </cell>
          <cell r="N138">
            <v>-1930</v>
          </cell>
          <cell r="O138" t="str">
            <v xml:space="preserve">                            -  </v>
          </cell>
          <cell r="P138" t="str">
            <v xml:space="preserve">                            -  </v>
          </cell>
          <cell r="Q138">
            <v>0</v>
          </cell>
          <cell r="R138" t="str">
            <v xml:space="preserve">                                             -  </v>
          </cell>
          <cell r="S138">
            <v>-225</v>
          </cell>
        </row>
        <row r="139">
          <cell r="I139" t="str">
            <v>624000007 - ENVIO MUESTRAS</v>
          </cell>
          <cell r="J139" t="str">
            <v>-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 t="str">
            <v xml:space="preserve">                            -  </v>
          </cell>
          <cell r="Q139">
            <v>0</v>
          </cell>
          <cell r="R139">
            <v>0</v>
          </cell>
          <cell r="S139">
            <v>0</v>
          </cell>
        </row>
        <row r="140">
          <cell r="I140" t="str">
            <v>625000001 - SEGUROS VEHÍCULOS</v>
          </cell>
          <cell r="J140" t="str">
            <v>-</v>
          </cell>
          <cell r="K140">
            <v>0</v>
          </cell>
          <cell r="L140">
            <v>0</v>
          </cell>
          <cell r="M140">
            <v>-188.17</v>
          </cell>
          <cell r="N140">
            <v>0</v>
          </cell>
          <cell r="O140" t="str">
            <v xml:space="preserve">                            -  </v>
          </cell>
          <cell r="P140" t="str">
            <v xml:space="preserve">                            -  </v>
          </cell>
          <cell r="Q140">
            <v>0</v>
          </cell>
          <cell r="R140" t="str">
            <v xml:space="preserve">                                             -  </v>
          </cell>
          <cell r="S140" t="str">
            <v xml:space="preserve">                                             -  </v>
          </cell>
        </row>
        <row r="141">
          <cell r="I141" t="str">
            <v>625000003 SEGURO ACCIDENTES TRABAJADORES</v>
          </cell>
          <cell r="J141" t="str">
            <v>-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-194.64</v>
          </cell>
          <cell r="R141" t="str">
            <v xml:space="preserve">                                             -  </v>
          </cell>
          <cell r="S141" t="str">
            <v xml:space="preserve">                                             -  </v>
          </cell>
        </row>
        <row r="142">
          <cell r="I142" t="str">
            <v>625000004 - SEGURO RESP. CIVIL</v>
          </cell>
          <cell r="J142" t="str">
            <v>-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-5788.51</v>
          </cell>
          <cell r="P142">
            <v>-774.67</v>
          </cell>
          <cell r="Q142" t="str">
            <v xml:space="preserve">                                             -  </v>
          </cell>
          <cell r="R142" t="str">
            <v xml:space="preserve">                                             -  </v>
          </cell>
          <cell r="S142" t="str">
            <v xml:space="preserve">                                             -  </v>
          </cell>
        </row>
        <row r="143">
          <cell r="I143" t="str">
            <v>625000005 - SEGUROS ACTIVIDAD</v>
          </cell>
          <cell r="J143" t="str">
            <v>-</v>
          </cell>
          <cell r="K143">
            <v>-8631.83</v>
          </cell>
          <cell r="L143">
            <v>0</v>
          </cell>
          <cell r="M143">
            <v>-2798.15</v>
          </cell>
          <cell r="N143">
            <v>-608.9</v>
          </cell>
          <cell r="O143" t="str">
            <v xml:space="preserve">                            -  </v>
          </cell>
          <cell r="P143">
            <v>-2798.15</v>
          </cell>
          <cell r="Q143">
            <v>-41.37</v>
          </cell>
          <cell r="R143" t="str">
            <v xml:space="preserve">                                             -  </v>
          </cell>
          <cell r="S143">
            <v>-2798.15</v>
          </cell>
        </row>
        <row r="144">
          <cell r="I144" t="str">
            <v>626000000 - Servicios bancarios y similares</v>
          </cell>
          <cell r="J144" t="str">
            <v>-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 t="str">
            <v xml:space="preserve">                            -  </v>
          </cell>
          <cell r="Q144">
            <v>0</v>
          </cell>
          <cell r="R144">
            <v>0</v>
          </cell>
          <cell r="S144">
            <v>0</v>
          </cell>
        </row>
        <row r="145">
          <cell r="I145" t="str">
            <v>626000002 - GASTOS Y COMISIONES BANCO SABADELL</v>
          </cell>
          <cell r="J145" t="str">
            <v>-</v>
          </cell>
          <cell r="K145">
            <v>-111.93</v>
          </cell>
          <cell r="L145">
            <v>-38.96</v>
          </cell>
          <cell r="M145">
            <v>-1.21</v>
          </cell>
          <cell r="N145">
            <v>-1.21</v>
          </cell>
          <cell r="O145">
            <v>-8.4700000000000006</v>
          </cell>
          <cell r="P145">
            <v>-102.05</v>
          </cell>
          <cell r="Q145">
            <v>-121.06</v>
          </cell>
          <cell r="R145">
            <v>-7.26</v>
          </cell>
          <cell r="S145">
            <v>-62.42</v>
          </cell>
        </row>
        <row r="146">
          <cell r="I146" t="str">
            <v>626000005 - GASTOS Y COMISIONES CAIXALMASSORA</v>
          </cell>
          <cell r="J146" t="str">
            <v>-</v>
          </cell>
          <cell r="K146">
            <v>-138.5</v>
          </cell>
          <cell r="L146">
            <v>-149.62</v>
          </cell>
          <cell r="M146">
            <v>-353.89</v>
          </cell>
          <cell r="N146">
            <v>-230.86</v>
          </cell>
          <cell r="O146">
            <v>-43.09</v>
          </cell>
          <cell r="P146">
            <v>-200.29</v>
          </cell>
          <cell r="Q146">
            <v>-109.75</v>
          </cell>
          <cell r="R146">
            <v>-143.33000000000001</v>
          </cell>
          <cell r="S146">
            <v>-66.11</v>
          </cell>
        </row>
        <row r="147">
          <cell r="I147" t="str">
            <v>626000007 - GASTOS Y COMISIONES BBVA</v>
          </cell>
          <cell r="J147" t="str">
            <v>-</v>
          </cell>
          <cell r="K147">
            <v>-342.23</v>
          </cell>
          <cell r="L147">
            <v>-704.39</v>
          </cell>
          <cell r="M147">
            <v>-687.65</v>
          </cell>
          <cell r="N147">
            <v>-381.46</v>
          </cell>
          <cell r="O147">
            <v>-1201.98</v>
          </cell>
          <cell r="P147">
            <v>-1201.74</v>
          </cell>
          <cell r="Q147">
            <v>-1353.52</v>
          </cell>
          <cell r="R147">
            <v>-615.71</v>
          </cell>
          <cell r="S147">
            <v>-2564.7199999999998</v>
          </cell>
        </row>
        <row r="148">
          <cell r="I148" t="str">
            <v>627000001 - GTOS. PUBLICIDAD EN INTERNET</v>
          </cell>
          <cell r="J148" t="str">
            <v>-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 t="str">
            <v xml:space="preserve">                            -  </v>
          </cell>
          <cell r="Q148">
            <v>0</v>
          </cell>
          <cell r="R148">
            <v>0</v>
          </cell>
          <cell r="S148">
            <v>-875.65</v>
          </cell>
        </row>
        <row r="149">
          <cell r="I149" t="str">
            <v>627000003 - PATROCINIOS VARIOS</v>
          </cell>
          <cell r="S149">
            <v>-1700</v>
          </cell>
        </row>
        <row r="150">
          <cell r="I150" t="str">
            <v>627000004 - RELACIONES PUBLICAS</v>
          </cell>
          <cell r="J150" t="str">
            <v>-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 t="str">
            <v xml:space="preserve">                            -  </v>
          </cell>
          <cell r="Q150">
            <v>0</v>
          </cell>
          <cell r="R150">
            <v>-214.6</v>
          </cell>
          <cell r="S150">
            <v>-347.59</v>
          </cell>
        </row>
        <row r="151">
          <cell r="I151" t="str">
            <v>627000005 - INVITACIONES CLIENTES</v>
          </cell>
          <cell r="J151" t="str">
            <v>-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 t="str">
            <v xml:space="preserve">                            -  </v>
          </cell>
          <cell r="Q151">
            <v>-407</v>
          </cell>
          <cell r="R151" t="str">
            <v xml:space="preserve">                                             -  </v>
          </cell>
          <cell r="S151">
            <v>-1261.92</v>
          </cell>
        </row>
        <row r="152">
          <cell r="I152" t="str">
            <v>627000006 - PUBLICIDAD CATALOGOS Y FOLLETOS</v>
          </cell>
          <cell r="J152" t="str">
            <v>-</v>
          </cell>
          <cell r="K152">
            <v>-27.52</v>
          </cell>
          <cell r="L152">
            <v>0</v>
          </cell>
          <cell r="M152">
            <v>0</v>
          </cell>
          <cell r="N152">
            <v>0</v>
          </cell>
          <cell r="O152">
            <v>-170.36</v>
          </cell>
          <cell r="P152" t="str">
            <v xml:space="preserve">                            -  </v>
          </cell>
          <cell r="Q152">
            <v>0</v>
          </cell>
          <cell r="R152" t="str">
            <v xml:space="preserve">                                             -  </v>
          </cell>
          <cell r="S152" t="str">
            <v xml:space="preserve">                                             -  </v>
          </cell>
        </row>
        <row r="153">
          <cell r="I153" t="str">
            <v>627000007 - FERIAS</v>
          </cell>
          <cell r="J153" t="str">
            <v>-</v>
          </cell>
          <cell r="K153">
            <v>0</v>
          </cell>
          <cell r="L153">
            <v>0</v>
          </cell>
          <cell r="M153">
            <v>0</v>
          </cell>
          <cell r="N153">
            <v>-308.45999999999998</v>
          </cell>
          <cell r="O153" t="str">
            <v xml:space="preserve">                            -  </v>
          </cell>
          <cell r="P153" t="str">
            <v xml:space="preserve">                            -  </v>
          </cell>
          <cell r="Q153">
            <v>0</v>
          </cell>
          <cell r="R153" t="str">
            <v xml:space="preserve">                                             -  </v>
          </cell>
          <cell r="S153">
            <v>-559.72</v>
          </cell>
        </row>
        <row r="154">
          <cell r="I154" t="str">
            <v>627000008 - MARKETING</v>
          </cell>
          <cell r="J154" t="str">
            <v>-</v>
          </cell>
          <cell r="K154">
            <v>0</v>
          </cell>
          <cell r="L154">
            <v>0</v>
          </cell>
          <cell r="M154">
            <v>-1568.58</v>
          </cell>
          <cell r="N154">
            <v>-4485</v>
          </cell>
          <cell r="O154">
            <v>-55</v>
          </cell>
          <cell r="P154">
            <v>-3000</v>
          </cell>
          <cell r="Q154" t="str">
            <v xml:space="preserve">                                             -  </v>
          </cell>
          <cell r="R154" t="str">
            <v xml:space="preserve">                                             -  </v>
          </cell>
          <cell r="S154">
            <v>-2679.5</v>
          </cell>
        </row>
        <row r="155">
          <cell r="I155" t="str">
            <v>627000009 - ARTICULOS PUBLICIDAD</v>
          </cell>
          <cell r="J155" t="str">
            <v>-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-3208.9</v>
          </cell>
          <cell r="P155">
            <v>-438</v>
          </cell>
          <cell r="Q155">
            <v>-9082.9</v>
          </cell>
          <cell r="R155">
            <v>-3164.3</v>
          </cell>
          <cell r="S155" t="str">
            <v xml:space="preserve">                                             -  </v>
          </cell>
        </row>
        <row r="156">
          <cell r="I156" t="str">
            <v>627000010 - RELACIONES PUBLICAS TEC. CLIENTES</v>
          </cell>
          <cell r="J156" t="str">
            <v>-</v>
          </cell>
          <cell r="K156">
            <v>0</v>
          </cell>
          <cell r="L156">
            <v>0</v>
          </cell>
          <cell r="M156">
            <v>-826.76</v>
          </cell>
          <cell r="N156">
            <v>0</v>
          </cell>
          <cell r="O156" t="str">
            <v xml:space="preserve">                            -  </v>
          </cell>
          <cell r="P156" t="str">
            <v xml:space="preserve">                            -  </v>
          </cell>
          <cell r="Q156">
            <v>0</v>
          </cell>
          <cell r="R156" t="str">
            <v xml:space="preserve">                                             -  </v>
          </cell>
          <cell r="S156" t="str">
            <v xml:space="preserve">                                             -  </v>
          </cell>
        </row>
        <row r="157">
          <cell r="I157" t="str">
            <v>628000001 - SUMINISTROS INFORMATICOS</v>
          </cell>
          <cell r="J157" t="str">
            <v>-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-489</v>
          </cell>
          <cell r="Q157" t="str">
            <v xml:space="preserve">                                             -  </v>
          </cell>
          <cell r="R157" t="str">
            <v xml:space="preserve">                                             -  </v>
          </cell>
          <cell r="S157" t="str">
            <v xml:space="preserve">                                             -  </v>
          </cell>
        </row>
        <row r="158">
          <cell r="I158" t="str">
            <v>628000002 - SUMINISTROS ELECTRICIDAD</v>
          </cell>
          <cell r="J158" t="str">
            <v>-</v>
          </cell>
          <cell r="K158">
            <v>-4457.07</v>
          </cell>
          <cell r="L158">
            <v>-4192.18</v>
          </cell>
          <cell r="M158">
            <v>0</v>
          </cell>
          <cell r="N158">
            <v>-8417.9</v>
          </cell>
          <cell r="O158">
            <v>-2638.99</v>
          </cell>
          <cell r="P158">
            <v>-8422.9500000000007</v>
          </cell>
          <cell r="Q158">
            <v>-3614.14</v>
          </cell>
          <cell r="R158">
            <v>-4025.79</v>
          </cell>
          <cell r="S158">
            <v>-2024.45</v>
          </cell>
        </row>
        <row r="159">
          <cell r="I159" t="str">
            <v>628000003 - SUMINISTROS AGUA</v>
          </cell>
          <cell r="J159" t="str">
            <v>-</v>
          </cell>
          <cell r="K159">
            <v>-1170.76</v>
          </cell>
          <cell r="L159">
            <v>0</v>
          </cell>
          <cell r="M159">
            <v>0</v>
          </cell>
          <cell r="N159">
            <v>-1209.46</v>
          </cell>
          <cell r="O159" t="str">
            <v xml:space="preserve">                            -  </v>
          </cell>
          <cell r="P159" t="str">
            <v xml:space="preserve">                            -  </v>
          </cell>
          <cell r="Q159">
            <v>-1927.6</v>
          </cell>
          <cell r="R159" t="str">
            <v xml:space="preserve">                                             -  </v>
          </cell>
          <cell r="S159" t="str">
            <v xml:space="preserve">                                             -  </v>
          </cell>
        </row>
        <row r="160">
          <cell r="I160" t="str">
            <v>628000004 - SUMINISTROS TELEFONIA E INTERNET</v>
          </cell>
          <cell r="J160" t="str">
            <v>-</v>
          </cell>
          <cell r="K160">
            <v>-697.53</v>
          </cell>
          <cell r="L160">
            <v>-707.86</v>
          </cell>
          <cell r="M160">
            <v>-721.07</v>
          </cell>
          <cell r="N160">
            <v>-752.94</v>
          </cell>
          <cell r="O160">
            <v>-259.61</v>
          </cell>
          <cell r="P160">
            <v>-1232.48</v>
          </cell>
          <cell r="Q160">
            <v>-761.55</v>
          </cell>
          <cell r="R160">
            <v>-853</v>
          </cell>
          <cell r="S160">
            <v>-464.2</v>
          </cell>
        </row>
        <row r="161">
          <cell r="I161" t="str">
            <v>628000005 - SUMINISTROS GASOLEO</v>
          </cell>
          <cell r="J161" t="str">
            <v>-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-1891.22</v>
          </cell>
          <cell r="P161" t="str">
            <v xml:space="preserve">                            -  </v>
          </cell>
          <cell r="Q161">
            <v>0</v>
          </cell>
          <cell r="R161">
            <v>-1496.33</v>
          </cell>
          <cell r="S161" t="str">
            <v xml:space="preserve">                                             -  </v>
          </cell>
        </row>
        <row r="162">
          <cell r="I162" t="str">
            <v>629000001 - HOSPEDAJE WEB</v>
          </cell>
          <cell r="J162" t="str">
            <v>-</v>
          </cell>
          <cell r="K162">
            <v>-396</v>
          </cell>
          <cell r="L162">
            <v>0</v>
          </cell>
          <cell r="M162">
            <v>0</v>
          </cell>
          <cell r="N162">
            <v>0</v>
          </cell>
          <cell r="O162" t="str">
            <v xml:space="preserve">                            -  </v>
          </cell>
          <cell r="P162">
            <v>-30</v>
          </cell>
          <cell r="Q162" t="str">
            <v xml:space="preserve">                                             -  </v>
          </cell>
          <cell r="R162" t="str">
            <v xml:space="preserve">                                             -  </v>
          </cell>
          <cell r="S162" t="str">
            <v xml:space="preserve">                                             -  </v>
          </cell>
        </row>
        <row r="163">
          <cell r="I163" t="str">
            <v>629000002 - OTROS GASTOS</v>
          </cell>
          <cell r="J163" t="str">
            <v>-</v>
          </cell>
          <cell r="K163">
            <v>-194.68</v>
          </cell>
          <cell r="L163">
            <v>-108</v>
          </cell>
          <cell r="M163">
            <v>-1186.24</v>
          </cell>
          <cell r="N163">
            <v>-80.59</v>
          </cell>
          <cell r="O163">
            <v>-277.83999999999997</v>
          </cell>
          <cell r="P163">
            <v>-254.03</v>
          </cell>
          <cell r="Q163">
            <v>-4498.18</v>
          </cell>
          <cell r="R163">
            <v>-986.98</v>
          </cell>
          <cell r="S163">
            <v>-1007.61</v>
          </cell>
        </row>
        <row r="164">
          <cell r="I164" t="str">
            <v>629000003 - SUSCRIPCIONES A REVISTAS Y PERIODICOS</v>
          </cell>
          <cell r="J164" t="str">
            <v>-</v>
          </cell>
          <cell r="K164">
            <v>-460.58</v>
          </cell>
          <cell r="L164">
            <v>0</v>
          </cell>
          <cell r="M164">
            <v>0</v>
          </cell>
          <cell r="N164">
            <v>0</v>
          </cell>
          <cell r="O164" t="str">
            <v xml:space="preserve">                            -  </v>
          </cell>
          <cell r="P164" t="str">
            <v xml:space="preserve">                            -  </v>
          </cell>
          <cell r="Q164">
            <v>0</v>
          </cell>
          <cell r="R164" t="str">
            <v xml:space="preserve">                                             -  </v>
          </cell>
          <cell r="S164" t="str">
            <v xml:space="preserve">                                             -  </v>
          </cell>
        </row>
        <row r="165">
          <cell r="I165" t="str">
            <v>629000004 - GTOS. SERV. VIGILANCIA</v>
          </cell>
          <cell r="J165" t="str">
            <v>-</v>
          </cell>
          <cell r="K165">
            <v>-73.72</v>
          </cell>
          <cell r="L165">
            <v>0</v>
          </cell>
          <cell r="M165">
            <v>-73.72</v>
          </cell>
          <cell r="N165">
            <v>-73.72</v>
          </cell>
          <cell r="O165">
            <v>-75.94</v>
          </cell>
          <cell r="P165">
            <v>-75.94</v>
          </cell>
          <cell r="Q165">
            <v>-75.94</v>
          </cell>
          <cell r="R165">
            <v>-75.94</v>
          </cell>
          <cell r="S165">
            <v>-75.94</v>
          </cell>
        </row>
        <row r="166">
          <cell r="I166" t="str">
            <v>629000005 - GTOS. ANALISIS LABORATORIOS</v>
          </cell>
          <cell r="J166" t="str">
            <v>-</v>
          </cell>
          <cell r="K166">
            <v>-87.98</v>
          </cell>
          <cell r="L166">
            <v>0</v>
          </cell>
          <cell r="M166">
            <v>0</v>
          </cell>
          <cell r="N166">
            <v>-2772</v>
          </cell>
          <cell r="O166">
            <v>36.18</v>
          </cell>
          <cell r="P166" t="str">
            <v xml:space="preserve">                            -  </v>
          </cell>
          <cell r="Q166">
            <v>0</v>
          </cell>
          <cell r="R166" t="str">
            <v xml:space="preserve">                                             -  </v>
          </cell>
          <cell r="S166" t="str">
            <v xml:space="preserve">                                             -  </v>
          </cell>
        </row>
        <row r="167">
          <cell r="I167" t="str">
            <v>629000006 - GASTOS CORREOS</v>
          </cell>
          <cell r="J167" t="str">
            <v>-</v>
          </cell>
          <cell r="K167">
            <v>-48</v>
          </cell>
          <cell r="L167">
            <v>0</v>
          </cell>
          <cell r="M167">
            <v>0</v>
          </cell>
          <cell r="N167">
            <v>0</v>
          </cell>
          <cell r="O167">
            <v>-144</v>
          </cell>
          <cell r="P167" t="str">
            <v xml:space="preserve">                            -  </v>
          </cell>
          <cell r="Q167">
            <v>0</v>
          </cell>
          <cell r="R167" t="str">
            <v xml:space="preserve">                                             -  </v>
          </cell>
          <cell r="S167" t="str">
            <v xml:space="preserve">                                             -  </v>
          </cell>
        </row>
        <row r="168">
          <cell r="I168" t="str">
            <v>629000007 - GASTOS RETIRADA DE RESIDUOS</v>
          </cell>
          <cell r="J168" t="str">
            <v>-</v>
          </cell>
          <cell r="K168">
            <v>-7569.69</v>
          </cell>
          <cell r="L168">
            <v>1670.07</v>
          </cell>
          <cell r="M168">
            <v>-1388.15</v>
          </cell>
          <cell r="N168">
            <v>-1276.52</v>
          </cell>
          <cell r="O168">
            <v>-971.18</v>
          </cell>
          <cell r="P168">
            <v>-2098.5300000000002</v>
          </cell>
          <cell r="Q168">
            <v>-11636.86</v>
          </cell>
          <cell r="R168">
            <v>-79.8</v>
          </cell>
          <cell r="S168">
            <v>-6124.73</v>
          </cell>
        </row>
        <row r="169">
          <cell r="I169" t="str">
            <v>629000008 - CUOTAS ASOCIACIONES</v>
          </cell>
          <cell r="J169" t="str">
            <v>-</v>
          </cell>
          <cell r="K169">
            <v>-1148.29</v>
          </cell>
          <cell r="L169">
            <v>0</v>
          </cell>
          <cell r="M169">
            <v>-600</v>
          </cell>
          <cell r="N169">
            <v>-945</v>
          </cell>
          <cell r="O169" t="str">
            <v xml:space="preserve">                            -  </v>
          </cell>
          <cell r="P169" t="str">
            <v xml:space="preserve">                            -  </v>
          </cell>
          <cell r="Q169">
            <v>-514</v>
          </cell>
          <cell r="R169" t="str">
            <v xml:space="preserve">                                             -  </v>
          </cell>
          <cell r="S169" t="str">
            <v xml:space="preserve">                                             -  </v>
          </cell>
        </row>
        <row r="170">
          <cell r="I170" t="str">
            <v>629000009 - SANCIONES Y MULTAS</v>
          </cell>
          <cell r="J170" t="str">
            <v>-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 t="str">
            <v xml:space="preserve">                            -  </v>
          </cell>
          <cell r="Q170">
            <v>-90</v>
          </cell>
          <cell r="R170" t="str">
            <v xml:space="preserve">                                             -  </v>
          </cell>
          <cell r="S170">
            <v>-130</v>
          </cell>
        </row>
        <row r="171">
          <cell r="I171" t="str">
            <v>629000010 - GASTOS COMERCIALES</v>
          </cell>
          <cell r="J171" t="str">
            <v>-</v>
          </cell>
          <cell r="K171">
            <v>-1233.23</v>
          </cell>
          <cell r="L171">
            <v>0</v>
          </cell>
          <cell r="M171">
            <v>29.06</v>
          </cell>
          <cell r="N171">
            <v>46.51</v>
          </cell>
          <cell r="O171">
            <v>29.06</v>
          </cell>
          <cell r="P171" t="str">
            <v xml:space="preserve">                            -  </v>
          </cell>
          <cell r="Q171">
            <v>-2125.27</v>
          </cell>
          <cell r="R171">
            <v>-1663.31</v>
          </cell>
          <cell r="S171">
            <v>-3215.9</v>
          </cell>
        </row>
        <row r="172">
          <cell r="I172" t="str">
            <v>629000011 - EPIS PERSONAL</v>
          </cell>
          <cell r="J172" t="str">
            <v>-</v>
          </cell>
          <cell r="K172">
            <v>-425</v>
          </cell>
          <cell r="L172">
            <v>0</v>
          </cell>
          <cell r="M172">
            <v>0</v>
          </cell>
          <cell r="N172">
            <v>-35.25</v>
          </cell>
          <cell r="O172">
            <v>-425</v>
          </cell>
          <cell r="P172" t="str">
            <v xml:space="preserve">                            -  </v>
          </cell>
          <cell r="Q172">
            <v>0</v>
          </cell>
          <cell r="R172" t="str">
            <v xml:space="preserve">                                             -  </v>
          </cell>
          <cell r="S172">
            <v>-1958.39</v>
          </cell>
        </row>
        <row r="173">
          <cell r="I173" t="str">
            <v>629000012 - GASTOS VARIOS PERSONAL</v>
          </cell>
          <cell r="J173" t="str">
            <v>-</v>
          </cell>
          <cell r="K173">
            <v>-808.04</v>
          </cell>
          <cell r="L173">
            <v>-2163.44</v>
          </cell>
          <cell r="M173">
            <v>-2173.63</v>
          </cell>
          <cell r="N173">
            <v>-237.86</v>
          </cell>
          <cell r="O173">
            <v>-2671.84</v>
          </cell>
          <cell r="P173">
            <v>-503.74</v>
          </cell>
          <cell r="Q173">
            <v>-1117.8599999999999</v>
          </cell>
          <cell r="R173">
            <v>-932.8</v>
          </cell>
          <cell r="S173">
            <v>-619.42999999999995</v>
          </cell>
        </row>
        <row r="174">
          <cell r="I174" t="str">
            <v>629000013 - FORMACION NO BONIFICADA</v>
          </cell>
          <cell r="J174" t="str">
            <v>-</v>
          </cell>
          <cell r="K174">
            <v>0</v>
          </cell>
          <cell r="L174">
            <v>0</v>
          </cell>
          <cell r="M174">
            <v>-400</v>
          </cell>
          <cell r="N174">
            <v>0</v>
          </cell>
          <cell r="O174">
            <v>-625.20000000000005</v>
          </cell>
          <cell r="P174" t="str">
            <v xml:space="preserve">                            -  </v>
          </cell>
          <cell r="Q174">
            <v>0</v>
          </cell>
          <cell r="R174">
            <v>-4513.8</v>
          </cell>
          <cell r="S174" t="str">
            <v xml:space="preserve">                                             -  </v>
          </cell>
        </row>
        <row r="175">
          <cell r="I175" t="str">
            <v>629000014 - ROPA LABORAL</v>
          </cell>
          <cell r="J175" t="str">
            <v>-</v>
          </cell>
          <cell r="K175">
            <v>0</v>
          </cell>
          <cell r="L175">
            <v>-351.4</v>
          </cell>
          <cell r="M175">
            <v>0</v>
          </cell>
          <cell r="N175">
            <v>0</v>
          </cell>
          <cell r="O175" t="str">
            <v xml:space="preserve">                            -  </v>
          </cell>
          <cell r="P175" t="str">
            <v xml:space="preserve">                            -  </v>
          </cell>
          <cell r="Q175">
            <v>-98.8</v>
          </cell>
          <cell r="R175">
            <v>-340</v>
          </cell>
          <cell r="S175">
            <v>-277.02999999999997</v>
          </cell>
        </row>
        <row r="176">
          <cell r="I176" t="str">
            <v>629000015 MATERIAL DE OFICINA</v>
          </cell>
          <cell r="J176" t="str">
            <v>-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-206.45</v>
          </cell>
          <cell r="R176">
            <v>-107.24</v>
          </cell>
          <cell r="S176">
            <v>-40.880000000000003</v>
          </cell>
        </row>
        <row r="177">
          <cell r="I177" t="str">
            <v>629000016 HERRAMIENTAS</v>
          </cell>
          <cell r="J177" t="str">
            <v>-</v>
          </cell>
          <cell r="R177">
            <v>-500.03</v>
          </cell>
          <cell r="S177" t="str">
            <v xml:space="preserve">                                             -  </v>
          </cell>
        </row>
        <row r="178">
          <cell r="I178" t="str">
            <v>629100001 - GASTOS COMERCIALES PERE PORTA</v>
          </cell>
          <cell r="J178" t="str">
            <v>-</v>
          </cell>
          <cell r="K178">
            <v>-1325.34</v>
          </cell>
          <cell r="L178">
            <v>-2819.19</v>
          </cell>
          <cell r="M178">
            <v>-1737.88</v>
          </cell>
          <cell r="N178">
            <v>-1506.87</v>
          </cell>
          <cell r="O178">
            <v>-2533.9299999999998</v>
          </cell>
          <cell r="P178">
            <v>-5047.3500000000004</v>
          </cell>
          <cell r="Q178">
            <v>-6591.35</v>
          </cell>
          <cell r="R178">
            <v>-2380.04</v>
          </cell>
          <cell r="S178">
            <v>-2431.8200000000002</v>
          </cell>
        </row>
        <row r="179">
          <cell r="I179" t="str">
            <v>629100002 - GASTOS RICARDO PEREZ-SANTAMARINA</v>
          </cell>
          <cell r="J179" t="str">
            <v>-</v>
          </cell>
          <cell r="K179">
            <v>-3865.16</v>
          </cell>
          <cell r="L179">
            <v>34.200000000000003</v>
          </cell>
          <cell r="M179">
            <v>-1710.02</v>
          </cell>
          <cell r="N179">
            <v>-532.08000000000004</v>
          </cell>
          <cell r="O179">
            <v>-2522.2600000000002</v>
          </cell>
          <cell r="P179">
            <v>-4633.3500000000004</v>
          </cell>
          <cell r="Q179">
            <v>-2854.53</v>
          </cell>
          <cell r="R179">
            <v>-1290.01</v>
          </cell>
          <cell r="S179">
            <v>-315.52</v>
          </cell>
        </row>
        <row r="180">
          <cell r="I180" t="str">
            <v>629100003 - GASTOS JAVIER PAREDES</v>
          </cell>
          <cell r="J180" t="str">
            <v>-</v>
          </cell>
          <cell r="K180">
            <v>-557.42999999999995</v>
          </cell>
          <cell r="L180">
            <v>-1592.89</v>
          </cell>
          <cell r="M180">
            <v>-800.56</v>
          </cell>
          <cell r="N180">
            <v>-929.26</v>
          </cell>
          <cell r="O180">
            <v>-1786.27</v>
          </cell>
          <cell r="P180">
            <v>-936.54</v>
          </cell>
          <cell r="Q180">
            <v>-759.39</v>
          </cell>
          <cell r="R180">
            <v>-1377.28</v>
          </cell>
          <cell r="S180">
            <v>-1722.71</v>
          </cell>
        </row>
        <row r="181">
          <cell r="I181" t="str">
            <v>629100004 - GASTOS GARCIA</v>
          </cell>
          <cell r="J181" t="str">
            <v>-</v>
          </cell>
          <cell r="K181">
            <v>-274.08</v>
          </cell>
          <cell r="L181">
            <v>-503.96</v>
          </cell>
          <cell r="M181">
            <v>-762.8</v>
          </cell>
          <cell r="N181">
            <v>-391.86</v>
          </cell>
          <cell r="O181">
            <v>-3016.62</v>
          </cell>
          <cell r="P181">
            <v>-553.36</v>
          </cell>
          <cell r="Q181">
            <v>-614.65</v>
          </cell>
          <cell r="R181">
            <v>-283.02999999999997</v>
          </cell>
          <cell r="S181">
            <v>-1839.72</v>
          </cell>
        </row>
        <row r="182">
          <cell r="I182" t="str">
            <v>629100005 - GASTOS IRENE</v>
          </cell>
          <cell r="J182" t="str">
            <v>-</v>
          </cell>
          <cell r="K182">
            <v>-313.19</v>
          </cell>
          <cell r="L182">
            <v>-219.25</v>
          </cell>
          <cell r="M182">
            <v>-436.29</v>
          </cell>
          <cell r="N182">
            <v>-325.14999999999998</v>
          </cell>
          <cell r="O182">
            <v>-506.79</v>
          </cell>
          <cell r="P182">
            <v>-887.3</v>
          </cell>
          <cell r="Q182">
            <v>-413.5</v>
          </cell>
          <cell r="R182">
            <v>-281.24</v>
          </cell>
          <cell r="S182">
            <v>-106.75</v>
          </cell>
        </row>
        <row r="183">
          <cell r="I183" t="str">
            <v>629100006 - GASTOS ANTONIO ANDREU</v>
          </cell>
          <cell r="J183" t="str">
            <v>-</v>
          </cell>
          <cell r="K183">
            <v>-118.28</v>
          </cell>
          <cell r="L183">
            <v>0</v>
          </cell>
          <cell r="M183">
            <v>-301.79000000000002</v>
          </cell>
          <cell r="N183">
            <v>-166.56</v>
          </cell>
          <cell r="O183">
            <v>-222.62</v>
          </cell>
          <cell r="P183">
            <v>-202.95</v>
          </cell>
          <cell r="Q183" t="str">
            <v xml:space="preserve">                                             -  </v>
          </cell>
          <cell r="R183" t="str">
            <v xml:space="preserve">                                             -  </v>
          </cell>
          <cell r="S183" t="str">
            <v xml:space="preserve">                                             -  </v>
          </cell>
        </row>
        <row r="184">
          <cell r="I184" t="str">
            <v>629100007 - GASTOS CURRO</v>
          </cell>
          <cell r="J184" t="str">
            <v>-</v>
          </cell>
          <cell r="K184">
            <v>-210.18</v>
          </cell>
          <cell r="L184">
            <v>0</v>
          </cell>
          <cell r="M184">
            <v>-33.06</v>
          </cell>
          <cell r="N184">
            <v>0</v>
          </cell>
          <cell r="O184" t="str">
            <v xml:space="preserve">                            -  </v>
          </cell>
          <cell r="P184">
            <v>-20.5</v>
          </cell>
          <cell r="Q184" t="str">
            <v xml:space="preserve">                                             -  </v>
          </cell>
          <cell r="R184">
            <v>-100.45</v>
          </cell>
          <cell r="S184" t="str">
            <v xml:space="preserve">                                             -  </v>
          </cell>
        </row>
        <row r="185">
          <cell r="I185" t="str">
            <v>629100008 GASTOS PEDRO MEDINA</v>
          </cell>
          <cell r="J185" t="str">
            <v>-</v>
          </cell>
          <cell r="R185">
            <v>-141.13999999999999</v>
          </cell>
          <cell r="S185">
            <v>-326.58</v>
          </cell>
        </row>
        <row r="186">
          <cell r="I186" t="str">
            <v>631000001 - IMPUESTOS VEHÍCULOS</v>
          </cell>
          <cell r="J186" t="str">
            <v>-</v>
          </cell>
          <cell r="K186">
            <v>0</v>
          </cell>
          <cell r="L186">
            <v>0</v>
          </cell>
          <cell r="M186">
            <v>0</v>
          </cell>
          <cell r="N186">
            <v>-284.56</v>
          </cell>
          <cell r="O186">
            <v>-27.57</v>
          </cell>
          <cell r="P186" t="str">
            <v xml:space="preserve">                            -  </v>
          </cell>
          <cell r="Q186">
            <v>0</v>
          </cell>
          <cell r="R186" t="str">
            <v xml:space="preserve">                                             -  </v>
          </cell>
          <cell r="S186" t="str">
            <v xml:space="preserve">                                             -  </v>
          </cell>
        </row>
        <row r="187">
          <cell r="I187" t="str">
            <v>631000002 - TASAS</v>
          </cell>
          <cell r="J187" t="str">
            <v>-</v>
          </cell>
          <cell r="O187">
            <v>-581.49</v>
          </cell>
          <cell r="P187" t="str">
            <v xml:space="preserve">                            -  </v>
          </cell>
          <cell r="Q187">
            <v>0</v>
          </cell>
          <cell r="R187" t="str">
            <v xml:space="preserve">                                             -  </v>
          </cell>
          <cell r="S187" t="str">
            <v xml:space="preserve">                                             -  </v>
          </cell>
        </row>
        <row r="188">
          <cell r="I188" t="str">
            <v>631000004 IBIB</v>
          </cell>
          <cell r="J188" t="str">
            <v>-</v>
          </cell>
          <cell r="R188">
            <v>-7396.59</v>
          </cell>
          <cell r="S188" t="str">
            <v xml:space="preserve">                                             -  </v>
          </cell>
        </row>
        <row r="189">
          <cell r="I189" t="str">
            <v>631000006 - IMPUESTO PLASTICO NO RECICLADO</v>
          </cell>
          <cell r="J189" t="str">
            <v>-</v>
          </cell>
          <cell r="K189">
            <v>-5921.54</v>
          </cell>
          <cell r="L189">
            <v>-1801.72</v>
          </cell>
          <cell r="M189">
            <v>-2503.2199999999998</v>
          </cell>
          <cell r="N189">
            <v>-285.97000000000003</v>
          </cell>
          <cell r="O189">
            <v>-159.84</v>
          </cell>
          <cell r="P189">
            <v>-4575.29</v>
          </cell>
          <cell r="Q189">
            <v>-5203.66</v>
          </cell>
          <cell r="R189">
            <v>-838.08</v>
          </cell>
          <cell r="S189">
            <v>-1446.16</v>
          </cell>
        </row>
        <row r="190">
          <cell r="I190" t="str">
            <v>634100000 - Ajustes negat. IVA circulante</v>
          </cell>
          <cell r="J190" t="str">
            <v>-</v>
          </cell>
          <cell r="K190">
            <v>-693.91</v>
          </cell>
          <cell r="L190">
            <v>-557.9</v>
          </cell>
          <cell r="M190">
            <v>-881.48</v>
          </cell>
          <cell r="N190">
            <v>-630.79</v>
          </cell>
          <cell r="O190" t="str">
            <v xml:space="preserve">                            -  </v>
          </cell>
          <cell r="P190" t="str">
            <v xml:space="preserve">                            -  </v>
          </cell>
          <cell r="Q190">
            <v>0</v>
          </cell>
          <cell r="R190" t="str">
            <v xml:space="preserve">                                             -  </v>
          </cell>
          <cell r="S190" t="str">
            <v xml:space="preserve">                                             -  </v>
          </cell>
        </row>
        <row r="191">
          <cell r="I191" t="str">
            <v>694000000 - Pérdidas deterioro de créditos por op.comerciales</v>
          </cell>
          <cell r="J191" t="str">
            <v>-</v>
          </cell>
          <cell r="P191">
            <v>-211.6</v>
          </cell>
          <cell r="Q191" t="str">
            <v xml:space="preserve">                                             -  </v>
          </cell>
          <cell r="R191" t="str">
            <v xml:space="preserve">                                             -  </v>
          </cell>
          <cell r="S191" t="str">
            <v xml:space="preserve">                                             -  </v>
          </cell>
        </row>
        <row r="192">
          <cell r="I192" t="str">
            <v>681100000 - Amortización de construcciones</v>
          </cell>
          <cell r="J192" t="str">
            <v>-</v>
          </cell>
          <cell r="K192">
            <v>-3154.35</v>
          </cell>
          <cell r="L192">
            <v>-3154.35</v>
          </cell>
          <cell r="M192">
            <v>-3154.35</v>
          </cell>
          <cell r="N192">
            <v>-3154.35</v>
          </cell>
          <cell r="O192">
            <v>-3154.35</v>
          </cell>
          <cell r="P192">
            <v>-3154.35</v>
          </cell>
          <cell r="Q192">
            <v>-3154.35</v>
          </cell>
          <cell r="R192">
            <v>-3154.35</v>
          </cell>
          <cell r="S192">
            <v>-3154.35</v>
          </cell>
        </row>
        <row r="193">
          <cell r="I193" t="str">
            <v>681200000 - Amortización de instalaciones técnicas</v>
          </cell>
          <cell r="J193" t="str">
            <v>-</v>
          </cell>
          <cell r="K193">
            <v>-6245.7</v>
          </cell>
          <cell r="L193">
            <v>-6245.7</v>
          </cell>
          <cell r="M193">
            <v>-5719.74</v>
          </cell>
          <cell r="N193">
            <v>-5719.74</v>
          </cell>
          <cell r="O193">
            <v>-5719.74</v>
          </cell>
          <cell r="P193">
            <v>-5719.74</v>
          </cell>
          <cell r="Q193">
            <v>-5772.02</v>
          </cell>
          <cell r="R193">
            <v>-5772.02</v>
          </cell>
          <cell r="S193">
            <v>-5867.77</v>
          </cell>
        </row>
        <row r="194">
          <cell r="I194" t="str">
            <v>681300000 - Amortización de maquinaria</v>
          </cell>
          <cell r="J194" t="str">
            <v>-</v>
          </cell>
          <cell r="K194">
            <v>-6398.5</v>
          </cell>
          <cell r="L194">
            <v>-6398.5</v>
          </cell>
          <cell r="M194">
            <v>-6398.5</v>
          </cell>
          <cell r="N194">
            <v>-6398.5</v>
          </cell>
          <cell r="O194">
            <v>-6398.5</v>
          </cell>
          <cell r="P194">
            <v>-6410.5</v>
          </cell>
          <cell r="Q194">
            <v>-6419.19</v>
          </cell>
          <cell r="R194">
            <v>-6419.19</v>
          </cell>
          <cell r="S194">
            <v>-6419.19</v>
          </cell>
        </row>
        <row r="195">
          <cell r="I195" t="str">
            <v>681500000 - Amortización de otras instalaciones</v>
          </cell>
          <cell r="J195" t="str">
            <v>-</v>
          </cell>
          <cell r="K195">
            <v>-1522.43</v>
          </cell>
          <cell r="L195">
            <v>-1522.43</v>
          </cell>
          <cell r="M195">
            <v>-1522.43</v>
          </cell>
          <cell r="N195">
            <v>-1522.43</v>
          </cell>
          <cell r="O195">
            <v>-1522.43</v>
          </cell>
          <cell r="P195">
            <v>-1631.75</v>
          </cell>
          <cell r="Q195">
            <v>-1642.07</v>
          </cell>
          <cell r="R195">
            <v>-1642.07</v>
          </cell>
          <cell r="S195">
            <v>-1642.07</v>
          </cell>
        </row>
        <row r="196">
          <cell r="I196" t="str">
            <v>681600000 - Amortización de mobiliario</v>
          </cell>
          <cell r="J196" t="str">
            <v>-</v>
          </cell>
          <cell r="K196">
            <v>-1325.66</v>
          </cell>
          <cell r="L196">
            <v>-1325.66</v>
          </cell>
          <cell r="M196">
            <v>-1325.66</v>
          </cell>
          <cell r="N196">
            <v>-1325.66</v>
          </cell>
          <cell r="O196">
            <v>-1325.66</v>
          </cell>
          <cell r="P196">
            <v>-1337.16</v>
          </cell>
          <cell r="Q196">
            <v>-1337.16</v>
          </cell>
          <cell r="R196">
            <v>-1337.16</v>
          </cell>
          <cell r="S196">
            <v>-1337.16</v>
          </cell>
        </row>
        <row r="197">
          <cell r="I197" t="str">
            <v>681700000 - Amortización de equipos para procesos de informac.</v>
          </cell>
          <cell r="J197" t="str">
            <v>-</v>
          </cell>
          <cell r="K197">
            <v>-448.73</v>
          </cell>
          <cell r="L197">
            <v>-448.73</v>
          </cell>
          <cell r="M197">
            <v>-745.37</v>
          </cell>
          <cell r="N197">
            <v>-745.37</v>
          </cell>
          <cell r="O197">
            <v>-937.75</v>
          </cell>
          <cell r="P197">
            <v>-848</v>
          </cell>
          <cell r="Q197">
            <v>-855.5</v>
          </cell>
          <cell r="R197">
            <v>-855.5</v>
          </cell>
          <cell r="S197">
            <v>-877.13</v>
          </cell>
        </row>
        <row r="198">
          <cell r="I198" t="str">
            <v>681800000 - Amortización de elementos de transporte</v>
          </cell>
          <cell r="J198" t="str">
            <v>-</v>
          </cell>
          <cell r="K198">
            <v>-37.5</v>
          </cell>
          <cell r="L198">
            <v>-37.5</v>
          </cell>
          <cell r="M198">
            <v>-37.5</v>
          </cell>
          <cell r="N198">
            <v>-37.5</v>
          </cell>
          <cell r="O198">
            <v>-131.25</v>
          </cell>
          <cell r="P198">
            <v>41.25</v>
          </cell>
          <cell r="Q198">
            <v>-45</v>
          </cell>
          <cell r="R198">
            <v>-45</v>
          </cell>
          <cell r="S198">
            <v>-45</v>
          </cell>
        </row>
        <row r="199">
          <cell r="I199" t="str">
            <v>706000001 - DESCUENTO POR PRONTO PAGO DEFINITIVO</v>
          </cell>
          <cell r="J199" t="str">
            <v>-</v>
          </cell>
          <cell r="K199">
            <v>0</v>
          </cell>
          <cell r="L199">
            <v>0</v>
          </cell>
          <cell r="M199">
            <v>0</v>
          </cell>
          <cell r="N199">
            <v>-23519.91</v>
          </cell>
          <cell r="O199">
            <v>-38633.949999999997</v>
          </cell>
          <cell r="P199">
            <v>-78488.47</v>
          </cell>
          <cell r="Q199">
            <v>-32604.18</v>
          </cell>
          <cell r="R199">
            <v>-19768.43</v>
          </cell>
          <cell r="S199">
            <v>-8347.1</v>
          </cell>
        </row>
        <row r="200">
          <cell r="I200" t="str">
            <v>665700015 - INTERESES PAGO FINANCIADO POR BBVA</v>
          </cell>
          <cell r="J200" t="str">
            <v>-</v>
          </cell>
          <cell r="K200">
            <v>0</v>
          </cell>
          <cell r="L200">
            <v>0</v>
          </cell>
          <cell r="M200">
            <v>0</v>
          </cell>
          <cell r="N200">
            <v>-937.05</v>
          </cell>
          <cell r="O200" t="str">
            <v xml:space="preserve">                            -  </v>
          </cell>
          <cell r="P200" t="str">
            <v xml:space="preserve">                            -  </v>
          </cell>
          <cell r="Q200">
            <v>0</v>
          </cell>
          <cell r="R200" t="str">
            <v xml:space="preserve">                                             -  </v>
          </cell>
          <cell r="S200" t="str">
            <v xml:space="preserve">                                             -  </v>
          </cell>
        </row>
        <row r="201">
          <cell r="I201" t="str">
            <v>662310005 - INTERESES PRESTAMO CAIXALMASSORA</v>
          </cell>
          <cell r="J201" t="str">
            <v>-</v>
          </cell>
          <cell r="K201">
            <v>-52.82</v>
          </cell>
          <cell r="L201">
            <v>0</v>
          </cell>
          <cell r="M201">
            <v>-79.37</v>
          </cell>
          <cell r="N201">
            <v>-26.51</v>
          </cell>
          <cell r="O201">
            <v>-17.690000000000001</v>
          </cell>
          <cell r="P201">
            <v>-8.86</v>
          </cell>
          <cell r="Q201">
            <v>0</v>
          </cell>
          <cell r="R201" t="str">
            <v xml:space="preserve">                                             -  </v>
          </cell>
          <cell r="S201" t="str">
            <v xml:space="preserve">                                             -  </v>
          </cell>
        </row>
        <row r="202">
          <cell r="I202" t="str">
            <v>669000002 - OTROS GTOS. DTO. EFECTOS SABADELL</v>
          </cell>
          <cell r="J202" t="str">
            <v>-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 t="str">
            <v xml:space="preserve">                            -  </v>
          </cell>
          <cell r="Q202">
            <v>0</v>
          </cell>
          <cell r="R202">
            <v>0</v>
          </cell>
          <cell r="S202">
            <v>0</v>
          </cell>
        </row>
        <row r="203">
          <cell r="I203" t="str">
            <v>669000007 - OTROS GTOS. DTO.EFECTOS BBVA</v>
          </cell>
          <cell r="J203" t="str">
            <v>-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 t="str">
            <v xml:space="preserve">                            -  </v>
          </cell>
          <cell r="Q203">
            <v>0</v>
          </cell>
          <cell r="R203">
            <v>0</v>
          </cell>
          <cell r="S203">
            <v>0</v>
          </cell>
        </row>
        <row r="204">
          <cell r="I204" t="str">
            <v>669100002 - OTROS GTOS. FINAN. SABADELL</v>
          </cell>
          <cell r="J204" t="str">
            <v>-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 t="str">
            <v xml:space="preserve">                            -  </v>
          </cell>
          <cell r="Q204">
            <v>0</v>
          </cell>
          <cell r="R204">
            <v>0</v>
          </cell>
          <cell r="S204">
            <v>0</v>
          </cell>
        </row>
        <row r="205">
          <cell r="I205" t="str">
            <v>669100005 - OTROS GTOS. FINAN. C.RURAL ALMASSORA</v>
          </cell>
          <cell r="J205" t="str">
            <v>-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 t="str">
            <v xml:space="preserve">                            -  </v>
          </cell>
          <cell r="Q205">
            <v>0</v>
          </cell>
          <cell r="R205">
            <v>0</v>
          </cell>
          <cell r="S205">
            <v>0</v>
          </cell>
        </row>
        <row r="206">
          <cell r="I206" t="str">
            <v>669100007 - OTROS GTOS. FINAN. BBVA.</v>
          </cell>
          <cell r="J206" t="str">
            <v>-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 t="str">
            <v xml:space="preserve">                            -  </v>
          </cell>
          <cell r="Q206">
            <v>0</v>
          </cell>
          <cell r="R206">
            <v>0</v>
          </cell>
          <cell r="S206">
            <v>0</v>
          </cell>
        </row>
        <row r="207">
          <cell r="I207" t="str">
            <v>669200002 - GTOS. COBRO EXPORT B.SABADELL</v>
          </cell>
          <cell r="J207" t="str">
            <v>-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 t="str">
            <v xml:space="preserve">                            -  </v>
          </cell>
          <cell r="Q207">
            <v>0</v>
          </cell>
          <cell r="R207">
            <v>0</v>
          </cell>
          <cell r="S207">
            <v>0</v>
          </cell>
        </row>
        <row r="208">
          <cell r="I208" t="str">
            <v>669200007 - GTOS. COBRO EXPORT. BBVA</v>
          </cell>
          <cell r="J208" t="str">
            <v>-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 t="str">
            <v xml:space="preserve">                            -  </v>
          </cell>
          <cell r="Q208">
            <v>0</v>
          </cell>
          <cell r="R208">
            <v>0</v>
          </cell>
          <cell r="S208">
            <v>0</v>
          </cell>
        </row>
        <row r="209">
          <cell r="I209" t="str">
            <v>768000000 - Diferencias positivas de cambio</v>
          </cell>
          <cell r="J209" t="str">
            <v>-</v>
          </cell>
          <cell r="K209">
            <v>0</v>
          </cell>
          <cell r="L209">
            <v>78.790000000000006</v>
          </cell>
          <cell r="M209">
            <v>15.51</v>
          </cell>
          <cell r="N209">
            <v>0</v>
          </cell>
          <cell r="O209">
            <v>2879.75</v>
          </cell>
          <cell r="P209">
            <v>1665.7</v>
          </cell>
          <cell r="Q209">
            <v>604.76</v>
          </cell>
          <cell r="R209" t="str">
            <v xml:space="preserve">                                             -  </v>
          </cell>
          <cell r="S209" t="str">
            <v xml:space="preserve">                                             -  </v>
          </cell>
        </row>
        <row r="210">
          <cell r="I210" t="str">
            <v>709001500 - RAPPEL BONIFICACIONES POR PMK DEFINITIVO</v>
          </cell>
          <cell r="J210" t="str">
            <v>-</v>
          </cell>
          <cell r="O210">
            <v>-1350</v>
          </cell>
          <cell r="P210" t="str">
            <v xml:space="preserve">                            -  </v>
          </cell>
          <cell r="Q210">
            <v>0</v>
          </cell>
          <cell r="R210" t="str">
            <v xml:space="preserve">                                             -  </v>
          </cell>
          <cell r="S210" t="str">
            <v xml:space="preserve">                                             -  </v>
          </cell>
        </row>
        <row r="211">
          <cell r="I211" t="str">
            <v xml:space="preserve">- - </v>
          </cell>
          <cell r="J211" t="str">
            <v>Personal</v>
          </cell>
          <cell r="K211">
            <v>20139.77</v>
          </cell>
          <cell r="L211">
            <v>22725.66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</row>
        <row r="212">
          <cell r="I212" t="str">
            <v xml:space="preserve">- - </v>
          </cell>
          <cell r="J212" t="str">
            <v>Personal</v>
          </cell>
          <cell r="K212">
            <v>0</v>
          </cell>
          <cell r="L212">
            <v>0</v>
          </cell>
          <cell r="M212">
            <v>29273.360000000001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</row>
        <row r="213">
          <cell r="I213" t="str">
            <v xml:space="preserve">- - </v>
          </cell>
          <cell r="J213" t="str">
            <v>Indemnizaciones</v>
          </cell>
          <cell r="K213">
            <v>0</v>
          </cell>
          <cell r="L213">
            <v>11278.98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</row>
        <row r="214">
          <cell r="I214" t="str">
            <v xml:space="preserve">- - </v>
          </cell>
          <cell r="J214" t="str">
            <v>Personal</v>
          </cell>
          <cell r="K214">
            <v>6061.93</v>
          </cell>
          <cell r="L214">
            <v>6070.25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</row>
        <row r="215">
          <cell r="I215" t="str">
            <v xml:space="preserve">- - </v>
          </cell>
          <cell r="J215" t="str">
            <v>Producción Codiagro-SAS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28562.71</v>
          </cell>
          <cell r="P215">
            <v>36290</v>
          </cell>
          <cell r="Q215">
            <v>34757.97</v>
          </cell>
          <cell r="R215">
            <v>19725.189999999999</v>
          </cell>
          <cell r="S215">
            <v>4717.0763999999999</v>
          </cell>
        </row>
        <row r="216">
          <cell r="I216" t="str">
            <v xml:space="preserve">- - </v>
          </cell>
          <cell r="J216" t="str">
            <v>Producción Codiagro-SAS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665</v>
          </cell>
          <cell r="P216">
            <v>665</v>
          </cell>
          <cell r="Q216">
            <v>665</v>
          </cell>
          <cell r="R216">
            <v>665</v>
          </cell>
          <cell r="S216">
            <v>665</v>
          </cell>
        </row>
        <row r="217">
          <cell r="I217" t="str">
            <v xml:space="preserve">- - </v>
          </cell>
          <cell r="J217" t="str">
            <v>Producción Codiagro-SAS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1523.79</v>
          </cell>
          <cell r="P217">
            <v>1217.6400000000001</v>
          </cell>
          <cell r="Q217">
            <v>599.66456452289231</v>
          </cell>
          <cell r="R217">
            <v>2675.3568568927662</v>
          </cell>
          <cell r="S217">
            <v>77.300624499805551</v>
          </cell>
        </row>
        <row r="218">
          <cell r="I218" t="str">
            <v xml:space="preserve">- - </v>
          </cell>
          <cell r="J218" t="str">
            <v>Producción Codiagro-SAS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425.73</v>
          </cell>
          <cell r="P218">
            <v>340.2</v>
          </cell>
          <cell r="Q218">
            <v>167.54121647990033</v>
          </cell>
          <cell r="R218">
            <v>747.47211181104615</v>
          </cell>
          <cell r="S218">
            <v>233.86374269193806</v>
          </cell>
        </row>
        <row r="219">
          <cell r="I219" t="str">
            <v>702000000 - Ventas de productos semiterminados</v>
          </cell>
          <cell r="J219" t="str">
            <v>INDIVIDUAL-Ext Item Codiagro-SAS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-101865.8</v>
          </cell>
          <cell r="P219">
            <v>-70011.64</v>
          </cell>
          <cell r="Q219">
            <v>-17402.29</v>
          </cell>
          <cell r="R219">
            <v>-141074.4</v>
          </cell>
          <cell r="S219">
            <v>16492.8</v>
          </cell>
        </row>
        <row r="220">
          <cell r="I220" t="str">
            <v>704000000 - Ventas de envases y embalajes</v>
          </cell>
          <cell r="J220" t="str">
            <v>INDIVIDUAL-Ext Item Codiagro-SAS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-80917.990000000005</v>
          </cell>
          <cell r="P220">
            <v>-44823.06</v>
          </cell>
          <cell r="Q220">
            <v>-26969.69</v>
          </cell>
          <cell r="R220">
            <v>-59572.72</v>
          </cell>
          <cell r="S220">
            <v>-1188</v>
          </cell>
        </row>
        <row r="221">
          <cell r="I221" t="str">
            <v>705000000 - Prestaciones de servicios</v>
          </cell>
          <cell r="J221" t="str">
            <v>INDIVIDUAL-Ext Item Codiagro-SAS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-111557.6</v>
          </cell>
          <cell r="P221">
            <v>-70833.600000000006</v>
          </cell>
          <cell r="Q221">
            <v>-41581</v>
          </cell>
          <cell r="R221">
            <v>-101520</v>
          </cell>
          <cell r="S221">
            <v>-3682.8</v>
          </cell>
        </row>
        <row r="222">
          <cell r="I222" t="str">
            <v>601000000 - Compras de materias primas</v>
          </cell>
          <cell r="J222" t="str">
            <v>INDIVIDUAL-Ext Item Codiagro-SAS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101865.8</v>
          </cell>
          <cell r="P222">
            <v>70011.64</v>
          </cell>
          <cell r="Q222">
            <v>17402.29</v>
          </cell>
          <cell r="R222">
            <v>141074.4</v>
          </cell>
          <cell r="S222">
            <v>0</v>
          </cell>
        </row>
        <row r="223">
          <cell r="I223" t="str">
            <v>602000001 - COMPRA DE ENVASES Y EMBALAJES</v>
          </cell>
          <cell r="J223" t="str">
            <v>INDIVIDUAL-Ext Item Codiagro-SAS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80917.990000000005</v>
          </cell>
          <cell r="P223">
            <v>44823.06</v>
          </cell>
          <cell r="Q223">
            <v>26969.69</v>
          </cell>
          <cell r="R223">
            <v>59572.72</v>
          </cell>
          <cell r="S223">
            <v>1188</v>
          </cell>
        </row>
        <row r="224">
          <cell r="I224" t="str">
            <v>769000000 - Otros ingresos financieros</v>
          </cell>
          <cell r="J224" t="str">
            <v>-</v>
          </cell>
          <cell r="P224">
            <v>4495.93</v>
          </cell>
          <cell r="Q224">
            <v>0</v>
          </cell>
          <cell r="R224" t="str">
            <v xml:space="preserve">                                             -  </v>
          </cell>
          <cell r="S224" t="str">
            <v xml:space="preserve">                                             -  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etalle1"/>
      <sheetName val="P&amp;L"/>
      <sheetName val="BBDD P&amp;L"/>
      <sheetName val="Hoja2"/>
    </sheetNames>
    <sheetDataSet>
      <sheetData sheetId="0" refreshError="1"/>
      <sheetData sheetId="1" refreshError="1"/>
      <sheetData sheetId="2">
        <row r="1">
          <cell r="K1" t="str">
            <v>Real 2025</v>
          </cell>
          <cell r="L1" t="str">
            <v>Real 2025</v>
          </cell>
          <cell r="M1" t="str">
            <v>Real 2025</v>
          </cell>
          <cell r="N1" t="str">
            <v>Real 2025</v>
          </cell>
          <cell r="O1" t="str">
            <v>Real 2025</v>
          </cell>
          <cell r="P1" t="str">
            <v>Real 2025</v>
          </cell>
          <cell r="Q1" t="str">
            <v>Real 2025</v>
          </cell>
          <cell r="R1" t="str">
            <v>Real 2025</v>
          </cell>
          <cell r="S1" t="str">
            <v>Real 2025</v>
          </cell>
          <cell r="T1" t="str">
            <v>Real 2025</v>
          </cell>
          <cell r="U1" t="str">
            <v>Real 2025</v>
          </cell>
          <cell r="V1" t="str">
            <v>Real 2025</v>
          </cell>
          <cell r="W1" t="str">
            <v>Real 2025</v>
          </cell>
          <cell r="Y1" t="str">
            <v>Real 2026</v>
          </cell>
          <cell r="Z1" t="str">
            <v>Real 2026</v>
          </cell>
          <cell r="AA1" t="str">
            <v>Real 2026</v>
          </cell>
          <cell r="AB1" t="str">
            <v>Real 2026</v>
          </cell>
          <cell r="AC1" t="str">
            <v>Real 2026</v>
          </cell>
          <cell r="AD1" t="str">
            <v>Real 2026</v>
          </cell>
          <cell r="AE1" t="str">
            <v>Real 2026</v>
          </cell>
          <cell r="AF1" t="str">
            <v>Real 2026</v>
          </cell>
          <cell r="AG1" t="str">
            <v>Real 2026</v>
          </cell>
          <cell r="AH1" t="str">
            <v>Forecast</v>
          </cell>
          <cell r="AI1" t="str">
            <v>Forecast</v>
          </cell>
          <cell r="AJ1" t="str">
            <v>Forecast</v>
          </cell>
          <cell r="AK1" t="str">
            <v>Fcast 2026</v>
          </cell>
        </row>
        <row r="2">
          <cell r="K2">
            <v>-163338.05000000008</v>
          </cell>
          <cell r="L2">
            <v>247581.71000000005</v>
          </cell>
          <cell r="M2">
            <v>886912.16999999981</v>
          </cell>
          <cell r="N2">
            <v>679185.73999999987</v>
          </cell>
          <cell r="O2">
            <v>586975.60000000079</v>
          </cell>
          <cell r="P2">
            <v>1220882.9099999999</v>
          </cell>
          <cell r="Q2">
            <v>657885.66000000038</v>
          </cell>
          <cell r="R2">
            <v>341033.42</v>
          </cell>
          <cell r="S2">
            <v>-781023.73999999987</v>
          </cell>
          <cell r="T2">
            <v>-275723.80999999808</v>
          </cell>
          <cell r="U2">
            <v>115463.71000000057</v>
          </cell>
          <cell r="V2">
            <v>814860.7300000001</v>
          </cell>
          <cell r="W2">
            <v>4330696.0500000007</v>
          </cell>
          <cell r="Y2">
            <v>223845.69000000012</v>
          </cell>
          <cell r="Z2">
            <v>849635.96000000043</v>
          </cell>
          <cell r="AA2">
            <v>845008.98999999964</v>
          </cell>
          <cell r="AB2">
            <v>676576.86000000034</v>
          </cell>
          <cell r="AC2">
            <v>1093832.5200000005</v>
          </cell>
          <cell r="AD2">
            <v>862519.61000000022</v>
          </cell>
          <cell r="AE2">
            <v>415859.13</v>
          </cell>
          <cell r="AF2">
            <v>283433.72000000026</v>
          </cell>
          <cell r="AG2">
            <v>130436.92999999985</v>
          </cell>
          <cell r="AH2">
            <v>285425.30999999959</v>
          </cell>
          <cell r="AI2">
            <v>486082.27000000043</v>
          </cell>
          <cell r="AJ2">
            <v>-43716.600000000028</v>
          </cell>
          <cell r="AK2">
            <v>6108940.390000008</v>
          </cell>
        </row>
        <row r="3">
          <cell r="J3" t="str">
            <v>Accounting account Ceres (2026)</v>
          </cell>
          <cell r="K3" t="str">
            <v>Jan-25</v>
          </cell>
          <cell r="L3" t="str">
            <v>Feb-25</v>
          </cell>
          <cell r="M3" t="str">
            <v>Mar-25</v>
          </cell>
          <cell r="N3" t="str">
            <v>Apr-25</v>
          </cell>
          <cell r="O3" t="str">
            <v>May-25</v>
          </cell>
          <cell r="P3" t="str">
            <v>Jun-25</v>
          </cell>
          <cell r="Q3" t="str">
            <v>Jul-25</v>
          </cell>
          <cell r="R3" t="str">
            <v>Aug-25</v>
          </cell>
          <cell r="S3" t="str">
            <v>Sep-25</v>
          </cell>
          <cell r="T3" t="str">
            <v>Oct-25</v>
          </cell>
          <cell r="U3" t="str">
            <v>Nov-25</v>
          </cell>
          <cell r="V3" t="str">
            <v>Dec-25</v>
          </cell>
          <cell r="W3" t="str">
            <v>FY2025</v>
          </cell>
          <cell r="Y3" t="str">
            <v>Jan-26</v>
          </cell>
          <cell r="Z3" t="str">
            <v>Feb-26</v>
          </cell>
          <cell r="AA3" t="str">
            <v>Mar-26</v>
          </cell>
          <cell r="AB3" t="str">
            <v>Apr-26</v>
          </cell>
          <cell r="AC3" t="str">
            <v>May-26</v>
          </cell>
          <cell r="AD3" t="str">
            <v>Jun-26</v>
          </cell>
          <cell r="AE3" t="str">
            <v>Jul-26</v>
          </cell>
          <cell r="AF3" t="str">
            <v>Aug-26</v>
          </cell>
          <cell r="AG3" t="str">
            <v>Sep-26</v>
          </cell>
          <cell r="AH3" t="str">
            <v>Oct-26</v>
          </cell>
          <cell r="AI3" t="str">
            <v>Nov-26</v>
          </cell>
          <cell r="AJ3" t="str">
            <v>Dec-26</v>
          </cell>
          <cell r="AK3" t="str">
            <v>FY2026</v>
          </cell>
        </row>
        <row r="4">
          <cell r="J4" t="str">
            <v>630000000 - Impuesto corriente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-1075699.3999999999</v>
          </cell>
          <cell r="T4">
            <v>0</v>
          </cell>
          <cell r="U4">
            <v>0</v>
          </cell>
          <cell r="V4">
            <v>1075699.3999999999</v>
          </cell>
          <cell r="W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</row>
        <row r="5">
          <cell r="J5" t="str">
            <v>700000000 - Ventas de mercaderías</v>
          </cell>
          <cell r="K5">
            <v>615887.68000000005</v>
          </cell>
          <cell r="L5">
            <v>1036076.38</v>
          </cell>
          <cell r="M5">
            <v>1774316.66</v>
          </cell>
          <cell r="N5">
            <v>1502961.85</v>
          </cell>
          <cell r="O5">
            <v>1452504.01</v>
          </cell>
          <cell r="P5">
            <v>1740274.09</v>
          </cell>
          <cell r="Q5">
            <v>1307278.02</v>
          </cell>
          <cell r="R5">
            <v>657329.79</v>
          </cell>
          <cell r="S5">
            <v>820420.9</v>
          </cell>
          <cell r="T5">
            <v>679973.61000000185</v>
          </cell>
          <cell r="U5">
            <v>763886.47000000067</v>
          </cell>
          <cell r="V5">
            <v>509435.14</v>
          </cell>
          <cell r="W5">
            <v>12860344.600000003</v>
          </cell>
          <cell r="Y5">
            <v>993280.49</v>
          </cell>
          <cell r="Z5">
            <v>1607537.98</v>
          </cell>
          <cell r="AA5">
            <v>1536177.86</v>
          </cell>
          <cell r="AB5">
            <v>1217250.42</v>
          </cell>
          <cell r="AC5">
            <v>2029266.99</v>
          </cell>
          <cell r="AD5">
            <v>2009948.67</v>
          </cell>
          <cell r="AE5">
            <v>1288443.6399999999</v>
          </cell>
          <cell r="AF5">
            <v>802410.56</v>
          </cell>
          <cell r="AG5">
            <v>632880.06999999995</v>
          </cell>
          <cell r="AH5">
            <v>910333.55</v>
          </cell>
          <cell r="AI5">
            <v>1223802.77</v>
          </cell>
          <cell r="AJ5">
            <v>1321267.54</v>
          </cell>
          <cell r="AK5">
            <v>15572600.540000003</v>
          </cell>
        </row>
        <row r="6">
          <cell r="J6" t="str">
            <v>700000001 - VENTA MERCADERIAS POR ANTICIPO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Y6">
            <v>0</v>
          </cell>
          <cell r="Z6">
            <v>0</v>
          </cell>
          <cell r="AA6">
            <v>0</v>
          </cell>
          <cell r="AB6">
            <v>106250.17</v>
          </cell>
          <cell r="AC6">
            <v>-106250.17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</row>
        <row r="7">
          <cell r="J7" t="str">
            <v>700000624 - VENTA POR TRANSP. REP. AL CLIENTE</v>
          </cell>
          <cell r="K7">
            <v>3139.32</v>
          </cell>
          <cell r="L7">
            <v>23401.93</v>
          </cell>
          <cell r="M7">
            <v>18120.7</v>
          </cell>
          <cell r="N7">
            <v>8361.5400000000009</v>
          </cell>
          <cell r="O7">
            <v>28196.82</v>
          </cell>
          <cell r="P7">
            <v>18364.009999999998</v>
          </cell>
          <cell r="Q7">
            <v>4428.03</v>
          </cell>
          <cell r="R7">
            <v>5036.3500000000004</v>
          </cell>
          <cell r="S7">
            <v>19529.900000000001</v>
          </cell>
          <cell r="T7">
            <v>18128.62000000001</v>
          </cell>
          <cell r="U7">
            <v>11573.25</v>
          </cell>
          <cell r="V7">
            <v>6681.55</v>
          </cell>
          <cell r="W7">
            <v>164962.02000000002</v>
          </cell>
          <cell r="Y7">
            <v>17921.38</v>
          </cell>
          <cell r="Z7">
            <v>12025.38</v>
          </cell>
          <cell r="AA7">
            <v>8455.5499999999993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 t="str">
            <v xml:space="preserve">                                             -  </v>
          </cell>
          <cell r="AH7">
            <v>0</v>
          </cell>
          <cell r="AI7">
            <v>0</v>
          </cell>
          <cell r="AJ7">
            <v>0</v>
          </cell>
          <cell r="AK7">
            <v>38402.31</v>
          </cell>
        </row>
        <row r="8">
          <cell r="J8" t="str">
            <v>700000769 - INGRESOS POR RETRASOS DE COBRO Y ACTUALIZACION</v>
          </cell>
          <cell r="K8">
            <v>941.41</v>
          </cell>
          <cell r="L8">
            <v>903.97</v>
          </cell>
          <cell r="M8">
            <v>598.72</v>
          </cell>
          <cell r="N8">
            <v>1175.94</v>
          </cell>
          <cell r="O8">
            <v>253.05</v>
          </cell>
          <cell r="P8">
            <v>137.82</v>
          </cell>
          <cell r="Q8">
            <v>278.32</v>
          </cell>
          <cell r="R8">
            <v>272.79000000000002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4562.0200000000004</v>
          </cell>
          <cell r="Y8">
            <v>5635.79</v>
          </cell>
          <cell r="Z8">
            <v>202.81</v>
          </cell>
          <cell r="AA8">
            <v>178.05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 t="str">
            <v xml:space="preserve">                                             -  </v>
          </cell>
          <cell r="AH8">
            <v>0</v>
          </cell>
          <cell r="AI8">
            <v>0</v>
          </cell>
          <cell r="AJ8">
            <v>0</v>
          </cell>
          <cell r="AK8">
            <v>6016.6500000000005</v>
          </cell>
        </row>
        <row r="9">
          <cell r="J9" t="str">
            <v>702000000 - Ventas de productos semiterminados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70011.64</v>
          </cell>
          <cell r="AE9">
            <v>17402.29</v>
          </cell>
          <cell r="AF9">
            <v>141074.4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228488.33</v>
          </cell>
        </row>
        <row r="10">
          <cell r="J10" t="str">
            <v>702000000 - Ventas de productos semiterminados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Y10">
            <v>0</v>
          </cell>
          <cell r="Z10">
            <v>0</v>
          </cell>
          <cell r="AA10">
            <v>0</v>
          </cell>
          <cell r="AB10">
            <v>51164.86</v>
          </cell>
          <cell r="AC10">
            <v>101865.8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153030.66</v>
          </cell>
        </row>
        <row r="11">
          <cell r="J11" t="str">
            <v>703000000 - Ventas de subproductos y residuos</v>
          </cell>
          <cell r="K11">
            <v>0</v>
          </cell>
          <cell r="L11">
            <v>0</v>
          </cell>
          <cell r="M11">
            <v>16.940000000000001</v>
          </cell>
          <cell r="N11">
            <v>842.4</v>
          </cell>
          <cell r="O11">
            <v>23.2</v>
          </cell>
          <cell r="P11">
            <v>11.8</v>
          </cell>
          <cell r="Q11">
            <v>0</v>
          </cell>
          <cell r="R11">
            <v>16</v>
          </cell>
          <cell r="S11">
            <v>8</v>
          </cell>
          <cell r="T11">
            <v>8.0000000000000533</v>
          </cell>
          <cell r="U11">
            <v>508.99999999999989</v>
          </cell>
          <cell r="V11">
            <v>341</v>
          </cell>
          <cell r="W11">
            <v>1776.34</v>
          </cell>
          <cell r="Y11">
            <v>0</v>
          </cell>
          <cell r="Z11">
            <v>0</v>
          </cell>
          <cell r="AA11">
            <v>26.26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2751.2</v>
          </cell>
          <cell r="AH11">
            <v>0</v>
          </cell>
          <cell r="AI11">
            <v>0</v>
          </cell>
          <cell r="AJ11">
            <v>0</v>
          </cell>
          <cell r="AK11">
            <v>2777.46</v>
          </cell>
        </row>
        <row r="12">
          <cell r="J12" t="str">
            <v>704000000 - Ventas de envases y embalajes</v>
          </cell>
          <cell r="K12">
            <v>0</v>
          </cell>
          <cell r="L12">
            <v>0</v>
          </cell>
          <cell r="M12">
            <v>0</v>
          </cell>
          <cell r="N12">
            <v>18000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18000</v>
          </cell>
          <cell r="Y12">
            <v>0</v>
          </cell>
          <cell r="Z12">
            <v>4500</v>
          </cell>
          <cell r="AA12">
            <v>13500</v>
          </cell>
          <cell r="AB12">
            <v>35533.660000000003</v>
          </cell>
          <cell r="AC12">
            <v>80917.990000000005</v>
          </cell>
          <cell r="AD12">
            <v>0</v>
          </cell>
          <cell r="AE12">
            <v>0</v>
          </cell>
          <cell r="AF12">
            <v>0</v>
          </cell>
          <cell r="AG12">
            <v>15.470000000000027</v>
          </cell>
          <cell r="AH12">
            <v>0</v>
          </cell>
          <cell r="AI12">
            <v>0</v>
          </cell>
          <cell r="AJ12">
            <v>0</v>
          </cell>
          <cell r="AK12">
            <v>134467.12000000002</v>
          </cell>
        </row>
        <row r="13">
          <cell r="J13" t="str">
            <v>704000000 - Ventas de envases y embalajes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44823.06</v>
          </cell>
          <cell r="AE13">
            <v>26969.69</v>
          </cell>
          <cell r="AF13">
            <v>59572.72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131365.47</v>
          </cell>
        </row>
        <row r="14">
          <cell r="J14" t="str">
            <v>705000000 - Prestaciones de servicios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70833.600000000006</v>
          </cell>
          <cell r="AE14">
            <v>41581</v>
          </cell>
          <cell r="AF14">
            <v>101520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213934.6</v>
          </cell>
        </row>
        <row r="15">
          <cell r="J15" t="str">
            <v>705000001 - INGRESO POR GESTIÓN DE ENVASES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2313.16</v>
          </cell>
          <cell r="AE15">
            <v>2210.59</v>
          </cell>
          <cell r="AF15">
            <v>1694.59</v>
          </cell>
          <cell r="AG15">
            <v>1405.89</v>
          </cell>
          <cell r="AH15">
            <v>1721.46</v>
          </cell>
          <cell r="AI15">
            <v>1519.01</v>
          </cell>
          <cell r="AJ15">
            <v>5378.56</v>
          </cell>
          <cell r="AK15">
            <v>16243.260000000002</v>
          </cell>
        </row>
        <row r="16">
          <cell r="J16" t="str">
            <v>705000000 - Prestaciones de servicios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Y16">
            <v>0</v>
          </cell>
          <cell r="Z16">
            <v>0</v>
          </cell>
          <cell r="AA16">
            <v>0</v>
          </cell>
          <cell r="AB16">
            <v>48700.800000000003</v>
          </cell>
          <cell r="AC16">
            <v>111557.6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160258.40000000002</v>
          </cell>
        </row>
        <row r="17">
          <cell r="J17" t="str">
            <v>705000001 - INGRESO POR GESTIÓN DE ENVASES</v>
          </cell>
          <cell r="K17">
            <v>2318.73</v>
          </cell>
          <cell r="L17">
            <v>2058.81</v>
          </cell>
          <cell r="M17">
            <v>2094.0100000000002</v>
          </cell>
          <cell r="N17">
            <v>3009.16</v>
          </cell>
          <cell r="O17">
            <v>2938.11</v>
          </cell>
          <cell r="P17">
            <v>2154.2800000000002</v>
          </cell>
          <cell r="Q17">
            <v>2580.11</v>
          </cell>
          <cell r="R17">
            <v>1842.01</v>
          </cell>
          <cell r="S17">
            <v>2156.9899999999998</v>
          </cell>
          <cell r="T17">
            <v>1473.2200000000021</v>
          </cell>
          <cell r="U17">
            <v>1299.9700000000012</v>
          </cell>
          <cell r="V17">
            <v>4598.16</v>
          </cell>
          <cell r="W17">
            <v>28523.56</v>
          </cell>
          <cell r="Y17">
            <v>1295.6300000000001</v>
          </cell>
          <cell r="Z17">
            <v>6097.12</v>
          </cell>
          <cell r="AA17">
            <v>-1420.15</v>
          </cell>
          <cell r="AB17">
            <v>3246.37</v>
          </cell>
          <cell r="AC17">
            <v>2913.09</v>
          </cell>
          <cell r="AD17">
            <v>0</v>
          </cell>
          <cell r="AE17">
            <v>0</v>
          </cell>
          <cell r="AF17">
            <v>0</v>
          </cell>
          <cell r="AK17">
            <v>12132.060000000001</v>
          </cell>
        </row>
        <row r="18">
          <cell r="J18" t="str">
            <v>706000000 - Dtos. ventas por pronto pago mercaderías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-27569.53</v>
          </cell>
          <cell r="V18">
            <v>-14204.35</v>
          </cell>
          <cell r="W18">
            <v>-41773.879999999997</v>
          </cell>
          <cell r="Y18">
            <v>-34316.160000000003</v>
          </cell>
          <cell r="Z18">
            <v>-77173.86</v>
          </cell>
          <cell r="AA18">
            <v>-22849.78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 t="str">
            <v xml:space="preserve">                                             -  </v>
          </cell>
          <cell r="AH18">
            <v>0</v>
          </cell>
          <cell r="AI18">
            <v>0</v>
          </cell>
          <cell r="AJ18">
            <v>0</v>
          </cell>
          <cell r="AK18">
            <v>-134339.79999999999</v>
          </cell>
        </row>
        <row r="19">
          <cell r="J19" t="str">
            <v>709000000 - «Rappels» ventas de mercaderías</v>
          </cell>
          <cell r="K19">
            <v>0</v>
          </cell>
          <cell r="L19">
            <v>0</v>
          </cell>
          <cell r="M19">
            <v>0</v>
          </cell>
          <cell r="N19">
            <v>-139500.71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-73997.89</v>
          </cell>
          <cell r="W19">
            <v>-213498.59999999998</v>
          </cell>
          <cell r="Y19">
            <v>0</v>
          </cell>
          <cell r="Z19">
            <v>0</v>
          </cell>
          <cell r="AA19">
            <v>-278.38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 t="str">
            <v xml:space="preserve">                                             -  </v>
          </cell>
          <cell r="AH19">
            <v>0</v>
          </cell>
          <cell r="AI19">
            <v>0</v>
          </cell>
          <cell r="AJ19">
            <v>0</v>
          </cell>
          <cell r="AK19">
            <v>-278.38</v>
          </cell>
        </row>
        <row r="20">
          <cell r="J20" t="str">
            <v>709000001 - PROVISION RAPPELS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-113269.4</v>
          </cell>
          <cell r="W20">
            <v>-113269.4</v>
          </cell>
          <cell r="Y20">
            <v>0</v>
          </cell>
          <cell r="Z20">
            <v>-82761.279999999999</v>
          </cell>
          <cell r="AA20">
            <v>0</v>
          </cell>
          <cell r="AB20">
            <v>0</v>
          </cell>
          <cell r="AC20">
            <v>0</v>
          </cell>
          <cell r="AD20">
            <v>-50000</v>
          </cell>
          <cell r="AE20">
            <v>0</v>
          </cell>
          <cell r="AF20">
            <v>-16000</v>
          </cell>
          <cell r="AG20">
            <v>-12327.75</v>
          </cell>
          <cell r="AH20">
            <v>0</v>
          </cell>
          <cell r="AI20">
            <v>0</v>
          </cell>
          <cell r="AJ20">
            <v>-184238.72</v>
          </cell>
          <cell r="AK20">
            <v>-345327.75</v>
          </cell>
        </row>
        <row r="21">
          <cell r="J21" t="str">
            <v>709000500 - RAPPEL BONIFICACIONES POR PMK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-10932.55</v>
          </cell>
          <cell r="W21">
            <v>-10932.55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J22" t="str">
            <v>709000501 - PROVISION RAPPEL BONIFICACIONES POR PMK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-60145.65</v>
          </cell>
          <cell r="W22">
            <v>-60145.65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J23" t="str">
            <v>671000000 - Pérdidas procedentes del inmovilizado material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-14894.43</v>
          </cell>
          <cell r="W23">
            <v>-14894.43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J24" t="str">
            <v>771000000 - Beneficios del inmovilizado material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Y24">
            <v>0</v>
          </cell>
          <cell r="Z24">
            <v>0</v>
          </cell>
          <cell r="AA24">
            <v>2000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 t="str">
            <v xml:space="preserve">                                             -  </v>
          </cell>
          <cell r="AH24">
            <v>0</v>
          </cell>
          <cell r="AI24">
            <v>0</v>
          </cell>
          <cell r="AJ24">
            <v>0</v>
          </cell>
          <cell r="AK24">
            <v>2000</v>
          </cell>
        </row>
        <row r="25">
          <cell r="J25" t="str">
            <v>678000000 - Gastos excepcionales</v>
          </cell>
          <cell r="K25">
            <v>-35.18</v>
          </cell>
          <cell r="L25">
            <v>0</v>
          </cell>
          <cell r="M25">
            <v>-0.01</v>
          </cell>
          <cell r="N25">
            <v>0</v>
          </cell>
          <cell r="O25">
            <v>0</v>
          </cell>
          <cell r="P25">
            <v>-0.17</v>
          </cell>
          <cell r="Q25">
            <v>0</v>
          </cell>
          <cell r="R25">
            <v>-0.02</v>
          </cell>
          <cell r="S25">
            <v>-44.2</v>
          </cell>
          <cell r="T25">
            <v>0</v>
          </cell>
          <cell r="U25">
            <v>0</v>
          </cell>
          <cell r="V25">
            <v>0</v>
          </cell>
          <cell r="W25">
            <v>-79.580000000000013</v>
          </cell>
          <cell r="Y25">
            <v>-0.2</v>
          </cell>
          <cell r="Z25">
            <v>0</v>
          </cell>
          <cell r="AA25">
            <v>-0.14000000000000001</v>
          </cell>
          <cell r="AB25">
            <v>-93.18</v>
          </cell>
          <cell r="AC25">
            <v>0</v>
          </cell>
          <cell r="AD25">
            <v>0</v>
          </cell>
          <cell r="AE25">
            <v>-88.03</v>
          </cell>
          <cell r="AF25">
            <v>-0.02</v>
          </cell>
          <cell r="AG25" t="str">
            <v xml:space="preserve">                                             -  </v>
          </cell>
          <cell r="AH25">
            <v>0</v>
          </cell>
          <cell r="AI25">
            <v>0</v>
          </cell>
          <cell r="AJ25">
            <v>0</v>
          </cell>
          <cell r="AK25">
            <v>-181.57000000000002</v>
          </cell>
        </row>
        <row r="26">
          <cell r="J26" t="str">
            <v>778000000 - Ingresos excepcionales</v>
          </cell>
          <cell r="K26">
            <v>956.65</v>
          </cell>
          <cell r="L26">
            <v>31.83</v>
          </cell>
          <cell r="M26">
            <v>0</v>
          </cell>
          <cell r="N26">
            <v>0.02</v>
          </cell>
          <cell r="O26">
            <v>0.31</v>
          </cell>
          <cell r="P26">
            <v>2.4500000000000002</v>
          </cell>
          <cell r="Q26">
            <v>3.57</v>
          </cell>
          <cell r="R26">
            <v>473.03</v>
          </cell>
          <cell r="S26">
            <v>3.56</v>
          </cell>
          <cell r="T26">
            <v>810.0100000000001</v>
          </cell>
          <cell r="U26">
            <v>4.430000000000291</v>
          </cell>
          <cell r="V26">
            <v>150.44999999999999</v>
          </cell>
          <cell r="W26">
            <v>2436.3100000000004</v>
          </cell>
          <cell r="Y26">
            <v>3065.47</v>
          </cell>
          <cell r="Z26">
            <v>0.02</v>
          </cell>
          <cell r="AA26">
            <v>0</v>
          </cell>
          <cell r="AB26">
            <v>1117.44</v>
          </cell>
          <cell r="AC26">
            <v>0</v>
          </cell>
          <cell r="AD26">
            <v>0</v>
          </cell>
          <cell r="AE26">
            <v>0</v>
          </cell>
          <cell r="AF26">
            <v>0.01</v>
          </cell>
          <cell r="AG26">
            <v>0.2</v>
          </cell>
          <cell r="AH26">
            <v>0</v>
          </cell>
          <cell r="AI26">
            <v>0</v>
          </cell>
          <cell r="AJ26">
            <v>0</v>
          </cell>
          <cell r="AK26">
            <v>4183.1400000000003</v>
          </cell>
        </row>
        <row r="27">
          <cell r="J27" t="str">
            <v>711000000 - Variación existencias de prod. semiterminados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-12387.42</v>
          </cell>
          <cell r="AE27">
            <v>-48438.2</v>
          </cell>
          <cell r="AF27">
            <v>27557.62</v>
          </cell>
          <cell r="AG27">
            <v>-30979.93</v>
          </cell>
          <cell r="AH27">
            <v>0</v>
          </cell>
          <cell r="AI27">
            <v>0</v>
          </cell>
          <cell r="AJ27">
            <v>0</v>
          </cell>
          <cell r="AK27">
            <v>-64247.93</v>
          </cell>
        </row>
        <row r="28">
          <cell r="J28" t="str">
            <v>711000000 - Variación existencias de prod. semiterminados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-92482.51</v>
          </cell>
          <cell r="U28">
            <v>70816.59</v>
          </cell>
          <cell r="V28">
            <v>1022.55</v>
          </cell>
          <cell r="W28">
            <v>-20643.37</v>
          </cell>
          <cell r="Y28">
            <v>1191.8499999999999</v>
          </cell>
          <cell r="Z28">
            <v>-20400.169999999998</v>
          </cell>
          <cell r="AA28">
            <v>-3284.66</v>
          </cell>
          <cell r="AB28">
            <v>15429.21</v>
          </cell>
          <cell r="AC28">
            <v>4436.0200000000004</v>
          </cell>
          <cell r="AD28">
            <v>0</v>
          </cell>
          <cell r="AE28">
            <v>0</v>
          </cell>
          <cell r="AF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-2627.75</v>
          </cell>
        </row>
        <row r="29">
          <cell r="J29" t="str">
            <v>712000000 - Variación existencias de prod. terminados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-98347.35</v>
          </cell>
          <cell r="U29">
            <v>46039.860000000008</v>
          </cell>
          <cell r="V29">
            <v>102074.47</v>
          </cell>
          <cell r="W29">
            <v>49766.98</v>
          </cell>
          <cell r="Y29">
            <v>-86069.93</v>
          </cell>
          <cell r="Z29">
            <v>70405.740000000005</v>
          </cell>
          <cell r="AA29">
            <v>86837.43</v>
          </cell>
          <cell r="AB29">
            <v>-6784.01</v>
          </cell>
          <cell r="AC29">
            <v>-34727.120000000003</v>
          </cell>
          <cell r="AD29">
            <v>-77717.45</v>
          </cell>
          <cell r="AE29">
            <v>42145.57</v>
          </cell>
          <cell r="AF29">
            <v>-20822.98</v>
          </cell>
          <cell r="AG29">
            <v>-78386.559999999998</v>
          </cell>
          <cell r="AH29">
            <v>0</v>
          </cell>
          <cell r="AI29">
            <v>0</v>
          </cell>
          <cell r="AJ29">
            <v>0</v>
          </cell>
          <cell r="AK29">
            <v>-105119.31</v>
          </cell>
        </row>
        <row r="30">
          <cell r="J30" t="str">
            <v>601000000 - Compras de materias primas</v>
          </cell>
          <cell r="K30">
            <v>-429665.18</v>
          </cell>
          <cell r="L30">
            <v>-308104.99</v>
          </cell>
          <cell r="M30">
            <v>-261492</v>
          </cell>
          <cell r="N30">
            <v>-368424.33</v>
          </cell>
          <cell r="O30">
            <v>-504464.7</v>
          </cell>
          <cell r="P30">
            <v>-192907.51999999999</v>
          </cell>
          <cell r="Q30">
            <v>-196316.85</v>
          </cell>
          <cell r="R30">
            <v>-79453.8</v>
          </cell>
          <cell r="S30">
            <v>-149778.25</v>
          </cell>
          <cell r="T30">
            <v>-99950.409999999858</v>
          </cell>
          <cell r="U30">
            <v>-206190.37000000011</v>
          </cell>
          <cell r="V30">
            <v>-262604.03999999998</v>
          </cell>
          <cell r="W30">
            <v>-3059352.4399999995</v>
          </cell>
          <cell r="Y30">
            <v>-372155.73</v>
          </cell>
          <cell r="Z30">
            <v>-297001.90000000002</v>
          </cell>
          <cell r="AA30">
            <v>-399090.87</v>
          </cell>
          <cell r="AB30">
            <v>-391545.47</v>
          </cell>
          <cell r="AC30">
            <v>-417425.43</v>
          </cell>
          <cell r="AD30">
            <v>-463948.65</v>
          </cell>
          <cell r="AE30">
            <v>-379588.73</v>
          </cell>
          <cell r="AF30">
            <v>-265516.84000000003</v>
          </cell>
          <cell r="AG30">
            <v>-91631.27</v>
          </cell>
          <cell r="AH30">
            <v>-235336.47</v>
          </cell>
          <cell r="AI30">
            <v>-316373.51</v>
          </cell>
          <cell r="AJ30">
            <v>-341569.79</v>
          </cell>
          <cell r="AK30">
            <v>-3971184.66</v>
          </cell>
        </row>
        <row r="31">
          <cell r="J31" t="str">
            <v>601000001 - COMPRAS MAT. PRIMAS INTRACOMUNITARIAS</v>
          </cell>
          <cell r="K31">
            <v>-3450</v>
          </cell>
          <cell r="L31">
            <v>-49200</v>
          </cell>
          <cell r="M31">
            <v>-93411.4</v>
          </cell>
          <cell r="N31">
            <v>0</v>
          </cell>
          <cell r="O31">
            <v>-61800</v>
          </cell>
          <cell r="P31">
            <v>0</v>
          </cell>
          <cell r="Q31">
            <v>-62940</v>
          </cell>
          <cell r="R31">
            <v>0</v>
          </cell>
          <cell r="S31">
            <v>-61800</v>
          </cell>
          <cell r="T31">
            <v>-2.9103830456733704E-11</v>
          </cell>
          <cell r="U31">
            <v>-61800</v>
          </cell>
          <cell r="V31">
            <v>0</v>
          </cell>
          <cell r="W31">
            <v>-394401.4</v>
          </cell>
          <cell r="Y31">
            <v>0</v>
          </cell>
          <cell r="Z31">
            <v>-160090</v>
          </cell>
          <cell r="AA31">
            <v>-58800</v>
          </cell>
          <cell r="AB31">
            <v>0</v>
          </cell>
          <cell r="AC31">
            <v>-108150</v>
          </cell>
          <cell r="AD31">
            <v>0</v>
          </cell>
          <cell r="AE31">
            <v>0</v>
          </cell>
          <cell r="AF31">
            <v>-64800</v>
          </cell>
          <cell r="AG31">
            <v>-108150</v>
          </cell>
          <cell r="AH31">
            <v>0</v>
          </cell>
          <cell r="AI31">
            <v>0</v>
          </cell>
          <cell r="AJ31">
            <v>0</v>
          </cell>
          <cell r="AK31">
            <v>-499990</v>
          </cell>
        </row>
        <row r="32">
          <cell r="J32" t="str">
            <v>602000000 - Compras de otros aprovisionamientos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-30306.17</v>
          </cell>
          <cell r="AE32">
            <v>0</v>
          </cell>
          <cell r="AF32">
            <v>0</v>
          </cell>
          <cell r="AG32">
            <v>30306.17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J33" t="str">
            <v>602000001 - COMPRA DE ENVASES Y EMBALAJES</v>
          </cell>
          <cell r="K33">
            <v>-57162.35</v>
          </cell>
          <cell r="L33">
            <v>-52971.43</v>
          </cell>
          <cell r="M33">
            <v>-124776.35</v>
          </cell>
          <cell r="N33">
            <v>-41774.46</v>
          </cell>
          <cell r="O33">
            <v>-80485.789999999994</v>
          </cell>
          <cell r="P33">
            <v>-41572.410000000003</v>
          </cell>
          <cell r="Q33">
            <v>-53587.99</v>
          </cell>
          <cell r="R33">
            <v>-12821.6</v>
          </cell>
          <cell r="S33">
            <v>-43194.55</v>
          </cell>
          <cell r="T33">
            <v>-44129.290000000045</v>
          </cell>
          <cell r="U33">
            <v>-28383.330000000075</v>
          </cell>
          <cell r="V33">
            <v>-33012.78</v>
          </cell>
          <cell r="W33">
            <v>-613872.33000000019</v>
          </cell>
          <cell r="Y33">
            <v>-103817.84</v>
          </cell>
          <cell r="Z33">
            <v>-62983.5</v>
          </cell>
          <cell r="AA33">
            <v>-55812.27</v>
          </cell>
          <cell r="AB33">
            <v>-92652.34</v>
          </cell>
          <cell r="AC33">
            <v>-111111.14</v>
          </cell>
          <cell r="AD33">
            <v>-133989.04</v>
          </cell>
          <cell r="AE33">
            <v>-172260.74</v>
          </cell>
          <cell r="AF33">
            <v>-68178.759999999995</v>
          </cell>
          <cell r="AG33">
            <v>-48494.97</v>
          </cell>
          <cell r="AH33">
            <v>-49053</v>
          </cell>
          <cell r="AI33">
            <v>-65944.179999999993</v>
          </cell>
          <cell r="AJ33">
            <v>-71196.03</v>
          </cell>
          <cell r="AK33">
            <v>-1035493.81</v>
          </cell>
        </row>
        <row r="34">
          <cell r="J34" t="str">
            <v>602000002 - COMPRA DE ETIQUETAS</v>
          </cell>
          <cell r="K34">
            <v>-7313.17</v>
          </cell>
          <cell r="L34">
            <v>-32447.88</v>
          </cell>
          <cell r="M34">
            <v>-3846.3</v>
          </cell>
          <cell r="N34">
            <v>-9035.94</v>
          </cell>
          <cell r="O34">
            <v>-4499.18</v>
          </cell>
          <cell r="P34">
            <v>-2943.54</v>
          </cell>
          <cell r="Q34">
            <v>-1898.13</v>
          </cell>
          <cell r="R34">
            <v>0</v>
          </cell>
          <cell r="S34">
            <v>-3343.48</v>
          </cell>
          <cell r="T34">
            <v>-691.99999999998727</v>
          </cell>
          <cell r="U34">
            <v>-7929.7100000000064</v>
          </cell>
          <cell r="V34">
            <v>100.48</v>
          </cell>
          <cell r="W34">
            <v>-73848.850000000006</v>
          </cell>
          <cell r="Y34">
            <v>-12617.31</v>
          </cell>
          <cell r="Z34">
            <v>-5458.67</v>
          </cell>
          <cell r="AA34">
            <v>-15267.33</v>
          </cell>
          <cell r="AB34">
            <v>-9307.32</v>
          </cell>
          <cell r="AC34">
            <v>-2784.91</v>
          </cell>
          <cell r="AD34">
            <v>-5867.49</v>
          </cell>
          <cell r="AE34">
            <v>-10270.19</v>
          </cell>
          <cell r="AF34">
            <v>-2886.68</v>
          </cell>
          <cell r="AG34" t="str">
            <v xml:space="preserve">                                             -  </v>
          </cell>
          <cell r="AH34">
            <v>-4974.16</v>
          </cell>
          <cell r="AI34">
            <v>-6687</v>
          </cell>
          <cell r="AJ34">
            <v>-7219.56</v>
          </cell>
          <cell r="AK34">
            <v>-83340.62</v>
          </cell>
        </row>
        <row r="35">
          <cell r="J35" t="str">
            <v>602000003 - COMPRA DE PALETS</v>
          </cell>
          <cell r="K35">
            <v>-5569.2</v>
          </cell>
          <cell r="L35">
            <v>-7425.6</v>
          </cell>
          <cell r="M35">
            <v>-10519.6</v>
          </cell>
          <cell r="N35">
            <v>-9220.1200000000008</v>
          </cell>
          <cell r="O35">
            <v>-14851.2</v>
          </cell>
          <cell r="P35">
            <v>-7425.6</v>
          </cell>
          <cell r="Q35">
            <v>-7425.6</v>
          </cell>
          <cell r="R35">
            <v>-3712.8</v>
          </cell>
          <cell r="S35">
            <v>-3712.8</v>
          </cell>
          <cell r="T35">
            <v>-4733.8199999999952</v>
          </cell>
          <cell r="U35">
            <v>-4950.4000000000087</v>
          </cell>
          <cell r="V35">
            <v>-1856.4</v>
          </cell>
          <cell r="W35">
            <v>-81403.14</v>
          </cell>
          <cell r="Y35">
            <v>-7425.6</v>
          </cell>
          <cell r="Z35">
            <v>-3712.8</v>
          </cell>
          <cell r="AA35">
            <v>-4331.6000000000004</v>
          </cell>
          <cell r="AB35">
            <v>-12608.05</v>
          </cell>
          <cell r="AC35">
            <v>-17326.400000000001</v>
          </cell>
          <cell r="AD35">
            <v>-12994.8</v>
          </cell>
          <cell r="AE35">
            <v>-4331.6000000000004</v>
          </cell>
          <cell r="AF35">
            <v>-4331.6000000000004</v>
          </cell>
          <cell r="AG35">
            <v>-1856.4</v>
          </cell>
          <cell r="AH35">
            <v>-5174.53</v>
          </cell>
          <cell r="AI35">
            <v>-6956.35</v>
          </cell>
          <cell r="AJ35">
            <v>-7510.36</v>
          </cell>
          <cell r="AK35">
            <v>-88560.09</v>
          </cell>
        </row>
        <row r="36">
          <cell r="J36" t="str">
            <v>602000004 - COMPRA MATERIAL DE LIMPIEZA</v>
          </cell>
          <cell r="K36">
            <v>0</v>
          </cell>
          <cell r="L36">
            <v>0</v>
          </cell>
          <cell r="M36">
            <v>0</v>
          </cell>
          <cell r="N36">
            <v>-77.760000000000005</v>
          </cell>
          <cell r="O36">
            <v>0</v>
          </cell>
          <cell r="P36">
            <v>-239</v>
          </cell>
          <cell r="Q36">
            <v>0</v>
          </cell>
          <cell r="R36">
            <v>0</v>
          </cell>
          <cell r="S36">
            <v>0</v>
          </cell>
          <cell r="T36">
            <v>1.4210854715202004E-14</v>
          </cell>
          <cell r="U36">
            <v>0</v>
          </cell>
          <cell r="V36">
            <v>-89</v>
          </cell>
          <cell r="W36">
            <v>-405.76</v>
          </cell>
          <cell r="Y36">
            <v>-131.91999999999999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-130.41999999999999</v>
          </cell>
          <cell r="AH36">
            <v>-131.91999999999999</v>
          </cell>
          <cell r="AI36">
            <v>-131.91999999999999</v>
          </cell>
          <cell r="AJ36">
            <v>-131.91999999999999</v>
          </cell>
          <cell r="AK36">
            <v>-658.09999999999991</v>
          </cell>
        </row>
        <row r="37">
          <cell r="J37" t="str">
            <v>602000005 - COMPRA MATERIAL DE OFICINA</v>
          </cell>
          <cell r="K37">
            <v>-93.89</v>
          </cell>
          <cell r="L37">
            <v>-21.54</v>
          </cell>
          <cell r="M37">
            <v>-159.44999999999999</v>
          </cell>
          <cell r="N37">
            <v>-70.73</v>
          </cell>
          <cell r="O37">
            <v>-2.33</v>
          </cell>
          <cell r="P37">
            <v>-372.65</v>
          </cell>
          <cell r="Q37">
            <v>-122.27</v>
          </cell>
          <cell r="R37">
            <v>0</v>
          </cell>
          <cell r="S37">
            <v>-71.650000000000006</v>
          </cell>
          <cell r="T37">
            <v>0</v>
          </cell>
          <cell r="U37">
            <v>-15.830000000000041</v>
          </cell>
          <cell r="V37">
            <v>0</v>
          </cell>
          <cell r="W37">
            <v>-930.33999999999992</v>
          </cell>
          <cell r="Y37">
            <v>-95.3</v>
          </cell>
          <cell r="Z37">
            <v>-136</v>
          </cell>
          <cell r="AA37">
            <v>0</v>
          </cell>
          <cell r="AB37">
            <v>-380.75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 t="str">
            <v xml:space="preserve">                                             -  </v>
          </cell>
          <cell r="AH37">
            <v>-204.02</v>
          </cell>
          <cell r="AI37">
            <v>-204.02</v>
          </cell>
          <cell r="AJ37">
            <v>-204.02</v>
          </cell>
          <cell r="AK37">
            <v>-1224.1099999999999</v>
          </cell>
        </row>
        <row r="38">
          <cell r="J38" t="str">
            <v>602000006 - COMPRA TAPONES DE ENVASES</v>
          </cell>
          <cell r="K38">
            <v>-11737.85</v>
          </cell>
          <cell r="L38">
            <v>0</v>
          </cell>
          <cell r="M38">
            <v>-9894.56</v>
          </cell>
          <cell r="N38">
            <v>-7305.6</v>
          </cell>
          <cell r="O38">
            <v>-570.24</v>
          </cell>
          <cell r="P38">
            <v>-1593.6</v>
          </cell>
          <cell r="Q38">
            <v>-7482.76</v>
          </cell>
          <cell r="R38">
            <v>0</v>
          </cell>
          <cell r="S38">
            <v>-2106.6</v>
          </cell>
          <cell r="T38">
            <v>-3790.9999999999964</v>
          </cell>
          <cell r="U38">
            <v>-1695.3600000000006</v>
          </cell>
          <cell r="V38">
            <v>-1593.6</v>
          </cell>
          <cell r="W38">
            <v>-47771.169999999991</v>
          </cell>
          <cell r="Y38">
            <v>-3578.65</v>
          </cell>
          <cell r="Z38">
            <v>0</v>
          </cell>
          <cell r="AA38">
            <v>-5949</v>
          </cell>
          <cell r="AB38">
            <v>-5353</v>
          </cell>
          <cell r="AC38">
            <v>0</v>
          </cell>
          <cell r="AD38">
            <v>-3337.38</v>
          </cell>
          <cell r="AE38">
            <v>-5826.6</v>
          </cell>
          <cell r="AF38">
            <v>-1108.8</v>
          </cell>
          <cell r="AG38" t="str">
            <v xml:space="preserve">                                             -  </v>
          </cell>
          <cell r="AH38">
            <v>-2030.04</v>
          </cell>
          <cell r="AI38">
            <v>-2729.08</v>
          </cell>
          <cell r="AJ38">
            <v>-2946.43</v>
          </cell>
          <cell r="AK38">
            <v>-32858.979999999996</v>
          </cell>
        </row>
        <row r="39">
          <cell r="J39" t="str">
            <v>602000007 - COMPRAS LABORATORIO</v>
          </cell>
          <cell r="K39">
            <v>-357.6</v>
          </cell>
          <cell r="L39">
            <v>-178.88</v>
          </cell>
          <cell r="M39">
            <v>0</v>
          </cell>
          <cell r="N39">
            <v>-157.71</v>
          </cell>
          <cell r="O39">
            <v>0</v>
          </cell>
          <cell r="P39">
            <v>-269.92</v>
          </cell>
          <cell r="Q39">
            <v>-282.2</v>
          </cell>
          <cell r="R39">
            <v>-459.63</v>
          </cell>
          <cell r="S39">
            <v>0</v>
          </cell>
          <cell r="T39">
            <v>0</v>
          </cell>
          <cell r="U39">
            <v>0</v>
          </cell>
          <cell r="V39">
            <v>-743.75</v>
          </cell>
          <cell r="W39">
            <v>-2449.69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J40" t="str">
            <v>602000008 - RESPUESTOS PLANTA</v>
          </cell>
          <cell r="K40">
            <v>-131</v>
          </cell>
          <cell r="L40">
            <v>0</v>
          </cell>
          <cell r="M40">
            <v>-71.89</v>
          </cell>
          <cell r="N40">
            <v>0</v>
          </cell>
          <cell r="O40">
            <v>0</v>
          </cell>
          <cell r="P40">
            <v>0</v>
          </cell>
          <cell r="Q40">
            <v>-43.48</v>
          </cell>
          <cell r="R40">
            <v>-125.57</v>
          </cell>
          <cell r="S40">
            <v>-111.3</v>
          </cell>
          <cell r="T40">
            <v>-98.090000000000032</v>
          </cell>
          <cell r="U40">
            <v>0</v>
          </cell>
          <cell r="V40">
            <v>-3.13</v>
          </cell>
          <cell r="W40">
            <v>-584.45999999999992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-509.99</v>
          </cell>
          <cell r="AH40">
            <v>0</v>
          </cell>
          <cell r="AI40">
            <v>0</v>
          </cell>
          <cell r="AJ40">
            <v>0</v>
          </cell>
          <cell r="AK40">
            <v>-509.99</v>
          </cell>
        </row>
        <row r="41">
          <cell r="J41" t="str">
            <v>602000009 - REPUESTOS VARIOS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-97</v>
          </cell>
          <cell r="R41">
            <v>-190.33</v>
          </cell>
          <cell r="S41">
            <v>0</v>
          </cell>
          <cell r="T41">
            <v>-99.66</v>
          </cell>
          <cell r="U41">
            <v>0</v>
          </cell>
          <cell r="V41">
            <v>0</v>
          </cell>
          <cell r="W41">
            <v>-386.99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J42" t="str">
            <v>602000010 - COMPRA RIBBON</v>
          </cell>
          <cell r="K42">
            <v>0</v>
          </cell>
          <cell r="L42">
            <v>191.97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-575.46</v>
          </cell>
          <cell r="V42">
            <v>0</v>
          </cell>
          <cell r="W42">
            <v>-383.49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</row>
        <row r="43">
          <cell r="J43" t="str">
            <v>602000011 - COMPRAS VARIAS PLANTA</v>
          </cell>
          <cell r="K43">
            <v>0</v>
          </cell>
          <cell r="L43">
            <v>-447.8</v>
          </cell>
          <cell r="M43">
            <v>-1541.42</v>
          </cell>
          <cell r="N43">
            <v>0</v>
          </cell>
          <cell r="O43">
            <v>0</v>
          </cell>
          <cell r="P43">
            <v>0</v>
          </cell>
          <cell r="Q43">
            <v>-283.45</v>
          </cell>
          <cell r="R43">
            <v>0</v>
          </cell>
          <cell r="S43">
            <v>-223.08</v>
          </cell>
          <cell r="T43">
            <v>-18.07999999999987</v>
          </cell>
          <cell r="U43">
            <v>-25.010000000000218</v>
          </cell>
          <cell r="V43">
            <v>0</v>
          </cell>
          <cell r="W43">
            <v>-2538.84</v>
          </cell>
          <cell r="Y43">
            <v>0</v>
          </cell>
          <cell r="Z43">
            <v>-1575</v>
          </cell>
          <cell r="AA43">
            <v>0</v>
          </cell>
          <cell r="AB43">
            <v>0</v>
          </cell>
          <cell r="AC43">
            <v>0</v>
          </cell>
          <cell r="AD43">
            <v>-1735.41</v>
          </cell>
          <cell r="AE43">
            <v>-175.92</v>
          </cell>
          <cell r="AF43">
            <v>-371.23</v>
          </cell>
          <cell r="AG43">
            <v>-125.1</v>
          </cell>
          <cell r="AH43">
            <v>-964.39</v>
          </cell>
          <cell r="AI43">
            <v>-964.39</v>
          </cell>
          <cell r="AJ43">
            <v>-964.39</v>
          </cell>
          <cell r="AK43">
            <v>-6875.8300000000008</v>
          </cell>
        </row>
        <row r="44">
          <cell r="J44" t="str">
            <v>602000012 - REPUESTOS INFORMATICOS</v>
          </cell>
          <cell r="K44">
            <v>-99.11</v>
          </cell>
          <cell r="L44">
            <v>-815.7</v>
          </cell>
          <cell r="M44">
            <v>-1080.47</v>
          </cell>
          <cell r="N44">
            <v>-469.76</v>
          </cell>
          <cell r="O44">
            <v>-24.21</v>
          </cell>
          <cell r="P44">
            <v>-469.75</v>
          </cell>
          <cell r="Q44">
            <v>-106.61</v>
          </cell>
          <cell r="R44">
            <v>-626.07000000000005</v>
          </cell>
          <cell r="S44">
            <v>-118.2</v>
          </cell>
          <cell r="T44">
            <v>-464.21999999999991</v>
          </cell>
          <cell r="U44">
            <v>-43.179999999999382</v>
          </cell>
          <cell r="V44">
            <v>-11.12</v>
          </cell>
          <cell r="W44">
            <v>-4328.3999999999996</v>
          </cell>
          <cell r="Y44">
            <v>0</v>
          </cell>
          <cell r="Z44">
            <v>-1887.21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-1232.05</v>
          </cell>
          <cell r="AF44">
            <v>0</v>
          </cell>
          <cell r="AG44" t="str">
            <v xml:space="preserve">                                             -  </v>
          </cell>
          <cell r="AH44">
            <v>-1559.63</v>
          </cell>
          <cell r="AI44">
            <v>-1559.63</v>
          </cell>
          <cell r="AJ44">
            <v>-1559.63</v>
          </cell>
          <cell r="AK44">
            <v>-7798.1500000000005</v>
          </cell>
        </row>
        <row r="45">
          <cell r="J45" t="str">
            <v>602000013 - COMPRA TINTA INPRESORA ETIQUETAS</v>
          </cell>
          <cell r="K45">
            <v>-3597.1</v>
          </cell>
          <cell r="L45">
            <v>-1053.71</v>
          </cell>
          <cell r="M45">
            <v>-1890.07</v>
          </cell>
          <cell r="N45">
            <v>-3163.07</v>
          </cell>
          <cell r="O45">
            <v>-3009.47</v>
          </cell>
          <cell r="P45">
            <v>-2097.46</v>
          </cell>
          <cell r="Q45">
            <v>-498</v>
          </cell>
          <cell r="R45">
            <v>-1253</v>
          </cell>
          <cell r="S45">
            <v>-1354</v>
          </cell>
          <cell r="T45">
            <v>-715.00000000000318</v>
          </cell>
          <cell r="U45">
            <v>-2041.2000000000007</v>
          </cell>
          <cell r="V45">
            <v>-2219.4</v>
          </cell>
          <cell r="W45">
            <v>-22891.480000000003</v>
          </cell>
          <cell r="Y45">
            <v>-157</v>
          </cell>
          <cell r="Z45">
            <v>-2350.16</v>
          </cell>
          <cell r="AA45">
            <v>0</v>
          </cell>
          <cell r="AB45">
            <v>-2676.19</v>
          </cell>
          <cell r="AC45">
            <v>-480.84</v>
          </cell>
          <cell r="AD45">
            <v>-2604.9699999999998</v>
          </cell>
          <cell r="AE45">
            <v>-2809.41</v>
          </cell>
          <cell r="AF45">
            <v>-2557.66</v>
          </cell>
          <cell r="AG45">
            <v>-2381.09</v>
          </cell>
          <cell r="AH45">
            <v>-2490</v>
          </cell>
          <cell r="AI45">
            <v>-2690</v>
          </cell>
          <cell r="AJ45">
            <v>-2690</v>
          </cell>
          <cell r="AK45">
            <v>-23887.32</v>
          </cell>
        </row>
        <row r="46">
          <cell r="J46" t="str">
            <v>602000100 - ENVASES Y EMBALAJES A DEVOLVER</v>
          </cell>
          <cell r="K46">
            <v>1081.8</v>
          </cell>
          <cell r="L46">
            <v>960.6</v>
          </cell>
          <cell r="M46">
            <v>-1341.6</v>
          </cell>
          <cell r="N46">
            <v>-362</v>
          </cell>
          <cell r="O46">
            <v>-181</v>
          </cell>
          <cell r="P46">
            <v>1524</v>
          </cell>
          <cell r="Q46">
            <v>520</v>
          </cell>
          <cell r="R46">
            <v>-562</v>
          </cell>
          <cell r="S46">
            <v>443</v>
          </cell>
          <cell r="T46">
            <v>-257.00000000000011</v>
          </cell>
          <cell r="U46">
            <v>3081</v>
          </cell>
          <cell r="V46">
            <v>-600</v>
          </cell>
          <cell r="W46">
            <v>4306.8</v>
          </cell>
          <cell r="Y46">
            <v>-1200.4000000000001</v>
          </cell>
          <cell r="Z46">
            <v>-562</v>
          </cell>
          <cell r="AA46">
            <v>-363</v>
          </cell>
          <cell r="AB46">
            <v>67</v>
          </cell>
          <cell r="AC46">
            <v>1124</v>
          </cell>
          <cell r="AD46">
            <v>-1708</v>
          </cell>
          <cell r="AE46">
            <v>1360</v>
          </cell>
          <cell r="AF46">
            <v>0</v>
          </cell>
          <cell r="AG46">
            <v>4089</v>
          </cell>
          <cell r="AH46">
            <v>-183.2</v>
          </cell>
          <cell r="AI46">
            <v>-183.2</v>
          </cell>
          <cell r="AJ46">
            <v>-183.2</v>
          </cell>
          <cell r="AK46">
            <v>2257.0000000000005</v>
          </cell>
        </row>
        <row r="47">
          <cell r="J47" t="str">
            <v>607000000 - Trabajos realizados por otras empresas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-43651.86</v>
          </cell>
          <cell r="W47">
            <v>-43651.86</v>
          </cell>
          <cell r="Y47">
            <v>-4010</v>
          </cell>
          <cell r="Z47">
            <v>-8438.9599999999991</v>
          </cell>
          <cell r="AA47">
            <v>-10901.61</v>
          </cell>
          <cell r="AB47">
            <v>-20866.93</v>
          </cell>
          <cell r="AC47">
            <v>-32102.71</v>
          </cell>
          <cell r="AD47">
            <v>-36289.279999999999</v>
          </cell>
          <cell r="AE47">
            <v>-38657.97</v>
          </cell>
          <cell r="AF47">
            <v>-25856.5</v>
          </cell>
          <cell r="AG47">
            <v>-21488.9</v>
          </cell>
          <cell r="AH47">
            <v>0</v>
          </cell>
          <cell r="AI47">
            <v>0</v>
          </cell>
          <cell r="AJ47">
            <v>-7970</v>
          </cell>
          <cell r="AK47">
            <v>-206582.86</v>
          </cell>
        </row>
        <row r="48">
          <cell r="J48" t="str">
            <v>611000000 - Variación de existencias de materias primas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-50510.63</v>
          </cell>
          <cell r="U48">
            <v>-72380.37</v>
          </cell>
          <cell r="V48">
            <v>135290.17000000001</v>
          </cell>
          <cell r="W48">
            <v>12399.170000000013</v>
          </cell>
          <cell r="Y48">
            <v>25970.74</v>
          </cell>
          <cell r="Z48">
            <v>149437.84</v>
          </cell>
          <cell r="AA48">
            <v>81262.98</v>
          </cell>
          <cell r="AB48">
            <v>-23562.66</v>
          </cell>
          <cell r="AC48">
            <v>-43504.89</v>
          </cell>
          <cell r="AD48">
            <v>-145710</v>
          </cell>
          <cell r="AE48">
            <v>649.66999999999996</v>
          </cell>
          <cell r="AF48">
            <v>-59037.03</v>
          </cell>
          <cell r="AG48">
            <v>168480.81</v>
          </cell>
          <cell r="AH48">
            <v>0</v>
          </cell>
          <cell r="AI48">
            <v>0</v>
          </cell>
          <cell r="AJ48">
            <v>-15000</v>
          </cell>
          <cell r="AK48">
            <v>138987.46000000002</v>
          </cell>
        </row>
        <row r="49">
          <cell r="J49" t="str">
            <v>612000000 - Variación de existencias otros aprovisionamientos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35215.35</v>
          </cell>
          <cell r="U49">
            <v>-9653.7699999999968</v>
          </cell>
          <cell r="V49">
            <v>-8531.2900000000009</v>
          </cell>
          <cell r="W49">
            <v>17030.29</v>
          </cell>
          <cell r="Y49">
            <v>61431.54</v>
          </cell>
          <cell r="Z49">
            <v>-11484.37</v>
          </cell>
          <cell r="AA49">
            <v>0</v>
          </cell>
          <cell r="AB49">
            <v>44037.42</v>
          </cell>
          <cell r="AC49">
            <v>-73565.42</v>
          </cell>
          <cell r="AD49">
            <v>33912.769999999997</v>
          </cell>
          <cell r="AE49">
            <v>14991.19</v>
          </cell>
          <cell r="AF49">
            <v>-4582.08</v>
          </cell>
          <cell r="AG49">
            <v>-21053.4</v>
          </cell>
          <cell r="AH49">
            <v>0</v>
          </cell>
          <cell r="AI49">
            <v>0</v>
          </cell>
          <cell r="AJ49">
            <v>10000</v>
          </cell>
          <cell r="AK49">
            <v>53687.649999999987</v>
          </cell>
        </row>
        <row r="50">
          <cell r="J50" t="str">
            <v>700000624 - VENTA POR TRANSP. REP. AL CLIENTE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Y50">
            <v>0</v>
          </cell>
          <cell r="Z50">
            <v>0</v>
          </cell>
          <cell r="AA50">
            <v>0</v>
          </cell>
          <cell r="AB50">
            <v>750.75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 t="str">
            <v xml:space="preserve">                                             -  </v>
          </cell>
          <cell r="AH50">
            <v>0</v>
          </cell>
          <cell r="AI50">
            <v>0</v>
          </cell>
          <cell r="AJ50">
            <v>0</v>
          </cell>
          <cell r="AK50">
            <v>750.75</v>
          </cell>
        </row>
        <row r="51">
          <cell r="J51" t="str">
            <v>700001624 - VENTA POR TRANSPORTE REP. AL CLIENTE DEFINITIVO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25140.75</v>
          </cell>
          <cell r="AD51">
            <v>22977.599999999999</v>
          </cell>
          <cell r="AE51">
            <v>11027.24</v>
          </cell>
          <cell r="AF51">
            <v>11429</v>
          </cell>
          <cell r="AG51">
            <v>9613</v>
          </cell>
          <cell r="AH51">
            <v>21379</v>
          </cell>
          <cell r="AI51">
            <v>32454</v>
          </cell>
          <cell r="AJ51">
            <v>27150</v>
          </cell>
          <cell r="AK51">
            <v>161170.59</v>
          </cell>
        </row>
        <row r="52">
          <cell r="J52" t="str">
            <v>740000000 - Subvenciones, donaciones y legados explotación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47204.36</v>
          </cell>
          <cell r="W52">
            <v>47204.36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</row>
        <row r="53">
          <cell r="J53" t="str">
            <v>759000000 - Ingresos por servicios diversos</v>
          </cell>
          <cell r="K53">
            <v>0</v>
          </cell>
          <cell r="L53">
            <v>239.44</v>
          </cell>
          <cell r="M53">
            <v>0</v>
          </cell>
          <cell r="N53">
            <v>0</v>
          </cell>
          <cell r="O53">
            <v>435.75</v>
          </cell>
          <cell r="P53">
            <v>117.69</v>
          </cell>
          <cell r="Q53">
            <v>0</v>
          </cell>
          <cell r="R53">
            <v>0</v>
          </cell>
          <cell r="S53">
            <v>0</v>
          </cell>
          <cell r="T53">
            <v>1800.96</v>
          </cell>
          <cell r="U53">
            <v>0</v>
          </cell>
          <cell r="V53">
            <v>0</v>
          </cell>
          <cell r="W53">
            <v>2593.84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</row>
        <row r="54">
          <cell r="J54" t="str">
            <v>640000000 - Sueldos y salarios</v>
          </cell>
          <cell r="K54">
            <v>12561.13</v>
          </cell>
          <cell r="L54">
            <v>-266878.93</v>
          </cell>
          <cell r="M54">
            <v>-177486.24</v>
          </cell>
          <cell r="N54">
            <v>-102539.73</v>
          </cell>
          <cell r="O54">
            <v>-99898.35</v>
          </cell>
          <cell r="P54">
            <v>-129778.02</v>
          </cell>
          <cell r="Q54">
            <v>-183930.74</v>
          </cell>
          <cell r="R54">
            <v>-99729.29</v>
          </cell>
          <cell r="S54">
            <v>-97350.080000000002</v>
          </cell>
          <cell r="T54">
            <v>-261174.03999999998</v>
          </cell>
          <cell r="U54">
            <v>-117388.61999999988</v>
          </cell>
          <cell r="V54">
            <v>306.12</v>
          </cell>
          <cell r="W54">
            <v>-1523286.7899999998</v>
          </cell>
          <cell r="Y54">
            <v>-97898.74</v>
          </cell>
          <cell r="Z54">
            <v>-103298.14</v>
          </cell>
          <cell r="AA54">
            <v>-183177.41</v>
          </cell>
          <cell r="AB54">
            <v>-100687.82</v>
          </cell>
          <cell r="AC54">
            <v>-104048.18</v>
          </cell>
          <cell r="AD54">
            <v>-114103.58</v>
          </cell>
          <cell r="AE54">
            <v>-121813.59</v>
          </cell>
          <cell r="AF54">
            <v>-128060.74</v>
          </cell>
          <cell r="AG54">
            <v>-131094.26999999999</v>
          </cell>
          <cell r="AH54">
            <v>-128060.74</v>
          </cell>
          <cell r="AI54">
            <v>-128060.74</v>
          </cell>
          <cell r="AJ54">
            <v>-407060.74</v>
          </cell>
          <cell r="AK54">
            <v>-1747364.69</v>
          </cell>
        </row>
        <row r="55">
          <cell r="J55" t="str">
            <v>640000030 - PROVISION COMISIONES/NOMINA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-102794.69</v>
          </cell>
          <cell r="W55">
            <v>-102794.69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</row>
        <row r="56">
          <cell r="J56" t="str">
            <v>640000200 - GASTO POR E. TRAB. TEMPORAL</v>
          </cell>
          <cell r="K56">
            <v>-2361.8200000000002</v>
          </cell>
          <cell r="L56">
            <v>-2905.6</v>
          </cell>
          <cell r="M56">
            <v>-5702.24</v>
          </cell>
          <cell r="N56">
            <v>-8099.36</v>
          </cell>
          <cell r="O56">
            <v>-7249.28</v>
          </cell>
          <cell r="P56">
            <v>-4010.24</v>
          </cell>
          <cell r="Q56">
            <v>0</v>
          </cell>
          <cell r="R56">
            <v>-616.96</v>
          </cell>
          <cell r="S56">
            <v>-2024.82</v>
          </cell>
          <cell r="T56">
            <v>-3239.0400000000041</v>
          </cell>
          <cell r="U56">
            <v>-3856</v>
          </cell>
          <cell r="V56">
            <v>40065.360000000001</v>
          </cell>
          <cell r="W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</row>
        <row r="57">
          <cell r="J57" t="str">
            <v>640000300 - PROVISION PAGAS EXTRAS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-127007.99</v>
          </cell>
          <cell r="W57">
            <v>-127007.99</v>
          </cell>
          <cell r="Y57">
            <v>-7055.95</v>
          </cell>
          <cell r="Z57">
            <v>-35280.019999999997</v>
          </cell>
          <cell r="AA57">
            <v>42335.97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7.2759576141834259E-12</v>
          </cell>
        </row>
        <row r="58">
          <cell r="J58" t="str">
            <v>641000000 - Indemnizaciones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-31.65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-31.65</v>
          </cell>
          <cell r="Y58">
            <v>0</v>
          </cell>
          <cell r="Z58">
            <v>-11278.98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-11278.98</v>
          </cell>
        </row>
        <row r="59">
          <cell r="J59" t="str">
            <v>641000001 - INDEMNIZACIONES VARIAS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-244.08</v>
          </cell>
          <cell r="T59">
            <v>0</v>
          </cell>
          <cell r="U59">
            <v>0</v>
          </cell>
          <cell r="V59">
            <v>0</v>
          </cell>
          <cell r="W59">
            <v>-244.08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</row>
        <row r="60">
          <cell r="J60" t="str">
            <v>641000007 - INDEMNIZACION MIGUEL BELLES</v>
          </cell>
          <cell r="K60">
            <v>-112732.33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-112732.33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</row>
        <row r="61">
          <cell r="J61" t="str">
            <v>642000000 - Seguridad Social a cargo empresa</v>
          </cell>
          <cell r="K61">
            <v>-28699.63</v>
          </cell>
          <cell r="L61">
            <v>-32534.68</v>
          </cell>
          <cell r="M61">
            <v>-29322.5</v>
          </cell>
          <cell r="N61">
            <v>-29064.080000000002</v>
          </cell>
          <cell r="O61">
            <v>-29042.87</v>
          </cell>
          <cell r="P61">
            <v>-30021.39</v>
          </cell>
          <cell r="Q61">
            <v>-30686.03</v>
          </cell>
          <cell r="R61">
            <v>-29894.18</v>
          </cell>
          <cell r="S61">
            <v>-29009.56</v>
          </cell>
          <cell r="T61">
            <v>-28974.05</v>
          </cell>
          <cell r="U61">
            <v>-27147.390000000014</v>
          </cell>
          <cell r="V61">
            <v>-28943.32</v>
          </cell>
          <cell r="W61">
            <v>-353339.68000000005</v>
          </cell>
          <cell r="Y61">
            <v>-32779.019999999997</v>
          </cell>
          <cell r="Z61">
            <v>-33144.949999999997</v>
          </cell>
          <cell r="AA61">
            <v>-32042.23</v>
          </cell>
          <cell r="AB61">
            <v>-29359.85</v>
          </cell>
          <cell r="AC61">
            <v>-30856.34</v>
          </cell>
          <cell r="AD61">
            <v>-30968.7</v>
          </cell>
          <cell r="AE61">
            <v>-31720.06</v>
          </cell>
          <cell r="AF61">
            <v>-24572.05</v>
          </cell>
          <cell r="AG61">
            <v>-34709.72</v>
          </cell>
          <cell r="AH61">
            <v>-24572.05</v>
          </cell>
          <cell r="AI61">
            <v>-24572.05</v>
          </cell>
          <cell r="AJ61">
            <v>-24572.05</v>
          </cell>
          <cell r="AK61">
            <v>-353869.06999999995</v>
          </cell>
        </row>
        <row r="62">
          <cell r="J62" t="str">
            <v>647000000 - Retribución a los socios trabajadores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-65849.570000000007</v>
          </cell>
          <cell r="T62">
            <v>0</v>
          </cell>
          <cell r="U62">
            <v>0</v>
          </cell>
          <cell r="V62">
            <v>0</v>
          </cell>
          <cell r="W62">
            <v>-65849.570000000007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</row>
        <row r="63">
          <cell r="J63" t="str">
            <v>649000000 - Otros gastos sociales</v>
          </cell>
          <cell r="K63">
            <v>-96.04</v>
          </cell>
          <cell r="L63">
            <v>0</v>
          </cell>
          <cell r="M63">
            <v>-92.59</v>
          </cell>
          <cell r="N63">
            <v>-202.01</v>
          </cell>
          <cell r="O63">
            <v>0</v>
          </cell>
          <cell r="P63">
            <v>0</v>
          </cell>
          <cell r="Q63">
            <v>-222.21</v>
          </cell>
          <cell r="R63">
            <v>0</v>
          </cell>
          <cell r="S63">
            <v>0</v>
          </cell>
          <cell r="T63">
            <v>-222.20999999999987</v>
          </cell>
          <cell r="U63">
            <v>0</v>
          </cell>
          <cell r="V63">
            <v>835.06</v>
          </cell>
          <cell r="W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</row>
        <row r="64">
          <cell r="J64" t="str">
            <v>649000001 - GASTOS COMERCIALES NIEVES RUIZ</v>
          </cell>
          <cell r="K64">
            <v>-158.94999999999999</v>
          </cell>
          <cell r="L64">
            <v>-63.57</v>
          </cell>
          <cell r="M64">
            <v>-88.9</v>
          </cell>
          <cell r="N64">
            <v>0</v>
          </cell>
          <cell r="O64">
            <v>-74.41</v>
          </cell>
          <cell r="P64">
            <v>-59</v>
          </cell>
          <cell r="Q64">
            <v>-42.64</v>
          </cell>
          <cell r="R64">
            <v>-93.65</v>
          </cell>
          <cell r="S64">
            <v>-177.58</v>
          </cell>
          <cell r="T64">
            <v>0</v>
          </cell>
          <cell r="U64">
            <v>0</v>
          </cell>
          <cell r="V64">
            <v>758.7</v>
          </cell>
          <cell r="W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</row>
        <row r="65">
          <cell r="J65" t="str">
            <v>649000002 - GASTOS EMPR. ANTONIO ANDREU</v>
          </cell>
          <cell r="K65">
            <v>-175.84</v>
          </cell>
          <cell r="L65">
            <v>0</v>
          </cell>
          <cell r="M65">
            <v>-170.29</v>
          </cell>
          <cell r="N65">
            <v>-439.62</v>
          </cell>
          <cell r="O65">
            <v>-148.27000000000001</v>
          </cell>
          <cell r="P65">
            <v>-117.49</v>
          </cell>
          <cell r="Q65">
            <v>-23.86</v>
          </cell>
          <cell r="R65">
            <v>-115.12</v>
          </cell>
          <cell r="S65">
            <v>-102.59</v>
          </cell>
          <cell r="T65">
            <v>-181.10000000000039</v>
          </cell>
          <cell r="U65">
            <v>-173.16999999999985</v>
          </cell>
          <cell r="V65">
            <v>1647.35</v>
          </cell>
          <cell r="W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</row>
        <row r="66">
          <cell r="J66" t="str">
            <v>649000004 - GASTOS COMERCIALES RICARDO PEREZ</v>
          </cell>
          <cell r="K66">
            <v>-1583.33</v>
          </cell>
          <cell r="L66">
            <v>-286.45</v>
          </cell>
          <cell r="M66">
            <v>-434.75</v>
          </cell>
          <cell r="N66">
            <v>-717.55</v>
          </cell>
          <cell r="O66">
            <v>-1409.95</v>
          </cell>
          <cell r="P66">
            <v>-466.56</v>
          </cell>
          <cell r="Q66">
            <v>-532.64</v>
          </cell>
          <cell r="R66">
            <v>-281.25</v>
          </cell>
          <cell r="S66">
            <v>-369.29</v>
          </cell>
          <cell r="T66">
            <v>-1168.08</v>
          </cell>
          <cell r="U66">
            <v>-403.42000000000007</v>
          </cell>
          <cell r="V66">
            <v>7653.27</v>
          </cell>
          <cell r="W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</row>
        <row r="67">
          <cell r="J67" t="str">
            <v>649000007 - GASTOS COMERCIALES J.PAREDES</v>
          </cell>
          <cell r="K67">
            <v>-546.91999999999996</v>
          </cell>
          <cell r="L67">
            <v>-296.18</v>
          </cell>
          <cell r="M67">
            <v>-652.25</v>
          </cell>
          <cell r="N67">
            <v>-870.3</v>
          </cell>
          <cell r="O67">
            <v>-850.06</v>
          </cell>
          <cell r="P67">
            <v>-926.99</v>
          </cell>
          <cell r="Q67">
            <v>-850.39</v>
          </cell>
          <cell r="R67">
            <v>-508.22</v>
          </cell>
          <cell r="S67">
            <v>-1129.71</v>
          </cell>
          <cell r="T67">
            <v>-1881.4799999999991</v>
          </cell>
          <cell r="U67">
            <v>-3293.6800000000003</v>
          </cell>
          <cell r="V67">
            <v>11806.18</v>
          </cell>
          <cell r="W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</row>
        <row r="68">
          <cell r="J68" t="str">
            <v>649000009 - GASTOS COMERCIALES J.A. GARCIA</v>
          </cell>
          <cell r="K68">
            <v>-884.29</v>
          </cell>
          <cell r="L68">
            <v>-1087.8699999999999</v>
          </cell>
          <cell r="M68">
            <v>-582.92999999999995</v>
          </cell>
          <cell r="N68">
            <v>-1577.28</v>
          </cell>
          <cell r="O68">
            <v>-1473.59</v>
          </cell>
          <cell r="P68">
            <v>-254.22</v>
          </cell>
          <cell r="Q68">
            <v>-789.77</v>
          </cell>
          <cell r="R68">
            <v>-190.99</v>
          </cell>
          <cell r="S68">
            <v>-2445.41</v>
          </cell>
          <cell r="T68">
            <v>-2115.690000000001</v>
          </cell>
          <cell r="U68">
            <v>-796.05999999999949</v>
          </cell>
          <cell r="V68">
            <v>12198.1</v>
          </cell>
          <cell r="W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</row>
        <row r="69">
          <cell r="J69" t="str">
            <v>649000010 - GASTOS EMP. CURRO</v>
          </cell>
          <cell r="K69">
            <v>-55.37</v>
          </cell>
          <cell r="L69">
            <v>0</v>
          </cell>
          <cell r="M69">
            <v>-225.12</v>
          </cell>
          <cell r="N69">
            <v>-282.98</v>
          </cell>
          <cell r="O69">
            <v>-155.85</v>
          </cell>
          <cell r="P69">
            <v>-160.81</v>
          </cell>
          <cell r="Q69">
            <v>-373.32</v>
          </cell>
          <cell r="R69">
            <v>-71.88</v>
          </cell>
          <cell r="S69">
            <v>0</v>
          </cell>
          <cell r="T69">
            <v>-49.930000000000184</v>
          </cell>
          <cell r="U69">
            <v>-28.120000000000118</v>
          </cell>
          <cell r="V69">
            <v>1403.38</v>
          </cell>
          <cell r="W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</row>
        <row r="70">
          <cell r="J70" t="str">
            <v>649000011 - GASTOS COMERCIALES JOSE JUAN POVEDA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</row>
        <row r="71">
          <cell r="J71" t="str">
            <v>649000012 - GASTOS COMERCIALES IRENE GARCIA</v>
          </cell>
          <cell r="K71">
            <v>-295.83</v>
          </cell>
          <cell r="L71">
            <v>-172.93</v>
          </cell>
          <cell r="M71">
            <v>-416.64</v>
          </cell>
          <cell r="N71">
            <v>-496.01</v>
          </cell>
          <cell r="O71">
            <v>-340.45</v>
          </cell>
          <cell r="P71">
            <v>-78.2</v>
          </cell>
          <cell r="Q71">
            <v>-396.86</v>
          </cell>
          <cell r="R71">
            <v>-317.24</v>
          </cell>
          <cell r="S71">
            <v>-489.28</v>
          </cell>
          <cell r="T71">
            <v>-466.27000000000061</v>
          </cell>
          <cell r="U71">
            <v>0</v>
          </cell>
          <cell r="V71">
            <v>3469.71</v>
          </cell>
          <cell r="W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</row>
        <row r="72">
          <cell r="J72" t="str">
            <v>649000100 - GTOS. CURSOS PERSONAL</v>
          </cell>
          <cell r="K72">
            <v>-131.4</v>
          </cell>
          <cell r="L72">
            <v>0</v>
          </cell>
          <cell r="M72">
            <v>0</v>
          </cell>
          <cell r="N72">
            <v>0</v>
          </cell>
          <cell r="O72">
            <v>-625.20000000000005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706.6</v>
          </cell>
          <cell r="W72">
            <v>-50</v>
          </cell>
          <cell r="Y72">
            <v>0</v>
          </cell>
          <cell r="Z72">
            <v>0</v>
          </cell>
          <cell r="AA72">
            <v>-2623</v>
          </cell>
          <cell r="AB72">
            <v>0</v>
          </cell>
          <cell r="AC72">
            <v>-88</v>
          </cell>
          <cell r="AD72">
            <v>0</v>
          </cell>
          <cell r="AE72">
            <v>0</v>
          </cell>
          <cell r="AF72">
            <v>0</v>
          </cell>
          <cell r="AG72" t="str">
            <v xml:space="preserve">                                             -  </v>
          </cell>
          <cell r="AH72">
            <v>0</v>
          </cell>
          <cell r="AI72">
            <v>0</v>
          </cell>
          <cell r="AJ72">
            <v>0</v>
          </cell>
          <cell r="AK72">
            <v>-2711</v>
          </cell>
        </row>
        <row r="73">
          <cell r="J73" t="str">
            <v>649000101 - GTOS. SEG. Y RIESGOS PERSONAL</v>
          </cell>
          <cell r="K73">
            <v>-711.57</v>
          </cell>
          <cell r="L73">
            <v>-570.25</v>
          </cell>
          <cell r="M73">
            <v>0</v>
          </cell>
          <cell r="N73">
            <v>-623.92999999999995</v>
          </cell>
          <cell r="O73">
            <v>0</v>
          </cell>
          <cell r="P73">
            <v>0</v>
          </cell>
          <cell r="Q73">
            <v>-830.75</v>
          </cell>
          <cell r="R73">
            <v>-45.77</v>
          </cell>
          <cell r="S73">
            <v>0</v>
          </cell>
          <cell r="T73">
            <v>-570.25000000000011</v>
          </cell>
          <cell r="U73">
            <v>0</v>
          </cell>
          <cell r="V73">
            <v>3352.52</v>
          </cell>
          <cell r="W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</row>
        <row r="74">
          <cell r="J74" t="str">
            <v>649000102 - GASTOS ROPA UNIFORMES TRABAJADORES</v>
          </cell>
          <cell r="K74">
            <v>-67.599999999999994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-49.09</v>
          </cell>
          <cell r="Q74">
            <v>-16.45</v>
          </cell>
          <cell r="R74">
            <v>0</v>
          </cell>
          <cell r="S74">
            <v>-302.8</v>
          </cell>
          <cell r="T74">
            <v>0</v>
          </cell>
          <cell r="U74">
            <v>0</v>
          </cell>
          <cell r="V74">
            <v>435.94</v>
          </cell>
          <cell r="W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</row>
        <row r="75">
          <cell r="J75" t="str">
            <v>649000103 - GASTOS COMBUSTIBLE TRAB.</v>
          </cell>
          <cell r="K75">
            <v>0</v>
          </cell>
          <cell r="L75">
            <v>-99.82</v>
          </cell>
          <cell r="M75">
            <v>-60</v>
          </cell>
          <cell r="N75">
            <v>0</v>
          </cell>
          <cell r="O75">
            <v>0</v>
          </cell>
          <cell r="P75">
            <v>0</v>
          </cell>
          <cell r="Q75">
            <v>-41.32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201.14</v>
          </cell>
          <cell r="W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</row>
        <row r="76">
          <cell r="J76" t="str">
            <v>649100001 - GTOS. COMIDAS TRAB.</v>
          </cell>
          <cell r="K76">
            <v>-943</v>
          </cell>
          <cell r="L76">
            <v>0</v>
          </cell>
          <cell r="M76">
            <v>0</v>
          </cell>
          <cell r="N76">
            <v>-147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-686</v>
          </cell>
          <cell r="U76">
            <v>0</v>
          </cell>
          <cell r="V76">
            <v>1776</v>
          </cell>
          <cell r="W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</row>
        <row r="77">
          <cell r="J77" t="str">
            <v>649100002 - GASTOS TRAB. EMPRESA VARIOS</v>
          </cell>
          <cell r="K77">
            <v>34.56</v>
          </cell>
          <cell r="L77">
            <v>-6</v>
          </cell>
          <cell r="M77">
            <v>-6</v>
          </cell>
          <cell r="N77">
            <v>0</v>
          </cell>
          <cell r="O77">
            <v>-6</v>
          </cell>
          <cell r="P77">
            <v>25.92</v>
          </cell>
          <cell r="Q77">
            <v>-6</v>
          </cell>
          <cell r="R77">
            <v>-78.569999999999993</v>
          </cell>
          <cell r="S77">
            <v>-76</v>
          </cell>
          <cell r="T77">
            <v>4.0299999999999869</v>
          </cell>
          <cell r="U77">
            <v>2.1099999999999994</v>
          </cell>
          <cell r="V77">
            <v>111.95</v>
          </cell>
          <cell r="W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</row>
        <row r="78">
          <cell r="J78" t="str">
            <v>620000001 - GASTOS VARIOS I+D+I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</row>
        <row r="79">
          <cell r="J79" t="str">
            <v>620000002 - COMPRAS LABORATORIO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-504.06</v>
          </cell>
          <cell r="Q79">
            <v>0</v>
          </cell>
          <cell r="R79">
            <v>0</v>
          </cell>
          <cell r="S79">
            <v>0</v>
          </cell>
          <cell r="T79">
            <v>5.6843418860808015E-14</v>
          </cell>
          <cell r="U79">
            <v>0</v>
          </cell>
          <cell r="V79">
            <v>0</v>
          </cell>
          <cell r="W79">
            <v>-504.05999999999995</v>
          </cell>
          <cell r="Y79">
            <v>0</v>
          </cell>
          <cell r="Z79">
            <v>0</v>
          </cell>
          <cell r="AA79">
            <v>-113.13</v>
          </cell>
          <cell r="AB79">
            <v>-87.6</v>
          </cell>
          <cell r="AC79">
            <v>-487.47</v>
          </cell>
          <cell r="AD79">
            <v>-697.81</v>
          </cell>
          <cell r="AE79">
            <v>-226.47</v>
          </cell>
          <cell r="AF79">
            <v>0</v>
          </cell>
          <cell r="AG79" t="str">
            <v xml:space="preserve">                                             -  </v>
          </cell>
          <cell r="AH79">
            <v>-322.5</v>
          </cell>
          <cell r="AI79">
            <v>-322.5</v>
          </cell>
          <cell r="AJ79">
            <v>-322.5</v>
          </cell>
          <cell r="AK79">
            <v>-2579.98</v>
          </cell>
        </row>
        <row r="80">
          <cell r="J80" t="str">
            <v>620000003 - SUMINISTROS LABORATORIO</v>
          </cell>
          <cell r="K80">
            <v>0</v>
          </cell>
          <cell r="L80">
            <v>-1608.84</v>
          </cell>
          <cell r="M80">
            <v>-666.04</v>
          </cell>
          <cell r="N80">
            <v>-666.04</v>
          </cell>
          <cell r="O80">
            <v>-333.02</v>
          </cell>
          <cell r="P80">
            <v>-666.04</v>
          </cell>
          <cell r="Q80">
            <v>-333.02</v>
          </cell>
          <cell r="R80">
            <v>0</v>
          </cell>
          <cell r="S80">
            <v>-333.02</v>
          </cell>
          <cell r="T80">
            <v>-333.03000000000043</v>
          </cell>
          <cell r="U80">
            <v>-333.02999999999975</v>
          </cell>
          <cell r="V80">
            <v>-666.06</v>
          </cell>
          <cell r="W80">
            <v>-5938.1400000000012</v>
          </cell>
          <cell r="Y80">
            <v>-522.30999999999995</v>
          </cell>
          <cell r="Z80">
            <v>-356.17</v>
          </cell>
          <cell r="AA80">
            <v>0</v>
          </cell>
          <cell r="AB80">
            <v>-1440.58</v>
          </cell>
          <cell r="AC80">
            <v>-1464.58</v>
          </cell>
          <cell r="AD80">
            <v>-752.24</v>
          </cell>
          <cell r="AE80">
            <v>-752.24</v>
          </cell>
          <cell r="AF80">
            <v>-399.98</v>
          </cell>
          <cell r="AG80">
            <v>-768.14</v>
          </cell>
          <cell r="AH80">
            <v>-812.59</v>
          </cell>
          <cell r="AI80">
            <v>-812.59</v>
          </cell>
          <cell r="AJ80">
            <v>-812.59</v>
          </cell>
          <cell r="AK80">
            <v>-8894.01</v>
          </cell>
        </row>
        <row r="81">
          <cell r="J81" t="str">
            <v>620000004 - GTOS. ANALISIS LABORATORIOS</v>
          </cell>
          <cell r="K81">
            <v>-659.65</v>
          </cell>
          <cell r="L81">
            <v>-2647.48</v>
          </cell>
          <cell r="M81">
            <v>-1498.15</v>
          </cell>
          <cell r="N81">
            <v>-73.650000000000006</v>
          </cell>
          <cell r="O81">
            <v>-1588.76</v>
          </cell>
          <cell r="P81">
            <v>-1585.31</v>
          </cell>
          <cell r="Q81">
            <v>-783.93</v>
          </cell>
          <cell r="R81">
            <v>0</v>
          </cell>
          <cell r="S81">
            <v>-1860.42</v>
          </cell>
          <cell r="T81">
            <v>-1570.9900000000007</v>
          </cell>
          <cell r="U81">
            <v>-851.82999999999993</v>
          </cell>
          <cell r="V81">
            <v>-1176.3599999999999</v>
          </cell>
          <cell r="W81">
            <v>-14296.53</v>
          </cell>
          <cell r="Y81">
            <v>-523.96</v>
          </cell>
          <cell r="Z81">
            <v>-1019.07</v>
          </cell>
          <cell r="AA81">
            <v>-1573.25</v>
          </cell>
          <cell r="AB81">
            <v>-41.5</v>
          </cell>
          <cell r="AC81">
            <v>-1476.12</v>
          </cell>
          <cell r="AD81">
            <v>-2389.0100000000002</v>
          </cell>
          <cell r="AE81">
            <v>-1899.09</v>
          </cell>
          <cell r="AF81">
            <v>-911.52</v>
          </cell>
          <cell r="AG81">
            <v>-1010.22</v>
          </cell>
          <cell r="AH81">
            <v>-1229.19</v>
          </cell>
          <cell r="AI81">
            <v>-1229.19</v>
          </cell>
          <cell r="AJ81">
            <v>-1229.19</v>
          </cell>
          <cell r="AK81">
            <v>-14531.310000000001</v>
          </cell>
        </row>
        <row r="82">
          <cell r="J82" t="str">
            <v>620000005 - MANTENIMIENTO EQUIPOS LABORATORIO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-472</v>
          </cell>
          <cell r="V82">
            <v>-1448.19</v>
          </cell>
          <cell r="W82">
            <v>-1920.19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</row>
        <row r="83">
          <cell r="J83" t="str">
            <v>620000006 - GASTOS CURRO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</row>
        <row r="84">
          <cell r="J84" t="str">
            <v>621000000 - Arrendamientos y cánones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</row>
        <row r="85">
          <cell r="J85" t="str">
            <v>621000001 - ALQUILER OFICINA CARTAGENA</v>
          </cell>
          <cell r="K85">
            <v>-192</v>
          </cell>
          <cell r="L85">
            <v>-192</v>
          </cell>
          <cell r="M85">
            <v>-192</v>
          </cell>
          <cell r="N85">
            <v>-192</v>
          </cell>
          <cell r="O85">
            <v>-192</v>
          </cell>
          <cell r="P85">
            <v>-192</v>
          </cell>
          <cell r="Q85">
            <v>-200</v>
          </cell>
          <cell r="R85">
            <v>-200</v>
          </cell>
          <cell r="S85">
            <v>0</v>
          </cell>
          <cell r="T85">
            <v>-200</v>
          </cell>
          <cell r="U85">
            <v>-200</v>
          </cell>
          <cell r="V85">
            <v>-200</v>
          </cell>
          <cell r="W85">
            <v>-2152</v>
          </cell>
          <cell r="Y85">
            <v>-192</v>
          </cell>
          <cell r="Z85">
            <v>-192</v>
          </cell>
          <cell r="AA85">
            <v>-192</v>
          </cell>
          <cell r="AB85">
            <v>-192</v>
          </cell>
          <cell r="AC85">
            <v>-192</v>
          </cell>
          <cell r="AD85">
            <v>-192</v>
          </cell>
          <cell r="AE85">
            <v>-192</v>
          </cell>
          <cell r="AF85">
            <v>-192</v>
          </cell>
          <cell r="AG85">
            <v>-192</v>
          </cell>
          <cell r="AH85">
            <v>-192</v>
          </cell>
          <cell r="AI85">
            <v>-192</v>
          </cell>
          <cell r="AJ85">
            <v>-192</v>
          </cell>
          <cell r="AK85">
            <v>-2304</v>
          </cell>
        </row>
        <row r="86">
          <cell r="J86" t="str">
            <v>621000002 - ALQUILER NAVES VALL D'ALBA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</row>
        <row r="87">
          <cell r="J87" t="str">
            <v>621000010 - ALQUILER OFICINA EGIPTO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-200</v>
          </cell>
          <cell r="T87">
            <v>0</v>
          </cell>
          <cell r="U87">
            <v>0</v>
          </cell>
          <cell r="V87">
            <v>0</v>
          </cell>
          <cell r="W87">
            <v>-200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</row>
        <row r="88">
          <cell r="J88" t="str">
            <v>621000014 - ALQUILER MURANO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-14480.66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14480.66</v>
          </cell>
          <cell r="W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-15421.92</v>
          </cell>
          <cell r="AD88">
            <v>0</v>
          </cell>
          <cell r="AE88">
            <v>-6139.04</v>
          </cell>
          <cell r="AF88">
            <v>0</v>
          </cell>
          <cell r="AG88" t="str">
            <v xml:space="preserve">                                             -  </v>
          </cell>
          <cell r="AH88">
            <v>0</v>
          </cell>
          <cell r="AI88">
            <v>0</v>
          </cell>
          <cell r="AJ88">
            <v>0</v>
          </cell>
          <cell r="AK88">
            <v>-21560.959999999999</v>
          </cell>
        </row>
        <row r="89">
          <cell r="J89" t="str">
            <v>621000023 - RENTING TRANSPALETA ELECTRICA DE PIE</v>
          </cell>
          <cell r="K89">
            <v>-129.31</v>
          </cell>
          <cell r="L89">
            <v>0</v>
          </cell>
          <cell r="M89">
            <v>-258.62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-387.93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</row>
        <row r="90">
          <cell r="J90" t="str">
            <v>621000024 - ALQUILER RENTING 2255KXN ANTONIO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Y90">
            <v>0</v>
          </cell>
          <cell r="Z90">
            <v>-361.46</v>
          </cell>
          <cell r="AA90">
            <v>0</v>
          </cell>
          <cell r="AB90">
            <v>-361.46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 t="str">
            <v xml:space="preserve">                                             -  </v>
          </cell>
          <cell r="AH90">
            <v>-361.46</v>
          </cell>
          <cell r="AI90">
            <v>-361.46</v>
          </cell>
          <cell r="AJ90">
            <v>-361.46</v>
          </cell>
          <cell r="AK90">
            <v>-1807.3</v>
          </cell>
        </row>
        <row r="91">
          <cell r="J91" t="str">
            <v>621000025 - ALQUILER RENTING 9128 LBT NIEVES</v>
          </cell>
          <cell r="K91">
            <v>0</v>
          </cell>
          <cell r="L91">
            <v>-711.59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-261.64</v>
          </cell>
          <cell r="T91">
            <v>0</v>
          </cell>
          <cell r="U91">
            <v>0</v>
          </cell>
          <cell r="V91">
            <v>0</v>
          </cell>
          <cell r="W91">
            <v>-973.23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92">
          <cell r="J92" t="str">
            <v>621000026 - ALQUILER RENTING 9319LCL CURRO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Y92">
            <v>0</v>
          </cell>
          <cell r="Z92">
            <v>0</v>
          </cell>
          <cell r="AA92">
            <v>-369.97</v>
          </cell>
          <cell r="AB92">
            <v>-369.97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 t="str">
            <v xml:space="preserve">                                             -  </v>
          </cell>
          <cell r="AH92">
            <v>-369.97</v>
          </cell>
          <cell r="AI92">
            <v>-369.97</v>
          </cell>
          <cell r="AJ92">
            <v>-369.97</v>
          </cell>
          <cell r="AK92">
            <v>-1849.8500000000001</v>
          </cell>
        </row>
        <row r="93">
          <cell r="J93" t="str">
            <v>621000030 - ALQUILER RENTING 1075-LSC GARCIA</v>
          </cell>
          <cell r="K93">
            <v>-551.75</v>
          </cell>
          <cell r="L93">
            <v>-551.75</v>
          </cell>
          <cell r="M93">
            <v>-551.75</v>
          </cell>
          <cell r="N93">
            <v>-551.75</v>
          </cell>
          <cell r="O93">
            <v>-551.75</v>
          </cell>
          <cell r="P93">
            <v>76.459999999999994</v>
          </cell>
          <cell r="Q93">
            <v>-551.75</v>
          </cell>
          <cell r="R93">
            <v>-352.86</v>
          </cell>
          <cell r="S93">
            <v>-15.1</v>
          </cell>
          <cell r="T93">
            <v>0</v>
          </cell>
          <cell r="U93">
            <v>0</v>
          </cell>
          <cell r="V93">
            <v>0</v>
          </cell>
          <cell r="W93">
            <v>-3602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</row>
        <row r="94">
          <cell r="J94" t="str">
            <v>621000031 - ALQUILER RENTING KONICA-MINOLTA Y KYOCERA</v>
          </cell>
          <cell r="K94">
            <v>-338</v>
          </cell>
          <cell r="L94">
            <v>-338</v>
          </cell>
          <cell r="M94">
            <v>-338</v>
          </cell>
          <cell r="N94">
            <v>-338</v>
          </cell>
          <cell r="O94">
            <v>-338</v>
          </cell>
          <cell r="P94">
            <v>-338</v>
          </cell>
          <cell r="Q94">
            <v>-338</v>
          </cell>
          <cell r="R94">
            <v>-338</v>
          </cell>
          <cell r="S94">
            <v>-338</v>
          </cell>
          <cell r="T94">
            <v>-338</v>
          </cell>
          <cell r="U94">
            <v>-338</v>
          </cell>
          <cell r="V94">
            <v>-338</v>
          </cell>
          <cell r="W94">
            <v>-4056</v>
          </cell>
          <cell r="Y94">
            <v>-338</v>
          </cell>
          <cell r="Z94">
            <v>-338</v>
          </cell>
          <cell r="AA94">
            <v>-338</v>
          </cell>
          <cell r="AB94">
            <v>-338</v>
          </cell>
          <cell r="AC94">
            <v>-338</v>
          </cell>
          <cell r="AD94">
            <v>-338</v>
          </cell>
          <cell r="AE94">
            <v>-338</v>
          </cell>
          <cell r="AF94">
            <v>-338</v>
          </cell>
          <cell r="AG94">
            <v>-275</v>
          </cell>
          <cell r="AH94">
            <v>-338</v>
          </cell>
          <cell r="AI94">
            <v>-338</v>
          </cell>
          <cell r="AJ94">
            <v>-338</v>
          </cell>
          <cell r="AK94">
            <v>-3993</v>
          </cell>
        </row>
        <row r="95">
          <cell r="J95" t="str">
            <v>621000032 - ALQUILER RENTING 6665-LVK JOSE JUAN</v>
          </cell>
          <cell r="K95">
            <v>-349</v>
          </cell>
          <cell r="L95">
            <v>-349</v>
          </cell>
          <cell r="M95">
            <v>-349</v>
          </cell>
          <cell r="N95">
            <v>-349</v>
          </cell>
          <cell r="O95">
            <v>-349</v>
          </cell>
          <cell r="P95">
            <v>-349</v>
          </cell>
          <cell r="Q95">
            <v>-349</v>
          </cell>
          <cell r="R95">
            <v>-349</v>
          </cell>
          <cell r="S95">
            <v>-349</v>
          </cell>
          <cell r="T95">
            <v>0</v>
          </cell>
          <cell r="U95">
            <v>-349</v>
          </cell>
          <cell r="V95">
            <v>-349</v>
          </cell>
          <cell r="W95">
            <v>-3839</v>
          </cell>
          <cell r="Y95">
            <v>-349</v>
          </cell>
          <cell r="Z95">
            <v>-349</v>
          </cell>
          <cell r="AA95">
            <v>-349</v>
          </cell>
          <cell r="AB95">
            <v>0</v>
          </cell>
          <cell r="AC95">
            <v>-443.49</v>
          </cell>
          <cell r="AD95">
            <v>-443.49</v>
          </cell>
          <cell r="AE95">
            <v>-886.98</v>
          </cell>
          <cell r="AF95">
            <v>0</v>
          </cell>
          <cell r="AG95" t="str">
            <v xml:space="preserve">                                             -  </v>
          </cell>
          <cell r="AH95">
            <v>-470.16</v>
          </cell>
          <cell r="AI95">
            <v>-470.16</v>
          </cell>
          <cell r="AJ95">
            <v>-470.16</v>
          </cell>
          <cell r="AK95">
            <v>-4231.4399999999996</v>
          </cell>
        </row>
        <row r="96">
          <cell r="J96" t="str">
            <v>621000033 - ALQUILER RENTING 2612-MBY ANTONIO</v>
          </cell>
          <cell r="K96">
            <v>-361.46</v>
          </cell>
          <cell r="L96">
            <v>-361.46</v>
          </cell>
          <cell r="M96">
            <v>-361.46</v>
          </cell>
          <cell r="N96">
            <v>-361.46</v>
          </cell>
          <cell r="O96">
            <v>-361.46</v>
          </cell>
          <cell r="P96">
            <v>0</v>
          </cell>
          <cell r="Q96">
            <v>-361.46</v>
          </cell>
          <cell r="R96">
            <v>-361.46</v>
          </cell>
          <cell r="S96">
            <v>-361.46</v>
          </cell>
          <cell r="T96">
            <v>-361.45999999999964</v>
          </cell>
          <cell r="U96">
            <v>-169.82000000000016</v>
          </cell>
          <cell r="V96">
            <v>-361.46</v>
          </cell>
          <cell r="W96">
            <v>-3784.4199999999996</v>
          </cell>
          <cell r="Y96">
            <v>-361.46</v>
          </cell>
          <cell r="Z96">
            <v>0</v>
          </cell>
          <cell r="AA96">
            <v>-361.46</v>
          </cell>
          <cell r="AB96">
            <v>0</v>
          </cell>
          <cell r="AC96">
            <v>-399.42</v>
          </cell>
          <cell r="AD96">
            <v>-399.42</v>
          </cell>
          <cell r="AE96">
            <v>-149.15</v>
          </cell>
          <cell r="AF96">
            <v>-399.42</v>
          </cell>
          <cell r="AG96">
            <v>-399.42</v>
          </cell>
          <cell r="AH96">
            <v>-345.06</v>
          </cell>
          <cell r="AI96">
            <v>-345.06</v>
          </cell>
          <cell r="AJ96">
            <v>-345.06</v>
          </cell>
          <cell r="AK96">
            <v>-3504.93</v>
          </cell>
        </row>
        <row r="97">
          <cell r="J97" t="str">
            <v>621000034 - ALQUILER RENTING 3108-LZM NIEVES</v>
          </cell>
          <cell r="K97">
            <v>-711.59</v>
          </cell>
          <cell r="L97">
            <v>0</v>
          </cell>
          <cell r="M97">
            <v>-711.59</v>
          </cell>
          <cell r="N97">
            <v>-711.59</v>
          </cell>
          <cell r="O97">
            <v>-711.59</v>
          </cell>
          <cell r="P97">
            <v>-711.59</v>
          </cell>
          <cell r="Q97">
            <v>-711.59</v>
          </cell>
          <cell r="R97">
            <v>-711.59</v>
          </cell>
          <cell r="S97">
            <v>0</v>
          </cell>
          <cell r="T97">
            <v>-650.94999999999902</v>
          </cell>
          <cell r="U97">
            <v>-650.94999999999982</v>
          </cell>
          <cell r="V97">
            <v>-650.95000000000005</v>
          </cell>
          <cell r="W97">
            <v>-6933.9799999999987</v>
          </cell>
          <cell r="Y97">
            <v>-650.95000000000005</v>
          </cell>
          <cell r="Z97">
            <v>-650.95000000000005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-1139.1600000000001</v>
          </cell>
          <cell r="AG97" t="str">
            <v xml:space="preserve">                                             -  </v>
          </cell>
          <cell r="AH97">
            <v>-813.69</v>
          </cell>
          <cell r="AI97">
            <v>-813.69</v>
          </cell>
          <cell r="AJ97">
            <v>-813.69</v>
          </cell>
          <cell r="AK97">
            <v>-4882.130000000001</v>
          </cell>
        </row>
        <row r="98">
          <cell r="J98" t="str">
            <v>621000035 - ALQUILER RENTING 2142-MCS RICARDO</v>
          </cell>
          <cell r="K98">
            <v>-720.5</v>
          </cell>
          <cell r="L98">
            <v>-720.5</v>
          </cell>
          <cell r="M98">
            <v>-720.5</v>
          </cell>
          <cell r="N98">
            <v>-84.1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-2245.6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</row>
        <row r="99">
          <cell r="J99" t="str">
            <v>621000036 - ALQUILER RENTING 3277-MDX JAVIER</v>
          </cell>
          <cell r="K99">
            <v>-825.64</v>
          </cell>
          <cell r="L99">
            <v>-825.64</v>
          </cell>
          <cell r="M99">
            <v>-825.64</v>
          </cell>
          <cell r="N99">
            <v>-219.43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-2696.35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</row>
        <row r="100">
          <cell r="J100" t="str">
            <v>621000037 - CARRETILLA STILL ELEKTROSTAPLER 516213H00521</v>
          </cell>
          <cell r="K100">
            <v>-200</v>
          </cell>
          <cell r="L100">
            <v>-200</v>
          </cell>
          <cell r="M100">
            <v>-200</v>
          </cell>
          <cell r="N100">
            <v>-200</v>
          </cell>
          <cell r="O100">
            <v>-200</v>
          </cell>
          <cell r="P100">
            <v>-200</v>
          </cell>
          <cell r="Q100">
            <v>-200</v>
          </cell>
          <cell r="R100">
            <v>-200</v>
          </cell>
          <cell r="S100">
            <v>-200</v>
          </cell>
          <cell r="T100">
            <v>-200</v>
          </cell>
          <cell r="U100">
            <v>-200</v>
          </cell>
          <cell r="V100">
            <v>-200</v>
          </cell>
          <cell r="W100">
            <v>-2400</v>
          </cell>
          <cell r="Y100">
            <v>-200</v>
          </cell>
          <cell r="Z100">
            <v>-200</v>
          </cell>
          <cell r="AA100">
            <v>-200</v>
          </cell>
          <cell r="AB100">
            <v>-200</v>
          </cell>
          <cell r="AC100">
            <v>-200</v>
          </cell>
          <cell r="AD100">
            <v>-200</v>
          </cell>
          <cell r="AE100">
            <v>0</v>
          </cell>
          <cell r="AF100">
            <v>-400</v>
          </cell>
          <cell r="AG100">
            <v>-400.22</v>
          </cell>
          <cell r="AH100">
            <v>-228.57</v>
          </cell>
          <cell r="AI100">
            <v>-228.57</v>
          </cell>
          <cell r="AJ100">
            <v>-228.57</v>
          </cell>
          <cell r="AK100">
            <v>-2685.9300000000003</v>
          </cell>
        </row>
        <row r="101">
          <cell r="J101" t="str">
            <v>621000038 - CARRETILLA STILL ELEKTROSTAPLER 516223J00123</v>
          </cell>
          <cell r="K101">
            <v>-200.22</v>
          </cell>
          <cell r="L101">
            <v>-200.22</v>
          </cell>
          <cell r="M101">
            <v>-200.22</v>
          </cell>
          <cell r="N101">
            <v>-200.22</v>
          </cell>
          <cell r="O101">
            <v>-200.22</v>
          </cell>
          <cell r="P101">
            <v>-200.22</v>
          </cell>
          <cell r="Q101">
            <v>-200.22</v>
          </cell>
          <cell r="R101">
            <v>-200.22</v>
          </cell>
          <cell r="S101">
            <v>-200.22</v>
          </cell>
          <cell r="T101">
            <v>-200.22000000000006</v>
          </cell>
          <cell r="U101">
            <v>-200.2199999999998</v>
          </cell>
          <cell r="V101">
            <v>-200.22</v>
          </cell>
          <cell r="W101">
            <v>-2402.64</v>
          </cell>
          <cell r="Y101">
            <v>-200.22</v>
          </cell>
          <cell r="Z101">
            <v>-200.22</v>
          </cell>
          <cell r="AA101">
            <v>-200.22</v>
          </cell>
          <cell r="AB101">
            <v>-200.22</v>
          </cell>
          <cell r="AC101">
            <v>-200.22</v>
          </cell>
          <cell r="AD101">
            <v>-200.22</v>
          </cell>
          <cell r="AE101">
            <v>0</v>
          </cell>
          <cell r="AF101">
            <v>-400.44</v>
          </cell>
          <cell r="AG101" t="str">
            <v xml:space="preserve">                                             -  </v>
          </cell>
          <cell r="AH101">
            <v>-228.82</v>
          </cell>
          <cell r="AI101">
            <v>-228.82</v>
          </cell>
          <cell r="AJ101">
            <v>-228.82</v>
          </cell>
          <cell r="AK101">
            <v>-2288.2200000000003</v>
          </cell>
        </row>
        <row r="102">
          <cell r="J102" t="str">
            <v>621000039 - ALQUILER RENTING 5043-MWW CURRO</v>
          </cell>
          <cell r="K102">
            <v>-369.97</v>
          </cell>
          <cell r="L102">
            <v>-369.96</v>
          </cell>
          <cell r="M102">
            <v>-369.96</v>
          </cell>
          <cell r="N102">
            <v>-369.96</v>
          </cell>
          <cell r="O102">
            <v>-369.97</v>
          </cell>
          <cell r="P102">
            <v>-369.97</v>
          </cell>
          <cell r="Q102">
            <v>-369.97</v>
          </cell>
          <cell r="R102">
            <v>-369.97</v>
          </cell>
          <cell r="S102">
            <v>-369.97</v>
          </cell>
          <cell r="T102">
            <v>-369.96999999999889</v>
          </cell>
          <cell r="U102">
            <v>-369.9699999999998</v>
          </cell>
          <cell r="V102">
            <v>-369.97</v>
          </cell>
          <cell r="W102">
            <v>-4439.6099999999997</v>
          </cell>
          <cell r="Y102">
            <v>-369.97</v>
          </cell>
          <cell r="Z102">
            <v>-369.97</v>
          </cell>
          <cell r="AA102">
            <v>-150</v>
          </cell>
          <cell r="AB102">
            <v>-1039.51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 t="str">
            <v xml:space="preserve">                                             -  </v>
          </cell>
          <cell r="AH102">
            <v>-482.36</v>
          </cell>
          <cell r="AI102">
            <v>-482.36</v>
          </cell>
          <cell r="AJ102">
            <v>-482.36</v>
          </cell>
          <cell r="AK102">
            <v>-3376.53</v>
          </cell>
        </row>
        <row r="103">
          <cell r="J103" t="str">
            <v>621000040 - ALQUILER RENTING 8917-MZT JAVIER</v>
          </cell>
          <cell r="K103">
            <v>0</v>
          </cell>
          <cell r="L103">
            <v>0</v>
          </cell>
          <cell r="M103">
            <v>0</v>
          </cell>
          <cell r="N103">
            <v>-712.15</v>
          </cell>
          <cell r="O103">
            <v>-1068.22</v>
          </cell>
          <cell r="P103">
            <v>-1068.22</v>
          </cell>
          <cell r="Q103">
            <v>-1068.22</v>
          </cell>
          <cell r="R103">
            <v>-1068.22</v>
          </cell>
          <cell r="S103">
            <v>-989.75</v>
          </cell>
          <cell r="T103">
            <v>-1068.2199999999993</v>
          </cell>
          <cell r="U103">
            <v>-1068.2199999999993</v>
          </cell>
          <cell r="V103">
            <v>-1068.22</v>
          </cell>
          <cell r="W103">
            <v>-9179.4399999999987</v>
          </cell>
          <cell r="Y103">
            <v>-1068.22</v>
          </cell>
          <cell r="Z103">
            <v>0</v>
          </cell>
          <cell r="AA103">
            <v>-2136.44</v>
          </cell>
          <cell r="AB103">
            <v>-1068.22</v>
          </cell>
          <cell r="AC103">
            <v>-1172.1400000000001</v>
          </cell>
          <cell r="AD103">
            <v>0</v>
          </cell>
          <cell r="AE103">
            <v>-2344.3000000000002</v>
          </cell>
          <cell r="AF103">
            <v>0</v>
          </cell>
          <cell r="AG103">
            <v>-1172.1400000000001</v>
          </cell>
          <cell r="AH103">
            <v>-1557.86</v>
          </cell>
          <cell r="AI103">
            <v>-1557.86</v>
          </cell>
          <cell r="AJ103">
            <v>-1557.86</v>
          </cell>
          <cell r="AK103">
            <v>-13635.040000000003</v>
          </cell>
        </row>
        <row r="104">
          <cell r="J104" t="str">
            <v>621000041 - ALQUILER RENTING 8929-MZT RICARDO</v>
          </cell>
          <cell r="K104">
            <v>0</v>
          </cell>
          <cell r="L104">
            <v>0</v>
          </cell>
          <cell r="M104">
            <v>0</v>
          </cell>
          <cell r="N104">
            <v>-607.52</v>
          </cell>
          <cell r="O104">
            <v>-911.28</v>
          </cell>
          <cell r="P104">
            <v>-911.28</v>
          </cell>
          <cell r="Q104">
            <v>-911.28</v>
          </cell>
          <cell r="R104">
            <v>-911.28</v>
          </cell>
          <cell r="S104">
            <v>-989.75</v>
          </cell>
          <cell r="T104">
            <v>-911.28000000000088</v>
          </cell>
          <cell r="U104">
            <v>-911.27999999999975</v>
          </cell>
          <cell r="V104">
            <v>-911.28</v>
          </cell>
          <cell r="W104">
            <v>-7976.23</v>
          </cell>
          <cell r="Y104">
            <v>-911.28</v>
          </cell>
          <cell r="Z104">
            <v>0</v>
          </cell>
          <cell r="AA104">
            <v>-1822.56</v>
          </cell>
          <cell r="AB104">
            <v>-911.28</v>
          </cell>
          <cell r="AC104">
            <v>-1015.21</v>
          </cell>
          <cell r="AD104">
            <v>0</v>
          </cell>
          <cell r="AE104">
            <v>-2030.4</v>
          </cell>
          <cell r="AF104">
            <v>0</v>
          </cell>
          <cell r="AG104">
            <v>-1015.21</v>
          </cell>
          <cell r="AH104">
            <v>-1338.15</v>
          </cell>
          <cell r="AI104">
            <v>-1338.15</v>
          </cell>
          <cell r="AJ104">
            <v>-1338.15</v>
          </cell>
          <cell r="AK104">
            <v>-11720.39</v>
          </cell>
        </row>
        <row r="105">
          <cell r="J105" t="str">
            <v>621000042 - ALQUILER RENTING 4946-NFH GARCIA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-276.91000000000003</v>
          </cell>
          <cell r="S105">
            <v>-613.15</v>
          </cell>
          <cell r="T105">
            <v>-613.15000000000009</v>
          </cell>
          <cell r="U105">
            <v>-613.15000000000009</v>
          </cell>
          <cell r="V105">
            <v>-613.16</v>
          </cell>
          <cell r="W105">
            <v>-2729.52</v>
          </cell>
          <cell r="Y105">
            <v>-613.16</v>
          </cell>
          <cell r="Z105">
            <v>-613.15</v>
          </cell>
          <cell r="AA105">
            <v>-613.15</v>
          </cell>
          <cell r="AB105">
            <v>-613.15</v>
          </cell>
          <cell r="AC105">
            <v>-677.53</v>
          </cell>
          <cell r="AD105">
            <v>-677.53</v>
          </cell>
          <cell r="AE105">
            <v>-677.53</v>
          </cell>
          <cell r="AF105">
            <v>-677.53</v>
          </cell>
          <cell r="AG105">
            <v>-677.53</v>
          </cell>
          <cell r="AH105">
            <v>-645.34</v>
          </cell>
          <cell r="AI105">
            <v>-645.34</v>
          </cell>
          <cell r="AJ105">
            <v>-645.34</v>
          </cell>
          <cell r="AK105">
            <v>-7776.28</v>
          </cell>
        </row>
        <row r="106">
          <cell r="J106" t="str">
            <v>621000043 - CANON OFICINA VIRTUAL O365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-5250</v>
          </cell>
          <cell r="W106">
            <v>-5250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</row>
        <row r="107">
          <cell r="J107" t="str">
            <v>621000044 - ALQUILER COMPRESOR DE TORNILLO 37KW KAESER BSD 75C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-1600</v>
          </cell>
          <cell r="W107">
            <v>-1600</v>
          </cell>
          <cell r="Y107">
            <v>-1600</v>
          </cell>
          <cell r="Z107">
            <v>-1600</v>
          </cell>
          <cell r="AA107">
            <v>-1600</v>
          </cell>
          <cell r="AB107">
            <v>-1600</v>
          </cell>
          <cell r="AC107">
            <v>-1600</v>
          </cell>
          <cell r="AD107">
            <v>-1600</v>
          </cell>
          <cell r="AE107">
            <v>-1600</v>
          </cell>
          <cell r="AF107">
            <v>-1600</v>
          </cell>
          <cell r="AG107">
            <v>-1600</v>
          </cell>
          <cell r="AH107">
            <v>-1600</v>
          </cell>
          <cell r="AI107">
            <v>-1600</v>
          </cell>
          <cell r="AJ107">
            <v>-1600</v>
          </cell>
          <cell r="AK107">
            <v>-19200</v>
          </cell>
        </row>
        <row r="108">
          <cell r="J108" t="str">
            <v>621000045 - ALQUILER RENTING 3421-NJT PERE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>
            <v>-634.77</v>
          </cell>
          <cell r="Z108">
            <v>-1093.22</v>
          </cell>
          <cell r="AA108">
            <v>-1093.22</v>
          </cell>
          <cell r="AB108">
            <v>-1093.22</v>
          </cell>
          <cell r="AC108">
            <v>-1208.01</v>
          </cell>
          <cell r="AD108">
            <v>-1208.01</v>
          </cell>
          <cell r="AE108">
            <v>-1208.01</v>
          </cell>
          <cell r="AF108">
            <v>-1208.01</v>
          </cell>
          <cell r="AG108">
            <v>-1208.01</v>
          </cell>
          <cell r="AH108">
            <v>-1093.31</v>
          </cell>
          <cell r="AI108">
            <v>-1093.31</v>
          </cell>
          <cell r="AJ108">
            <v>-1093.31</v>
          </cell>
          <cell r="AK108">
            <v>-13234.41</v>
          </cell>
        </row>
        <row r="109">
          <cell r="J109" t="str">
            <v>621000046 - ALQUILER CARRETILLAS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-381.67</v>
          </cell>
          <cell r="AC109">
            <v>-665</v>
          </cell>
          <cell r="AD109">
            <v>-1510.33</v>
          </cell>
          <cell r="AE109">
            <v>-1407</v>
          </cell>
          <cell r="AF109">
            <v>-1407</v>
          </cell>
          <cell r="AG109">
            <v>-742</v>
          </cell>
          <cell r="AH109">
            <v>-677.75</v>
          </cell>
          <cell r="AI109">
            <v>-677.75</v>
          </cell>
          <cell r="AJ109">
            <v>-677.75</v>
          </cell>
          <cell r="AK109">
            <v>-8146.25</v>
          </cell>
        </row>
        <row r="110">
          <cell r="J110" t="str">
            <v>622000000 - Reparaciones y conservación en general</v>
          </cell>
          <cell r="K110">
            <v>0</v>
          </cell>
          <cell r="L110">
            <v>0</v>
          </cell>
          <cell r="M110">
            <v>0</v>
          </cell>
          <cell r="N110">
            <v>-115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-115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</row>
        <row r="111">
          <cell r="J111" t="str">
            <v>622000001 - REPAR. EQUIPOS INFORM. Y FOTOCOPIADORAS</v>
          </cell>
          <cell r="K111">
            <v>-2579.98</v>
          </cell>
          <cell r="L111">
            <v>0</v>
          </cell>
          <cell r="M111">
            <v>-467</v>
          </cell>
          <cell r="N111">
            <v>-204.79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-2274.5700000000002</v>
          </cell>
          <cell r="V111">
            <v>-14861.72</v>
          </cell>
          <cell r="W111">
            <v>-20388.059999999998</v>
          </cell>
          <cell r="Y111">
            <v>-1621.56</v>
          </cell>
          <cell r="Z111">
            <v>-815.7</v>
          </cell>
          <cell r="AA111">
            <v>-136.16</v>
          </cell>
          <cell r="AB111">
            <v>-218</v>
          </cell>
          <cell r="AC111">
            <v>0</v>
          </cell>
          <cell r="AD111">
            <v>-790.66</v>
          </cell>
          <cell r="AE111">
            <v>0</v>
          </cell>
          <cell r="AF111">
            <v>0</v>
          </cell>
          <cell r="AG111">
            <v>-3275.52</v>
          </cell>
          <cell r="AH111">
            <v>-716.42</v>
          </cell>
          <cell r="AI111">
            <v>-716.42</v>
          </cell>
          <cell r="AJ111">
            <v>-716.42</v>
          </cell>
          <cell r="AK111">
            <v>-9006.86</v>
          </cell>
        </row>
        <row r="112">
          <cell r="J112" t="str">
            <v>622000002 - REPARACIÓN VEHÍCULOS VARIOS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-378.45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-378.45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</row>
        <row r="113">
          <cell r="J113" t="str">
            <v>622000004 - REP. Y CONSERV. CARRETILLA ELECTRICA</v>
          </cell>
          <cell r="K113">
            <v>0</v>
          </cell>
          <cell r="L113">
            <v>-152.30000000000001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-236.27999999999997</v>
          </cell>
          <cell r="U113">
            <v>-162.42000000000002</v>
          </cell>
          <cell r="V113">
            <v>0</v>
          </cell>
          <cell r="W113">
            <v>-551</v>
          </cell>
          <cell r="Y113">
            <v>0</v>
          </cell>
          <cell r="Z113">
            <v>0</v>
          </cell>
          <cell r="AA113">
            <v>-1006.36</v>
          </cell>
          <cell r="AB113">
            <v>0</v>
          </cell>
          <cell r="AC113">
            <v>0</v>
          </cell>
          <cell r="AD113">
            <v>-979.23</v>
          </cell>
          <cell r="AE113">
            <v>0</v>
          </cell>
          <cell r="AF113">
            <v>-115.48</v>
          </cell>
          <cell r="AG113" t="str">
            <v xml:space="preserve">                                             -  </v>
          </cell>
          <cell r="AH113">
            <v>-700.36</v>
          </cell>
          <cell r="AI113">
            <v>-700.36</v>
          </cell>
          <cell r="AJ113">
            <v>-700.36</v>
          </cell>
          <cell r="AK113">
            <v>-4202.1500000000005</v>
          </cell>
        </row>
        <row r="114">
          <cell r="J114" t="str">
            <v>622000005 - REP. Y MANT. EQUIPOS SEGURIDAD</v>
          </cell>
          <cell r="K114">
            <v>-116</v>
          </cell>
          <cell r="L114">
            <v>-55</v>
          </cell>
          <cell r="M114">
            <v>-29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-71.569999999999993</v>
          </cell>
          <cell r="T114">
            <v>-71.569999999999993</v>
          </cell>
          <cell r="U114">
            <v>-854.00000000000011</v>
          </cell>
          <cell r="V114">
            <v>-157.66999999999999</v>
          </cell>
          <cell r="W114">
            <v>-1354.8100000000002</v>
          </cell>
          <cell r="Y114">
            <v>0</v>
          </cell>
          <cell r="Z114">
            <v>-73.72</v>
          </cell>
          <cell r="AA114">
            <v>0</v>
          </cell>
          <cell r="AB114">
            <v>-13.33</v>
          </cell>
          <cell r="AC114">
            <v>-183.66</v>
          </cell>
          <cell r="AD114">
            <v>0</v>
          </cell>
          <cell r="AE114">
            <v>-196.99</v>
          </cell>
          <cell r="AF114">
            <v>0</v>
          </cell>
          <cell r="AG114" t="str">
            <v xml:space="preserve">                                             -  </v>
          </cell>
          <cell r="AH114">
            <v>-116.92</v>
          </cell>
          <cell r="AI114">
            <v>-116.92</v>
          </cell>
          <cell r="AJ114">
            <v>-116.92</v>
          </cell>
          <cell r="AK114">
            <v>-818.45999999999992</v>
          </cell>
        </row>
        <row r="115">
          <cell r="J115" t="str">
            <v>622000006 - REP. Y MANT. INSTALACIONES VARIAS</v>
          </cell>
          <cell r="K115">
            <v>-136.1</v>
          </cell>
          <cell r="L115">
            <v>-1922.7</v>
          </cell>
          <cell r="M115">
            <v>-3202.46</v>
          </cell>
          <cell r="N115">
            <v>-4385.1000000000004</v>
          </cell>
          <cell r="O115">
            <v>-32.94</v>
          </cell>
          <cell r="P115">
            <v>-715.84</v>
          </cell>
          <cell r="Q115">
            <v>0</v>
          </cell>
          <cell r="R115">
            <v>0</v>
          </cell>
          <cell r="S115">
            <v>0</v>
          </cell>
          <cell r="T115">
            <v>-4958.6999999999989</v>
          </cell>
          <cell r="U115">
            <v>-1522.0799999999981</v>
          </cell>
          <cell r="V115">
            <v>-11049</v>
          </cell>
          <cell r="W115">
            <v>-27924.92</v>
          </cell>
          <cell r="Y115">
            <v>0</v>
          </cell>
          <cell r="Z115">
            <v>-1833.95</v>
          </cell>
          <cell r="AA115">
            <v>-468.78</v>
          </cell>
          <cell r="AB115">
            <v>-344</v>
          </cell>
          <cell r="AC115">
            <v>0</v>
          </cell>
          <cell r="AD115">
            <v>-1900.59</v>
          </cell>
          <cell r="AE115">
            <v>-2274.92</v>
          </cell>
          <cell r="AF115">
            <v>0</v>
          </cell>
          <cell r="AG115">
            <v>-877.14</v>
          </cell>
          <cell r="AH115">
            <v>-3193</v>
          </cell>
          <cell r="AI115">
            <v>-1250</v>
          </cell>
          <cell r="AJ115">
            <v>-525</v>
          </cell>
          <cell r="AK115">
            <v>-12667.380000000001</v>
          </cell>
        </row>
        <row r="116">
          <cell r="J116" t="str">
            <v>622000007 - REP. Y MANT. HYUNDAI 0377CJG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Y116">
            <v>0</v>
          </cell>
          <cell r="Z116">
            <v>0</v>
          </cell>
          <cell r="AA116">
            <v>-238.88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 t="str">
            <v xml:space="preserve">                                             -  </v>
          </cell>
          <cell r="AH116">
            <v>-238.88</v>
          </cell>
          <cell r="AI116">
            <v>-238.88</v>
          </cell>
          <cell r="AJ116">
            <v>-238.88</v>
          </cell>
          <cell r="AK116">
            <v>-955.52</v>
          </cell>
        </row>
        <row r="117">
          <cell r="J117" t="str">
            <v>622000008 - REP. Y MANT. MAQUINA BARREDORA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-350.75</v>
          </cell>
          <cell r="AC117">
            <v>0</v>
          </cell>
          <cell r="AD117">
            <v>0</v>
          </cell>
          <cell r="AE117">
            <v>-634.91</v>
          </cell>
          <cell r="AF117">
            <v>0</v>
          </cell>
          <cell r="AG117">
            <v>-591.76</v>
          </cell>
          <cell r="AH117">
            <v>-492.83</v>
          </cell>
          <cell r="AI117">
            <v>-492.83</v>
          </cell>
          <cell r="AJ117">
            <v>-492.83</v>
          </cell>
          <cell r="AK117">
            <v>-3055.91</v>
          </cell>
        </row>
        <row r="118">
          <cell r="J118" t="str">
            <v>622000009 - REP. Y MANT. FURGONETA 2589CRJ</v>
          </cell>
          <cell r="K118">
            <v>0</v>
          </cell>
          <cell r="L118">
            <v>-163.15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-223.9</v>
          </cell>
          <cell r="T118">
            <v>0</v>
          </cell>
          <cell r="U118">
            <v>0</v>
          </cell>
          <cell r="V118">
            <v>0</v>
          </cell>
          <cell r="W118">
            <v>-387.05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</row>
        <row r="119">
          <cell r="J119" t="str">
            <v>622000011 - REP. Y MANT. OFICINAS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-267</v>
          </cell>
          <cell r="T119">
            <v>-246.75</v>
          </cell>
          <cell r="U119">
            <v>0</v>
          </cell>
          <cell r="V119">
            <v>-180</v>
          </cell>
          <cell r="W119">
            <v>-693.75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</row>
        <row r="120">
          <cell r="J120" t="str">
            <v>622000012 - LIMPIEZA OFICINAS, LABORATORIO Y VESTUARIOS</v>
          </cell>
          <cell r="K120">
            <v>-540</v>
          </cell>
          <cell r="L120">
            <v>-540</v>
          </cell>
          <cell r="M120">
            <v>-495</v>
          </cell>
          <cell r="N120">
            <v>-495</v>
          </cell>
          <cell r="O120">
            <v>-540</v>
          </cell>
          <cell r="P120">
            <v>-615</v>
          </cell>
          <cell r="Q120">
            <v>0</v>
          </cell>
          <cell r="R120">
            <v>-1245</v>
          </cell>
          <cell r="S120">
            <v>-675</v>
          </cell>
          <cell r="T120">
            <v>-585</v>
          </cell>
          <cell r="U120">
            <v>-495</v>
          </cell>
          <cell r="V120">
            <v>-405</v>
          </cell>
          <cell r="W120">
            <v>-6630</v>
          </cell>
          <cell r="Y120">
            <v>-585</v>
          </cell>
          <cell r="Z120">
            <v>0</v>
          </cell>
          <cell r="AA120">
            <v>-1101.5999999999999</v>
          </cell>
          <cell r="AB120">
            <v>-495</v>
          </cell>
          <cell r="AC120">
            <v>0</v>
          </cell>
          <cell r="AD120">
            <v>-1566.9</v>
          </cell>
          <cell r="AE120">
            <v>-642.6</v>
          </cell>
          <cell r="AF120">
            <v>-977.98</v>
          </cell>
          <cell r="AG120">
            <v>-734.1</v>
          </cell>
          <cell r="AH120">
            <v>-894.85</v>
          </cell>
          <cell r="AI120">
            <v>-894.85</v>
          </cell>
          <cell r="AJ120">
            <v>-894.85</v>
          </cell>
          <cell r="AK120">
            <v>-8787.7300000000014</v>
          </cell>
        </row>
        <row r="121">
          <cell r="J121" t="str">
            <v>622010000 - MANTENIMIENTO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-1409.04</v>
          </cell>
          <cell r="AF121">
            <v>0</v>
          </cell>
          <cell r="AG121">
            <v>0</v>
          </cell>
          <cell r="AH121">
            <v>-1409.04</v>
          </cell>
          <cell r="AI121">
            <v>-1409.04</v>
          </cell>
          <cell r="AJ121">
            <v>-1409.04</v>
          </cell>
          <cell r="AK121">
            <v>-5636.16</v>
          </cell>
        </row>
        <row r="122">
          <cell r="J122" t="str">
            <v>622010001 - MANTENIMIENTO REPUESTO COMPRA AMAZON</v>
          </cell>
          <cell r="K122">
            <v>-661.77</v>
          </cell>
          <cell r="L122">
            <v>-261.05</v>
          </cell>
          <cell r="M122">
            <v>-354.21</v>
          </cell>
          <cell r="N122">
            <v>-97.46</v>
          </cell>
          <cell r="O122">
            <v>-147.03</v>
          </cell>
          <cell r="P122">
            <v>-201.09</v>
          </cell>
          <cell r="Q122">
            <v>-580.57000000000005</v>
          </cell>
          <cell r="R122">
            <v>-100.26</v>
          </cell>
          <cell r="S122">
            <v>-99.16</v>
          </cell>
          <cell r="T122">
            <v>-129.62999999999988</v>
          </cell>
          <cell r="U122">
            <v>0</v>
          </cell>
          <cell r="V122">
            <v>0</v>
          </cell>
          <cell r="W122">
            <v>-2632.2299999999996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</row>
        <row r="123">
          <cell r="J123" t="str">
            <v>622010200 - ALCAPLANT</v>
          </cell>
          <cell r="K123">
            <v>0</v>
          </cell>
          <cell r="L123">
            <v>0</v>
          </cell>
          <cell r="M123">
            <v>-601.5</v>
          </cell>
          <cell r="N123">
            <v>-528</v>
          </cell>
          <cell r="O123">
            <v>-767.65</v>
          </cell>
          <cell r="P123">
            <v>0</v>
          </cell>
          <cell r="Q123">
            <v>-1456.25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-8246.82</v>
          </cell>
          <cell r="W123">
            <v>-11600.22</v>
          </cell>
          <cell r="Y123">
            <v>-1342.54</v>
          </cell>
          <cell r="Z123">
            <v>-586</v>
          </cell>
          <cell r="AA123">
            <v>-2280</v>
          </cell>
          <cell r="AB123">
            <v>0</v>
          </cell>
          <cell r="AC123">
            <v>-942.88</v>
          </cell>
          <cell r="AD123">
            <v>-354.5</v>
          </cell>
          <cell r="AE123">
            <v>-9441.8499999999985</v>
          </cell>
          <cell r="AF123">
            <v>-1983.69</v>
          </cell>
          <cell r="AG123">
            <v>-1288.6199999999999</v>
          </cell>
          <cell r="AH123">
            <v>-3000</v>
          </cell>
          <cell r="AI123">
            <v>0</v>
          </cell>
          <cell r="AJ123">
            <v>0</v>
          </cell>
          <cell r="AK123">
            <v>-21220.079999999998</v>
          </cell>
        </row>
        <row r="124">
          <cell r="J124" t="str">
            <v>622010201 - REPARACIONES ALCAPLANT</v>
          </cell>
          <cell r="K124">
            <v>0</v>
          </cell>
          <cell r="L124">
            <v>0</v>
          </cell>
          <cell r="M124">
            <v>-3690</v>
          </cell>
          <cell r="N124">
            <v>-22552</v>
          </cell>
          <cell r="O124">
            <v>0</v>
          </cell>
          <cell r="P124">
            <v>-299.8</v>
          </cell>
          <cell r="Q124">
            <v>-4932.32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-13118.5</v>
          </cell>
          <cell r="W124">
            <v>-44592.619999999995</v>
          </cell>
          <cell r="Y124">
            <v>-667.12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-4282.05</v>
          </cell>
          <cell r="AE124">
            <v>-5230</v>
          </cell>
          <cell r="AF124">
            <v>-5848.16</v>
          </cell>
          <cell r="AG124" t="str">
            <v xml:space="preserve">                                             -  </v>
          </cell>
          <cell r="AH124">
            <v>-4006.83</v>
          </cell>
          <cell r="AI124">
            <v>-4006.83</v>
          </cell>
          <cell r="AJ124">
            <v>-4006.83</v>
          </cell>
          <cell r="AK124">
            <v>-28047.82</v>
          </cell>
        </row>
        <row r="125">
          <cell r="J125" t="str">
            <v>622010300 - SOLIDOS</v>
          </cell>
          <cell r="K125">
            <v>0</v>
          </cell>
          <cell r="L125">
            <v>0</v>
          </cell>
          <cell r="M125">
            <v>-2681.38</v>
          </cell>
          <cell r="N125">
            <v>0</v>
          </cell>
          <cell r="O125">
            <v>-1471.81</v>
          </cell>
          <cell r="P125">
            <v>-3849.34</v>
          </cell>
          <cell r="Q125">
            <v>-246.02</v>
          </cell>
          <cell r="R125">
            <v>-1120.24</v>
          </cell>
          <cell r="S125">
            <v>0</v>
          </cell>
          <cell r="T125">
            <v>-4.5474735088646412E-13</v>
          </cell>
          <cell r="U125">
            <v>2165.7200000000012</v>
          </cell>
          <cell r="V125">
            <v>0</v>
          </cell>
          <cell r="W125">
            <v>-7203.07</v>
          </cell>
          <cell r="Y125">
            <v>-617.41999999999996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-4467.0200000000004</v>
          </cell>
          <cell r="AE125">
            <v>0</v>
          </cell>
          <cell r="AF125">
            <v>-11965.55</v>
          </cell>
          <cell r="AG125">
            <v>-6085.86</v>
          </cell>
          <cell r="AH125">
            <v>-350</v>
          </cell>
          <cell r="AI125">
            <v>-2850</v>
          </cell>
          <cell r="AJ125">
            <v>-350</v>
          </cell>
          <cell r="AK125">
            <v>-26685.85</v>
          </cell>
        </row>
        <row r="126">
          <cell r="J126" t="str">
            <v>622010400 - LIQUIDOS</v>
          </cell>
          <cell r="K126">
            <v>0</v>
          </cell>
          <cell r="L126">
            <v>-690</v>
          </cell>
          <cell r="M126">
            <v>-4835.28</v>
          </cell>
          <cell r="N126">
            <v>-3376.42</v>
          </cell>
          <cell r="O126">
            <v>0</v>
          </cell>
          <cell r="P126">
            <v>-7002.71</v>
          </cell>
          <cell r="Q126">
            <v>-1024.1600000000001</v>
          </cell>
          <cell r="R126">
            <v>0</v>
          </cell>
          <cell r="S126">
            <v>0</v>
          </cell>
          <cell r="T126">
            <v>-1502.2500000000009</v>
          </cell>
          <cell r="U126">
            <v>0</v>
          </cell>
          <cell r="V126">
            <v>-168.12</v>
          </cell>
          <cell r="W126">
            <v>-18598.939999999999</v>
          </cell>
          <cell r="Y126">
            <v>0</v>
          </cell>
          <cell r="Z126">
            <v>0</v>
          </cell>
          <cell r="AA126">
            <v>-1502.54</v>
          </cell>
          <cell r="AB126">
            <v>-55.82</v>
          </cell>
          <cell r="AC126">
            <v>-1092.45</v>
          </cell>
          <cell r="AD126">
            <v>-8017.35</v>
          </cell>
          <cell r="AE126">
            <v>5697.8</v>
          </cell>
          <cell r="AF126">
            <v>-288.39</v>
          </cell>
          <cell r="AG126" t="str">
            <v xml:space="preserve">                                             -  </v>
          </cell>
          <cell r="AH126">
            <v>-1100</v>
          </cell>
          <cell r="AI126">
            <v>0</v>
          </cell>
          <cell r="AJ126">
            <v>0</v>
          </cell>
          <cell r="AK126">
            <v>-6358.75</v>
          </cell>
        </row>
        <row r="127">
          <cell r="J127" t="str">
            <v>622010500 - REPUESTOS MANT. VARIOS</v>
          </cell>
          <cell r="K127">
            <v>0</v>
          </cell>
          <cell r="L127">
            <v>0</v>
          </cell>
          <cell r="M127">
            <v>0</v>
          </cell>
          <cell r="N127">
            <v>-78.87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-82.799999999999983</v>
          </cell>
          <cell r="U127">
            <v>0</v>
          </cell>
          <cell r="V127">
            <v>0</v>
          </cell>
          <cell r="W127">
            <v>-161.66999999999999</v>
          </cell>
          <cell r="Y127">
            <v>0</v>
          </cell>
          <cell r="Z127">
            <v>-155.11000000000001</v>
          </cell>
          <cell r="AA127">
            <v>-1072.93</v>
          </cell>
          <cell r="AB127">
            <v>-2283.52</v>
          </cell>
          <cell r="AC127">
            <v>-799.04</v>
          </cell>
          <cell r="AD127">
            <v>-106.8</v>
          </cell>
          <cell r="AE127">
            <v>0</v>
          </cell>
          <cell r="AF127">
            <v>-108.17</v>
          </cell>
          <cell r="AG127">
            <v>-602.22</v>
          </cell>
          <cell r="AH127">
            <v>-250</v>
          </cell>
          <cell r="AI127">
            <v>-250</v>
          </cell>
          <cell r="AJ127">
            <v>-250</v>
          </cell>
          <cell r="AK127">
            <v>-5877.7900000000009</v>
          </cell>
        </row>
        <row r="128">
          <cell r="J128" t="str">
            <v>622010501 - REP. MANT. FONTANERIA</v>
          </cell>
          <cell r="K128">
            <v>-31.15</v>
          </cell>
          <cell r="L128">
            <v>-16.850000000000001</v>
          </cell>
          <cell r="M128">
            <v>-75.88</v>
          </cell>
          <cell r="N128">
            <v>0</v>
          </cell>
          <cell r="O128">
            <v>0</v>
          </cell>
          <cell r="P128">
            <v>-43.7</v>
          </cell>
          <cell r="Q128">
            <v>-13.58</v>
          </cell>
          <cell r="R128">
            <v>0</v>
          </cell>
          <cell r="S128">
            <v>0</v>
          </cell>
          <cell r="T128">
            <v>0</v>
          </cell>
          <cell r="U128">
            <v>-334.51</v>
          </cell>
          <cell r="V128">
            <v>-40.75</v>
          </cell>
          <cell r="W128">
            <v>-556.41999999999996</v>
          </cell>
          <cell r="Y128">
            <v>0</v>
          </cell>
          <cell r="Z128">
            <v>-39.799999999999997</v>
          </cell>
          <cell r="AA128">
            <v>-227.04</v>
          </cell>
          <cell r="AB128">
            <v>0</v>
          </cell>
          <cell r="AC128">
            <v>0</v>
          </cell>
          <cell r="AD128">
            <v>-81.8</v>
          </cell>
          <cell r="AE128">
            <v>0</v>
          </cell>
          <cell r="AF128">
            <v>0</v>
          </cell>
          <cell r="AG128">
            <v>-90.85</v>
          </cell>
          <cell r="AH128">
            <v>-116.21</v>
          </cell>
          <cell r="AI128">
            <v>-116.21</v>
          </cell>
          <cell r="AJ128">
            <v>-116.21</v>
          </cell>
          <cell r="AK128">
            <v>-788.12000000000012</v>
          </cell>
        </row>
        <row r="129">
          <cell r="J129" t="str">
            <v>623000000 - Servicios profesionales independientes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</row>
        <row r="130">
          <cell r="J130" t="str">
            <v>623000001 - SERV. PROF. INDEPENDIENTES</v>
          </cell>
          <cell r="K130">
            <v>-381</v>
          </cell>
          <cell r="L130">
            <v>-1307.5</v>
          </cell>
          <cell r="M130">
            <v>-75727.289999999994</v>
          </cell>
          <cell r="N130">
            <v>-5473.53</v>
          </cell>
          <cell r="O130">
            <v>-4650.8999999999996</v>
          </cell>
          <cell r="P130">
            <v>-15395.96</v>
          </cell>
          <cell r="Q130">
            <v>-5816.01</v>
          </cell>
          <cell r="R130">
            <v>-4917.3</v>
          </cell>
          <cell r="S130">
            <v>-8770.24</v>
          </cell>
          <cell r="T130">
            <v>-19818.34000000004</v>
          </cell>
          <cell r="U130">
            <v>-114242.53999999998</v>
          </cell>
          <cell r="V130">
            <v>-7456</v>
          </cell>
          <cell r="W130">
            <v>-263956.61</v>
          </cell>
          <cell r="Y130">
            <v>-1902.37</v>
          </cell>
          <cell r="Z130">
            <v>-497</v>
          </cell>
          <cell r="AA130">
            <v>-5360.3</v>
          </cell>
          <cell r="AB130">
            <v>-10729</v>
          </cell>
          <cell r="AC130">
            <v>-21698</v>
          </cell>
          <cell r="AD130">
            <v>-2988</v>
          </cell>
          <cell r="AE130">
            <v>-2584.62</v>
          </cell>
          <cell r="AF130">
            <v>-2853.02</v>
          </cell>
          <cell r="AG130">
            <v>-2345.62</v>
          </cell>
          <cell r="AH130">
            <v>-6000</v>
          </cell>
          <cell r="AI130">
            <v>-6000</v>
          </cell>
          <cell r="AJ130">
            <v>-8000</v>
          </cell>
          <cell r="AK130">
            <v>-70957.929999999993</v>
          </cell>
        </row>
        <row r="131">
          <cell r="J131" t="str">
            <v>623000002 - SERVICIOS CONTABLES Y FINANCIEROS</v>
          </cell>
          <cell r="K131">
            <v>-4220.75</v>
          </cell>
          <cell r="L131">
            <v>-2876.03</v>
          </cell>
          <cell r="M131">
            <v>-2828.03</v>
          </cell>
          <cell r="N131">
            <v>-2828.03</v>
          </cell>
          <cell r="O131">
            <v>-2106.7199999999998</v>
          </cell>
          <cell r="P131">
            <v>-3549.34</v>
          </cell>
          <cell r="Q131">
            <v>-2828.03</v>
          </cell>
          <cell r="R131">
            <v>-2106.7199999999998</v>
          </cell>
          <cell r="S131">
            <v>-2106.7199999999998</v>
          </cell>
          <cell r="T131">
            <v>-4870.649999999996</v>
          </cell>
          <cell r="U131">
            <v>-2828.0300000000025</v>
          </cell>
          <cell r="V131">
            <v>-2828.03</v>
          </cell>
          <cell r="W131">
            <v>-35977.08</v>
          </cell>
          <cell r="Y131">
            <v>-1417.95</v>
          </cell>
          <cell r="Z131">
            <v>-1417.95</v>
          </cell>
          <cell r="AA131">
            <v>-5837.67</v>
          </cell>
          <cell r="AB131">
            <v>-2891.19</v>
          </cell>
          <cell r="AC131">
            <v>-2891.19</v>
          </cell>
          <cell r="AD131">
            <v>-2891.19</v>
          </cell>
          <cell r="AE131">
            <v>-2891.1899999999991</v>
          </cell>
          <cell r="AF131">
            <v>-2148.2399999999998</v>
          </cell>
          <cell r="AG131">
            <v>-3634.14</v>
          </cell>
          <cell r="AH131">
            <v>-2800</v>
          </cell>
          <cell r="AI131">
            <v>-2800</v>
          </cell>
          <cell r="AJ131">
            <v>-2800</v>
          </cell>
          <cell r="AK131">
            <v>-34420.71</v>
          </cell>
        </row>
        <row r="132">
          <cell r="J132" t="str">
            <v>623000003 - SERV. NOTARIOS, REGISTROS, LEGAL</v>
          </cell>
          <cell r="K132">
            <v>-2207.23</v>
          </cell>
          <cell r="L132">
            <v>-2207.23</v>
          </cell>
          <cell r="M132">
            <v>-715.86</v>
          </cell>
          <cell r="N132">
            <v>-4053.58</v>
          </cell>
          <cell r="O132">
            <v>-2229.02</v>
          </cell>
          <cell r="P132">
            <v>-2311.69</v>
          </cell>
          <cell r="Q132">
            <v>-1491.37</v>
          </cell>
          <cell r="R132">
            <v>-1512</v>
          </cell>
          <cell r="S132">
            <v>-1501.77</v>
          </cell>
          <cell r="T132">
            <v>-2207.2299999999991</v>
          </cell>
          <cell r="U132">
            <v>-2339.5699999999997</v>
          </cell>
          <cell r="V132">
            <v>-815.64</v>
          </cell>
          <cell r="W132">
            <v>-23592.19</v>
          </cell>
          <cell r="Y132">
            <v>-548.32000000000005</v>
          </cell>
          <cell r="Z132">
            <v>-3007.86</v>
          </cell>
          <cell r="AA132">
            <v>-3805.86</v>
          </cell>
          <cell r="AB132">
            <v>-3053.37</v>
          </cell>
          <cell r="AC132">
            <v>-2271.2399999999998</v>
          </cell>
          <cell r="AD132">
            <v>-2271.2399999999998</v>
          </cell>
          <cell r="AE132">
            <v>-736.62</v>
          </cell>
          <cell r="AF132">
            <v>0</v>
          </cell>
          <cell r="AG132">
            <v>-1534.62</v>
          </cell>
          <cell r="AH132">
            <v>-2150</v>
          </cell>
          <cell r="AI132">
            <v>-2100</v>
          </cell>
          <cell r="AJ132">
            <v>-6150</v>
          </cell>
          <cell r="AK132">
            <v>-27629.13</v>
          </cell>
        </row>
        <row r="133">
          <cell r="J133" t="str">
            <v>623000004 - GTOS. BCS. OKO</v>
          </cell>
          <cell r="K133">
            <v>0</v>
          </cell>
          <cell r="L133">
            <v>-1069.43</v>
          </cell>
          <cell r="M133">
            <v>0</v>
          </cell>
          <cell r="N133">
            <v>0</v>
          </cell>
          <cell r="O133">
            <v>0</v>
          </cell>
          <cell r="P133">
            <v>-1787.78</v>
          </cell>
          <cell r="Q133">
            <v>-957.73</v>
          </cell>
          <cell r="R133">
            <v>-173.29</v>
          </cell>
          <cell r="S133">
            <v>0</v>
          </cell>
          <cell r="T133">
            <v>0</v>
          </cell>
          <cell r="U133">
            <v>-1364.2000000000003</v>
          </cell>
          <cell r="V133">
            <v>0</v>
          </cell>
          <cell r="W133">
            <v>-5352.43</v>
          </cell>
          <cell r="Y133">
            <v>-971.47</v>
          </cell>
          <cell r="Z133">
            <v>0</v>
          </cell>
          <cell r="AA133">
            <v>0</v>
          </cell>
          <cell r="AB133">
            <v>0</v>
          </cell>
          <cell r="AC133">
            <v>-1574.71</v>
          </cell>
          <cell r="AD133">
            <v>-1267.24</v>
          </cell>
          <cell r="AE133">
            <v>0</v>
          </cell>
          <cell r="AF133">
            <v>0</v>
          </cell>
          <cell r="AG133" t="str">
            <v xml:space="preserve">                                             -  </v>
          </cell>
          <cell r="AH133">
            <v>-300</v>
          </cell>
          <cell r="AI133">
            <v>-1200</v>
          </cell>
          <cell r="AJ133">
            <v>0</v>
          </cell>
          <cell r="AK133">
            <v>-5313.42</v>
          </cell>
        </row>
        <row r="134">
          <cell r="J134" t="str">
            <v>623000005 - SERVICIOS PREST. CAMARA COMERCIO</v>
          </cell>
          <cell r="K134">
            <v>-659</v>
          </cell>
          <cell r="L134">
            <v>-451.6</v>
          </cell>
          <cell r="M134">
            <v>-1434.42</v>
          </cell>
          <cell r="N134">
            <v>-553.9</v>
          </cell>
          <cell r="O134">
            <v>-1048.22</v>
          </cell>
          <cell r="P134">
            <v>-579.70000000000005</v>
          </cell>
          <cell r="Q134">
            <v>-105.4</v>
          </cell>
          <cell r="R134">
            <v>-105.4</v>
          </cell>
          <cell r="S134">
            <v>-368.9</v>
          </cell>
          <cell r="T134">
            <v>-950.00000000000091</v>
          </cell>
          <cell r="U134">
            <v>-298.52000000000044</v>
          </cell>
          <cell r="V134">
            <v>-492.2</v>
          </cell>
          <cell r="W134">
            <v>-7047.26</v>
          </cell>
          <cell r="Y134">
            <v>-692.3</v>
          </cell>
          <cell r="Z134">
            <v>-689.7</v>
          </cell>
          <cell r="AA134">
            <v>-324</v>
          </cell>
          <cell r="AB134">
            <v>-591</v>
          </cell>
          <cell r="AC134">
            <v>-429</v>
          </cell>
          <cell r="AD134">
            <v>-1185.44</v>
          </cell>
          <cell r="AE134">
            <v>-763</v>
          </cell>
          <cell r="AF134">
            <v>-210</v>
          </cell>
          <cell r="AG134">
            <v>-662</v>
          </cell>
          <cell r="AH134">
            <v>-610.55999999999995</v>
          </cell>
          <cell r="AI134">
            <v>-610.55999999999995</v>
          </cell>
          <cell r="AJ134">
            <v>-610.55999999999995</v>
          </cell>
          <cell r="AK134">
            <v>-7378.119999999999</v>
          </cell>
        </row>
        <row r="135">
          <cell r="J135" t="str">
            <v>623100000 - Serv.profesionales independientes adscritos FEFP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-16.2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-16.2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</row>
        <row r="136">
          <cell r="J136" t="str">
            <v>623100002 - GASTOS MAURICIO ALISTE</v>
          </cell>
          <cell r="K136">
            <v>-3270.18</v>
          </cell>
          <cell r="L136">
            <v>-6482.74</v>
          </cell>
          <cell r="M136">
            <v>-3702.45</v>
          </cell>
          <cell r="N136">
            <v>-3163.21</v>
          </cell>
          <cell r="O136">
            <v>-3152.48</v>
          </cell>
          <cell r="P136">
            <v>-4228.08</v>
          </cell>
          <cell r="Q136">
            <v>-3606.78</v>
          </cell>
          <cell r="R136">
            <v>-4354.66</v>
          </cell>
          <cell r="S136">
            <v>-2806.76</v>
          </cell>
          <cell r="T136">
            <v>-3570.9200000000042</v>
          </cell>
          <cell r="U136">
            <v>-3188.7099999999991</v>
          </cell>
          <cell r="V136">
            <v>-3696.27</v>
          </cell>
          <cell r="W136">
            <v>-45223.24</v>
          </cell>
          <cell r="Y136">
            <v>-3245.91</v>
          </cell>
          <cell r="Z136">
            <v>-4213.45</v>
          </cell>
          <cell r="AA136">
            <v>-5262.62</v>
          </cell>
          <cell r="AB136">
            <v>-2950.29</v>
          </cell>
          <cell r="AC136">
            <v>-4225.22</v>
          </cell>
          <cell r="AD136">
            <v>-3567.9499999999989</v>
          </cell>
          <cell r="AE136">
            <v>-3428.16</v>
          </cell>
          <cell r="AF136">
            <v>-4396.3899999999994</v>
          </cell>
          <cell r="AG136">
            <v>-4659.66</v>
          </cell>
          <cell r="AH136">
            <v>-4000</v>
          </cell>
          <cell r="AI136">
            <v>-4000</v>
          </cell>
          <cell r="AJ136">
            <v>-9200</v>
          </cell>
          <cell r="AK136">
            <v>-53149.65</v>
          </cell>
        </row>
        <row r="137">
          <cell r="J137" t="str">
            <v>623100006 - GASTOS Y SERVICIOS AGRICOLA DEL JUCAR</v>
          </cell>
          <cell r="K137">
            <v>-21548.74</v>
          </cell>
          <cell r="L137">
            <v>-595.13</v>
          </cell>
          <cell r="M137">
            <v>-300.2</v>
          </cell>
          <cell r="N137">
            <v>-346.08</v>
          </cell>
          <cell r="O137">
            <v>-629.07000000000005</v>
          </cell>
          <cell r="P137">
            <v>-579.94000000000005</v>
          </cell>
          <cell r="Q137">
            <v>-20200.75</v>
          </cell>
          <cell r="R137">
            <v>0</v>
          </cell>
          <cell r="S137">
            <v>-176.42</v>
          </cell>
          <cell r="T137">
            <v>-125.73999999999796</v>
          </cell>
          <cell r="U137">
            <v>-236.59999999999854</v>
          </cell>
          <cell r="V137">
            <v>-27718.14</v>
          </cell>
          <cell r="W137">
            <v>-72456.81</v>
          </cell>
          <cell r="Y137">
            <v>0</v>
          </cell>
          <cell r="Z137">
            <v>-236.74</v>
          </cell>
          <cell r="AA137">
            <v>-895.06</v>
          </cell>
          <cell r="AB137">
            <v>-438.09</v>
          </cell>
          <cell r="AC137">
            <v>-141.55000000000001</v>
          </cell>
          <cell r="AD137">
            <v>-54.55</v>
          </cell>
          <cell r="AE137">
            <v>0</v>
          </cell>
          <cell r="AF137">
            <v>-20364.61</v>
          </cell>
          <cell r="AG137" t="str">
            <v xml:space="preserve">                                             -  </v>
          </cell>
          <cell r="AH137">
            <v>-500</v>
          </cell>
          <cell r="AI137">
            <v>-500</v>
          </cell>
          <cell r="AJ137">
            <v>-30500</v>
          </cell>
          <cell r="AK137">
            <v>-53630.6</v>
          </cell>
        </row>
        <row r="138">
          <cell r="J138" t="str">
            <v>623100007 - GASTOS Y SUELDO MEHMET CILOGLU</v>
          </cell>
          <cell r="K138">
            <v>-18863.509999999998</v>
          </cell>
          <cell r="L138">
            <v>-19742.509999999998</v>
          </cell>
          <cell r="M138">
            <v>-6926.24</v>
          </cell>
          <cell r="N138">
            <v>-6755.8</v>
          </cell>
          <cell r="O138">
            <v>-5951.59</v>
          </cell>
          <cell r="P138">
            <v>-27785.05</v>
          </cell>
          <cell r="Q138">
            <v>-6333.67</v>
          </cell>
          <cell r="R138">
            <v>-5940.39</v>
          </cell>
          <cell r="S138">
            <v>-6011.76</v>
          </cell>
          <cell r="T138">
            <v>-6009.6800000000076</v>
          </cell>
          <cell r="U138">
            <v>-5763.6800000000076</v>
          </cell>
          <cell r="V138">
            <v>-43614.65</v>
          </cell>
          <cell r="W138">
            <v>-159698.53</v>
          </cell>
          <cell r="Y138">
            <v>-5502.03</v>
          </cell>
          <cell r="Z138">
            <v>-5916.14</v>
          </cell>
          <cell r="AA138">
            <v>-5438.35</v>
          </cell>
          <cell r="AB138">
            <v>-5067.2299999999996</v>
          </cell>
          <cell r="AC138">
            <v>0</v>
          </cell>
          <cell r="AD138">
            <v>-41963.34</v>
          </cell>
          <cell r="AE138">
            <v>-20123.98</v>
          </cell>
          <cell r="AF138">
            <v>-6760.66</v>
          </cell>
          <cell r="AG138">
            <v>-5892.08</v>
          </cell>
          <cell r="AH138">
            <v>-6000</v>
          </cell>
          <cell r="AI138">
            <v>-6000</v>
          </cell>
          <cell r="AJ138">
            <v>-106000</v>
          </cell>
          <cell r="AK138">
            <v>-214663.81</v>
          </cell>
        </row>
        <row r="139">
          <cell r="J139" t="str">
            <v>623100008 - COMISIONES KAMAL KEHAL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-3398.55</v>
          </cell>
          <cell r="AD139">
            <v>0</v>
          </cell>
          <cell r="AE139">
            <v>0</v>
          </cell>
          <cell r="AF139">
            <v>0</v>
          </cell>
          <cell r="AG139" t="str">
            <v xml:space="preserve">                                             -  </v>
          </cell>
          <cell r="AH139">
            <v>0</v>
          </cell>
          <cell r="AI139">
            <v>0</v>
          </cell>
          <cell r="AJ139">
            <v>0</v>
          </cell>
          <cell r="AK139">
            <v>-3398.55</v>
          </cell>
        </row>
        <row r="140">
          <cell r="J140" t="str">
            <v>623100009 - COMISIONES ABEL SALAZAR</v>
          </cell>
          <cell r="K140">
            <v>0</v>
          </cell>
          <cell r="L140">
            <v>0</v>
          </cell>
          <cell r="M140">
            <v>-170.22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-170.22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</row>
        <row r="141">
          <cell r="J141" t="str">
            <v>623200001 - GASTOS MARCAS EN ESPAÑA</v>
          </cell>
          <cell r="K141">
            <v>0</v>
          </cell>
          <cell r="L141">
            <v>0</v>
          </cell>
          <cell r="M141">
            <v>-377.56</v>
          </cell>
          <cell r="N141">
            <v>0</v>
          </cell>
          <cell r="O141">
            <v>-709.04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5.6843418860808015E-14</v>
          </cell>
          <cell r="U141">
            <v>0</v>
          </cell>
          <cell r="V141">
            <v>0</v>
          </cell>
          <cell r="W141">
            <v>-1086.5999999999999</v>
          </cell>
          <cell r="Y141">
            <v>-377.56</v>
          </cell>
          <cell r="Z141">
            <v>0</v>
          </cell>
          <cell r="AA141">
            <v>0</v>
          </cell>
          <cell r="AB141">
            <v>0</v>
          </cell>
          <cell r="AC141">
            <v>-377.56</v>
          </cell>
          <cell r="AD141">
            <v>0</v>
          </cell>
          <cell r="AE141">
            <v>0</v>
          </cell>
          <cell r="AF141">
            <v>0</v>
          </cell>
          <cell r="AG141" t="str">
            <v xml:space="preserve">                                             -  </v>
          </cell>
          <cell r="AH141">
            <v>0</v>
          </cell>
          <cell r="AI141">
            <v>0</v>
          </cell>
          <cell r="AJ141">
            <v>0</v>
          </cell>
          <cell r="AK141">
            <v>-755.12</v>
          </cell>
        </row>
        <row r="142">
          <cell r="J142" t="str">
            <v>623200002 - GASTOS MARCAS MEXICO</v>
          </cell>
          <cell r="K142">
            <v>0</v>
          </cell>
          <cell r="L142">
            <v>0</v>
          </cell>
          <cell r="M142">
            <v>0</v>
          </cell>
          <cell r="N142">
            <v>-1545</v>
          </cell>
          <cell r="O142">
            <v>-915</v>
          </cell>
          <cell r="P142">
            <v>0</v>
          </cell>
          <cell r="Q142">
            <v>-560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-3020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-267.75</v>
          </cell>
          <cell r="AE142">
            <v>0</v>
          </cell>
          <cell r="AF142">
            <v>0</v>
          </cell>
          <cell r="AG142" t="str">
            <v xml:space="preserve">                                             -  </v>
          </cell>
          <cell r="AH142">
            <v>0</v>
          </cell>
          <cell r="AI142">
            <v>0</v>
          </cell>
          <cell r="AJ142">
            <v>0</v>
          </cell>
          <cell r="AK142">
            <v>-267.75</v>
          </cell>
        </row>
        <row r="143">
          <cell r="J143" t="str">
            <v>623200005 - GASTOS MARCAS CHILE</v>
          </cell>
          <cell r="K143">
            <v>-212.5</v>
          </cell>
          <cell r="L143">
            <v>0</v>
          </cell>
          <cell r="M143">
            <v>0</v>
          </cell>
          <cell r="N143">
            <v>0</v>
          </cell>
          <cell r="O143">
            <v>-1028</v>
          </cell>
          <cell r="P143">
            <v>0</v>
          </cell>
          <cell r="Q143">
            <v>-212.5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-1453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</row>
        <row r="144">
          <cell r="J144" t="str">
            <v>623200006 - MARCAS UNION EUROPEA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>
            <v>0</v>
          </cell>
          <cell r="Z144">
            <v>-1218.75</v>
          </cell>
          <cell r="AA144">
            <v>0</v>
          </cell>
          <cell r="AB144">
            <v>0</v>
          </cell>
          <cell r="AC144">
            <v>0</v>
          </cell>
          <cell r="AD144">
            <v>-30.35</v>
          </cell>
          <cell r="AE144">
            <v>0</v>
          </cell>
          <cell r="AF144">
            <v>-663</v>
          </cell>
          <cell r="AG144" t="str">
            <v xml:space="preserve">                                             -  </v>
          </cell>
          <cell r="AH144">
            <v>0</v>
          </cell>
          <cell r="AI144">
            <v>0</v>
          </cell>
          <cell r="AJ144">
            <v>0</v>
          </cell>
          <cell r="AK144">
            <v>-1912.1</v>
          </cell>
        </row>
        <row r="145">
          <cell r="J145" t="str">
            <v>623200008 - GASTOS MARCAS EGIPTO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-513</v>
          </cell>
          <cell r="AC145">
            <v>-53.14</v>
          </cell>
          <cell r="AD145">
            <v>0</v>
          </cell>
          <cell r="AE145">
            <v>0</v>
          </cell>
          <cell r="AF145">
            <v>0</v>
          </cell>
          <cell r="AG145" t="str">
            <v xml:space="preserve">                                             -  </v>
          </cell>
          <cell r="AH145">
            <v>0</v>
          </cell>
          <cell r="AI145">
            <v>0</v>
          </cell>
          <cell r="AJ145">
            <v>0</v>
          </cell>
          <cell r="AK145">
            <v>-566.14</v>
          </cell>
        </row>
        <row r="146">
          <cell r="J146" t="str">
            <v>623200009 - GASTOS MARCAS MARRUECOS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-513</v>
          </cell>
          <cell r="AC146">
            <v>0</v>
          </cell>
          <cell r="AD146">
            <v>-30.35</v>
          </cell>
          <cell r="AE146">
            <v>0</v>
          </cell>
          <cell r="AF146">
            <v>0</v>
          </cell>
          <cell r="AG146" t="str">
            <v xml:space="preserve">                                             -  </v>
          </cell>
          <cell r="AH146">
            <v>0</v>
          </cell>
          <cell r="AI146">
            <v>0</v>
          </cell>
          <cell r="AJ146">
            <v>0</v>
          </cell>
          <cell r="AK146">
            <v>-543.35</v>
          </cell>
        </row>
        <row r="147">
          <cell r="J147" t="str">
            <v>623200010 - GASTOS MARCAS TURQUIA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-513</v>
          </cell>
          <cell r="AC147">
            <v>0</v>
          </cell>
          <cell r="AD147">
            <v>-30.4</v>
          </cell>
          <cell r="AE147">
            <v>0</v>
          </cell>
          <cell r="AF147">
            <v>0</v>
          </cell>
          <cell r="AG147" t="str">
            <v xml:space="preserve">                                             -  </v>
          </cell>
          <cell r="AH147">
            <v>0</v>
          </cell>
          <cell r="AI147">
            <v>0</v>
          </cell>
          <cell r="AJ147">
            <v>0</v>
          </cell>
          <cell r="AK147">
            <v>-543.4</v>
          </cell>
        </row>
        <row r="148">
          <cell r="J148" t="str">
            <v>623200011 - GASTOS MARCAS COLOMBIA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-953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-953</v>
          </cell>
          <cell r="Y148">
            <v>0</v>
          </cell>
          <cell r="Z148">
            <v>0</v>
          </cell>
          <cell r="AA148">
            <v>-212.5</v>
          </cell>
          <cell r="AB148">
            <v>-513</v>
          </cell>
          <cell r="AC148">
            <v>-53.12</v>
          </cell>
          <cell r="AD148">
            <v>-30.35</v>
          </cell>
          <cell r="AE148">
            <v>0</v>
          </cell>
          <cell r="AF148">
            <v>0</v>
          </cell>
          <cell r="AG148" t="str">
            <v xml:space="preserve">                                             -  </v>
          </cell>
          <cell r="AH148">
            <v>0</v>
          </cell>
          <cell r="AI148">
            <v>0</v>
          </cell>
          <cell r="AJ148">
            <v>0</v>
          </cell>
          <cell r="AK148">
            <v>-808.97</v>
          </cell>
        </row>
        <row r="149">
          <cell r="J149" t="str">
            <v>623200016 - GASTOS MARCAS ECUADOR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-783</v>
          </cell>
          <cell r="S149">
            <v>-850</v>
          </cell>
          <cell r="T149">
            <v>0</v>
          </cell>
          <cell r="U149">
            <v>0</v>
          </cell>
          <cell r="V149">
            <v>0</v>
          </cell>
          <cell r="W149">
            <v>-1633</v>
          </cell>
          <cell r="Y149">
            <v>0</v>
          </cell>
          <cell r="Z149">
            <v>0</v>
          </cell>
          <cell r="AA149">
            <v>0</v>
          </cell>
          <cell r="AB149">
            <v>-1190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 t="str">
            <v xml:space="preserve">                                             -  </v>
          </cell>
          <cell r="AH149">
            <v>0</v>
          </cell>
          <cell r="AI149">
            <v>0</v>
          </cell>
          <cell r="AJ149">
            <v>0</v>
          </cell>
          <cell r="AK149">
            <v>-1190</v>
          </cell>
        </row>
        <row r="150">
          <cell r="J150" t="str">
            <v>623200017 GASTOS MARCAS EL SALVADOR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-4869.95</v>
          </cell>
          <cell r="AG150" t="str">
            <v xml:space="preserve">                                             -  </v>
          </cell>
          <cell r="AH150">
            <v>-4869.95</v>
          </cell>
          <cell r="AI150">
            <v>-4869.95</v>
          </cell>
          <cell r="AJ150">
            <v>-4869.95</v>
          </cell>
          <cell r="AK150">
            <v>-19479.8</v>
          </cell>
        </row>
        <row r="151">
          <cell r="J151" t="str">
            <v>623200020 - GASTOS MARCAS TUNEZ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-583</v>
          </cell>
          <cell r="V151">
            <v>0</v>
          </cell>
          <cell r="W151">
            <v>-583</v>
          </cell>
          <cell r="Y151">
            <v>0</v>
          </cell>
          <cell r="Z151">
            <v>0</v>
          </cell>
          <cell r="AA151">
            <v>0</v>
          </cell>
          <cell r="AB151">
            <v>-513</v>
          </cell>
          <cell r="AC151">
            <v>0</v>
          </cell>
          <cell r="AD151">
            <v>-30.35</v>
          </cell>
          <cell r="AE151">
            <v>0</v>
          </cell>
          <cell r="AF151">
            <v>0</v>
          </cell>
          <cell r="AG151" t="str">
            <v xml:space="preserve">                                             -  </v>
          </cell>
          <cell r="AH151">
            <v>0</v>
          </cell>
          <cell r="AI151">
            <v>0</v>
          </cell>
          <cell r="AJ151">
            <v>0</v>
          </cell>
          <cell r="AK151">
            <v>-543.35</v>
          </cell>
        </row>
        <row r="152">
          <cell r="J152" t="str">
            <v>623200021 - GASTOS MARCAS GUATEMALA</v>
          </cell>
          <cell r="K152">
            <v>-2443.7600000000002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-2443.7600000000002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</row>
        <row r="153">
          <cell r="J153" t="str">
            <v>623200022 - GASTOS MARCAS BOLIVIA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-513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 t="str">
            <v xml:space="preserve">                                             -  </v>
          </cell>
          <cell r="AH153">
            <v>0</v>
          </cell>
          <cell r="AI153">
            <v>0</v>
          </cell>
          <cell r="AJ153">
            <v>0</v>
          </cell>
          <cell r="AK153">
            <v>-513</v>
          </cell>
        </row>
        <row r="154">
          <cell r="J154" t="str">
            <v>623200023 - GASTOS MARCAS ARGELIA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-53.12</v>
          </cell>
          <cell r="AD154">
            <v>-30.35</v>
          </cell>
          <cell r="AE154">
            <v>0</v>
          </cell>
          <cell r="AF154">
            <v>0</v>
          </cell>
          <cell r="AG154" t="str">
            <v xml:space="preserve">                                             -  </v>
          </cell>
          <cell r="AH154">
            <v>0</v>
          </cell>
          <cell r="AI154">
            <v>0</v>
          </cell>
          <cell r="AJ154">
            <v>0</v>
          </cell>
          <cell r="AK154">
            <v>-83.47</v>
          </cell>
        </row>
        <row r="155">
          <cell r="J155" t="str">
            <v>623200024 - GASTOS MARCAS INTERNACIONALES</v>
          </cell>
          <cell r="K155">
            <v>0</v>
          </cell>
          <cell r="L155">
            <v>0</v>
          </cell>
          <cell r="M155">
            <v>-400</v>
          </cell>
          <cell r="N155">
            <v>-1578.91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-267.74999999999977</v>
          </cell>
          <cell r="U155">
            <v>0</v>
          </cell>
          <cell r="V155">
            <v>0</v>
          </cell>
          <cell r="W155">
            <v>-2246.66</v>
          </cell>
          <cell r="Y155">
            <v>0</v>
          </cell>
          <cell r="Z155">
            <v>0</v>
          </cell>
          <cell r="AA155">
            <v>0</v>
          </cell>
          <cell r="AB155">
            <v>-9951.56</v>
          </cell>
          <cell r="AC155">
            <v>0</v>
          </cell>
          <cell r="AD155">
            <v>0</v>
          </cell>
          <cell r="AE155">
            <v>0</v>
          </cell>
          <cell r="AF155">
            <v>-212.5</v>
          </cell>
          <cell r="AG155">
            <v>-2300.9899999999998</v>
          </cell>
          <cell r="AH155">
            <v>0</v>
          </cell>
          <cell r="AI155">
            <v>0</v>
          </cell>
          <cell r="AJ155">
            <v>0</v>
          </cell>
          <cell r="AK155">
            <v>-12465.05</v>
          </cell>
        </row>
        <row r="156">
          <cell r="J156" t="str">
            <v>623200028 - GASTOS MARCAS COSTA RICA</v>
          </cell>
          <cell r="K156">
            <v>0</v>
          </cell>
          <cell r="L156">
            <v>0</v>
          </cell>
          <cell r="M156">
            <v>0</v>
          </cell>
          <cell r="N156">
            <v>-584.14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-584.14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</row>
        <row r="157">
          <cell r="J157" t="str">
            <v>623200029 - GASTOS MARCAS GEORGIA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-513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 t="str">
            <v xml:space="preserve">                                             -  </v>
          </cell>
          <cell r="AH157">
            <v>0</v>
          </cell>
          <cell r="AI157">
            <v>0</v>
          </cell>
          <cell r="AJ157">
            <v>0</v>
          </cell>
          <cell r="AK157">
            <v>-513</v>
          </cell>
        </row>
        <row r="158">
          <cell r="J158" t="str">
            <v>623200030 - GASTOS MARCAS AZERBAIYAN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-1702.71</v>
          </cell>
          <cell r="T158">
            <v>0</v>
          </cell>
          <cell r="U158">
            <v>0</v>
          </cell>
          <cell r="V158">
            <v>1702.71</v>
          </cell>
          <cell r="W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-513</v>
          </cell>
          <cell r="AC158">
            <v>-53.12</v>
          </cell>
          <cell r="AD158">
            <v>-30.35</v>
          </cell>
          <cell r="AE158">
            <v>0</v>
          </cell>
          <cell r="AF158">
            <v>0</v>
          </cell>
          <cell r="AG158" t="str">
            <v xml:space="preserve">                                             -  </v>
          </cell>
          <cell r="AH158">
            <v>0</v>
          </cell>
          <cell r="AI158">
            <v>0</v>
          </cell>
          <cell r="AJ158">
            <v>0</v>
          </cell>
          <cell r="AK158">
            <v>-596.47</v>
          </cell>
        </row>
        <row r="159">
          <cell r="J159" t="str">
            <v>623200031 - GASTOS MARCAS PANAMA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</row>
        <row r="160">
          <cell r="J160" t="str">
            <v>623200033 - GASTOS MARCAS MUNDIAL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-2173.75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-2173.75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-2450</v>
          </cell>
          <cell r="AE160">
            <v>0</v>
          </cell>
          <cell r="AF160">
            <v>0</v>
          </cell>
          <cell r="AG160" t="str">
            <v xml:space="preserve">                                             -  </v>
          </cell>
          <cell r="AH160">
            <v>0</v>
          </cell>
          <cell r="AI160">
            <v>0</v>
          </cell>
          <cell r="AJ160">
            <v>0</v>
          </cell>
          <cell r="AK160">
            <v>-2450</v>
          </cell>
        </row>
        <row r="161">
          <cell r="J161" t="str">
            <v>623200036 - GASTOS MARCAS YEMEN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</row>
        <row r="162">
          <cell r="J162" t="str">
            <v>623200037 - GASTOS MARCAS ESTADOS UNIDOS</v>
          </cell>
          <cell r="K162">
            <v>0</v>
          </cell>
          <cell r="L162">
            <v>-3560</v>
          </cell>
          <cell r="M162">
            <v>0</v>
          </cell>
          <cell r="N162">
            <v>0</v>
          </cell>
          <cell r="O162">
            <v>-1541.08</v>
          </cell>
          <cell r="P162">
            <v>0</v>
          </cell>
          <cell r="Q162">
            <v>-485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-5586.08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</row>
        <row r="163">
          <cell r="J163" t="str">
            <v>624000001 - TRANSPORTES NACIONAL</v>
          </cell>
          <cell r="K163">
            <v>-9331.02</v>
          </cell>
          <cell r="L163">
            <v>-8802.2800000000007</v>
          </cell>
          <cell r="M163">
            <v>-10394.07</v>
          </cell>
          <cell r="N163">
            <v>-18981.12</v>
          </cell>
          <cell r="O163">
            <v>-17040.45</v>
          </cell>
          <cell r="P163">
            <v>-13147.92</v>
          </cell>
          <cell r="Q163">
            <v>-15418.8</v>
          </cell>
          <cell r="R163">
            <v>-9374.27</v>
          </cell>
          <cell r="S163">
            <v>-10670.24</v>
          </cell>
          <cell r="T163">
            <v>-10465.880000000001</v>
          </cell>
          <cell r="U163">
            <v>-8158.8199999999924</v>
          </cell>
          <cell r="V163">
            <v>-7484.34</v>
          </cell>
          <cell r="W163">
            <v>-139269.21</v>
          </cell>
          <cell r="Y163">
            <v>-6935.76</v>
          </cell>
          <cell r="Z163">
            <v>-9119.9699999999993</v>
          </cell>
          <cell r="AA163">
            <v>-14742.05</v>
          </cell>
          <cell r="AB163">
            <v>-19866.740000000002</v>
          </cell>
          <cell r="AC163">
            <v>-17966.84</v>
          </cell>
          <cell r="AD163">
            <v>-14634.83</v>
          </cell>
          <cell r="AE163">
            <v>-11227.02</v>
          </cell>
          <cell r="AF163">
            <v>-7363.19</v>
          </cell>
          <cell r="AG163">
            <v>-8129.04</v>
          </cell>
          <cell r="AH163">
            <v>-10499.03</v>
          </cell>
          <cell r="AI163">
            <v>-10212.34</v>
          </cell>
          <cell r="AJ163">
            <v>-4053.93</v>
          </cell>
          <cell r="AK163">
            <v>-134750.74</v>
          </cell>
        </row>
        <row r="164">
          <cell r="J164" t="str">
            <v>624000002 - TRANSPORTE INTERNACIONAL</v>
          </cell>
          <cell r="K164">
            <v>-1045.95</v>
          </cell>
          <cell r="L164">
            <v>-3243.1</v>
          </cell>
          <cell r="M164">
            <v>-6265.87</v>
          </cell>
          <cell r="N164">
            <v>-10063.06</v>
          </cell>
          <cell r="O164">
            <v>-5235.84</v>
          </cell>
          <cell r="P164">
            <v>-2804.26</v>
          </cell>
          <cell r="Q164">
            <v>-1379.51</v>
          </cell>
          <cell r="R164">
            <v>-3139.46</v>
          </cell>
          <cell r="S164">
            <v>-6874.54</v>
          </cell>
          <cell r="T164">
            <v>-7269.5199999999959</v>
          </cell>
          <cell r="U164">
            <v>-2577.8499999999985</v>
          </cell>
          <cell r="V164">
            <v>-1951.38</v>
          </cell>
          <cell r="W164">
            <v>-51850.34</v>
          </cell>
          <cell r="Y164">
            <v>-2898.1</v>
          </cell>
          <cell r="Z164">
            <v>-864.32</v>
          </cell>
          <cell r="AA164">
            <v>-4611.7700000000004</v>
          </cell>
          <cell r="AB164">
            <v>-1313.78</v>
          </cell>
          <cell r="AC164">
            <v>-951.38</v>
          </cell>
          <cell r="AD164">
            <v>-23539.9</v>
          </cell>
          <cell r="AE164">
            <v>-30143.15</v>
          </cell>
          <cell r="AF164">
            <v>-8087.44</v>
          </cell>
          <cell r="AG164">
            <v>-8078.83</v>
          </cell>
          <cell r="AH164">
            <v>-21379</v>
          </cell>
          <cell r="AI164">
            <v>-32454</v>
          </cell>
          <cell r="AJ164">
            <v>-27150</v>
          </cell>
          <cell r="AK164">
            <v>-161471.66999999998</v>
          </cell>
        </row>
        <row r="165">
          <cell r="J165" t="str">
            <v>624000003 - TRANSPORTES CANARIAS</v>
          </cell>
          <cell r="K165">
            <v>-10388.1</v>
          </cell>
          <cell r="L165">
            <v>-2757.55</v>
          </cell>
          <cell r="M165">
            <v>-3373.68</v>
          </cell>
          <cell r="N165">
            <v>-6438.08</v>
          </cell>
          <cell r="O165">
            <v>-5526.35</v>
          </cell>
          <cell r="P165">
            <v>-4095.15</v>
          </cell>
          <cell r="Q165">
            <v>-6630.48</v>
          </cell>
          <cell r="R165">
            <v>-1561.9</v>
          </cell>
          <cell r="S165">
            <v>-3197.38</v>
          </cell>
          <cell r="T165">
            <v>-5909.0899999999983</v>
          </cell>
          <cell r="U165">
            <v>-6261</v>
          </cell>
          <cell r="V165">
            <v>-4553.2299999999996</v>
          </cell>
          <cell r="W165">
            <v>-60691.989999999991</v>
          </cell>
          <cell r="Y165">
            <v>-5283.6</v>
          </cell>
          <cell r="Z165">
            <v>-4717.34</v>
          </cell>
          <cell r="AA165">
            <v>-6216.75</v>
          </cell>
          <cell r="AB165">
            <v>-3107.88</v>
          </cell>
          <cell r="AC165">
            <v>-6790.44</v>
          </cell>
          <cell r="AD165">
            <v>-6162.89</v>
          </cell>
          <cell r="AE165">
            <v>-1597.42</v>
          </cell>
          <cell r="AF165">
            <v>-11901.38</v>
          </cell>
          <cell r="AG165">
            <v>-10256.540000000001</v>
          </cell>
          <cell r="AH165">
            <v>-7990.59</v>
          </cell>
          <cell r="AI165">
            <v>-11300.38</v>
          </cell>
          <cell r="AJ165">
            <v>-534.14</v>
          </cell>
          <cell r="AK165">
            <v>-75859.350000000006</v>
          </cell>
        </row>
        <row r="166">
          <cell r="J166" t="str">
            <v>624000004 - GTOS. FLETE REP. AL CLIENTE</v>
          </cell>
          <cell r="K166">
            <v>-4766.3500000000004</v>
          </cell>
          <cell r="L166">
            <v>-9625.67</v>
          </cell>
          <cell r="M166">
            <v>-10474.56</v>
          </cell>
          <cell r="N166">
            <v>-8475.0400000000009</v>
          </cell>
          <cell r="O166">
            <v>-14513.05</v>
          </cell>
          <cell r="P166">
            <v>-15626.8</v>
          </cell>
          <cell r="Q166">
            <v>-9320</v>
          </cell>
          <cell r="R166">
            <v>-5696.63</v>
          </cell>
          <cell r="S166">
            <v>-10259.219999999999</v>
          </cell>
          <cell r="T166">
            <v>-10479.799999999985</v>
          </cell>
          <cell r="U166">
            <v>-8801.5599999999977</v>
          </cell>
          <cell r="V166">
            <v>-10326.1</v>
          </cell>
          <cell r="W166">
            <v>-118364.78</v>
          </cell>
          <cell r="Y166">
            <v>-18803.73</v>
          </cell>
          <cell r="Z166">
            <v>-3406.44</v>
          </cell>
          <cell r="AA166">
            <v>-15879.46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 t="str">
            <v xml:space="preserve">                                             -  </v>
          </cell>
          <cell r="AH166">
            <v>-4960.8900000000003</v>
          </cell>
          <cell r="AI166">
            <v>-6449.16</v>
          </cell>
          <cell r="AJ166">
            <v>-6945.24</v>
          </cell>
          <cell r="AK166">
            <v>-56444.919999999991</v>
          </cell>
        </row>
        <row r="167">
          <cell r="J167" t="str">
            <v xml:space="preserve">624000005 - TTE. PAQUETERIA </v>
          </cell>
          <cell r="K167">
            <v>-193.06</v>
          </cell>
          <cell r="L167">
            <v>-250.35</v>
          </cell>
          <cell r="M167">
            <v>-841.95</v>
          </cell>
          <cell r="N167">
            <v>-802.8</v>
          </cell>
          <cell r="O167">
            <v>-649.84</v>
          </cell>
          <cell r="P167">
            <v>-556.66999999999996</v>
          </cell>
          <cell r="Q167">
            <v>-641.66999999999996</v>
          </cell>
          <cell r="R167">
            <v>-428.33</v>
          </cell>
          <cell r="S167">
            <v>-461.49</v>
          </cell>
          <cell r="T167">
            <v>-302.94999999999965</v>
          </cell>
          <cell r="U167">
            <v>-198.48000000000047</v>
          </cell>
          <cell r="V167">
            <v>-303.04000000000002</v>
          </cell>
          <cell r="W167">
            <v>-5630.63</v>
          </cell>
          <cell r="Y167">
            <v>-202.03</v>
          </cell>
          <cell r="Z167">
            <v>-389.24</v>
          </cell>
          <cell r="AA167">
            <v>-280.8</v>
          </cell>
          <cell r="AB167">
            <v>0</v>
          </cell>
          <cell r="AC167">
            <v>0</v>
          </cell>
          <cell r="AD167">
            <v>-1935.01</v>
          </cell>
          <cell r="AE167">
            <v>-592.1</v>
          </cell>
          <cell r="AF167">
            <v>-149.55000000000001</v>
          </cell>
          <cell r="AG167">
            <v>-638.41999999999996</v>
          </cell>
          <cell r="AH167">
            <v>-591.46</v>
          </cell>
          <cell r="AI167">
            <v>-591.46</v>
          </cell>
          <cell r="AJ167">
            <v>-591.46</v>
          </cell>
          <cell r="AK167">
            <v>-5961.53</v>
          </cell>
        </row>
        <row r="168">
          <cell r="J168" t="str">
            <v>624000006 - TRANSPORTES IMPORTACIÓN</v>
          </cell>
          <cell r="K168">
            <v>-800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-1540</v>
          </cell>
          <cell r="V168">
            <v>0</v>
          </cell>
          <cell r="W168">
            <v>-2340</v>
          </cell>
          <cell r="Y168">
            <v>0</v>
          </cell>
          <cell r="Z168">
            <v>-1750</v>
          </cell>
          <cell r="AA168">
            <v>-487.13</v>
          </cell>
          <cell r="AB168">
            <v>-1930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-225</v>
          </cell>
          <cell r="AH168">
            <v>-1389.04</v>
          </cell>
          <cell r="AI168">
            <v>-1389.04</v>
          </cell>
          <cell r="AJ168">
            <v>-1389.04</v>
          </cell>
          <cell r="AK168">
            <v>-8559.25</v>
          </cell>
        </row>
        <row r="169">
          <cell r="J169" t="str">
            <v>624000007 - ENVIO MUESTRAS</v>
          </cell>
          <cell r="K169">
            <v>-328.3</v>
          </cell>
          <cell r="L169">
            <v>-1088.8399999999999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-1417.1399999999999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</row>
        <row r="170">
          <cell r="J170" t="str">
            <v>625000000 - Primas de seguros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2339.56</v>
          </cell>
          <cell r="U170">
            <v>-501.03</v>
          </cell>
          <cell r="V170">
            <v>-1838.53</v>
          </cell>
          <cell r="W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</row>
        <row r="171">
          <cell r="J171" t="str">
            <v>625000001 - SEGUROS VEHÍCULOS</v>
          </cell>
          <cell r="K171">
            <v>0</v>
          </cell>
          <cell r="L171">
            <v>0</v>
          </cell>
          <cell r="M171">
            <v>-180.07</v>
          </cell>
          <cell r="N171">
            <v>-180.07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-445.27</v>
          </cell>
          <cell r="V171">
            <v>0</v>
          </cell>
          <cell r="W171">
            <v>-805.41</v>
          </cell>
          <cell r="Y171">
            <v>0</v>
          </cell>
          <cell r="Z171">
            <v>0</v>
          </cell>
          <cell r="AA171">
            <v>-188.17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 t="str">
            <v xml:space="preserve">                                             -  </v>
          </cell>
          <cell r="AH171">
            <v>-188.17</v>
          </cell>
          <cell r="AI171">
            <v>-188.17</v>
          </cell>
          <cell r="AJ171">
            <v>-188.17</v>
          </cell>
          <cell r="AK171">
            <v>-752.68</v>
          </cell>
        </row>
        <row r="172">
          <cell r="J172" t="str">
            <v>625000003 SEGURO ACCIDENTES TRABAJADORES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-194.64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-194.64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-194.64</v>
          </cell>
          <cell r="AF172">
            <v>0</v>
          </cell>
          <cell r="AG172" t="str">
            <v xml:space="preserve">                                             -  </v>
          </cell>
          <cell r="AH172">
            <v>-194.64</v>
          </cell>
          <cell r="AI172">
            <v>-194.64</v>
          </cell>
          <cell r="AJ172">
            <v>-194.64</v>
          </cell>
          <cell r="AK172">
            <v>-778.56</v>
          </cell>
        </row>
        <row r="173">
          <cell r="J173" t="str">
            <v>625000004 - SEGURO RESP. CIVIL</v>
          </cell>
          <cell r="K173">
            <v>-5347.32</v>
          </cell>
          <cell r="L173">
            <v>0</v>
          </cell>
          <cell r="M173">
            <v>0</v>
          </cell>
          <cell r="N173">
            <v>-2556.91</v>
          </cell>
          <cell r="O173">
            <v>-664.95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-8569.18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-5788.51</v>
          </cell>
          <cell r="AD173">
            <v>-774.67</v>
          </cell>
          <cell r="AE173">
            <v>0</v>
          </cell>
          <cell r="AF173">
            <v>0</v>
          </cell>
          <cell r="AG173" t="str">
            <v xml:space="preserve">                                             -  </v>
          </cell>
          <cell r="AH173">
            <v>-3281.59</v>
          </cell>
          <cell r="AI173">
            <v>-3281.59</v>
          </cell>
          <cell r="AJ173">
            <v>-3281.59</v>
          </cell>
          <cell r="AK173">
            <v>-16407.95</v>
          </cell>
        </row>
        <row r="174">
          <cell r="J174" t="str">
            <v>625000005 - SEGUROS ACTIVIDAD</v>
          </cell>
          <cell r="K174">
            <v>-8025.04</v>
          </cell>
          <cell r="L174">
            <v>0</v>
          </cell>
          <cell r="M174">
            <v>-2798.15</v>
          </cell>
          <cell r="N174">
            <v>-704.12</v>
          </cell>
          <cell r="O174">
            <v>0</v>
          </cell>
          <cell r="P174">
            <v>-3109.99</v>
          </cell>
          <cell r="Q174">
            <v>0</v>
          </cell>
          <cell r="R174">
            <v>0</v>
          </cell>
          <cell r="S174">
            <v>-2798.15</v>
          </cell>
          <cell r="T174">
            <v>-3451.5099999999975</v>
          </cell>
          <cell r="U174">
            <v>311.84000000000015</v>
          </cell>
          <cell r="V174">
            <v>-2798.15</v>
          </cell>
          <cell r="W174">
            <v>-23373.27</v>
          </cell>
          <cell r="Y174">
            <v>-8631.83</v>
          </cell>
          <cell r="Z174">
            <v>0</v>
          </cell>
          <cell r="AA174">
            <v>-2798.15</v>
          </cell>
          <cell r="AB174">
            <v>-608.9</v>
          </cell>
          <cell r="AC174">
            <v>0</v>
          </cell>
          <cell r="AD174">
            <v>-2798.15</v>
          </cell>
          <cell r="AE174">
            <v>-41.37</v>
          </cell>
          <cell r="AF174">
            <v>0</v>
          </cell>
          <cell r="AG174">
            <v>-2798.15</v>
          </cell>
          <cell r="AH174">
            <v>-2975.68</v>
          </cell>
          <cell r="AI174">
            <v>-2975.68</v>
          </cell>
          <cell r="AJ174">
            <v>-2975.68</v>
          </cell>
          <cell r="AK174">
            <v>-26603.59</v>
          </cell>
        </row>
        <row r="175">
          <cell r="J175" t="str">
            <v>626000000 - Servicios bancarios y similares</v>
          </cell>
          <cell r="K175">
            <v>-280.48</v>
          </cell>
          <cell r="L175">
            <v>-122.5</v>
          </cell>
          <cell r="M175">
            <v>-50</v>
          </cell>
          <cell r="N175">
            <v>-252</v>
          </cell>
          <cell r="O175">
            <v>-200</v>
          </cell>
          <cell r="P175">
            <v>-199.89</v>
          </cell>
          <cell r="Q175">
            <v>-328</v>
          </cell>
          <cell r="R175">
            <v>-213.26</v>
          </cell>
          <cell r="S175">
            <v>-186.44</v>
          </cell>
          <cell r="T175">
            <v>-309.16999999999962</v>
          </cell>
          <cell r="U175">
            <v>-204.5</v>
          </cell>
          <cell r="V175">
            <v>-333</v>
          </cell>
          <cell r="W175">
            <v>-2679.24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</row>
        <row r="176">
          <cell r="J176" t="str">
            <v>626000002 - GASTOS Y COMISIONES BANCO SABADELL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-731.5</v>
          </cell>
          <cell r="W176">
            <v>-731.5</v>
          </cell>
          <cell r="Y176">
            <v>-111.93</v>
          </cell>
          <cell r="Z176">
            <v>-38.96</v>
          </cell>
          <cell r="AA176">
            <v>-1.21</v>
          </cell>
          <cell r="AB176">
            <v>-1.21</v>
          </cell>
          <cell r="AC176">
            <v>-8.4700000000000006</v>
          </cell>
          <cell r="AD176">
            <v>-102.05</v>
          </cell>
          <cell r="AE176">
            <v>-121.06</v>
          </cell>
          <cell r="AF176">
            <v>-7.26</v>
          </cell>
          <cell r="AG176">
            <v>-62.42</v>
          </cell>
          <cell r="AH176">
            <v>-49.02</v>
          </cell>
          <cell r="AI176">
            <v>-49.02</v>
          </cell>
          <cell r="AJ176">
            <v>-49.02</v>
          </cell>
          <cell r="AK176">
            <v>-601.63</v>
          </cell>
        </row>
        <row r="177">
          <cell r="J177" t="str">
            <v>626000005 - GASTOS Y COMISIONES CAIXALMASSORA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-783.72</v>
          </cell>
          <cell r="W177">
            <v>-783.72</v>
          </cell>
          <cell r="Y177">
            <v>-138.5</v>
          </cell>
          <cell r="Z177">
            <v>-149.62</v>
          </cell>
          <cell r="AA177">
            <v>-353.89</v>
          </cell>
          <cell r="AB177">
            <v>-230.86</v>
          </cell>
          <cell r="AC177">
            <v>-43.09</v>
          </cell>
          <cell r="AD177">
            <v>-200.29</v>
          </cell>
          <cell r="AE177">
            <v>-109.75</v>
          </cell>
          <cell r="AF177">
            <v>-143.33000000000001</v>
          </cell>
          <cell r="AG177">
            <v>-66.11</v>
          </cell>
          <cell r="AH177">
            <v>-171.17</v>
          </cell>
          <cell r="AI177">
            <v>-171.17</v>
          </cell>
          <cell r="AJ177">
            <v>-171.17</v>
          </cell>
          <cell r="AK177">
            <v>-1948.95</v>
          </cell>
        </row>
        <row r="178">
          <cell r="J178" t="str">
            <v>626000007 - GASTOS Y COMISIONES BBVA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-2556.2800000000002</v>
          </cell>
          <cell r="W178">
            <v>-2556.2800000000002</v>
          </cell>
          <cell r="Y178">
            <v>-342.23</v>
          </cell>
          <cell r="Z178">
            <v>-704.39</v>
          </cell>
          <cell r="AA178">
            <v>-687.65</v>
          </cell>
          <cell r="AB178">
            <v>-381.46</v>
          </cell>
          <cell r="AC178">
            <v>-1201.98</v>
          </cell>
          <cell r="AD178">
            <v>-1201.74</v>
          </cell>
          <cell r="AE178">
            <v>-1353.52</v>
          </cell>
          <cell r="AF178">
            <v>-615.71</v>
          </cell>
          <cell r="AG178">
            <v>-2564.7199999999998</v>
          </cell>
          <cell r="AH178">
            <v>-811.09</v>
          </cell>
          <cell r="AI178">
            <v>-811.09</v>
          </cell>
          <cell r="AJ178">
            <v>-811.09</v>
          </cell>
          <cell r="AK178">
            <v>-11486.67</v>
          </cell>
        </row>
        <row r="179">
          <cell r="J179" t="str">
            <v>627000001 - GTOS. PUBLICIDAD EN INTERNET</v>
          </cell>
          <cell r="K179">
            <v>0</v>
          </cell>
          <cell r="L179">
            <v>0</v>
          </cell>
          <cell r="M179">
            <v>-96.8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-15</v>
          </cell>
          <cell r="T179">
            <v>0</v>
          </cell>
          <cell r="U179">
            <v>0</v>
          </cell>
          <cell r="V179">
            <v>-18.149999999999999</v>
          </cell>
          <cell r="W179">
            <v>-129.94999999999999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-875.65</v>
          </cell>
          <cell r="AH179">
            <v>0</v>
          </cell>
          <cell r="AI179">
            <v>0</v>
          </cell>
          <cell r="AJ179">
            <v>0</v>
          </cell>
          <cell r="AK179">
            <v>-875.65</v>
          </cell>
        </row>
        <row r="180">
          <cell r="J180" t="str">
            <v>627000003 - PATROCINIOS VARIOS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-1239.67</v>
          </cell>
          <cell r="Q180">
            <v>0</v>
          </cell>
          <cell r="R180">
            <v>0</v>
          </cell>
          <cell r="S180">
            <v>0</v>
          </cell>
          <cell r="T180">
            <v>-100</v>
          </cell>
          <cell r="U180">
            <v>0</v>
          </cell>
          <cell r="V180">
            <v>0</v>
          </cell>
          <cell r="W180">
            <v>-1339.67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-1700</v>
          </cell>
          <cell r="AH180">
            <v>0</v>
          </cell>
          <cell r="AI180">
            <v>0</v>
          </cell>
          <cell r="AJ180">
            <v>0</v>
          </cell>
          <cell r="AK180">
            <v>-1700</v>
          </cell>
        </row>
        <row r="181">
          <cell r="J181" t="str">
            <v>627000004 - RELACIONES PUBLICAS</v>
          </cell>
          <cell r="K181">
            <v>-341.04</v>
          </cell>
          <cell r="L181">
            <v>-2.5499999999999998</v>
          </cell>
          <cell r="M181">
            <v>0</v>
          </cell>
          <cell r="N181">
            <v>0</v>
          </cell>
          <cell r="O181">
            <v>0</v>
          </cell>
          <cell r="P181">
            <v>-164.1</v>
          </cell>
          <cell r="Q181">
            <v>-1600</v>
          </cell>
          <cell r="R181">
            <v>0</v>
          </cell>
          <cell r="S181">
            <v>0</v>
          </cell>
          <cell r="T181">
            <v>0</v>
          </cell>
          <cell r="U181">
            <v>-344.15000000000009</v>
          </cell>
          <cell r="V181">
            <v>-4946.57</v>
          </cell>
          <cell r="W181">
            <v>-7398.41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-214.6</v>
          </cell>
          <cell r="AG181">
            <v>-347.59</v>
          </cell>
          <cell r="AH181">
            <v>-321.89999999999998</v>
          </cell>
          <cell r="AI181">
            <v>-214.6</v>
          </cell>
          <cell r="AJ181">
            <v>-214.6</v>
          </cell>
          <cell r="AK181">
            <v>-1313.2899999999997</v>
          </cell>
        </row>
        <row r="182">
          <cell r="J182" t="str">
            <v>627000005 - INVITACIONES CLIENTES</v>
          </cell>
          <cell r="K182">
            <v>-1441.98</v>
          </cell>
          <cell r="L182">
            <v>-1363.59</v>
          </cell>
          <cell r="M182">
            <v>0</v>
          </cell>
          <cell r="N182">
            <v>-2393.8000000000002</v>
          </cell>
          <cell r="O182">
            <v>0</v>
          </cell>
          <cell r="P182">
            <v>-320</v>
          </cell>
          <cell r="Q182">
            <v>-1016.73</v>
          </cell>
          <cell r="R182">
            <v>-40493.75</v>
          </cell>
          <cell r="S182">
            <v>0</v>
          </cell>
          <cell r="T182">
            <v>0</v>
          </cell>
          <cell r="U182">
            <v>-3924.7799999999988</v>
          </cell>
          <cell r="V182">
            <v>0</v>
          </cell>
          <cell r="W182">
            <v>-50954.63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-407</v>
          </cell>
          <cell r="AF182">
            <v>0</v>
          </cell>
          <cell r="AG182">
            <v>-1261.92</v>
          </cell>
          <cell r="AH182">
            <v>-610.5</v>
          </cell>
          <cell r="AI182">
            <v>-407</v>
          </cell>
          <cell r="AJ182">
            <v>-407</v>
          </cell>
          <cell r="AK182">
            <v>-3093.42</v>
          </cell>
        </row>
        <row r="183">
          <cell r="J183" t="str">
            <v>627000006 - PUBLICIDAD CATALOGOS Y FOLLETOS</v>
          </cell>
          <cell r="K183">
            <v>0</v>
          </cell>
          <cell r="L183">
            <v>-92.44</v>
          </cell>
          <cell r="M183">
            <v>0</v>
          </cell>
          <cell r="N183">
            <v>-794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-5.6843418860808015E-14</v>
          </cell>
          <cell r="U183">
            <v>0</v>
          </cell>
          <cell r="V183">
            <v>0</v>
          </cell>
          <cell r="W183">
            <v>-886.44</v>
          </cell>
          <cell r="Y183">
            <v>-27.52</v>
          </cell>
          <cell r="Z183">
            <v>0</v>
          </cell>
          <cell r="AA183">
            <v>0</v>
          </cell>
          <cell r="AB183">
            <v>0</v>
          </cell>
          <cell r="AC183">
            <v>-170.36</v>
          </cell>
          <cell r="AD183">
            <v>0</v>
          </cell>
          <cell r="AE183">
            <v>0</v>
          </cell>
          <cell r="AF183">
            <v>0</v>
          </cell>
          <cell r="AG183" t="str">
            <v xml:space="preserve">                                             -  </v>
          </cell>
          <cell r="AH183">
            <v>-148.41</v>
          </cell>
          <cell r="AI183">
            <v>-98.94</v>
          </cell>
          <cell r="AJ183">
            <v>-98.94</v>
          </cell>
          <cell r="AK183">
            <v>-544.17000000000007</v>
          </cell>
        </row>
        <row r="184">
          <cell r="J184" t="str">
            <v>627000007 - FERIAS</v>
          </cell>
          <cell r="K184">
            <v>0</v>
          </cell>
          <cell r="L184">
            <v>0</v>
          </cell>
          <cell r="M184">
            <v>-750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-750</v>
          </cell>
          <cell r="Y184">
            <v>0</v>
          </cell>
          <cell r="Z184">
            <v>0</v>
          </cell>
          <cell r="AA184">
            <v>0</v>
          </cell>
          <cell r="AB184">
            <v>-308.45999999999998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-559.72</v>
          </cell>
          <cell r="AH184">
            <v>-462.69</v>
          </cell>
          <cell r="AI184">
            <v>-308.45999999999998</v>
          </cell>
          <cell r="AJ184">
            <v>-308.45999999999998</v>
          </cell>
          <cell r="AK184">
            <v>-1947.7900000000002</v>
          </cell>
        </row>
        <row r="185">
          <cell r="J185" t="str">
            <v>627000008 - MARKETING</v>
          </cell>
          <cell r="K185">
            <v>0</v>
          </cell>
          <cell r="L185">
            <v>0</v>
          </cell>
          <cell r="M185">
            <v>-8479.84</v>
          </cell>
          <cell r="N185">
            <v>-600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-5091.6499999999996</v>
          </cell>
          <cell r="T185">
            <v>-1920</v>
          </cell>
          <cell r="U185">
            <v>-4680.0000000000018</v>
          </cell>
          <cell r="V185">
            <v>8927.61</v>
          </cell>
          <cell r="W185">
            <v>-11843.880000000001</v>
          </cell>
          <cell r="Y185">
            <v>0</v>
          </cell>
          <cell r="Z185">
            <v>0</v>
          </cell>
          <cell r="AA185">
            <v>-1568.58</v>
          </cell>
          <cell r="AB185">
            <v>-4485</v>
          </cell>
          <cell r="AC185">
            <v>-55</v>
          </cell>
          <cell r="AD185">
            <v>-3000</v>
          </cell>
          <cell r="AE185">
            <v>0</v>
          </cell>
          <cell r="AF185">
            <v>0</v>
          </cell>
          <cell r="AG185">
            <v>-2679.5</v>
          </cell>
          <cell r="AH185">
            <v>0</v>
          </cell>
          <cell r="AI185">
            <v>0</v>
          </cell>
          <cell r="AJ185">
            <v>0</v>
          </cell>
          <cell r="AK185">
            <v>-11788.08</v>
          </cell>
        </row>
        <row r="186">
          <cell r="J186" t="str">
            <v>627000009 - ARTICULOS PUBLICIDAD</v>
          </cell>
          <cell r="K186">
            <v>0</v>
          </cell>
          <cell r="L186">
            <v>0</v>
          </cell>
          <cell r="M186">
            <v>-872.5</v>
          </cell>
          <cell r="N186">
            <v>0</v>
          </cell>
          <cell r="O186">
            <v>0</v>
          </cell>
          <cell r="P186">
            <v>0</v>
          </cell>
          <cell r="Q186">
            <v>-389.5</v>
          </cell>
          <cell r="R186">
            <v>0</v>
          </cell>
          <cell r="S186">
            <v>0</v>
          </cell>
          <cell r="T186">
            <v>0</v>
          </cell>
          <cell r="U186">
            <v>-7049.7999999999993</v>
          </cell>
          <cell r="V186">
            <v>-809.6</v>
          </cell>
          <cell r="W186">
            <v>-9121.4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-3208.9</v>
          </cell>
          <cell r="AD186">
            <v>-438</v>
          </cell>
          <cell r="AE186">
            <v>-9082.9</v>
          </cell>
          <cell r="AF186">
            <v>-3164.3</v>
          </cell>
          <cell r="AG186" t="str">
            <v xml:space="preserve">                                             -  </v>
          </cell>
          <cell r="AH186">
            <v>-4500</v>
          </cell>
          <cell r="AI186">
            <v>-2000</v>
          </cell>
          <cell r="AJ186">
            <v>-2000</v>
          </cell>
          <cell r="AK186">
            <v>-24394.1</v>
          </cell>
        </row>
        <row r="187">
          <cell r="J187" t="str">
            <v>627000010 - RELACIONES PUBLICAS TEC. CLIENTES</v>
          </cell>
          <cell r="K187">
            <v>-9175.4599999999991</v>
          </cell>
          <cell r="L187">
            <v>0</v>
          </cell>
          <cell r="M187">
            <v>0</v>
          </cell>
          <cell r="N187">
            <v>-11863.56</v>
          </cell>
          <cell r="O187">
            <v>0</v>
          </cell>
          <cell r="P187">
            <v>0</v>
          </cell>
          <cell r="Q187">
            <v>0</v>
          </cell>
          <cell r="R187">
            <v>-1500</v>
          </cell>
          <cell r="S187">
            <v>0</v>
          </cell>
          <cell r="T187">
            <v>0</v>
          </cell>
          <cell r="U187">
            <v>0</v>
          </cell>
          <cell r="V187">
            <v>-15631.24</v>
          </cell>
          <cell r="W187">
            <v>-38170.259999999995</v>
          </cell>
          <cell r="Y187">
            <v>0</v>
          </cell>
          <cell r="Z187">
            <v>0</v>
          </cell>
          <cell r="AA187">
            <v>-826.76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 t="str">
            <v xml:space="preserve">                                             -  </v>
          </cell>
          <cell r="AH187">
            <v>-1240.1400000000001</v>
          </cell>
          <cell r="AI187">
            <v>-826.76</v>
          </cell>
          <cell r="AJ187">
            <v>-826.76</v>
          </cell>
          <cell r="AK187">
            <v>-3720.42</v>
          </cell>
        </row>
        <row r="188">
          <cell r="J188" t="str">
            <v>628000001 - SUMINISTROS INFORMATICOS</v>
          </cell>
          <cell r="K188">
            <v>-63.47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-489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-552.47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-489</v>
          </cell>
          <cell r="AE188">
            <v>0</v>
          </cell>
          <cell r="AF188">
            <v>0</v>
          </cell>
          <cell r="AG188" t="str">
            <v xml:space="preserve">                                             -  </v>
          </cell>
          <cell r="AH188">
            <v>-489</v>
          </cell>
          <cell r="AI188">
            <v>-489</v>
          </cell>
          <cell r="AJ188">
            <v>-489</v>
          </cell>
          <cell r="AK188">
            <v>-1956</v>
          </cell>
        </row>
        <row r="189">
          <cell r="J189" t="str">
            <v>628000002 - SUMINISTROS ELECTRICIDAD</v>
          </cell>
          <cell r="K189">
            <v>-4079.92</v>
          </cell>
          <cell r="L189">
            <v>-2983.69</v>
          </cell>
          <cell r="M189">
            <v>-5609.18</v>
          </cell>
          <cell r="N189">
            <v>-3397.38</v>
          </cell>
          <cell r="O189">
            <v>-2416.46</v>
          </cell>
          <cell r="P189">
            <v>-6509.43</v>
          </cell>
          <cell r="Q189">
            <v>-2588.75</v>
          </cell>
          <cell r="R189">
            <v>-3131.74</v>
          </cell>
          <cell r="S189">
            <v>-1078.47</v>
          </cell>
          <cell r="T189">
            <v>-5346.1899999999987</v>
          </cell>
          <cell r="U189">
            <v>-1419.3799999999974</v>
          </cell>
          <cell r="V189">
            <v>-1994.45</v>
          </cell>
          <cell r="W189">
            <v>-40555.040000000001</v>
          </cell>
          <cell r="Y189">
            <v>-4457.07</v>
          </cell>
          <cell r="Z189">
            <v>-4192.18</v>
          </cell>
          <cell r="AA189">
            <v>0</v>
          </cell>
          <cell r="AB189">
            <v>-8417.9</v>
          </cell>
          <cell r="AC189">
            <v>-2638.99</v>
          </cell>
          <cell r="AD189">
            <v>-8422.9500000000007</v>
          </cell>
          <cell r="AE189">
            <v>-3614.14</v>
          </cell>
          <cell r="AF189">
            <v>-4025.79</v>
          </cell>
          <cell r="AG189">
            <v>-1947.15</v>
          </cell>
          <cell r="AH189">
            <v>-3790</v>
          </cell>
          <cell r="AI189">
            <v>-4190</v>
          </cell>
          <cell r="AJ189">
            <v>-4390</v>
          </cell>
          <cell r="AK189">
            <v>-50086.17</v>
          </cell>
        </row>
        <row r="190">
          <cell r="J190" t="str">
            <v>628000003 - SUMINISTROS AGUA</v>
          </cell>
          <cell r="K190">
            <v>-1279.43</v>
          </cell>
          <cell r="L190">
            <v>0</v>
          </cell>
          <cell r="M190">
            <v>0</v>
          </cell>
          <cell r="N190">
            <v>-1169.6199999999999</v>
          </cell>
          <cell r="O190">
            <v>0</v>
          </cell>
          <cell r="P190">
            <v>0</v>
          </cell>
          <cell r="Q190">
            <v>-1986.82</v>
          </cell>
          <cell r="R190">
            <v>0</v>
          </cell>
          <cell r="S190">
            <v>0</v>
          </cell>
          <cell r="T190">
            <v>-1871.0400000000002</v>
          </cell>
          <cell r="U190">
            <v>0</v>
          </cell>
          <cell r="V190">
            <v>0</v>
          </cell>
          <cell r="W190">
            <v>-6306.91</v>
          </cell>
          <cell r="Y190">
            <v>-1170.76</v>
          </cell>
          <cell r="Z190">
            <v>0</v>
          </cell>
          <cell r="AA190">
            <v>0</v>
          </cell>
          <cell r="AB190">
            <v>-1209.46</v>
          </cell>
          <cell r="AC190">
            <v>0</v>
          </cell>
          <cell r="AD190">
            <v>0</v>
          </cell>
          <cell r="AE190">
            <v>-1927.6</v>
          </cell>
          <cell r="AF190">
            <v>0</v>
          </cell>
          <cell r="AG190" t="str">
            <v xml:space="preserve">                                             -  </v>
          </cell>
          <cell r="AH190">
            <v>-1435.94</v>
          </cell>
          <cell r="AI190">
            <v>-1435.94</v>
          </cell>
          <cell r="AJ190">
            <v>-1435.94</v>
          </cell>
          <cell r="AK190">
            <v>-8615.6400000000012</v>
          </cell>
        </row>
        <row r="191">
          <cell r="J191" t="str">
            <v>628000004 - SUMINISTROS TELEFONIA E INTERNET</v>
          </cell>
          <cell r="K191">
            <v>-1024.68</v>
          </cell>
          <cell r="L191">
            <v>-1054.53</v>
          </cell>
          <cell r="M191">
            <v>-1159.0999999999999</v>
          </cell>
          <cell r="N191">
            <v>-1082.46</v>
          </cell>
          <cell r="O191">
            <v>-1080.79</v>
          </cell>
          <cell r="P191">
            <v>-1081.08</v>
          </cell>
          <cell r="Q191">
            <v>-979.7</v>
          </cell>
          <cell r="R191">
            <v>-339.4</v>
          </cell>
          <cell r="S191">
            <v>-756.97</v>
          </cell>
          <cell r="T191">
            <v>-9257.619999999999</v>
          </cell>
          <cell r="U191">
            <v>-708.42999999999665</v>
          </cell>
          <cell r="V191">
            <v>-718.92</v>
          </cell>
          <cell r="W191">
            <v>-19243.679999999993</v>
          </cell>
          <cell r="Y191">
            <v>-697.53</v>
          </cell>
          <cell r="Z191">
            <v>-707.86</v>
          </cell>
          <cell r="AA191">
            <v>-721.07</v>
          </cell>
          <cell r="AB191">
            <v>-752.94</v>
          </cell>
          <cell r="AC191">
            <v>-259.61</v>
          </cell>
          <cell r="AD191">
            <v>-1232.48</v>
          </cell>
          <cell r="AE191">
            <v>-761.55</v>
          </cell>
          <cell r="AF191">
            <v>-853</v>
          </cell>
          <cell r="AG191">
            <v>-464.2</v>
          </cell>
          <cell r="AH191">
            <v>-400</v>
          </cell>
          <cell r="AI191">
            <v>-700</v>
          </cell>
          <cell r="AJ191">
            <v>-900</v>
          </cell>
          <cell r="AK191">
            <v>-8450.24</v>
          </cell>
        </row>
        <row r="192">
          <cell r="J192" t="str">
            <v>628000005 - SUMINISTROS GASOLEO</v>
          </cell>
          <cell r="K192">
            <v>0</v>
          </cell>
          <cell r="L192">
            <v>0</v>
          </cell>
          <cell r="M192">
            <v>-754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-907.96</v>
          </cell>
          <cell r="U192">
            <v>0</v>
          </cell>
          <cell r="V192">
            <v>0</v>
          </cell>
          <cell r="W192">
            <v>-1661.96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-1891.22</v>
          </cell>
          <cell r="AD192">
            <v>0</v>
          </cell>
          <cell r="AE192">
            <v>0</v>
          </cell>
          <cell r="AF192">
            <v>-1496.33</v>
          </cell>
          <cell r="AG192" t="str">
            <v xml:space="preserve">                                             -  </v>
          </cell>
          <cell r="AH192">
            <v>-1693.78</v>
          </cell>
          <cell r="AI192">
            <v>-1693.78</v>
          </cell>
          <cell r="AJ192">
            <v>-1693.78</v>
          </cell>
          <cell r="AK192">
            <v>-8468.89</v>
          </cell>
        </row>
        <row r="193">
          <cell r="J193" t="str">
            <v>629000001 - HOSPEDAJE WEB</v>
          </cell>
          <cell r="K193">
            <v>-396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-30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-33</v>
          </cell>
          <cell r="V193">
            <v>-99</v>
          </cell>
          <cell r="W193">
            <v>-558</v>
          </cell>
          <cell r="Y193">
            <v>-396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-30</v>
          </cell>
          <cell r="AE193">
            <v>0</v>
          </cell>
          <cell r="AF193">
            <v>0</v>
          </cell>
          <cell r="AG193" t="str">
            <v xml:space="preserve">                                             -  </v>
          </cell>
          <cell r="AH193">
            <v>-213</v>
          </cell>
          <cell r="AI193">
            <v>-213</v>
          </cell>
          <cell r="AJ193">
            <v>-213</v>
          </cell>
          <cell r="AK193">
            <v>-1065</v>
          </cell>
        </row>
        <row r="194">
          <cell r="J194" t="str">
            <v>629000002 - OTROS GASTOS</v>
          </cell>
          <cell r="K194">
            <v>-33.94</v>
          </cell>
          <cell r="L194">
            <v>0</v>
          </cell>
          <cell r="M194">
            <v>-27</v>
          </cell>
          <cell r="N194">
            <v>-27</v>
          </cell>
          <cell r="O194">
            <v>-85.5</v>
          </cell>
          <cell r="P194">
            <v>-22.69</v>
          </cell>
          <cell r="Q194">
            <v>-72</v>
          </cell>
          <cell r="R194">
            <v>0</v>
          </cell>
          <cell r="S194">
            <v>0</v>
          </cell>
          <cell r="T194">
            <v>0</v>
          </cell>
          <cell r="U194">
            <v>-26.319999999999993</v>
          </cell>
          <cell r="V194">
            <v>-249.34</v>
          </cell>
          <cell r="W194">
            <v>-543.79</v>
          </cell>
          <cell r="Y194">
            <v>-194.68</v>
          </cell>
          <cell r="Z194">
            <v>-108</v>
          </cell>
          <cell r="AA194">
            <v>-1186.24</v>
          </cell>
          <cell r="AB194">
            <v>-80.59</v>
          </cell>
          <cell r="AC194">
            <v>-277.83999999999997</v>
          </cell>
          <cell r="AD194">
            <v>-254.03</v>
          </cell>
          <cell r="AE194">
            <v>-4498.18</v>
          </cell>
          <cell r="AF194">
            <v>-986.98</v>
          </cell>
          <cell r="AG194">
            <v>-1007.61</v>
          </cell>
          <cell r="AH194">
            <v>0</v>
          </cell>
          <cell r="AI194">
            <v>-1940</v>
          </cell>
          <cell r="AJ194">
            <v>-976</v>
          </cell>
          <cell r="AK194">
            <v>-11510.150000000001</v>
          </cell>
        </row>
        <row r="195">
          <cell r="J195" t="str">
            <v>629000003 - SUSCRIPCIONES A REVISTAS Y PERIODICOS</v>
          </cell>
          <cell r="K195">
            <v>-460.58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-460.58</v>
          </cell>
          <cell r="Y195">
            <v>-460.58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 t="str">
            <v xml:space="preserve">                                             -  </v>
          </cell>
          <cell r="AH195">
            <v>-460.58</v>
          </cell>
          <cell r="AI195">
            <v>-460.58</v>
          </cell>
          <cell r="AJ195">
            <v>-460.58</v>
          </cell>
          <cell r="AK195">
            <v>-1842.32</v>
          </cell>
        </row>
        <row r="196">
          <cell r="J196" t="str">
            <v>629000004 - GTOS. SERV. VIGILANCIA</v>
          </cell>
          <cell r="K196">
            <v>0</v>
          </cell>
          <cell r="L196">
            <v>-71.569999999999993</v>
          </cell>
          <cell r="M196">
            <v>-141.06</v>
          </cell>
          <cell r="N196">
            <v>-71.569999999999993</v>
          </cell>
          <cell r="O196">
            <v>-71.569999999999993</v>
          </cell>
          <cell r="P196">
            <v>-71.569999999999993</v>
          </cell>
          <cell r="Q196">
            <v>-71.569999999999993</v>
          </cell>
          <cell r="R196">
            <v>-71.569999999999993</v>
          </cell>
          <cell r="S196">
            <v>0</v>
          </cell>
          <cell r="T196">
            <v>-5.6843418860808015E-14</v>
          </cell>
          <cell r="U196">
            <v>-71.569999999999936</v>
          </cell>
          <cell r="V196">
            <v>0</v>
          </cell>
          <cell r="W196">
            <v>-642.04999999999995</v>
          </cell>
          <cell r="Y196">
            <v>-73.72</v>
          </cell>
          <cell r="Z196">
            <v>0</v>
          </cell>
          <cell r="AA196">
            <v>-73.72</v>
          </cell>
          <cell r="AB196">
            <v>-73.72</v>
          </cell>
          <cell r="AC196">
            <v>-75.94</v>
          </cell>
          <cell r="AD196">
            <v>-75.94</v>
          </cell>
          <cell r="AE196">
            <v>-75.94</v>
          </cell>
          <cell r="AF196">
            <v>-75.94</v>
          </cell>
          <cell r="AG196">
            <v>-75.94</v>
          </cell>
          <cell r="AH196">
            <v>-74.989999999999995</v>
          </cell>
          <cell r="AI196">
            <v>-74.989999999999995</v>
          </cell>
          <cell r="AJ196">
            <v>-74.989999999999995</v>
          </cell>
          <cell r="AK196">
            <v>-825.83000000000015</v>
          </cell>
        </row>
        <row r="197">
          <cell r="J197" t="str">
            <v>629000005 - GTOS. ANALISIS LABORATORIOS</v>
          </cell>
          <cell r="K197">
            <v>-1546.96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-1546.96</v>
          </cell>
          <cell r="Y197">
            <v>-87.98</v>
          </cell>
          <cell r="Z197">
            <v>0</v>
          </cell>
          <cell r="AA197">
            <v>0</v>
          </cell>
          <cell r="AB197">
            <v>-2772</v>
          </cell>
          <cell r="AC197">
            <v>36.18</v>
          </cell>
          <cell r="AD197">
            <v>0</v>
          </cell>
          <cell r="AE197">
            <v>0</v>
          </cell>
          <cell r="AF197">
            <v>0</v>
          </cell>
          <cell r="AG197" t="str">
            <v xml:space="preserve">                                             -  </v>
          </cell>
          <cell r="AH197">
            <v>-941.27</v>
          </cell>
          <cell r="AI197">
            <v>-941.27</v>
          </cell>
          <cell r="AJ197">
            <v>-941.27</v>
          </cell>
          <cell r="AK197">
            <v>-5647.6100000000006</v>
          </cell>
        </row>
        <row r="198">
          <cell r="J198" t="str">
            <v>629000006 - GASTOS CORREOS</v>
          </cell>
          <cell r="K198">
            <v>0</v>
          </cell>
          <cell r="L198">
            <v>0</v>
          </cell>
          <cell r="M198">
            <v>0</v>
          </cell>
          <cell r="N198">
            <v>-89</v>
          </cell>
          <cell r="O198">
            <v>0</v>
          </cell>
          <cell r="P198">
            <v>-89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-178</v>
          </cell>
          <cell r="Y198">
            <v>-48</v>
          </cell>
          <cell r="Z198">
            <v>0</v>
          </cell>
          <cell r="AA198">
            <v>0</v>
          </cell>
          <cell r="AB198">
            <v>0</v>
          </cell>
          <cell r="AC198">
            <v>-144</v>
          </cell>
          <cell r="AD198">
            <v>0</v>
          </cell>
          <cell r="AE198">
            <v>0</v>
          </cell>
          <cell r="AF198">
            <v>0</v>
          </cell>
          <cell r="AG198" t="str">
            <v xml:space="preserve">                                             -  </v>
          </cell>
          <cell r="AH198">
            <v>-96</v>
          </cell>
          <cell r="AI198">
            <v>-96</v>
          </cell>
          <cell r="AJ198">
            <v>-96</v>
          </cell>
          <cell r="AK198">
            <v>-480</v>
          </cell>
        </row>
        <row r="199">
          <cell r="J199" t="str">
            <v>629000007 - GASTOS RETIRADA DE RESIDUOS</v>
          </cell>
          <cell r="K199">
            <v>-1175.22</v>
          </cell>
          <cell r="L199">
            <v>-2086.66</v>
          </cell>
          <cell r="M199">
            <v>-7106.48</v>
          </cell>
          <cell r="N199">
            <v>-1400.2</v>
          </cell>
          <cell r="O199">
            <v>-1338.26</v>
          </cell>
          <cell r="P199">
            <v>-2201.75</v>
          </cell>
          <cell r="Q199">
            <v>-1114.56</v>
          </cell>
          <cell r="R199">
            <v>-6952.48</v>
          </cell>
          <cell r="S199">
            <v>-1554.6</v>
          </cell>
          <cell r="T199">
            <v>-2447.29</v>
          </cell>
          <cell r="U199">
            <v>-1341.4300000000003</v>
          </cell>
          <cell r="V199">
            <v>-8422.31</v>
          </cell>
          <cell r="W199">
            <v>-37141.24</v>
          </cell>
          <cell r="Y199">
            <v>-7569.69</v>
          </cell>
          <cell r="Z199">
            <v>1670.07</v>
          </cell>
          <cell r="AA199">
            <v>-1388.15</v>
          </cell>
          <cell r="AB199">
            <v>-1276.52</v>
          </cell>
          <cell r="AC199">
            <v>-971.18</v>
          </cell>
          <cell r="AD199">
            <v>-2098.5300000000002</v>
          </cell>
          <cell r="AE199">
            <v>-11636.86</v>
          </cell>
          <cell r="AF199">
            <v>-79.8</v>
          </cell>
          <cell r="AG199">
            <v>-5890.87</v>
          </cell>
          <cell r="AH199">
            <v>-4500</v>
          </cell>
          <cell r="AI199">
            <v>-4500</v>
          </cell>
          <cell r="AJ199">
            <v>-4500</v>
          </cell>
          <cell r="AK199">
            <v>-42741.53</v>
          </cell>
        </row>
        <row r="200">
          <cell r="J200" t="str">
            <v>629000008 - CUOTAS ASOCIACIONES</v>
          </cell>
          <cell r="K200">
            <v>-603.79</v>
          </cell>
          <cell r="L200">
            <v>-433</v>
          </cell>
          <cell r="M200">
            <v>-600</v>
          </cell>
          <cell r="N200">
            <v>0</v>
          </cell>
          <cell r="O200">
            <v>-5994</v>
          </cell>
          <cell r="P200">
            <v>0</v>
          </cell>
          <cell r="Q200">
            <v>-499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-603.79</v>
          </cell>
          <cell r="W200">
            <v>-8733.58</v>
          </cell>
          <cell r="Y200">
            <v>-1148.29</v>
          </cell>
          <cell r="Z200">
            <v>0</v>
          </cell>
          <cell r="AA200">
            <v>-600</v>
          </cell>
          <cell r="AB200">
            <v>-945</v>
          </cell>
          <cell r="AC200">
            <v>0</v>
          </cell>
          <cell r="AD200">
            <v>0</v>
          </cell>
          <cell r="AE200">
            <v>-514</v>
          </cell>
          <cell r="AF200">
            <v>0</v>
          </cell>
          <cell r="AG200" t="str">
            <v xml:space="preserve">                                             -  </v>
          </cell>
          <cell r="AH200">
            <v>-801.82</v>
          </cell>
          <cell r="AI200">
            <v>-801.82</v>
          </cell>
          <cell r="AJ200">
            <v>-801.82</v>
          </cell>
          <cell r="AK200">
            <v>-5612.75</v>
          </cell>
        </row>
        <row r="201">
          <cell r="J201" t="str">
            <v>629000009 - SANCIONES Y MULTAS</v>
          </cell>
          <cell r="K201">
            <v>0</v>
          </cell>
          <cell r="L201">
            <v>-180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-180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-90</v>
          </cell>
          <cell r="AF201">
            <v>0</v>
          </cell>
          <cell r="AG201">
            <v>-130</v>
          </cell>
          <cell r="AH201">
            <v>-90</v>
          </cell>
          <cell r="AI201">
            <v>-90</v>
          </cell>
          <cell r="AJ201">
            <v>-90</v>
          </cell>
          <cell r="AK201">
            <v>-490</v>
          </cell>
        </row>
        <row r="202">
          <cell r="J202" t="str">
            <v>629000010 - GASTOS COMERCIALES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-47256.62</v>
          </cell>
          <cell r="W202">
            <v>-47256.62</v>
          </cell>
          <cell r="Y202">
            <v>-1233.23</v>
          </cell>
          <cell r="Z202">
            <v>0</v>
          </cell>
          <cell r="AA202">
            <v>29.06</v>
          </cell>
          <cell r="AB202">
            <v>46.51</v>
          </cell>
          <cell r="AC202">
            <v>29.06</v>
          </cell>
          <cell r="AD202">
            <v>0</v>
          </cell>
          <cell r="AE202">
            <v>-2125.27</v>
          </cell>
          <cell r="AF202">
            <v>-1663.31</v>
          </cell>
          <cell r="AG202">
            <v>-3215.9</v>
          </cell>
          <cell r="AH202">
            <v>-819.53</v>
          </cell>
          <cell r="AI202">
            <v>-819.53</v>
          </cell>
          <cell r="AJ202">
            <v>-819.53</v>
          </cell>
          <cell r="AK202">
            <v>-10591.670000000002</v>
          </cell>
        </row>
        <row r="203">
          <cell r="J203" t="str">
            <v>629000011 - EPIS PERSONAL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-3788.46</v>
          </cell>
          <cell r="W203">
            <v>-3788.46</v>
          </cell>
          <cell r="Y203">
            <v>-425</v>
          </cell>
          <cell r="Z203">
            <v>0</v>
          </cell>
          <cell r="AA203">
            <v>0</v>
          </cell>
          <cell r="AB203">
            <v>-35.25</v>
          </cell>
          <cell r="AC203">
            <v>-425</v>
          </cell>
          <cell r="AD203">
            <v>0</v>
          </cell>
          <cell r="AE203">
            <v>0</v>
          </cell>
          <cell r="AF203">
            <v>0</v>
          </cell>
          <cell r="AG203">
            <v>-1958.39</v>
          </cell>
          <cell r="AH203">
            <v>-295.08</v>
          </cell>
          <cell r="AI203">
            <v>-295.08</v>
          </cell>
          <cell r="AJ203">
            <v>-295.08</v>
          </cell>
          <cell r="AK203">
            <v>-3728.88</v>
          </cell>
        </row>
        <row r="204">
          <cell r="J204" t="str">
            <v>629000012 - GASTOS VARIOS PERSONAL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-10617.36</v>
          </cell>
          <cell r="W204">
            <v>-10617.36</v>
          </cell>
          <cell r="Y204">
            <v>-808.04</v>
          </cell>
          <cell r="Z204">
            <v>-2163.44</v>
          </cell>
          <cell r="AA204">
            <v>-2173.63</v>
          </cell>
          <cell r="AB204">
            <v>-237.86</v>
          </cell>
          <cell r="AC204">
            <v>-2671.84</v>
          </cell>
          <cell r="AD204">
            <v>-503.74</v>
          </cell>
          <cell r="AE204">
            <v>-1117.8599999999999</v>
          </cell>
          <cell r="AF204">
            <v>-932.8</v>
          </cell>
          <cell r="AG204">
            <v>-619.42999999999995</v>
          </cell>
          <cell r="AH204">
            <v>-1326.15</v>
          </cell>
          <cell r="AI204">
            <v>-1326.15</v>
          </cell>
          <cell r="AJ204">
            <v>-1326.15</v>
          </cell>
          <cell r="AK204">
            <v>-15207.09</v>
          </cell>
        </row>
        <row r="205">
          <cell r="J205" t="str">
            <v>629000013 - FORMACION NO BONIFICADA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-706.6</v>
          </cell>
          <cell r="W205">
            <v>-706.6</v>
          </cell>
          <cell r="Y205">
            <v>0</v>
          </cell>
          <cell r="Z205">
            <v>0</v>
          </cell>
          <cell r="AA205">
            <v>-400</v>
          </cell>
          <cell r="AB205">
            <v>0</v>
          </cell>
          <cell r="AC205">
            <v>-625.20000000000005</v>
          </cell>
          <cell r="AD205">
            <v>0</v>
          </cell>
          <cell r="AE205">
            <v>0</v>
          </cell>
          <cell r="AF205">
            <v>-4513.8</v>
          </cell>
          <cell r="AG205" t="str">
            <v xml:space="preserve">                                             -  </v>
          </cell>
          <cell r="AH205">
            <v>-1846.33</v>
          </cell>
          <cell r="AI205">
            <v>-1846.33</v>
          </cell>
          <cell r="AJ205">
            <v>-1846.33</v>
          </cell>
          <cell r="AK205">
            <v>-11077.99</v>
          </cell>
        </row>
        <row r="206">
          <cell r="J206" t="str">
            <v>629000014 - ROPA LABORAL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Y206">
            <v>0</v>
          </cell>
          <cell r="Z206">
            <v>-351.4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-98.8</v>
          </cell>
          <cell r="AF206">
            <v>-340</v>
          </cell>
          <cell r="AG206">
            <v>-277.02999999999997</v>
          </cell>
          <cell r="AH206">
            <v>-263.39999999999998</v>
          </cell>
          <cell r="AI206">
            <v>-263.39999999999998</v>
          </cell>
          <cell r="AJ206">
            <v>-263.39999999999998</v>
          </cell>
          <cell r="AK206">
            <v>-1857.4300000000003</v>
          </cell>
        </row>
        <row r="207">
          <cell r="J207" t="str">
            <v>629000015 MATERIAL DE OFICINA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-206.45</v>
          </cell>
          <cell r="AF207">
            <v>-107.24</v>
          </cell>
          <cell r="AG207">
            <v>-40.880000000000003</v>
          </cell>
          <cell r="AH207">
            <v>-156.84</v>
          </cell>
          <cell r="AI207">
            <v>-156.84</v>
          </cell>
          <cell r="AJ207">
            <v>-156.84</v>
          </cell>
          <cell r="AK207">
            <v>-825.09</v>
          </cell>
        </row>
        <row r="208">
          <cell r="J208" t="str">
            <v>629000016 HERRAMIENTAS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-500.03</v>
          </cell>
          <cell r="AG208" t="str">
            <v xml:space="preserve">                                             -  </v>
          </cell>
          <cell r="AH208">
            <v>-500.03</v>
          </cell>
          <cell r="AI208">
            <v>-500.03</v>
          </cell>
          <cell r="AJ208">
            <v>-500.03</v>
          </cell>
          <cell r="AK208">
            <v>-2000.12</v>
          </cell>
        </row>
        <row r="209">
          <cell r="J209" t="str">
            <v>629100001 - GASTOS COMERCIALES PERE PORTA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Y209">
            <v>-1325.34</v>
          </cell>
          <cell r="Z209">
            <v>-2819.19</v>
          </cell>
          <cell r="AA209">
            <v>-1737.88</v>
          </cell>
          <cell r="AB209">
            <v>-1506.87</v>
          </cell>
          <cell r="AC209">
            <v>-2533.9299999999998</v>
          </cell>
          <cell r="AD209">
            <v>-5047.3500000000004</v>
          </cell>
          <cell r="AE209">
            <v>-6591.35</v>
          </cell>
          <cell r="AF209">
            <v>-2380.04</v>
          </cell>
          <cell r="AG209">
            <v>-2431.8200000000002</v>
          </cell>
          <cell r="AH209">
            <v>-3200</v>
          </cell>
          <cell r="AI209">
            <v>-3200</v>
          </cell>
          <cell r="AJ209">
            <v>-3500</v>
          </cell>
          <cell r="AK209">
            <v>-36273.770000000004</v>
          </cell>
        </row>
        <row r="210">
          <cell r="J210" t="str">
            <v>629100002 - GASTOS RICARDO PEREZ-SANTAMARINA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Y210">
            <v>-3865.16</v>
          </cell>
          <cell r="Z210">
            <v>34.200000000000003</v>
          </cell>
          <cell r="AA210">
            <v>-1710.02</v>
          </cell>
          <cell r="AB210">
            <v>-532.08000000000004</v>
          </cell>
          <cell r="AC210">
            <v>-2522.2600000000002</v>
          </cell>
          <cell r="AD210">
            <v>-4633.3499999999995</v>
          </cell>
          <cell r="AE210">
            <v>-2854.53</v>
          </cell>
          <cell r="AF210">
            <v>-1290.01</v>
          </cell>
          <cell r="AG210">
            <v>-315.52</v>
          </cell>
          <cell r="AH210">
            <v>-2300</v>
          </cell>
          <cell r="AI210">
            <v>-2300</v>
          </cell>
          <cell r="AJ210">
            <v>-2500</v>
          </cell>
          <cell r="AK210">
            <v>-24788.73</v>
          </cell>
        </row>
        <row r="211">
          <cell r="J211" t="str">
            <v>629100003 - GASTOS JAVIER PAREDES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Y211">
            <v>-557.42999999999995</v>
          </cell>
          <cell r="Z211">
            <v>-1592.89</v>
          </cell>
          <cell r="AA211">
            <v>-800.56</v>
          </cell>
          <cell r="AB211">
            <v>-929.26</v>
          </cell>
          <cell r="AC211">
            <v>-1786.27</v>
          </cell>
          <cell r="AD211">
            <v>-936.54</v>
          </cell>
          <cell r="AE211">
            <v>-759.39</v>
          </cell>
          <cell r="AF211">
            <v>-1377.28</v>
          </cell>
          <cell r="AG211">
            <v>-1722.71</v>
          </cell>
          <cell r="AH211">
            <v>-1092.45</v>
          </cell>
          <cell r="AI211">
            <v>-1092.45</v>
          </cell>
          <cell r="AJ211">
            <v>-1092.45</v>
          </cell>
          <cell r="AK211">
            <v>-13739.680000000004</v>
          </cell>
        </row>
        <row r="212">
          <cell r="J212" t="str">
            <v>629100004 - GASTOS GARCIA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Y212">
            <v>-274.08</v>
          </cell>
          <cell r="Z212">
            <v>-503.96</v>
          </cell>
          <cell r="AA212">
            <v>-762.8</v>
          </cell>
          <cell r="AB212">
            <v>-391.86</v>
          </cell>
          <cell r="AC212">
            <v>-3016.62</v>
          </cell>
          <cell r="AD212">
            <v>-553.36</v>
          </cell>
          <cell r="AE212">
            <v>-614.65</v>
          </cell>
          <cell r="AF212">
            <v>-283.02999999999997</v>
          </cell>
          <cell r="AG212">
            <v>-1839.72</v>
          </cell>
          <cell r="AH212">
            <v>-800.04</v>
          </cell>
          <cell r="AI212">
            <v>-800.04</v>
          </cell>
          <cell r="AJ212">
            <v>-800.04</v>
          </cell>
          <cell r="AK212">
            <v>-10640.2</v>
          </cell>
        </row>
        <row r="213">
          <cell r="J213" t="str">
            <v>629100005 - GASTOS IRENE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Y213">
            <v>-313.19</v>
          </cell>
          <cell r="Z213">
            <v>-219.25</v>
          </cell>
          <cell r="AA213">
            <v>-436.29</v>
          </cell>
          <cell r="AB213">
            <v>-325.14999999999998</v>
          </cell>
          <cell r="AC213">
            <v>-506.79</v>
          </cell>
          <cell r="AD213">
            <v>-887.30000000000018</v>
          </cell>
          <cell r="AE213">
            <v>-413.5</v>
          </cell>
          <cell r="AF213">
            <v>-281.24</v>
          </cell>
          <cell r="AG213">
            <v>-106.75</v>
          </cell>
          <cell r="AH213">
            <v>-422.84</v>
          </cell>
          <cell r="AI213">
            <v>-422.84</v>
          </cell>
          <cell r="AJ213">
            <v>-422.84</v>
          </cell>
          <cell r="AK213">
            <v>-4757.9800000000005</v>
          </cell>
        </row>
        <row r="214">
          <cell r="J214" t="str">
            <v>629100006 - GASTOS ANTONIO ANDREU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Y214">
            <v>-118.28</v>
          </cell>
          <cell r="Z214">
            <v>0</v>
          </cell>
          <cell r="AA214">
            <v>-301.79000000000002</v>
          </cell>
          <cell r="AB214">
            <v>-166.56</v>
          </cell>
          <cell r="AC214">
            <v>-222.62</v>
          </cell>
          <cell r="AD214">
            <v>-202.95</v>
          </cell>
          <cell r="AE214">
            <v>0</v>
          </cell>
          <cell r="AF214">
            <v>0</v>
          </cell>
          <cell r="AG214" t="str">
            <v xml:space="preserve">                                             -  </v>
          </cell>
          <cell r="AH214">
            <v>-202.44</v>
          </cell>
          <cell r="AI214">
            <v>-202.44</v>
          </cell>
          <cell r="AJ214">
            <v>-202.44</v>
          </cell>
          <cell r="AK214">
            <v>-1619.5200000000002</v>
          </cell>
        </row>
        <row r="215">
          <cell r="J215" t="str">
            <v>629100007 - GASTOS CURRO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Y215">
            <v>-210.18</v>
          </cell>
          <cell r="Z215">
            <v>0</v>
          </cell>
          <cell r="AA215">
            <v>-33.06</v>
          </cell>
          <cell r="AB215">
            <v>0</v>
          </cell>
          <cell r="AC215">
            <v>0</v>
          </cell>
          <cell r="AD215">
            <v>-20.5</v>
          </cell>
          <cell r="AE215">
            <v>0</v>
          </cell>
          <cell r="AF215">
            <v>-100.45</v>
          </cell>
          <cell r="AG215" t="str">
            <v xml:space="preserve">                                             -  </v>
          </cell>
          <cell r="AH215">
            <v>-91.05</v>
          </cell>
          <cell r="AI215">
            <v>-91.05</v>
          </cell>
          <cell r="AJ215">
            <v>-91.05</v>
          </cell>
          <cell r="AK215">
            <v>-637.33999999999992</v>
          </cell>
        </row>
        <row r="216">
          <cell r="J216" t="str">
            <v>629100008 GASTOS PEDRO MEDINA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-141.13999999999999</v>
          </cell>
          <cell r="AG216">
            <v>-326.58</v>
          </cell>
          <cell r="AH216">
            <v>-141.13999999999999</v>
          </cell>
          <cell r="AI216">
            <v>-141.13999999999999</v>
          </cell>
          <cell r="AJ216">
            <v>-141.13999999999999</v>
          </cell>
          <cell r="AK216">
            <v>-891.13999999999987</v>
          </cell>
        </row>
        <row r="217">
          <cell r="J217" t="str">
            <v>631000000 - Otros tributos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-4.78</v>
          </cell>
          <cell r="W217">
            <v>-4.78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</row>
        <row r="218">
          <cell r="J218" t="str">
            <v>631000001 - IMPUESTOS VEHÍCULOS</v>
          </cell>
          <cell r="K218">
            <v>0</v>
          </cell>
          <cell r="L218">
            <v>0</v>
          </cell>
          <cell r="M218">
            <v>0</v>
          </cell>
          <cell r="N218">
            <v>-96.39</v>
          </cell>
          <cell r="O218">
            <v>-27.57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1.4210854715202004E-14</v>
          </cell>
          <cell r="U218">
            <v>0</v>
          </cell>
          <cell r="V218">
            <v>0</v>
          </cell>
          <cell r="W218">
            <v>-123.96</v>
          </cell>
          <cell r="Y218">
            <v>0</v>
          </cell>
          <cell r="Z218">
            <v>0</v>
          </cell>
          <cell r="AA218">
            <v>0</v>
          </cell>
          <cell r="AB218">
            <v>-284.56</v>
          </cell>
          <cell r="AC218">
            <v>-27.57</v>
          </cell>
          <cell r="AD218">
            <v>0</v>
          </cell>
          <cell r="AE218">
            <v>0</v>
          </cell>
          <cell r="AF218">
            <v>0</v>
          </cell>
          <cell r="AG218" t="str">
            <v xml:space="preserve">                                             -  </v>
          </cell>
          <cell r="AH218">
            <v>-156.06</v>
          </cell>
          <cell r="AI218">
            <v>-156.06</v>
          </cell>
          <cell r="AJ218">
            <v>-156.06</v>
          </cell>
          <cell r="AK218">
            <v>-780.31</v>
          </cell>
        </row>
        <row r="219">
          <cell r="J219" t="str">
            <v>631000002 - TASAS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-581.49</v>
          </cell>
          <cell r="P219">
            <v>0</v>
          </cell>
          <cell r="Q219">
            <v>0</v>
          </cell>
          <cell r="R219">
            <v>0</v>
          </cell>
          <cell r="S219">
            <v>-509.55</v>
          </cell>
          <cell r="T219">
            <v>0</v>
          </cell>
          <cell r="U219">
            <v>0</v>
          </cell>
          <cell r="V219">
            <v>0</v>
          </cell>
          <cell r="W219">
            <v>-1091.04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-581.49</v>
          </cell>
          <cell r="AD219">
            <v>0</v>
          </cell>
          <cell r="AE219">
            <v>0</v>
          </cell>
          <cell r="AF219">
            <v>0</v>
          </cell>
          <cell r="AG219" t="str">
            <v xml:space="preserve">                                             -  </v>
          </cell>
          <cell r="AH219">
            <v>0</v>
          </cell>
          <cell r="AI219">
            <v>0</v>
          </cell>
          <cell r="AJ219">
            <v>0</v>
          </cell>
          <cell r="AK219">
            <v>-581.49</v>
          </cell>
        </row>
        <row r="220">
          <cell r="J220" t="str">
            <v>631000003 - IMPUESTA ACTIVIDADES ECONOMICAS (IAE)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-11675.36</v>
          </cell>
          <cell r="T220">
            <v>-8566.61</v>
          </cell>
          <cell r="U220">
            <v>0</v>
          </cell>
          <cell r="V220">
            <v>0</v>
          </cell>
          <cell r="W220">
            <v>-20241.97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</row>
        <row r="221">
          <cell r="J221" t="str">
            <v>631000004 - IBIB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-7396.59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-7396.59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-7396.59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-7396.59</v>
          </cell>
        </row>
        <row r="222">
          <cell r="J222" t="str">
            <v>631000005 - RECARGOS O GASTOS NO DEDUCIBLES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-40.590000000000003</v>
          </cell>
          <cell r="S222">
            <v>-123.16</v>
          </cell>
          <cell r="T222">
            <v>0</v>
          </cell>
          <cell r="U222">
            <v>0</v>
          </cell>
          <cell r="V222">
            <v>0</v>
          </cell>
          <cell r="W222">
            <v>-163.75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</row>
        <row r="223">
          <cell r="J223" t="str">
            <v>631000006 - IMPUESTO PLASTICO NO RECICLADO</v>
          </cell>
          <cell r="K223">
            <v>-6036.78</v>
          </cell>
          <cell r="L223">
            <v>-2492.83</v>
          </cell>
          <cell r="M223">
            <v>-5808.56</v>
          </cell>
          <cell r="N223">
            <v>6414.87</v>
          </cell>
          <cell r="O223">
            <v>-4592.9399999999996</v>
          </cell>
          <cell r="P223">
            <v>-2493.7800000000002</v>
          </cell>
          <cell r="Q223">
            <v>-4861.0200000000004</v>
          </cell>
          <cell r="R223">
            <v>-579.41999999999996</v>
          </cell>
          <cell r="S223">
            <v>6522.45</v>
          </cell>
          <cell r="T223">
            <v>-2900.1899999999996</v>
          </cell>
          <cell r="U223">
            <v>3208.33</v>
          </cell>
          <cell r="V223">
            <v>-2608.67</v>
          </cell>
          <cell r="W223">
            <v>-16228.539999999997</v>
          </cell>
          <cell r="Y223">
            <v>-5921.54</v>
          </cell>
          <cell r="Z223">
            <v>-1801.72</v>
          </cell>
          <cell r="AA223">
            <v>-2503.2199999999998</v>
          </cell>
          <cell r="AB223">
            <v>-285.97000000000003</v>
          </cell>
          <cell r="AC223">
            <v>-159.84</v>
          </cell>
          <cell r="AD223">
            <v>-4575.29</v>
          </cell>
          <cell r="AE223">
            <v>-5203.6600000000008</v>
          </cell>
          <cell r="AF223">
            <v>-838.08</v>
          </cell>
          <cell r="AG223">
            <v>-1446.16</v>
          </cell>
          <cell r="AH223">
            <v>-2182.79</v>
          </cell>
          <cell r="AI223">
            <v>-2976.53</v>
          </cell>
          <cell r="AJ223">
            <v>-3174.97</v>
          </cell>
          <cell r="AK223">
            <v>-31069.77</v>
          </cell>
        </row>
        <row r="224">
          <cell r="J224" t="str">
            <v>634100000 - Ajustes negat. IVA circulante</v>
          </cell>
          <cell r="K224">
            <v>-574</v>
          </cell>
          <cell r="L224">
            <v>-430.96</v>
          </cell>
          <cell r="M224">
            <v>-575.38</v>
          </cell>
          <cell r="N224">
            <v>-715.84</v>
          </cell>
          <cell r="O224">
            <v>-572.29999999999995</v>
          </cell>
          <cell r="P224">
            <v>-417.12</v>
          </cell>
          <cell r="Q224">
            <v>-657.63</v>
          </cell>
          <cell r="R224">
            <v>-9069.33</v>
          </cell>
          <cell r="S224">
            <v>-524.01</v>
          </cell>
          <cell r="T224">
            <v>-553.22999999999865</v>
          </cell>
          <cell r="U224">
            <v>-511.2400000000016</v>
          </cell>
          <cell r="V224">
            <v>-1462.79</v>
          </cell>
          <cell r="W224">
            <v>-16063.830000000002</v>
          </cell>
          <cell r="Y224">
            <v>-693.91</v>
          </cell>
          <cell r="Z224">
            <v>-557.9</v>
          </cell>
          <cell r="AA224">
            <v>-881.48</v>
          </cell>
          <cell r="AB224">
            <v>-630.79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 t="str">
            <v xml:space="preserve">                                             -  </v>
          </cell>
          <cell r="AH224">
            <v>0</v>
          </cell>
          <cell r="AI224">
            <v>0</v>
          </cell>
          <cell r="AJ224">
            <v>0</v>
          </cell>
          <cell r="AK224">
            <v>-2764.08</v>
          </cell>
        </row>
        <row r="225">
          <cell r="J225" t="str">
            <v>694000000 - Pérdidas deterioro de créditos por op. comerciales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-211.6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-211.6</v>
          </cell>
        </row>
        <row r="226">
          <cell r="J226" t="str">
            <v>709001500 - RAPPEL BONIFICACIONES POR PMK DEFINITIVO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-1350</v>
          </cell>
          <cell r="AD226">
            <v>0</v>
          </cell>
          <cell r="AE226">
            <v>0</v>
          </cell>
          <cell r="AF226">
            <v>0</v>
          </cell>
          <cell r="AG226" t="str">
            <v xml:space="preserve">                                             -  </v>
          </cell>
          <cell r="AH226">
            <v>0</v>
          </cell>
          <cell r="AI226">
            <v>0</v>
          </cell>
          <cell r="AJ226">
            <v>0</v>
          </cell>
          <cell r="AK226">
            <v>-1350</v>
          </cell>
        </row>
        <row r="227">
          <cell r="J227" t="str">
            <v>681100000 - Amortización de construcciones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-37852.160000000003</v>
          </cell>
          <cell r="W227">
            <v>-37852.160000000003</v>
          </cell>
          <cell r="Y227">
            <v>-3154.35</v>
          </cell>
          <cell r="Z227">
            <v>-3154.35</v>
          </cell>
          <cell r="AA227">
            <v>-3154.35</v>
          </cell>
          <cell r="AB227">
            <v>-3154.35</v>
          </cell>
          <cell r="AC227">
            <v>-3154.35</v>
          </cell>
          <cell r="AD227">
            <v>-3154.35</v>
          </cell>
          <cell r="AE227">
            <v>-3154.35</v>
          </cell>
          <cell r="AF227">
            <v>-3154.35</v>
          </cell>
          <cell r="AG227">
            <v>-3154.35</v>
          </cell>
          <cell r="AH227">
            <v>-3154.35</v>
          </cell>
          <cell r="AI227">
            <v>-3154.35</v>
          </cell>
          <cell r="AJ227">
            <v>-3154.35</v>
          </cell>
          <cell r="AK227">
            <v>-37852.19999999999</v>
          </cell>
        </row>
        <row r="228">
          <cell r="J228" t="str">
            <v>681200000 - Amortización de instalaciones técnicas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-194712.01</v>
          </cell>
          <cell r="U228">
            <v>-19471.199999999983</v>
          </cell>
          <cell r="V228">
            <v>145924.34</v>
          </cell>
          <cell r="W228">
            <v>-68258.87</v>
          </cell>
          <cell r="Y228">
            <v>-6245.7</v>
          </cell>
          <cell r="Z228">
            <v>-6245.7</v>
          </cell>
          <cell r="AA228">
            <v>-5719.74</v>
          </cell>
          <cell r="AB228">
            <v>-5719.74</v>
          </cell>
          <cell r="AC228">
            <v>-5719.74</v>
          </cell>
          <cell r="AD228">
            <v>-5719.74</v>
          </cell>
          <cell r="AE228">
            <v>-5772.02</v>
          </cell>
          <cell r="AF228">
            <v>-5772.02</v>
          </cell>
          <cell r="AG228">
            <v>-5867.77</v>
          </cell>
          <cell r="AH228">
            <v>-5772</v>
          </cell>
          <cell r="AI228">
            <v>-5772</v>
          </cell>
          <cell r="AJ228">
            <v>-5772</v>
          </cell>
          <cell r="AK228">
            <v>-70098.17</v>
          </cell>
        </row>
        <row r="229">
          <cell r="J229" t="str">
            <v>681300000 - Amortización de maquinaria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-83718.81</v>
          </cell>
          <cell r="W229">
            <v>-83718.81</v>
          </cell>
          <cell r="Y229">
            <v>-6398.5</v>
          </cell>
          <cell r="Z229">
            <v>-6398.5</v>
          </cell>
          <cell r="AA229">
            <v>-6398.5</v>
          </cell>
          <cell r="AB229">
            <v>-6398.5</v>
          </cell>
          <cell r="AC229">
            <v>-6398.5</v>
          </cell>
          <cell r="AD229">
            <v>-6410.5</v>
          </cell>
          <cell r="AE229">
            <v>-6419.19</v>
          </cell>
          <cell r="AF229">
            <v>-6419.19</v>
          </cell>
          <cell r="AG229">
            <v>-6419.19</v>
          </cell>
          <cell r="AH229">
            <v>-6419</v>
          </cell>
          <cell r="AI229">
            <v>-6419</v>
          </cell>
          <cell r="AJ229">
            <v>-6419</v>
          </cell>
          <cell r="AK229">
            <v>-76917.570000000007</v>
          </cell>
        </row>
        <row r="230">
          <cell r="J230" t="str">
            <v>681500000 - Amortización de otras instalaciones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-20826.3</v>
          </cell>
          <cell r="W230">
            <v>-20826.3</v>
          </cell>
          <cell r="Y230">
            <v>-1522.43</v>
          </cell>
          <cell r="Z230">
            <v>-1522.43</v>
          </cell>
          <cell r="AA230">
            <v>-1522.43</v>
          </cell>
          <cell r="AB230">
            <v>-1522.43</v>
          </cell>
          <cell r="AC230">
            <v>-1522.43</v>
          </cell>
          <cell r="AD230">
            <v>-1631.75</v>
          </cell>
          <cell r="AE230">
            <v>-1642.07</v>
          </cell>
          <cell r="AF230">
            <v>-1642.07</v>
          </cell>
          <cell r="AG230">
            <v>-1642.07</v>
          </cell>
          <cell r="AH230">
            <v>-1642</v>
          </cell>
          <cell r="AI230">
            <v>-1642</v>
          </cell>
          <cell r="AJ230">
            <v>-1642</v>
          </cell>
          <cell r="AK230">
            <v>-19096.11</v>
          </cell>
        </row>
        <row r="231">
          <cell r="J231" t="str">
            <v>681600000 - Amortización de mobiliario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-15907.88</v>
          </cell>
          <cell r="W231">
            <v>-15907.88</v>
          </cell>
          <cell r="Y231">
            <v>-1325.66</v>
          </cell>
          <cell r="Z231">
            <v>-1325.66</v>
          </cell>
          <cell r="AA231">
            <v>-1325.66</v>
          </cell>
          <cell r="AB231">
            <v>-1325.66</v>
          </cell>
          <cell r="AC231">
            <v>-1325.66</v>
          </cell>
          <cell r="AD231">
            <v>-1337.16</v>
          </cell>
          <cell r="AE231">
            <v>-1337.16</v>
          </cell>
          <cell r="AF231">
            <v>-1337.16</v>
          </cell>
          <cell r="AG231">
            <v>-1337.16</v>
          </cell>
          <cell r="AH231">
            <v>-1337</v>
          </cell>
          <cell r="AI231">
            <v>-1337</v>
          </cell>
          <cell r="AJ231">
            <v>-1337</v>
          </cell>
          <cell r="AK231">
            <v>-15987.94</v>
          </cell>
        </row>
        <row r="232">
          <cell r="J232" t="str">
            <v>681700000 - Amortización de equipos para procesos de informac.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-5238.79</v>
          </cell>
          <cell r="W232">
            <v>-5238.79</v>
          </cell>
          <cell r="Y232">
            <v>-448.73</v>
          </cell>
          <cell r="Z232">
            <v>-448.73</v>
          </cell>
          <cell r="AA232">
            <v>-745.37</v>
          </cell>
          <cell r="AB232">
            <v>-745.37</v>
          </cell>
          <cell r="AC232">
            <v>-937.75</v>
          </cell>
          <cell r="AD232">
            <v>-848</v>
          </cell>
          <cell r="AE232">
            <v>-855.5</v>
          </cell>
          <cell r="AF232">
            <v>-855.5</v>
          </cell>
          <cell r="AG232">
            <v>-877.13</v>
          </cell>
          <cell r="AH232">
            <v>-856</v>
          </cell>
          <cell r="AI232">
            <v>-856</v>
          </cell>
          <cell r="AJ232">
            <v>-856</v>
          </cell>
          <cell r="AK232">
            <v>-9330.08</v>
          </cell>
        </row>
        <row r="233">
          <cell r="J233" t="str">
            <v>681800000 - Amortización de elementos de transporte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-1558.34</v>
          </cell>
          <cell r="W233">
            <v>-1558.34</v>
          </cell>
          <cell r="Y233">
            <v>-37.5</v>
          </cell>
          <cell r="Z233">
            <v>-37.5</v>
          </cell>
          <cell r="AA233">
            <v>-37.5</v>
          </cell>
          <cell r="AB233">
            <v>-37.5</v>
          </cell>
          <cell r="AC233">
            <v>-131.25</v>
          </cell>
          <cell r="AD233">
            <v>41.25</v>
          </cell>
          <cell r="AE233">
            <v>-45</v>
          </cell>
          <cell r="AF233">
            <v>-45</v>
          </cell>
          <cell r="AG233">
            <v>-45</v>
          </cell>
          <cell r="AH233">
            <v>-45</v>
          </cell>
          <cell r="AI233">
            <v>-45</v>
          </cell>
          <cell r="AJ233">
            <v>-45</v>
          </cell>
          <cell r="AK233">
            <v>-510</v>
          </cell>
        </row>
        <row r="234">
          <cell r="J234" t="str">
            <v>746000000 - Subv. donac. y legados de capital transf.rdo.ejer.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22297.65</v>
          </cell>
          <cell r="W234">
            <v>22297.65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</row>
        <row r="235">
          <cell r="J235" t="str">
            <v>760000000 - Ingresos participac.instrum. patrimonio, emp.grupo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4840</v>
          </cell>
          <cell r="W235">
            <v>4840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</row>
        <row r="236">
          <cell r="J236" t="str">
            <v>762100000 - Ingresos de créditos a c/p</v>
          </cell>
          <cell r="K236">
            <v>0</v>
          </cell>
          <cell r="L236">
            <v>29887.35</v>
          </cell>
          <cell r="M236">
            <v>0</v>
          </cell>
          <cell r="N236">
            <v>0</v>
          </cell>
          <cell r="O236">
            <v>26821.919999999998</v>
          </cell>
          <cell r="P236">
            <v>4964.88</v>
          </cell>
          <cell r="Q236">
            <v>0</v>
          </cell>
          <cell r="R236">
            <v>25534.25</v>
          </cell>
          <cell r="S236">
            <v>0</v>
          </cell>
          <cell r="T236">
            <v>0</v>
          </cell>
          <cell r="U236">
            <v>28767.12000000001</v>
          </cell>
          <cell r="V236">
            <v>0</v>
          </cell>
          <cell r="W236">
            <v>115975.52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</row>
        <row r="237">
          <cell r="J237" t="str">
            <v>769000000 - Otros ingresos financieros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194.47</v>
          </cell>
          <cell r="U237">
            <v>0</v>
          </cell>
          <cell r="V237">
            <v>0</v>
          </cell>
          <cell r="W237">
            <v>194.47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4495.93</v>
          </cell>
          <cell r="AE237">
            <v>0</v>
          </cell>
          <cell r="AF237">
            <v>0</v>
          </cell>
          <cell r="AG237" t="str">
            <v xml:space="preserve">                                             -  </v>
          </cell>
          <cell r="AH237">
            <v>0</v>
          </cell>
          <cell r="AI237">
            <v>0</v>
          </cell>
          <cell r="AJ237">
            <v>0</v>
          </cell>
          <cell r="AK237">
            <v>4495.93</v>
          </cell>
        </row>
        <row r="238">
          <cell r="J238" t="str">
            <v>662310005 - INTERESES PRESTAMO CAIXALMASSORA</v>
          </cell>
          <cell r="K238">
            <v>-209.01</v>
          </cell>
          <cell r="L238">
            <v>-197.71</v>
          </cell>
          <cell r="M238">
            <v>-186.37</v>
          </cell>
          <cell r="N238">
            <v>-175</v>
          </cell>
          <cell r="O238">
            <v>-163.59</v>
          </cell>
          <cell r="P238">
            <v>-152.13999999999999</v>
          </cell>
          <cell r="Q238">
            <v>-104.9</v>
          </cell>
          <cell r="R238">
            <v>-96.27</v>
          </cell>
          <cell r="S238">
            <v>-87.62</v>
          </cell>
          <cell r="T238">
            <v>-78.949999999999932</v>
          </cell>
          <cell r="U238">
            <v>-70.259999999999991</v>
          </cell>
          <cell r="V238">
            <v>-61.55</v>
          </cell>
          <cell r="W238">
            <v>-1583.37</v>
          </cell>
          <cell r="Y238">
            <v>-52.82</v>
          </cell>
          <cell r="Z238">
            <v>0</v>
          </cell>
          <cell r="AA238">
            <v>-79.37</v>
          </cell>
          <cell r="AB238">
            <v>-26.51</v>
          </cell>
          <cell r="AC238">
            <v>-17.690000000000001</v>
          </cell>
          <cell r="AD238">
            <v>-8.86</v>
          </cell>
          <cell r="AE238">
            <v>0</v>
          </cell>
          <cell r="AF238">
            <v>0</v>
          </cell>
          <cell r="AG238" t="str">
            <v xml:space="preserve">                                             -  </v>
          </cell>
          <cell r="AH238">
            <v>0</v>
          </cell>
          <cell r="AI238">
            <v>0</v>
          </cell>
          <cell r="AJ238">
            <v>0</v>
          </cell>
          <cell r="AK238">
            <v>-185.25</v>
          </cell>
        </row>
        <row r="239">
          <cell r="J239" t="str">
            <v>66240000 - Intereses de deudas otras empresas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</row>
        <row r="240">
          <cell r="J240" t="str">
            <v>662400000 - Intereses de deudas otras empresas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-4840</v>
          </cell>
          <cell r="W240">
            <v>-4840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</row>
        <row r="241">
          <cell r="J241" t="str">
            <v>665700000 - Int. operac.de factoring otras entid. de crédito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-134.47</v>
          </cell>
          <cell r="U241">
            <v>-103.82</v>
          </cell>
          <cell r="V241">
            <v>0</v>
          </cell>
          <cell r="W241">
            <v>-238.29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</row>
        <row r="242">
          <cell r="J242" t="str">
            <v>665700015 - INTERESES PAGO FINANCIADO POR BBVA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-1809.02</v>
          </cell>
          <cell r="V242">
            <v>0</v>
          </cell>
          <cell r="W242">
            <v>-1809.02</v>
          </cell>
          <cell r="Y242">
            <v>0</v>
          </cell>
          <cell r="Z242">
            <v>0</v>
          </cell>
          <cell r="AA242">
            <v>0</v>
          </cell>
          <cell r="AB242">
            <v>-937.05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 t="str">
            <v xml:space="preserve">                                             -  </v>
          </cell>
          <cell r="AH242">
            <v>0</v>
          </cell>
          <cell r="AI242">
            <v>0</v>
          </cell>
          <cell r="AJ242">
            <v>0</v>
          </cell>
          <cell r="AK242">
            <v>-937.05</v>
          </cell>
        </row>
        <row r="243">
          <cell r="J243" t="str">
            <v>669000002 - OTROS GTOS. DTO. EFECTOS SABADELL</v>
          </cell>
          <cell r="K243">
            <v>-1.22</v>
          </cell>
          <cell r="L243">
            <v>-1.82</v>
          </cell>
          <cell r="M243">
            <v>-1.21</v>
          </cell>
          <cell r="N243">
            <v>-1.21</v>
          </cell>
          <cell r="O243">
            <v>-0.61</v>
          </cell>
          <cell r="P243">
            <v>-1.21</v>
          </cell>
          <cell r="Q243">
            <v>-2.42</v>
          </cell>
          <cell r="R243">
            <v>-3.63</v>
          </cell>
          <cell r="S243">
            <v>-3.63</v>
          </cell>
          <cell r="T243">
            <v>-2.4200000000000017</v>
          </cell>
          <cell r="U243">
            <v>-1.8200000000000003</v>
          </cell>
          <cell r="V243">
            <v>19.38</v>
          </cell>
          <cell r="W243">
            <v>-1.8200000000000003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</row>
        <row r="244">
          <cell r="J244" t="str">
            <v>669000007 - OTROS GTOS. DTO.EFECTOS BBVA</v>
          </cell>
          <cell r="K244">
            <v>-5.76</v>
          </cell>
          <cell r="L244">
            <v>-2.74</v>
          </cell>
          <cell r="M244">
            <v>-3.64</v>
          </cell>
          <cell r="N244">
            <v>-6.06</v>
          </cell>
          <cell r="O244">
            <v>-6.66</v>
          </cell>
          <cell r="P244">
            <v>-5.16</v>
          </cell>
          <cell r="Q244">
            <v>-14.53</v>
          </cell>
          <cell r="R244">
            <v>-8.17</v>
          </cell>
          <cell r="S244">
            <v>-13.62</v>
          </cell>
          <cell r="T244">
            <v>-10.299999999999995</v>
          </cell>
          <cell r="U244">
            <v>-5.4500000000000028</v>
          </cell>
          <cell r="V244">
            <v>72.400000000000006</v>
          </cell>
          <cell r="W244">
            <v>-9.6899999999999977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</row>
        <row r="245">
          <cell r="J245" t="str">
            <v>669100001 - OTROS GASTOS FINANCIEROS DEUTSCHE BANK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</row>
        <row r="246">
          <cell r="J246" t="str">
            <v>669100002 - OTROS GTOS. FINAN. SABADELL</v>
          </cell>
          <cell r="K246">
            <v>-52</v>
          </cell>
          <cell r="L246">
            <v>-60.5</v>
          </cell>
          <cell r="M246">
            <v>-60</v>
          </cell>
          <cell r="N246">
            <v>0</v>
          </cell>
          <cell r="O246">
            <v>0</v>
          </cell>
          <cell r="P246">
            <v>-76.349999999999994</v>
          </cell>
          <cell r="Q246">
            <v>0</v>
          </cell>
          <cell r="R246">
            <v>0</v>
          </cell>
          <cell r="S246">
            <v>-60</v>
          </cell>
          <cell r="T246">
            <v>-6.0000000000000284</v>
          </cell>
          <cell r="U246">
            <v>-6</v>
          </cell>
          <cell r="V246">
            <v>170.78</v>
          </cell>
          <cell r="W246">
            <v>-150.07000000000002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</row>
        <row r="247">
          <cell r="J247" t="str">
            <v>669100005 - OTROS GTOS. FINAN. C.RURAL ALMASSORA</v>
          </cell>
          <cell r="K247">
            <v>-101.03</v>
          </cell>
          <cell r="L247">
            <v>-37.33</v>
          </cell>
          <cell r="M247">
            <v>-100.24</v>
          </cell>
          <cell r="N247">
            <v>-39.53</v>
          </cell>
          <cell r="O247">
            <v>-39.549999999999997</v>
          </cell>
          <cell r="P247">
            <v>-89.59</v>
          </cell>
          <cell r="Q247">
            <v>-18</v>
          </cell>
          <cell r="R247">
            <v>-61.59</v>
          </cell>
          <cell r="S247">
            <v>0</v>
          </cell>
          <cell r="T247">
            <v>-82.739999999999924</v>
          </cell>
          <cell r="U247">
            <v>-58.139999999999986</v>
          </cell>
          <cell r="V247">
            <v>526.73</v>
          </cell>
          <cell r="W247">
            <v>-101.00999999999988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</row>
        <row r="248">
          <cell r="J248" t="str">
            <v>669100007 - OTROS GTOS. FINAN. BBVA.</v>
          </cell>
          <cell r="K248">
            <v>-189.1</v>
          </cell>
          <cell r="L248">
            <v>0</v>
          </cell>
          <cell r="M248">
            <v>0</v>
          </cell>
          <cell r="N248">
            <v>-36.25</v>
          </cell>
          <cell r="O248">
            <v>-0.25</v>
          </cell>
          <cell r="P248">
            <v>-25.25</v>
          </cell>
          <cell r="Q248">
            <v>-36.25</v>
          </cell>
          <cell r="R248">
            <v>0</v>
          </cell>
          <cell r="S248">
            <v>-0.25</v>
          </cell>
          <cell r="T248">
            <v>-36.000000000000028</v>
          </cell>
          <cell r="U248">
            <v>-71.889999999999986</v>
          </cell>
          <cell r="V248">
            <v>344.99</v>
          </cell>
          <cell r="W248">
            <v>-50.25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</row>
        <row r="249">
          <cell r="J249" t="str">
            <v>669200002 - GTOS. COBRO EXPORT B.SABADELL</v>
          </cell>
          <cell r="K249">
            <v>-154.97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-88.78</v>
          </cell>
          <cell r="Q249">
            <v>0</v>
          </cell>
          <cell r="R249">
            <v>0</v>
          </cell>
          <cell r="S249">
            <v>-99.46</v>
          </cell>
          <cell r="T249">
            <v>-46.240000000000009</v>
          </cell>
          <cell r="U249">
            <v>0</v>
          </cell>
          <cell r="V249">
            <v>352.47</v>
          </cell>
          <cell r="W249">
            <v>-36.979999999999961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</row>
        <row r="250">
          <cell r="J250" t="str">
            <v>669200005 - GTOS. COBRO EXPORT CAIXALMASSORA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-62.89</v>
          </cell>
          <cell r="R250">
            <v>-93.09</v>
          </cell>
          <cell r="S250">
            <v>0</v>
          </cell>
          <cell r="T250">
            <v>1.4210854715202004E-14</v>
          </cell>
          <cell r="U250">
            <v>0</v>
          </cell>
          <cell r="V250">
            <v>155.97999999999999</v>
          </cell>
          <cell r="W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</row>
        <row r="251">
          <cell r="J251" t="str">
            <v>669200007 - GTOS. COBRO EXPORT. BBVA</v>
          </cell>
          <cell r="K251">
            <v>-105.34</v>
          </cell>
          <cell r="L251">
            <v>-48.89</v>
          </cell>
          <cell r="M251">
            <v>-2.67</v>
          </cell>
          <cell r="N251">
            <v>-194.24</v>
          </cell>
          <cell r="O251">
            <v>-529.91999999999996</v>
          </cell>
          <cell r="P251">
            <v>-299.88</v>
          </cell>
          <cell r="Q251">
            <v>-157.12</v>
          </cell>
          <cell r="R251">
            <v>-325.77</v>
          </cell>
          <cell r="S251">
            <v>-347.78</v>
          </cell>
          <cell r="T251">
            <v>-27.669999999999703</v>
          </cell>
          <cell r="U251">
            <v>-39.670000000000073</v>
          </cell>
          <cell r="V251">
            <v>2023.61</v>
          </cell>
          <cell r="W251">
            <v>-55.339999999999918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</row>
        <row r="252">
          <cell r="J252" t="str">
            <v>706000000 - Dtos. ventas por pronto pago mercaderías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-23519.91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 t="str">
            <v xml:space="preserve">                                             -  </v>
          </cell>
          <cell r="AH252">
            <v>0</v>
          </cell>
          <cell r="AI252">
            <v>0</v>
          </cell>
          <cell r="AJ252">
            <v>0</v>
          </cell>
          <cell r="AK252">
            <v>-23519.91</v>
          </cell>
        </row>
        <row r="253">
          <cell r="J253" t="str">
            <v>706000001 - DESCUENTO POR PRONTO PAGO DEFINITIVO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-38633.949999999997</v>
          </cell>
          <cell r="AD253">
            <v>-78488.47</v>
          </cell>
          <cell r="AE253">
            <v>-32604.18</v>
          </cell>
          <cell r="AF253">
            <v>-19768.43</v>
          </cell>
          <cell r="AG253">
            <v>-8347.1</v>
          </cell>
          <cell r="AH253">
            <v>-24579.01</v>
          </cell>
          <cell r="AI253">
            <v>-33042.67</v>
          </cell>
          <cell r="AJ253">
            <v>-35674.22</v>
          </cell>
          <cell r="AK253">
            <v>-271138.03000000003</v>
          </cell>
        </row>
        <row r="254">
          <cell r="J254" t="str">
            <v>668000000 - Diferencias negativas de cambio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-26211.22</v>
          </cell>
          <cell r="V254">
            <v>-1343.92</v>
          </cell>
          <cell r="W254">
            <v>-27555.14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</row>
        <row r="255">
          <cell r="J255" t="str">
            <v>768000000 - Diferencias positivas de cambio</v>
          </cell>
          <cell r="K255">
            <v>1434.28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870.53</v>
          </cell>
          <cell r="Q255">
            <v>0</v>
          </cell>
          <cell r="R255">
            <v>0</v>
          </cell>
          <cell r="S255">
            <v>121.72</v>
          </cell>
          <cell r="T255">
            <v>990.97</v>
          </cell>
          <cell r="U255">
            <v>0</v>
          </cell>
          <cell r="V255">
            <v>0</v>
          </cell>
          <cell r="W255">
            <v>3417.5</v>
          </cell>
          <cell r="Y255">
            <v>0</v>
          </cell>
          <cell r="Z255">
            <v>78.790000000000006</v>
          </cell>
          <cell r="AA255">
            <v>15.51</v>
          </cell>
          <cell r="AB255">
            <v>0</v>
          </cell>
          <cell r="AC255">
            <v>2879.75</v>
          </cell>
          <cell r="AD255">
            <v>1665.7</v>
          </cell>
          <cell r="AE255">
            <v>604.76</v>
          </cell>
          <cell r="AF255">
            <v>0</v>
          </cell>
          <cell r="AG255" t="str">
            <v xml:space="preserve">                                             -  </v>
          </cell>
          <cell r="AH255">
            <v>0</v>
          </cell>
          <cell r="AI255">
            <v>0</v>
          </cell>
          <cell r="AJ255">
            <v>0</v>
          </cell>
          <cell r="AK255">
            <v>5244.51</v>
          </cell>
        </row>
        <row r="262">
          <cell r="Y262" t="str">
            <v>Budget 2026</v>
          </cell>
          <cell r="Z262" t="str">
            <v>Budget 2026</v>
          </cell>
          <cell r="AA262" t="str">
            <v>Budget 2026</v>
          </cell>
          <cell r="AB262" t="str">
            <v>Budget 2026</v>
          </cell>
          <cell r="AC262" t="str">
            <v>Budget 2026</v>
          </cell>
          <cell r="AD262" t="str">
            <v>Budget 2026</v>
          </cell>
          <cell r="AE262" t="str">
            <v>Budget 2026</v>
          </cell>
          <cell r="AF262" t="str">
            <v>Budget 2026</v>
          </cell>
          <cell r="AG262" t="str">
            <v>Budget 2026</v>
          </cell>
          <cell r="AH262" t="str">
            <v>Budget 2026</v>
          </cell>
          <cell r="AI262" t="str">
            <v>Budget 2026</v>
          </cell>
          <cell r="AJ262" t="str">
            <v>Budget 2026</v>
          </cell>
          <cell r="AK262" t="str">
            <v>Budget 2026</v>
          </cell>
        </row>
        <row r="263">
          <cell r="Y263">
            <v>165925.39326467123</v>
          </cell>
          <cell r="Z263">
            <v>679961.25431894138</v>
          </cell>
          <cell r="AA263">
            <v>1070134.708319559</v>
          </cell>
          <cell r="AB263">
            <v>930107.86923931632</v>
          </cell>
          <cell r="AC263">
            <v>768062.95377214556</v>
          </cell>
          <cell r="AD263">
            <v>939112.50408464111</v>
          </cell>
          <cell r="AE263">
            <v>552530.90908996109</v>
          </cell>
          <cell r="AF263">
            <v>212021.22375550939</v>
          </cell>
          <cell r="AG263">
            <v>374226.22925947327</v>
          </cell>
          <cell r="AH263">
            <v>199739.05520129766</v>
          </cell>
          <cell r="AI263">
            <v>347699.43259168835</v>
          </cell>
          <cell r="AJ263">
            <v>-59521.525966715031</v>
          </cell>
          <cell r="AK263">
            <v>6180000.0069304872</v>
          </cell>
        </row>
        <row r="264">
          <cell r="J264" t="str">
            <v>Accounting account Ceres (2026)</v>
          </cell>
          <cell r="Y264" t="str">
            <v>Jan-26</v>
          </cell>
          <cell r="Z264" t="str">
            <v>Feb-26</v>
          </cell>
          <cell r="AA264" t="str">
            <v>Mar-26</v>
          </cell>
          <cell r="AB264" t="str">
            <v>Apr-26</v>
          </cell>
          <cell r="AC264" t="str">
            <v>May-26</v>
          </cell>
          <cell r="AD264" t="str">
            <v>Jun-26</v>
          </cell>
          <cell r="AE264" t="str">
            <v>Jul-26</v>
          </cell>
          <cell r="AF264" t="str">
            <v>Aug-26</v>
          </cell>
          <cell r="AG264" t="str">
            <v>Sep-26</v>
          </cell>
          <cell r="AH264" t="str">
            <v>Oct-26</v>
          </cell>
          <cell r="AI264" t="str">
            <v>Nov-26</v>
          </cell>
          <cell r="AJ264" t="str">
            <v>Dec-26</v>
          </cell>
          <cell r="AK264" t="str">
            <v>FY</v>
          </cell>
        </row>
        <row r="265">
          <cell r="J265" t="str">
            <v>700000000 - Ventas de mercaderías</v>
          </cell>
          <cell r="Y265">
            <v>805693.62811979756</v>
          </cell>
          <cell r="Z265">
            <v>1513247.982982774</v>
          </cell>
          <cell r="AA265">
            <v>2302217.3090809081</v>
          </cell>
          <cell r="AB265">
            <v>1891255.3201136913</v>
          </cell>
          <cell r="AC265">
            <v>1636909.2122451151</v>
          </cell>
          <cell r="AD265">
            <v>2150256.5698825037</v>
          </cell>
          <cell r="AE265">
            <v>1348021.027940067</v>
          </cell>
          <cell r="AF265">
            <v>776075.61364342039</v>
          </cell>
          <cell r="AG265">
            <v>1026568.4889409887</v>
          </cell>
          <cell r="AH265">
            <v>798567.18401725299</v>
          </cell>
          <cell r="AI265">
            <v>1030243.0087822902</v>
          </cell>
          <cell r="AJ265">
            <v>659944.65275764244</v>
          </cell>
          <cell r="AK265">
            <v>15938999.998506451</v>
          </cell>
        </row>
        <row r="266">
          <cell r="J266" t="str">
            <v>601000000 - Compras de materias primas</v>
          </cell>
          <cell r="Y266">
            <v>-193377.73241340165</v>
          </cell>
          <cell r="Z266">
            <v>-363200.66749349062</v>
          </cell>
          <cell r="AA266">
            <v>-552564.33365606016</v>
          </cell>
          <cell r="AB266">
            <v>-453927.71204092016</v>
          </cell>
          <cell r="AC266">
            <v>-392881.09100386454</v>
          </cell>
          <cell r="AD266">
            <v>-516091.63220175199</v>
          </cell>
          <cell r="AE266">
            <v>-323543.88880666828</v>
          </cell>
          <cell r="AF266">
            <v>-186268.99495026076</v>
          </cell>
          <cell r="AG266">
            <v>-246390.78631132425</v>
          </cell>
          <cell r="AH266">
            <v>-191667.28621819356</v>
          </cell>
          <cell r="AI266">
            <v>-247272.72243421149</v>
          </cell>
          <cell r="AJ266">
            <v>-157232.80018983575</v>
          </cell>
          <cell r="AK266">
            <v>-3824419.6477199835</v>
          </cell>
        </row>
        <row r="267">
          <cell r="J267" t="str">
            <v>601000001 - COMPRAS MAT. PRIMAS INTRACOMUNITARIAS</v>
          </cell>
          <cell r="Y267">
            <v>-27270.400295096617</v>
          </cell>
          <cell r="Z267">
            <v>-51219.069881426294</v>
          </cell>
          <cell r="AA267">
            <v>-77923.400897991844</v>
          </cell>
          <cell r="AB267">
            <v>-64013.525538348666</v>
          </cell>
          <cell r="AC267">
            <v>-55404.64502471927</v>
          </cell>
          <cell r="AD267">
            <v>-72779.96914869285</v>
          </cell>
          <cell r="AE267">
            <v>-45626.615074417954</v>
          </cell>
          <cell r="AF267">
            <v>-26267.916121799077</v>
          </cell>
          <cell r="AG267">
            <v>-34746.375851430581</v>
          </cell>
          <cell r="AH267">
            <v>-27029.190762621423</v>
          </cell>
          <cell r="AI267">
            <v>-34870.747726132402</v>
          </cell>
          <cell r="AJ267">
            <v>-22717.602763794403</v>
          </cell>
          <cell r="AK267">
            <v>-539869.45908647135</v>
          </cell>
        </row>
        <row r="268">
          <cell r="J268" t="str">
            <v>602000001 - COMPRA DE ENVASES Y EMBALAJES</v>
          </cell>
          <cell r="Y268">
            <v>-40162.820019730381</v>
          </cell>
          <cell r="Z268">
            <v>-75433.51996910719</v>
          </cell>
          <cell r="AA268">
            <v>-114762.65444310578</v>
          </cell>
          <cell r="AB268">
            <v>-94276.71311034575</v>
          </cell>
          <cell r="AC268">
            <v>-81597.877636763398</v>
          </cell>
          <cell r="AD268">
            <v>-107187.60158742746</v>
          </cell>
          <cell r="AE268">
            <v>-67197.162840065052</v>
          </cell>
          <cell r="AF268">
            <v>-38686.399028872511</v>
          </cell>
          <cell r="AG268">
            <v>-51173.155676406925</v>
          </cell>
          <cell r="AH268">
            <v>-39807.575691263868</v>
          </cell>
          <cell r="AI268">
            <v>-51356.325896319817</v>
          </cell>
          <cell r="AJ268">
            <v>-33457.63102883604</v>
          </cell>
          <cell r="AK268">
            <v>-795099.43692824419</v>
          </cell>
        </row>
        <row r="269">
          <cell r="J269" t="str">
            <v>602000002 - COMPRA DE ETIQUETAS</v>
          </cell>
          <cell r="Y269">
            <v>-7134.4942759764363</v>
          </cell>
          <cell r="Z269">
            <v>-13399.955883873772</v>
          </cell>
          <cell r="AA269">
            <v>-20386.354862979475</v>
          </cell>
          <cell r="AB269">
            <v>-16747.247073616963</v>
          </cell>
          <cell r="AC269">
            <v>-14494.987917813602</v>
          </cell>
          <cell r="AD269">
            <v>-19040.727956987659</v>
          </cell>
          <cell r="AE269">
            <v>-11936.855365454465</v>
          </cell>
          <cell r="AF269">
            <v>-6872.2239198850993</v>
          </cell>
          <cell r="AG269">
            <v>-9090.3623320678162</v>
          </cell>
          <cell r="AH269">
            <v>-7071.3889306154197</v>
          </cell>
          <cell r="AI269">
            <v>-9122.9005573432296</v>
          </cell>
          <cell r="AJ269">
            <v>-5943.3893572636825</v>
          </cell>
          <cell r="AK269">
            <v>-141240.88843387761</v>
          </cell>
        </row>
        <row r="270">
          <cell r="J270" t="str">
            <v>602000003 - COMPRA DE PALETS</v>
          </cell>
          <cell r="Y270">
            <v>-5564.4888334080824</v>
          </cell>
          <cell r="Z270">
            <v>-10451.182942994461</v>
          </cell>
          <cell r="AA270">
            <v>-15900.166094592369</v>
          </cell>
          <cell r="AB270">
            <v>-13061.874566955721</v>
          </cell>
          <cell r="AC270">
            <v>-11305.243972323464</v>
          </cell>
          <cell r="AD270">
            <v>-14850.655701467811</v>
          </cell>
          <cell r="AE270">
            <v>-9310.0499934156942</v>
          </cell>
          <cell r="AF270">
            <v>-5359.9332739876545</v>
          </cell>
          <cell r="AG270">
            <v>-7089.9516814738681</v>
          </cell>
          <cell r="AH270">
            <v>-5515.2703497978091</v>
          </cell>
          <cell r="AI270">
            <v>-7115.3295967402137</v>
          </cell>
          <cell r="AJ270">
            <v>-4635.4965652507917</v>
          </cell>
          <cell r="AK270">
            <v>-110159.64357240795</v>
          </cell>
        </row>
        <row r="271">
          <cell r="J271" t="str">
            <v>602000006 - COMPRA TAPONES DE ENVASES</v>
          </cell>
          <cell r="Y271">
            <v>-3192.9701875131591</v>
          </cell>
          <cell r="Z271">
            <v>-5997.0136629403632</v>
          </cell>
          <cell r="AA271">
            <v>-9123.7053099532641</v>
          </cell>
          <cell r="AB271">
            <v>-7495.0597141880125</v>
          </cell>
          <cell r="AC271">
            <v>-6487.0840874853811</v>
          </cell>
          <cell r="AD271">
            <v>-8521.4837048683821</v>
          </cell>
          <cell r="AE271">
            <v>-5342.2179400846553</v>
          </cell>
          <cell r="AF271">
            <v>-3075.5937631059105</v>
          </cell>
          <cell r="AG271">
            <v>-4068.2989988120357</v>
          </cell>
          <cell r="AH271">
            <v>-3164.7280334632324</v>
          </cell>
          <cell r="AI271">
            <v>-4082.8611498545865</v>
          </cell>
          <cell r="AJ271">
            <v>-2659.9033227101031</v>
          </cell>
          <cell r="AK271">
            <v>-63210.919874979096</v>
          </cell>
        </row>
        <row r="272">
          <cell r="J272" t="str">
            <v>640000000 - Sueldos y salarios</v>
          </cell>
          <cell r="Y272">
            <v>-132746.66666666666</v>
          </cell>
          <cell r="Z272">
            <v>-132746.66666666666</v>
          </cell>
          <cell r="AA272">
            <v>-265493.33333333331</v>
          </cell>
          <cell r="AB272">
            <v>-132746.66666666666</v>
          </cell>
          <cell r="AC272">
            <v>-132746.66666666666</v>
          </cell>
          <cell r="AD272">
            <v>-265493.33333333331</v>
          </cell>
          <cell r="AE272">
            <v>-132746.66666666666</v>
          </cell>
          <cell r="AF272">
            <v>-132746.66666666666</v>
          </cell>
          <cell r="AG272">
            <v>-132746.66666666666</v>
          </cell>
          <cell r="AH272">
            <v>-132746.66666666666</v>
          </cell>
          <cell r="AI272">
            <v>-132746.66666666666</v>
          </cell>
          <cell r="AJ272">
            <v>-265493.33333333331</v>
          </cell>
          <cell r="AK272">
            <v>-1991200.0000000002</v>
          </cell>
        </row>
        <row r="273">
          <cell r="J273" t="str">
            <v>642000000 - Seguridad Social a cargo empresa</v>
          </cell>
          <cell r="Y273">
            <v>-41483.333333333336</v>
          </cell>
          <cell r="Z273">
            <v>-41483.333333333336</v>
          </cell>
          <cell r="AA273">
            <v>-41483.333333333336</v>
          </cell>
          <cell r="AB273">
            <v>-41483.333333333336</v>
          </cell>
          <cell r="AC273">
            <v>-41483.333333333336</v>
          </cell>
          <cell r="AD273">
            <v>-41483.333333333336</v>
          </cell>
          <cell r="AE273">
            <v>-41483.333333333336</v>
          </cell>
          <cell r="AF273">
            <v>-41483.333333333336</v>
          </cell>
          <cell r="AG273">
            <v>-41483.333333333336</v>
          </cell>
          <cell r="AH273">
            <v>-41483.333333333336</v>
          </cell>
          <cell r="AI273">
            <v>-41483.333333333336</v>
          </cell>
          <cell r="AJ273">
            <v>-41483.333333333336</v>
          </cell>
          <cell r="AK273">
            <v>-497799.99999999994</v>
          </cell>
        </row>
        <row r="274">
          <cell r="J274" t="str">
            <v>620000002 - COMPRAS LABORATORIO</v>
          </cell>
          <cell r="Y274">
            <v>-68.590427081255413</v>
          </cell>
          <cell r="Z274">
            <v>-68.590427081255413</v>
          </cell>
          <cell r="AA274">
            <v>-68.590427081255413</v>
          </cell>
          <cell r="AB274">
            <v>-68.590427081255413</v>
          </cell>
          <cell r="AC274">
            <v>-68.590427081255413</v>
          </cell>
          <cell r="AD274">
            <v>-68.590427081255413</v>
          </cell>
          <cell r="AE274">
            <v>-68.590427081255413</v>
          </cell>
          <cell r="AF274">
            <v>-68.590427081255413</v>
          </cell>
          <cell r="AG274">
            <v>-68.590427081255413</v>
          </cell>
          <cell r="AH274">
            <v>-68.590427081255413</v>
          </cell>
          <cell r="AI274">
            <v>-68.590427081255413</v>
          </cell>
          <cell r="AJ274">
            <v>-68.590427081255413</v>
          </cell>
          <cell r="AK274">
            <v>-823.08512497506479</v>
          </cell>
        </row>
        <row r="275">
          <cell r="J275" t="str">
            <v>620000003 - SUMINISTROS LABORATORIO</v>
          </cell>
          <cell r="Y275">
            <v>-808.03784999461595</v>
          </cell>
          <cell r="Z275">
            <v>-808.03784999461595</v>
          </cell>
          <cell r="AA275">
            <v>-808.03784999461595</v>
          </cell>
          <cell r="AB275">
            <v>-808.03784999461595</v>
          </cell>
          <cell r="AC275">
            <v>-808.03784999461595</v>
          </cell>
          <cell r="AD275">
            <v>-808.03784999461595</v>
          </cell>
          <cell r="AE275">
            <v>-808.03784999461595</v>
          </cell>
          <cell r="AF275">
            <v>-808.03784999461595</v>
          </cell>
          <cell r="AG275">
            <v>-808.03784999461595</v>
          </cell>
          <cell r="AH275">
            <v>-808.03784999461595</v>
          </cell>
          <cell r="AI275">
            <v>-808.03784999461595</v>
          </cell>
          <cell r="AJ275">
            <v>-808.03784999461595</v>
          </cell>
          <cell r="AK275">
            <v>-9696.4541999353933</v>
          </cell>
        </row>
        <row r="276">
          <cell r="J276" t="str">
            <v>620000004 - GTOS. ANALISIS LABORATORIOS</v>
          </cell>
          <cell r="Y276">
            <v>-1945.413439828553</v>
          </cell>
          <cell r="Z276">
            <v>-1945.413439828553</v>
          </cell>
          <cell r="AA276">
            <v>-1945.413439828553</v>
          </cell>
          <cell r="AB276">
            <v>-1945.413439828553</v>
          </cell>
          <cell r="AC276">
            <v>-1945.413439828553</v>
          </cell>
          <cell r="AD276">
            <v>-1945.413439828553</v>
          </cell>
          <cell r="AE276">
            <v>-1945.413439828553</v>
          </cell>
          <cell r="AF276">
            <v>-1945.413439828553</v>
          </cell>
          <cell r="AG276">
            <v>-1945.413439828553</v>
          </cell>
          <cell r="AH276">
            <v>-1945.413439828553</v>
          </cell>
          <cell r="AI276">
            <v>-1945.413439828553</v>
          </cell>
          <cell r="AJ276">
            <v>-1945.413439828553</v>
          </cell>
          <cell r="AK276">
            <v>-23344.961277942635</v>
          </cell>
        </row>
        <row r="277">
          <cell r="J277" t="str">
            <v>620000005 - MANTENIMIENTO EQUIPOS LABORATORIO</v>
          </cell>
          <cell r="Y277">
            <v>-261.29161642890898</v>
          </cell>
          <cell r="Z277">
            <v>-261.29161642890898</v>
          </cell>
          <cell r="AA277">
            <v>-261.29161642890898</v>
          </cell>
          <cell r="AB277">
            <v>-261.29161642890898</v>
          </cell>
          <cell r="AC277">
            <v>-261.29161642890898</v>
          </cell>
          <cell r="AD277">
            <v>-261.29161642890898</v>
          </cell>
          <cell r="AE277">
            <v>-261.29161642890898</v>
          </cell>
          <cell r="AF277">
            <v>-261.29161642890898</v>
          </cell>
          <cell r="AG277">
            <v>-261.29161642890898</v>
          </cell>
          <cell r="AH277">
            <v>-261.29161642890898</v>
          </cell>
          <cell r="AI277">
            <v>-261.29161642890898</v>
          </cell>
          <cell r="AJ277">
            <v>-261.29161642890898</v>
          </cell>
          <cell r="AK277">
            <v>-3135.499397146908</v>
          </cell>
        </row>
        <row r="278">
          <cell r="J278" t="str">
            <v>621000001 - ALQUILER OFICINA CARTAGENA</v>
          </cell>
          <cell r="Y278">
            <v>-192</v>
          </cell>
          <cell r="Z278">
            <v>-192</v>
          </cell>
          <cell r="AA278">
            <v>-192</v>
          </cell>
          <cell r="AB278">
            <v>-192</v>
          </cell>
          <cell r="AC278">
            <v>-192</v>
          </cell>
          <cell r="AD278">
            <v>-192</v>
          </cell>
          <cell r="AE278">
            <v>-200</v>
          </cell>
          <cell r="AF278">
            <v>-200</v>
          </cell>
          <cell r="AG278">
            <v>-200</v>
          </cell>
          <cell r="AH278">
            <v>-200</v>
          </cell>
          <cell r="AI278">
            <v>-200</v>
          </cell>
          <cell r="AJ278">
            <v>-200</v>
          </cell>
          <cell r="AK278">
            <v>-2352</v>
          </cell>
        </row>
        <row r="279">
          <cell r="J279" t="str">
            <v>621000031 - ALQUILER RENTING KONICA-MINOLTA Y KYOCERA</v>
          </cell>
          <cell r="Y279">
            <v>-338</v>
          </cell>
          <cell r="Z279">
            <v>-338</v>
          </cell>
          <cell r="AA279">
            <v>-338</v>
          </cell>
          <cell r="AB279">
            <v>-338</v>
          </cell>
          <cell r="AC279">
            <v>-338</v>
          </cell>
          <cell r="AD279">
            <v>-338</v>
          </cell>
          <cell r="AE279">
            <v>-338</v>
          </cell>
          <cell r="AF279">
            <v>-338</v>
          </cell>
          <cell r="AG279">
            <v>-338</v>
          </cell>
          <cell r="AH279">
            <v>-338</v>
          </cell>
          <cell r="AI279">
            <v>-338</v>
          </cell>
          <cell r="AJ279">
            <v>-338</v>
          </cell>
          <cell r="AK279">
            <v>-4056</v>
          </cell>
        </row>
        <row r="280">
          <cell r="J280" t="str">
            <v>621000032 - ALQUILER RENTING 6665-LVK JOSE JUAN</v>
          </cell>
          <cell r="Y280">
            <v>-349</v>
          </cell>
          <cell r="Z280">
            <v>-349</v>
          </cell>
          <cell r="AA280">
            <v>-349</v>
          </cell>
          <cell r="AB280">
            <v>-349</v>
          </cell>
          <cell r="AC280">
            <v>-349</v>
          </cell>
          <cell r="AD280">
            <v>-349</v>
          </cell>
          <cell r="AE280">
            <v>-349</v>
          </cell>
          <cell r="AF280">
            <v>-349</v>
          </cell>
          <cell r="AG280">
            <v>-349</v>
          </cell>
          <cell r="AH280">
            <v>-349</v>
          </cell>
          <cell r="AI280">
            <v>-349</v>
          </cell>
          <cell r="AJ280">
            <v>-349</v>
          </cell>
          <cell r="AK280">
            <v>-4188</v>
          </cell>
        </row>
        <row r="281">
          <cell r="J281" t="str">
            <v>621000033 - ALQUILER RENTING 2612-MBY ANTONIO</v>
          </cell>
          <cell r="Y281">
            <v>-361.46</v>
          </cell>
          <cell r="Z281">
            <v>-361.46</v>
          </cell>
          <cell r="AA281">
            <v>-361.46</v>
          </cell>
          <cell r="AB281">
            <v>-361.46</v>
          </cell>
          <cell r="AC281">
            <v>-361.46</v>
          </cell>
          <cell r="AD281">
            <v>-361.46</v>
          </cell>
          <cell r="AE281">
            <v>-361.46</v>
          </cell>
          <cell r="AF281">
            <v>-361.46</v>
          </cell>
          <cell r="AG281">
            <v>-361.46</v>
          </cell>
          <cell r="AH281">
            <v>-361.45999999999964</v>
          </cell>
          <cell r="AI281">
            <v>-361.46</v>
          </cell>
          <cell r="AJ281">
            <v>-361.46</v>
          </cell>
          <cell r="AK281">
            <v>-4337.5199999999995</v>
          </cell>
        </row>
        <row r="282">
          <cell r="J282" t="str">
            <v>621000034 - ALQUILER RENTING 3108-LZM NIEVES</v>
          </cell>
          <cell r="Y282">
            <v>-711.59</v>
          </cell>
          <cell r="Z282">
            <v>-711.59</v>
          </cell>
          <cell r="AA282">
            <v>-711.59</v>
          </cell>
          <cell r="AB282">
            <v>-711.59</v>
          </cell>
          <cell r="AC282">
            <v>-711.59</v>
          </cell>
          <cell r="AD282">
            <v>-711.59</v>
          </cell>
          <cell r="AE282">
            <v>-711.59</v>
          </cell>
          <cell r="AF282">
            <v>-711.59</v>
          </cell>
          <cell r="AG282">
            <v>-711.59</v>
          </cell>
          <cell r="AH282">
            <v>-650.94999999999902</v>
          </cell>
          <cell r="AI282">
            <v>-650.94999999999982</v>
          </cell>
          <cell r="AJ282">
            <v>-650.95000000000005</v>
          </cell>
          <cell r="AK282">
            <v>-8357.16</v>
          </cell>
        </row>
        <row r="283">
          <cell r="J283" t="str">
            <v>621000037 - CARRETILLA STILL ELEKTROSTAPLER 516213H00521</v>
          </cell>
          <cell r="Y283">
            <v>-200</v>
          </cell>
          <cell r="Z283">
            <v>-200</v>
          </cell>
          <cell r="AA283">
            <v>-200</v>
          </cell>
          <cell r="AB283">
            <v>-200</v>
          </cell>
          <cell r="AC283">
            <v>-200</v>
          </cell>
          <cell r="AD283">
            <v>-200</v>
          </cell>
          <cell r="AE283">
            <v>-200</v>
          </cell>
          <cell r="AF283">
            <v>-200</v>
          </cell>
          <cell r="AG283">
            <v>-200</v>
          </cell>
          <cell r="AH283">
            <v>-200</v>
          </cell>
          <cell r="AI283">
            <v>-200</v>
          </cell>
          <cell r="AJ283">
            <v>-200</v>
          </cell>
          <cell r="AK283">
            <v>-2400</v>
          </cell>
        </row>
        <row r="284">
          <cell r="J284" t="str">
            <v>621000038 - CARRETILLA STILL ELEKTROSTAPLER 516223J00123</v>
          </cell>
          <cell r="Y284">
            <v>-200.22</v>
          </cell>
          <cell r="Z284">
            <v>-200.22</v>
          </cell>
          <cell r="AA284">
            <v>-200.22</v>
          </cell>
          <cell r="AB284">
            <v>-200.22</v>
          </cell>
          <cell r="AC284">
            <v>-200.22</v>
          </cell>
          <cell r="AD284">
            <v>-200.22</v>
          </cell>
          <cell r="AE284">
            <v>-200.22</v>
          </cell>
          <cell r="AF284">
            <v>-200.22</v>
          </cell>
          <cell r="AG284">
            <v>-200.22</v>
          </cell>
          <cell r="AH284">
            <v>-200.22000000000006</v>
          </cell>
          <cell r="AI284">
            <v>-200.2199999999998</v>
          </cell>
          <cell r="AJ284">
            <v>-200.22</v>
          </cell>
          <cell r="AK284">
            <v>-2402.64</v>
          </cell>
        </row>
        <row r="285">
          <cell r="J285" t="str">
            <v>621000039 - ALQUILER RENTING 5043-MWW CURRO</v>
          </cell>
          <cell r="Y285">
            <v>-369.97</v>
          </cell>
          <cell r="Z285">
            <v>-369.96</v>
          </cell>
          <cell r="AA285">
            <v>-369.96</v>
          </cell>
          <cell r="AB285">
            <v>-369.96</v>
          </cell>
          <cell r="AC285">
            <v>-369.97</v>
          </cell>
          <cell r="AD285">
            <v>-369.97</v>
          </cell>
          <cell r="AE285">
            <v>-369.97</v>
          </cell>
          <cell r="AF285">
            <v>-369.97</v>
          </cell>
          <cell r="AG285">
            <v>-369.97</v>
          </cell>
          <cell r="AH285">
            <v>-369.96999999999889</v>
          </cell>
          <cell r="AI285">
            <v>-369.9699999999998</v>
          </cell>
          <cell r="AJ285">
            <v>-369.97</v>
          </cell>
          <cell r="AK285">
            <v>-4439.6099999999997</v>
          </cell>
        </row>
        <row r="286">
          <cell r="J286" t="str">
            <v>621000040 - ALQUILER RENTING 8917-MZT JAVIER</v>
          </cell>
          <cell r="Y286">
            <v>-1068.2199999999993</v>
          </cell>
          <cell r="Z286">
            <v>-1068.2199999999993</v>
          </cell>
          <cell r="AA286">
            <v>-1068.2199999999993</v>
          </cell>
          <cell r="AB286">
            <v>-1068.2199999999993</v>
          </cell>
          <cell r="AC286">
            <v>-1068.2199999999993</v>
          </cell>
          <cell r="AD286">
            <v>-1068.2199999999993</v>
          </cell>
          <cell r="AE286">
            <v>-1068.2199999999993</v>
          </cell>
          <cell r="AF286">
            <v>-1068.2199999999993</v>
          </cell>
          <cell r="AG286">
            <v>-1068.2199999999993</v>
          </cell>
          <cell r="AH286">
            <v>-1068.2199999999993</v>
          </cell>
          <cell r="AI286">
            <v>-1068.2199999999993</v>
          </cell>
          <cell r="AJ286">
            <v>-1068.2199999999993</v>
          </cell>
          <cell r="AK286">
            <v>-12818.639999999992</v>
          </cell>
        </row>
        <row r="287">
          <cell r="J287" t="str">
            <v>621000041 - ALQUILER RENTING 8929-MZT RICARDO</v>
          </cell>
          <cell r="Y287">
            <v>-911.27999999999975</v>
          </cell>
          <cell r="Z287">
            <v>-911.27999999999975</v>
          </cell>
          <cell r="AA287">
            <v>-911.27999999999975</v>
          </cell>
          <cell r="AB287">
            <v>-911.27999999999975</v>
          </cell>
          <cell r="AC287">
            <v>-911.27999999999975</v>
          </cell>
          <cell r="AD287">
            <v>-911.27999999999975</v>
          </cell>
          <cell r="AE287">
            <v>-911.27999999999975</v>
          </cell>
          <cell r="AF287">
            <v>-911.27999999999975</v>
          </cell>
          <cell r="AG287">
            <v>-911.27999999999975</v>
          </cell>
          <cell r="AH287">
            <v>-911.27999999999975</v>
          </cell>
          <cell r="AI287">
            <v>-911.27999999999975</v>
          </cell>
          <cell r="AJ287">
            <v>-911.27999999999975</v>
          </cell>
          <cell r="AK287">
            <v>-10935.359999999993</v>
          </cell>
        </row>
        <row r="288">
          <cell r="J288" t="str">
            <v>621000042 - ALQUILER RENTING 4946-NFH GARCIA</v>
          </cell>
          <cell r="Y288">
            <v>-613.15000000000009</v>
          </cell>
          <cell r="Z288">
            <v>-613.15000000000009</v>
          </cell>
          <cell r="AA288">
            <v>-613.15000000000009</v>
          </cell>
          <cell r="AB288">
            <v>-613.15000000000009</v>
          </cell>
          <cell r="AC288">
            <v>-613.15000000000009</v>
          </cell>
          <cell r="AD288">
            <v>-613.15000000000009</v>
          </cell>
          <cell r="AE288">
            <v>-613.15000000000009</v>
          </cell>
          <cell r="AF288">
            <v>-613.15000000000009</v>
          </cell>
          <cell r="AG288">
            <v>-613.15000000000009</v>
          </cell>
          <cell r="AH288">
            <v>-613.15000000000009</v>
          </cell>
          <cell r="AI288">
            <v>-613.15000000000009</v>
          </cell>
          <cell r="AJ288">
            <v>-613.15000000000009</v>
          </cell>
          <cell r="AK288">
            <v>-7357.7999999999993</v>
          </cell>
        </row>
        <row r="289">
          <cell r="J289" t="str">
            <v>621000043 - CANON OFICINA VIRTUAL O365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-5250</v>
          </cell>
          <cell r="AK289">
            <v>-5250</v>
          </cell>
        </row>
        <row r="290">
          <cell r="J290" t="str">
            <v>621000044 - ALQUILER COMPRESOR DE TORNILLO 37KW KAESER BSD 75C</v>
          </cell>
          <cell r="Y290">
            <v>-592.10582999999997</v>
          </cell>
          <cell r="Z290">
            <v>-592.10582999999997</v>
          </cell>
          <cell r="AA290">
            <v>-592.10582999999997</v>
          </cell>
          <cell r="AB290">
            <v>-592.10582999999997</v>
          </cell>
          <cell r="AC290">
            <v>-592.10582999999997</v>
          </cell>
          <cell r="AD290">
            <v>-592.10582999999997</v>
          </cell>
          <cell r="AE290">
            <v>-592.10582999999997</v>
          </cell>
          <cell r="AF290">
            <v>-592.10582999999997</v>
          </cell>
          <cell r="AG290">
            <v>-592.10582999999997</v>
          </cell>
          <cell r="AH290">
            <v>-592.10582999999997</v>
          </cell>
          <cell r="AI290">
            <v>-592.10582999999997</v>
          </cell>
          <cell r="AJ290">
            <v>-592.10582999999997</v>
          </cell>
          <cell r="AK290">
            <v>-7105.2699600000014</v>
          </cell>
        </row>
        <row r="291">
          <cell r="J291" t="str">
            <v>622000001 - REPAR. EQUIPOS INFORM. Y FOTOCOPIADORAS</v>
          </cell>
          <cell r="Y291">
            <v>-1200</v>
          </cell>
          <cell r="Z291">
            <v>-1200</v>
          </cell>
          <cell r="AA291">
            <v>-1200</v>
          </cell>
          <cell r="AB291">
            <v>-1200</v>
          </cell>
          <cell r="AC291">
            <v>-1200</v>
          </cell>
          <cell r="AD291">
            <v>-1200</v>
          </cell>
          <cell r="AE291">
            <v>-1200</v>
          </cell>
          <cell r="AF291">
            <v>-1200</v>
          </cell>
          <cell r="AG291">
            <v>-1200</v>
          </cell>
          <cell r="AH291">
            <v>-1200</v>
          </cell>
          <cell r="AI291">
            <v>-1300</v>
          </cell>
          <cell r="AJ291">
            <v>-1300</v>
          </cell>
          <cell r="AK291">
            <v>-14600</v>
          </cell>
        </row>
        <row r="292">
          <cell r="J292" t="str">
            <v>622000004 - REP. Y CONSERV. CARRETILLA ELECTRICA</v>
          </cell>
          <cell r="Y292">
            <v>-240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-240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-480</v>
          </cell>
        </row>
        <row r="293">
          <cell r="J293" t="str">
            <v>622000005 - REP. Y MANT. EQUIPOS SEGURIDAD</v>
          </cell>
          <cell r="Y293">
            <v>-90</v>
          </cell>
          <cell r="Z293">
            <v>-90</v>
          </cell>
          <cell r="AA293">
            <v>-90</v>
          </cell>
          <cell r="AB293">
            <v>-90</v>
          </cell>
          <cell r="AC293">
            <v>-90</v>
          </cell>
          <cell r="AD293">
            <v>-90</v>
          </cell>
          <cell r="AE293">
            <v>-90</v>
          </cell>
          <cell r="AF293">
            <v>-90</v>
          </cell>
          <cell r="AG293">
            <v>-90</v>
          </cell>
          <cell r="AH293">
            <v>-90</v>
          </cell>
          <cell r="AI293">
            <v>-90</v>
          </cell>
          <cell r="AJ293">
            <v>-90</v>
          </cell>
          <cell r="AK293">
            <v>-1080</v>
          </cell>
        </row>
        <row r="294">
          <cell r="J294" t="str">
            <v>622000006 - REP. Y MANT. INSTALACIONES VARIAS</v>
          </cell>
          <cell r="Y294">
            <v>-1850</v>
          </cell>
          <cell r="Z294">
            <v>-1850</v>
          </cell>
          <cell r="AA294">
            <v>-1850</v>
          </cell>
          <cell r="AB294">
            <v>-1850</v>
          </cell>
          <cell r="AC294">
            <v>-1850</v>
          </cell>
          <cell r="AD294">
            <v>-1850</v>
          </cell>
          <cell r="AE294">
            <v>-1850</v>
          </cell>
          <cell r="AF294">
            <v>-1850</v>
          </cell>
          <cell r="AG294">
            <v>-1850</v>
          </cell>
          <cell r="AH294">
            <v>-1850</v>
          </cell>
          <cell r="AI294">
            <v>-1850</v>
          </cell>
          <cell r="AJ294">
            <v>-1850</v>
          </cell>
          <cell r="AK294">
            <v>-22200</v>
          </cell>
        </row>
        <row r="295">
          <cell r="J295" t="str">
            <v>622000011 - REP. Y MANT. OFICINAS</v>
          </cell>
          <cell r="Y295">
            <v>-50</v>
          </cell>
          <cell r="Z295">
            <v>-50</v>
          </cell>
          <cell r="AA295">
            <v>-50</v>
          </cell>
          <cell r="AB295">
            <v>-50</v>
          </cell>
          <cell r="AC295">
            <v>-50</v>
          </cell>
          <cell r="AD295">
            <v>-50</v>
          </cell>
          <cell r="AE295">
            <v>-50</v>
          </cell>
          <cell r="AF295">
            <v>-50</v>
          </cell>
          <cell r="AG295">
            <v>-50</v>
          </cell>
          <cell r="AH295">
            <v>-50</v>
          </cell>
          <cell r="AI295">
            <v>-50</v>
          </cell>
          <cell r="AJ295">
            <v>-50</v>
          </cell>
          <cell r="AK295">
            <v>-600</v>
          </cell>
        </row>
        <row r="296">
          <cell r="J296" t="str">
            <v>622000012 - LIMPIEZA OFICINAS, LABORATORIO Y VESTUARIOS</v>
          </cell>
          <cell r="Y296">
            <v>-560</v>
          </cell>
          <cell r="Z296">
            <v>-560</v>
          </cell>
          <cell r="AA296">
            <v>-560</v>
          </cell>
          <cell r="AB296">
            <v>-560</v>
          </cell>
          <cell r="AC296">
            <v>-560</v>
          </cell>
          <cell r="AD296">
            <v>-560</v>
          </cell>
          <cell r="AE296">
            <v>-560</v>
          </cell>
          <cell r="AF296">
            <v>-560</v>
          </cell>
          <cell r="AG296">
            <v>-560</v>
          </cell>
          <cell r="AH296">
            <v>-560</v>
          </cell>
          <cell r="AI296">
            <v>-560</v>
          </cell>
          <cell r="AJ296">
            <v>-560</v>
          </cell>
          <cell r="AK296">
            <v>-6720</v>
          </cell>
        </row>
        <row r="297">
          <cell r="J297" t="str">
            <v>622010001 - MANTENIMIENTO REPUESTO COMPRA AMAZON</v>
          </cell>
          <cell r="Y297">
            <v>-180</v>
          </cell>
          <cell r="Z297">
            <v>-180</v>
          </cell>
          <cell r="AA297">
            <v>-180</v>
          </cell>
          <cell r="AB297">
            <v>-180</v>
          </cell>
          <cell r="AC297">
            <v>-180</v>
          </cell>
          <cell r="AD297">
            <v>-180</v>
          </cell>
          <cell r="AE297">
            <v>-180</v>
          </cell>
          <cell r="AF297">
            <v>-180</v>
          </cell>
          <cell r="AG297">
            <v>-180</v>
          </cell>
          <cell r="AH297">
            <v>-180</v>
          </cell>
          <cell r="AI297">
            <v>-180</v>
          </cell>
          <cell r="AJ297">
            <v>-180</v>
          </cell>
          <cell r="AK297">
            <v>-2160</v>
          </cell>
        </row>
        <row r="298">
          <cell r="J298" t="str">
            <v>622010200 - ALCAPLANT</v>
          </cell>
          <cell r="Y298">
            <v>-750</v>
          </cell>
          <cell r="Z298">
            <v>-750</v>
          </cell>
          <cell r="AA298">
            <v>-750</v>
          </cell>
          <cell r="AB298">
            <v>-750</v>
          </cell>
          <cell r="AC298">
            <v>-750</v>
          </cell>
          <cell r="AD298">
            <v>-750</v>
          </cell>
          <cell r="AE298">
            <v>-750</v>
          </cell>
          <cell r="AF298">
            <v>-750</v>
          </cell>
          <cell r="AG298">
            <v>-750</v>
          </cell>
          <cell r="AH298">
            <v>-750</v>
          </cell>
          <cell r="AI298">
            <v>-750</v>
          </cell>
          <cell r="AJ298">
            <v>-750</v>
          </cell>
          <cell r="AK298">
            <v>-9000</v>
          </cell>
        </row>
        <row r="299">
          <cell r="J299" t="str">
            <v>622010201 - REPARACIONES ALCAPLANT</v>
          </cell>
          <cell r="Y299">
            <v>-2800</v>
          </cell>
          <cell r="Z299">
            <v>-2800</v>
          </cell>
          <cell r="AA299">
            <v>-2800</v>
          </cell>
          <cell r="AB299">
            <v>-2800</v>
          </cell>
          <cell r="AC299">
            <v>-2800</v>
          </cell>
          <cell r="AD299">
            <v>-2800</v>
          </cell>
          <cell r="AE299">
            <v>-2800</v>
          </cell>
          <cell r="AF299">
            <v>-2800</v>
          </cell>
          <cell r="AG299">
            <v>-2800</v>
          </cell>
          <cell r="AH299">
            <v>-2800</v>
          </cell>
          <cell r="AI299">
            <v>-2800</v>
          </cell>
          <cell r="AJ299">
            <v>-2800</v>
          </cell>
          <cell r="AK299">
            <v>-33600</v>
          </cell>
        </row>
        <row r="300">
          <cell r="J300" t="str">
            <v>622010300 - SOLIDOS</v>
          </cell>
          <cell r="Y300">
            <v>-450</v>
          </cell>
          <cell r="Z300">
            <v>-450</v>
          </cell>
          <cell r="AA300">
            <v>-450</v>
          </cell>
          <cell r="AB300">
            <v>-450</v>
          </cell>
          <cell r="AC300">
            <v>-450</v>
          </cell>
          <cell r="AD300">
            <v>-450</v>
          </cell>
          <cell r="AE300">
            <v>-450</v>
          </cell>
          <cell r="AF300">
            <v>-450</v>
          </cell>
          <cell r="AG300">
            <v>-450</v>
          </cell>
          <cell r="AH300">
            <v>-450</v>
          </cell>
          <cell r="AI300">
            <v>-450</v>
          </cell>
          <cell r="AJ300">
            <v>-450</v>
          </cell>
          <cell r="AK300">
            <v>-5400</v>
          </cell>
        </row>
        <row r="301">
          <cell r="J301" t="str">
            <v>622010400 - LIQUIDOS</v>
          </cell>
          <cell r="Y301">
            <v>-1200</v>
          </cell>
          <cell r="Z301">
            <v>-1200</v>
          </cell>
          <cell r="AA301">
            <v>-1200</v>
          </cell>
          <cell r="AB301">
            <v>-1200</v>
          </cell>
          <cell r="AC301">
            <v>-1200</v>
          </cell>
          <cell r="AD301">
            <v>-1200</v>
          </cell>
          <cell r="AE301">
            <v>-1200</v>
          </cell>
          <cell r="AF301">
            <v>-1200</v>
          </cell>
          <cell r="AG301">
            <v>-1200</v>
          </cell>
          <cell r="AH301">
            <v>-1200</v>
          </cell>
          <cell r="AI301">
            <v>-1200</v>
          </cell>
          <cell r="AJ301">
            <v>-1200</v>
          </cell>
          <cell r="AK301">
            <v>-14400</v>
          </cell>
        </row>
        <row r="302">
          <cell r="J302" t="str">
            <v>622010500 - REPUESTOS MANT. VARIOS</v>
          </cell>
          <cell r="Y302">
            <v>-50</v>
          </cell>
          <cell r="Z302">
            <v>-50</v>
          </cell>
          <cell r="AA302">
            <v>-50</v>
          </cell>
          <cell r="AB302">
            <v>-50</v>
          </cell>
          <cell r="AC302">
            <v>-50</v>
          </cell>
          <cell r="AD302">
            <v>-50</v>
          </cell>
          <cell r="AE302">
            <v>-50</v>
          </cell>
          <cell r="AF302">
            <v>-50</v>
          </cell>
          <cell r="AG302">
            <v>-50</v>
          </cell>
          <cell r="AH302">
            <v>-50</v>
          </cell>
          <cell r="AI302">
            <v>-50</v>
          </cell>
          <cell r="AJ302">
            <v>-50</v>
          </cell>
          <cell r="AK302">
            <v>-600</v>
          </cell>
        </row>
        <row r="303">
          <cell r="J303" t="str">
            <v>622010501 - REP. MANT. FONTANERIA</v>
          </cell>
          <cell r="Y303">
            <v>0</v>
          </cell>
          <cell r="Z303">
            <v>-160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-160</v>
          </cell>
        </row>
        <row r="304">
          <cell r="J304" t="str">
            <v>623000001 - SERV. PROF. INDEPENDIENTES</v>
          </cell>
          <cell r="Y304">
            <v>-1000</v>
          </cell>
          <cell r="Z304">
            <v>-1000</v>
          </cell>
          <cell r="AA304">
            <v>-1000</v>
          </cell>
          <cell r="AB304">
            <v>-1000</v>
          </cell>
          <cell r="AC304">
            <v>-1000</v>
          </cell>
          <cell r="AD304">
            <v>-1000</v>
          </cell>
          <cell r="AE304">
            <v>-1000</v>
          </cell>
          <cell r="AF304">
            <v>-1000</v>
          </cell>
          <cell r="AG304">
            <v>-1000</v>
          </cell>
          <cell r="AH304">
            <v>-1000</v>
          </cell>
          <cell r="AI304">
            <v>-1000</v>
          </cell>
          <cell r="AJ304">
            <v>-1000</v>
          </cell>
          <cell r="AK304">
            <v>-12000</v>
          </cell>
        </row>
        <row r="305">
          <cell r="J305" t="str">
            <v>623000002 - SERVICIOS CONTABLES Y FINANCIEROS</v>
          </cell>
          <cell r="Y305">
            <v>-11000</v>
          </cell>
          <cell r="Z305">
            <v>-11000</v>
          </cell>
          <cell r="AA305">
            <v>-11000</v>
          </cell>
          <cell r="AB305">
            <v>-11000</v>
          </cell>
          <cell r="AC305">
            <v>-11000</v>
          </cell>
          <cell r="AD305">
            <v>-11000</v>
          </cell>
          <cell r="AE305">
            <v>-11000</v>
          </cell>
          <cell r="AF305">
            <v>-11000</v>
          </cell>
          <cell r="AG305">
            <v>-11000</v>
          </cell>
          <cell r="AH305">
            <v>-11000</v>
          </cell>
          <cell r="AI305">
            <v>-11000</v>
          </cell>
          <cell r="AJ305">
            <v>-11000</v>
          </cell>
          <cell r="AK305">
            <v>-132000</v>
          </cell>
        </row>
        <row r="306">
          <cell r="J306" t="str">
            <v>623000003 - SERV. NOTARIOS, REGISTROS, LEGAL</v>
          </cell>
          <cell r="Y306">
            <v>-500</v>
          </cell>
          <cell r="Z306">
            <v>-500</v>
          </cell>
          <cell r="AA306">
            <v>-500</v>
          </cell>
          <cell r="AB306">
            <v>-500</v>
          </cell>
          <cell r="AC306">
            <v>-500</v>
          </cell>
          <cell r="AD306">
            <v>-500</v>
          </cell>
          <cell r="AE306">
            <v>-500</v>
          </cell>
          <cell r="AF306">
            <v>-500</v>
          </cell>
          <cell r="AG306">
            <v>-500</v>
          </cell>
          <cell r="AH306">
            <v>-500</v>
          </cell>
          <cell r="AI306">
            <v>-500</v>
          </cell>
          <cell r="AJ306">
            <v>-500</v>
          </cell>
          <cell r="AK306">
            <v>-6000</v>
          </cell>
        </row>
        <row r="307">
          <cell r="J307" t="str">
            <v>623000004 - GTOS. BCS. OKO</v>
          </cell>
          <cell r="Y307">
            <v>-450</v>
          </cell>
          <cell r="Z307">
            <v>-450</v>
          </cell>
          <cell r="AA307">
            <v>-450</v>
          </cell>
          <cell r="AB307">
            <v>-450</v>
          </cell>
          <cell r="AC307">
            <v>-450</v>
          </cell>
          <cell r="AD307">
            <v>-450</v>
          </cell>
          <cell r="AE307">
            <v>-450</v>
          </cell>
          <cell r="AF307">
            <v>-450</v>
          </cell>
          <cell r="AG307">
            <v>-450</v>
          </cell>
          <cell r="AH307">
            <v>-450</v>
          </cell>
          <cell r="AI307">
            <v>-450</v>
          </cell>
          <cell r="AJ307">
            <v>-450</v>
          </cell>
          <cell r="AK307">
            <v>-5400</v>
          </cell>
        </row>
        <row r="308">
          <cell r="J308" t="str">
            <v>623000005 - SERVICIOS PREST. CAMARA COMERCIO</v>
          </cell>
          <cell r="Y308">
            <v>-700</v>
          </cell>
          <cell r="Z308">
            <v>-700</v>
          </cell>
          <cell r="AA308">
            <v>-700</v>
          </cell>
          <cell r="AB308">
            <v>-700</v>
          </cell>
          <cell r="AC308">
            <v>-700</v>
          </cell>
          <cell r="AD308">
            <v>-700</v>
          </cell>
          <cell r="AE308">
            <v>-700</v>
          </cell>
          <cell r="AF308">
            <v>-700</v>
          </cell>
          <cell r="AG308">
            <v>-700</v>
          </cell>
          <cell r="AH308">
            <v>-700</v>
          </cell>
          <cell r="AI308">
            <v>-700</v>
          </cell>
          <cell r="AJ308">
            <v>-700</v>
          </cell>
          <cell r="AK308">
            <v>-8400</v>
          </cell>
        </row>
        <row r="309">
          <cell r="J309" t="str">
            <v>623100002 - GASTOS MAURICIO ALISTE</v>
          </cell>
          <cell r="Y309">
            <v>-5000</v>
          </cell>
          <cell r="Z309">
            <v>-5000</v>
          </cell>
          <cell r="AA309">
            <v>-5000</v>
          </cell>
          <cell r="AB309">
            <v>-5000</v>
          </cell>
          <cell r="AC309">
            <v>-5000</v>
          </cell>
          <cell r="AD309">
            <v>-5000</v>
          </cell>
          <cell r="AE309">
            <v>-5000</v>
          </cell>
          <cell r="AF309">
            <v>-5000</v>
          </cell>
          <cell r="AG309">
            <v>-5000</v>
          </cell>
          <cell r="AH309">
            <v>-5000</v>
          </cell>
          <cell r="AI309">
            <v>-5000</v>
          </cell>
          <cell r="AJ309">
            <v>-5000</v>
          </cell>
          <cell r="AK309">
            <v>-60000</v>
          </cell>
        </row>
        <row r="310">
          <cell r="J310" t="str">
            <v>623100006 - GASTOS Y SERVICIOS AGRICOLA DEL JUCAR</v>
          </cell>
          <cell r="Y310">
            <v>-18000</v>
          </cell>
          <cell r="Z310">
            <v>-1000</v>
          </cell>
          <cell r="AA310">
            <v>-1000</v>
          </cell>
          <cell r="AB310">
            <v>-1000</v>
          </cell>
          <cell r="AC310">
            <v>-1000</v>
          </cell>
          <cell r="AD310">
            <v>-18000</v>
          </cell>
          <cell r="AE310">
            <v>-1000</v>
          </cell>
          <cell r="AF310">
            <v>-1000</v>
          </cell>
          <cell r="AG310">
            <v>-1000</v>
          </cell>
          <cell r="AH310">
            <v>-1000</v>
          </cell>
          <cell r="AI310">
            <v>-1000</v>
          </cell>
          <cell r="AJ310">
            <v>-15000</v>
          </cell>
          <cell r="AK310">
            <v>-60000</v>
          </cell>
        </row>
        <row r="311">
          <cell r="J311" t="str">
            <v>623100007 - GASTOS Y SUELDO MEHMET CILOGLU</v>
          </cell>
          <cell r="Y311">
            <v>-25000</v>
          </cell>
          <cell r="Z311">
            <v>-20000</v>
          </cell>
          <cell r="AA311">
            <v>-7000</v>
          </cell>
          <cell r="AB311">
            <v>-7000</v>
          </cell>
          <cell r="AC311">
            <v>-7000</v>
          </cell>
          <cell r="AD311">
            <v>-25000</v>
          </cell>
          <cell r="AE311">
            <v>-7000</v>
          </cell>
          <cell r="AF311">
            <v>-7000</v>
          </cell>
          <cell r="AG311">
            <v>-7000</v>
          </cell>
          <cell r="AH311">
            <v>-7000</v>
          </cell>
          <cell r="AI311">
            <v>-7000</v>
          </cell>
          <cell r="AJ311">
            <v>-40000</v>
          </cell>
          <cell r="AK311">
            <v>-166000</v>
          </cell>
        </row>
        <row r="312">
          <cell r="J312" t="str">
            <v>623200001 - GASTOS MARCAS EN ESPAÑA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-1000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-1000</v>
          </cell>
        </row>
        <row r="313">
          <cell r="J313" t="str">
            <v>623200002 - GASTOS MARCAS MEXICO</v>
          </cell>
          <cell r="Y313">
            <v>0</v>
          </cell>
          <cell r="Z313">
            <v>0</v>
          </cell>
          <cell r="AA313">
            <v>-2000</v>
          </cell>
          <cell r="AB313">
            <v>0</v>
          </cell>
          <cell r="AC313">
            <v>0</v>
          </cell>
          <cell r="AD313">
            <v>-1000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-3000</v>
          </cell>
        </row>
        <row r="314">
          <cell r="J314" t="str">
            <v>623200005 - GASTOS MARCAS CHILE</v>
          </cell>
          <cell r="Y314">
            <v>0</v>
          </cell>
          <cell r="Z314">
            <v>-750</v>
          </cell>
          <cell r="AA314">
            <v>0</v>
          </cell>
          <cell r="AB314">
            <v>0</v>
          </cell>
          <cell r="AC314">
            <v>0</v>
          </cell>
          <cell r="AD314">
            <v>-750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-1500</v>
          </cell>
        </row>
        <row r="315">
          <cell r="J315" t="str">
            <v>623200011 - GASTOS MARCAS COLOMBIA</v>
          </cell>
          <cell r="Y315">
            <v>0</v>
          </cell>
          <cell r="Z315">
            <v>0</v>
          </cell>
          <cell r="AA315">
            <v>-1000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-1000</v>
          </cell>
        </row>
        <row r="316">
          <cell r="J316" t="str">
            <v>623200016 - GASTOS MARCAS ECUADOR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-2000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-2000</v>
          </cell>
        </row>
        <row r="317">
          <cell r="J317" t="str">
            <v>623200020 - GASTOS MARCAS TUNEZ</v>
          </cell>
          <cell r="Y317">
            <v>0</v>
          </cell>
          <cell r="Z317">
            <v>0</v>
          </cell>
          <cell r="AA317">
            <v>-500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-500</v>
          </cell>
        </row>
        <row r="318">
          <cell r="J318" t="str">
            <v>623200021 - GASTOS MARCAS GUATEMALA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-2500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-2500</v>
          </cell>
        </row>
        <row r="319">
          <cell r="J319" t="str">
            <v>623200024 - GASTOS MARCAS INTERNACIONALES</v>
          </cell>
          <cell r="Y319">
            <v>0</v>
          </cell>
          <cell r="Z319">
            <v>0</v>
          </cell>
          <cell r="AA319">
            <v>-2500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-2500</v>
          </cell>
        </row>
        <row r="320">
          <cell r="J320" t="str">
            <v>623200028 - GASTOS MARCAS COSTA RICA</v>
          </cell>
          <cell r="Y320">
            <v>0</v>
          </cell>
          <cell r="Z320">
            <v>-500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-500</v>
          </cell>
        </row>
        <row r="321">
          <cell r="J321" t="str">
            <v>623200033 - GASTOS MARCAS MUNDIAL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-2000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-2000</v>
          </cell>
        </row>
        <row r="322">
          <cell r="J322" t="str">
            <v>623200037 - GASTOS MARCAS ESTADOS UNIDOS</v>
          </cell>
          <cell r="Y322">
            <v>0</v>
          </cell>
          <cell r="Z322">
            <v>-4000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-3700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-7700</v>
          </cell>
        </row>
        <row r="323">
          <cell r="J323" t="str">
            <v>624000001 - TRANSPORTES NACIONAL</v>
          </cell>
          <cell r="Y323">
            <v>-13500</v>
          </cell>
          <cell r="Z323">
            <v>-13500</v>
          </cell>
          <cell r="AA323">
            <v>-13500</v>
          </cell>
          <cell r="AB323">
            <v>-13500</v>
          </cell>
          <cell r="AC323">
            <v>-13500</v>
          </cell>
          <cell r="AD323">
            <v>-13500</v>
          </cell>
          <cell r="AE323">
            <v>-13500</v>
          </cell>
          <cell r="AF323">
            <v>-13500</v>
          </cell>
          <cell r="AG323">
            <v>-13500</v>
          </cell>
          <cell r="AH323">
            <v>-13500</v>
          </cell>
          <cell r="AI323">
            <v>-13500</v>
          </cell>
          <cell r="AJ323">
            <v>-13500</v>
          </cell>
          <cell r="AK323">
            <v>-162000</v>
          </cell>
        </row>
        <row r="324">
          <cell r="J324" t="str">
            <v>624000002 - TRANSPORTE INTERNACIONAL</v>
          </cell>
          <cell r="Y324">
            <v>-7000</v>
          </cell>
          <cell r="Z324">
            <v>-7000</v>
          </cell>
          <cell r="AA324">
            <v>-7000</v>
          </cell>
          <cell r="AB324">
            <v>-7000</v>
          </cell>
          <cell r="AC324">
            <v>-7000</v>
          </cell>
          <cell r="AD324">
            <v>-7000</v>
          </cell>
          <cell r="AE324">
            <v>-7000</v>
          </cell>
          <cell r="AF324">
            <v>-7000</v>
          </cell>
          <cell r="AG324">
            <v>-7000</v>
          </cell>
          <cell r="AH324">
            <v>-7000</v>
          </cell>
          <cell r="AI324">
            <v>-7000</v>
          </cell>
          <cell r="AJ324">
            <v>-7000</v>
          </cell>
          <cell r="AK324">
            <v>-84000</v>
          </cell>
        </row>
        <row r="325">
          <cell r="J325" t="str">
            <v>624000003 - TRANSPORTES CANARIAS</v>
          </cell>
          <cell r="Y325">
            <v>-8000</v>
          </cell>
          <cell r="Z325">
            <v>-8000</v>
          </cell>
          <cell r="AA325">
            <v>-8000</v>
          </cell>
          <cell r="AB325">
            <v>-8000</v>
          </cell>
          <cell r="AC325">
            <v>-8000</v>
          </cell>
          <cell r="AD325">
            <v>-8000</v>
          </cell>
          <cell r="AE325">
            <v>-8000</v>
          </cell>
          <cell r="AF325">
            <v>-8000</v>
          </cell>
          <cell r="AG325">
            <v>-8000</v>
          </cell>
          <cell r="AH325">
            <v>-8000</v>
          </cell>
          <cell r="AI325">
            <v>-8000</v>
          </cell>
          <cell r="AJ325">
            <v>-8000</v>
          </cell>
          <cell r="AK325">
            <v>-96000</v>
          </cell>
        </row>
        <row r="326">
          <cell r="J326" t="str">
            <v>624000004 - GTOS. FLETE REP. AL CLIENTE</v>
          </cell>
          <cell r="Y326">
            <v>-20000</v>
          </cell>
          <cell r="Z326">
            <v>-20000</v>
          </cell>
          <cell r="AA326">
            <v>-20000</v>
          </cell>
          <cell r="AB326">
            <v>-20000</v>
          </cell>
          <cell r="AC326">
            <v>-20000</v>
          </cell>
          <cell r="AD326">
            <v>-20000</v>
          </cell>
          <cell r="AE326">
            <v>-20000</v>
          </cell>
          <cell r="AF326">
            <v>-20000</v>
          </cell>
          <cell r="AG326">
            <v>-20000</v>
          </cell>
          <cell r="AH326">
            <v>-20000</v>
          </cell>
          <cell r="AI326">
            <v>-24000</v>
          </cell>
          <cell r="AJ326">
            <v>-24000</v>
          </cell>
          <cell r="AK326">
            <v>-248000</v>
          </cell>
        </row>
        <row r="327">
          <cell r="J327" t="str">
            <v>624000005 - TTE. PAQUETERIA</v>
          </cell>
          <cell r="Y327">
            <v>-1000</v>
          </cell>
          <cell r="Z327">
            <v>-1000</v>
          </cell>
          <cell r="AA327">
            <v>-1000</v>
          </cell>
          <cell r="AB327">
            <v>-1000</v>
          </cell>
          <cell r="AC327">
            <v>-1000</v>
          </cell>
          <cell r="AD327">
            <v>-1000</v>
          </cell>
          <cell r="AE327">
            <v>-1000</v>
          </cell>
          <cell r="AF327">
            <v>-1000</v>
          </cell>
          <cell r="AG327">
            <v>-1000</v>
          </cell>
          <cell r="AH327">
            <v>-1000</v>
          </cell>
          <cell r="AI327">
            <v>-1000</v>
          </cell>
          <cell r="AJ327">
            <v>-1000</v>
          </cell>
          <cell r="AK327">
            <v>-12000</v>
          </cell>
        </row>
        <row r="328">
          <cell r="J328" t="str">
            <v>625000001 - SEGUROS VEHÍCULOS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-1000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-1000</v>
          </cell>
        </row>
        <row r="329">
          <cell r="J329" t="str">
            <v>625000003 - SEGURO ACCIDENTES TRABAJADORES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-200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-200</v>
          </cell>
        </row>
        <row r="330">
          <cell r="J330" t="str">
            <v>625000004 - SEGURO RESP. CIVIL</v>
          </cell>
          <cell r="Y330">
            <v>-2700</v>
          </cell>
          <cell r="Z330">
            <v>0</v>
          </cell>
          <cell r="AA330">
            <v>0</v>
          </cell>
          <cell r="AB330">
            <v>-2700</v>
          </cell>
          <cell r="AC330">
            <v>0</v>
          </cell>
          <cell r="AD330">
            <v>0</v>
          </cell>
          <cell r="AE330">
            <v>-2700</v>
          </cell>
          <cell r="AF330">
            <v>0</v>
          </cell>
          <cell r="AG330">
            <v>0</v>
          </cell>
          <cell r="AH330">
            <v>-2700</v>
          </cell>
          <cell r="AI330">
            <v>0</v>
          </cell>
          <cell r="AJ330">
            <v>0</v>
          </cell>
          <cell r="AK330">
            <v>-10800</v>
          </cell>
        </row>
        <row r="331">
          <cell r="J331" t="str">
            <v>625000005 - SEGUROS ACTIVIDAD</v>
          </cell>
          <cell r="Y331">
            <v>-7750</v>
          </cell>
          <cell r="Z331">
            <v>0</v>
          </cell>
          <cell r="AA331">
            <v>0</v>
          </cell>
          <cell r="AB331">
            <v>-7750</v>
          </cell>
          <cell r="AC331">
            <v>0</v>
          </cell>
          <cell r="AD331">
            <v>0</v>
          </cell>
          <cell r="AE331">
            <v>-7750</v>
          </cell>
          <cell r="AF331">
            <v>0</v>
          </cell>
          <cell r="AG331">
            <v>0</v>
          </cell>
          <cell r="AH331">
            <v>-7750</v>
          </cell>
          <cell r="AI331">
            <v>0</v>
          </cell>
          <cell r="AJ331">
            <v>0</v>
          </cell>
          <cell r="AK331">
            <v>-31000</v>
          </cell>
        </row>
        <row r="332">
          <cell r="J332" t="str">
            <v>626000000 - Servicios bancarios y similares</v>
          </cell>
          <cell r="Y332">
            <v>-250</v>
          </cell>
          <cell r="Z332">
            <v>-250</v>
          </cell>
          <cell r="AA332">
            <v>-250</v>
          </cell>
          <cell r="AB332">
            <v>-250</v>
          </cell>
          <cell r="AC332">
            <v>-250</v>
          </cell>
          <cell r="AD332">
            <v>-250</v>
          </cell>
          <cell r="AE332">
            <v>-250</v>
          </cell>
          <cell r="AF332">
            <v>-250</v>
          </cell>
          <cell r="AG332">
            <v>-250</v>
          </cell>
          <cell r="AH332">
            <v>-250</v>
          </cell>
          <cell r="AI332">
            <v>-250</v>
          </cell>
          <cell r="AJ332">
            <v>-250</v>
          </cell>
          <cell r="AK332">
            <v>-3000</v>
          </cell>
        </row>
        <row r="333">
          <cell r="J333" t="str">
            <v>627000003 - PATROCINIOS VARIOS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-1500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-1500</v>
          </cell>
        </row>
        <row r="334">
          <cell r="J334" t="str">
            <v>627000004 - RELACIONES PUBLICAS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-1500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-4500</v>
          </cell>
          <cell r="AK334">
            <v>-6000</v>
          </cell>
        </row>
        <row r="335">
          <cell r="J335" t="str">
            <v>627000005 - INVITACIONES CLIENTES</v>
          </cell>
          <cell r="Y335">
            <v>-5000</v>
          </cell>
          <cell r="Z335">
            <v>-5000</v>
          </cell>
          <cell r="AA335">
            <v>-5000</v>
          </cell>
          <cell r="AB335">
            <v>-5000</v>
          </cell>
          <cell r="AC335">
            <v>-5000</v>
          </cell>
          <cell r="AD335">
            <v>-5000</v>
          </cell>
          <cell r="AE335">
            <v>-5000</v>
          </cell>
          <cell r="AF335">
            <v>-5000</v>
          </cell>
          <cell r="AG335">
            <v>-5000</v>
          </cell>
          <cell r="AH335">
            <v>-5000</v>
          </cell>
          <cell r="AI335">
            <v>-5000</v>
          </cell>
          <cell r="AJ335">
            <v>-5000</v>
          </cell>
          <cell r="AK335">
            <v>-60000</v>
          </cell>
        </row>
        <row r="336">
          <cell r="J336" t="str">
            <v>627000006 - PUBLICIDAD CATALOGOS Y FOLLETOS</v>
          </cell>
          <cell r="Y336">
            <v>0</v>
          </cell>
          <cell r="Z336">
            <v>0</v>
          </cell>
          <cell r="AA336">
            <v>-1000</v>
          </cell>
          <cell r="AB336">
            <v>0</v>
          </cell>
          <cell r="AC336">
            <v>0</v>
          </cell>
          <cell r="AD336">
            <v>-1000</v>
          </cell>
          <cell r="AE336">
            <v>0</v>
          </cell>
          <cell r="AF336">
            <v>0</v>
          </cell>
          <cell r="AG336">
            <v>-1000</v>
          </cell>
          <cell r="AH336">
            <v>0</v>
          </cell>
          <cell r="AI336">
            <v>0</v>
          </cell>
          <cell r="AJ336">
            <v>0</v>
          </cell>
          <cell r="AK336">
            <v>-3000</v>
          </cell>
        </row>
        <row r="337">
          <cell r="J337" t="str">
            <v>627000007 - FERIAS</v>
          </cell>
          <cell r="Y337">
            <v>0</v>
          </cell>
          <cell r="Z337">
            <v>0</v>
          </cell>
          <cell r="AA337">
            <v>-3000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-3000</v>
          </cell>
        </row>
        <row r="338">
          <cell r="J338" t="str">
            <v>627000008 - MARKETING</v>
          </cell>
          <cell r="Y338">
            <v>0</v>
          </cell>
          <cell r="Z338">
            <v>0</v>
          </cell>
          <cell r="AA338">
            <v>-4000</v>
          </cell>
          <cell r="AB338">
            <v>0</v>
          </cell>
          <cell r="AC338">
            <v>0</v>
          </cell>
          <cell r="AD338">
            <v>-4000</v>
          </cell>
          <cell r="AE338">
            <v>0</v>
          </cell>
          <cell r="AF338">
            <v>0</v>
          </cell>
          <cell r="AG338">
            <v>-4000</v>
          </cell>
          <cell r="AH338">
            <v>0</v>
          </cell>
          <cell r="AI338">
            <v>-4000</v>
          </cell>
          <cell r="AJ338">
            <v>0</v>
          </cell>
          <cell r="AK338">
            <v>-16000</v>
          </cell>
        </row>
        <row r="339">
          <cell r="J339" t="str">
            <v>627000009 - ARTICULOS PUBLICIDAD</v>
          </cell>
          <cell r="Y339">
            <v>0</v>
          </cell>
          <cell r="Z339">
            <v>0</v>
          </cell>
          <cell r="AA339">
            <v>0</v>
          </cell>
          <cell r="AB339">
            <v>-5000</v>
          </cell>
          <cell r="AC339">
            <v>0</v>
          </cell>
          <cell r="AD339">
            <v>0</v>
          </cell>
          <cell r="AE339">
            <v>-5000</v>
          </cell>
          <cell r="AF339">
            <v>0</v>
          </cell>
          <cell r="AG339">
            <v>0</v>
          </cell>
          <cell r="AH339">
            <v>-5000</v>
          </cell>
          <cell r="AI339">
            <v>0</v>
          </cell>
          <cell r="AJ339">
            <v>0</v>
          </cell>
          <cell r="AK339">
            <v>-15000</v>
          </cell>
        </row>
        <row r="340">
          <cell r="J340" t="str">
            <v>627000010 - RELACIONES PUBLICAS TEC. CLIENTES</v>
          </cell>
          <cell r="Y340">
            <v>-17000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-17000</v>
          </cell>
          <cell r="AF340">
            <v>0</v>
          </cell>
          <cell r="AG340">
            <v>0</v>
          </cell>
          <cell r="AH340">
            <v>0</v>
          </cell>
          <cell r="AI340">
            <v>-17500</v>
          </cell>
          <cell r="AJ340">
            <v>0</v>
          </cell>
          <cell r="AK340">
            <v>-51500</v>
          </cell>
        </row>
        <row r="341">
          <cell r="J341" t="str">
            <v>628000001 - SUMINISTROS INFORMATICOS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-500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-500</v>
          </cell>
        </row>
        <row r="342">
          <cell r="J342" t="str">
            <v>628000002 - SUMINISTROS ELECTRICIDAD</v>
          </cell>
          <cell r="Y342">
            <v>-4000</v>
          </cell>
          <cell r="Z342">
            <v>-4000</v>
          </cell>
          <cell r="AA342">
            <v>-4000</v>
          </cell>
          <cell r="AB342">
            <v>-4000</v>
          </cell>
          <cell r="AC342">
            <v>-4000</v>
          </cell>
          <cell r="AD342">
            <v>-4000</v>
          </cell>
          <cell r="AE342">
            <v>-4000</v>
          </cell>
          <cell r="AF342">
            <v>-4000</v>
          </cell>
          <cell r="AG342">
            <v>-4000</v>
          </cell>
          <cell r="AH342">
            <v>-4000</v>
          </cell>
          <cell r="AI342">
            <v>-4000</v>
          </cell>
          <cell r="AJ342">
            <v>-4000</v>
          </cell>
          <cell r="AK342">
            <v>-48000</v>
          </cell>
        </row>
        <row r="343">
          <cell r="J343" t="str">
            <v>628000003 - SUMINISTROS AGUA</v>
          </cell>
          <cell r="Y343">
            <v>-2000</v>
          </cell>
          <cell r="Z343">
            <v>0</v>
          </cell>
          <cell r="AA343">
            <v>0</v>
          </cell>
          <cell r="AB343">
            <v>-2000</v>
          </cell>
          <cell r="AC343">
            <v>0</v>
          </cell>
          <cell r="AD343">
            <v>0</v>
          </cell>
          <cell r="AE343">
            <v>-2000</v>
          </cell>
          <cell r="AF343">
            <v>0</v>
          </cell>
          <cell r="AG343">
            <v>0</v>
          </cell>
          <cell r="AH343">
            <v>-2000</v>
          </cell>
          <cell r="AI343">
            <v>0</v>
          </cell>
          <cell r="AJ343">
            <v>0</v>
          </cell>
          <cell r="AK343">
            <v>-8000</v>
          </cell>
        </row>
        <row r="344">
          <cell r="J344" t="str">
            <v>628000004 - SUMINISTROS TELEFONIA E INTERNET</v>
          </cell>
          <cell r="Y344">
            <v>-1200</v>
          </cell>
          <cell r="Z344">
            <v>-1200</v>
          </cell>
          <cell r="AA344">
            <v>-1200</v>
          </cell>
          <cell r="AB344">
            <v>-1200</v>
          </cell>
          <cell r="AC344">
            <v>-1200</v>
          </cell>
          <cell r="AD344">
            <v>-1200</v>
          </cell>
          <cell r="AE344">
            <v>-1200</v>
          </cell>
          <cell r="AF344">
            <v>-1200</v>
          </cell>
          <cell r="AG344">
            <v>-1200</v>
          </cell>
          <cell r="AH344">
            <v>-1200</v>
          </cell>
          <cell r="AI344">
            <v>-1200</v>
          </cell>
          <cell r="AJ344">
            <v>-1200</v>
          </cell>
          <cell r="AK344">
            <v>-14400</v>
          </cell>
        </row>
        <row r="345">
          <cell r="J345" t="str">
            <v>628000005 - SUMINISTROS GASOLEO</v>
          </cell>
          <cell r="Y345">
            <v>-1500</v>
          </cell>
          <cell r="Z345">
            <v>-1500</v>
          </cell>
          <cell r="AA345">
            <v>-1500</v>
          </cell>
          <cell r="AB345">
            <v>-1500</v>
          </cell>
          <cell r="AC345">
            <v>-1500</v>
          </cell>
          <cell r="AD345">
            <v>-1500</v>
          </cell>
          <cell r="AE345">
            <v>-1500</v>
          </cell>
          <cell r="AF345">
            <v>-1500</v>
          </cell>
          <cell r="AG345">
            <v>-1500</v>
          </cell>
          <cell r="AH345">
            <v>-1500</v>
          </cell>
          <cell r="AI345">
            <v>-1500</v>
          </cell>
          <cell r="AJ345">
            <v>-1600</v>
          </cell>
          <cell r="AK345">
            <v>-18100</v>
          </cell>
        </row>
        <row r="346">
          <cell r="J346" t="str">
            <v>629000001 - HOSPEDAJE WEB</v>
          </cell>
          <cell r="Y346">
            <v>-500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-500</v>
          </cell>
        </row>
        <row r="347">
          <cell r="J347" t="str">
            <v>629000002 - OTROS GASTOS</v>
          </cell>
          <cell r="Y347">
            <v>0</v>
          </cell>
          <cell r="Z347">
            <v>0</v>
          </cell>
          <cell r="AA347">
            <v>-500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-500</v>
          </cell>
        </row>
        <row r="348">
          <cell r="J348" t="str">
            <v>629000003 - SUSCRIPCIONES A REVISTAS Y PERIODICOS</v>
          </cell>
          <cell r="Y348">
            <v>-500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-500</v>
          </cell>
        </row>
        <row r="349">
          <cell r="J349" t="str">
            <v>629000004 - GTOS. SERV. VIGILANCIA</v>
          </cell>
          <cell r="Y349">
            <v>-75</v>
          </cell>
          <cell r="Z349">
            <v>-75</v>
          </cell>
          <cell r="AA349">
            <v>-75</v>
          </cell>
          <cell r="AB349">
            <v>-75</v>
          </cell>
          <cell r="AC349">
            <v>-75</v>
          </cell>
          <cell r="AD349">
            <v>-75</v>
          </cell>
          <cell r="AE349">
            <v>-75</v>
          </cell>
          <cell r="AF349">
            <v>-75</v>
          </cell>
          <cell r="AG349">
            <v>-75</v>
          </cell>
          <cell r="AH349">
            <v>-75</v>
          </cell>
          <cell r="AI349">
            <v>-75</v>
          </cell>
          <cell r="AJ349">
            <v>-75</v>
          </cell>
          <cell r="AK349">
            <v>-900</v>
          </cell>
        </row>
        <row r="350">
          <cell r="J350" t="str">
            <v>629000005 - GTOS. ANALISIS LABORATORIOS</v>
          </cell>
          <cell r="Y350">
            <v>-3000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-3000</v>
          </cell>
        </row>
        <row r="351">
          <cell r="J351" t="str">
            <v>629000006 - GASTOS CORREOS</v>
          </cell>
          <cell r="Y351">
            <v>-200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-200</v>
          </cell>
        </row>
        <row r="352">
          <cell r="J352" t="str">
            <v>629000007 - GASTOS RETIRADA DE RESIDUOS</v>
          </cell>
          <cell r="Y352">
            <v>-3600</v>
          </cell>
          <cell r="Z352">
            <v>-3600</v>
          </cell>
          <cell r="AA352">
            <v>-3600</v>
          </cell>
          <cell r="AB352">
            <v>-3600</v>
          </cell>
          <cell r="AC352">
            <v>-3600</v>
          </cell>
          <cell r="AD352">
            <v>-3600</v>
          </cell>
          <cell r="AE352">
            <v>-3600</v>
          </cell>
          <cell r="AF352">
            <v>-3600</v>
          </cell>
          <cell r="AG352">
            <v>-3600</v>
          </cell>
          <cell r="AH352">
            <v>-3600</v>
          </cell>
          <cell r="AI352">
            <v>-3600</v>
          </cell>
          <cell r="AJ352">
            <v>-3600</v>
          </cell>
          <cell r="AK352">
            <v>-43200</v>
          </cell>
        </row>
        <row r="353">
          <cell r="J353" t="str">
            <v>629000008 - CUOTAS ASOCIACIONES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-6000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-6000</v>
          </cell>
        </row>
        <row r="354">
          <cell r="J354" t="str">
            <v>629000010 - GASTOS COMERCIALES</v>
          </cell>
          <cell r="Y354">
            <v>-4000</v>
          </cell>
          <cell r="Z354">
            <v>-4000</v>
          </cell>
          <cell r="AA354">
            <v>-4000</v>
          </cell>
          <cell r="AB354">
            <v>-4000</v>
          </cell>
          <cell r="AC354">
            <v>-4000</v>
          </cell>
          <cell r="AD354">
            <v>-4000</v>
          </cell>
          <cell r="AE354">
            <v>-4000</v>
          </cell>
          <cell r="AF354">
            <v>-4000</v>
          </cell>
          <cell r="AG354">
            <v>-4000</v>
          </cell>
          <cell r="AH354">
            <v>-4000</v>
          </cell>
          <cell r="AI354">
            <v>-4000</v>
          </cell>
          <cell r="AJ354">
            <v>-4000</v>
          </cell>
          <cell r="AK354">
            <v>-48000</v>
          </cell>
        </row>
        <row r="355">
          <cell r="J355" t="str">
            <v>629000011 - EPIS PERSONAL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-5000</v>
          </cell>
          <cell r="AK355">
            <v>-5000</v>
          </cell>
        </row>
        <row r="356">
          <cell r="J356" t="str">
            <v>629000012 - GASTOS VARIOS PERSONAL</v>
          </cell>
          <cell r="Y356">
            <v>-500</v>
          </cell>
          <cell r="Z356">
            <v>-500</v>
          </cell>
          <cell r="AA356">
            <v>-500</v>
          </cell>
          <cell r="AB356">
            <v>-500</v>
          </cell>
          <cell r="AC356">
            <v>-500</v>
          </cell>
          <cell r="AD356">
            <v>-500</v>
          </cell>
          <cell r="AE356">
            <v>-500</v>
          </cell>
          <cell r="AF356">
            <v>-500</v>
          </cell>
          <cell r="AG356">
            <v>-500</v>
          </cell>
          <cell r="AH356">
            <v>-500</v>
          </cell>
          <cell r="AI356">
            <v>-500</v>
          </cell>
          <cell r="AJ356">
            <v>-500</v>
          </cell>
          <cell r="AK356">
            <v>-6000</v>
          </cell>
        </row>
        <row r="357">
          <cell r="J357" t="str">
            <v>629000013 - FORMACION NO BONIFICADA</v>
          </cell>
          <cell r="Y357">
            <v>0</v>
          </cell>
          <cell r="Z357">
            <v>-1000</v>
          </cell>
          <cell r="AA357">
            <v>0</v>
          </cell>
          <cell r="AB357">
            <v>0</v>
          </cell>
          <cell r="AC357">
            <v>-1000</v>
          </cell>
          <cell r="AD357">
            <v>0</v>
          </cell>
          <cell r="AE357">
            <v>0</v>
          </cell>
          <cell r="AF357">
            <v>-600</v>
          </cell>
          <cell r="AG357">
            <v>-600</v>
          </cell>
          <cell r="AH357">
            <v>-1000</v>
          </cell>
          <cell r="AI357">
            <v>0</v>
          </cell>
          <cell r="AJ357">
            <v>0</v>
          </cell>
          <cell r="AK357">
            <v>-4200</v>
          </cell>
        </row>
        <row r="358">
          <cell r="J358" t="str">
            <v>631000003 - IMPUESTA ACTIVIDADES ECONOMICAS (IAE)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-12000</v>
          </cell>
          <cell r="AI358">
            <v>-9000</v>
          </cell>
          <cell r="AJ358">
            <v>0</v>
          </cell>
          <cell r="AK358">
            <v>-21000</v>
          </cell>
        </row>
        <row r="359">
          <cell r="J359" t="str">
            <v>681000000 - Amortización del inmovilizado material</v>
          </cell>
          <cell r="Y359">
            <v>-20833.332999999999</v>
          </cell>
          <cell r="Z359">
            <v>-20833.332999999999</v>
          </cell>
          <cell r="AA359">
            <v>-20833.332999999999</v>
          </cell>
          <cell r="AB359">
            <v>-20833.332999999999</v>
          </cell>
          <cell r="AC359">
            <v>-20833.332999999999</v>
          </cell>
          <cell r="AD359">
            <v>-20833.332999999999</v>
          </cell>
          <cell r="AE359">
            <v>-20833.332999999999</v>
          </cell>
          <cell r="AF359">
            <v>-20833.332999999999</v>
          </cell>
          <cell r="AG359">
            <v>-20833.332999999999</v>
          </cell>
          <cell r="AH359">
            <v>-20833.332999999999</v>
          </cell>
          <cell r="AI359">
            <v>-20833.332999999999</v>
          </cell>
          <cell r="AJ359">
            <v>-20833.332999999999</v>
          </cell>
          <cell r="AK359">
            <v>-249999.99599999993</v>
          </cell>
        </row>
        <row r="360">
          <cell r="J360" t="str">
            <v>76900000 - Otros ingresos financieros</v>
          </cell>
          <cell r="Y360">
            <v>0</v>
          </cell>
          <cell r="Z360">
            <v>0</v>
          </cell>
          <cell r="AA360">
            <v>15333.333333333334</v>
          </cell>
          <cell r="AB360">
            <v>15333.333333333334</v>
          </cell>
          <cell r="AC360">
            <v>15333.333333333334</v>
          </cell>
          <cell r="AD360">
            <v>15333.333333333334</v>
          </cell>
          <cell r="AE360">
            <v>15333.333333333334</v>
          </cell>
          <cell r="AF360">
            <v>15333.333333333334</v>
          </cell>
          <cell r="AG360">
            <v>15333.333333333334</v>
          </cell>
          <cell r="AH360">
            <v>15333.333333333334</v>
          </cell>
          <cell r="AI360">
            <v>15333.333333333334</v>
          </cell>
          <cell r="AJ360">
            <v>15333.333333333334</v>
          </cell>
          <cell r="AK360">
            <v>153333.33333333334</v>
          </cell>
        </row>
        <row r="361">
          <cell r="J361" t="str">
            <v>769000000 - Otros ingresos financieros</v>
          </cell>
          <cell r="Y361">
            <v>15333.333333333334</v>
          </cell>
          <cell r="Z361">
            <v>15333.333333333334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30666.666666666668</v>
          </cell>
        </row>
        <row r="363">
          <cell r="X363" t="str">
            <v>Evol (abs)</v>
          </cell>
          <cell r="Y363">
            <v>57920.296735328884</v>
          </cell>
          <cell r="Z363">
            <v>169674.70568105904</v>
          </cell>
          <cell r="AA363">
            <v>-225125.71831955935</v>
          </cell>
          <cell r="AB363">
            <v>-253531.00923931599</v>
          </cell>
          <cell r="AC363">
            <v>325769.56622785493</v>
          </cell>
          <cell r="AD363">
            <v>-76592.894084640895</v>
          </cell>
          <cell r="AE363">
            <v>-136671.77908996108</v>
          </cell>
          <cell r="AF363">
            <v>71412.496244490874</v>
          </cell>
          <cell r="AG363">
            <v>-243789.29925947342</v>
          </cell>
          <cell r="AH363">
            <v>85686.254798701935</v>
          </cell>
          <cell r="AI363">
            <v>138382.83740831207</v>
          </cell>
          <cell r="AJ363">
            <v>15804.925966715004</v>
          </cell>
          <cell r="AK363">
            <v>-71059.616930479184</v>
          </cell>
        </row>
        <row r="364">
          <cell r="X364" t="str">
            <v>Evol (%)</v>
          </cell>
          <cell r="Y364">
            <v>0.34907433754240946</v>
          </cell>
          <cell r="Z364">
            <v>0.2495358442901392</v>
          </cell>
          <cell r="AA364">
            <v>-0.21037138275150058</v>
          </cell>
          <cell r="AB364">
            <v>-0.27258237202816593</v>
          </cell>
          <cell r="AC364">
            <v>0.42414435513120474</v>
          </cell>
          <cell r="AD364">
            <v>-8.1558805522770061E-2</v>
          </cell>
          <cell r="AE364">
            <v>-0.24735589781767064</v>
          </cell>
          <cell r="AF364">
            <v>0.33681767787002137</v>
          </cell>
          <cell r="AG364">
            <v>-0.65144899047265825</v>
          </cell>
          <cell r="AH364">
            <v>0.42899098882963593</v>
          </cell>
          <cell r="AI364">
            <v>0.39799558019646897</v>
          </cell>
          <cell r="AJ364">
            <v>-0.26553294308269682</v>
          </cell>
          <cell r="AK364">
            <v>-1.1498319878768593E-2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Users\oscar.ocampo\AppData\Local\Microsoft\Olk\Attachments\ooa-a2506fb4-fc93-4153-befd-7cc39447fea0\ffd387a587f918e34dac75ff7ee1a852cbc7fb1c546f83d422b39d5f711ad67b\2025-12-%20CODIAGRO_P&amp;L%20Mensualitzada%20VF%20Reporting.xlsx?24CDD64E" TargetMode="External"/><Relationship Id="rId1" Type="http://schemas.openxmlformats.org/officeDocument/2006/relationships/externalLinkPath" Target="file:///\\24CDD64E\2025-12-%20CODIAGRO_P&amp;L%20Mensualitzada%20VF%20Reporting.xlsx" TargetMode="Externa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Ginger Veloz Lino" refreshedDate="46054.353394212965" createdVersion="8" refreshedVersion="8" minRefreshableVersion="3" recordCount="19" xr:uid="{B3D4BF75-E3E4-491E-853B-9F8FEF355FE4}">
  <cacheSource type="worksheet">
    <worksheetSource ref="A2:L21" sheet="Ext Item" r:id="rId1"/>
  </cacheSource>
  <cacheFields count="12">
    <cacheField name="Fecha de contabilización" numFmtId="14">
      <sharedItems containsNonDate="0" containsDate="1" containsString="0" containsBlank="1" minDate="2025-01-10T00:00:00" maxDate="2025-12-03T00:00:00"/>
    </cacheField>
    <cacheField name="Mes report" numFmtId="0">
      <sharedItems count="12">
        <s v="ENERO"/>
        <s v="MARZO"/>
        <s v="ABRIL"/>
        <s v="MAYO"/>
        <s v="JUNIO"/>
        <s v="JULIO"/>
        <s v="SEPTIEMBRE"/>
        <s v="AGOSTO"/>
        <s v="NOVIEMBRE"/>
        <s v="DICIEMBRE"/>
        <s v="FEBRERO"/>
        <s v="OCTUBRE"/>
      </sharedItems>
    </cacheField>
    <cacheField name="Empresa" numFmtId="0">
      <sharedItems containsBlank="1"/>
    </cacheField>
    <cacheField name="Concepto" numFmtId="0">
      <sharedItems containsBlank="1"/>
    </cacheField>
    <cacheField name="Factura" numFmtId="0">
      <sharedItems containsBlank="1" containsMixedTypes="1" containsNumber="1" containsInteger="1" minValue="25000332" maxValue="3522900376"/>
    </cacheField>
    <cacheField name="Cuenta contable" numFmtId="0">
      <sharedItems containsString="0" containsBlank="1" containsNumber="1" containsInteger="1" minValue="622000006" maxValue="641000007"/>
    </cacheField>
    <cacheField name="Normalización" numFmtId="0">
      <sharedItems count="2">
        <s v="Gastos de personal"/>
        <s v="Otros Gastos Operativos"/>
      </sharedItems>
    </cacheField>
    <cacheField name="Nivel 4" numFmtId="0">
      <sharedItems containsNonDate="0" containsString="0" containsBlank="1"/>
    </cacheField>
    <cacheField name="Acreedor/Proveedor" numFmtId="0">
      <sharedItems containsBlank="1"/>
    </cacheField>
    <cacheField name="Detalle" numFmtId="0">
      <sharedItems containsBlank="1"/>
    </cacheField>
    <cacheField name="Importe" numFmtId="170">
      <sharedItems containsSemiMixedTypes="0" containsString="0" containsNumber="1" minValue="0" maxValue="118000"/>
    </cacheField>
    <cacheField name="Importe ('000)" numFmtId="0">
      <sharedItems containsSemiMixedTypes="0" containsString="0" containsNumber="1" minValue="0" maxValue="1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Ginger Veloz Lino" refreshedDate="46140.574831597223" createdVersion="8" refreshedVersion="8" minRefreshableVersion="3" recordCount="33" xr:uid="{093A36C4-4346-4344-9121-E1FAA97A7E76}">
  <cacheSource type="worksheet">
    <worksheetSource ref="B2:M35" sheet="Ext Items 2025"/>
  </cacheSource>
  <cacheFields count="12">
    <cacheField name="Fecha de contabilización" numFmtId="14">
      <sharedItems containsSemiMixedTypes="0" containsNonDate="0" containsDate="1" containsString="0" minDate="2025-01-03T00:00:00" maxDate="2025-12-03T00:00:00"/>
    </cacheField>
    <cacheField name="Mes report" numFmtId="0">
      <sharedItems containsSemiMixedTypes="0" containsString="0" containsNumber="1" containsInteger="1" minValue="1" maxValue="12" count="11">
        <n v="1"/>
        <n v="3"/>
        <n v="4"/>
        <n v="5"/>
        <n v="6"/>
        <n v="7"/>
        <n v="9"/>
        <n v="8"/>
        <n v="11"/>
        <n v="12"/>
        <n v="2"/>
      </sharedItems>
    </cacheField>
    <cacheField name="Empresa" numFmtId="0">
      <sharedItems/>
    </cacheField>
    <cacheField name="Concepto" numFmtId="0">
      <sharedItems count="8">
        <s v="Indemnizaciones"/>
        <s v="Costes Transacción"/>
        <s v="Gastos Representación"/>
        <s v="TICS"/>
        <s v="Reparaciones extraordinarias"/>
        <s v="Gastos periodos anteriores"/>
        <s v="Gastos de personal"/>
        <s v="Rappel Dotra (cliente Egipto) 2024"/>
      </sharedItems>
    </cacheField>
    <cacheField name="Factura" numFmtId="0">
      <sharedItems containsBlank="1" containsMixedTypes="1" containsNumber="1" containsInteger="1" minValue="25000332" maxValue="3522900376"/>
    </cacheField>
    <cacheField name="Cuenta contable" numFmtId="0">
      <sharedItems containsSemiMixedTypes="0" containsString="0" containsNumber="1" containsInteger="1" minValue="622000006" maxValue="709000000"/>
    </cacheField>
    <cacheField name="Normalización" numFmtId="0">
      <sharedItems/>
    </cacheField>
    <cacheField name="Nivel 4" numFmtId="0">
      <sharedItems containsNonDate="0" containsString="0" containsBlank="1"/>
    </cacheField>
    <cacheField name="Acreedor/Proveedor" numFmtId="0">
      <sharedItems containsBlank="1"/>
    </cacheField>
    <cacheField name="Detalle" numFmtId="0">
      <sharedItems containsBlank="1"/>
    </cacheField>
    <cacheField name="Importe" numFmtId="0">
      <sharedItems containsSemiMixedTypes="0" containsString="0" containsNumber="1" minValue="1800" maxValue="135000"/>
    </cacheField>
    <cacheField name="Importe ('000)" numFmtId="0">
      <sharedItems containsSemiMixedTypes="0" containsString="0" containsNumber="1" minValue="1.8" maxValue="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car Ocampo" refreshedDate="46317.424662268517" createdVersion="8" refreshedVersion="8" minRefreshableVersion="3" recordCount="204" xr:uid="{7D240FD3-DF79-461F-8DA4-41A4468E62DE}">
  <cacheSource type="worksheet">
    <worksheetSource ref="B3:W206" sheet="PL Mensual 2026"/>
  </cacheSource>
  <cacheFields count="22">
    <cacheField name="Periodo" numFmtId="0">
      <sharedItems containsSemiMixedTypes="0" containsString="0" containsNumber="1" containsInteger="1" minValue="2026" maxValue="2026" count="1">
        <n v="2026"/>
      </sharedItems>
    </cacheField>
    <cacheField name="Empresa" numFmtId="0">
      <sharedItems/>
    </cacheField>
    <cacheField name="Nivel 1" numFmtId="0">
      <sharedItems/>
    </cacheField>
    <cacheField name="Nivel 2" numFmtId="0">
      <sharedItems/>
    </cacheField>
    <cacheField name="Nivel 3" numFmtId="0">
      <sharedItems/>
    </cacheField>
    <cacheField name="Nivel 4" numFmtId="0">
      <sharedItems count="12">
        <s v="1.- Importe neto de la cifra de negocios"/>
        <s v="5.- Otros ingresos de explotación"/>
        <s v="14.- Ingresos financieros"/>
        <s v="11.- Deterioro y resultado por enajenaciones del inmovilizado"/>
        <s v="13.- Otros resultados"/>
        <s v="2.- Variación de existencias"/>
        <s v="4.- Aprovisionamientos"/>
        <s v="6.- Gastos de personal"/>
        <s v="7.- Otros gastos de explotación"/>
        <s v="8.- Amortización del inmovilizado"/>
        <s v="15.- Gastos financieros"/>
        <s v="17.- Diferencias de cambio"/>
      </sharedItems>
    </cacheField>
    <cacheField name="Nivel 5" numFmtId="0">
      <sharedItems/>
    </cacheField>
    <cacheField name="Cuenta" numFmtId="0">
      <sharedItems/>
    </cacheField>
    <cacheField name="Grupo Ext Item" numFmtId="0">
      <sharedItems containsBlank="1"/>
    </cacheField>
    <cacheField name="ene-26" numFmtId="4">
      <sharedItems containsString="0" containsBlank="1" containsNumber="1" minValue="-372155.73" maxValue="993280.49"/>
    </cacheField>
    <cacheField name="feb-26" numFmtId="4">
      <sharedItems containsString="0" containsBlank="1" containsNumber="1" minValue="-457091.9" maxValue="1607537.98"/>
    </cacheField>
    <cacheField name="mar-26" numFmtId="4">
      <sharedItems containsString="0" containsBlank="1" containsNumber="1" minValue="-457890.87" maxValue="1536177.86"/>
    </cacheField>
    <cacheField name="abr-26" numFmtId="4">
      <sharedItems containsString="0" containsBlank="1" containsNumber="1" minValue="-391545.47" maxValue="1217250.42"/>
    </cacheField>
    <cacheField name="may-26" numFmtId="0">
      <sharedItems containsString="0" containsBlank="1" containsNumber="1" minValue="-423709.62999999989" maxValue="2029266.99"/>
    </cacheField>
    <cacheField name="jun-26" numFmtId="4">
      <sharedItems containsString="0" containsBlank="1" containsNumber="1" minValue="-393937.01" maxValue="2009948.67"/>
    </cacheField>
    <cacheField name="jul-26" numFmtId="4">
      <sharedItems containsString="0" containsBlank="1" containsNumber="1" minValue="-362186.44" maxValue="1288443.6399999999"/>
    </cacheField>
    <cacheField name="ago-26" numFmtId="4">
      <sharedItems containsString="0" containsBlank="1" containsNumber="1" minValue="-189242.44" maxValue="802410.56"/>
    </cacheField>
    <cacheField name="sep-26" numFmtId="4">
      <sharedItems containsBlank="1" containsMixedTypes="1" containsNumber="1" minValue="-131094.26999999999" maxValue="632880.06999999995"/>
    </cacheField>
    <cacheField name="oct-26" numFmtId="4">
      <sharedItems containsString="0" containsBlank="1" containsNumber="1" minValue="-235336.47" maxValue="910333.55"/>
    </cacheField>
    <cacheField name="nov-26" numFmtId="4">
      <sharedItems containsString="0" containsBlank="1" containsNumber="1" minValue="-316373.51" maxValue="1223802.77"/>
    </cacheField>
    <cacheField name="dic-26" numFmtId="4">
      <sharedItems containsString="0" containsBlank="1" containsNumber="1" minValue="-407060.74" maxValue="1321267.54"/>
    </cacheField>
    <cacheField name="Total 2026" numFmtId="4">
      <sharedItems containsString="0" containsBlank="1" containsNumber="1" minValue="-4065272.9299999997" maxValue="15420283.77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x v="0"/>
    <s v="Codiagro"/>
    <s v="RESULTADO DEL EJERCICIO"/>
    <s v="RESULTADO ANTES DE IMPUESTOS"/>
    <s v="RESULTADO DE LA EXPLOTACION"/>
    <x v="0"/>
    <s v="(700) Ventas"/>
    <s v="700000000 - Ventas de mercaderías"/>
    <s v="-"/>
    <n v="993280.49"/>
    <n v="1607537.98"/>
    <n v="1536177.86"/>
    <n v="1217250.42"/>
    <n v="2029266.99"/>
    <n v="2009948.67"/>
    <n v="1288443.6399999999"/>
    <n v="802410.56"/>
    <n v="632880.06999999995"/>
    <n v="910333.55"/>
    <n v="1223802.77"/>
    <n v="1321267.54"/>
    <n v="15420283.770000003"/>
  </r>
  <r>
    <x v="0"/>
    <s v="Codiagro"/>
    <s v="RESULTADO DEL EJERCICIO"/>
    <s v="RESULTADO ANTES DE IMPUESTOS"/>
    <s v="RESULTADO DE LA EXPLOTACION"/>
    <x v="0"/>
    <s v="(700) Ventas"/>
    <s v="700000001 - VENTA MERCADERIAS POR ANTICIPO"/>
    <s v="-"/>
    <n v="0"/>
    <n v="0"/>
    <n v="0"/>
    <n v="106250.17"/>
    <n v="-106250.17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0) Ventas"/>
    <s v="700000624 - VENTA POR TRANSP. REP. AL CLIENTE"/>
    <s v="-"/>
    <n v="17921.38"/>
    <n v="12025.38"/>
    <n v="8455.5499999999993"/>
    <n v="0"/>
    <n v="0"/>
    <n v="0"/>
    <n v="0"/>
    <n v="0"/>
    <s v="                                             -  "/>
    <n v="0"/>
    <n v="0"/>
    <n v="0"/>
    <n v="38402.31"/>
  </r>
  <r>
    <x v="0"/>
    <s v="Codiagro"/>
    <s v="RESULTADO DEL EJERCICIO"/>
    <s v="RESULTADO ANTES DE IMPUESTOS"/>
    <s v="RESULTADO DE LA EXPLOTACION"/>
    <x v="1"/>
    <s v="(700) Ventas"/>
    <s v="700001624 - VENTA POR TRANSPORTE REP. AL CLIENTE DEFINITIVO"/>
    <s v="-"/>
    <n v="0"/>
    <n v="0"/>
    <n v="0"/>
    <n v="750.75"/>
    <n v="25140.75"/>
    <n v="22977.599999999999"/>
    <n v="11027.24"/>
    <n v="11429"/>
    <n v="9613"/>
    <n v="21379"/>
    <n v="32454"/>
    <n v="27150"/>
    <n v="168561.34"/>
  </r>
  <r>
    <x v="0"/>
    <s v="Codiagro"/>
    <s v="RESULTADO DEL EJERCICIO"/>
    <s v="RESULTADO ANTES DE IMPUESTOS"/>
    <s v="RESULTADO DE LA EXPLOTACION"/>
    <x v="0"/>
    <s v="(700) Ventas"/>
    <s v="700000769 - INGRESOS POR RETRASOS DE COBRO Y ACTUALIZACION"/>
    <s v="-"/>
    <n v="5635.79"/>
    <n v="202.81"/>
    <n v="178.05"/>
    <n v="0"/>
    <n v="0"/>
    <n v="0"/>
    <n v="0"/>
    <n v="0"/>
    <s v="                                             -  "/>
    <n v="0"/>
    <n v="0"/>
    <n v="0"/>
    <n v="6016.6500000000005"/>
  </r>
  <r>
    <x v="0"/>
    <s v="Codiagro"/>
    <s v="RESULTADO DEL EJERCICIO"/>
    <s v="RESULTADO ANTES DE IMPUESTOS"/>
    <s v="RESULTADO FINANCIERO"/>
    <x v="2"/>
    <s v="(700) Ventas"/>
    <s v="700000769 - INGRESOS POR RETRASOS DE COBRO Y ACTUALIZACION"/>
    <s v="-"/>
    <n v="0"/>
    <n v="0"/>
    <n v="0"/>
    <n v="0"/>
    <n v="0"/>
    <n v="0"/>
    <n v="0"/>
    <n v="0"/>
    <s v="                                             -  "/>
    <n v="0"/>
    <n v="0"/>
    <n v="0"/>
    <n v="0"/>
  </r>
  <r>
    <x v="0"/>
    <s v="Codiagro"/>
    <s v="RESULTADO DEL EJERCICIO"/>
    <s v="RESULTADO ANTES DE IMPUESTOS"/>
    <s v="RESULTADO DE LA EXPLOTACION"/>
    <x v="0"/>
    <s v="(702) Ventas de productos semiterminados"/>
    <s v="702000000 - Ventas de productos semiterminados"/>
    <s v="-"/>
    <n v="0"/>
    <n v="0"/>
    <n v="0"/>
    <n v="51164.86"/>
    <n v="0"/>
    <n v="0"/>
    <n v="0"/>
    <n v="0"/>
    <m/>
    <n v="0"/>
    <n v="0"/>
    <n v="0"/>
    <n v="51164.86"/>
  </r>
  <r>
    <x v="0"/>
    <s v="Codiagro"/>
    <s v="RESULTADO DEL EJERCICIO"/>
    <s v="RESULTADO ANTES DE IMPUESTOS"/>
    <s v="RESULTADO DE LA EXPLOTACION"/>
    <x v="0"/>
    <s v="(703) Ventas por subproductos y residuos"/>
    <s v="703000000 - Ventas de subproductos y residuos"/>
    <s v="-"/>
    <n v="0"/>
    <n v="0"/>
    <n v="26.26"/>
    <n v="0"/>
    <n v="0"/>
    <n v="0"/>
    <n v="0"/>
    <n v="0"/>
    <n v="2751.2"/>
    <n v="0"/>
    <n v="0"/>
    <n v="0"/>
    <n v="26.26"/>
  </r>
  <r>
    <x v="0"/>
    <s v="Codiagro"/>
    <s v="RESULTADO DEL EJERCICIO"/>
    <s v="RESULTADO ANTES DE IMPUESTOS"/>
    <s v="RESULTADO DE LA EXPLOTACION"/>
    <x v="0"/>
    <s v="(704) Venta de envases y embalajes"/>
    <s v="704000000 - Ventas de envases y embalajes"/>
    <s v="-"/>
    <n v="0"/>
    <n v="4500"/>
    <n v="13500"/>
    <n v="35533.660000000003"/>
    <n v="0"/>
    <n v="0"/>
    <n v="0"/>
    <n v="0"/>
    <n v="15.470000000000027"/>
    <n v="0"/>
    <n v="0"/>
    <n v="0"/>
    <n v="53533.66"/>
  </r>
  <r>
    <x v="0"/>
    <s v="Codiagro"/>
    <s v="RESULTADO DEL EJERCICIO"/>
    <s v="RESULTADO ANTES DE IMPUESTOS"/>
    <s v="RESULTADO DE LA EXPLOTACION"/>
    <x v="0"/>
    <s v="(705) Prestación de servicios"/>
    <s v="705000000 - Prestaciones de servicios"/>
    <s v="-"/>
    <n v="0"/>
    <n v="0"/>
    <n v="0"/>
    <n v="48700.800000000003"/>
    <n v="0"/>
    <n v="0"/>
    <n v="0"/>
    <n v="0"/>
    <n v="0"/>
    <n v="0"/>
    <n v="0"/>
    <n v="0"/>
    <n v="48700.800000000003"/>
  </r>
  <r>
    <x v="0"/>
    <s v="Codiagro"/>
    <s v="RESULTADO DEL EJERCICIO"/>
    <s v="RESULTADO ANTES DE IMPUESTOS"/>
    <s v="RESULTADO DE LA EXPLOTACION"/>
    <x v="0"/>
    <s v="(705) Prestación de servicios"/>
    <s v="705000001 - INGRESO POR GESTIÓN DE ENVASES"/>
    <s v="-"/>
    <n v="1295.6300000000001"/>
    <n v="6097.12"/>
    <n v="-1420.15"/>
    <n v="3246.37"/>
    <n v="2913.09"/>
    <n v="2313.16"/>
    <n v="2210.59"/>
    <n v="1694.59"/>
    <n v="1405.89"/>
    <n v="1721.46"/>
    <n v="1519.01"/>
    <n v="5378.56"/>
    <n v="29489.87"/>
  </r>
  <r>
    <x v="0"/>
    <s v="Codiagro"/>
    <s v="RESULTADO DEL EJERCICIO"/>
    <s v="RESULTADO ANTES DE IMPUESTOS"/>
    <s v="RESULTADO DE LA EXPLOTACION"/>
    <x v="0"/>
    <s v="(706) Dto. s/vtas p.p."/>
    <s v="706000000 - Dtos. ventas por pronto pago mercaderías"/>
    <s v="-"/>
    <n v="-34316.160000000003"/>
    <n v="-77173.86"/>
    <n v="-22849.78"/>
    <n v="0"/>
    <n v="0"/>
    <n v="0"/>
    <n v="0"/>
    <n v="0"/>
    <s v="                                             -  "/>
    <n v="0"/>
    <n v="0"/>
    <n v="0"/>
    <n v="-134339.79999999999"/>
  </r>
  <r>
    <x v="0"/>
    <s v="Codiagro"/>
    <s v="RESULTADO DEL EJERCICIO"/>
    <s v="RESULTADO ANTES DE IMPUESTOS"/>
    <s v="RESULTADO DE LA EXPLOTACION"/>
    <x v="0"/>
    <s v="(709) Bonificaciones s/ventas"/>
    <s v="709000000 - «Rappels» ventas de mercaderías"/>
    <s v="-"/>
    <n v="0"/>
    <n v="0"/>
    <n v="-278.38"/>
    <n v="0"/>
    <n v="0"/>
    <n v="0"/>
    <n v="0"/>
    <n v="0"/>
    <s v="                                             -  "/>
    <n v="0"/>
    <n v="0"/>
    <n v="0"/>
    <n v="-278.38"/>
  </r>
  <r>
    <x v="0"/>
    <s v="Codiagro"/>
    <s v="RESULTADO DEL EJERCICIO"/>
    <s v="RESULTADO ANTES DE IMPUESTOS"/>
    <s v="RESULTADO DE LA EXPLOTACION"/>
    <x v="0"/>
    <s v="(709) Bonificaciones s/ventas"/>
    <s v="709000001 - PROVISION RAPPELS"/>
    <s v="-"/>
    <n v="0"/>
    <n v="-82761.279999999999"/>
    <n v="0"/>
    <n v="0"/>
    <n v="0"/>
    <n v="-50000"/>
    <n v="0"/>
    <n v="-16000"/>
    <n v="-12327.75"/>
    <n v="0"/>
    <n v="0"/>
    <n v="-184238.72"/>
    <n v="-333000"/>
  </r>
  <r>
    <x v="0"/>
    <s v="Codiagro"/>
    <s v="RESULTADO DEL EJERCICIO"/>
    <s v="RESULTADO ANTES DE IMPUESTOS"/>
    <s v="RESULTADO DE LA EXPLOTACION"/>
    <x v="3"/>
    <s v="(771) Beneficios procedentes IM"/>
    <s v="771000000 - Beneficios del inmovilizado material"/>
    <s v="-"/>
    <n v="0"/>
    <n v="0"/>
    <n v="2000"/>
    <n v="0"/>
    <n v="0"/>
    <n v="0"/>
    <n v="0"/>
    <n v="0"/>
    <s v="                                             -  "/>
    <n v="0"/>
    <n v="0"/>
    <n v="0"/>
    <n v="2000"/>
  </r>
  <r>
    <x v="0"/>
    <s v="Codiagro"/>
    <s v="RESULTADO DEL EJERCICIO"/>
    <s v="RESULTADO ANTES DE IMPUESTOS"/>
    <s v="RESULTADO DE LA EXPLOTACION"/>
    <x v="4"/>
    <s v="(678) Gastos excepcionales PGC 2008"/>
    <s v="678000000 - Gastos excepcionales"/>
    <s v="-"/>
    <n v="-0.2"/>
    <n v="0"/>
    <n v="-0.14000000000000001"/>
    <n v="-93.18"/>
    <n v="-1.43"/>
    <n v="0"/>
    <n v="-88.03"/>
    <n v="-0.02"/>
    <s v="                                             -  "/>
    <n v="0"/>
    <n v="0"/>
    <n v="0"/>
    <n v="-183.00000000000003"/>
  </r>
  <r>
    <x v="0"/>
    <s v="Codiagro"/>
    <s v="RESULTADO DEL EJERCICIO"/>
    <s v="RESULTADO ANTES DE IMPUESTOS"/>
    <s v="RESULTADO DE LA EXPLOTACION"/>
    <x v="4"/>
    <s v="(778) Ingresos excepcionales PGC 2008"/>
    <s v="778000000 - Ingresos excepcionales"/>
    <s v="-"/>
    <n v="3065.47"/>
    <n v="0.02"/>
    <n v="0"/>
    <n v="1117.44"/>
    <n v="0"/>
    <n v="0"/>
    <n v="0"/>
    <n v="0.01"/>
    <n v="0.2"/>
    <n v="0"/>
    <n v="0"/>
    <n v="0"/>
    <n v="4182.9400000000005"/>
  </r>
  <r>
    <x v="0"/>
    <s v="Codiagro"/>
    <s v="RESULTADO DEL EJERCICIO"/>
    <s v="RESULTADO ANTES DE IMPUESTOS"/>
    <s v="RESULTADO DE LA EXPLOTACION"/>
    <x v="5"/>
    <s v="(711) Variación de existencias de productos semiterminados"/>
    <s v="711000000 - Variación existencias de prod. semiterminados"/>
    <s v="-"/>
    <n v="1191.8499999999999"/>
    <n v="-20400.169999999998"/>
    <n v="-3284.66"/>
    <n v="15429.21"/>
    <n v="4436.0200000000004"/>
    <n v="-12387.42"/>
    <n v="-48438.2"/>
    <n v="27557.62"/>
    <n v="-30979.93"/>
    <n v="0"/>
    <n v="0"/>
    <n v="0"/>
    <n v="-35895.75"/>
  </r>
  <r>
    <x v="0"/>
    <s v="Codiagro"/>
    <s v="RESULTADO DEL EJERCICIO"/>
    <s v="RESULTADO ANTES DE IMPUESTOS"/>
    <s v="RESULTADO DE LA EXPLOTACION"/>
    <x v="5"/>
    <s v="(712) Variación de existencias producto terminado"/>
    <s v="712000000 - Variación existencias de prod. terminados"/>
    <s v="-"/>
    <n v="-86069.93"/>
    <n v="70405.740000000005"/>
    <n v="86837.43"/>
    <n v="-6784.01"/>
    <n v="-34727.120000000003"/>
    <n v="-77717.45"/>
    <n v="42145.57"/>
    <n v="-20822.98"/>
    <n v="-78386.559999999998"/>
    <n v="0"/>
    <n v="0"/>
    <n v="0"/>
    <n v="-26732.749999999996"/>
  </r>
  <r>
    <x v="0"/>
    <s v="Codiagro"/>
    <s v="RESULTADO DEL EJERCICIO"/>
    <s v="RESULTADO ANTES DE IMPUESTOS"/>
    <s v="RESULTADO DE LA EXPLOTACION"/>
    <x v="6"/>
    <s v="(601) Compras de materias primas"/>
    <s v="601000000 - Compras de materias primas"/>
    <s v="-"/>
    <n v="-372155.73"/>
    <n v="-457091.9"/>
    <n v="-457890.87"/>
    <n v="-391545.47"/>
    <n v="-423709.62999999989"/>
    <n v="-393937.01"/>
    <n v="-362186.44"/>
    <n v="-189242.44"/>
    <n v="-91631.27"/>
    <n v="-235336.47"/>
    <n v="-316373.51"/>
    <n v="-341569.79"/>
    <n v="-4065272.9299999997"/>
  </r>
  <r>
    <x v="0"/>
    <s v="Codiagro"/>
    <s v="RESULTADO DEL EJERCICIO"/>
    <s v="RESULTADO ANTES DE IMPUESTOS"/>
    <s v="RESULTADO DE LA EXPLOTACION"/>
    <x v="6"/>
    <s v="(601) Compras de materias primas"/>
    <s v="601000001 - COMPRAS MAT. PRIMAS INTRACOMUNITARIAS"/>
    <m/>
    <m/>
    <m/>
    <m/>
    <m/>
    <m/>
    <m/>
    <m/>
    <m/>
    <n v="-108150"/>
    <m/>
    <m/>
    <m/>
    <m/>
  </r>
  <r>
    <x v="0"/>
    <s v="Codiagro"/>
    <s v="RESULTADO DEL EJERCICIO"/>
    <s v="RESULTADO ANTES DE IMPUESTOS"/>
    <s v="RESULTADO DE LA EXPLOTACION"/>
    <x v="6"/>
    <s v="(602) Compras de otros aprovisionamientos"/>
    <s v="602000001 - COMPRA DE ENVASES Y EMBALAJES"/>
    <s v="-"/>
    <n v="-103817.84"/>
    <n v="-62983.5"/>
    <n v="-55812.27"/>
    <n v="-92652.34"/>
    <n v="-30193.149999999991"/>
    <n v="-119472.15"/>
    <n v="-145291.04999999999"/>
    <n v="-8606.0399999999936"/>
    <n v="-48494.97"/>
    <n v="-49053"/>
    <n v="-65944.179999999993"/>
    <n v="-71196.03"/>
    <n v="-830916.5299999998"/>
  </r>
  <r>
    <x v="0"/>
    <s v="Codiagro"/>
    <s v="RESULTADO DEL EJERCICIO"/>
    <s v="RESULTADO ANTES DE IMPUESTOS"/>
    <s v="RESULTADO DE LA EXPLOTACION"/>
    <x v="6"/>
    <s v="(602) Compras de otros aprovisionamientos"/>
    <s v="602000000 - Compras de otros aprovisionamientos"/>
    <s v="-"/>
    <n v="0"/>
    <n v="0"/>
    <n v="0"/>
    <n v="0"/>
    <n v="0"/>
    <n v="0"/>
    <n v="0"/>
    <n v="0"/>
    <n v="30306.17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02 - COMPRA DE ETIQUETAS"/>
    <s v="-"/>
    <n v="-12617.31"/>
    <n v="-5458.67"/>
    <n v="-15267.33"/>
    <n v="-9307.32"/>
    <n v="-2784.91"/>
    <n v="-5867.49"/>
    <n v="-10270.19"/>
    <n v="-2886.68"/>
    <s v="                                             -  "/>
    <n v="-4974.16"/>
    <n v="-6687"/>
    <n v="-7219.56"/>
    <n v="-85966.48"/>
  </r>
  <r>
    <x v="0"/>
    <s v="Codiagro"/>
    <s v="RESULTADO DEL EJERCICIO"/>
    <s v="RESULTADO ANTES DE IMPUESTOS"/>
    <s v="RESULTADO DE LA EXPLOTACION"/>
    <x v="6"/>
    <s v="(602) Compras de otros aprovisionamientos"/>
    <s v="602000003 - COMPRA DE PALETS"/>
    <s v="-"/>
    <n v="-7425.6"/>
    <n v="-3712.8"/>
    <n v="-4331.6000000000004"/>
    <n v="-12608.05"/>
    <n v="-17326.400000000001"/>
    <n v="-12994.8"/>
    <n v="-4331.6000000000004"/>
    <n v="-4331.6000000000004"/>
    <n v="-1856.4"/>
    <n v="-5174.53"/>
    <n v="-6956.35"/>
    <n v="-7510.36"/>
    <n v="-89435.32"/>
  </r>
  <r>
    <x v="0"/>
    <s v="Codiagro"/>
    <s v="RESULTADO DEL EJERCICIO"/>
    <s v="RESULTADO ANTES DE IMPUESTOS"/>
    <s v="RESULTADO DE LA EXPLOTACION"/>
    <x v="6"/>
    <s v="(602) Compras de otros aprovisionamientos"/>
    <s v="602000004 - COMPRA MATERIAL DE LIMPIEZA"/>
    <s v="-"/>
    <n v="-131.91999999999999"/>
    <n v="0"/>
    <n v="0"/>
    <n v="0"/>
    <n v="0"/>
    <n v="0"/>
    <n v="0"/>
    <n v="0"/>
    <n v="-130.41999999999999"/>
    <n v="-131.91999999999999"/>
    <n v="-131.91999999999999"/>
    <n v="-131.91999999999999"/>
    <n v="-659.59999999999991"/>
  </r>
  <r>
    <x v="0"/>
    <s v="Codiagro"/>
    <s v="RESULTADO DEL EJERCICIO"/>
    <s v="RESULTADO ANTES DE IMPUESTOS"/>
    <s v="RESULTADO DE LA EXPLOTACION"/>
    <x v="6"/>
    <s v="(602) Compras de otros aprovisionamientos"/>
    <s v="602000005 - COMPRA MATERIAL DE OFICINA"/>
    <s v="-"/>
    <n v="-95.3"/>
    <n v="-136"/>
    <n v="0"/>
    <n v="-380.75"/>
    <n v="0"/>
    <n v="0"/>
    <n v="0"/>
    <n v="0"/>
    <s v="                                             -  "/>
    <n v="-204.02"/>
    <n v="-204.02"/>
    <n v="-204.02"/>
    <n v="-1428.1299999999999"/>
  </r>
  <r>
    <x v="0"/>
    <s v="Codiagro"/>
    <s v="RESULTADO DEL EJERCICIO"/>
    <s v="RESULTADO ANTES DE IMPUESTOS"/>
    <s v="RESULTADO DE LA EXPLOTACION"/>
    <x v="6"/>
    <s v="(602) Compras de otros aprovisionamientos"/>
    <s v="602000006 - COMPRA TAPONES DE ENVASES"/>
    <s v="-"/>
    <n v="-3578.65"/>
    <n v="0"/>
    <n v="-5949"/>
    <n v="-5353"/>
    <n v="0"/>
    <n v="-3337.38"/>
    <n v="-5826.6"/>
    <n v="-1108.8"/>
    <s v="                                             -  "/>
    <n v="-2030.04"/>
    <n v="-2729.08"/>
    <n v="-2946.43"/>
    <n v="-33930.639999999999"/>
  </r>
  <r>
    <x v="0"/>
    <s v="Codiagro"/>
    <s v="RESULTADO DEL EJERCICIO"/>
    <s v="RESULTADO ANTES DE IMPUESTOS"/>
    <s v="RESULTADO DE LA EXPLOTACION"/>
    <x v="6"/>
    <s v="(602) Compras de otros aprovisionamientos"/>
    <s v="602000007 - COMPRAS LABORATORI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08 - RESPUESTOS PLANTA"/>
    <s v="-"/>
    <n v="0"/>
    <n v="0"/>
    <n v="0"/>
    <n v="0"/>
    <n v="0"/>
    <n v="0"/>
    <n v="0"/>
    <n v="0"/>
    <n v="-509.99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10 - COMPRA RIBB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11 - COMPRAS VARIAS PLANTA"/>
    <s v="-"/>
    <n v="0"/>
    <n v="-1575"/>
    <n v="0"/>
    <n v="0"/>
    <n v="0"/>
    <n v="-1735.41"/>
    <n v="-175.92"/>
    <n v="-371.23"/>
    <n v="-125.1"/>
    <n v="-964.39"/>
    <n v="-964.39"/>
    <n v="-964.39"/>
    <n v="-7715.1200000000008"/>
  </r>
  <r>
    <x v="0"/>
    <s v="Codiagro"/>
    <s v="RESULTADO DEL EJERCICIO"/>
    <s v="RESULTADO ANTES DE IMPUESTOS"/>
    <s v="RESULTADO DE LA EXPLOTACION"/>
    <x v="6"/>
    <s v="(602) Compras de otros aprovisionamientos"/>
    <s v="602000012 - REPUESTOS INFORMATICOS"/>
    <s v="-"/>
    <n v="0"/>
    <n v="-1887.21"/>
    <n v="0"/>
    <n v="0"/>
    <n v="0"/>
    <n v="0"/>
    <n v="-1232.05"/>
    <n v="0"/>
    <s v="                                             -  "/>
    <n v="-1559.63"/>
    <n v="-1559.63"/>
    <n v="-1559.63"/>
    <n v="-9357.7800000000007"/>
  </r>
  <r>
    <x v="0"/>
    <s v="Codiagro"/>
    <s v="RESULTADO DEL EJERCICIO"/>
    <s v="RESULTADO ANTES DE IMPUESTOS"/>
    <s v="RESULTADO DE LA EXPLOTACION"/>
    <x v="6"/>
    <s v="(602) Compras de otros aprovisionamientos"/>
    <s v="602000013 - COMPRA TINTA INPRESORA ETIQUETAS"/>
    <s v="-"/>
    <n v="-157"/>
    <n v="-2350.16"/>
    <n v="0"/>
    <n v="-2676.19"/>
    <n v="-480.84"/>
    <n v="-2604.9699999999998"/>
    <n v="-2809.41"/>
    <n v="-2557.66"/>
    <n v="-2381.09"/>
    <n v="-2490"/>
    <n v="-2690"/>
    <n v="-2690"/>
    <n v="-23696.23"/>
  </r>
  <r>
    <x v="0"/>
    <s v="Codiagro"/>
    <s v="RESULTADO DEL EJERCICIO"/>
    <s v="RESULTADO ANTES DE IMPUESTOS"/>
    <s v="RESULTADO DE LA EXPLOTACION"/>
    <x v="6"/>
    <s v="(602) Compras de otros aprovisionamientos"/>
    <s v="602000100 - ENVASES Y EMBALAJES A DEVOLVER"/>
    <s v="-"/>
    <n v="-1200.4000000000001"/>
    <n v="-562"/>
    <n v="-363"/>
    <n v="67"/>
    <n v="1124"/>
    <n v="-1708"/>
    <n v="1360"/>
    <n v="0"/>
    <n v="4089"/>
    <n v="-183.2"/>
    <n v="-183.2"/>
    <n v="-183.2"/>
    <n v="-2015.2000000000003"/>
  </r>
  <r>
    <x v="0"/>
    <s v="Codiagro"/>
    <s v="RESULTADO DEL EJERCICIO"/>
    <s v="RESULTADO ANTES DE IMPUESTOS"/>
    <s v="RESULTADO DE LA EXPLOTACION"/>
    <x v="6"/>
    <s v="(607) Trabajos realizados por otras empresas"/>
    <s v="607000000 - Trabajos realizados por otras empresas"/>
    <s v="-"/>
    <n v="-4010"/>
    <n v="-8438.9599999999991"/>
    <n v="-10901.61"/>
    <n v="-20866.93"/>
    <n v="-3540"/>
    <n v="0.72000000000116415"/>
    <n v="-3900"/>
    <n v="-6131.3100000000013"/>
    <n v="-21488.9"/>
    <n v="0"/>
    <n v="0"/>
    <n v="-7970"/>
    <n v="-65758.09"/>
  </r>
  <r>
    <x v="0"/>
    <s v="Codiagro"/>
    <s v="RESULTADO DEL EJERCICIO"/>
    <s v="RESULTADO ANTES DE IMPUESTOS"/>
    <s v="RESULTADO DE LA EXPLOTACION"/>
    <x v="6"/>
    <s v="(611) Variación de existencias de materias primas"/>
    <s v="611000000 - Variación de existencias de materias primas"/>
    <s v="-"/>
    <n v="25970.74"/>
    <n v="149437.84"/>
    <n v="81262.98"/>
    <n v="-23562.66"/>
    <n v="-43504.89"/>
    <n v="-145710"/>
    <n v="649.66999999999996"/>
    <n v="-59037.03"/>
    <n v="168480.81"/>
    <n v="0"/>
    <n v="0"/>
    <n v="-15000"/>
    <n v="-29493.349999999991"/>
  </r>
  <r>
    <x v="0"/>
    <s v="Codiagro"/>
    <s v="RESULTADO DEL EJERCICIO"/>
    <s v="RESULTADO ANTES DE IMPUESTOS"/>
    <s v="RESULTADO DE LA EXPLOTACION"/>
    <x v="6"/>
    <s v="(612) Variación de existencias envases/etiquetas"/>
    <s v="612000000 - Variación de existencias otros aprovisionamientos"/>
    <s v="-"/>
    <n v="61431.54"/>
    <n v="-11484.37"/>
    <n v="0"/>
    <n v="44037.42"/>
    <n v="-73565.42"/>
    <n v="33912.769999999997"/>
    <n v="14991.19"/>
    <n v="-4582.08"/>
    <n v="-21053.4"/>
    <n v="0"/>
    <n v="0"/>
    <n v="10000"/>
    <n v="74741.049999999988"/>
  </r>
  <r>
    <x v="0"/>
    <s v="Codiagro"/>
    <s v="RESULTADO DEL EJERCICIO"/>
    <s v="RESULTADO ANTES DE IMPUESTOS"/>
    <s v="RESULTADO DE LA EXPLOTACION"/>
    <x v="1"/>
    <s v="(759) Otros ingresos de gestión"/>
    <s v="759000000 - Ingresos por servicios divers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0) Sueldos y salarios"/>
    <s v="640000000 - Sueldos y salarios"/>
    <s v="-"/>
    <n v="-84814.92"/>
    <n v="-115852.5"/>
    <n v="-111568.08"/>
    <n v="-100687.82"/>
    <n v="-104048.18"/>
    <n v="-114103.58"/>
    <n v="-121813.59"/>
    <n v="-128060.74"/>
    <n v="-131094.26999999999"/>
    <n v="-128060.74"/>
    <n v="-128060.74"/>
    <n v="-407060.74"/>
    <n v="-1672192.3699999999"/>
  </r>
  <r>
    <x v="0"/>
    <s v="Codiagro"/>
    <s v="RESULTADO DEL EJERCICIO"/>
    <s v="RESULTADO ANTES DE IMPUESTOS"/>
    <s v="RESULTADO DE LA EXPLOTACION"/>
    <x v="7"/>
    <s v="(642) Seguridad social a cargo empresa"/>
    <s v="642000000 - Seguridad Social a cargo empresa"/>
    <s v="-"/>
    <n v="-26717.09"/>
    <n v="-27074.7"/>
    <n v="-32042.23"/>
    <n v="-29359.85"/>
    <n v="-30856.34"/>
    <n v="-30968.7"/>
    <n v="-31720.06"/>
    <n v="-24572.05"/>
    <n v="-34709.72"/>
    <n v="-24572.05"/>
    <n v="-24572.05"/>
    <n v="-24572.05"/>
    <n v="-331599.21999999997"/>
  </r>
  <r>
    <x v="0"/>
    <s v="Codiagro"/>
    <s v="RESULTADO DEL EJERCICIO"/>
    <s v="RESULTADO ANTES DE IMPUESTOS"/>
    <s v="RESULTADO DE LA EXPLOTACION"/>
    <x v="7"/>
    <s v="(649) Otros gastos sociales"/>
    <s v="649000000 - Otros gastos soci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1 - GASTOS COMERCIALES NIEVES RUIZ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2 - GASTOS EMPR. ANTONIO ANDREU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4 - GASTOS COMERCIALES RICARDO PEREZ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7 - GASTOS COMERCIALES J.PARED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9 - GASTOS COMERCIALES J.A. GARC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10 - GASTOS EMP. CURR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12 - GASTOS COMERCIALES IRENE GARC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0 - GTOS. CURSOS PERSONAL"/>
    <s v="-"/>
    <n v="0"/>
    <n v="0"/>
    <n v="-2623"/>
    <n v="0"/>
    <n v="-88"/>
    <n v="0"/>
    <n v="0"/>
    <n v="0"/>
    <s v="                                             -  "/>
    <n v="0"/>
    <n v="0"/>
    <n v="0"/>
    <n v="-2711"/>
  </r>
  <r>
    <x v="0"/>
    <s v="Codiagro"/>
    <s v="RESULTADO DEL EJERCICIO"/>
    <s v="RESULTADO ANTES DE IMPUESTOS"/>
    <s v="RESULTADO DE LA EXPLOTACION"/>
    <x v="7"/>
    <s v="(649) Otros gastos sociales"/>
    <s v="649000101 - GTOS. SEG. Y RIESGOS PERSONA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2 - GASTOS ROPA UNIFORMES TRABAJADOR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3 - GASTOS COMBUSTIBLE TRAB.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100001 - GTOS. COMIDAS TRAB.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100002 - GASTOS TRAB. EMPRESA VARI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0) Gastos de investigación y desarrollo"/>
    <s v="620000002 - COMPRAS LABORATORIO"/>
    <s v="-"/>
    <n v="0"/>
    <n v="0"/>
    <n v="-113.13"/>
    <n v="-87.6"/>
    <n v="-487.47"/>
    <n v="-697.81"/>
    <n v="-226.47"/>
    <n v="0"/>
    <s v="                                             -  "/>
    <n v="-322.5"/>
    <n v="-322.5"/>
    <n v="-322.5"/>
    <n v="-2902.48"/>
  </r>
  <r>
    <x v="0"/>
    <s v="Codiagro"/>
    <s v="RESULTADO DEL EJERCICIO"/>
    <s v="RESULTADO ANTES DE IMPUESTOS"/>
    <s v="RESULTADO DE LA EXPLOTACION"/>
    <x v="8"/>
    <s v="(620) Gastos de investigación y desarrollo"/>
    <s v="620000003 - SUMINISTROS LABORATORIO"/>
    <s v="-"/>
    <n v="-522.30999999999995"/>
    <n v="-356.17"/>
    <n v="0"/>
    <n v="-1440.58"/>
    <n v="-1464.58"/>
    <n v="-752.24"/>
    <n v="-752.24"/>
    <n v="-399.98"/>
    <n v="-768.14"/>
    <n v="-812.59"/>
    <n v="-812.59"/>
    <n v="-812.59"/>
    <n v="-8938.4600000000009"/>
  </r>
  <r>
    <x v="0"/>
    <s v="Codiagro"/>
    <s v="RESULTADO DEL EJERCICIO"/>
    <s v="RESULTADO ANTES DE IMPUESTOS"/>
    <s v="RESULTADO DE LA EXPLOTACION"/>
    <x v="8"/>
    <s v="(620) Gastos de investigación y desarrollo"/>
    <s v="620000004 - GTOS. ANALISIS LABORATORIOS"/>
    <s v="-"/>
    <n v="-523.96"/>
    <n v="-1019.07"/>
    <n v="-1573.25"/>
    <n v="-41.5"/>
    <n v="-1476.12"/>
    <n v="-2389.0100000000002"/>
    <n v="-1899.09"/>
    <n v="-911.52"/>
    <n v="-1010.22"/>
    <n v="-1229.19"/>
    <n v="-1229.19"/>
    <n v="-1229.19"/>
    <n v="-14750.280000000002"/>
  </r>
  <r>
    <x v="0"/>
    <s v="Codiagro"/>
    <s v="RESULTADO DEL EJERCICIO"/>
    <s v="RESULTADO ANTES DE IMPUESTOS"/>
    <s v="RESULTADO DE LA EXPLOTACION"/>
    <x v="8"/>
    <s v="(621) Arrendamientos y cánones"/>
    <s v="621000001 - ALQUILER OFICINA CARTAGENA"/>
    <s v="-"/>
    <n v="-192"/>
    <n v="-192"/>
    <n v="-192"/>
    <n v="-192"/>
    <n v="-192"/>
    <n v="-192"/>
    <n v="-192"/>
    <n v="-192"/>
    <n v="-192"/>
    <n v="-192"/>
    <n v="-192"/>
    <n v="-192"/>
    <n v="-2304"/>
  </r>
  <r>
    <x v="0"/>
    <s v="Codiagro"/>
    <s v="RESULTADO DEL EJERCICIO"/>
    <s v="RESULTADO ANTES DE IMPUESTOS"/>
    <s v="RESULTADO DE LA EXPLOTACION"/>
    <x v="8"/>
    <s v="(621) Arrendamientos y cánones"/>
    <s v="621000014 - ALQUILER MURANO"/>
    <s v="-"/>
    <n v="0"/>
    <n v="0"/>
    <n v="0"/>
    <n v="0"/>
    <n v="-15421.92"/>
    <n v="0"/>
    <n v="-6139.04"/>
    <n v="0"/>
    <s v="                                             -  "/>
    <n v="0"/>
    <n v="0"/>
    <n v="0"/>
    <n v="-21560.959999999999"/>
  </r>
  <r>
    <x v="0"/>
    <s v="Codiagro"/>
    <s v="RESULTADO DEL EJERCICIO"/>
    <s v="RESULTADO ANTES DE IMPUESTOS"/>
    <s v="RESULTADO DE LA EXPLOTACION"/>
    <x v="8"/>
    <s v="(621) Arrendamientos y cánones"/>
    <s v="621000023 - RENTING TRANSPALETA ELECTRICA DE PI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24 - ALQUILER RENTING 2255KXN ANTONIO"/>
    <s v="-"/>
    <n v="0"/>
    <n v="-361.46"/>
    <n v="0"/>
    <n v="-361.46"/>
    <n v="0"/>
    <n v="0"/>
    <n v="0"/>
    <n v="0"/>
    <s v="                                             -  "/>
    <n v="-361.46"/>
    <n v="-361.46"/>
    <n v="-361.46"/>
    <n v="-2168.7599999999998"/>
  </r>
  <r>
    <x v="0"/>
    <s v="Codiagro"/>
    <s v="RESULTADO DEL EJERCICIO"/>
    <s v="RESULTADO ANTES DE IMPUESTOS"/>
    <s v="RESULTADO DE LA EXPLOTACION"/>
    <x v="8"/>
    <s v="(621) Arrendamientos y cánones"/>
    <s v="621000025 - ALQUILER RENTING 9128 LBT NIEV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26 - ALQUILER RENTING 9319LCL CURRO"/>
    <s v="-"/>
    <n v="0"/>
    <n v="0"/>
    <n v="-369.97"/>
    <n v="-369.97"/>
    <n v="0"/>
    <n v="0"/>
    <n v="0"/>
    <n v="0"/>
    <s v="                                             -  "/>
    <n v="-369.97"/>
    <n v="-369.97"/>
    <n v="-369.97"/>
    <n v="-2219.8200000000002"/>
  </r>
  <r>
    <x v="0"/>
    <s v="Codiagro"/>
    <s v="RESULTADO DEL EJERCICIO"/>
    <s v="RESULTADO ANTES DE IMPUESTOS"/>
    <s v="RESULTADO DE LA EXPLOTACION"/>
    <x v="8"/>
    <s v="(621) Arrendamientos y cánones"/>
    <s v="621000030 - ALQUILER RENTING 1075-LSC GARC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1 - ALQUILER RENTING KONICA-MINOLTA Y KYOCERA"/>
    <s v="-"/>
    <n v="-338"/>
    <n v="-338"/>
    <n v="-338"/>
    <n v="-338"/>
    <n v="-338"/>
    <n v="-338"/>
    <n v="-338"/>
    <n v="-338"/>
    <n v="-275"/>
    <n v="-338"/>
    <n v="-338"/>
    <n v="-338"/>
    <n v="-4056"/>
  </r>
  <r>
    <x v="0"/>
    <s v="Codiagro"/>
    <s v="RESULTADO DEL EJERCICIO"/>
    <s v="RESULTADO ANTES DE IMPUESTOS"/>
    <s v="RESULTADO DE LA EXPLOTACION"/>
    <x v="8"/>
    <s v="(621) Arrendamientos y cánones"/>
    <s v="621000032 - ALQUILER RENTING 6665-LVK JOSE JUAN"/>
    <s v="-"/>
    <n v="-349"/>
    <n v="-349"/>
    <n v="-349"/>
    <n v="0"/>
    <n v="-443.49"/>
    <n v="-443.49"/>
    <n v="-886.98"/>
    <n v="0"/>
    <s v="                                             -  "/>
    <n v="-470.16"/>
    <n v="-470.16"/>
    <n v="-470.16"/>
    <n v="-4701.5999999999995"/>
  </r>
  <r>
    <x v="0"/>
    <s v="Codiagro"/>
    <s v="RESULTADO DEL EJERCICIO"/>
    <s v="RESULTADO ANTES DE IMPUESTOS"/>
    <s v="RESULTADO DE LA EXPLOTACION"/>
    <x v="8"/>
    <s v="(621) Arrendamientos y cánones"/>
    <s v="621000033 - ALQUILER RENTING 2612-MBY ANTONIO"/>
    <s v="-"/>
    <n v="-361.46"/>
    <n v="0"/>
    <n v="-361.46"/>
    <n v="0"/>
    <n v="-399.42"/>
    <n v="-399.42"/>
    <n v="-149.15"/>
    <n v="-399.42"/>
    <n v="-399.42"/>
    <n v="-345.06"/>
    <n v="-345.06"/>
    <n v="-345.06"/>
    <n v="-3450.5699999999997"/>
  </r>
  <r>
    <x v="0"/>
    <s v="Codiagro"/>
    <s v="RESULTADO DEL EJERCICIO"/>
    <s v="RESULTADO ANTES DE IMPUESTOS"/>
    <s v="RESULTADO DE LA EXPLOTACION"/>
    <x v="8"/>
    <s v="(621) Arrendamientos y cánones"/>
    <s v="621000034 - ALQUILER RENTING 3108-LZM NIEVES"/>
    <s v="-"/>
    <n v="-650.95000000000005"/>
    <n v="-650.95000000000005"/>
    <n v="0"/>
    <n v="0"/>
    <n v="0"/>
    <n v="0"/>
    <n v="0"/>
    <n v="-1139.1600000000001"/>
    <s v="                                             -  "/>
    <n v="-813.69"/>
    <n v="-813.69"/>
    <n v="-813.69"/>
    <n v="-5695.8200000000015"/>
  </r>
  <r>
    <x v="0"/>
    <s v="Codiagro"/>
    <s v="RESULTADO DEL EJERCICIO"/>
    <s v="RESULTADO ANTES DE IMPUESTOS"/>
    <s v="RESULTADO DE LA EXPLOTACION"/>
    <x v="8"/>
    <s v="(621) Arrendamientos y cánones"/>
    <s v="621000035 - ALQUILER RENTING 2142-MCS RICARD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6 - ALQUILER RENTING 3277-MDX JAVIE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7 - CARRETILLA STILL ELEKTROSTAPLER 516213H00521"/>
    <s v="-"/>
    <n v="-200"/>
    <n v="-200"/>
    <n v="-200"/>
    <n v="-200"/>
    <n v="-200"/>
    <n v="-200"/>
    <n v="0"/>
    <n v="-400"/>
    <n v="-400.22"/>
    <n v="-228.57"/>
    <n v="-228.57"/>
    <n v="-228.57"/>
    <n v="-2514.2800000000002"/>
  </r>
  <r>
    <x v="0"/>
    <s v="Codiagro"/>
    <s v="RESULTADO DEL EJERCICIO"/>
    <s v="RESULTADO ANTES DE IMPUESTOS"/>
    <s v="RESULTADO DE LA EXPLOTACION"/>
    <x v="8"/>
    <s v="(621) Arrendamientos y cánones"/>
    <s v="621000038 - CARRETILLA STILL ELEKTROSTAPLER 516223J00123"/>
    <s v="-"/>
    <n v="-200.22"/>
    <n v="-200.22"/>
    <n v="-200.22"/>
    <n v="-200.22"/>
    <n v="-200.22"/>
    <n v="-200.22"/>
    <n v="0"/>
    <n v="-400.44"/>
    <s v="                                             -  "/>
    <n v="-228.82"/>
    <n v="-228.82"/>
    <n v="-228.82"/>
    <n v="-2517.0400000000004"/>
  </r>
  <r>
    <x v="0"/>
    <s v="Codiagro"/>
    <s v="RESULTADO DEL EJERCICIO"/>
    <s v="RESULTADO ANTES DE IMPUESTOS"/>
    <s v="RESULTADO DE LA EXPLOTACION"/>
    <x v="8"/>
    <s v="(621) Arrendamientos y cánones"/>
    <s v="621000039 - ALQUILER RENTING 5043-MWW CURRO"/>
    <s v="-"/>
    <n v="-369.97"/>
    <n v="-369.97"/>
    <n v="-150"/>
    <n v="-1039.51"/>
    <n v="0"/>
    <n v="0"/>
    <n v="0"/>
    <n v="0"/>
    <s v="                                             -  "/>
    <n v="-482.36"/>
    <n v="-482.36"/>
    <n v="-482.36"/>
    <n v="-3858.8900000000003"/>
  </r>
  <r>
    <x v="0"/>
    <s v="Codiagro"/>
    <s v="RESULTADO DEL EJERCICIO"/>
    <s v="RESULTADO ANTES DE IMPUESTOS"/>
    <s v="RESULTADO DE LA EXPLOTACION"/>
    <x v="8"/>
    <s v="(621) Arrendamientos y cánones"/>
    <s v="621000040 - ALQUILER RENTING 8917-MZT JAVIER"/>
    <s v="-"/>
    <n v="-1068.22"/>
    <n v="0"/>
    <n v="-2136.44"/>
    <n v="-1068.22"/>
    <n v="-1172.1400000000001"/>
    <n v="0"/>
    <n v="-2344.3000000000002"/>
    <n v="0"/>
    <n v="-1172.1400000000001"/>
    <n v="-1557.86"/>
    <n v="-1557.86"/>
    <n v="-1557.86"/>
    <n v="-14020.760000000002"/>
  </r>
  <r>
    <x v="0"/>
    <s v="Codiagro"/>
    <s v="RESULTADO DEL EJERCICIO"/>
    <s v="RESULTADO ANTES DE IMPUESTOS"/>
    <s v="RESULTADO DE LA EXPLOTACION"/>
    <x v="8"/>
    <s v="(621) Arrendamientos y cánones"/>
    <s v="621000041 - ALQUILER RENTING 8929-MZT RICARDO"/>
    <s v="-"/>
    <n v="-911.28"/>
    <n v="0"/>
    <n v="-1822.56"/>
    <n v="-911.28"/>
    <n v="-1015.21"/>
    <n v="0"/>
    <n v="-2030.4"/>
    <n v="0"/>
    <n v="-1015.21"/>
    <n v="-1338.15"/>
    <n v="-1338.15"/>
    <n v="-1338.15"/>
    <n v="-12043.329999999998"/>
  </r>
  <r>
    <x v="0"/>
    <s v="Codiagro"/>
    <s v="RESULTADO DEL EJERCICIO"/>
    <s v="RESULTADO ANTES DE IMPUESTOS"/>
    <s v="RESULTADO DE LA EXPLOTACION"/>
    <x v="8"/>
    <s v="(621) Arrendamientos y cánones"/>
    <s v="621000042 - ALQUILER RENTING 4946-NFH GARCIA"/>
    <s v="-"/>
    <n v="-613.16"/>
    <n v="-613.15"/>
    <n v="-613.15"/>
    <n v="-613.15"/>
    <n v="-677.53"/>
    <n v="-677.53"/>
    <n v="-677.53"/>
    <n v="-677.53"/>
    <n v="-677.53"/>
    <n v="-645.34"/>
    <n v="-645.34"/>
    <n v="-645.34"/>
    <n v="-7744.09"/>
  </r>
  <r>
    <x v="0"/>
    <s v="Codiagro"/>
    <s v="RESULTADO DEL EJERCICIO"/>
    <s v="RESULTADO ANTES DE IMPUESTOS"/>
    <s v="RESULTADO DE LA EXPLOTACION"/>
    <x v="8"/>
    <s v="(621) Arrendamientos y cánones"/>
    <s v="621000044 - ALQUILER COMPRESOR DE TORNILLO 37KW KAESER BSD 75C"/>
    <s v="-"/>
    <n v="-1600"/>
    <n v="-1600"/>
    <n v="-1600"/>
    <n v="-1600"/>
    <n v="-1600"/>
    <n v="-1600"/>
    <n v="-1600"/>
    <n v="-1600"/>
    <n v="-1600"/>
    <n v="-1600"/>
    <n v="-1600"/>
    <n v="-1600"/>
    <n v="-19200"/>
  </r>
  <r>
    <x v="0"/>
    <s v="Codiagro"/>
    <s v="RESULTADO DEL EJERCICIO"/>
    <s v="RESULTADO ANTES DE IMPUESTOS"/>
    <s v="RESULTADO DE LA EXPLOTACION"/>
    <x v="8"/>
    <s v="(621) Arrendamientos y cánones"/>
    <s v="621000045 - ALQUILER RENTING 3421-NJT PERE"/>
    <s v="-"/>
    <n v="-634.77"/>
    <n v="-1093.22"/>
    <n v="-1093.22"/>
    <n v="-1093.22"/>
    <n v="-1208.01"/>
    <n v="-1208.01"/>
    <n v="-1208.01"/>
    <n v="-1208.01"/>
    <n v="-1208.01"/>
    <n v="-1093.31"/>
    <n v="-1093.31"/>
    <n v="-1093.31"/>
    <n v="-13119.71"/>
  </r>
  <r>
    <x v="0"/>
    <s v="Codiagro"/>
    <s v="RESULTADO DEL EJERCICIO"/>
    <s v="RESULTADO ANTES DE IMPUESTOS"/>
    <s v="RESULTADO DE LA EXPLOTACION"/>
    <x v="8"/>
    <s v="(621) Arrendamientos y cánones"/>
    <s v="621000046 - ALQUILER CARRETILLAS"/>
    <s v="-"/>
    <n v="0"/>
    <n v="0"/>
    <n v="0"/>
    <n v="-381.67"/>
    <n v="0"/>
    <n v="-845.32999999999993"/>
    <n v="-742"/>
    <n v="-742"/>
    <n v="-742"/>
    <n v="-677.75"/>
    <n v="-677.75"/>
    <n v="-677.75"/>
    <n v="-5422"/>
  </r>
  <r>
    <x v="0"/>
    <s v="Codiagro"/>
    <s v="RESULTADO DEL EJERCICIO"/>
    <s v="RESULTADO ANTES DE IMPUESTOS"/>
    <s v="RESULTADO DE LA EXPLOTACION"/>
    <x v="8"/>
    <s v="(622) Reparación/conservación/mantenimiento"/>
    <s v="622000001 - REPAR. EQUIPOS INFORM. Y FOTOCOPIADORAS"/>
    <s v="-"/>
    <n v="-1621.56"/>
    <n v="-815.7"/>
    <n v="-136.16"/>
    <n v="-218"/>
    <n v="0"/>
    <n v="-790.66"/>
    <n v="0"/>
    <n v="0"/>
    <n v="-3275.52"/>
    <n v="-716.42"/>
    <n v="-716.42"/>
    <n v="-716.42"/>
    <n v="-6447.76"/>
  </r>
  <r>
    <x v="0"/>
    <s v="Codiagro"/>
    <s v="RESULTADO DEL EJERCICIO"/>
    <s v="RESULTADO ANTES DE IMPUESTOS"/>
    <s v="RESULTADO DE LA EXPLOTACION"/>
    <x v="8"/>
    <s v="(622) Reparación/conservación/mantenimiento"/>
    <s v="622000004 - REP. Y CONSERV. CARRETILLA ELECTRICA"/>
    <s v="-"/>
    <n v="0"/>
    <n v="0"/>
    <n v="-1006.36"/>
    <n v="0"/>
    <n v="0"/>
    <n v="-979.23"/>
    <n v="0"/>
    <n v="-115.48"/>
    <s v="                                             -  "/>
    <n v="-700.36"/>
    <n v="-700.36"/>
    <n v="-700.36"/>
    <n v="-4902.51"/>
  </r>
  <r>
    <x v="0"/>
    <s v="Codiagro"/>
    <s v="RESULTADO DEL EJERCICIO"/>
    <s v="RESULTADO ANTES DE IMPUESTOS"/>
    <s v="RESULTADO DE LA EXPLOTACION"/>
    <x v="8"/>
    <s v="(622) Reparación/conservación/mantenimiento"/>
    <s v="622000005 - REP. Y MANT. EQUIPOS SEGURIDAD"/>
    <s v="-"/>
    <n v="0"/>
    <n v="-73.72"/>
    <n v="0"/>
    <n v="-13.33"/>
    <n v="-183.66"/>
    <n v="0"/>
    <n v="-196.99"/>
    <n v="0"/>
    <s v="                                             -  "/>
    <n v="-116.92"/>
    <n v="-116.92"/>
    <n v="-116.92"/>
    <n v="-935.37999999999988"/>
  </r>
  <r>
    <x v="0"/>
    <s v="Codiagro"/>
    <s v="RESULTADO DEL EJERCICIO"/>
    <s v="RESULTADO ANTES DE IMPUESTOS"/>
    <s v="RESULTADO DE LA EXPLOTACION"/>
    <x v="8"/>
    <s v="(622) Reparación/conservación/mantenimiento"/>
    <s v="622000006 - REP. Y MANT. INSTALACIONES VARIAS"/>
    <s v="-"/>
    <n v="0"/>
    <n v="-1833.95"/>
    <n v="-468.78"/>
    <n v="-344"/>
    <n v="0"/>
    <n v="-1900.59"/>
    <n v="-2274.92"/>
    <n v="0"/>
    <n v="-877.14"/>
    <n v="-3193"/>
    <n v="-1250"/>
    <n v="-525"/>
    <n v="-14008.24"/>
  </r>
  <r>
    <x v="0"/>
    <s v="Codiagro"/>
    <s v="RESULTADO DEL EJERCICIO"/>
    <s v="RESULTADO ANTES DE IMPUESTOS"/>
    <s v="RESULTADO DE LA EXPLOTACION"/>
    <x v="8"/>
    <s v="(622) Reparación/conservación/mantenimiento"/>
    <s v="622000007 - REP. Y MANT. HYUNDAI 0377CJG"/>
    <s v="-"/>
    <n v="0"/>
    <n v="0"/>
    <n v="-238.88"/>
    <n v="0"/>
    <n v="0"/>
    <n v="0"/>
    <n v="0"/>
    <n v="0"/>
    <s v="                                             -  "/>
    <n v="-238.88"/>
    <n v="-238.88"/>
    <n v="-238.88"/>
    <n v="-1194.4000000000001"/>
  </r>
  <r>
    <x v="0"/>
    <s v="Codiagro"/>
    <s v="RESULTADO DEL EJERCICIO"/>
    <s v="RESULTADO ANTES DE IMPUESTOS"/>
    <s v="RESULTADO DE LA EXPLOTACION"/>
    <x v="8"/>
    <s v="(622) Reparación/conservación/mantenimiento"/>
    <s v="622000008 - REP. Y MANT. MAQUINA BARREDORA"/>
    <s v="-"/>
    <n v="0"/>
    <n v="0"/>
    <n v="0"/>
    <n v="-350.75"/>
    <n v="0"/>
    <n v="0"/>
    <n v="-634.91"/>
    <n v="0"/>
    <n v="-591.76"/>
    <n v="-492.83"/>
    <n v="-492.83"/>
    <n v="-492.83"/>
    <n v="-2956.98"/>
  </r>
  <r>
    <x v="0"/>
    <s v="Codiagro"/>
    <s v="RESULTADO DEL EJERCICIO"/>
    <s v="RESULTADO ANTES DE IMPUESTOS"/>
    <s v="RESULTADO DE LA EXPLOTACION"/>
    <x v="8"/>
    <s v="(622) Reparación/conservación/mantenimiento"/>
    <s v="622000009 - REP. Y MANT. FURGONETA 2589CRJ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00012 - LIMPIEZA OFICINAS, LABORATORIO Y VESTUARIOS"/>
    <s v="-"/>
    <n v="-585"/>
    <n v="0"/>
    <n v="-1101.5999999999999"/>
    <n v="-495"/>
    <n v="0"/>
    <n v="-1566.9"/>
    <n v="-642.6"/>
    <n v="-977.98"/>
    <n v="-734.1"/>
    <n v="-894.85"/>
    <n v="-894.85"/>
    <n v="-894.85"/>
    <n v="-8948.4800000000014"/>
  </r>
  <r>
    <x v="0"/>
    <s v="Codiagro"/>
    <s v="RESULTADO DEL EJERCICIO"/>
    <s v="RESULTADO ANTES DE IMPUESTOS"/>
    <s v="RESULTADO DE LA EXPLOTACION"/>
    <x v="8"/>
    <s v="(622) Reparación/conservación/mantenimiento"/>
    <s v="622010000 MANTENIMIENTO"/>
    <s v="-"/>
    <n v="0"/>
    <n v="0"/>
    <n v="0"/>
    <n v="0"/>
    <n v="0"/>
    <n v="0"/>
    <n v="-1409.04"/>
    <n v="0"/>
    <s v="                                             -  "/>
    <n v="-1409.04"/>
    <n v="-1409.04"/>
    <n v="-1409.04"/>
    <n v="-7045.2"/>
  </r>
  <r>
    <x v="0"/>
    <s v="Codiagro"/>
    <s v="RESULTADO DEL EJERCICIO"/>
    <s v="RESULTADO ANTES DE IMPUESTOS"/>
    <s v="RESULTADO DE LA EXPLOTACION"/>
    <x v="8"/>
    <s v="(622) Reparación/conservación/mantenimiento"/>
    <s v="622010001 - MANTENIMIENTO REPUESTO COMPRA AMAZ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10200 - ALCAPLANT"/>
    <s v="-"/>
    <n v="-1342.54"/>
    <n v="-586"/>
    <n v="-2280"/>
    <n v="0"/>
    <n v="-942.88"/>
    <n v="-354.5"/>
    <n v="-9441.85"/>
    <n v="-1983.69"/>
    <n v="-1288.6199999999999"/>
    <n v="-3000"/>
    <n v="0"/>
    <n v="0"/>
    <n v="-20731.46"/>
  </r>
  <r>
    <x v="0"/>
    <s v="Codiagro"/>
    <s v="RESULTADO DEL EJERCICIO"/>
    <s v="RESULTADO ANTES DE IMPUESTOS"/>
    <s v="RESULTADO DE LA EXPLOTACION"/>
    <x v="8"/>
    <s v="(622) Reparación/conservación/mantenimiento"/>
    <s v="622010201 - REPARACIONES ALCAPLANT"/>
    <s v="-"/>
    <n v="-667.12"/>
    <n v="0"/>
    <n v="0"/>
    <n v="0"/>
    <n v="0"/>
    <n v="-4282.05"/>
    <n v="-5230"/>
    <n v="-5848.16"/>
    <s v="                                             -  "/>
    <n v="-4006.83"/>
    <n v="-4006.83"/>
    <n v="-4006.83"/>
    <n v="-32054.65"/>
  </r>
  <r>
    <x v="0"/>
    <s v="Codiagro"/>
    <s v="RESULTADO DEL EJERCICIO"/>
    <s v="RESULTADO ANTES DE IMPUESTOS"/>
    <s v="RESULTADO DE LA EXPLOTACION"/>
    <x v="8"/>
    <s v="(622) Reparación/conservación/mantenimiento"/>
    <s v="622010300 - SOLIDOS"/>
    <s v="-"/>
    <n v="-617.41999999999996"/>
    <n v="0"/>
    <n v="0"/>
    <n v="0"/>
    <n v="0"/>
    <n v="-4467.0200000000004"/>
    <n v="0"/>
    <n v="-11965.55"/>
    <n v="-6085.86"/>
    <n v="-350"/>
    <n v="-2850"/>
    <n v="-350"/>
    <n v="-23249.989999999998"/>
  </r>
  <r>
    <x v="0"/>
    <s v="Codiagro"/>
    <s v="RESULTADO DEL EJERCICIO"/>
    <s v="RESULTADO ANTES DE IMPUESTOS"/>
    <s v="RESULTADO DE LA EXPLOTACION"/>
    <x v="8"/>
    <s v="(622) Reparación/conservación/mantenimiento"/>
    <s v="622010400 - LIQUIDOS"/>
    <s v="-"/>
    <n v="0"/>
    <n v="0"/>
    <n v="-1502.54"/>
    <n v="-55.82"/>
    <n v="-1092.45"/>
    <n v="-8017.35"/>
    <n v="5697.8"/>
    <n v="-288.39"/>
    <s v="                                             -  "/>
    <n v="-1100"/>
    <n v="0"/>
    <n v="0"/>
    <n v="-7758.75"/>
  </r>
  <r>
    <x v="0"/>
    <s v="Codiagro"/>
    <s v="RESULTADO DEL EJERCICIO"/>
    <s v="RESULTADO ANTES DE IMPUESTOS"/>
    <s v="RESULTADO DE LA EXPLOTACION"/>
    <x v="8"/>
    <s v="(622) Reparación/conservación/mantenimiento"/>
    <s v="622010500 - REPUESTOS MANT. VARIOS"/>
    <s v="-"/>
    <n v="0"/>
    <n v="-155.11000000000001"/>
    <n v="-1072.93"/>
    <n v="-2283.52"/>
    <n v="-799.04"/>
    <n v="-106.8"/>
    <n v="0"/>
    <n v="-108.17"/>
    <n v="-602.22"/>
    <n v="-250"/>
    <n v="-250"/>
    <n v="-250"/>
    <n v="-5625.5700000000006"/>
  </r>
  <r>
    <x v="0"/>
    <s v="Codiagro"/>
    <s v="RESULTADO DEL EJERCICIO"/>
    <s v="RESULTADO ANTES DE IMPUESTOS"/>
    <s v="RESULTADO DE LA EXPLOTACION"/>
    <x v="8"/>
    <s v="(622) Reparación/conservación/mantenimiento"/>
    <s v="622010501 - REP. MANT. FONTANERIA"/>
    <s v="-"/>
    <n v="0"/>
    <n v="-39.799999999999997"/>
    <n v="-227.04"/>
    <n v="0"/>
    <n v="0"/>
    <n v="-81.8"/>
    <n v="0"/>
    <n v="0"/>
    <n v="-90.85"/>
    <n v="-116.21"/>
    <n v="-116.21"/>
    <n v="-116.21"/>
    <n v="-813.48"/>
  </r>
  <r>
    <x v="0"/>
    <s v="Codiagro"/>
    <s v="RESULTADO DEL EJERCICIO"/>
    <s v="RESULTADO ANTES DE IMPUESTOS"/>
    <s v="RESULTADO DE LA EXPLOTACION"/>
    <x v="8"/>
    <s v="(623) Servicios profesionales independientes"/>
    <s v="623000001 - SERV. PROF. INDEPENDIENTES"/>
    <s v="-"/>
    <n v="-1902.37"/>
    <n v="-497"/>
    <n v="-5360.3"/>
    <n v="-10729"/>
    <n v="-21698"/>
    <n v="-2988"/>
    <n v="-2584.62"/>
    <n v="-2853.02"/>
    <n v="-2345.62"/>
    <n v="-6000"/>
    <n v="-6000"/>
    <n v="-8000"/>
    <n v="-74612.31"/>
  </r>
  <r>
    <x v="0"/>
    <s v="Codiagro"/>
    <s v="RESULTADO DEL EJERCICIO"/>
    <s v="RESULTADO ANTES DE IMPUESTOS"/>
    <s v="RESULTADO DE LA EXPLOTACION"/>
    <x v="8"/>
    <s v="(623) Servicios profesionales independientes"/>
    <s v="623000002 - SERVICIOS CONTABLES Y FINANCIEROS"/>
    <s v="-"/>
    <n v="-1417.95"/>
    <n v="-1417.95"/>
    <n v="-5837.67"/>
    <n v="-2891.19"/>
    <n v="-2891.19"/>
    <n v="-2891.19"/>
    <n v="-2891.19"/>
    <n v="-2148.2399999999998"/>
    <n v="-3634.14"/>
    <n v="-2800"/>
    <n v="-2800"/>
    <n v="-2800"/>
    <n v="-33586.57"/>
  </r>
  <r>
    <x v="0"/>
    <s v="Codiagro"/>
    <s v="RESULTADO DEL EJERCICIO"/>
    <s v="RESULTADO ANTES DE IMPUESTOS"/>
    <s v="RESULTADO DE LA EXPLOTACION"/>
    <x v="8"/>
    <s v="(623) Servicios profesionales independientes"/>
    <s v="623000003 - SERV. NOTARIOS, REGISTROS, LEGAL"/>
    <s v="-"/>
    <n v="-548.32000000000005"/>
    <n v="-3007.86"/>
    <n v="-3805.86"/>
    <n v="-3053.37"/>
    <n v="-2271.2399999999998"/>
    <n v="-2271.2399999999998"/>
    <n v="-736.62"/>
    <n v="0"/>
    <n v="-1534.62"/>
    <n v="-2150"/>
    <n v="-2100"/>
    <n v="-6150"/>
    <n v="-26094.510000000002"/>
  </r>
  <r>
    <x v="0"/>
    <s v="Codiagro"/>
    <s v="RESULTADO DEL EJERCICIO"/>
    <s v="RESULTADO ANTES DE IMPUESTOS"/>
    <s v="RESULTADO DE LA EXPLOTACION"/>
    <x v="8"/>
    <s v="(623) Servicios profesionales independientes"/>
    <s v="623000004 - GTOS. BCS. OKO"/>
    <s v="-"/>
    <n v="-971.47"/>
    <n v="0"/>
    <n v="0"/>
    <n v="0"/>
    <n v="-1574.71"/>
    <n v="-1267.24"/>
    <n v="0"/>
    <n v="0"/>
    <s v="                                             -  "/>
    <n v="-300"/>
    <n v="-1200"/>
    <n v="0"/>
    <n v="-5313.42"/>
  </r>
  <r>
    <x v="0"/>
    <s v="Codiagro"/>
    <s v="RESULTADO DEL EJERCICIO"/>
    <s v="RESULTADO ANTES DE IMPUESTOS"/>
    <s v="RESULTADO DE LA EXPLOTACION"/>
    <x v="8"/>
    <s v="(623) Servicios profesionales independientes"/>
    <s v="623000005 - SERVICIOS PREST. CAMARA COMERCIO"/>
    <s v="-"/>
    <n v="-692.3"/>
    <n v="-689.7"/>
    <n v="-324"/>
    <n v="-591"/>
    <n v="-429"/>
    <n v="-1185.44"/>
    <n v="-763"/>
    <n v="-210"/>
    <n v="-662"/>
    <n v="-610.55999999999995"/>
    <n v="-610.55999999999995"/>
    <n v="-610.55999999999995"/>
    <n v="-7326.6799999999985"/>
  </r>
  <r>
    <x v="0"/>
    <s v="Codiagro"/>
    <s v="RESULTADO DEL EJERCICIO"/>
    <s v="RESULTADO ANTES DE IMPUESTOS"/>
    <s v="RESULTADO DE LA EXPLOTACION"/>
    <x v="8"/>
    <s v="(623) Servicios profesionales independientes"/>
    <s v="623100002 - GASTOS MAURICIO ALISTE"/>
    <s v="-"/>
    <n v="-3245.91"/>
    <n v="-4213.45"/>
    <n v="-5262.62"/>
    <n v="-2950.29"/>
    <n v="-4225.22"/>
    <n v="-3567.95"/>
    <n v="-3428.16"/>
    <n v="-4396.3900000000003"/>
    <n v="-4659.66"/>
    <n v="-4000"/>
    <n v="-4000"/>
    <n v="-9200"/>
    <n v="-52289.990000000005"/>
  </r>
  <r>
    <x v="0"/>
    <s v="Codiagro"/>
    <s v="RESULTADO DEL EJERCICIO"/>
    <s v="RESULTADO ANTES DE IMPUESTOS"/>
    <s v="RESULTADO DE LA EXPLOTACION"/>
    <x v="8"/>
    <s v="(623) Servicios profesionales independientes"/>
    <s v="623100006 - GASTOS Y SERVICIOS AGRICOLA DEL JUCAR"/>
    <s v="-"/>
    <n v="0"/>
    <n v="-236.74"/>
    <n v="-895.06"/>
    <n v="-438.09"/>
    <n v="-141.55000000000001"/>
    <n v="-54.55"/>
    <n v="0"/>
    <n v="-20364.61"/>
    <s v="                                             -  "/>
    <n v="-500"/>
    <n v="-500"/>
    <n v="-30500"/>
    <n v="-54130.6"/>
  </r>
  <r>
    <x v="0"/>
    <s v="Codiagro"/>
    <s v="RESULTADO DEL EJERCICIO"/>
    <s v="RESULTADO ANTES DE IMPUESTOS"/>
    <s v="RESULTADO DE LA EXPLOTACION"/>
    <x v="8"/>
    <s v="(623) Servicios profesionales independientes"/>
    <s v="623100007 - GASTOS Y SUELDO MEHMET CILOGLU"/>
    <s v="-"/>
    <n v="-5502.03"/>
    <n v="-5916.14"/>
    <n v="-5438.35"/>
    <n v="-5067.2299999999996"/>
    <n v="0"/>
    <n v="-41963.34"/>
    <n v="-20123.98"/>
    <n v="-6760.66"/>
    <n v="-5892.08"/>
    <n v="-6000"/>
    <n v="-6000"/>
    <n v="-106000"/>
    <n v="-214771.72999999998"/>
  </r>
  <r>
    <x v="0"/>
    <s v="Codiagro"/>
    <s v="RESULTADO DEL EJERCICIO"/>
    <s v="RESULTADO ANTES DE IMPUESTOS"/>
    <s v="RESULTADO DE LA EXPLOTACION"/>
    <x v="8"/>
    <s v="(623) Servicios profesionales independientes"/>
    <s v="623100008 - COMISIONES KAMAL KEHAL"/>
    <s v="-"/>
    <n v="0"/>
    <n v="0"/>
    <n v="0"/>
    <n v="0"/>
    <n v="-3398.55"/>
    <n v="0"/>
    <n v="0"/>
    <n v="0"/>
    <s v="                                             -  "/>
    <n v="0"/>
    <n v="0"/>
    <n v="0"/>
    <n v="-3398.55"/>
  </r>
  <r>
    <x v="0"/>
    <s v="Codiagro"/>
    <s v="RESULTADO DEL EJERCICIO"/>
    <s v="RESULTADO ANTES DE IMPUESTOS"/>
    <s v="RESULTADO DE LA EXPLOTACION"/>
    <x v="8"/>
    <s v="(623) Servicios profesionales independientes"/>
    <s v="623100009 - COMISIONES ABEL SALAZA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1 - GASTOS MARCAS EN ESPAÑA"/>
    <s v="-"/>
    <n v="-377.56"/>
    <n v="0"/>
    <n v="0"/>
    <n v="0"/>
    <n v="-377.56"/>
    <n v="0"/>
    <n v="0"/>
    <n v="0"/>
    <s v="                                             -  "/>
    <n v="0"/>
    <n v="0"/>
    <n v="0"/>
    <n v="-755.12"/>
  </r>
  <r>
    <x v="0"/>
    <s v="Codiagro"/>
    <s v="RESULTADO DEL EJERCICIO"/>
    <s v="RESULTADO ANTES DE IMPUESTOS"/>
    <s v="RESULTADO DE LA EXPLOTACION"/>
    <x v="8"/>
    <s v="(623) Servicios profesionales independientes"/>
    <s v="623200005 - GASTOS MARCAS CHIL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6 - MARCAS UNION EUROPEA"/>
    <s v="-"/>
    <n v="0"/>
    <n v="-1218.75"/>
    <n v="0"/>
    <n v="0"/>
    <n v="0"/>
    <n v="-30.35"/>
    <n v="0"/>
    <n v="-663"/>
    <s v="                                             -  "/>
    <n v="0"/>
    <n v="0"/>
    <n v="0"/>
    <n v="-1912.1"/>
  </r>
  <r>
    <x v="0"/>
    <s v="Codiagro"/>
    <s v="RESULTADO DEL EJERCICIO"/>
    <s v="RESULTADO ANTES DE IMPUESTOS"/>
    <s v="RESULTADO DE LA EXPLOTACION"/>
    <x v="8"/>
    <s v="(623) Servicios profesionales independientes"/>
    <s v="623200011 - GASTOS MARCAS COLOMBIA"/>
    <s v="-"/>
    <n v="0"/>
    <n v="0"/>
    <n v="-212.5"/>
    <n v="-513"/>
    <n v="-53.12"/>
    <n v="-30.35"/>
    <n v="0"/>
    <n v="0"/>
    <s v="                                             -  "/>
    <n v="0"/>
    <n v="0"/>
    <n v="0"/>
    <n v="-808.97"/>
  </r>
  <r>
    <x v="0"/>
    <s v="Codiagro"/>
    <s v="RESULTADO DEL EJERCICIO"/>
    <s v="RESULTADO ANTES DE IMPUESTOS"/>
    <s v="RESULTADO DE LA EXPLOTACION"/>
    <x v="8"/>
    <s v="(623) Servicios profesionales independientes"/>
    <s v="623200021 - GASTOS MARCAS GUATEMAL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3 - GASTOS MARCAS ARGELIA"/>
    <s v="-"/>
    <n v="0"/>
    <n v="0"/>
    <n v="0"/>
    <n v="0"/>
    <n v="-53.12"/>
    <n v="-30.35"/>
    <n v="0"/>
    <n v="0"/>
    <s v="                                             -  "/>
    <n v="0"/>
    <n v="0"/>
    <n v="0"/>
    <n v="-83.47"/>
  </r>
  <r>
    <x v="0"/>
    <s v="Codiagro"/>
    <s v="RESULTADO DEL EJERCICIO"/>
    <s v="RESULTADO ANTES DE IMPUESTOS"/>
    <s v="RESULTADO DE LA EXPLOTACION"/>
    <x v="8"/>
    <s v="(623) Servicios profesionales independientes"/>
    <s v="623200002 - GASTOS MARCAS MEXICO"/>
    <s v="-"/>
    <n v="0"/>
    <n v="0"/>
    <n v="0"/>
    <n v="0"/>
    <n v="0"/>
    <n v="-267.75"/>
    <n v="0"/>
    <n v="0"/>
    <s v="                                             -  "/>
    <n v="0"/>
    <n v="0"/>
    <n v="0"/>
    <n v="-267.75"/>
  </r>
  <r>
    <x v="0"/>
    <s v="Codiagro"/>
    <s v="RESULTADO DEL EJERCICIO"/>
    <s v="RESULTADO ANTES DE IMPUESTOS"/>
    <s v="RESULTADO DE LA EXPLOTACION"/>
    <x v="8"/>
    <s v="(623) Servicios profesionales independientes"/>
    <s v="623200033 - GASTOS MARCAS MUNDIAL"/>
    <s v="-"/>
    <n v="0"/>
    <n v="0"/>
    <n v="0"/>
    <n v="0"/>
    <n v="0"/>
    <n v="-2450"/>
    <n v="0"/>
    <n v="0"/>
    <s v="                                             -  "/>
    <n v="0"/>
    <n v="0"/>
    <n v="0"/>
    <n v="-2450"/>
  </r>
  <r>
    <x v="0"/>
    <s v="Codiagro"/>
    <s v="RESULTADO DEL EJERCICIO"/>
    <s v="RESULTADO ANTES DE IMPUESTOS"/>
    <s v="RESULTADO DE LA EXPLOTACION"/>
    <x v="8"/>
    <s v="(623) Servicios profesionales independientes"/>
    <s v="623200008 - GASTOS MARCAS EGIPTO"/>
    <s v="-"/>
    <n v="0"/>
    <n v="0"/>
    <n v="0"/>
    <n v="-513"/>
    <n v="-53.14"/>
    <n v="0"/>
    <n v="0"/>
    <n v="0"/>
    <s v="                                             -  "/>
    <n v="0"/>
    <n v="0"/>
    <n v="0"/>
    <n v="-566.14"/>
  </r>
  <r>
    <x v="0"/>
    <s v="Codiagro"/>
    <s v="RESULTADO DEL EJERCICIO"/>
    <s v="RESULTADO ANTES DE IMPUESTOS"/>
    <s v="RESULTADO DE LA EXPLOTACION"/>
    <x v="8"/>
    <s v="(623) Servicios profesionales independientes"/>
    <s v="623200009 - GASTOS MARCAS MARRUECOS"/>
    <s v="-"/>
    <n v="0"/>
    <n v="0"/>
    <n v="0"/>
    <n v="-513"/>
    <n v="0"/>
    <n v="-30.35"/>
    <n v="0"/>
    <n v="0"/>
    <s v="                                             -  "/>
    <n v="0"/>
    <n v="0"/>
    <n v="0"/>
    <n v="-543.35"/>
  </r>
  <r>
    <x v="0"/>
    <s v="Codiagro"/>
    <s v="RESULTADO DEL EJERCICIO"/>
    <s v="RESULTADO ANTES DE IMPUESTOS"/>
    <s v="RESULTADO DE LA EXPLOTACION"/>
    <x v="8"/>
    <s v="(623) Servicios profesionales independientes"/>
    <s v="623200010 - GASTOS MARCAS TURQUIA"/>
    <s v="-"/>
    <n v="0"/>
    <n v="0"/>
    <n v="0"/>
    <n v="-513"/>
    <n v="0"/>
    <n v="-30.4"/>
    <n v="0"/>
    <n v="0"/>
    <s v="                                             -  "/>
    <n v="0"/>
    <n v="0"/>
    <n v="0"/>
    <n v="-543.4"/>
  </r>
  <r>
    <x v="0"/>
    <s v="Codiagro"/>
    <s v="RESULTADO DEL EJERCICIO"/>
    <s v="RESULTADO ANTES DE IMPUESTOS"/>
    <s v="RESULTADO DE LA EXPLOTACION"/>
    <x v="8"/>
    <s v="(623) Servicios profesionales independientes"/>
    <s v="623200016 - GASTOS MARCAS ECUADOR"/>
    <s v="-"/>
    <n v="0"/>
    <n v="0"/>
    <n v="0"/>
    <n v="-1190"/>
    <n v="0"/>
    <n v="0"/>
    <n v="0"/>
    <n v="0"/>
    <s v="                                             -  "/>
    <n v="0"/>
    <n v="0"/>
    <n v="0"/>
    <n v="-1190"/>
  </r>
  <r>
    <x v="0"/>
    <s v="Codiagro"/>
    <s v="RESULTADO DEL EJERCICIO"/>
    <s v="RESULTADO ANTES DE IMPUESTOS"/>
    <s v="RESULTADO DE LA EXPLOTACION"/>
    <x v="8"/>
    <s v="(623) Servicios profesionales independientes"/>
    <s v="623200017 GASTOS MARCAS EL SALVADOR"/>
    <s v="-"/>
    <n v="0"/>
    <n v="0"/>
    <n v="0"/>
    <n v="0"/>
    <n v="0"/>
    <n v="0"/>
    <n v="0"/>
    <n v="-4869.95"/>
    <s v="                                             -  "/>
    <n v="-4869.95"/>
    <n v="-4869.95"/>
    <n v="-4869.95"/>
    <n v="-24349.75"/>
  </r>
  <r>
    <x v="0"/>
    <s v="Codiagro"/>
    <s v="RESULTADO DEL EJERCICIO"/>
    <s v="RESULTADO ANTES DE IMPUESTOS"/>
    <s v="RESULTADO DE LA EXPLOTACION"/>
    <x v="8"/>
    <s v="(623) Servicios profesionales independientes"/>
    <s v="623200020 - GASTOS MARCAS TUNEZ"/>
    <s v="-"/>
    <n v="0"/>
    <n v="0"/>
    <n v="0"/>
    <n v="-513"/>
    <n v="0"/>
    <n v="-30.35"/>
    <n v="0"/>
    <n v="0"/>
    <s v="                                             -  "/>
    <n v="0"/>
    <n v="0"/>
    <n v="0"/>
    <n v="-543.35"/>
  </r>
  <r>
    <x v="0"/>
    <s v="Codiagro"/>
    <s v="RESULTADO DEL EJERCICIO"/>
    <s v="RESULTADO ANTES DE IMPUESTOS"/>
    <s v="RESULTADO DE LA EXPLOTACION"/>
    <x v="8"/>
    <s v="(623) Servicios profesionales independientes"/>
    <s v="623200022 - GASTOS MARCAS BOLIVIA"/>
    <s v="-"/>
    <n v="0"/>
    <n v="0"/>
    <n v="0"/>
    <n v="-513"/>
    <n v="0"/>
    <n v="0"/>
    <n v="0"/>
    <n v="0"/>
    <s v="                                             -  "/>
    <n v="0"/>
    <n v="0"/>
    <n v="0"/>
    <n v="-513"/>
  </r>
  <r>
    <x v="0"/>
    <s v="Codiagro"/>
    <s v="RESULTADO DEL EJERCICIO"/>
    <s v="RESULTADO ANTES DE IMPUESTOS"/>
    <s v="RESULTADO DE LA EXPLOTACION"/>
    <x v="8"/>
    <s v="(623) Servicios profesionales independientes"/>
    <s v="623200024 - GASTOS MARCAS INTERNACIONALES"/>
    <s v="-"/>
    <n v="0"/>
    <n v="0"/>
    <n v="0"/>
    <n v="-9951.56"/>
    <n v="0"/>
    <n v="0"/>
    <n v="0"/>
    <n v="-212.5"/>
    <n v="-2300.9899999999998"/>
    <n v="0"/>
    <n v="0"/>
    <n v="0"/>
    <n v="-10164.06"/>
  </r>
  <r>
    <x v="0"/>
    <s v="Codiagro"/>
    <s v="RESULTADO DEL EJERCICIO"/>
    <s v="RESULTADO ANTES DE IMPUESTOS"/>
    <s v="RESULTADO DE LA EXPLOTACION"/>
    <x v="8"/>
    <s v="(623) Servicios profesionales independientes"/>
    <s v="623200029 - GASTOS MARCAS GEORGIA"/>
    <s v="-"/>
    <n v="0"/>
    <n v="0"/>
    <n v="0"/>
    <n v="-513"/>
    <n v="0"/>
    <n v="0"/>
    <n v="0"/>
    <n v="0"/>
    <s v="                                             -  "/>
    <n v="0"/>
    <n v="0"/>
    <n v="0"/>
    <n v="-513"/>
  </r>
  <r>
    <x v="0"/>
    <s v="Codiagro"/>
    <s v="RESULTADO DEL EJERCICIO"/>
    <s v="RESULTADO ANTES DE IMPUESTOS"/>
    <s v="RESULTADO DE LA EXPLOTACION"/>
    <x v="8"/>
    <s v="(623) Servicios profesionales independientes"/>
    <s v="623200030 - GASTOS MARCAS AZERBAIYAN"/>
    <s v="-"/>
    <n v="0"/>
    <n v="0"/>
    <n v="0"/>
    <n v="-513"/>
    <n v="-53.12"/>
    <n v="-30.35"/>
    <n v="0"/>
    <n v="0"/>
    <s v="                                             -  "/>
    <n v="0"/>
    <n v="0"/>
    <n v="0"/>
    <n v="-596.47"/>
  </r>
  <r>
    <x v="0"/>
    <s v="Codiagro"/>
    <s v="RESULTADO DEL EJERCICIO"/>
    <s v="RESULTADO ANTES DE IMPUESTOS"/>
    <s v="RESULTADO DE LA EXPLOTACION"/>
    <x v="8"/>
    <s v="(623) Servicios profesionales independientes"/>
    <s v="623200037 - GASTOS MARCAS ESTADOS UNID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4) Transportes ventas"/>
    <s v="624000001 - TRANSPORTES NACIONAL"/>
    <s v="-"/>
    <n v="-6935.76"/>
    <n v="-9119.9699999999993"/>
    <n v="-14742.05"/>
    <n v="-19866.740000000002"/>
    <n v="-17966.84"/>
    <n v="-14634.83"/>
    <n v="-11227.02"/>
    <n v="-7363.19"/>
    <n v="-8129.04"/>
    <n v="-10499.03"/>
    <n v="-10212.34"/>
    <n v="-4053.93"/>
    <n v="-133056.23000000001"/>
  </r>
  <r>
    <x v="0"/>
    <s v="Codiagro"/>
    <s v="RESULTADO DEL EJERCICIO"/>
    <s v="RESULTADO ANTES DE IMPUESTOS"/>
    <s v="RESULTADO DE LA EXPLOTACION"/>
    <x v="8"/>
    <s v="(624) Transportes ventas"/>
    <s v="624000002 - TRANSPORTE INTERNACIONAL"/>
    <s v="-"/>
    <n v="-2898.1"/>
    <n v="-864.32"/>
    <n v="-4611.7700000000004"/>
    <n v="-1313.78"/>
    <n v="-951.38"/>
    <n v="-23539.9"/>
    <n v="-30143.15"/>
    <n v="-8087.44"/>
    <n v="-8078.83"/>
    <n v="-21379"/>
    <n v="-32454"/>
    <n v="-27150"/>
    <n v="-169645.84"/>
  </r>
  <r>
    <x v="0"/>
    <s v="Codiagro"/>
    <s v="RESULTADO DEL EJERCICIO"/>
    <s v="RESULTADO ANTES DE IMPUESTOS"/>
    <s v="RESULTADO DE LA EXPLOTACION"/>
    <x v="8"/>
    <s v="(624) Transportes ventas"/>
    <s v="624000003 - TRANSPORTES CANARIAS"/>
    <s v="-"/>
    <n v="-5283.6"/>
    <n v="-4717.34"/>
    <n v="-6216.75"/>
    <n v="-3107.88"/>
    <n v="-6790.44"/>
    <n v="-6162.89"/>
    <n v="-1597.42"/>
    <n v="-11901.38"/>
    <n v="-10256.540000000001"/>
    <n v="-7990.59"/>
    <n v="-11300.38"/>
    <n v="-534.14"/>
    <n v="-68052.92"/>
  </r>
  <r>
    <x v="0"/>
    <s v="Codiagro"/>
    <s v="RESULTADO DEL EJERCICIO"/>
    <s v="RESULTADO ANTES DE IMPUESTOS"/>
    <s v="RESULTADO DE LA EXPLOTACION"/>
    <x v="8"/>
    <s v="(624) Transportes ventas"/>
    <s v="624000004 - GTOS. FLETE REP. AL CLIENTE"/>
    <s v="-"/>
    <n v="-18803.73"/>
    <n v="-3406.44"/>
    <n v="-15879.46"/>
    <n v="0"/>
    <n v="0"/>
    <n v="0"/>
    <n v="0"/>
    <n v="0"/>
    <s v="                                             -  "/>
    <n v="-4960.8900000000003"/>
    <n v="-6449.16"/>
    <n v="-6945.24"/>
    <n v="-59421.44999999999"/>
  </r>
  <r>
    <x v="0"/>
    <s v="Codiagro"/>
    <s v="RESULTADO DEL EJERCICIO"/>
    <s v="RESULTADO ANTES DE IMPUESTOS"/>
    <s v="RESULTADO DE LA EXPLOTACION"/>
    <x v="8"/>
    <s v="(624) Transportes ventas"/>
    <s v="624000005 - TTE. PAQUETERIA "/>
    <s v="-"/>
    <n v="-202.03"/>
    <n v="-389.24"/>
    <n v="-280.8"/>
    <n v="0"/>
    <n v="0"/>
    <n v="-1935.01"/>
    <n v="-592.1"/>
    <n v="-149.55000000000001"/>
    <n v="-638.41999999999996"/>
    <n v="-591.46"/>
    <n v="-591.46"/>
    <n v="-591.46"/>
    <n v="-5914.5700000000006"/>
  </r>
  <r>
    <x v="0"/>
    <s v="Codiagro"/>
    <s v="RESULTADO DEL EJERCICIO"/>
    <s v="RESULTADO ANTES DE IMPUESTOS"/>
    <s v="RESULTADO DE LA EXPLOTACION"/>
    <x v="8"/>
    <s v="(624) Transportes ventas"/>
    <s v="624000006 - TRANSPORTES IMPORTACIÓN"/>
    <s v="-"/>
    <n v="0"/>
    <n v="-1750"/>
    <n v="-487.13"/>
    <n v="-1930"/>
    <n v="0"/>
    <n v="0"/>
    <n v="0"/>
    <n v="0"/>
    <n v="-225"/>
    <n v="-1389.04"/>
    <n v="-1389.04"/>
    <n v="-1389.04"/>
    <n v="-9723.2900000000009"/>
  </r>
  <r>
    <x v="0"/>
    <s v="Codiagro"/>
    <s v="RESULTADO DEL EJERCICIO"/>
    <s v="RESULTADO ANTES DE IMPUESTOS"/>
    <s v="RESULTADO DE LA EXPLOTACION"/>
    <x v="8"/>
    <s v="(624) Transportes ventas"/>
    <s v="624000007 - ENVIO MUESTRA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5) Primas de seguros"/>
    <s v="625000001 - SEGUROS VEHÍCULOS"/>
    <s v="-"/>
    <n v="0"/>
    <n v="0"/>
    <n v="-188.17"/>
    <n v="0"/>
    <n v="0"/>
    <n v="0"/>
    <n v="0"/>
    <n v="0"/>
    <s v="                                             -  "/>
    <n v="-188.17"/>
    <n v="-188.17"/>
    <n v="-188.17"/>
    <n v="-940.84999999999991"/>
  </r>
  <r>
    <x v="0"/>
    <s v="Codiagro"/>
    <s v="RESULTADO DEL EJERCICIO"/>
    <s v="RESULTADO ANTES DE IMPUESTOS"/>
    <s v="RESULTADO DE LA EXPLOTACION"/>
    <x v="8"/>
    <s v="(625) Primas de seguros"/>
    <s v="625000003 SEGURO ACCIDENTES TRABAJADORES"/>
    <s v="-"/>
    <n v="0"/>
    <n v="0"/>
    <n v="0"/>
    <n v="0"/>
    <n v="0"/>
    <n v="0"/>
    <n v="-194.64"/>
    <n v="0"/>
    <s v="                                             -  "/>
    <n v="-194.64"/>
    <n v="-194.64"/>
    <n v="-194.64"/>
    <n v="-973.19999999999993"/>
  </r>
  <r>
    <x v="0"/>
    <s v="Codiagro"/>
    <s v="RESULTADO DEL EJERCICIO"/>
    <s v="RESULTADO ANTES DE IMPUESTOS"/>
    <s v="RESULTADO DE LA EXPLOTACION"/>
    <x v="8"/>
    <s v="(625) Primas de seguros"/>
    <s v="625000004 - SEGURO RESP. CIVIL"/>
    <s v="-"/>
    <n v="0"/>
    <n v="0"/>
    <n v="0"/>
    <n v="0"/>
    <n v="-5788.51"/>
    <n v="-774.67"/>
    <n v="0"/>
    <n v="0"/>
    <s v="                                             -  "/>
    <n v="-3281.59"/>
    <n v="-3281.59"/>
    <n v="-3281.59"/>
    <n v="-19689.54"/>
  </r>
  <r>
    <x v="0"/>
    <s v="Codiagro"/>
    <s v="RESULTADO DEL EJERCICIO"/>
    <s v="RESULTADO ANTES DE IMPUESTOS"/>
    <s v="RESULTADO DE LA EXPLOTACION"/>
    <x v="8"/>
    <s v="(625) Primas de seguros"/>
    <s v="625000005 - SEGUROS ACTIVIDAD"/>
    <s v="-"/>
    <n v="-8631.83"/>
    <n v="0"/>
    <n v="-2798.15"/>
    <n v="-608.9"/>
    <n v="0"/>
    <n v="-2798.15"/>
    <n v="-41.37"/>
    <n v="0"/>
    <n v="-2798.15"/>
    <n v="-2975.68"/>
    <n v="-2975.68"/>
    <n v="-2975.68"/>
    <n v="-26781.119999999999"/>
  </r>
  <r>
    <x v="0"/>
    <s v="Codiagro"/>
    <s v="RESULTADO DEL EJERCICIO"/>
    <s v="RESULTADO ANTES DE IMPUESTOS"/>
    <s v="RESULTADO DE LA EXPLOTACION"/>
    <x v="8"/>
    <s v="(626) Servicios bancarios"/>
    <s v="626000000 - Servicios bancarios y similar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6) Servicios bancarios"/>
    <s v="626000002 - GASTOS Y COMISIONES BANCO SABADELL"/>
    <s v="-"/>
    <n v="-111.93"/>
    <n v="-38.96"/>
    <n v="-1.21"/>
    <n v="-1.21"/>
    <n v="-8.4700000000000006"/>
    <n v="-102.05"/>
    <n v="-121.06"/>
    <n v="-7.26"/>
    <n v="-62.42"/>
    <n v="-49.02"/>
    <n v="-49.02"/>
    <n v="-49.02"/>
    <n v="-588.23"/>
  </r>
  <r>
    <x v="0"/>
    <s v="Codiagro"/>
    <s v="RESULTADO DEL EJERCICIO"/>
    <s v="RESULTADO ANTES DE IMPUESTOS"/>
    <s v="RESULTADO DE LA EXPLOTACION"/>
    <x v="8"/>
    <s v="(626) Servicios bancarios"/>
    <s v="626000005 - GASTOS Y COMISIONES CAIXALMASSORA"/>
    <s v="-"/>
    <n v="-138.5"/>
    <n v="-149.62"/>
    <n v="-353.89"/>
    <n v="-230.86"/>
    <n v="-43.09"/>
    <n v="-200.29"/>
    <n v="-109.75"/>
    <n v="-143.33000000000001"/>
    <n v="-66.11"/>
    <n v="-171.17"/>
    <n v="-171.17"/>
    <n v="-171.17"/>
    <n v="-2054.0100000000002"/>
  </r>
  <r>
    <x v="0"/>
    <s v="Codiagro"/>
    <s v="RESULTADO DEL EJERCICIO"/>
    <s v="RESULTADO ANTES DE IMPUESTOS"/>
    <s v="RESULTADO DE LA EXPLOTACION"/>
    <x v="8"/>
    <s v="(626) Servicios bancarios"/>
    <s v="626000007 - GASTOS Y COMISIONES BBVA"/>
    <s v="-"/>
    <n v="-342.23"/>
    <n v="-704.39"/>
    <n v="-687.65"/>
    <n v="-381.46"/>
    <n v="-1201.98"/>
    <n v="-1201.74"/>
    <n v="-1353.52"/>
    <n v="-615.71"/>
    <n v="-2564.7199999999998"/>
    <n v="-811.09"/>
    <n v="-811.09"/>
    <n v="-811.09"/>
    <n v="-9733.0399999999991"/>
  </r>
  <r>
    <x v="0"/>
    <s v="Codiagro"/>
    <s v="RESULTADO DEL EJERCICIO"/>
    <s v="RESULTADO ANTES DE IMPUESTOS"/>
    <s v="RESULTADO DE LA EXPLOTACION"/>
    <x v="8"/>
    <s v="(627) Publicidad"/>
    <s v="627000001 - GTOS. PUBLICIDAD EN INTERNET"/>
    <s v="-"/>
    <n v="0"/>
    <n v="0"/>
    <n v="0"/>
    <n v="0"/>
    <n v="0"/>
    <n v="0"/>
    <n v="0"/>
    <n v="0"/>
    <n v="-875.65"/>
    <n v="0"/>
    <n v="0"/>
    <n v="0"/>
    <n v="0"/>
  </r>
  <r>
    <x v="0"/>
    <s v="Codiagro"/>
    <s v="RESULTADO DEL EJERCICIO"/>
    <s v="RESULTADO ANTES DE IMPUESTOS"/>
    <s v="RESULTADO DE LA EXPLOTACION"/>
    <x v="8"/>
    <s v="(627) Publicidad"/>
    <s v="627000003 - PATROCINIOS VARIOS"/>
    <m/>
    <m/>
    <m/>
    <m/>
    <m/>
    <m/>
    <m/>
    <m/>
    <m/>
    <n v="-1700"/>
    <m/>
    <m/>
    <m/>
    <m/>
  </r>
  <r>
    <x v="0"/>
    <s v="Codiagro"/>
    <s v="RESULTADO DEL EJERCICIO"/>
    <s v="RESULTADO ANTES DE IMPUESTOS"/>
    <s v="RESULTADO DE LA EXPLOTACION"/>
    <x v="8"/>
    <s v="(627) Publicidad"/>
    <s v="627000004 - RELACIONES PUBLICAS"/>
    <s v="-"/>
    <n v="0"/>
    <n v="0"/>
    <n v="0"/>
    <n v="0"/>
    <n v="0"/>
    <n v="0"/>
    <n v="0"/>
    <n v="-214.6"/>
    <n v="-347.59"/>
    <n v="-321.89999999999998"/>
    <n v="-214.6"/>
    <n v="-214.6"/>
    <n v="-1180.3"/>
  </r>
  <r>
    <x v="0"/>
    <s v="Codiagro"/>
    <s v="RESULTADO DEL EJERCICIO"/>
    <s v="RESULTADO ANTES DE IMPUESTOS"/>
    <s v="RESULTADO DE LA EXPLOTACION"/>
    <x v="8"/>
    <s v="(627) Publicidad"/>
    <s v="627000005 - INVITACIONES CLIENTES"/>
    <s v="-"/>
    <n v="0"/>
    <n v="0"/>
    <n v="0"/>
    <n v="0"/>
    <n v="0"/>
    <n v="0"/>
    <n v="-407"/>
    <n v="0"/>
    <n v="-1261.92"/>
    <n v="-610.5"/>
    <n v="-407"/>
    <n v="-407"/>
    <n v="-2238.5"/>
  </r>
  <r>
    <x v="0"/>
    <s v="Codiagro"/>
    <s v="RESULTADO DEL EJERCICIO"/>
    <s v="RESULTADO ANTES DE IMPUESTOS"/>
    <s v="RESULTADO DE LA EXPLOTACION"/>
    <x v="8"/>
    <s v="(627) Publicidad"/>
    <s v="627000006 - PUBLICIDAD CATALOGOS Y FOLLETOS"/>
    <s v="-"/>
    <n v="-27.52"/>
    <n v="0"/>
    <n v="0"/>
    <n v="0"/>
    <n v="-170.36"/>
    <n v="0"/>
    <n v="0"/>
    <n v="0"/>
    <s v="                                             -  "/>
    <n v="-148.41"/>
    <n v="-98.94"/>
    <n v="-98.94"/>
    <n v="-643.11000000000013"/>
  </r>
  <r>
    <x v="0"/>
    <s v="Codiagro"/>
    <s v="RESULTADO DEL EJERCICIO"/>
    <s v="RESULTADO ANTES DE IMPUESTOS"/>
    <s v="RESULTADO DE LA EXPLOTACION"/>
    <x v="8"/>
    <s v="(627) Publicidad"/>
    <s v="627000007 - FERIAS"/>
    <s v="-"/>
    <n v="0"/>
    <n v="0"/>
    <n v="0"/>
    <n v="-308.45999999999998"/>
    <n v="0"/>
    <n v="0"/>
    <n v="0"/>
    <n v="0"/>
    <n v="-559.72"/>
    <n v="-462.69"/>
    <n v="-308.45999999999998"/>
    <n v="-308.45999999999998"/>
    <n v="-1696.53"/>
  </r>
  <r>
    <x v="0"/>
    <s v="Codiagro"/>
    <s v="RESULTADO DEL EJERCICIO"/>
    <s v="RESULTADO ANTES DE IMPUESTOS"/>
    <s v="RESULTADO DE LA EXPLOTACION"/>
    <x v="8"/>
    <s v="(627) Publicidad"/>
    <s v="627000008 - MARKETING"/>
    <s v="-"/>
    <n v="0"/>
    <n v="0"/>
    <n v="-1568.58"/>
    <n v="-4485"/>
    <n v="-55"/>
    <n v="-3000"/>
    <n v="0"/>
    <n v="0"/>
    <n v="-2679.5"/>
    <n v="0"/>
    <n v="0"/>
    <n v="0"/>
    <n v="-9108.58"/>
  </r>
  <r>
    <x v="0"/>
    <s v="Codiagro"/>
    <s v="RESULTADO DEL EJERCICIO"/>
    <s v="RESULTADO ANTES DE IMPUESTOS"/>
    <s v="RESULTADO DE LA EXPLOTACION"/>
    <x v="8"/>
    <s v="(627) Publicidad"/>
    <s v="627000009 - ARTICULOS PUBLICIDAD"/>
    <s v="-"/>
    <n v="0"/>
    <n v="0"/>
    <n v="0"/>
    <n v="0"/>
    <n v="-3208.9"/>
    <n v="-438"/>
    <n v="-9082.9"/>
    <n v="-3164.3"/>
    <s v="                                             -  "/>
    <n v="-4500"/>
    <n v="-2000"/>
    <n v="-2000"/>
    <n v="-25894.1"/>
  </r>
  <r>
    <x v="0"/>
    <s v="Codiagro"/>
    <s v="RESULTADO DEL EJERCICIO"/>
    <s v="RESULTADO ANTES DE IMPUESTOS"/>
    <s v="RESULTADO DE LA EXPLOTACION"/>
    <x v="8"/>
    <s v="(627) Publicidad"/>
    <s v="627000010 - RELACIONES PUBLICAS TEC. CLIENTES"/>
    <s v="-"/>
    <n v="0"/>
    <n v="0"/>
    <n v="-826.76"/>
    <n v="0"/>
    <n v="0"/>
    <n v="0"/>
    <n v="0"/>
    <n v="0"/>
    <s v="                                             -  "/>
    <n v="-1240.1400000000001"/>
    <n v="-826.76"/>
    <n v="-826.76"/>
    <n v="-4547.18"/>
  </r>
  <r>
    <x v="0"/>
    <s v="Codiagro"/>
    <s v="RESULTADO DEL EJERCICIO"/>
    <s v="RESULTADO ANTES DE IMPUESTOS"/>
    <s v="RESULTADO DE LA EXPLOTACION"/>
    <x v="8"/>
    <s v="(628) Suministros"/>
    <s v="628000001 - SUMINISTROS INFORMATICOS"/>
    <s v="-"/>
    <n v="0"/>
    <n v="0"/>
    <n v="0"/>
    <n v="0"/>
    <n v="0"/>
    <n v="-489"/>
    <n v="0"/>
    <n v="0"/>
    <s v="                                             -  "/>
    <n v="-489"/>
    <n v="-489"/>
    <n v="-489"/>
    <n v="-2445"/>
  </r>
  <r>
    <x v="0"/>
    <s v="Codiagro"/>
    <s v="RESULTADO DEL EJERCICIO"/>
    <s v="RESULTADO ANTES DE IMPUESTOS"/>
    <s v="RESULTADO DE LA EXPLOTACION"/>
    <x v="8"/>
    <s v="(628) Suministros"/>
    <s v="628000002 - SUMINISTROS ELECTRICIDAD"/>
    <s v="-"/>
    <n v="-4457.07"/>
    <n v="-4192.18"/>
    <n v="0"/>
    <n v="-8417.9"/>
    <n v="-1115.2"/>
    <n v="-7205.31"/>
    <n v="-3014.475435477108"/>
    <n v="-1350.4331431072339"/>
    <n v="-1947.15"/>
    <n v="-3790"/>
    <n v="-4190"/>
    <n v="-4390"/>
    <n v="-45312.568578584345"/>
  </r>
  <r>
    <x v="0"/>
    <s v="Codiagro"/>
    <s v="RESULTADO DEL EJERCICIO"/>
    <s v="RESULTADO ANTES DE IMPUESTOS"/>
    <s v="RESULTADO DE LA EXPLOTACION"/>
    <x v="8"/>
    <s v="(628) Suministros"/>
    <s v="628000003 - SUMINISTROS AGUA"/>
    <s v="-"/>
    <n v="-1170.76"/>
    <n v="0"/>
    <n v="0"/>
    <n v="-1209.46"/>
    <n v="0"/>
    <n v="0"/>
    <n v="-1927.6"/>
    <n v="0"/>
    <s v="                                             -  "/>
    <n v="-1435.94"/>
    <n v="-1435.94"/>
    <n v="-1435.94"/>
    <n v="-10051.580000000002"/>
  </r>
  <r>
    <x v="0"/>
    <s v="Codiagro"/>
    <s v="RESULTADO DEL EJERCICIO"/>
    <s v="RESULTADO ANTES DE IMPUESTOS"/>
    <s v="RESULTADO DE LA EXPLOTACION"/>
    <x v="8"/>
    <s v="(628) Suministros"/>
    <s v="628000004 - SUMINISTROS TELEFONIA E INTERNET"/>
    <s v="-"/>
    <n v="-697.53"/>
    <n v="-707.86"/>
    <n v="-721.07"/>
    <n v="-752.94"/>
    <n v="-259.61"/>
    <n v="-1232.48"/>
    <n v="-761.55"/>
    <n v="-853"/>
    <n v="-464.2"/>
    <n v="-400"/>
    <n v="-700"/>
    <n v="-900"/>
    <n v="-8186.04"/>
  </r>
  <r>
    <x v="0"/>
    <s v="Codiagro"/>
    <s v="RESULTADO DEL EJERCICIO"/>
    <s v="RESULTADO ANTES DE IMPUESTOS"/>
    <s v="RESULTADO DE LA EXPLOTACION"/>
    <x v="8"/>
    <s v="(628) Suministros"/>
    <s v="628000005 - SUMINISTROS GASOLEO"/>
    <s v="-"/>
    <n v="0"/>
    <n v="0"/>
    <n v="0"/>
    <n v="0"/>
    <n v="-1891.22"/>
    <n v="0"/>
    <n v="0"/>
    <n v="-1496.33"/>
    <s v="                                             -  "/>
    <n v="-1693.78"/>
    <n v="-1693.78"/>
    <n v="-1693.78"/>
    <n v="-10162.67"/>
  </r>
  <r>
    <x v="0"/>
    <s v="Codiagro"/>
    <s v="RESULTADO DEL EJERCICIO"/>
    <s v="RESULTADO ANTES DE IMPUESTOS"/>
    <s v="RESULTADO DE LA EXPLOTACION"/>
    <x v="8"/>
    <s v="(629) Otros servicios"/>
    <s v="629000001 - HOSPEDAJE WEB"/>
    <s v="-"/>
    <n v="-396"/>
    <n v="0"/>
    <n v="0"/>
    <n v="0"/>
    <n v="0"/>
    <n v="-30"/>
    <n v="0"/>
    <n v="0"/>
    <s v="                                             -  "/>
    <n v="-213"/>
    <n v="-213"/>
    <n v="-213"/>
    <n v="-1278"/>
  </r>
  <r>
    <x v="0"/>
    <s v="Codiagro"/>
    <s v="RESULTADO DEL EJERCICIO"/>
    <s v="RESULTADO ANTES DE IMPUESTOS"/>
    <s v="RESULTADO DE LA EXPLOTACION"/>
    <x v="8"/>
    <s v="(629) Otros servicios"/>
    <s v="629000002 - OTROS GASTOS"/>
    <s v="-"/>
    <n v="-194.68"/>
    <n v="-108"/>
    <n v="-1186.24"/>
    <n v="-80.59"/>
    <n v="-277.83999999999997"/>
    <n v="-254.03"/>
    <n v="-4498.18"/>
    <n v="-986.98"/>
    <n v="-1007.61"/>
    <n v="0"/>
    <n v="-1940"/>
    <n v="-976"/>
    <n v="-10502.54"/>
  </r>
  <r>
    <x v="0"/>
    <s v="Codiagro"/>
    <s v="RESULTADO DEL EJERCICIO"/>
    <s v="RESULTADO ANTES DE IMPUESTOS"/>
    <s v="RESULTADO DE LA EXPLOTACION"/>
    <x v="8"/>
    <s v="(629) Otros servicios"/>
    <s v="629000003 - SUSCRIPCIONES A REVISTAS Y PERIODICOS"/>
    <s v="-"/>
    <n v="-460.58"/>
    <n v="0"/>
    <n v="0"/>
    <n v="0"/>
    <n v="0"/>
    <n v="0"/>
    <n v="0"/>
    <n v="0"/>
    <s v="                                             -  "/>
    <n v="-460.58"/>
    <n v="-460.58"/>
    <n v="-460.58"/>
    <n v="-2302.9"/>
  </r>
  <r>
    <x v="0"/>
    <s v="Codiagro"/>
    <s v="RESULTADO DEL EJERCICIO"/>
    <s v="RESULTADO ANTES DE IMPUESTOS"/>
    <s v="RESULTADO DE LA EXPLOTACION"/>
    <x v="8"/>
    <s v="(629) Otros servicios"/>
    <s v="629000004 - GTOS. SERV. VIGILANCIA"/>
    <s v="-"/>
    <n v="-73.72"/>
    <n v="0"/>
    <n v="-73.72"/>
    <n v="-73.72"/>
    <n v="-75.94"/>
    <n v="-75.94"/>
    <n v="-75.94"/>
    <n v="-75.94"/>
    <n v="-75.94"/>
    <n v="-74.989999999999995"/>
    <n v="-74.989999999999995"/>
    <n v="-74.989999999999995"/>
    <n v="-824.88000000000011"/>
  </r>
  <r>
    <x v="0"/>
    <s v="Codiagro"/>
    <s v="RESULTADO DEL EJERCICIO"/>
    <s v="RESULTADO ANTES DE IMPUESTOS"/>
    <s v="RESULTADO DE LA EXPLOTACION"/>
    <x v="8"/>
    <s v="(629) Otros servicios"/>
    <s v="629000005 - GTOS. ANALISIS LABORATORIOS"/>
    <s v="-"/>
    <n v="-87.98"/>
    <n v="0"/>
    <n v="0"/>
    <n v="-2772"/>
    <n v="36.18"/>
    <n v="0"/>
    <n v="0"/>
    <n v="0"/>
    <s v="                                             -  "/>
    <n v="-941.27"/>
    <n v="-941.27"/>
    <n v="-941.27"/>
    <n v="-6588.880000000001"/>
  </r>
  <r>
    <x v="0"/>
    <s v="Codiagro"/>
    <s v="RESULTADO DEL EJERCICIO"/>
    <s v="RESULTADO ANTES DE IMPUESTOS"/>
    <s v="RESULTADO DE LA EXPLOTACION"/>
    <x v="8"/>
    <s v="(629) Otros servicios"/>
    <s v="629000006 - GASTOS CORREOS"/>
    <s v="-"/>
    <n v="-48"/>
    <n v="0"/>
    <n v="0"/>
    <n v="0"/>
    <n v="-144"/>
    <n v="0"/>
    <n v="0"/>
    <n v="0"/>
    <s v="                                             -  "/>
    <n v="-96"/>
    <n v="-96"/>
    <n v="-96"/>
    <n v="-576"/>
  </r>
  <r>
    <x v="0"/>
    <s v="Codiagro"/>
    <s v="RESULTADO DEL EJERCICIO"/>
    <s v="RESULTADO ANTES DE IMPUESTOS"/>
    <s v="RESULTADO DE LA EXPLOTACION"/>
    <x v="8"/>
    <s v="(629) Otros servicios"/>
    <s v="629000007 - GASTOS RETIRADA DE RESIDUOS"/>
    <s v="-"/>
    <n v="-7569.69"/>
    <n v="1670.07"/>
    <n v="-1388.15"/>
    <n v="-1276.52"/>
    <n v="-545.44999999999993"/>
    <n v="-1758.33"/>
    <n v="-11469.318783520101"/>
    <n v="667.67211181104619"/>
    <n v="-5890.87"/>
    <n v="-4500"/>
    <n v="-4500"/>
    <n v="-4500"/>
    <n v="-37268.246671709057"/>
  </r>
  <r>
    <x v="0"/>
    <s v="Codiagro"/>
    <s v="RESULTADO DEL EJERCICIO"/>
    <s v="RESULTADO ANTES DE IMPUESTOS"/>
    <s v="RESULTADO DE LA EXPLOTACION"/>
    <x v="8"/>
    <s v="(629) Otros servicios"/>
    <s v="629000008 - CUOTAS ASOCIACIONES"/>
    <s v="-"/>
    <n v="-1148.29"/>
    <n v="0"/>
    <n v="-600"/>
    <n v="-945"/>
    <n v="0"/>
    <n v="0"/>
    <n v="-514"/>
    <n v="0"/>
    <s v="                                             -  "/>
    <n v="-801.82"/>
    <n v="-801.82"/>
    <n v="-801.82"/>
    <n v="-6414.57"/>
  </r>
  <r>
    <x v="0"/>
    <s v="Codiagro"/>
    <s v="RESULTADO DEL EJERCICIO"/>
    <s v="RESULTADO ANTES DE IMPUESTOS"/>
    <s v="RESULTADO DE LA EXPLOTACION"/>
    <x v="8"/>
    <s v="(629) Otros servicios"/>
    <s v="629000009 - SANCIONES Y MULTAS"/>
    <s v="-"/>
    <n v="0"/>
    <n v="0"/>
    <n v="0"/>
    <n v="0"/>
    <n v="0"/>
    <n v="0"/>
    <n v="-90"/>
    <n v="0"/>
    <n v="-130"/>
    <n v="-90"/>
    <n v="-90"/>
    <n v="-90"/>
    <n v="-450"/>
  </r>
  <r>
    <x v="0"/>
    <s v="Codiagro"/>
    <s v="RESULTADO DEL EJERCICIO"/>
    <s v="RESULTADO ANTES DE IMPUESTOS"/>
    <s v="RESULTADO DE LA EXPLOTACION"/>
    <x v="8"/>
    <s v="(629) Otros servicios"/>
    <s v="629000010 - GASTOS COMERCIALES"/>
    <s v="-"/>
    <n v="-1233.23"/>
    <n v="0"/>
    <n v="29.06"/>
    <n v="46.51"/>
    <n v="29.06"/>
    <n v="0"/>
    <n v="-2125.27"/>
    <n v="-1663.31"/>
    <n v="-3215.9"/>
    <n v="-819.53"/>
    <n v="-819.53"/>
    <n v="-819.53"/>
    <n v="-8195.2999999999993"/>
  </r>
  <r>
    <x v="0"/>
    <s v="Codiagro"/>
    <s v="RESULTADO DEL EJERCICIO"/>
    <s v="RESULTADO ANTES DE IMPUESTOS"/>
    <s v="RESULTADO DE LA EXPLOTACION"/>
    <x v="8"/>
    <s v="(629) Otros servicios"/>
    <s v="629000011 - EPIS PERSONAL"/>
    <s v="-"/>
    <n v="-425"/>
    <n v="0"/>
    <n v="0"/>
    <n v="-35.25"/>
    <n v="-425"/>
    <n v="0"/>
    <n v="0"/>
    <n v="0"/>
    <n v="-1958.39"/>
    <n v="-295.08"/>
    <n v="-295.08"/>
    <n v="-295.08"/>
    <n v="-2065.5699999999997"/>
  </r>
  <r>
    <x v="0"/>
    <s v="Codiagro"/>
    <s v="RESULTADO DEL EJERCICIO"/>
    <s v="RESULTADO ANTES DE IMPUESTOS"/>
    <s v="RESULTADO DE LA EXPLOTACION"/>
    <x v="8"/>
    <s v="(629) Otros servicios"/>
    <s v="629000012 - GASTOS VARIOS PERSONAL"/>
    <s v="-"/>
    <n v="-808.04"/>
    <n v="-2163.44"/>
    <n v="-2173.63"/>
    <n v="-237.86"/>
    <n v="-2671.84"/>
    <n v="-503.74"/>
    <n v="-1117.8599999999999"/>
    <n v="-932.8"/>
    <n v="-619.42999999999995"/>
    <n v="-1326.15"/>
    <n v="-1326.15"/>
    <n v="-1326.15"/>
    <n v="-15913.81"/>
  </r>
  <r>
    <x v="0"/>
    <s v="Codiagro"/>
    <s v="RESULTADO DEL EJERCICIO"/>
    <s v="RESULTADO ANTES DE IMPUESTOS"/>
    <s v="RESULTADO DE LA EXPLOTACION"/>
    <x v="8"/>
    <s v="(629) Otros servicios"/>
    <s v="629000013 - FORMACION NO BONIFICADA"/>
    <s v="-"/>
    <n v="0"/>
    <n v="0"/>
    <n v="-400"/>
    <n v="0"/>
    <n v="-625.20000000000005"/>
    <n v="0"/>
    <n v="0"/>
    <n v="-4513.8"/>
    <s v="                                             -  "/>
    <n v="-1846.33"/>
    <n v="-1846.33"/>
    <n v="-1846.33"/>
    <n v="-12924.32"/>
  </r>
  <r>
    <x v="0"/>
    <s v="Codiagro"/>
    <s v="RESULTADO DEL EJERCICIO"/>
    <s v="RESULTADO ANTES DE IMPUESTOS"/>
    <s v="RESULTADO DE LA EXPLOTACION"/>
    <x v="8"/>
    <s v="(629) Otros servicios"/>
    <s v="629000014 - ROPA LABORAL"/>
    <s v="-"/>
    <n v="0"/>
    <n v="-351.4"/>
    <n v="0"/>
    <n v="0"/>
    <n v="0"/>
    <n v="0"/>
    <n v="-98.8"/>
    <n v="-340"/>
    <n v="-277.02999999999997"/>
    <n v="-263.39999999999998"/>
    <n v="-263.39999999999998"/>
    <n v="-263.39999999999998"/>
    <n v="-1843.8000000000002"/>
  </r>
  <r>
    <x v="0"/>
    <s v="Codiagro"/>
    <s v="RESULTADO DEL EJERCICIO"/>
    <s v="RESULTADO ANTES DE IMPUESTOS"/>
    <s v="RESULTADO DE LA EXPLOTACION"/>
    <x v="8"/>
    <s v="(629) Otros servicios"/>
    <s v="629000015 MATERIAL DE OFICINA"/>
    <s v="-"/>
    <n v="0"/>
    <n v="0"/>
    <n v="0"/>
    <n v="0"/>
    <n v="0"/>
    <n v="0"/>
    <n v="-206.45"/>
    <n v="-107.24"/>
    <n v="-40.880000000000003"/>
    <n v="-156.84"/>
    <n v="-156.84"/>
    <n v="-156.84"/>
    <n v="-941.05000000000007"/>
  </r>
  <r>
    <x v="0"/>
    <s v="Codiagro"/>
    <s v="RESULTADO DEL EJERCICIO"/>
    <s v="RESULTADO ANTES DE IMPUESTOS"/>
    <s v="RESULTADO DE LA EXPLOTACION"/>
    <x v="8"/>
    <s v="(629) Otros servicios"/>
    <s v="629000016 HERRAMIENTAS"/>
    <s v="-"/>
    <n v="0"/>
    <n v="0"/>
    <n v="0"/>
    <n v="0"/>
    <n v="0"/>
    <n v="0"/>
    <n v="0"/>
    <n v="-500.03"/>
    <s v="                                             -  "/>
    <n v="-500.03"/>
    <n v="-500.03"/>
    <n v="-500.03"/>
    <n v="-2500.1499999999996"/>
  </r>
  <r>
    <x v="0"/>
    <s v="Codiagro"/>
    <s v="RESULTADO DEL EJERCICIO"/>
    <s v="RESULTADO ANTES DE IMPUESTOS"/>
    <s v="RESULTADO DE LA EXPLOTACION"/>
    <x v="8"/>
    <s v="(629) Otros servicios"/>
    <s v="629100001 - GASTOS COMERCIALES PERE PORTA"/>
    <s v="-"/>
    <n v="-1325.34"/>
    <n v="-2819.19"/>
    <n v="-1737.88"/>
    <n v="-1506.87"/>
    <n v="-2533.9299999999998"/>
    <n v="-5047.3500000000004"/>
    <n v="-6591.35"/>
    <n v="-2380.04"/>
    <n v="-2431.8200000000002"/>
    <n v="-3200"/>
    <n v="-3200"/>
    <n v="-3500"/>
    <n v="-36641.949999999997"/>
  </r>
  <r>
    <x v="0"/>
    <s v="Codiagro"/>
    <s v="RESULTADO DEL EJERCICIO"/>
    <s v="RESULTADO ANTES DE IMPUESTOS"/>
    <s v="RESULTADO DE LA EXPLOTACION"/>
    <x v="8"/>
    <s v="(629) Otros servicios"/>
    <s v="629100002 - GASTOS RICARDO PEREZ-SANTAMARINA"/>
    <s v="-"/>
    <n v="-3865.16"/>
    <n v="34.200000000000003"/>
    <n v="-1710.02"/>
    <n v="-532.08000000000004"/>
    <n v="-2522.2600000000002"/>
    <n v="-4633.3500000000004"/>
    <n v="-2854.53"/>
    <n v="-1290.01"/>
    <n v="-315.52"/>
    <n v="-2300"/>
    <n v="-2300"/>
    <n v="-2500"/>
    <n v="-26473.21"/>
  </r>
  <r>
    <x v="0"/>
    <s v="Codiagro"/>
    <s v="RESULTADO DEL EJERCICIO"/>
    <s v="RESULTADO ANTES DE IMPUESTOS"/>
    <s v="RESULTADO DE LA EXPLOTACION"/>
    <x v="8"/>
    <s v="(629) Otros servicios"/>
    <s v="629100003 - GASTOS JAVIER PAREDES"/>
    <s v="-"/>
    <n v="-557.42999999999995"/>
    <n v="-1592.89"/>
    <n v="-800.56"/>
    <n v="-929.26"/>
    <n v="-1786.27"/>
    <n v="-936.54"/>
    <n v="-759.39"/>
    <n v="-1377.28"/>
    <n v="-1722.71"/>
    <n v="-1092.45"/>
    <n v="-1092.45"/>
    <n v="-1092.45"/>
    <n v="-13109.420000000004"/>
  </r>
  <r>
    <x v="0"/>
    <s v="Codiagro"/>
    <s v="RESULTADO DEL EJERCICIO"/>
    <s v="RESULTADO ANTES DE IMPUESTOS"/>
    <s v="RESULTADO DE LA EXPLOTACION"/>
    <x v="8"/>
    <s v="(629) Otros servicios"/>
    <s v="629100004 - GASTOS GARCIA"/>
    <s v="-"/>
    <n v="-274.08"/>
    <n v="-503.96"/>
    <n v="-762.8"/>
    <n v="-391.86"/>
    <n v="-3016.62"/>
    <n v="-553.36"/>
    <n v="-614.65"/>
    <n v="-283.02999999999997"/>
    <n v="-1839.72"/>
    <n v="-800.04"/>
    <n v="-800.04"/>
    <n v="-800.04"/>
    <n v="-9600.52"/>
  </r>
  <r>
    <x v="0"/>
    <s v="Codiagro"/>
    <s v="RESULTADO DEL EJERCICIO"/>
    <s v="RESULTADO ANTES DE IMPUESTOS"/>
    <s v="RESULTADO DE LA EXPLOTACION"/>
    <x v="8"/>
    <s v="(629) Otros servicios"/>
    <s v="629100005 - GASTOS IRENE"/>
    <s v="-"/>
    <n v="-313.19"/>
    <n v="-219.25"/>
    <n v="-436.29"/>
    <n v="-325.14999999999998"/>
    <n v="-506.79"/>
    <n v="-887.3"/>
    <n v="-413.5"/>
    <n v="-281.24"/>
    <n v="-106.75"/>
    <n v="-422.84"/>
    <n v="-422.84"/>
    <n v="-422.84"/>
    <n v="-5074.0700000000006"/>
  </r>
  <r>
    <x v="0"/>
    <s v="Codiagro"/>
    <s v="RESULTADO DEL EJERCICIO"/>
    <s v="RESULTADO ANTES DE IMPUESTOS"/>
    <s v="RESULTADO DE LA EXPLOTACION"/>
    <x v="8"/>
    <s v="(629) Otros servicios"/>
    <s v="629100006 - GASTOS ANTONIO ANDREU"/>
    <s v="-"/>
    <n v="-118.28"/>
    <n v="0"/>
    <n v="-301.79000000000002"/>
    <n v="-166.56"/>
    <n v="-222.62"/>
    <n v="-202.95"/>
    <n v="0"/>
    <n v="0"/>
    <s v="                                             -  "/>
    <n v="-202.44"/>
    <n v="-202.44"/>
    <n v="-202.44"/>
    <n v="-1821.9600000000003"/>
  </r>
  <r>
    <x v="0"/>
    <s v="Codiagro"/>
    <s v="RESULTADO DEL EJERCICIO"/>
    <s v="RESULTADO ANTES DE IMPUESTOS"/>
    <s v="RESULTADO DE LA EXPLOTACION"/>
    <x v="8"/>
    <s v="(629) Otros servicios"/>
    <s v="629100007 - GASTOS CURRO"/>
    <s v="-"/>
    <n v="-210.18"/>
    <n v="0"/>
    <n v="-33.06"/>
    <n v="0"/>
    <n v="0"/>
    <n v="-20.5"/>
    <n v="0"/>
    <n v="-100.45"/>
    <s v="                                             -  "/>
    <n v="-91.05"/>
    <n v="-91.05"/>
    <n v="-91.05"/>
    <n v="-728.38999999999987"/>
  </r>
  <r>
    <x v="0"/>
    <s v="Codiagro"/>
    <s v="RESULTADO DEL EJERCICIO"/>
    <s v="RESULTADO ANTES DE IMPUESTOS"/>
    <s v="RESULTADO DE LA EXPLOTACION"/>
    <x v="8"/>
    <s v="(629) Otros servicios"/>
    <s v="629100008 GASTOS PEDRO MEDINA"/>
    <s v="-"/>
    <n v="0"/>
    <n v="0"/>
    <n v="0"/>
    <n v="0"/>
    <n v="0"/>
    <n v="0"/>
    <n v="0"/>
    <n v="-141.13999999999999"/>
    <n v="-326.58"/>
    <n v="-141.13999999999999"/>
    <n v="-141.13999999999999"/>
    <n v="-141.13999999999999"/>
    <n v="-705.69999999999993"/>
  </r>
  <r>
    <x v="0"/>
    <s v="Codiagro"/>
    <s v="RESULTADO DEL EJERCICIO"/>
    <s v="RESULTADO ANTES DE IMPUESTOS"/>
    <s v="RESULTADO DE LA EXPLOTACION"/>
    <x v="8"/>
    <s v="(631) Otros tributos"/>
    <s v="631000001 - IMPUESTOS VEHÍCULOS"/>
    <s v="-"/>
    <n v="0"/>
    <n v="0"/>
    <n v="0"/>
    <n v="-284.56"/>
    <n v="-27.57"/>
    <n v="0"/>
    <n v="0"/>
    <n v="0"/>
    <s v="                                             -  "/>
    <n v="-156.06"/>
    <n v="-156.06"/>
    <n v="-156.06"/>
    <n v="-936.36999999999989"/>
  </r>
  <r>
    <x v="0"/>
    <s v="Codiagro"/>
    <s v="RESULTADO DEL EJERCICIO"/>
    <s v="RESULTADO ANTES DE IMPUESTOS"/>
    <s v="RESULTADO DE LA EXPLOTACION"/>
    <x v="8"/>
    <s v="(631) Otros tributos"/>
    <s v="631000002 - TASAS"/>
    <s v="-"/>
    <n v="0"/>
    <n v="0"/>
    <n v="0"/>
    <n v="0"/>
    <n v="-581.49"/>
    <n v="0"/>
    <n v="0"/>
    <n v="0"/>
    <s v="                                             -  "/>
    <n v="0"/>
    <n v="0"/>
    <n v="0"/>
    <n v="-581.49"/>
  </r>
  <r>
    <x v="0"/>
    <s v="Codiagro"/>
    <s v="RESULTADO DEL EJERCICIO"/>
    <s v="RESULTADO ANTES DE IMPUESTOS"/>
    <s v="RESULTADO DE LA EXPLOTACION"/>
    <x v="8"/>
    <s v="(631) Otros tributos"/>
    <s v="631000004 IBIB"/>
    <s v="-"/>
    <n v="0"/>
    <n v="0"/>
    <n v="0"/>
    <n v="0"/>
    <n v="0"/>
    <n v="0"/>
    <n v="0"/>
    <n v="-7396.59"/>
    <s v="                                             -  "/>
    <n v="0"/>
    <n v="0"/>
    <n v="0"/>
    <n v="-7396.59"/>
  </r>
  <r>
    <x v="0"/>
    <s v="Codiagro"/>
    <s v="RESULTADO DEL EJERCICIO"/>
    <s v="RESULTADO ANTES DE IMPUESTOS"/>
    <s v="RESULTADO DE LA EXPLOTACION"/>
    <x v="8"/>
    <s v="(631) Otros tributos"/>
    <s v="631000006 - IMPUESTO PLASTICO NO RECICLADO"/>
    <s v="-"/>
    <n v="-5921.54"/>
    <n v="-1801.72"/>
    <n v="-2503.2199999999998"/>
    <n v="-285.97000000000003"/>
    <n v="-159.84"/>
    <n v="-4575.29"/>
    <n v="-5203.66"/>
    <n v="-838.08"/>
    <n v="-1446.16"/>
    <n v="-2182.79"/>
    <n v="-2976.53"/>
    <n v="-3174.97"/>
    <n v="-30814.22"/>
  </r>
  <r>
    <x v="0"/>
    <s v="Codiagro"/>
    <s v="RESULTADO DEL EJERCICIO"/>
    <s v="RESULTADO ANTES DE IMPUESTOS"/>
    <s v="RESULTADO DE LA EXPLOTACION"/>
    <x v="8"/>
    <s v="(634) Ajustes negativos en la imposición indirecta"/>
    <s v="634100000 - Ajustes negat. IVA circulante"/>
    <s v="-"/>
    <n v="-693.91"/>
    <n v="-557.9"/>
    <n v="-881.48"/>
    <n v="-630.79"/>
    <n v="0"/>
    <n v="0"/>
    <n v="0"/>
    <n v="0"/>
    <s v="                                             -  "/>
    <n v="0"/>
    <n v="0"/>
    <n v="0"/>
    <n v="-2764.08"/>
  </r>
  <r>
    <x v="0"/>
    <s v="Codiagro"/>
    <s v="RESULTADO DEL EJERCICIO"/>
    <s v="RESULTADO ANTES DE IMPUESTOS"/>
    <s v="RESULTADO DE LA EXPLOTACION"/>
    <x v="8"/>
    <s v="(694) Pérdidas por op. Comerciales"/>
    <s v="694000000 - Pérdidas deterioro de créditos por op.comerciales"/>
    <s v="-"/>
    <n v="0"/>
    <n v="0"/>
    <n v="0"/>
    <n v="0"/>
    <n v="0"/>
    <n v="-211.6"/>
    <n v="0"/>
    <n v="0"/>
    <s v="                                             -  "/>
    <n v="0"/>
    <n v="0"/>
    <n v="0"/>
    <n v="-211.6"/>
  </r>
  <r>
    <x v="0"/>
    <s v="Codiagro"/>
    <s v="RESULTADO DEL EJERCICIO"/>
    <s v="RESULTADO ANTES DE IMPUESTOS"/>
    <s v="RESULTADO DE LA EXPLOTACION"/>
    <x v="9"/>
    <s v="(681) Amortización del inmovilizado material"/>
    <s v="681100000 - Amortización de construcciones"/>
    <s v="-"/>
    <n v="-3154.35"/>
    <n v="-3154.35"/>
    <n v="-3154.35"/>
    <n v="-3154.35"/>
    <n v="-3154.35"/>
    <n v="-3154.35"/>
    <n v="-3154.35"/>
    <n v="-3154.35"/>
    <n v="-3154.35"/>
    <n v="-3154.35"/>
    <n v="-3154.35"/>
    <n v="-3154.35"/>
    <n v="-37852.19999999999"/>
  </r>
  <r>
    <x v="0"/>
    <s v="Codiagro"/>
    <s v="RESULTADO DEL EJERCICIO"/>
    <s v="RESULTADO ANTES DE IMPUESTOS"/>
    <s v="RESULTADO DE LA EXPLOTACION"/>
    <x v="9"/>
    <s v="(681) Amortización del inmovilizado material"/>
    <s v="681200000 - Amortización de instalaciones técnicas"/>
    <s v="-"/>
    <n v="-6245.7"/>
    <n v="-6245.7"/>
    <n v="-5719.74"/>
    <n v="-5719.74"/>
    <n v="-5719.74"/>
    <n v="-5719.74"/>
    <n v="-5772.02"/>
    <n v="-5772.02"/>
    <n v="-5867.77"/>
    <n v="-5772"/>
    <n v="-5772"/>
    <n v="-5772"/>
    <n v="-70002.399999999994"/>
  </r>
  <r>
    <x v="0"/>
    <s v="Codiagro"/>
    <s v="RESULTADO DEL EJERCICIO"/>
    <s v="RESULTADO ANTES DE IMPUESTOS"/>
    <s v="RESULTADO DE LA EXPLOTACION"/>
    <x v="9"/>
    <s v="(681) Amortización del inmovilizado material"/>
    <s v="681300000 - Amortización de maquinaria"/>
    <s v="-"/>
    <n v="-6398.5"/>
    <n v="-6398.5"/>
    <n v="-6398.5"/>
    <n v="-6398.5"/>
    <n v="-6398.5"/>
    <n v="-6410.5"/>
    <n v="-6419.19"/>
    <n v="-6419.19"/>
    <n v="-6419.19"/>
    <n v="-6419"/>
    <n v="-6419"/>
    <n v="-6419"/>
    <n v="-76917.38"/>
  </r>
  <r>
    <x v="0"/>
    <s v="Codiagro"/>
    <s v="RESULTADO DEL EJERCICIO"/>
    <s v="RESULTADO ANTES DE IMPUESTOS"/>
    <s v="RESULTADO DE LA EXPLOTACION"/>
    <x v="9"/>
    <s v="(681) Amortización del inmovilizado material"/>
    <s v="681500000 - Amortización de otras instalaciones"/>
    <s v="-"/>
    <n v="-1522.43"/>
    <n v="-1522.43"/>
    <n v="-1522.43"/>
    <n v="-1522.43"/>
    <n v="-1522.43"/>
    <n v="-1631.75"/>
    <n v="-1642.07"/>
    <n v="-1642.07"/>
    <n v="-1642.07"/>
    <n v="-1642"/>
    <n v="-1642"/>
    <n v="-1642"/>
    <n v="-19096.04"/>
  </r>
  <r>
    <x v="0"/>
    <s v="Codiagro"/>
    <s v="RESULTADO DEL EJERCICIO"/>
    <s v="RESULTADO ANTES DE IMPUESTOS"/>
    <s v="RESULTADO DE LA EXPLOTACION"/>
    <x v="9"/>
    <s v="(681) Amortización del inmovilizado material"/>
    <s v="681600000 - Amortización de mobiliario"/>
    <s v="-"/>
    <n v="-1325.66"/>
    <n v="-1325.66"/>
    <n v="-1325.66"/>
    <n v="-1325.66"/>
    <n v="-1325.66"/>
    <n v="-1337.16"/>
    <n v="-1337.16"/>
    <n v="-1337.16"/>
    <n v="-1337.16"/>
    <n v="-1337"/>
    <n v="-1337"/>
    <n v="-1337"/>
    <n v="-15987.78"/>
  </r>
  <r>
    <x v="0"/>
    <s v="Codiagro"/>
    <s v="RESULTADO DEL EJERCICIO"/>
    <s v="RESULTADO ANTES DE IMPUESTOS"/>
    <s v="RESULTADO DE LA EXPLOTACION"/>
    <x v="9"/>
    <s v="(681) Amortización del inmovilizado material"/>
    <s v="681700000 - Amortización de equipos para procesos de informac."/>
    <s v="-"/>
    <n v="-448.73"/>
    <n v="-448.73"/>
    <n v="-745.37"/>
    <n v="-745.37"/>
    <n v="-937.75"/>
    <n v="-848"/>
    <n v="-855.5"/>
    <n v="-855.5"/>
    <n v="-877.13"/>
    <n v="-856"/>
    <n v="-856"/>
    <n v="-856"/>
    <n v="-9308.9500000000007"/>
  </r>
  <r>
    <x v="0"/>
    <s v="Codiagro"/>
    <s v="RESULTADO DEL EJERCICIO"/>
    <s v="RESULTADO ANTES DE IMPUESTOS"/>
    <s v="RESULTADO DE LA EXPLOTACION"/>
    <x v="9"/>
    <s v="(681) Amortización del inmovilizado material"/>
    <s v="681800000 - Amortización de elementos de transporte"/>
    <s v="-"/>
    <n v="-37.5"/>
    <n v="-37.5"/>
    <n v="-37.5"/>
    <n v="-37.5"/>
    <n v="-131.25"/>
    <n v="41.25"/>
    <n v="-45"/>
    <n v="-45"/>
    <n v="-45"/>
    <n v="-45"/>
    <n v="-45"/>
    <n v="-45"/>
    <n v="-510"/>
  </r>
  <r>
    <x v="0"/>
    <s v="Codiagro"/>
    <s v="RESULTADO DEL EJERCICIO"/>
    <s v="RESULTADO ANTES DE IMPUESTOS"/>
    <s v="RESULTADO FINANCIERO"/>
    <x v="10"/>
    <s v="(706) Dto. s/vtas p.p."/>
    <s v="706000001 - DESCUENTO POR PRONTO PAGO DEFINITIVO"/>
    <s v="-"/>
    <n v="0"/>
    <n v="0"/>
    <n v="0"/>
    <n v="-23519.91"/>
    <n v="-38633.949999999997"/>
    <n v="-78488.47"/>
    <n v="-32604.18"/>
    <n v="-19768.43"/>
    <n v="-8347.1"/>
    <n v="-24579.01"/>
    <n v="-33042.67"/>
    <n v="-35674.22"/>
    <n v="-299286.05000000005"/>
  </r>
  <r>
    <x v="0"/>
    <s v="Codiagro"/>
    <s v="RESULTADO DEL EJERCICIO"/>
    <s v="RESULTADO ANTES DE IMPUESTOS"/>
    <s v="RESULTADO FINANCIERO"/>
    <x v="10"/>
    <s v="(665) Intereses por descuento de efectos y operaciones de &quot;factoring&quot;"/>
    <s v="665700015 - INTERESES PAGO FINANCIADO POR BBVA"/>
    <s v="-"/>
    <n v="0"/>
    <n v="0"/>
    <n v="0"/>
    <n v="-937.05"/>
    <n v="0"/>
    <n v="0"/>
    <n v="0"/>
    <n v="0"/>
    <s v="                                             -  "/>
    <n v="0"/>
    <n v="0"/>
    <n v="0"/>
    <n v="-937.05"/>
  </r>
  <r>
    <x v="0"/>
    <s v="Codiagro"/>
    <s v="RESULTADO DEL EJERCICIO"/>
    <s v="RESULTADO ANTES DE IMPUESTOS"/>
    <s v="RESULTADO FINANCIERO"/>
    <x v="10"/>
    <s v="(662) Intereses de deudas con entidades de crédito"/>
    <s v="662310005 - INTERESES PRESTAMO CAIXALMASSORA"/>
    <s v="-"/>
    <n v="-52.82"/>
    <n v="0"/>
    <n v="-79.37"/>
    <n v="-26.51"/>
    <n v="-17.690000000000001"/>
    <n v="-8.86"/>
    <n v="0"/>
    <n v="0"/>
    <s v="                                             -  "/>
    <n v="0"/>
    <n v="0"/>
    <n v="0"/>
    <n v="-185.25"/>
  </r>
  <r>
    <x v="0"/>
    <s v="Codiagro"/>
    <s v="RESULTADO DEL EJERCICIO"/>
    <s v="RESULTADO ANTES DE IMPUESTOS"/>
    <s v="RESULTADO FINANCIERO"/>
    <x v="10"/>
    <s v="(669) Otros gastos financieros"/>
    <s v="669000002 - OTROS GTOS. DTO. EFECTOS SABADEL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000007 - OTROS GTOS. DTO.EFECTOS BBV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2 - OTROS GTOS. FINAN. SABADEL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5 - OTROS GTOS. FINAN. C.RURAL ALMASSOR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7 - OTROS GTOS. FINAN. BBVA.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200002 - GTOS. COBRO EXPORT B.SABADEL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200007 - GTOS. COBRO EXPORT. BBV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1"/>
    <s v="(768) Diferencias positivas de cambio"/>
    <s v="768000000 - Diferencias positivas de cambio"/>
    <s v="-"/>
    <n v="0"/>
    <n v="78.790000000000006"/>
    <n v="15.51"/>
    <n v="0"/>
    <n v="2879.75"/>
    <n v="1665.7"/>
    <n v="604.76"/>
    <n v="0"/>
    <s v="                                             -  "/>
    <n v="0"/>
    <n v="0"/>
    <n v="0"/>
    <n v="5244.51"/>
  </r>
  <r>
    <x v="0"/>
    <s v="Codiagro"/>
    <s v="RESULTADO DEL EJERCICIO"/>
    <s v="RESULTADO ANTES DE IMPUESTOS"/>
    <s v="RESULTADO DE LA EXPLOTACION"/>
    <x v="8"/>
    <s v="(709) Publicidad"/>
    <s v="709001500 - RAPPEL BONIFICACIONES POR PMK DEFINITIVO"/>
    <s v="-"/>
    <n v="0"/>
    <n v="0"/>
    <n v="0"/>
    <n v="0"/>
    <n v="-1350"/>
    <n v="0"/>
    <n v="0"/>
    <n v="0"/>
    <s v="                                             -  "/>
    <n v="0"/>
    <n v="0"/>
    <n v="0"/>
    <n v="-1350"/>
  </r>
  <r>
    <x v="0"/>
    <s v="Codiagro"/>
    <s v="RESULTADO DEL EJERCICIO"/>
    <s v="RESULTADO ANTES DE IMPUESTOS"/>
    <s v="RESULTADO FINANCIERO"/>
    <x v="2"/>
    <s v="(769) Otros ingresos financieros"/>
    <s v="769000000 - Otros ingresos financieros"/>
    <s v="-"/>
    <n v="0"/>
    <n v="0"/>
    <n v="0"/>
    <n v="0"/>
    <n v="0"/>
    <n v="4495.93"/>
    <n v="0"/>
    <n v="0"/>
    <s v="                                             -  "/>
    <n v="0"/>
    <n v="0"/>
    <n v="0"/>
    <n v="4495.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04466-1C8F-4694-BEC9-2336FD9092D9}" name="TablaDinámica1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etalle sin Ajustar">
  <location ref="B3:O16" firstHeaderRow="0" firstDataRow="1" firstDataCol="1" rowPageCount="1" colPageCount="1"/>
  <pivotFields count="22">
    <pivotField axis="axisPage" multipleItemSelectionAllowed="1" showAll="0">
      <items count="2">
        <item x="0"/>
        <item t="default"/>
      </items>
    </pivotField>
    <pivotField showAll="0"/>
    <pivotField showAll="0"/>
    <pivotField showAll="0"/>
    <pivotField showAll="0"/>
    <pivotField axis="axisRow" showAll="0">
      <items count="13">
        <item x="0"/>
        <item x="5"/>
        <item x="6"/>
        <item x="7"/>
        <item x="1"/>
        <item x="8"/>
        <item x="3"/>
        <item x="9"/>
        <item x="4"/>
        <item x="10"/>
        <item x="11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0" hier="-1"/>
  </pageFields>
  <dataFields count="13">
    <dataField name="ene-26 " fld="9" baseField="2" baseItem="0"/>
    <dataField name="feb-26 " fld="10" baseField="2" baseItem="0"/>
    <dataField name="mar-26 " fld="11" baseField="2" baseItem="0" numFmtId="4"/>
    <dataField name="abr-26 " fld="12" baseField="2" baseItem="0"/>
    <dataField name="may-26 " fld="13" baseField="5" baseItem="0"/>
    <dataField name=" jun-26" fld="14" baseField="5" baseItem="0"/>
    <dataField name="jul-26 " fld="15" baseField="5" baseItem="0"/>
    <dataField name="ago-26 " fld="16" baseField="0" baseItem="0"/>
    <dataField name="sep-26 " fld="17" baseField="5" baseItem="0"/>
    <dataField name="oct-26 " fld="18" baseField="5" baseItem="0"/>
    <dataField name="nov-26 " fld="19" baseField="5" baseItem="0"/>
    <dataField name="dic-26 " fld="20" baseField="5" baseItem="0"/>
    <dataField name="Total 2026 " fld="21" baseField="5" baseItem="0"/>
  </dataFields>
  <formats count="13">
    <format dxfId="1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">
      <pivotArea field="2" grandRow="1" outline="0" collapsedLevelsAreSubtotals="1">
        <references count="1">
          <reference field="4294967294" count="1" selected="0">
            <x v="2"/>
          </reference>
        </references>
      </pivotArea>
    </format>
    <format dxfId="8">
      <pivotArea field="2" grandRow="1" outline="0" collapsedLevelsAreSubtotals="1">
        <references count="1">
          <reference field="4294967294" count="1" selected="0">
            <x v="1"/>
          </reference>
        </references>
      </pivotArea>
    </format>
    <format dxfId="7">
      <pivotArea field="2" grandRow="1" outline="0" collapsedLevelsAreSubtotals="1">
        <references count="1">
          <reference field="4294967294" count="1" selected="0">
            <x v="0"/>
          </reference>
        </references>
      </pivotArea>
    </format>
    <format dxfId="6">
      <pivotArea field="2" grandRow="1" outline="0" collapsedLevelsAreSubtotals="1">
        <references count="1">
          <reference field="4294967294" count="1" selected="0">
            <x v="3"/>
          </reference>
        </references>
      </pivotArea>
    </format>
    <format dxfId="5">
      <pivotArea outline="0" collapsedLevelsAreSubtotals="1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4">
      <pivotArea dataOnly="0" labelOnly="1" outline="0" fieldPosition="0">
        <references count="1">
          <reference field="0" count="1">
            <x v="0"/>
          </reference>
        </references>
      </pivotArea>
    </format>
    <format dxfId="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2"/>
          </reference>
          <reference field="5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0">
      <pivotArea field="5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F8F0F-CABA-44C9-861D-B64737513C38}" name="TablaDinámica13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Q12" firstHeaderRow="1" firstDataRow="1" firstDataCol="1" rowPageCount="1" colPageCount="1"/>
  <pivotFields count="12">
    <pivotField numFmtId="14" showAll="0"/>
    <pivotField axis="axisPage" multipleItemSelectionAllowed="1" showAll="0">
      <items count="12">
        <item x="0"/>
        <item x="10"/>
        <item x="1"/>
        <item x="2"/>
        <item x="3"/>
        <item x="4"/>
        <item x="5"/>
        <item x="7"/>
        <item x="6"/>
        <item x="8"/>
        <item x="9"/>
        <item t="default"/>
      </items>
    </pivotField>
    <pivotField showAll="0"/>
    <pivotField axis="axisRow" showAll="0">
      <items count="9">
        <item x="1"/>
        <item x="5"/>
        <item x="2"/>
        <item x="0"/>
        <item x="3"/>
        <item x="6"/>
        <item x="7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" hier="-1"/>
  </pageFields>
  <dataFields count="1">
    <dataField name="Suma de Importe ('000)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B44B8-C86C-4350-A9CC-CF0A10A66821}" name="TablaDinámica2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9:N33" firstHeaderRow="1" firstDataRow="2" firstDataCol="1"/>
  <pivotFields count="12">
    <pivotField numFmtId="14" showAll="0"/>
    <pivotField axis="axisCol" showAll="0">
      <items count="13">
        <item x="0"/>
        <item x="10"/>
        <item x="1"/>
        <item x="2"/>
        <item x="3"/>
        <item x="4"/>
        <item x="5"/>
        <item x="7"/>
        <item x="6"/>
        <item x="11"/>
        <item x="8"/>
        <item x="9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70" showAll="0"/>
    <pivotField dataField="1" numFmtId="4"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a de Importe ('000)" fld="1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6D6E-6702-4A5D-9385-0DB991C4E6A8}">
  <sheetPr>
    <pageSetUpPr fitToPage="1"/>
  </sheetPr>
  <dimension ref="B2:DM54"/>
  <sheetViews>
    <sheetView showGridLines="0" topLeftCell="CU1" zoomScaleNormal="100" workbookViewId="0">
      <selection activeCell="DG8" sqref="DG8"/>
    </sheetView>
  </sheetViews>
  <sheetFormatPr baseColWidth="10" defaultColWidth="10.81640625" defaultRowHeight="14.5" x14ac:dyDescent="0.35"/>
  <cols>
    <col min="1" max="73" width="10.81640625" style="69"/>
    <col min="74" max="74" width="23.54296875" style="69" bestFit="1" customWidth="1"/>
    <col min="75" max="75" width="23.1796875" style="70" customWidth="1"/>
    <col min="76" max="76" width="10.81640625" style="70"/>
    <col min="77" max="77" width="8.81640625" style="69" customWidth="1"/>
    <col min="78" max="78" width="9.81640625" style="69" customWidth="1"/>
    <col min="79" max="79" width="10.81640625" style="69"/>
    <col min="80" max="81" width="9.7265625" style="69" customWidth="1"/>
    <col min="82" max="109" width="10.81640625" style="69"/>
    <col min="110" max="110" width="23.54296875" style="69" bestFit="1" customWidth="1"/>
    <col min="111" max="16384" width="10.81640625" style="69"/>
  </cols>
  <sheetData>
    <row r="2" spans="2:117" x14ac:dyDescent="0.35">
      <c r="C2" s="102" t="s">
        <v>39</v>
      </c>
      <c r="D2" s="70"/>
      <c r="L2" s="102" t="s">
        <v>39</v>
      </c>
      <c r="M2" s="70"/>
      <c r="U2" s="102" t="s">
        <v>39</v>
      </c>
      <c r="V2" s="70"/>
      <c r="AD2" s="102" t="s">
        <v>39</v>
      </c>
      <c r="AE2" s="70"/>
      <c r="AM2" s="102" t="s">
        <v>39</v>
      </c>
      <c r="AN2" s="70"/>
      <c r="AV2" s="102" t="s">
        <v>39</v>
      </c>
      <c r="AW2" s="70"/>
      <c r="BE2" s="102" t="s">
        <v>39</v>
      </c>
      <c r="BF2" s="70"/>
      <c r="BN2" s="102" t="s">
        <v>39</v>
      </c>
      <c r="BO2" s="70"/>
      <c r="BW2" s="102" t="s">
        <v>39</v>
      </c>
      <c r="CF2" s="102" t="s">
        <v>39</v>
      </c>
      <c r="CG2" s="70"/>
      <c r="CO2" s="102" t="s">
        <v>39</v>
      </c>
      <c r="CP2" s="70"/>
      <c r="CX2" s="102" t="s">
        <v>39</v>
      </c>
      <c r="CY2" s="70"/>
      <c r="DG2" s="102" t="s">
        <v>39</v>
      </c>
      <c r="DH2" s="70"/>
    </row>
    <row r="3" spans="2:117" x14ac:dyDescent="0.35">
      <c r="B3" s="71" t="s">
        <v>38</v>
      </c>
      <c r="C3" s="72">
        <v>1</v>
      </c>
      <c r="D3" s="70"/>
      <c r="G3" s="68"/>
      <c r="K3" s="71" t="s">
        <v>38</v>
      </c>
      <c r="L3" s="72">
        <v>2</v>
      </c>
      <c r="M3" s="70"/>
      <c r="P3" s="68"/>
      <c r="T3" s="71" t="s">
        <v>38</v>
      </c>
      <c r="U3" s="72">
        <v>3</v>
      </c>
      <c r="V3" s="70"/>
      <c r="Y3" s="68"/>
      <c r="AC3" s="71" t="s">
        <v>38</v>
      </c>
      <c r="AD3" s="72">
        <v>4</v>
      </c>
      <c r="AE3" s="70"/>
      <c r="AH3" s="68"/>
      <c r="AL3" s="71" t="s">
        <v>38</v>
      </c>
      <c r="AM3" s="72">
        <v>5</v>
      </c>
      <c r="AN3" s="70"/>
      <c r="AQ3" s="68"/>
      <c r="AU3" s="71" t="s">
        <v>38</v>
      </c>
      <c r="AV3" s="72">
        <v>6</v>
      </c>
      <c r="AW3" s="70"/>
      <c r="AZ3" s="68"/>
      <c r="BD3" s="71" t="s">
        <v>38</v>
      </c>
      <c r="BE3" s="72">
        <v>7</v>
      </c>
      <c r="BF3" s="70"/>
      <c r="BI3" s="68"/>
      <c r="BM3" s="71" t="s">
        <v>38</v>
      </c>
      <c r="BN3" s="72">
        <v>8</v>
      </c>
      <c r="BO3" s="70"/>
      <c r="BR3" s="68"/>
      <c r="BV3" s="71" t="s">
        <v>38</v>
      </c>
      <c r="BW3" s="72">
        <v>9</v>
      </c>
      <c r="CA3" s="68"/>
      <c r="CE3" s="71" t="s">
        <v>38</v>
      </c>
      <c r="CF3" s="72">
        <v>10</v>
      </c>
      <c r="CG3" s="70"/>
      <c r="CJ3" s="68"/>
      <c r="CN3" s="71" t="s">
        <v>38</v>
      </c>
      <c r="CO3" s="72">
        <v>11</v>
      </c>
      <c r="CP3" s="70"/>
      <c r="CS3" s="68"/>
      <c r="CW3" s="71" t="s">
        <v>38</v>
      </c>
      <c r="CX3" s="72">
        <v>12</v>
      </c>
      <c r="CY3" s="70"/>
      <c r="DB3" s="68"/>
      <c r="DF3" s="71" t="s">
        <v>38</v>
      </c>
      <c r="DG3" s="166">
        <v>12</v>
      </c>
      <c r="DH3" s="72" t="s">
        <v>498</v>
      </c>
      <c r="DK3" s="68"/>
    </row>
    <row r="4" spans="2:117" x14ac:dyDescent="0.35">
      <c r="C4" s="70"/>
      <c r="D4" s="70"/>
      <c r="L4" s="70"/>
      <c r="M4" s="70"/>
      <c r="U4" s="70"/>
      <c r="V4" s="70"/>
      <c r="AD4" s="70"/>
      <c r="AE4" s="70"/>
      <c r="AM4" s="70"/>
      <c r="AN4" s="70"/>
      <c r="AV4" s="70"/>
      <c r="AW4" s="70"/>
      <c r="BE4" s="70"/>
      <c r="BF4" s="70"/>
      <c r="BN4" s="70"/>
      <c r="BO4" s="70"/>
      <c r="CF4" s="70"/>
      <c r="CG4" s="70"/>
      <c r="CO4" s="70"/>
      <c r="CP4" s="70"/>
      <c r="CX4" s="70"/>
      <c r="CY4" s="70"/>
      <c r="DG4" s="70"/>
      <c r="DH4" s="70"/>
    </row>
    <row r="5" spans="2:117" x14ac:dyDescent="0.35">
      <c r="B5" s="73" t="s">
        <v>17</v>
      </c>
      <c r="K5" s="73" t="s">
        <v>17</v>
      </c>
      <c r="T5" s="73" t="s">
        <v>17</v>
      </c>
      <c r="AC5" s="73" t="s">
        <v>17</v>
      </c>
      <c r="AL5" s="73" t="s">
        <v>17</v>
      </c>
      <c r="AU5" s="73" t="s">
        <v>17</v>
      </c>
      <c r="BD5" s="73" t="s">
        <v>17</v>
      </c>
      <c r="BM5" s="73" t="s">
        <v>17</v>
      </c>
      <c r="BO5" s="165"/>
      <c r="BV5" s="73" t="s">
        <v>17</v>
      </c>
      <c r="BW5" s="69"/>
      <c r="BX5" s="165"/>
      <c r="CE5" s="73" t="s">
        <v>17</v>
      </c>
      <c r="CG5" s="165"/>
      <c r="CN5" s="73" t="s">
        <v>17</v>
      </c>
      <c r="CP5" s="165"/>
      <c r="CW5" s="73" t="s">
        <v>17</v>
      </c>
      <c r="CY5" s="165"/>
      <c r="DF5" s="73" t="s">
        <v>499</v>
      </c>
      <c r="DH5" s="165"/>
    </row>
    <row r="6" spans="2:117" ht="16.5" customHeight="1" x14ac:dyDescent="0.35">
      <c r="B6" s="74"/>
      <c r="C6" s="75"/>
      <c r="D6" s="75"/>
      <c r="E6" s="76" t="s">
        <v>21</v>
      </c>
      <c r="F6" s="77"/>
      <c r="G6" s="78"/>
      <c r="H6" s="76" t="s">
        <v>21</v>
      </c>
      <c r="I6" s="76"/>
      <c r="K6" s="74"/>
      <c r="L6" s="75"/>
      <c r="M6" s="75"/>
      <c r="N6" s="76" t="s">
        <v>21</v>
      </c>
      <c r="O6" s="77"/>
      <c r="P6" s="78"/>
      <c r="Q6" s="76" t="s">
        <v>21</v>
      </c>
      <c r="R6" s="76"/>
      <c r="T6" s="74"/>
      <c r="U6" s="75"/>
      <c r="V6" s="75"/>
      <c r="W6" s="76" t="s">
        <v>21</v>
      </c>
      <c r="X6" s="77"/>
      <c r="Y6" s="78"/>
      <c r="Z6" s="184" t="s">
        <v>21</v>
      </c>
      <c r="AA6" s="184"/>
      <c r="AC6" s="74"/>
      <c r="AD6" s="75"/>
      <c r="AE6" s="75"/>
      <c r="AF6" s="76" t="s">
        <v>21</v>
      </c>
      <c r="AG6" s="77"/>
      <c r="AH6" s="78"/>
      <c r="AI6" s="184" t="s">
        <v>21</v>
      </c>
      <c r="AJ6" s="184"/>
      <c r="AL6" s="74"/>
      <c r="AM6" s="75"/>
      <c r="AN6" s="75"/>
      <c r="AO6" s="76" t="s">
        <v>21</v>
      </c>
      <c r="AP6" s="77"/>
      <c r="AQ6" s="78"/>
      <c r="AR6" s="184" t="s">
        <v>21</v>
      </c>
      <c r="AS6" s="184"/>
      <c r="AU6" s="74"/>
      <c r="AV6" s="75"/>
      <c r="AW6" s="75"/>
      <c r="AX6" s="76" t="s">
        <v>21</v>
      </c>
      <c r="AY6" s="77"/>
      <c r="AZ6" s="78"/>
      <c r="BA6" s="184" t="s">
        <v>21</v>
      </c>
      <c r="BB6" s="184"/>
      <c r="BD6" s="74"/>
      <c r="BE6" s="75"/>
      <c r="BF6" s="75"/>
      <c r="BG6" s="76" t="s">
        <v>21</v>
      </c>
      <c r="BH6" s="77"/>
      <c r="BI6" s="78"/>
      <c r="BJ6" s="184" t="s">
        <v>21</v>
      </c>
      <c r="BK6" s="184"/>
      <c r="BM6" s="74"/>
      <c r="BN6" s="75"/>
      <c r="BO6" s="75"/>
      <c r="BP6" s="76" t="s">
        <v>21</v>
      </c>
      <c r="BQ6" s="77"/>
      <c r="BR6" s="78"/>
      <c r="BS6" s="184" t="s">
        <v>21</v>
      </c>
      <c r="BT6" s="184"/>
      <c r="BV6" s="74"/>
      <c r="BW6" s="75"/>
      <c r="BX6" s="75"/>
      <c r="BY6" s="76" t="s">
        <v>21</v>
      </c>
      <c r="BZ6" s="77"/>
      <c r="CA6" s="78"/>
      <c r="CB6" s="184" t="s">
        <v>21</v>
      </c>
      <c r="CC6" s="184"/>
      <c r="CD6" s="103"/>
      <c r="CE6" s="74"/>
      <c r="CF6" s="75"/>
      <c r="CG6" s="75"/>
      <c r="CH6" s="76" t="s">
        <v>21</v>
      </c>
      <c r="CI6" s="77"/>
      <c r="CJ6" s="78"/>
      <c r="CK6" s="184" t="s">
        <v>21</v>
      </c>
      <c r="CL6" s="184"/>
      <c r="CN6" s="74"/>
      <c r="CO6" s="75"/>
      <c r="CP6" s="75"/>
      <c r="CQ6" s="76" t="s">
        <v>21</v>
      </c>
      <c r="CR6" s="77"/>
      <c r="CS6" s="78"/>
      <c r="CT6" s="184" t="s">
        <v>21</v>
      </c>
      <c r="CU6" s="184"/>
      <c r="CW6" s="74"/>
      <c r="CX6" s="75"/>
      <c r="CY6" s="75"/>
      <c r="CZ6" s="76" t="s">
        <v>21</v>
      </c>
      <c r="DA6" s="77"/>
      <c r="DB6" s="78"/>
      <c r="DC6" s="184" t="s">
        <v>21</v>
      </c>
      <c r="DD6" s="184"/>
      <c r="DF6" s="74"/>
      <c r="DG6" s="75"/>
      <c r="DH6" s="75"/>
      <c r="DI6" s="76" t="s">
        <v>21</v>
      </c>
      <c r="DJ6" s="77"/>
      <c r="DK6" s="78"/>
      <c r="DL6" s="184" t="s">
        <v>21</v>
      </c>
      <c r="DM6" s="184"/>
    </row>
    <row r="7" spans="2:117" ht="15" thickBot="1" x14ac:dyDescent="0.4">
      <c r="B7" s="79" t="s">
        <v>18</v>
      </c>
      <c r="C7" s="182" t="s">
        <v>19</v>
      </c>
      <c r="D7" s="80" t="s">
        <v>20</v>
      </c>
      <c r="E7" s="81" t="s">
        <v>0</v>
      </c>
      <c r="F7" s="168" t="s">
        <v>22</v>
      </c>
      <c r="G7" s="80" t="s">
        <v>23</v>
      </c>
      <c r="H7" s="81" t="s">
        <v>0</v>
      </c>
      <c r="I7" s="81" t="s">
        <v>24</v>
      </c>
      <c r="K7" s="79" t="s">
        <v>18</v>
      </c>
      <c r="L7" s="182" t="s">
        <v>19</v>
      </c>
      <c r="M7" s="80" t="s">
        <v>20</v>
      </c>
      <c r="N7" s="81" t="s">
        <v>0</v>
      </c>
      <c r="O7" s="168" t="s">
        <v>22</v>
      </c>
      <c r="P7" s="80" t="s">
        <v>23</v>
      </c>
      <c r="Q7" s="81" t="s">
        <v>0</v>
      </c>
      <c r="R7" s="81" t="s">
        <v>24</v>
      </c>
      <c r="T7" s="79" t="s">
        <v>18</v>
      </c>
      <c r="U7" s="182" t="s">
        <v>19</v>
      </c>
      <c r="V7" s="80" t="s">
        <v>20</v>
      </c>
      <c r="W7" s="81" t="s">
        <v>0</v>
      </c>
      <c r="X7" s="127" t="s">
        <v>22</v>
      </c>
      <c r="Y7" s="80" t="s">
        <v>23</v>
      </c>
      <c r="Z7" s="81" t="s">
        <v>0</v>
      </c>
      <c r="AA7" s="81" t="s">
        <v>24</v>
      </c>
      <c r="AC7" s="79" t="s">
        <v>18</v>
      </c>
      <c r="AD7" s="182" t="s">
        <v>19</v>
      </c>
      <c r="AE7" s="80" t="s">
        <v>20</v>
      </c>
      <c r="AF7" s="81" t="s">
        <v>0</v>
      </c>
      <c r="AG7" s="127" t="s">
        <v>22</v>
      </c>
      <c r="AH7" s="80" t="s">
        <v>23</v>
      </c>
      <c r="AI7" s="81" t="s">
        <v>0</v>
      </c>
      <c r="AJ7" s="81" t="s">
        <v>24</v>
      </c>
      <c r="AL7" s="79" t="s">
        <v>18</v>
      </c>
      <c r="AM7" s="182" t="s">
        <v>19</v>
      </c>
      <c r="AN7" s="80" t="s">
        <v>20</v>
      </c>
      <c r="AO7" s="81" t="s">
        <v>0</v>
      </c>
      <c r="AP7" s="127" t="s">
        <v>22</v>
      </c>
      <c r="AQ7" s="80" t="s">
        <v>23</v>
      </c>
      <c r="AR7" s="81" t="s">
        <v>0</v>
      </c>
      <c r="AS7" s="81" t="s">
        <v>24</v>
      </c>
      <c r="AU7" s="79" t="s">
        <v>18</v>
      </c>
      <c r="AV7" s="182" t="s">
        <v>19</v>
      </c>
      <c r="AW7" s="80" t="s">
        <v>20</v>
      </c>
      <c r="AX7" s="81" t="s">
        <v>0</v>
      </c>
      <c r="AY7" s="127" t="s">
        <v>22</v>
      </c>
      <c r="AZ7" s="80" t="s">
        <v>23</v>
      </c>
      <c r="BA7" s="81" t="s">
        <v>0</v>
      </c>
      <c r="BB7" s="81" t="s">
        <v>24</v>
      </c>
      <c r="BD7" s="79" t="s">
        <v>18</v>
      </c>
      <c r="BE7" s="182" t="s">
        <v>19</v>
      </c>
      <c r="BF7" s="80" t="s">
        <v>20</v>
      </c>
      <c r="BG7" s="81" t="s">
        <v>0</v>
      </c>
      <c r="BH7" s="127" t="s">
        <v>22</v>
      </c>
      <c r="BI7" s="80" t="s">
        <v>23</v>
      </c>
      <c r="BJ7" s="81" t="s">
        <v>0</v>
      </c>
      <c r="BK7" s="81" t="s">
        <v>24</v>
      </c>
      <c r="BM7" s="79" t="s">
        <v>18</v>
      </c>
      <c r="BN7" s="182" t="s">
        <v>19</v>
      </c>
      <c r="BO7" s="80" t="s">
        <v>20</v>
      </c>
      <c r="BP7" s="81" t="s">
        <v>0</v>
      </c>
      <c r="BQ7" s="127" t="s">
        <v>22</v>
      </c>
      <c r="BR7" s="80" t="s">
        <v>23</v>
      </c>
      <c r="BS7" s="81" t="s">
        <v>0</v>
      </c>
      <c r="BT7" s="81" t="s">
        <v>24</v>
      </c>
      <c r="BV7" s="79" t="s">
        <v>18</v>
      </c>
      <c r="BW7" s="182" t="s">
        <v>19</v>
      </c>
      <c r="BX7" s="80" t="s">
        <v>20</v>
      </c>
      <c r="BY7" s="81" t="s">
        <v>0</v>
      </c>
      <c r="BZ7" s="127" t="s">
        <v>22</v>
      </c>
      <c r="CA7" s="80" t="s">
        <v>23</v>
      </c>
      <c r="CB7" s="81" t="s">
        <v>0</v>
      </c>
      <c r="CC7" s="81" t="s">
        <v>24</v>
      </c>
      <c r="CD7" s="104"/>
      <c r="CE7" s="79" t="s">
        <v>18</v>
      </c>
      <c r="CF7" s="80" t="s">
        <v>19</v>
      </c>
      <c r="CG7" s="80" t="s">
        <v>20</v>
      </c>
      <c r="CH7" s="81" t="s">
        <v>0</v>
      </c>
      <c r="CI7" s="127" t="s">
        <v>22</v>
      </c>
      <c r="CJ7" s="80" t="s">
        <v>23</v>
      </c>
      <c r="CK7" s="81" t="s">
        <v>0</v>
      </c>
      <c r="CL7" s="81" t="s">
        <v>24</v>
      </c>
      <c r="CN7" s="79" t="s">
        <v>18</v>
      </c>
      <c r="CO7" s="80" t="s">
        <v>19</v>
      </c>
      <c r="CP7" s="80" t="s">
        <v>20</v>
      </c>
      <c r="CQ7" s="81" t="s">
        <v>0</v>
      </c>
      <c r="CR7" s="127" t="s">
        <v>22</v>
      </c>
      <c r="CS7" s="80" t="s">
        <v>23</v>
      </c>
      <c r="CT7" s="81" t="s">
        <v>0</v>
      </c>
      <c r="CU7" s="81" t="s">
        <v>24</v>
      </c>
      <c r="CW7" s="79" t="s">
        <v>18</v>
      </c>
      <c r="CX7" s="80" t="s">
        <v>19</v>
      </c>
      <c r="CY7" s="80" t="s">
        <v>20</v>
      </c>
      <c r="CZ7" s="81" t="s">
        <v>0</v>
      </c>
      <c r="DA7" s="127" t="s">
        <v>22</v>
      </c>
      <c r="DB7" s="80" t="s">
        <v>23</v>
      </c>
      <c r="DC7" s="81" t="s">
        <v>0</v>
      </c>
      <c r="DD7" s="81" t="s">
        <v>24</v>
      </c>
      <c r="DF7" s="79" t="s">
        <v>18</v>
      </c>
      <c r="DG7" s="80" t="s">
        <v>19</v>
      </c>
      <c r="DH7" s="80" t="s">
        <v>20</v>
      </c>
      <c r="DI7" s="81" t="s">
        <v>0</v>
      </c>
      <c r="DJ7" s="127" t="s">
        <v>22</v>
      </c>
      <c r="DK7" s="80" t="s">
        <v>23</v>
      </c>
      <c r="DL7" s="81" t="s">
        <v>0</v>
      </c>
      <c r="DM7" s="81" t="s">
        <v>24</v>
      </c>
    </row>
    <row r="8" spans="2:117" x14ac:dyDescent="0.35">
      <c r="B8" s="82" t="s">
        <v>1</v>
      </c>
      <c r="C8" s="109">
        <v>983.81713000000002</v>
      </c>
      <c r="D8" s="109">
        <v>622.28714000000002</v>
      </c>
      <c r="E8" s="110">
        <v>361.52999</v>
      </c>
      <c r="F8" s="169">
        <v>0.58096972725484897</v>
      </c>
      <c r="G8" s="118">
        <v>805.69362811979761</v>
      </c>
      <c r="H8" s="110">
        <v>178.12350188020241</v>
      </c>
      <c r="I8" s="169">
        <v>0.22108093655386021</v>
      </c>
      <c r="K8" s="82" t="s">
        <v>1</v>
      </c>
      <c r="L8" s="109">
        <v>1470.42815</v>
      </c>
      <c r="M8" s="109">
        <v>1062.44109</v>
      </c>
      <c r="N8" s="110">
        <v>407.98705999999993</v>
      </c>
      <c r="O8" s="169">
        <v>0.3840091124487664</v>
      </c>
      <c r="P8" s="118">
        <v>1513.2479829827739</v>
      </c>
      <c r="Q8" s="110">
        <v>-42.81983298277396</v>
      </c>
      <c r="R8" s="169">
        <v>-2.8296639720854926E-2</v>
      </c>
      <c r="T8" s="82" t="s">
        <v>1</v>
      </c>
      <c r="U8" s="109">
        <v>1533.7894099999999</v>
      </c>
      <c r="V8" s="109">
        <v>1795.1470299999999</v>
      </c>
      <c r="W8" s="110">
        <v>-261.35762</v>
      </c>
      <c r="X8" s="125">
        <v>-0.14559120541786486</v>
      </c>
      <c r="Y8" s="118">
        <v>2302.2173090809079</v>
      </c>
      <c r="Z8" s="110">
        <v>-768.42789908090799</v>
      </c>
      <c r="AA8" s="125">
        <v>-0.33377730940077077</v>
      </c>
      <c r="AC8" s="82" t="s">
        <v>1</v>
      </c>
      <c r="AD8" s="109">
        <v>1462.1462799999999</v>
      </c>
      <c r="AE8" s="109">
        <v>1534.3508899999999</v>
      </c>
      <c r="AF8" s="110">
        <v>-72.204610000000002</v>
      </c>
      <c r="AG8" s="125">
        <v>-4.7058733742449177E-2</v>
      </c>
      <c r="AH8" s="118">
        <v>1891.2553201136914</v>
      </c>
      <c r="AI8" s="110">
        <v>-429.10904011369144</v>
      </c>
      <c r="AJ8" s="125">
        <v>-0.22689112123047239</v>
      </c>
      <c r="AL8" s="82" t="s">
        <v>1</v>
      </c>
      <c r="AM8" s="109">
        <v>1925.9299100000001</v>
      </c>
      <c r="AN8" s="109">
        <v>1483.9151900000002</v>
      </c>
      <c r="AO8" s="110">
        <v>442.0147199999999</v>
      </c>
      <c r="AP8" s="125">
        <v>0.29787060809047983</v>
      </c>
      <c r="AQ8" s="118">
        <v>1636.909212245115</v>
      </c>
      <c r="AR8" s="110">
        <v>289.02069775488508</v>
      </c>
      <c r="AS8" s="125">
        <v>0.17656489168295209</v>
      </c>
      <c r="AU8" s="82" t="s">
        <v>1</v>
      </c>
      <c r="AV8" s="109">
        <v>1962.2618299999999</v>
      </c>
      <c r="AW8" s="109">
        <v>1760.9420000000002</v>
      </c>
      <c r="AX8" s="110">
        <v>201.31982999999968</v>
      </c>
      <c r="AY8" s="125">
        <v>0.11432507714620899</v>
      </c>
      <c r="AZ8" s="118">
        <v>2150.2565698825038</v>
      </c>
      <c r="BA8" s="110">
        <v>-187.99473988250384</v>
      </c>
      <c r="BB8" s="125">
        <v>-8.7428980576386039E-2</v>
      </c>
      <c r="BD8" s="82" t="s">
        <v>1</v>
      </c>
      <c r="BE8" s="109">
        <v>1290.6542299999999</v>
      </c>
      <c r="BF8" s="109">
        <v>1314.5644800000002</v>
      </c>
      <c r="BG8" s="110">
        <v>-23.91025000000036</v>
      </c>
      <c r="BH8" s="125">
        <v>-1.8188723614379398E-2</v>
      </c>
      <c r="BI8" s="118">
        <v>1348.0210279400669</v>
      </c>
      <c r="BJ8" s="110">
        <v>-57.366797940067045</v>
      </c>
      <c r="BK8" s="125">
        <v>-4.2556307914372926E-2</v>
      </c>
      <c r="BM8" s="82" t="s">
        <v>1</v>
      </c>
      <c r="BN8" s="109">
        <v>788.10515000000021</v>
      </c>
      <c r="BO8" s="109">
        <v>664.49694000000011</v>
      </c>
      <c r="BP8" s="110">
        <v>123.6082100000001</v>
      </c>
      <c r="BQ8" s="125">
        <v>0.18601772643226933</v>
      </c>
      <c r="BR8" s="118">
        <v>776.07561364342041</v>
      </c>
      <c r="BS8" s="110">
        <v>12.029536356579797</v>
      </c>
      <c r="BT8" s="125">
        <v>1.5500469471144696E-2</v>
      </c>
      <c r="BV8" s="82" t="s">
        <v>1</v>
      </c>
      <c r="BW8" s="109">
        <f>(GETPIVOTDATA("sep-26 ",TABLA!$B$3,"Nivel 4","1.- Importe neto de la cifra de negocios"))/1000</f>
        <v>624.72487999999987</v>
      </c>
      <c r="BX8" s="109">
        <f>VLOOKUP(BV8,'P&amp;L Mensualitzada 2025'!$A$5:$N$25,$BW$3+1,0)</f>
        <v>842.11579000000006</v>
      </c>
      <c r="BY8" s="110">
        <f>BW8-BX8</f>
        <v>-217.39091000000019</v>
      </c>
      <c r="BZ8" s="125">
        <f>+IF(IFERROR(BW8/BX8-1,"-")&lt;300%,IFERROR(BW8/BX8-1,"-"),"n.a.")</f>
        <v>-0.25814847860767476</v>
      </c>
      <c r="CA8" s="118">
        <f>VLOOKUP(BV8,'Budget26 sin EI'!$B:$O,$BW$3+1,0)</f>
        <v>1026.5684889409886</v>
      </c>
      <c r="CB8" s="110">
        <f>BW8-CA8</f>
        <v>-401.8436089409887</v>
      </c>
      <c r="CC8" s="125">
        <f>+IF(IFERROR(BW8/CA8-1,"-")&lt;300%,IFERROR(BW8/CA8-1,"-"),"n.a.")</f>
        <v>-0.39144354543312732</v>
      </c>
      <c r="CD8" s="105"/>
      <c r="CE8" s="82" t="s">
        <v>1</v>
      </c>
      <c r="CF8" s="109">
        <f>(GETPIVOTDATA("oct-26 ",TABLA!$B$3,"Nivel 4","1.- Importe neto de la cifra de negocios"))/1000</f>
        <v>912.05501000000004</v>
      </c>
      <c r="CG8" s="109">
        <f>VLOOKUP(CE8,'P&amp;L Mensualitzada 2025'!$A$5:$N$25,$CF$3+1,0)</f>
        <v>699.58345000000179</v>
      </c>
      <c r="CH8" s="110">
        <f>CF8-CG8</f>
        <v>212.47155999999825</v>
      </c>
      <c r="CI8" s="125">
        <f>+IF(IFERROR(CF8/CG8-1,"-")&lt;300%,IFERROR(CF8/CG8-1,"-"),"n.a.")</f>
        <v>0.3037115300540596</v>
      </c>
      <c r="CJ8" s="118">
        <f>VLOOKUP(CE8,'Budget26 sin EI'!$B:$O,$CF$3+1,0)</f>
        <v>798.567184017253</v>
      </c>
      <c r="CK8" s="110">
        <f>CF8-CJ8</f>
        <v>113.48782598274704</v>
      </c>
      <c r="CL8" s="125">
        <f>+IF(IFERROR(CF8/CJ8-1,"-")&lt;300%,IFERROR(CF8/CJ8-1,"-"),"n.a.")</f>
        <v>0.14211431205053771</v>
      </c>
      <c r="CN8" s="82" t="s">
        <v>1</v>
      </c>
      <c r="CO8" s="109">
        <f>(GETPIVOTDATA("nov-26 ",TABLA!$B$3,"Nivel 4","1.- Importe neto de la cifra de negocios"))/1000</f>
        <v>1225.32178</v>
      </c>
      <c r="CP8" s="109">
        <f>VLOOKUP(CN8,'P&amp;L Mensualitzada 2025'!$A$5:$N$25,$CO$3+1,0)</f>
        <v>749.69916000000057</v>
      </c>
      <c r="CQ8" s="110">
        <f>CO8-CP8</f>
        <v>475.62261999999942</v>
      </c>
      <c r="CR8" s="125">
        <f>+IF(IFERROR(CO8/CP8-1,"-")&lt;300%,IFERROR(CO8/CP8-1,"-"),"n.a.")</f>
        <v>0.63441797106988762</v>
      </c>
      <c r="CS8" s="118">
        <f>VLOOKUP(CN8,'Budget26 sin EI'!$B:$O,$CO$3+1,0)</f>
        <v>1030.2430087822902</v>
      </c>
      <c r="CT8" s="110">
        <f>CO8-CS8</f>
        <v>195.0787712177098</v>
      </c>
      <c r="CU8" s="125">
        <f>+IF(IFERROR(CO8/CS8-1,"-")&lt;300%,IFERROR(CO8/CS8-1,"-"),"n.a.")</f>
        <v>0.18935219123523672</v>
      </c>
      <c r="CW8" s="82" t="s">
        <v>1</v>
      </c>
      <c r="CX8" s="109">
        <f>(GETPIVOTDATA("dic-26 ",TABLA!$B$3,"Nivel 4","1.- Importe neto de la cifra de negocios"))/1000</f>
        <v>1142.4073800000001</v>
      </c>
      <c r="CY8" s="109">
        <f>VLOOKUP(CW8,'P&amp;L Mensualitzada 2025'!$A$5:$N$25,$CX$3+1,0)</f>
        <v>248.50601</v>
      </c>
      <c r="CZ8" s="110">
        <f>CX8-CY8</f>
        <v>893.90137000000004</v>
      </c>
      <c r="DA8" s="125" t="str">
        <f>+IF(IFERROR(CX8/CY8-1,"-")&lt;300%,IFERROR(CX8/CY8-1,"-"),"n.a.")</f>
        <v>n.a.</v>
      </c>
      <c r="DB8" s="118">
        <f>VLOOKUP(CW8,'Budget26 sin EI'!$B:$O,$CX$3+1,0)</f>
        <v>659.94465275764242</v>
      </c>
      <c r="DC8" s="110">
        <f>CX8-DB8</f>
        <v>482.46272724235769</v>
      </c>
      <c r="DD8" s="125">
        <f>+IF(IFERROR(CX8/DB8-1,"-")&lt;300%,IFERROR(CX8/DB8-1,"-"),"n.a.")</f>
        <v>0.7310654389369482</v>
      </c>
      <c r="DF8" s="82" t="s">
        <v>1</v>
      </c>
      <c r="DG8" s="109">
        <f>(GETPIVOTDATA("Total 2026 ",TABLA!$B$3,"Nivel 4","1.- Importe neto de la cifra de negocios"))/1000</f>
        <v>15180.000000000002</v>
      </c>
      <c r="DH8" s="109">
        <f>VLOOKUP(DF8,'P&amp;L Mensualitzada 2025'!$A$5:$N$25,$CX$3+2,0)</f>
        <v>12778.049170000004</v>
      </c>
      <c r="DI8" s="110">
        <f>DG8-DH8</f>
        <v>2401.9508299999979</v>
      </c>
      <c r="DJ8" s="125">
        <f>+IF(IFERROR(DG8/DH8-1,"-")&lt;300%,IFERROR(DG8/DH8-1,"-"),"n.a.")</f>
        <v>0.18797476813903957</v>
      </c>
      <c r="DK8" s="118">
        <f>VLOOKUP(DF8,'Budget26 sin EI'!$B:$O,$CX$3+2,0)</f>
        <v>15938.999998506453</v>
      </c>
      <c r="DL8" s="110">
        <f>DG8-DK8</f>
        <v>-758.99999850645145</v>
      </c>
      <c r="DM8" s="125">
        <f>+IF(IFERROR(DG8/DK8-1,"-")&lt;300%,IFERROR(DG8/DK8-1,"-"),"n.a.")</f>
        <v>-4.7619047529805725E-2</v>
      </c>
    </row>
    <row r="9" spans="2:117" x14ac:dyDescent="0.35">
      <c r="B9" s="74" t="s">
        <v>2</v>
      </c>
      <c r="C9" s="111">
        <v>-502.66555</v>
      </c>
      <c r="D9" s="111">
        <v>-518.09464999999989</v>
      </c>
      <c r="E9" s="112">
        <v>15.429099999999892</v>
      </c>
      <c r="F9" s="113">
        <v>-2.9780465789407195E-2</v>
      </c>
      <c r="G9" s="119">
        <v>-276.70290602512631</v>
      </c>
      <c r="H9" s="112">
        <v>-225.96264397487369</v>
      </c>
      <c r="I9" s="170">
        <v>0.8166254818962938</v>
      </c>
      <c r="K9" s="74" t="s">
        <v>2</v>
      </c>
      <c r="L9" s="111">
        <v>-356.23715999999996</v>
      </c>
      <c r="M9" s="111">
        <v>-451.51496000000003</v>
      </c>
      <c r="N9" s="112">
        <v>95.27780000000007</v>
      </c>
      <c r="O9" s="113">
        <v>-0.21101803581436165</v>
      </c>
      <c r="P9" s="119">
        <v>-519.70140983383271</v>
      </c>
      <c r="Q9" s="112">
        <v>163.46424983383275</v>
      </c>
      <c r="R9" s="170">
        <v>-0.31453493629370405</v>
      </c>
      <c r="T9" s="74" t="s">
        <v>2</v>
      </c>
      <c r="U9" s="111">
        <v>-385.69992999999999</v>
      </c>
      <c r="V9" s="111">
        <v>-510.02510999999993</v>
      </c>
      <c r="W9" s="112">
        <v>124.32517999999993</v>
      </c>
      <c r="X9" s="113">
        <v>-0.24376286100894118</v>
      </c>
      <c r="Y9" s="119">
        <v>-790.66061526468297</v>
      </c>
      <c r="Z9" s="112">
        <v>404.96068526468298</v>
      </c>
      <c r="AA9" s="113">
        <v>-0.51218016611225492</v>
      </c>
      <c r="AC9" s="74" t="s">
        <v>2</v>
      </c>
      <c r="AD9" s="111">
        <v>-506.20308999999997</v>
      </c>
      <c r="AE9" s="111">
        <v>-440.06148000000002</v>
      </c>
      <c r="AF9" s="112">
        <v>-66.141609999999957</v>
      </c>
      <c r="AG9" s="113">
        <v>0.15030083978265929</v>
      </c>
      <c r="AH9" s="119">
        <v>-649.52213204437521</v>
      </c>
      <c r="AI9" s="112">
        <v>143.31904204437524</v>
      </c>
      <c r="AJ9" s="113">
        <v>-0.22065305395102952</v>
      </c>
      <c r="AL9" s="74" t="s">
        <v>2</v>
      </c>
      <c r="AM9" s="111">
        <v>-624.27233999999999</v>
      </c>
      <c r="AN9" s="111">
        <v>-669.88811999999984</v>
      </c>
      <c r="AO9" s="112">
        <v>45.615779999999859</v>
      </c>
      <c r="AP9" s="113">
        <v>-6.8094624517299751E-2</v>
      </c>
      <c r="AQ9" s="119">
        <v>-562.17092964296955</v>
      </c>
      <c r="AR9" s="112">
        <v>-62.101410357030431</v>
      </c>
      <c r="AS9" s="113">
        <v>0.11046713211668657</v>
      </c>
      <c r="AU9" s="74" t="s">
        <v>2</v>
      </c>
      <c r="AV9" s="111">
        <v>-743.55859000000021</v>
      </c>
      <c r="AW9" s="111">
        <v>-248.36745000000002</v>
      </c>
      <c r="AX9" s="112">
        <v>-495.19114000000019</v>
      </c>
      <c r="AY9" s="113">
        <v>1.9937843706975298</v>
      </c>
      <c r="AZ9" s="119">
        <v>-738.47207030119614</v>
      </c>
      <c r="BA9" s="112">
        <v>-5.086519698804068</v>
      </c>
      <c r="BB9" s="113">
        <v>6.8878971911956466E-3</v>
      </c>
      <c r="BD9" s="74" t="s">
        <v>2</v>
      </c>
      <c r="BE9" s="111">
        <v>-525.31502999999987</v>
      </c>
      <c r="BF9" s="111">
        <v>-330.56434000000002</v>
      </c>
      <c r="BG9" s="112">
        <v>-194.75068999999985</v>
      </c>
      <c r="BH9" s="113">
        <v>0.58914609482680391</v>
      </c>
      <c r="BI9" s="119">
        <v>-462.9567900201061</v>
      </c>
      <c r="BJ9" s="112">
        <v>-62.358239979893767</v>
      </c>
      <c r="BK9" s="113">
        <v>0.13469559432789735</v>
      </c>
      <c r="BM9" s="74" t="s">
        <v>2</v>
      </c>
      <c r="BN9" s="111">
        <v>-272.12022999999999</v>
      </c>
      <c r="BO9" s="111">
        <v>-99.204800000000034</v>
      </c>
      <c r="BP9" s="112">
        <v>-172.91542999999996</v>
      </c>
      <c r="BQ9" s="113">
        <v>1.7430147533183868</v>
      </c>
      <c r="BR9" s="119">
        <v>-266.53106105791107</v>
      </c>
      <c r="BS9" s="112">
        <v>-5.5891689420889179</v>
      </c>
      <c r="BT9" s="113">
        <v>2.0970047242915957E-2</v>
      </c>
      <c r="BV9" s="74" t="s">
        <v>2</v>
      </c>
      <c r="BW9" s="111">
        <f>(GETPIVOTDATA("sep-26 ",TABLA!$B$3,"Nivel 4","2.- Variación de existencias")+GETPIVOTDATA("sep-26 ",TABLA!$B$3,"Nivel 4","4.- Aprovisionamientos"))/1000</f>
        <v>-202.31205</v>
      </c>
      <c r="BX9" s="111">
        <f>VLOOKUP(BV9,'P&amp;L Mensualitzada 2025'!$A$5:$N$25,$BW$3+1,0)</f>
        <v>-265.37090999999998</v>
      </c>
      <c r="BY9" s="112">
        <f>BW9-BX9</f>
        <v>63.058859999999981</v>
      </c>
      <c r="BZ9" s="113">
        <f>+IF(IFERROR(BW9/BX9-1,"-")&lt;300%,IFERROR(BW9/BX9-1,"-"),"n.a.")</f>
        <v>-0.23762536745267215</v>
      </c>
      <c r="CA9" s="119">
        <f>VLOOKUP(BV9,'Budget26 sin EI'!$B:$O,$BW$3+1,0)</f>
        <v>-352.55893085151547</v>
      </c>
      <c r="CB9" s="112">
        <f>BW9-CA9</f>
        <v>150.24688085151547</v>
      </c>
      <c r="CC9" s="113">
        <f t="shared" ref="CC9:CC27" si="0">+IF(IFERROR(BW9/CA9-1,"-")&lt;300%,IFERROR(BW9/CA9-1,"-"),"n.a.")</f>
        <v>-0.4261610406198838</v>
      </c>
      <c r="CD9" s="84"/>
      <c r="CE9" s="74" t="s">
        <v>2</v>
      </c>
      <c r="CF9" s="111">
        <f>(GETPIVOTDATA("oct-26 ",TABLA!$B$3,"Nivel 4","2.- Variación de existencias")+GETPIVOTDATA("oct-26 ",TABLA!$B$3,"Nivel 4","4.- Aprovisionamientos"))/1000</f>
        <v>-302.10136</v>
      </c>
      <c r="CG9" s="111">
        <f>VLOOKUP(CE9,'P&amp;L Mensualitzada 2025'!$A$5:$N$25,$CF$3+1,0)</f>
        <v>-361.07370999999995</v>
      </c>
      <c r="CH9" s="112">
        <f>CF9-CG9</f>
        <v>58.972349999999949</v>
      </c>
      <c r="CI9" s="113">
        <f>+IF(IFERROR(CF9/CG9-1,"-")&lt;300%,IFERROR(CF9/CG9-1,"-"),"n.a.")</f>
        <v>-0.16332496209707414</v>
      </c>
      <c r="CJ9" s="119">
        <f>VLOOKUP(CE9,'Budget26 sin EI'!$B:$O,$CF$3+1,0)</f>
        <v>-274.25543998595526</v>
      </c>
      <c r="CK9" s="112">
        <f>CF9-CJ9</f>
        <v>-27.845920014044736</v>
      </c>
      <c r="CL9" s="113">
        <f t="shared" ref="CL9:CL10" si="1">+IF(IFERROR(CF9/CJ9-1,"-")&lt;300%,IFERROR(CF9/CJ9-1,"-"),"n.a.")</f>
        <v>0.10153279007144111</v>
      </c>
      <c r="CN9" s="74" t="s">
        <v>2</v>
      </c>
      <c r="CO9" s="111">
        <f>(GETPIVOTDATA("nov-26 ",TABLA!$B$3,"Nivel 4","2.- Variación de existencias")+GETPIVOTDATA("nov-26 ",TABLA!$B$3,"Nivel 4","4.- Aprovisionamientos"))/1000</f>
        <v>-404.42328000000003</v>
      </c>
      <c r="CP9" s="111">
        <f>VLOOKUP(CN9,'P&amp;L Mensualitzada 2025'!$A$5:$N$25,$CO$3+1,0)</f>
        <v>-275.74654000000027</v>
      </c>
      <c r="CQ9" s="112">
        <f>CO9-CP9</f>
        <v>-128.67673999999977</v>
      </c>
      <c r="CR9" s="113">
        <f>+IF(IFERROR(CO9/CP9-1,"-")&lt;300%,IFERROR(CO9/CP9-1,"-"),"n.a.")</f>
        <v>0.46664861143860459</v>
      </c>
      <c r="CS9" s="119">
        <f>VLOOKUP(CN9,'Budget26 sin EI'!$B:$O,$CO$3+1,0)</f>
        <v>-353.82088736060172</v>
      </c>
      <c r="CT9" s="112">
        <f>CO9-CS9</f>
        <v>-50.602392639398317</v>
      </c>
      <c r="CU9" s="113">
        <f t="shared" ref="CU9:CU10" si="2">+IF(IFERROR(CO9/CS9-1,"-")&lt;300%,IFERROR(CO9/CS9-1,"-"),"n.a.")</f>
        <v>0.14301697397481838</v>
      </c>
      <c r="CW9" s="74" t="s">
        <v>2</v>
      </c>
      <c r="CX9" s="111">
        <f>(GETPIVOTDATA("dic-26 ",TABLA!$B$3,"Nivel 4","2.- Variación de existencias")+GETPIVOTDATA("dic-26 ",TABLA!$B$3,"Nivel 4","4.- Aprovisionamientos"))/1000</f>
        <v>-449.14532999999994</v>
      </c>
      <c r="CY9" s="111">
        <f>VLOOKUP(CW9,'P&amp;L Mensualitzada 2025'!$A$5:$N$25,$CX$3+1,0)</f>
        <v>-116.42869999999995</v>
      </c>
      <c r="CZ9" s="112">
        <f>CX9-CY9</f>
        <v>-332.71663000000001</v>
      </c>
      <c r="DA9" s="113">
        <f>+IF(IFERROR(CX9/CY9-1,"-")&lt;300%,IFERROR(CX9/CY9-1,"-"),"n.a.")</f>
        <v>2.8576856908992383</v>
      </c>
      <c r="DB9" s="119">
        <f>VLOOKUP(CW9,'Budget26 sin EI'!$B:$O,$CX$3+1,0)</f>
        <v>-226.64682322769076</v>
      </c>
      <c r="DC9" s="112">
        <f>CX9-DB9</f>
        <v>-222.49850677230918</v>
      </c>
      <c r="DD9" s="113">
        <f t="shared" ref="DD9:DD10" si="3">+IF(IFERROR(CX9/DB9-1,"-")&lt;300%,IFERROR(CX9/DB9-1,"-"),"n.a.")</f>
        <v>0.981697001544936</v>
      </c>
      <c r="DF9" s="74" t="s">
        <v>2</v>
      </c>
      <c r="DG9" s="111">
        <f>(GETPIVOTDATA("Total 2026 ",TABLA!$B$3,"Nivel 4","2.- Variación de existencias")+GETPIVOTDATA("Total 2026 ",TABLA!$B$3,"Nivel 4","4.- Aprovisionamientos"))/1000</f>
        <v>-5233.5328499999996</v>
      </c>
      <c r="DH9" s="111">
        <f>VLOOKUP(DF9,'P&amp;L Mensualitzada 2025'!$A$5:$N$25,$CX$3+2,0)</f>
        <v>-4286.3407700000007</v>
      </c>
      <c r="DI9" s="112">
        <f>DG9-DH9</f>
        <v>-947.1920799999989</v>
      </c>
      <c r="DJ9" s="113">
        <f>+IF(IFERROR(DG9/DH9-1,"-")&lt;300%,IFERROR(DG9/DH9-1,"-"),"n.a.")</f>
        <v>0.22097918267007</v>
      </c>
      <c r="DK9" s="119">
        <f>VLOOKUP(DF9,'Budget26 sin EI'!$B:$O,$CX$3+2,0)</f>
        <v>-5473.9999956159636</v>
      </c>
      <c r="DL9" s="112">
        <f>DG9-DK9</f>
        <v>240.467145615964</v>
      </c>
      <c r="DM9" s="113">
        <f t="shared" ref="DM9:DM10" si="4">+IF(IFERROR(DG9/DK9-1,"-")&lt;300%,IFERROR(DG9/DK9-1,"-"),"n.a.")</f>
        <v>-4.3928963428671919E-2</v>
      </c>
    </row>
    <row r="10" spans="2:117" ht="14.5" customHeight="1" x14ac:dyDescent="0.35">
      <c r="B10" s="85" t="s">
        <v>3</v>
      </c>
      <c r="C10" s="114">
        <v>481.15158000000002</v>
      </c>
      <c r="D10" s="25">
        <v>104.19249000000013</v>
      </c>
      <c r="E10" s="115">
        <v>376.95908999999989</v>
      </c>
      <c r="F10" s="171">
        <v>3.6179103695477419</v>
      </c>
      <c r="G10" s="115">
        <v>528.99072209467136</v>
      </c>
      <c r="H10" s="115">
        <v>-47.839142094671331</v>
      </c>
      <c r="I10" s="116">
        <v>-9.0434746955939518E-2</v>
      </c>
      <c r="K10" s="85" t="s">
        <v>3</v>
      </c>
      <c r="L10" s="114">
        <v>1114.1909900000001</v>
      </c>
      <c r="M10" s="25">
        <v>610.92613000000006</v>
      </c>
      <c r="N10" s="115">
        <v>503.26486</v>
      </c>
      <c r="O10" s="171">
        <v>0.82377366965790111</v>
      </c>
      <c r="P10" s="115">
        <v>993.54657314894121</v>
      </c>
      <c r="Q10" s="115">
        <v>120.64441685105885</v>
      </c>
      <c r="R10" s="116">
        <v>0.12142804384971011</v>
      </c>
      <c r="T10" s="85" t="s">
        <v>3</v>
      </c>
      <c r="U10" s="114">
        <v>1148.0894799999999</v>
      </c>
      <c r="V10" s="25">
        <v>1285.12192</v>
      </c>
      <c r="W10" s="115">
        <v>-137.03244000000018</v>
      </c>
      <c r="X10" s="116">
        <v>-0.10662991414853473</v>
      </c>
      <c r="Y10" s="115">
        <v>1511.5566938162249</v>
      </c>
      <c r="Z10" s="115">
        <v>-363.46721381622501</v>
      </c>
      <c r="AA10" s="116">
        <v>-0.24045886952382833</v>
      </c>
      <c r="AC10" s="85" t="s">
        <v>3</v>
      </c>
      <c r="AD10" s="114">
        <v>955.94318999999996</v>
      </c>
      <c r="AE10" s="25">
        <v>1094.2894099999999</v>
      </c>
      <c r="AF10" s="115">
        <v>-138.3462199999999</v>
      </c>
      <c r="AG10" s="116">
        <v>-0.12642562263304724</v>
      </c>
      <c r="AH10" s="115">
        <v>1241.7331880693162</v>
      </c>
      <c r="AI10" s="115">
        <v>-285.7899980693162</v>
      </c>
      <c r="AJ10" s="116">
        <v>-0.23015411105639449</v>
      </c>
      <c r="AL10" s="85" t="s">
        <v>3</v>
      </c>
      <c r="AM10" s="114">
        <v>1301.6575700000001</v>
      </c>
      <c r="AN10" s="25">
        <v>814.02707000000032</v>
      </c>
      <c r="AO10" s="115">
        <v>487.63049999999976</v>
      </c>
      <c r="AP10" s="116">
        <v>0.59903474708770998</v>
      </c>
      <c r="AQ10" s="115">
        <v>1074.7382826021453</v>
      </c>
      <c r="AR10" s="115">
        <v>226.91928739785476</v>
      </c>
      <c r="AS10" s="116">
        <v>0.21113911272281105</v>
      </c>
      <c r="AU10" s="85" t="s">
        <v>3</v>
      </c>
      <c r="AV10" s="114">
        <v>1218.7032399999998</v>
      </c>
      <c r="AW10" s="25">
        <v>1512.5745500000003</v>
      </c>
      <c r="AX10" s="115">
        <v>-293.87131000000045</v>
      </c>
      <c r="AY10" s="116">
        <v>-0.19428550480371387</v>
      </c>
      <c r="AZ10" s="115">
        <v>1411.7844995813075</v>
      </c>
      <c r="BA10" s="115">
        <v>-193.08125958130768</v>
      </c>
      <c r="BB10" s="116">
        <v>-0.13676397469909163</v>
      </c>
      <c r="BD10" s="85" t="s">
        <v>3</v>
      </c>
      <c r="BE10" s="114">
        <v>765.33920000000001</v>
      </c>
      <c r="BF10" s="25">
        <v>984.00014000000021</v>
      </c>
      <c r="BG10" s="115">
        <v>-218.66094000000021</v>
      </c>
      <c r="BH10" s="116">
        <v>-0.22221637082287427</v>
      </c>
      <c r="BI10" s="115">
        <v>885.06423791996076</v>
      </c>
      <c r="BJ10" s="115">
        <v>-119.72503791996076</v>
      </c>
      <c r="BK10" s="116">
        <v>-0.1352727099236698</v>
      </c>
      <c r="BM10" s="85" t="s">
        <v>3</v>
      </c>
      <c r="BN10" s="114">
        <v>515.98492000000022</v>
      </c>
      <c r="BO10" s="25">
        <v>565.29214000000002</v>
      </c>
      <c r="BP10" s="115">
        <v>-49.307219999999802</v>
      </c>
      <c r="BQ10" s="116">
        <v>-8.7224315554785159E-2</v>
      </c>
      <c r="BR10" s="115">
        <v>509.54455258550934</v>
      </c>
      <c r="BS10" s="115">
        <v>6.4403674144908791</v>
      </c>
      <c r="BT10" s="116">
        <v>1.2639458869320608E-2</v>
      </c>
      <c r="BV10" s="85" t="s">
        <v>3</v>
      </c>
      <c r="BW10" s="114">
        <f>BW8+BW9</f>
        <v>422.41282999999987</v>
      </c>
      <c r="BX10" s="25">
        <f>SUM(BX8:BX9)</f>
        <v>576.74488000000008</v>
      </c>
      <c r="BY10" s="115">
        <f t="shared" ref="BY10" si="5">BW10-BX10</f>
        <v>-154.33205000000021</v>
      </c>
      <c r="BZ10" s="116">
        <f t="shared" ref="BZ10:BZ27" si="6">+IF(IFERROR(BW10/BX10-1,"-")&lt;300%,IFERROR(BW10/BX10-1,"-"),"n.a.")</f>
        <v>-0.26759153891405185</v>
      </c>
      <c r="CA10" s="115">
        <f>SUM(CA8:CA9)</f>
        <v>674.0095580894731</v>
      </c>
      <c r="CB10" s="115">
        <f t="shared" ref="CB10" si="7">BW10-CA10</f>
        <v>-251.59672808947323</v>
      </c>
      <c r="CC10" s="116">
        <f t="shared" si="0"/>
        <v>-0.37328362049143882</v>
      </c>
      <c r="CD10" s="106"/>
      <c r="CE10" s="85" t="s">
        <v>3</v>
      </c>
      <c r="CF10" s="114">
        <f>CF8+CF9</f>
        <v>609.95365000000004</v>
      </c>
      <c r="CG10" s="25">
        <f>SUM(CG8:CG9)</f>
        <v>338.50974000000184</v>
      </c>
      <c r="CH10" s="115">
        <f t="shared" ref="CH10" si="8">CF10-CG10</f>
        <v>271.4439099999982</v>
      </c>
      <c r="CI10" s="116">
        <f t="shared" ref="CI10" si="9">+IF(IFERROR(CF10/CG10-1,"-")&lt;300%,IFERROR(CF10/CG10-1,"-"),"n.a.")</f>
        <v>0.80187917192573765</v>
      </c>
      <c r="CJ10" s="115">
        <f>SUM(CJ8:CJ9)</f>
        <v>524.31174403129774</v>
      </c>
      <c r="CK10" s="115">
        <f t="shared" ref="CK10" si="10">CF10-CJ10</f>
        <v>85.641905968702304</v>
      </c>
      <c r="CL10" s="116">
        <f t="shared" si="1"/>
        <v>0.16334157482383249</v>
      </c>
      <c r="CN10" s="85" t="s">
        <v>3</v>
      </c>
      <c r="CO10" s="114">
        <f>CO8+CO9</f>
        <v>820.89850000000001</v>
      </c>
      <c r="CP10" s="25">
        <f>SUM(CP8:CP9)</f>
        <v>473.95262000000031</v>
      </c>
      <c r="CQ10" s="115">
        <f t="shared" ref="CQ10" si="11">CO10-CP10</f>
        <v>346.9458799999997</v>
      </c>
      <c r="CR10" s="116">
        <f t="shared" ref="CR10" si="12">+IF(IFERROR(CO10/CP10-1,"-")&lt;300%,IFERROR(CO10/CP10-1,"-"),"n.a.")</f>
        <v>0.73202650509664768</v>
      </c>
      <c r="CS10" s="115">
        <f>SUM(CS8:CS9)</f>
        <v>676.42212142168842</v>
      </c>
      <c r="CT10" s="115">
        <f t="shared" ref="CT10" si="13">CO10-CS10</f>
        <v>144.4763785783116</v>
      </c>
      <c r="CU10" s="116">
        <f t="shared" si="2"/>
        <v>0.21358907995890863</v>
      </c>
      <c r="CW10" s="85" t="s">
        <v>3</v>
      </c>
      <c r="CX10" s="114">
        <f>CX8+CX9</f>
        <v>693.26205000000016</v>
      </c>
      <c r="CY10" s="25">
        <f>SUM(CY8:CY9)</f>
        <v>132.07731000000007</v>
      </c>
      <c r="CZ10" s="115">
        <f t="shared" ref="CZ10" si="14">CX10-CY10</f>
        <v>561.18474000000015</v>
      </c>
      <c r="DA10" s="116" t="str">
        <f t="shared" ref="DA10" si="15">+IF(IFERROR(CX10/CY10-1,"-")&lt;300%,IFERROR(CX10/CY10-1,"-"),"n.a.")</f>
        <v>n.a.</v>
      </c>
      <c r="DB10" s="115">
        <f>SUM(DB8:DB9)</f>
        <v>433.29782952995163</v>
      </c>
      <c r="DC10" s="115">
        <f t="shared" ref="DC10" si="16">CX10-DB10</f>
        <v>259.96422047004853</v>
      </c>
      <c r="DD10" s="116">
        <f t="shared" si="3"/>
        <v>0.59996658822884452</v>
      </c>
      <c r="DF10" s="85" t="s">
        <v>3</v>
      </c>
      <c r="DG10" s="114">
        <f>DG8+DG9</f>
        <v>9946.4671500000022</v>
      </c>
      <c r="DH10" s="25">
        <f>SUM(DH8:DH9)</f>
        <v>8491.7084000000032</v>
      </c>
      <c r="DI10" s="115">
        <f t="shared" ref="DI10" si="17">DG10-DH10</f>
        <v>1454.7587499999991</v>
      </c>
      <c r="DJ10" s="116">
        <f t="shared" ref="DJ10" si="18">+IF(IFERROR(DG10/DH10-1,"-")&lt;300%,IFERROR(DG10/DH10-1,"-"),"n.a.")</f>
        <v>0.17131520319279914</v>
      </c>
      <c r="DK10" s="115">
        <f>SUM(DK8:DK9)</f>
        <v>10465.000002890491</v>
      </c>
      <c r="DL10" s="115">
        <f t="shared" ref="DL10" si="19">DG10-DK10</f>
        <v>-518.53285289048836</v>
      </c>
      <c r="DM10" s="116">
        <f t="shared" si="4"/>
        <v>-4.9549245365242855E-2</v>
      </c>
    </row>
    <row r="11" spans="2:117" ht="14.5" customHeight="1" x14ac:dyDescent="0.35">
      <c r="B11" s="86" t="s">
        <v>4</v>
      </c>
      <c r="C11" s="117">
        <v>0.48906607267551849</v>
      </c>
      <c r="D11" s="117">
        <v>0.16743474724545993</v>
      </c>
      <c r="E11" s="87"/>
      <c r="F11" s="172"/>
      <c r="G11" s="117">
        <v>0.65656560214972481</v>
      </c>
      <c r="H11" s="88"/>
      <c r="I11" s="89"/>
      <c r="K11" s="86" t="s">
        <v>4</v>
      </c>
      <c r="L11" s="117">
        <v>0.75773235842907394</v>
      </c>
      <c r="M11" s="117">
        <v>0.57502118070376973</v>
      </c>
      <c r="N11" s="87"/>
      <c r="O11" s="172"/>
      <c r="P11" s="117">
        <v>0.65656560214972459</v>
      </c>
      <c r="Q11" s="88"/>
      <c r="R11" s="89"/>
      <c r="T11" s="86" t="s">
        <v>4</v>
      </c>
      <c r="U11" s="117">
        <v>0.74853136455023506</v>
      </c>
      <c r="V11" s="117">
        <v>0.71588672043203061</v>
      </c>
      <c r="W11" s="87"/>
      <c r="X11" s="128"/>
      <c r="Y11" s="117">
        <v>0.65656560214972459</v>
      </c>
      <c r="Z11" s="88"/>
      <c r="AA11" s="128"/>
      <c r="AC11" s="86" t="s">
        <v>4</v>
      </c>
      <c r="AD11" s="117">
        <v>0.6537944958557772</v>
      </c>
      <c r="AE11" s="117">
        <v>0.71319371411841781</v>
      </c>
      <c r="AF11" s="87"/>
      <c r="AG11" s="128"/>
      <c r="AH11" s="117">
        <v>0.6565656021497247</v>
      </c>
      <c r="AI11" s="88"/>
      <c r="AJ11" s="128"/>
      <c r="AL11" s="86" t="s">
        <v>4</v>
      </c>
      <c r="AM11" s="117">
        <v>0.67585926322728951</v>
      </c>
      <c r="AN11" s="117">
        <v>0.54856711184417506</v>
      </c>
      <c r="AO11" s="87"/>
      <c r="AP11" s="128"/>
      <c r="AQ11" s="117">
        <v>0.65656560214972459</v>
      </c>
      <c r="AR11" s="88"/>
      <c r="AS11" s="128"/>
      <c r="AU11" s="86" t="s">
        <v>4</v>
      </c>
      <c r="AV11" s="117">
        <v>0.62107065497981984</v>
      </c>
      <c r="AW11" s="117">
        <v>0.85895762040998513</v>
      </c>
      <c r="AX11" s="87"/>
      <c r="AY11" s="128"/>
      <c r="AZ11" s="117">
        <v>0.65656560214972459</v>
      </c>
      <c r="BA11" s="88"/>
      <c r="BB11" s="128"/>
      <c r="BD11" s="86" t="s">
        <v>4</v>
      </c>
      <c r="BE11" s="117">
        <v>0.59298546598340296</v>
      </c>
      <c r="BF11" s="117">
        <v>0.74853699074540647</v>
      </c>
      <c r="BG11" s="87"/>
      <c r="BH11" s="128"/>
      <c r="BI11" s="117">
        <v>0.65656560214972459</v>
      </c>
      <c r="BJ11" s="88"/>
      <c r="BK11" s="128"/>
      <c r="BM11" s="86" t="s">
        <v>4</v>
      </c>
      <c r="BN11" s="117">
        <v>0.65471583328696692</v>
      </c>
      <c r="BO11" s="117">
        <v>0.85070691220940753</v>
      </c>
      <c r="BP11" s="87"/>
      <c r="BQ11" s="128"/>
      <c r="BR11" s="117">
        <v>0.65656560214972459</v>
      </c>
      <c r="BS11" s="88"/>
      <c r="BT11" s="128"/>
      <c r="BV11" s="86" t="s">
        <v>4</v>
      </c>
      <c r="BW11" s="117">
        <f>BW10/BW8</f>
        <v>0.67615816741603119</v>
      </c>
      <c r="BX11" s="117">
        <f>BX10/BX8</f>
        <v>0.68487598362215729</v>
      </c>
      <c r="BY11" s="87"/>
      <c r="BZ11" s="128"/>
      <c r="CA11" s="117">
        <f>CA10/CA8</f>
        <v>0.65656560214972459</v>
      </c>
      <c r="CB11" s="88"/>
      <c r="CC11" s="128"/>
      <c r="CD11" s="89"/>
      <c r="CE11" s="86" t="s">
        <v>4</v>
      </c>
      <c r="CF11" s="117">
        <f>CF10/CF8</f>
        <v>0.66876848798846023</v>
      </c>
      <c r="CG11" s="117">
        <f>CG10/CG8</f>
        <v>0.48387328202232482</v>
      </c>
      <c r="CH11" s="87"/>
      <c r="CI11" s="128"/>
      <c r="CJ11" s="117">
        <f>CJ10/CJ8</f>
        <v>0.6565656021497247</v>
      </c>
      <c r="CK11" s="88"/>
      <c r="CL11" s="128"/>
      <c r="CN11" s="86" t="s">
        <v>4</v>
      </c>
      <c r="CO11" s="117">
        <f>CO10/CO8</f>
        <v>0.66994524491354424</v>
      </c>
      <c r="CP11" s="117">
        <f>CP10/CP8</f>
        <v>0.63219041088428052</v>
      </c>
      <c r="CQ11" s="87"/>
      <c r="CR11" s="128"/>
      <c r="CS11" s="117">
        <f>CS10/CS8</f>
        <v>0.65656560214972459</v>
      </c>
      <c r="CT11" s="88"/>
      <c r="CU11" s="128"/>
      <c r="CW11" s="86" t="s">
        <v>4</v>
      </c>
      <c r="CX11" s="117">
        <f>CX10/CX8</f>
        <v>0.60684311230552457</v>
      </c>
      <c r="CY11" s="117">
        <f>CY10/CY8</f>
        <v>0.53148537534363882</v>
      </c>
      <c r="CZ11" s="87"/>
      <c r="DA11" s="128"/>
      <c r="DB11" s="117">
        <f>DB10/DB8</f>
        <v>0.65656692227048863</v>
      </c>
      <c r="DC11" s="88"/>
      <c r="DD11" s="128"/>
      <c r="DF11" s="86" t="s">
        <v>4</v>
      </c>
      <c r="DG11" s="117">
        <f>DG10/DG8</f>
        <v>0.65523499011857711</v>
      </c>
      <c r="DH11" s="117">
        <f>DH10/DH8</f>
        <v>0.66455436874798002</v>
      </c>
      <c r="DI11" s="87"/>
      <c r="DJ11" s="128"/>
      <c r="DK11" s="117">
        <f>DK10/DK8</f>
        <v>0.65656565680852641</v>
      </c>
      <c r="DL11" s="88"/>
      <c r="DM11" s="128"/>
    </row>
    <row r="12" spans="2:117" x14ac:dyDescent="0.35">
      <c r="B12" s="86"/>
      <c r="C12" s="90"/>
      <c r="D12" s="91"/>
      <c r="E12" s="92"/>
      <c r="F12" s="173"/>
      <c r="G12" s="93"/>
      <c r="H12" s="92"/>
      <c r="I12" s="94"/>
      <c r="K12" s="86"/>
      <c r="L12" s="90"/>
      <c r="M12" s="91"/>
      <c r="N12" s="92"/>
      <c r="O12" s="173"/>
      <c r="P12" s="93"/>
      <c r="Q12" s="92"/>
      <c r="R12" s="94"/>
      <c r="T12" s="86"/>
      <c r="U12" s="90"/>
      <c r="V12" s="91"/>
      <c r="W12" s="92"/>
      <c r="X12" s="129"/>
      <c r="Y12" s="93"/>
      <c r="Z12" s="92"/>
      <c r="AA12" s="129"/>
      <c r="AC12" s="86"/>
      <c r="AD12" s="90"/>
      <c r="AE12" s="91"/>
      <c r="AF12" s="92"/>
      <c r="AG12" s="129"/>
      <c r="AH12" s="93"/>
      <c r="AI12" s="92"/>
      <c r="AJ12" s="129"/>
      <c r="AL12" s="86"/>
      <c r="AM12" s="90"/>
      <c r="AN12" s="91"/>
      <c r="AO12" s="92"/>
      <c r="AP12" s="129"/>
      <c r="AQ12" s="93"/>
      <c r="AR12" s="92"/>
      <c r="AS12" s="129"/>
      <c r="AU12" s="86"/>
      <c r="AV12" s="90"/>
      <c r="AW12" s="91"/>
      <c r="AX12" s="92"/>
      <c r="AY12" s="129"/>
      <c r="AZ12" s="93"/>
      <c r="BA12" s="92"/>
      <c r="BB12" s="129"/>
      <c r="BD12" s="86"/>
      <c r="BE12" s="90"/>
      <c r="BF12" s="91"/>
      <c r="BG12" s="92"/>
      <c r="BH12" s="129"/>
      <c r="BI12" s="93"/>
      <c r="BJ12" s="92"/>
      <c r="BK12" s="129"/>
      <c r="BM12" s="86"/>
      <c r="BN12" s="90"/>
      <c r="BO12" s="91"/>
      <c r="BP12" s="92"/>
      <c r="BQ12" s="129"/>
      <c r="BR12" s="93"/>
      <c r="BS12" s="92"/>
      <c r="BT12" s="129"/>
      <c r="BV12" s="86"/>
      <c r="BW12" s="90"/>
      <c r="BX12" s="91"/>
      <c r="BY12" s="92"/>
      <c r="BZ12" s="129"/>
      <c r="CA12" s="93"/>
      <c r="CB12" s="92"/>
      <c r="CC12" s="129"/>
      <c r="CD12" s="94"/>
      <c r="CE12" s="86"/>
      <c r="CF12" s="90"/>
      <c r="CG12" s="91"/>
      <c r="CH12" s="92"/>
      <c r="CI12" s="129"/>
      <c r="CJ12" s="93"/>
      <c r="CK12" s="92"/>
      <c r="CL12" s="129"/>
      <c r="CN12" s="86"/>
      <c r="CO12" s="90"/>
      <c r="CP12" s="91"/>
      <c r="CQ12" s="92"/>
      <c r="CR12" s="129"/>
      <c r="CS12" s="93"/>
      <c r="CT12" s="92"/>
      <c r="CU12" s="129"/>
      <c r="CW12" s="86"/>
      <c r="CX12" s="90"/>
      <c r="CY12" s="91"/>
      <c r="CZ12" s="92"/>
      <c r="DA12" s="129"/>
      <c r="DB12" s="93"/>
      <c r="DC12" s="92"/>
      <c r="DD12" s="129"/>
      <c r="DF12" s="86"/>
      <c r="DG12" s="90"/>
      <c r="DH12" s="91"/>
      <c r="DI12" s="92"/>
      <c r="DJ12" s="129"/>
      <c r="DK12" s="93"/>
      <c r="DL12" s="92"/>
      <c r="DM12" s="129"/>
    </row>
    <row r="13" spans="2:117" ht="14.5" customHeight="1" x14ac:dyDescent="0.35">
      <c r="B13" s="95" t="s">
        <v>5</v>
      </c>
      <c r="C13" s="111">
        <v>-111.53201</v>
      </c>
      <c r="D13" s="3">
        <v>17.397715000000019</v>
      </c>
      <c r="E13" s="120">
        <v>-128.92972500000002</v>
      </c>
      <c r="F13" s="121">
        <v>-7.4107275007091378</v>
      </c>
      <c r="G13" s="122">
        <v>-138.43100349644294</v>
      </c>
      <c r="H13" s="120">
        <v>26.898993496442941</v>
      </c>
      <c r="I13" s="174">
        <v>-0.19431336056979551</v>
      </c>
      <c r="K13" s="95" t="s">
        <v>5</v>
      </c>
      <c r="L13" s="3">
        <v>-142.92720000000003</v>
      </c>
      <c r="M13" s="3">
        <v>-169.90227999999996</v>
      </c>
      <c r="N13" s="120">
        <v>26.975079999999934</v>
      </c>
      <c r="O13" s="121">
        <v>-0.15876820487635562</v>
      </c>
      <c r="P13" s="122">
        <v>-152.80201349644292</v>
      </c>
      <c r="Q13" s="120">
        <v>9.8748134964428971</v>
      </c>
      <c r="R13" s="174">
        <v>-6.4624891194072998E-2</v>
      </c>
      <c r="T13" s="95" t="s">
        <v>5</v>
      </c>
      <c r="U13" s="3">
        <v>-146.23331000000002</v>
      </c>
      <c r="V13" s="3">
        <v>-215.24044999999998</v>
      </c>
      <c r="W13" s="120">
        <v>69.007139999999964</v>
      </c>
      <c r="X13" s="121">
        <v>-0.32060488630273709</v>
      </c>
      <c r="Y13" s="122">
        <v>-268.64421016310962</v>
      </c>
      <c r="Z13" s="120">
        <v>122.4109001631096</v>
      </c>
      <c r="AA13" s="121">
        <v>-0.45566178436820504</v>
      </c>
      <c r="AC13" s="95" t="s">
        <v>5</v>
      </c>
      <c r="AD13" s="3">
        <v>-130.04767000000001</v>
      </c>
      <c r="AE13" s="3">
        <v>-145.05984999999998</v>
      </c>
      <c r="AF13" s="120">
        <v>15.012179999999972</v>
      </c>
      <c r="AG13" s="121">
        <v>-0.10348955965417017</v>
      </c>
      <c r="AH13" s="122">
        <v>-157.32982349644294</v>
      </c>
      <c r="AI13" s="120">
        <v>27.28215349644293</v>
      </c>
      <c r="AJ13" s="121">
        <v>-0.17340738640731868</v>
      </c>
      <c r="AL13" s="95" t="s">
        <v>5</v>
      </c>
      <c r="AM13" s="3">
        <v>-134.99251999999998</v>
      </c>
      <c r="AN13" s="3">
        <v>-141.27428000000003</v>
      </c>
      <c r="AO13" s="120">
        <v>6.2817600000000482</v>
      </c>
      <c r="AP13" s="121">
        <v>-4.4464993911135453E-2</v>
      </c>
      <c r="AQ13" s="122">
        <v>-157.32982349644294</v>
      </c>
      <c r="AR13" s="120">
        <v>22.337303496442956</v>
      </c>
      <c r="AS13" s="121">
        <v>-0.14197755390571565</v>
      </c>
      <c r="AU13" s="95" t="s">
        <v>5</v>
      </c>
      <c r="AV13" s="3">
        <v>-145.07228000000001</v>
      </c>
      <c r="AW13" s="3">
        <v>-98.245984999999976</v>
      </c>
      <c r="AX13" s="120">
        <v>-46.82629500000003</v>
      </c>
      <c r="AY13" s="121">
        <v>0.47662298871551889</v>
      </c>
      <c r="AZ13" s="122">
        <v>-290.07649016310961</v>
      </c>
      <c r="BA13" s="120">
        <v>145.0042101631096</v>
      </c>
      <c r="BB13" s="121">
        <v>-0.49988266915934465</v>
      </c>
      <c r="BD13" s="95" t="s">
        <v>5</v>
      </c>
      <c r="BE13" s="3">
        <v>-153.53364999999999</v>
      </c>
      <c r="BF13" s="3">
        <v>-218.74298000000002</v>
      </c>
      <c r="BG13" s="120">
        <v>65.209330000000023</v>
      </c>
      <c r="BH13" s="121">
        <v>-0.29810936104098074</v>
      </c>
      <c r="BI13" s="122">
        <v>-157.32982349644294</v>
      </c>
      <c r="BJ13" s="120">
        <v>3.7961734964429468</v>
      </c>
      <c r="BK13" s="121">
        <v>-2.412875964695127E-2</v>
      </c>
      <c r="BM13" s="95" t="s">
        <v>5</v>
      </c>
      <c r="BN13" s="3">
        <v>-152.63279</v>
      </c>
      <c r="BO13" s="3">
        <v>-131.97476999999995</v>
      </c>
      <c r="BP13" s="120">
        <v>-20.65802000000005</v>
      </c>
      <c r="BQ13" s="121">
        <v>0.15653007010355124</v>
      </c>
      <c r="BR13" s="122">
        <v>-162.96320552489962</v>
      </c>
      <c r="BS13" s="120">
        <v>10.330415524899621</v>
      </c>
      <c r="BT13" s="121">
        <v>-6.3391091821160872E-2</v>
      </c>
      <c r="BV13" s="95" t="s">
        <v>5</v>
      </c>
      <c r="BW13" s="3">
        <f>GETPIVOTDATA("sep-26 ",TABLA!$B$3,"Nivel 4","6.- Gastos de personal")/1000</f>
        <v>-165.80399</v>
      </c>
      <c r="BX13" s="3">
        <f>VLOOKUP(BV13,'P&amp;L Mensualitzada 2025'!$A$5:$N$25,$BW$3+1,0)</f>
        <v>-133.72119999999998</v>
      </c>
      <c r="BY13" s="120">
        <f t="shared" ref="BY13" si="20">BW13-BX13</f>
        <v>-32.082790000000017</v>
      </c>
      <c r="BZ13" s="121">
        <f t="shared" si="6"/>
        <v>0.23992298902492659</v>
      </c>
      <c r="CA13" s="122">
        <f>VLOOKUP(BV13,'Budget26 sin EI'!$B:$O,$BW$3+1,0)</f>
        <v>-174.23000000000002</v>
      </c>
      <c r="CB13" s="120">
        <f t="shared" ref="CB13" si="21">BW13-CA13</f>
        <v>8.4260100000000193</v>
      </c>
      <c r="CC13" s="121">
        <f t="shared" si="0"/>
        <v>-4.8361418814211188E-2</v>
      </c>
      <c r="CD13" s="106"/>
      <c r="CE13" s="95" t="s">
        <v>5</v>
      </c>
      <c r="CF13" s="3">
        <f>GETPIVOTDATA("oct-26 ",TABLA!$B$3,"Nivel 4","6.- Gastos de personal")/1000</f>
        <v>-152.63279</v>
      </c>
      <c r="CG13" s="3">
        <f>VLOOKUP(CE13,'P&amp;L Mensualitzada 2025'!$A$5:$N$25,$CF$3+1,0)</f>
        <v>-300.72410999999994</v>
      </c>
      <c r="CH13" s="120">
        <f t="shared" ref="CH13" si="22">CF13-CG13</f>
        <v>148.09131999999994</v>
      </c>
      <c r="CI13" s="121">
        <f t="shared" ref="CI13" si="23">+IF(IFERROR(CF13/CG13-1,"-")&lt;300%,IFERROR(CF13/CG13-1,"-"),"n.a.")</f>
        <v>-0.49244910891913507</v>
      </c>
      <c r="CJ13" s="122">
        <f>VLOOKUP(CE13,'Budget26 sin EI'!$B:$O,$CF$3+1,0)</f>
        <v>-174.23000000000002</v>
      </c>
      <c r="CK13" s="120">
        <f t="shared" ref="CK13" si="24">CF13-CJ13</f>
        <v>21.597210000000018</v>
      </c>
      <c r="CL13" s="121">
        <f t="shared" ref="CL13" si="25">+IF(IFERROR(CF13/CJ13-1,"-")&lt;300%,IFERROR(CF13/CJ13-1,"-"),"n.a.")</f>
        <v>-0.12395804396487409</v>
      </c>
      <c r="CN13" s="95" t="s">
        <v>5</v>
      </c>
      <c r="CO13" s="3">
        <f>GETPIVOTDATA("nov-26 ",TABLA!$B$3,"Nivel 4","6.- Gastos de personal")/1000</f>
        <v>-152.63279</v>
      </c>
      <c r="CP13" s="3">
        <f>VLOOKUP(CN13,'P&amp;L Mensualitzada 2025'!$A$5:$N$25,$CO$3+1,0)</f>
        <v>-153.08434999999992</v>
      </c>
      <c r="CQ13" s="120">
        <f t="shared" ref="CQ13" si="26">CO13-CP13</f>
        <v>0.45155999999991536</v>
      </c>
      <c r="CR13" s="121">
        <f t="shared" ref="CR13" si="27">+IF(IFERROR(CO13/CP13-1,"-")&lt;300%,IFERROR(CO13/CP13-1,"-"),"n.a.")</f>
        <v>-2.9497463326585427E-3</v>
      </c>
      <c r="CS13" s="122">
        <f>VLOOKUP(CN13,'Budget26 sin EI'!$B:$O,$CO$3+1,0)</f>
        <v>-174.23000000000002</v>
      </c>
      <c r="CT13" s="120">
        <f t="shared" ref="CT13" si="28">CO13-CS13</f>
        <v>21.597210000000018</v>
      </c>
      <c r="CU13" s="121">
        <f t="shared" ref="CU13" si="29">+IF(IFERROR(CO13/CS13-1,"-")&lt;300%,IFERROR(CO13/CS13-1,"-"),"n.a.")</f>
        <v>-0.12395804396487409</v>
      </c>
      <c r="CW13" s="95" t="s">
        <v>5</v>
      </c>
      <c r="CX13" s="3">
        <f>GETPIVOTDATA("dic-26 ",TABLA!$B$3,"Nivel 4","6.- Gastos de personal")/1000</f>
        <v>-431.63279</v>
      </c>
      <c r="CY13" s="3">
        <f>VLOOKUP(CW13,'P&amp;L Mensualitzada 2025'!$A$5:$N$25,$CX$3+1,0)</f>
        <v>-172.01862</v>
      </c>
      <c r="CZ13" s="120">
        <f t="shared" ref="CZ13" si="30">CX13-CY13</f>
        <v>-259.61417</v>
      </c>
      <c r="DA13" s="121">
        <f t="shared" ref="DA13" si="31">+IF(IFERROR(CX13/CY13-1,"-")&lt;300%,IFERROR(CX13/CY13-1,"-"),"n.a.")</f>
        <v>1.5092213273191009</v>
      </c>
      <c r="DB13" s="122">
        <f>VLOOKUP(CW13,'Budget26 sin EI'!$B:$O,$CX$3+1,0)</f>
        <v>-306.97666666666669</v>
      </c>
      <c r="DC13" s="120">
        <f t="shared" ref="DC13" si="32">CX13-DB13</f>
        <v>-124.65612333333331</v>
      </c>
      <c r="DD13" s="121">
        <f t="shared" ref="DD13" si="33">+IF(IFERROR(CX13/DB13-1,"-")&lt;300%,IFERROR(CX13/DB13-1,"-"),"n.a.")</f>
        <v>0.4060768679487039</v>
      </c>
      <c r="DF13" s="95" t="s">
        <v>5</v>
      </c>
      <c r="DG13" s="3">
        <f>GETPIVOTDATA("Total 2026 ",TABLA!$B$3,"Nivel 4","6.- Gastos de personal")/1000</f>
        <v>-2006.5025899999998</v>
      </c>
      <c r="DH13" s="3">
        <f>VLOOKUP(DF13,'P&amp;L Mensualitzada 2025'!$A$5:$N$25,$CX$3+2,0)</f>
        <v>-1862.5911599999997</v>
      </c>
      <c r="DI13" s="120">
        <f t="shared" ref="DI13" si="34">DG13-DH13</f>
        <v>-143.91143000000011</v>
      </c>
      <c r="DJ13" s="121">
        <f t="shared" ref="DJ13" si="35">+IF(IFERROR(DG13/DH13-1,"-")&lt;300%,IFERROR(DG13/DH13-1,"-"),"n.a.")</f>
        <v>7.7264100190403529E-2</v>
      </c>
      <c r="DK13" s="122">
        <f>VLOOKUP(DF13,'Budget26 sin EI'!$B:$O,$CX$3+2,0)</f>
        <v>-2314.5730600000006</v>
      </c>
      <c r="DL13" s="120">
        <f t="shared" ref="DL13" si="36">DG13-DK13</f>
        <v>308.0704700000008</v>
      </c>
      <c r="DM13" s="121">
        <f t="shared" ref="DM13" si="37">+IF(IFERROR(DG13/DK13-1,"-")&lt;300%,IFERROR(DG13/DK13-1,"-"),"n.a.")</f>
        <v>-0.13310034378435254</v>
      </c>
    </row>
    <row r="14" spans="2:117" ht="14.5" customHeight="1" x14ac:dyDescent="0.35">
      <c r="B14" s="96" t="s">
        <v>6</v>
      </c>
      <c r="C14" s="101">
        <v>-0.11336660706446532</v>
      </c>
      <c r="D14" s="101">
        <v>2.7957696506471303E-2</v>
      </c>
      <c r="E14" s="97"/>
      <c r="F14" s="175"/>
      <c r="G14" s="101">
        <v>-0.17181593432666417</v>
      </c>
      <c r="H14" s="97"/>
      <c r="I14" s="84"/>
      <c r="K14" s="96" t="s">
        <v>6</v>
      </c>
      <c r="L14" s="101">
        <v>-9.7201077114852596E-2</v>
      </c>
      <c r="M14" s="101">
        <v>-0.15991689478049079</v>
      </c>
      <c r="N14" s="97"/>
      <c r="O14" s="175"/>
      <c r="P14" s="101">
        <v>-0.1009761884468227</v>
      </c>
      <c r="Q14" s="97"/>
      <c r="R14" s="84"/>
      <c r="T14" s="96" t="s">
        <v>6</v>
      </c>
      <c r="U14" s="101">
        <v>-9.5341191591614929E-2</v>
      </c>
      <c r="V14" s="101">
        <v>-0.11990129298768358</v>
      </c>
      <c r="W14" s="97"/>
      <c r="X14" s="113"/>
      <c r="Y14" s="101">
        <v>-0.11668933645119621</v>
      </c>
      <c r="Z14" s="97"/>
      <c r="AA14" s="113"/>
      <c r="AC14" s="96" t="s">
        <v>6</v>
      </c>
      <c r="AD14" s="101">
        <v>-8.8942995498371077E-2</v>
      </c>
      <c r="AE14" s="101">
        <v>-9.4541509993193273E-2</v>
      </c>
      <c r="AF14" s="97"/>
      <c r="AG14" s="113"/>
      <c r="AH14" s="101">
        <v>-8.3188040146258607E-2</v>
      </c>
      <c r="AI14" s="97"/>
      <c r="AJ14" s="113"/>
      <c r="AL14" s="96" t="s">
        <v>6</v>
      </c>
      <c r="AM14" s="101">
        <v>-7.0092125003656011E-2</v>
      </c>
      <c r="AN14" s="101">
        <v>-9.5203742742198103E-2</v>
      </c>
      <c r="AO14" s="97"/>
      <c r="AP14" s="113"/>
      <c r="AQ14" s="101">
        <v>-9.6113958134951202E-2</v>
      </c>
      <c r="AR14" s="97"/>
      <c r="AS14" s="113"/>
      <c r="AU14" s="96" t="s">
        <v>6</v>
      </c>
      <c r="AV14" s="101">
        <v>-7.3931153214145742E-2</v>
      </c>
      <c r="AW14" s="101">
        <v>-5.5791721135619435E-2</v>
      </c>
      <c r="AX14" s="97"/>
      <c r="AY14" s="113"/>
      <c r="AZ14" s="101">
        <v>-0.13490319910007773</v>
      </c>
      <c r="BA14" s="97"/>
      <c r="BB14" s="113"/>
      <c r="BD14" s="96" t="s">
        <v>6</v>
      </c>
      <c r="BE14" s="101">
        <v>-0.11895800318261848</v>
      </c>
      <c r="BF14" s="101">
        <v>-0.16639958201213528</v>
      </c>
      <c r="BG14" s="97"/>
      <c r="BH14" s="113"/>
      <c r="BI14" s="101">
        <v>-0.11671169828623611</v>
      </c>
      <c r="BJ14" s="97"/>
      <c r="BK14" s="113"/>
      <c r="BM14" s="96" t="s">
        <v>6</v>
      </c>
      <c r="BN14" s="101">
        <v>-0.19367059078347598</v>
      </c>
      <c r="BO14" s="101">
        <v>-0.19860854438246162</v>
      </c>
      <c r="BP14" s="97"/>
      <c r="BQ14" s="113"/>
      <c r="BR14" s="101">
        <v>-0.20998366996720955</v>
      </c>
      <c r="BS14" s="97"/>
      <c r="BT14" s="113"/>
      <c r="BV14" s="96" t="s">
        <v>6</v>
      </c>
      <c r="BW14" s="101">
        <f>BW13/BW8</f>
        <v>-0.26540321237086001</v>
      </c>
      <c r="BX14" s="101">
        <f>BX13/BX8</f>
        <v>-0.15879194000150498</v>
      </c>
      <c r="BY14" s="97"/>
      <c r="BZ14" s="113"/>
      <c r="CA14" s="101">
        <f>CA13/CA8</f>
        <v>-0.16972077545428679</v>
      </c>
      <c r="CB14" s="97"/>
      <c r="CC14" s="113"/>
      <c r="CD14" s="84"/>
      <c r="CE14" s="96" t="s">
        <v>6</v>
      </c>
      <c r="CF14" s="101">
        <f>CF13/CF8</f>
        <v>-0.16735042111111259</v>
      </c>
      <c r="CG14" s="101">
        <f>CG13/CG8</f>
        <v>-0.42986166982652202</v>
      </c>
      <c r="CH14" s="97"/>
      <c r="CI14" s="113"/>
      <c r="CJ14" s="101">
        <f>CJ13/CJ8</f>
        <v>-0.21817826162543111</v>
      </c>
      <c r="CK14" s="97"/>
      <c r="CL14" s="113"/>
      <c r="CN14" s="96" t="s">
        <v>6</v>
      </c>
      <c r="CO14" s="101">
        <f>CO13/CO8</f>
        <v>-0.12456547536435694</v>
      </c>
      <c r="CP14" s="101">
        <f>CP13/CP8</f>
        <v>-0.20419437311360972</v>
      </c>
      <c r="CQ14" s="97"/>
      <c r="CR14" s="113"/>
      <c r="CS14" s="101">
        <f>CS13/CS8</f>
        <v>-0.16911544025514286</v>
      </c>
      <c r="CT14" s="97"/>
      <c r="CU14" s="113"/>
      <c r="CW14" s="96" t="s">
        <v>6</v>
      </c>
      <c r="CX14" s="101">
        <f>CX13/CX8</f>
        <v>-0.3778273823826313</v>
      </c>
      <c r="CY14" s="101">
        <f>CY13/CY8</f>
        <v>-0.69221110588029644</v>
      </c>
      <c r="CZ14" s="97"/>
      <c r="DA14" s="113"/>
      <c r="DB14" s="101">
        <f>DB13/DB8</f>
        <v>-0.46515516927659778</v>
      </c>
      <c r="DC14" s="97"/>
      <c r="DD14" s="113"/>
      <c r="DF14" s="96" t="s">
        <v>6</v>
      </c>
      <c r="DG14" s="101">
        <f>DG13/DG8</f>
        <v>-0.13218067127799735</v>
      </c>
      <c r="DH14" s="101">
        <f>DH13/DH8</f>
        <v>-0.14576490786817023</v>
      </c>
      <c r="DI14" s="97"/>
      <c r="DJ14" s="113"/>
      <c r="DK14" s="101">
        <f>DK13/DK8</f>
        <v>-0.14521444634022745</v>
      </c>
      <c r="DL14" s="97"/>
      <c r="DM14" s="113"/>
    </row>
    <row r="15" spans="2:117" x14ac:dyDescent="0.35">
      <c r="B15" s="96"/>
      <c r="C15" s="98"/>
      <c r="D15" s="98"/>
      <c r="E15" s="83"/>
      <c r="F15" s="175"/>
      <c r="G15" s="83"/>
      <c r="H15" s="83"/>
      <c r="I15" s="84"/>
      <c r="K15" s="96"/>
      <c r="L15" s="98"/>
      <c r="M15" s="98"/>
      <c r="N15" s="83"/>
      <c r="O15" s="175"/>
      <c r="P15" s="83"/>
      <c r="Q15" s="83"/>
      <c r="R15" s="84"/>
      <c r="T15" s="96"/>
      <c r="U15" s="98"/>
      <c r="V15" s="98"/>
      <c r="W15" s="83"/>
      <c r="X15" s="113"/>
      <c r="Y15" s="83"/>
      <c r="Z15" s="83"/>
      <c r="AA15" s="113"/>
      <c r="AC15" s="96"/>
      <c r="AD15" s="98"/>
      <c r="AE15" s="98"/>
      <c r="AF15" s="83"/>
      <c r="AG15" s="113"/>
      <c r="AH15" s="83"/>
      <c r="AI15" s="83"/>
      <c r="AJ15" s="113"/>
      <c r="AL15" s="96"/>
      <c r="AM15" s="98"/>
      <c r="AN15" s="98"/>
      <c r="AO15" s="83"/>
      <c r="AP15" s="113"/>
      <c r="AQ15" s="83"/>
      <c r="AR15" s="83"/>
      <c r="AS15" s="113"/>
      <c r="AU15" s="96"/>
      <c r="AV15" s="98"/>
      <c r="AW15" s="98"/>
      <c r="AX15" s="83"/>
      <c r="AY15" s="113"/>
      <c r="AZ15" s="83"/>
      <c r="BA15" s="83"/>
      <c r="BB15" s="113"/>
      <c r="BD15" s="96"/>
      <c r="BE15" s="98"/>
      <c r="BF15" s="98"/>
      <c r="BG15" s="83"/>
      <c r="BH15" s="113"/>
      <c r="BI15" s="83"/>
      <c r="BJ15" s="83"/>
      <c r="BK15" s="113"/>
      <c r="BM15" s="96"/>
      <c r="BN15" s="98"/>
      <c r="BO15" s="98"/>
      <c r="BP15" s="83"/>
      <c r="BQ15" s="113"/>
      <c r="BR15" s="83"/>
      <c r="BS15" s="83"/>
      <c r="BT15" s="113"/>
      <c r="BV15" s="96"/>
      <c r="BW15" s="98"/>
      <c r="BX15" s="98"/>
      <c r="BY15" s="83"/>
      <c r="BZ15" s="113"/>
      <c r="CA15" s="83"/>
      <c r="CB15" s="83"/>
      <c r="CC15" s="113"/>
      <c r="CD15" s="84"/>
      <c r="CE15" s="96"/>
      <c r="CF15" s="98"/>
      <c r="CG15" s="98"/>
      <c r="CH15" s="83"/>
      <c r="CI15" s="113"/>
      <c r="CJ15" s="83"/>
      <c r="CK15" s="83"/>
      <c r="CL15" s="113"/>
      <c r="CN15" s="96"/>
      <c r="CO15" s="98"/>
      <c r="CP15" s="98"/>
      <c r="CQ15" s="83"/>
      <c r="CR15" s="113"/>
      <c r="CS15" s="83"/>
      <c r="CT15" s="83"/>
      <c r="CU15" s="113"/>
      <c r="CW15" s="96"/>
      <c r="CX15" s="98"/>
      <c r="CY15" s="98"/>
      <c r="CZ15" s="83"/>
      <c r="DA15" s="113"/>
      <c r="DB15" s="83"/>
      <c r="DC15" s="83"/>
      <c r="DD15" s="113"/>
      <c r="DF15" s="96"/>
      <c r="DG15" s="98"/>
      <c r="DH15" s="98"/>
      <c r="DI15" s="83"/>
      <c r="DJ15" s="113"/>
      <c r="DK15" s="83"/>
      <c r="DL15" s="83"/>
      <c r="DM15" s="113"/>
    </row>
    <row r="16" spans="2:117" ht="14.5" customHeight="1" x14ac:dyDescent="0.35">
      <c r="B16" s="74" t="s">
        <v>7</v>
      </c>
      <c r="C16" s="23">
        <v>0</v>
      </c>
      <c r="D16" s="3">
        <v>0</v>
      </c>
      <c r="E16" s="120">
        <v>0</v>
      </c>
      <c r="F16" s="113" t="s">
        <v>62</v>
      </c>
      <c r="G16" s="119">
        <v>0</v>
      </c>
      <c r="H16" s="112">
        <v>0</v>
      </c>
      <c r="I16" s="170" t="s">
        <v>62</v>
      </c>
      <c r="K16" s="74" t="s">
        <v>7</v>
      </c>
      <c r="L16" s="23">
        <v>0</v>
      </c>
      <c r="M16" s="3">
        <v>0.23943999999999999</v>
      </c>
      <c r="N16" s="120">
        <v>-0.23943999999999999</v>
      </c>
      <c r="O16" s="113">
        <v>-1</v>
      </c>
      <c r="P16" s="119">
        <v>0</v>
      </c>
      <c r="Q16" s="112">
        <v>0</v>
      </c>
      <c r="R16" s="170" t="s">
        <v>62</v>
      </c>
      <c r="T16" s="74" t="s">
        <v>7</v>
      </c>
      <c r="U16" s="23">
        <v>0</v>
      </c>
      <c r="V16" s="3">
        <v>0</v>
      </c>
      <c r="W16" s="120">
        <v>0</v>
      </c>
      <c r="X16" s="113" t="s">
        <v>62</v>
      </c>
      <c r="Y16" s="119">
        <v>0</v>
      </c>
      <c r="Z16" s="112">
        <v>0</v>
      </c>
      <c r="AA16" s="113" t="s">
        <v>62</v>
      </c>
      <c r="AC16" s="74" t="s">
        <v>7</v>
      </c>
      <c r="AD16" s="23">
        <v>0.75075000000000003</v>
      </c>
      <c r="AE16" s="3">
        <v>0</v>
      </c>
      <c r="AF16" s="120">
        <v>0.75075000000000003</v>
      </c>
      <c r="AG16" s="113" t="s">
        <v>62</v>
      </c>
      <c r="AH16" s="119">
        <v>0</v>
      </c>
      <c r="AI16" s="112">
        <v>0.75075000000000003</v>
      </c>
      <c r="AJ16" s="113" t="s">
        <v>62</v>
      </c>
      <c r="AL16" s="74" t="s">
        <v>7</v>
      </c>
      <c r="AM16" s="23">
        <v>25.140750000000001</v>
      </c>
      <c r="AN16" s="3">
        <v>0.43575000000000003</v>
      </c>
      <c r="AO16" s="120">
        <v>24.705000000000002</v>
      </c>
      <c r="AP16" s="113" t="s">
        <v>62</v>
      </c>
      <c r="AQ16" s="119">
        <v>0</v>
      </c>
      <c r="AR16" s="112">
        <v>25.140750000000001</v>
      </c>
      <c r="AS16" s="113" t="s">
        <v>62</v>
      </c>
      <c r="AU16" s="74" t="s">
        <v>7</v>
      </c>
      <c r="AV16" s="23">
        <v>22.977599999999999</v>
      </c>
      <c r="AW16" s="3">
        <v>0.11769</v>
      </c>
      <c r="AX16" s="120">
        <v>22.859909999999999</v>
      </c>
      <c r="AY16" s="113" t="s">
        <v>62</v>
      </c>
      <c r="AZ16" s="119">
        <v>0</v>
      </c>
      <c r="BA16" s="112">
        <v>22.977599999999999</v>
      </c>
      <c r="BB16" s="113" t="s">
        <v>62</v>
      </c>
      <c r="BD16" s="74" t="s">
        <v>7</v>
      </c>
      <c r="BE16" s="23">
        <v>11.027239999999999</v>
      </c>
      <c r="BF16" s="3">
        <v>0</v>
      </c>
      <c r="BG16" s="120">
        <v>11.027239999999999</v>
      </c>
      <c r="BH16" s="113" t="s">
        <v>62</v>
      </c>
      <c r="BI16" s="119">
        <v>0</v>
      </c>
      <c r="BJ16" s="112">
        <v>11.027239999999999</v>
      </c>
      <c r="BK16" s="113" t="s">
        <v>62</v>
      </c>
      <c r="BM16" s="74" t="s">
        <v>7</v>
      </c>
      <c r="BN16" s="23">
        <v>11.429</v>
      </c>
      <c r="BO16" s="3">
        <v>0</v>
      </c>
      <c r="BP16" s="120">
        <v>11.429</v>
      </c>
      <c r="BQ16" s="113" t="s">
        <v>62</v>
      </c>
      <c r="BR16" s="119">
        <v>0</v>
      </c>
      <c r="BS16" s="112">
        <v>11.429</v>
      </c>
      <c r="BT16" s="113" t="s">
        <v>62</v>
      </c>
      <c r="BV16" s="74" t="s">
        <v>7</v>
      </c>
      <c r="BW16" s="23">
        <f>GETPIVOTDATA("sep-26 ",TABLA!$B$3,"Nivel 4","5.- Otros ingresos de explotación")/1000</f>
        <v>9.6129999999999995</v>
      </c>
      <c r="BX16" s="3">
        <f>VLOOKUP(BV16,'P&amp;L Mensualitzada 2025'!$A$5:$N$25,$BW$3+1,0)</f>
        <v>0</v>
      </c>
      <c r="BY16" s="120">
        <f t="shared" ref="BY16:BY18" si="38">BW16-BX16</f>
        <v>9.6129999999999995</v>
      </c>
      <c r="BZ16" s="113" t="str">
        <f t="shared" si="6"/>
        <v>n.a.</v>
      </c>
      <c r="CA16" s="119">
        <f>VLOOKUP(BV16,'Budget26 sin EI'!$B:$O,$BW$3+1,0)</f>
        <v>0</v>
      </c>
      <c r="CB16" s="112">
        <f t="shared" ref="CB16:CB18" si="39">BW16-CA16</f>
        <v>9.6129999999999995</v>
      </c>
      <c r="CC16" s="113" t="str">
        <f t="shared" si="0"/>
        <v>n.a.</v>
      </c>
      <c r="CD16" s="84"/>
      <c r="CE16" s="74" t="s">
        <v>7</v>
      </c>
      <c r="CF16" s="23">
        <f>GETPIVOTDATA("oct-26 ",TABLA!$B$3,"Nivel 4","5.- Otros ingresos de explotación")/1000</f>
        <v>21.379000000000001</v>
      </c>
      <c r="CG16" s="3">
        <f>VLOOKUP(CE16,'P&amp;L Mensualitzada 2025'!$A$5:$N$25,$CF$3+1,0)</f>
        <v>1.8009600000000001</v>
      </c>
      <c r="CH16" s="120">
        <f t="shared" ref="CH16:CH18" si="40">CF16-CG16</f>
        <v>19.578040000000001</v>
      </c>
      <c r="CI16" s="113" t="str">
        <f t="shared" ref="CI16:CI18" si="41">+IF(IFERROR(CF16/CG16-1,"-")&lt;300%,IFERROR(CF16/CG16-1,"-"),"n.a.")</f>
        <v>n.a.</v>
      </c>
      <c r="CJ16" s="119">
        <f>VLOOKUP(CE16,'Budget26 sin EI'!$B:$O,$CF$3+1,0)</f>
        <v>0</v>
      </c>
      <c r="CK16" s="112">
        <f t="shared" ref="CK16:CK18" si="42">CF16-CJ16</f>
        <v>21.379000000000001</v>
      </c>
      <c r="CL16" s="113" t="str">
        <f t="shared" ref="CL16:CL18" si="43">+IF(IFERROR(CF16/CJ16-1,"-")&lt;300%,IFERROR(CF16/CJ16-1,"-"),"n.a.")</f>
        <v>n.a.</v>
      </c>
      <c r="CN16" s="74" t="s">
        <v>7</v>
      </c>
      <c r="CO16" s="23">
        <f>GETPIVOTDATA("nov-26 ",TABLA!$B$3,"Nivel 4","5.- Otros ingresos de explotación")/1000</f>
        <v>32.454000000000001</v>
      </c>
      <c r="CP16" s="3">
        <f>VLOOKUP(CN16,'P&amp;L Mensualitzada 2025'!$A$5:$N$25,$CO$3+1,0)</f>
        <v>0</v>
      </c>
      <c r="CQ16" s="120">
        <f t="shared" ref="CQ16:CQ18" si="44">CO16-CP16</f>
        <v>32.454000000000001</v>
      </c>
      <c r="CR16" s="113" t="str">
        <f t="shared" ref="CR16:CR18" si="45">+IF(IFERROR(CO16/CP16-1,"-")&lt;300%,IFERROR(CO16/CP16-1,"-"),"n.a.")</f>
        <v>n.a.</v>
      </c>
      <c r="CS16" s="119">
        <f>VLOOKUP(CN16,'Budget26 sin EI'!$B:$O,$CO$3+1,0)</f>
        <v>0</v>
      </c>
      <c r="CT16" s="112">
        <f t="shared" ref="CT16:CT18" si="46">CO16-CS16</f>
        <v>32.454000000000001</v>
      </c>
      <c r="CU16" s="113" t="str">
        <f t="shared" ref="CU16:CU18" si="47">+IF(IFERROR(CO16/CS16-1,"-")&lt;300%,IFERROR(CO16/CS16-1,"-"),"n.a.")</f>
        <v>n.a.</v>
      </c>
      <c r="CW16" s="74" t="s">
        <v>7</v>
      </c>
      <c r="CX16" s="23">
        <f>GETPIVOTDATA("dic-26 ",TABLA!$B$3,"Nivel 4","5.- Otros ingresos de explotación")/1000</f>
        <v>27.15</v>
      </c>
      <c r="CY16" s="3">
        <f>VLOOKUP(CW16,'P&amp;L Mensualitzada 2025'!$A$5:$N$25,$CX$3+1,0)</f>
        <v>47.204360000000001</v>
      </c>
      <c r="CZ16" s="120">
        <f t="shared" ref="CZ16:CZ18" si="48">CX16-CY16</f>
        <v>-20.054360000000003</v>
      </c>
      <c r="DA16" s="113">
        <f t="shared" ref="DA16:DA18" si="49">+IF(IFERROR(CX16/CY16-1,"-")&lt;300%,IFERROR(CX16/CY16-1,"-"),"n.a.")</f>
        <v>-0.42484126466284056</v>
      </c>
      <c r="DB16" s="119">
        <f>VLOOKUP(CW16,'Budget26 sin EI'!$B:$O,$CX$3+1,0)</f>
        <v>0</v>
      </c>
      <c r="DC16" s="112">
        <f t="shared" ref="DC16:DC18" si="50">CX16-DB16</f>
        <v>27.15</v>
      </c>
      <c r="DD16" s="113" t="str">
        <f t="shared" ref="DD16:DD18" si="51">+IF(IFERROR(CX16/DB16-1,"-")&lt;300%,IFERROR(CX16/DB16-1,"-"),"n.a.")</f>
        <v>n.a.</v>
      </c>
      <c r="DF16" s="74" t="s">
        <v>7</v>
      </c>
      <c r="DG16" s="23">
        <f>GETPIVOTDATA("Total 2026 ",TABLA!$B$3,"Nivel 4","5.- Otros ingresos de explotación")/1000</f>
        <v>168.56134</v>
      </c>
      <c r="DH16" s="3">
        <f>VLOOKUP(DF16,'P&amp;L Mensualitzada 2025'!$A$5:$N$25,$CX$3+2,0)</f>
        <v>49.798200000000001</v>
      </c>
      <c r="DI16" s="120">
        <f t="shared" ref="DI16:DI18" si="52">DG16-DH16</f>
        <v>118.76313999999999</v>
      </c>
      <c r="DJ16" s="113">
        <f t="shared" ref="DJ16:DJ18" si="53">+IF(IFERROR(DG16/DH16-1,"-")&lt;300%,IFERROR(DG16/DH16-1,"-"),"n.a.")</f>
        <v>2.3848882088107604</v>
      </c>
      <c r="DK16" s="119">
        <f>VLOOKUP(DF16,'Budget26 sin EI'!$B:$O,$CX$3+2,0)</f>
        <v>0</v>
      </c>
      <c r="DL16" s="112">
        <f t="shared" ref="DL16:DL18" si="54">DG16-DK16</f>
        <v>168.56134</v>
      </c>
      <c r="DM16" s="113" t="str">
        <f t="shared" ref="DM16:DM18" si="55">+IF(IFERROR(DG16/DK16-1,"-")&lt;300%,IFERROR(DG16/DK16-1,"-"),"n.a.")</f>
        <v>n.a.</v>
      </c>
    </row>
    <row r="17" spans="2:117" ht="14.5" customHeight="1" x14ac:dyDescent="0.35">
      <c r="B17" s="74" t="s">
        <v>8</v>
      </c>
      <c r="C17" s="111">
        <v>-103.45175999999999</v>
      </c>
      <c r="D17" s="3">
        <v>-83.04565999999997</v>
      </c>
      <c r="E17" s="111">
        <v>-20.406100000000023</v>
      </c>
      <c r="F17" s="113">
        <v>0.24572145010347357</v>
      </c>
      <c r="G17" s="119">
        <v>-183.33532916333328</v>
      </c>
      <c r="H17" s="111">
        <v>79.883569163333291</v>
      </c>
      <c r="I17" s="176">
        <v>-0.43572381563274742</v>
      </c>
      <c r="K17" s="74" t="s">
        <v>8</v>
      </c>
      <c r="L17" s="111">
        <v>-62.49888</v>
      </c>
      <c r="M17" s="3">
        <v>-74.849820000000022</v>
      </c>
      <c r="N17" s="111">
        <v>12.350940000000023</v>
      </c>
      <c r="O17" s="113">
        <v>-0.16500961525358404</v>
      </c>
      <c r="P17" s="119">
        <v>-133.85531916333335</v>
      </c>
      <c r="Q17" s="111">
        <v>71.356439163333349</v>
      </c>
      <c r="R17" s="176">
        <v>-0.53308631744594759</v>
      </c>
      <c r="T17" s="74" t="s">
        <v>8</v>
      </c>
      <c r="U17" s="111">
        <v>-110.60627000000001</v>
      </c>
      <c r="V17" s="3">
        <v>-105.74076999999997</v>
      </c>
      <c r="W17" s="111">
        <v>-4.8655000000000399</v>
      </c>
      <c r="X17" s="113">
        <v>4.6013472381561504E-2</v>
      </c>
      <c r="Y17" s="119">
        <v>-128.94531916333332</v>
      </c>
      <c r="Z17" s="111">
        <v>18.339049163333314</v>
      </c>
      <c r="AA17" s="113">
        <v>-0.14222345783722079</v>
      </c>
      <c r="AC17" s="74" t="s">
        <v>8</v>
      </c>
      <c r="AD17" s="181">
        <v>-107.70665</v>
      </c>
      <c r="AE17" s="3">
        <v>-91.37805000000003</v>
      </c>
      <c r="AF17" s="111">
        <v>-16.328599999999966</v>
      </c>
      <c r="AG17" s="113">
        <v>0.17869280423471468</v>
      </c>
      <c r="AH17" s="119">
        <v>-131.89531916333334</v>
      </c>
      <c r="AI17" s="111">
        <v>24.188669163333344</v>
      </c>
      <c r="AJ17" s="113">
        <v>-0.18339293097565623</v>
      </c>
      <c r="AL17" s="74" t="s">
        <v>8</v>
      </c>
      <c r="AM17" s="3">
        <v>-123.39207999999998</v>
      </c>
      <c r="AN17" s="3">
        <v>-108.29459000000003</v>
      </c>
      <c r="AO17" s="111">
        <v>-15.097489999999951</v>
      </c>
      <c r="AP17" s="113">
        <v>0.13941130392570811</v>
      </c>
      <c r="AQ17" s="119">
        <v>-126.94532916333333</v>
      </c>
      <c r="AR17" s="111">
        <v>3.5532491633333478</v>
      </c>
      <c r="AS17" s="113">
        <v>-2.7990389144303074E-2</v>
      </c>
      <c r="AU17" s="74" t="s">
        <v>8</v>
      </c>
      <c r="AV17" s="3">
        <v>-175.01376000000008</v>
      </c>
      <c r="AW17" s="3">
        <v>-116.04260999999998</v>
      </c>
      <c r="AX17" s="111">
        <v>-58.971150000000094</v>
      </c>
      <c r="AY17" s="113">
        <v>0.50818531227451791</v>
      </c>
      <c r="AZ17" s="119">
        <v>-160.1953291633333</v>
      </c>
      <c r="BA17" s="111">
        <v>-14.818430836666778</v>
      </c>
      <c r="BB17" s="113">
        <v>9.2502265291131369E-2</v>
      </c>
      <c r="BD17" s="74" t="s">
        <v>8</v>
      </c>
      <c r="BE17" s="3">
        <v>-161.05174421899724</v>
      </c>
      <c r="BF17" s="3">
        <v>-102.38970999999998</v>
      </c>
      <c r="BG17" s="111">
        <v>-58.662034218997263</v>
      </c>
      <c r="BH17" s="113">
        <v>0.57292900057044083</v>
      </c>
      <c r="BI17" s="119">
        <v>-152.8033291633333</v>
      </c>
      <c r="BJ17" s="111">
        <v>-8.2484150556639406</v>
      </c>
      <c r="BK17" s="113">
        <v>5.3980597810451503E-2</v>
      </c>
      <c r="BM17" s="74" t="s">
        <v>8</v>
      </c>
      <c r="BN17" s="3">
        <v>-130.06066103129618</v>
      </c>
      <c r="BO17" s="3">
        <v>-68.705250000000007</v>
      </c>
      <c r="BP17" s="111">
        <v>-61.355411031296171</v>
      </c>
      <c r="BQ17" s="113">
        <v>0.89302361946570552</v>
      </c>
      <c r="BR17" s="119">
        <v>-117.79332916333333</v>
      </c>
      <c r="BS17" s="111">
        <v>-12.267331867962852</v>
      </c>
      <c r="BT17" s="113">
        <v>0.10414284030424903</v>
      </c>
      <c r="BV17" s="74" t="s">
        <v>8</v>
      </c>
      <c r="BW17" s="3">
        <f>GETPIVOTDATA("sep-26 ",TABLA!$B$3,"Nivel 4","7.- Otros gastos de explotación")/1000</f>
        <v>-108.09533999999999</v>
      </c>
      <c r="BX17" s="3">
        <f>VLOOKUP(BV17,'P&amp;L Mensualitzada 2025'!$A$5:$N$25,$BW$3+1,0)</f>
        <v>-73.912790000000001</v>
      </c>
      <c r="BY17" s="111">
        <f t="shared" si="38"/>
        <v>-34.182549999999992</v>
      </c>
      <c r="BZ17" s="113">
        <f t="shared" si="6"/>
        <v>0.46247138012243871</v>
      </c>
      <c r="CA17" s="119">
        <f>VLOOKUP(BV17,'Budget26 sin EI'!$B:$O,$BW$3+1,0)</f>
        <v>-120.05332916333333</v>
      </c>
      <c r="CB17" s="111">
        <f t="shared" si="39"/>
        <v>11.957989163333338</v>
      </c>
      <c r="CC17" s="113">
        <f t="shared" si="0"/>
        <v>-9.9605643980638092E-2</v>
      </c>
      <c r="CD17" s="107"/>
      <c r="CE17" s="74" t="s">
        <v>8</v>
      </c>
      <c r="CF17" s="3">
        <f>GETPIVOTDATA("oct-26 ",TABLA!$B$3,"Nivel 4","7.- Otros gastos de explotación")/1000</f>
        <v>-149.47019</v>
      </c>
      <c r="CG17" s="3">
        <f>VLOOKUP(CE17,'P&amp;L Mensualitzada 2025'!$A$5:$N$25,$CF$3+1,0)</f>
        <v>-122.16905</v>
      </c>
      <c r="CH17" s="111">
        <f t="shared" si="40"/>
        <v>-27.301140000000004</v>
      </c>
      <c r="CI17" s="113">
        <f t="shared" si="41"/>
        <v>0.22347018332384505</v>
      </c>
      <c r="CJ17" s="119">
        <f>VLOOKUP(CE17,'Budget26 sin EI'!$B:$O,$CF$3+1,0)</f>
        <v>-144.84268916333332</v>
      </c>
      <c r="CK17" s="111">
        <f t="shared" si="42"/>
        <v>-4.6275008366666839</v>
      </c>
      <c r="CL17" s="113">
        <f t="shared" si="43"/>
        <v>3.1948459831814047E-2</v>
      </c>
      <c r="CN17" s="74" t="s">
        <v>8</v>
      </c>
      <c r="CO17" s="3">
        <f>GETPIVOTDATA("nov-26 ",TABLA!$B$3,"Nivel 4","7.- Otros gastos de explotación")/1000</f>
        <v>-162.36941999999996</v>
      </c>
      <c r="CP17" s="3">
        <f>VLOOKUP(CN17,'P&amp;L Mensualitzada 2025'!$A$5:$N$25,$CO$3+1,0)</f>
        <v>-68.327619999999996</v>
      </c>
      <c r="CQ17" s="111">
        <f t="shared" si="44"/>
        <v>-94.041799999999967</v>
      </c>
      <c r="CR17" s="113">
        <f t="shared" si="45"/>
        <v>1.3763365385769322</v>
      </c>
      <c r="CS17" s="119">
        <f>VLOOKUP(CN17,'Budget26 sin EI'!$B:$O,$CO$3+1,0)</f>
        <v>-148.9926891633333</v>
      </c>
      <c r="CT17" s="111">
        <f t="shared" si="46"/>
        <v>-13.376730836666667</v>
      </c>
      <c r="CU17" s="113">
        <f t="shared" si="47"/>
        <v>8.9781122226758603E-2</v>
      </c>
      <c r="CW17" s="74" t="s">
        <v>8</v>
      </c>
      <c r="CX17" s="3">
        <f>GETPIVOTDATA("dic-26 ",TABLA!$B$3,"Nivel 4","7.- Otros gastos de explotación")/1000</f>
        <v>-277.59629000000007</v>
      </c>
      <c r="CY17" s="3">
        <f>VLOOKUP(CW17,'P&amp;L Mensualitzada 2025'!$A$5:$N$25,$CX$3+1,0)</f>
        <v>-239.07332000000005</v>
      </c>
      <c r="CZ17" s="111">
        <f t="shared" si="48"/>
        <v>-38.522970000000015</v>
      </c>
      <c r="DA17" s="113">
        <f t="shared" si="49"/>
        <v>0.16113454232366875</v>
      </c>
      <c r="DB17" s="119">
        <f>VLOOKUP(CW17,'Budget26 sin EI'!$B:$O,$CX$3+1,0)</f>
        <v>-180.34268916333332</v>
      </c>
      <c r="DC17" s="111">
        <f t="shared" si="50"/>
        <v>-97.253600836666749</v>
      </c>
      <c r="DD17" s="113">
        <f t="shared" si="51"/>
        <v>0.53927110263164479</v>
      </c>
      <c r="DF17" s="74" t="s">
        <v>8</v>
      </c>
      <c r="DG17" s="3">
        <f>GETPIVOTDATA("Total 2026 ",TABLA!$B$3,"Nivel 4","7.- Otros gastos de explotación")/1000</f>
        <v>-1684.026025250294</v>
      </c>
      <c r="DH17" s="3">
        <f>VLOOKUP(DF17,'P&amp;L Mensualitzada 2025'!$A$5:$N$25,$CX$3+2,0)</f>
        <v>-1253.9292399999999</v>
      </c>
      <c r="DI17" s="111">
        <f t="shared" si="52"/>
        <v>-430.09678525029403</v>
      </c>
      <c r="DJ17" s="113">
        <f t="shared" si="53"/>
        <v>0.34299924711086094</v>
      </c>
      <c r="DK17" s="119">
        <f>VLOOKUP(DF17,'Budget26 sin EI'!$B:$O,$CX$3+2,0)</f>
        <v>-1729.9999999599997</v>
      </c>
      <c r="DL17" s="111">
        <f t="shared" si="54"/>
        <v>45.973974709705772</v>
      </c>
      <c r="DM17" s="113">
        <f t="shared" si="55"/>
        <v>-2.6574551855935713E-2</v>
      </c>
    </row>
    <row r="18" spans="2:117" ht="14.5" customHeight="1" x14ac:dyDescent="0.35">
      <c r="B18" s="99" t="s">
        <v>9</v>
      </c>
      <c r="C18" s="7">
        <v>-103.45175999999999</v>
      </c>
      <c r="D18" s="7">
        <v>-83.04565999999997</v>
      </c>
      <c r="E18" s="7">
        <v>-20.406100000000023</v>
      </c>
      <c r="F18" s="123">
        <v>0.24572145010347357</v>
      </c>
      <c r="G18" s="7">
        <v>-183.33532916333328</v>
      </c>
      <c r="H18" s="7">
        <v>79.883569163333291</v>
      </c>
      <c r="I18" s="177">
        <v>-0.43572381563274742</v>
      </c>
      <c r="K18" s="99" t="s">
        <v>9</v>
      </c>
      <c r="L18" s="7">
        <v>-62.49888</v>
      </c>
      <c r="M18" s="7">
        <v>-74.610380000000021</v>
      </c>
      <c r="N18" s="7">
        <v>12.111500000000021</v>
      </c>
      <c r="O18" s="123">
        <v>-0.162329959986801</v>
      </c>
      <c r="P18" s="7">
        <v>-133.85531916333335</v>
      </c>
      <c r="Q18" s="7">
        <v>71.356439163333349</v>
      </c>
      <c r="R18" s="177">
        <v>-0.53308631744594759</v>
      </c>
      <c r="T18" s="99" t="s">
        <v>9</v>
      </c>
      <c r="U18" s="7">
        <v>-110.60627000000001</v>
      </c>
      <c r="V18" s="7">
        <v>-105.74076999999997</v>
      </c>
      <c r="W18" s="7">
        <v>-4.8655000000000399</v>
      </c>
      <c r="X18" s="123">
        <v>4.6013472381561504E-2</v>
      </c>
      <c r="Y18" s="7">
        <v>-128.94531916333332</v>
      </c>
      <c r="Z18" s="7">
        <v>18.339049163333314</v>
      </c>
      <c r="AA18" s="123">
        <v>-0.14222345783722079</v>
      </c>
      <c r="AC18" s="99" t="s">
        <v>9</v>
      </c>
      <c r="AD18" s="7">
        <v>-106.9559</v>
      </c>
      <c r="AE18" s="7">
        <v>-91.37805000000003</v>
      </c>
      <c r="AF18" s="7">
        <v>-15.57784999999997</v>
      </c>
      <c r="AG18" s="123">
        <v>0.17047693620076121</v>
      </c>
      <c r="AH18" s="7">
        <v>-131.89531916333334</v>
      </c>
      <c r="AI18" s="7">
        <v>24.939419163333341</v>
      </c>
      <c r="AJ18" s="123">
        <v>-0.18908494495130235</v>
      </c>
      <c r="AL18" s="99" t="s">
        <v>9</v>
      </c>
      <c r="AM18" s="7">
        <v>-98.251329999999982</v>
      </c>
      <c r="AN18" s="7">
        <v>-107.85884000000003</v>
      </c>
      <c r="AO18" s="7">
        <v>9.6075100000000475</v>
      </c>
      <c r="AP18" s="123">
        <v>-8.9074850054015497E-2</v>
      </c>
      <c r="AQ18" s="7">
        <v>-126.94532916333333</v>
      </c>
      <c r="AR18" s="7">
        <v>28.693999163333345</v>
      </c>
      <c r="AS18" s="123">
        <v>-0.22603430431390203</v>
      </c>
      <c r="AU18" s="99" t="s">
        <v>9</v>
      </c>
      <c r="AV18" s="7">
        <v>-152.03616000000008</v>
      </c>
      <c r="AW18" s="7">
        <v>-115.92491999999999</v>
      </c>
      <c r="AX18" s="7">
        <v>-36.111240000000095</v>
      </c>
      <c r="AY18" s="123">
        <v>0.31150541229616624</v>
      </c>
      <c r="AZ18" s="7">
        <v>-160.1953291633333</v>
      </c>
      <c r="BA18" s="7">
        <v>8.1591691633332175</v>
      </c>
      <c r="BB18" s="123">
        <v>-5.0932628347822972E-2</v>
      </c>
      <c r="BD18" s="99" t="s">
        <v>9</v>
      </c>
      <c r="BE18" s="7">
        <v>-150.02450421899724</v>
      </c>
      <c r="BF18" s="7">
        <v>-102.38970999999998</v>
      </c>
      <c r="BG18" s="7">
        <v>-47.634794218997257</v>
      </c>
      <c r="BH18" s="123">
        <v>0.46523028748687012</v>
      </c>
      <c r="BI18" s="7">
        <v>-152.8033291633333</v>
      </c>
      <c r="BJ18" s="7">
        <v>2.7788249443360655</v>
      </c>
      <c r="BK18" s="123">
        <v>-1.8185630899217875E-2</v>
      </c>
      <c r="BM18" s="99" t="s">
        <v>9</v>
      </c>
      <c r="BN18" s="7">
        <v>-118.63166103129618</v>
      </c>
      <c r="BO18" s="7">
        <v>-68.705250000000007</v>
      </c>
      <c r="BP18" s="7">
        <v>-49.926411031296169</v>
      </c>
      <c r="BQ18" s="123">
        <v>0.72667534185955462</v>
      </c>
      <c r="BR18" s="7">
        <v>-117.79332916333333</v>
      </c>
      <c r="BS18" s="7">
        <v>-0.8383318679628502</v>
      </c>
      <c r="BT18" s="123">
        <v>7.1169723609765256E-3</v>
      </c>
      <c r="BV18" s="99" t="s">
        <v>9</v>
      </c>
      <c r="BW18" s="7">
        <f>SUM(BW16:BW17)</f>
        <v>-98.482339999999994</v>
      </c>
      <c r="BX18" s="7">
        <f>SUM(BX16:BX17)</f>
        <v>-73.912790000000001</v>
      </c>
      <c r="BY18" s="7">
        <f t="shared" si="38"/>
        <v>-24.569549999999992</v>
      </c>
      <c r="BZ18" s="123">
        <f t="shared" si="6"/>
        <v>0.3324126988035494</v>
      </c>
      <c r="CA18" s="7">
        <f>SUM(CA16:CA17)</f>
        <v>-120.05332916333333</v>
      </c>
      <c r="CB18" s="7">
        <f t="shared" si="39"/>
        <v>21.570989163333337</v>
      </c>
      <c r="CC18" s="123">
        <f t="shared" si="0"/>
        <v>-0.17967839220839821</v>
      </c>
      <c r="CD18" s="105"/>
      <c r="CE18" s="99" t="s">
        <v>9</v>
      </c>
      <c r="CF18" s="7">
        <f>SUM(CF16:CF17)</f>
        <v>-128.09119000000001</v>
      </c>
      <c r="CG18" s="7">
        <f>SUM(CG16:CG17)</f>
        <v>-120.36809</v>
      </c>
      <c r="CH18" s="7">
        <f t="shared" si="40"/>
        <v>-7.7231000000000165</v>
      </c>
      <c r="CI18" s="123">
        <f t="shared" si="41"/>
        <v>6.4162353992657239E-2</v>
      </c>
      <c r="CJ18" s="7">
        <f>SUM(CJ16:CJ17)</f>
        <v>-144.84268916333332</v>
      </c>
      <c r="CK18" s="7">
        <f t="shared" si="42"/>
        <v>16.751499163333307</v>
      </c>
      <c r="CL18" s="123">
        <f t="shared" si="43"/>
        <v>-0.11565305270218584</v>
      </c>
      <c r="CN18" s="99" t="s">
        <v>9</v>
      </c>
      <c r="CO18" s="7">
        <f>SUM(CO16:CO17)</f>
        <v>-129.91541999999995</v>
      </c>
      <c r="CP18" s="7">
        <f>SUM(CP16:CP17)</f>
        <v>-68.327619999999996</v>
      </c>
      <c r="CQ18" s="7">
        <f t="shared" si="44"/>
        <v>-61.587799999999959</v>
      </c>
      <c r="CR18" s="123">
        <f t="shared" si="45"/>
        <v>0.90136024055864916</v>
      </c>
      <c r="CS18" s="7">
        <f>SUM(CS16:CS17)</f>
        <v>-148.9926891633333</v>
      </c>
      <c r="CT18" s="7">
        <f t="shared" si="46"/>
        <v>19.077269163333341</v>
      </c>
      <c r="CU18" s="123">
        <f t="shared" si="47"/>
        <v>-0.12804164600599888</v>
      </c>
      <c r="CW18" s="99" t="s">
        <v>9</v>
      </c>
      <c r="CX18" s="7">
        <f>SUM(CX16:CX17)</f>
        <v>-250.44629000000006</v>
      </c>
      <c r="CY18" s="7">
        <f>SUM(CY16:CY17)</f>
        <v>-191.86896000000004</v>
      </c>
      <c r="CZ18" s="7">
        <f t="shared" si="48"/>
        <v>-58.577330000000018</v>
      </c>
      <c r="DA18" s="123">
        <f t="shared" si="49"/>
        <v>0.30529862672940955</v>
      </c>
      <c r="DB18" s="7">
        <f>SUM(DB16:DB17)</f>
        <v>-180.34268916333332</v>
      </c>
      <c r="DC18" s="7">
        <f t="shared" si="50"/>
        <v>-70.103600836666743</v>
      </c>
      <c r="DD18" s="123">
        <f t="shared" si="51"/>
        <v>0.38872438445882929</v>
      </c>
      <c r="DF18" s="99" t="s">
        <v>9</v>
      </c>
      <c r="DG18" s="7">
        <f>SUM(DG16:DG17)</f>
        <v>-1515.464685250294</v>
      </c>
      <c r="DH18" s="7">
        <f>SUM(DH16:DH17)</f>
        <v>-1204.13104</v>
      </c>
      <c r="DI18" s="7">
        <f t="shared" si="52"/>
        <v>-311.33364525029401</v>
      </c>
      <c r="DJ18" s="123">
        <f t="shared" si="53"/>
        <v>0.2585546214723391</v>
      </c>
      <c r="DK18" s="7">
        <f>SUM(DK16:DK17)</f>
        <v>-1729.9999999599997</v>
      </c>
      <c r="DL18" s="7">
        <f t="shared" si="54"/>
        <v>214.53531470970574</v>
      </c>
      <c r="DM18" s="123">
        <f t="shared" si="55"/>
        <v>-0.12400885243622317</v>
      </c>
    </row>
    <row r="19" spans="2:117" x14ac:dyDescent="0.35">
      <c r="B19" s="74" t="s">
        <v>6</v>
      </c>
      <c r="C19" s="101">
        <v>-0.10515344452276409</v>
      </c>
      <c r="D19" s="101">
        <v>-0.13345231591962509</v>
      </c>
      <c r="E19" s="83"/>
      <c r="F19" s="175"/>
      <c r="G19" s="101">
        <v>-0.22754968236645082</v>
      </c>
      <c r="H19" s="83"/>
      <c r="I19" s="84"/>
      <c r="K19" s="74" t="s">
        <v>6</v>
      </c>
      <c r="L19" s="101">
        <v>-4.250386528576728E-2</v>
      </c>
      <c r="M19" s="101">
        <v>-7.0225427745833902E-2</v>
      </c>
      <c r="N19" s="83"/>
      <c r="O19" s="175"/>
      <c r="P19" s="101">
        <v>-8.8455640231213245E-2</v>
      </c>
      <c r="Q19" s="83"/>
      <c r="R19" s="84"/>
      <c r="T19" s="74" t="s">
        <v>6</v>
      </c>
      <c r="U19" s="101">
        <v>-7.2113074506101868E-2</v>
      </c>
      <c r="V19" s="101">
        <v>-5.8903682112322567E-2</v>
      </c>
      <c r="W19" s="83"/>
      <c r="X19" s="113"/>
      <c r="Y19" s="101">
        <v>-5.6009186732598637E-2</v>
      </c>
      <c r="Z19" s="83"/>
      <c r="AA19" s="113"/>
      <c r="AC19" s="74" t="s">
        <v>6</v>
      </c>
      <c r="AD19" s="101">
        <v>-7.3149931346130431E-2</v>
      </c>
      <c r="AE19" s="101">
        <v>-5.9554858406606091E-2</v>
      </c>
      <c r="AF19" s="83"/>
      <c r="AG19" s="113"/>
      <c r="AH19" s="101">
        <v>-6.9739562797583851E-2</v>
      </c>
      <c r="AI19" s="83"/>
      <c r="AJ19" s="113"/>
      <c r="AL19" s="74" t="s">
        <v>6</v>
      </c>
      <c r="AM19" s="101">
        <v>-5.1015008121453383E-2</v>
      </c>
      <c r="AN19" s="101">
        <v>-7.2685312965898016E-2</v>
      </c>
      <c r="AO19" s="83"/>
      <c r="AP19" s="113"/>
      <c r="AQ19" s="101">
        <v>-7.7551844789987168E-2</v>
      </c>
      <c r="AR19" s="83"/>
      <c r="AS19" s="113"/>
      <c r="AU19" s="74" t="s">
        <v>6</v>
      </c>
      <c r="AV19" s="101">
        <v>-7.7480057796364563E-2</v>
      </c>
      <c r="AW19" s="101">
        <v>-6.5831197166062241E-2</v>
      </c>
      <c r="AX19" s="83"/>
      <c r="AY19" s="113"/>
      <c r="AZ19" s="101">
        <v>-7.4500564912626605E-2</v>
      </c>
      <c r="BA19" s="83"/>
      <c r="BB19" s="113"/>
      <c r="BD19" s="74" t="s">
        <v>6</v>
      </c>
      <c r="BE19" s="101">
        <v>-0.11623911403366124</v>
      </c>
      <c r="BF19" s="101">
        <v>-7.7888693599875727E-2</v>
      </c>
      <c r="BG19" s="83"/>
      <c r="BH19" s="113"/>
      <c r="BI19" s="101">
        <v>-0.11335381718550383</v>
      </c>
      <c r="BJ19" s="83"/>
      <c r="BK19" s="113"/>
      <c r="BM19" s="74" t="s">
        <v>6</v>
      </c>
      <c r="BN19" s="101">
        <v>-0.15052770690725234</v>
      </c>
      <c r="BO19" s="101">
        <v>-0.10339438131949862</v>
      </c>
      <c r="BP19" s="83"/>
      <c r="BQ19" s="113"/>
      <c r="BR19" s="101">
        <v>-0.15178073771746581</v>
      </c>
      <c r="BS19" s="83"/>
      <c r="BT19" s="113"/>
      <c r="BV19" s="74" t="s">
        <v>6</v>
      </c>
      <c r="BW19" s="101">
        <f>BW18/BW8</f>
        <v>-0.15764113636709973</v>
      </c>
      <c r="BX19" s="101">
        <f>BX18/BX8</f>
        <v>-8.7770340940881778E-2</v>
      </c>
      <c r="BY19" s="83"/>
      <c r="BZ19" s="113"/>
      <c r="CA19" s="101">
        <f>CA18/CA8</f>
        <v>-0.11694624416845362</v>
      </c>
      <c r="CB19" s="83"/>
      <c r="CC19" s="113"/>
      <c r="CD19" s="84"/>
      <c r="CE19" s="74" t="s">
        <v>6</v>
      </c>
      <c r="CF19" s="101">
        <f>CF18/CF8</f>
        <v>-0.14044239502615088</v>
      </c>
      <c r="CG19" s="101">
        <f>CG18/CG8</f>
        <v>-0.17205680037170645</v>
      </c>
      <c r="CH19" s="83"/>
      <c r="CI19" s="113"/>
      <c r="CJ19" s="101">
        <f>CJ18/CJ8</f>
        <v>-0.18137821345812277</v>
      </c>
      <c r="CK19" s="83"/>
      <c r="CL19" s="113"/>
      <c r="CN19" s="74" t="s">
        <v>6</v>
      </c>
      <c r="CO19" s="101">
        <f>CO18/CO8</f>
        <v>-0.10602555354888081</v>
      </c>
      <c r="CP19" s="101">
        <f>CP18/CP8</f>
        <v>-9.1140051430763161E-2</v>
      </c>
      <c r="CQ19" s="83"/>
      <c r="CR19" s="113"/>
      <c r="CS19" s="101">
        <f>CS18/CS8</f>
        <v>-0.14461897619614739</v>
      </c>
      <c r="CT19" s="83"/>
      <c r="CU19" s="113"/>
      <c r="CW19" s="74" t="s">
        <v>6</v>
      </c>
      <c r="CX19" s="101">
        <f>CX18/CX8</f>
        <v>-0.21922677880459773</v>
      </c>
      <c r="CY19" s="101">
        <f>CY18/CY8</f>
        <v>-0.77208981786798658</v>
      </c>
      <c r="CZ19" s="83"/>
      <c r="DA19" s="113"/>
      <c r="DB19" s="101">
        <f>DB18/DB8</f>
        <v>-0.27326941495738166</v>
      </c>
      <c r="DC19" s="83"/>
      <c r="DD19" s="113"/>
      <c r="DF19" s="74" t="s">
        <v>6</v>
      </c>
      <c r="DG19" s="101">
        <f>DG18/DG8</f>
        <v>-9.9832983218069424E-2</v>
      </c>
      <c r="DH19" s="101">
        <f>DH18/DH8</f>
        <v>-9.4234340780831385E-2</v>
      </c>
      <c r="DI19" s="83"/>
      <c r="DJ19" s="113"/>
      <c r="DK19" s="101">
        <f>DK18/DK8</f>
        <v>-0.10853880419863902</v>
      </c>
      <c r="DL19" s="83"/>
      <c r="DM19" s="113"/>
    </row>
    <row r="20" spans="2:117" x14ac:dyDescent="0.35">
      <c r="B20" s="100" t="s">
        <v>10</v>
      </c>
      <c r="C20" s="24">
        <v>-214.98376999999999</v>
      </c>
      <c r="D20" s="24">
        <v>-65.64794499999995</v>
      </c>
      <c r="E20" s="124">
        <v>-149.33582500000006</v>
      </c>
      <c r="F20" s="178">
        <v>2.2747981677111166</v>
      </c>
      <c r="G20" s="24">
        <v>-321.76633265977625</v>
      </c>
      <c r="H20" s="24">
        <v>106.78256265977626</v>
      </c>
      <c r="I20" s="179">
        <v>-0.3318636905766153</v>
      </c>
      <c r="K20" s="100" t="s">
        <v>10</v>
      </c>
      <c r="L20" s="24">
        <v>-205.42608000000001</v>
      </c>
      <c r="M20" s="24">
        <v>-244.51265999999998</v>
      </c>
      <c r="N20" s="124">
        <v>39.086579999999969</v>
      </c>
      <c r="O20" s="178">
        <v>-0.15985503572698434</v>
      </c>
      <c r="P20" s="24">
        <v>-286.65733265977627</v>
      </c>
      <c r="Q20" s="24">
        <v>81.23125265977626</v>
      </c>
      <c r="R20" s="179">
        <v>-0.28337406165774537</v>
      </c>
      <c r="T20" s="100" t="s">
        <v>10</v>
      </c>
      <c r="U20" s="24">
        <v>-256.83958000000001</v>
      </c>
      <c r="V20" s="24">
        <v>-320.98121999999995</v>
      </c>
      <c r="W20" s="124">
        <v>64.141639999999938</v>
      </c>
      <c r="X20" s="130">
        <v>-0.19982988412842329</v>
      </c>
      <c r="Y20" s="24">
        <v>-397.58952932644297</v>
      </c>
      <c r="Z20" s="24">
        <v>140.74994932644296</v>
      </c>
      <c r="AA20" s="130">
        <v>-0.35400818921184285</v>
      </c>
      <c r="AC20" s="100" t="s">
        <v>10</v>
      </c>
      <c r="AD20" s="24">
        <v>-237.00357000000002</v>
      </c>
      <c r="AE20" s="24">
        <v>-236.43790000000001</v>
      </c>
      <c r="AF20" s="124">
        <v>-0.56567000000001144</v>
      </c>
      <c r="AG20" s="130">
        <v>2.3924675358730774E-3</v>
      </c>
      <c r="AH20" s="24">
        <v>-289.22514265977628</v>
      </c>
      <c r="AI20" s="24">
        <v>52.221572659776257</v>
      </c>
      <c r="AJ20" s="130">
        <v>-0.18055682220271552</v>
      </c>
      <c r="AL20" s="100" t="s">
        <v>10</v>
      </c>
      <c r="AM20" s="24">
        <v>-233.24384999999995</v>
      </c>
      <c r="AN20" s="24">
        <v>-249.13312000000008</v>
      </c>
      <c r="AO20" s="124">
        <v>15.889270000000124</v>
      </c>
      <c r="AP20" s="130">
        <v>-6.3778232296051729E-2</v>
      </c>
      <c r="AQ20" s="24">
        <v>-284.27515265977627</v>
      </c>
      <c r="AR20" s="24">
        <v>51.031302659776316</v>
      </c>
      <c r="AS20" s="130">
        <v>-0.17951376397940466</v>
      </c>
      <c r="AU20" s="100" t="s">
        <v>10</v>
      </c>
      <c r="AV20" s="24">
        <v>-297.10844000000009</v>
      </c>
      <c r="AW20" s="24">
        <v>-214.17090499999995</v>
      </c>
      <c r="AX20" s="124">
        <v>-82.937535000000139</v>
      </c>
      <c r="AY20" s="130">
        <v>0.387249309144023</v>
      </c>
      <c r="AZ20" s="24">
        <v>-450.27181932644294</v>
      </c>
      <c r="BA20" s="24">
        <v>153.16337932644285</v>
      </c>
      <c r="BB20" s="130">
        <v>-0.34015759537329782</v>
      </c>
      <c r="BD20" s="100" t="s">
        <v>10</v>
      </c>
      <c r="BE20" s="24">
        <v>-303.55815421899723</v>
      </c>
      <c r="BF20" s="24">
        <v>-321.13269000000003</v>
      </c>
      <c r="BG20" s="124">
        <v>17.574535781002794</v>
      </c>
      <c r="BH20" s="130">
        <v>-5.472671057251377E-2</v>
      </c>
      <c r="BI20" s="24">
        <v>-310.13315265977621</v>
      </c>
      <c r="BJ20" s="24">
        <v>6.5749984407789839</v>
      </c>
      <c r="BK20" s="130">
        <v>-2.1200566222573158E-2</v>
      </c>
      <c r="BM20" s="100" t="s">
        <v>10</v>
      </c>
      <c r="BN20" s="24">
        <v>-271.26445103129618</v>
      </c>
      <c r="BO20" s="24">
        <v>-200.68001999999996</v>
      </c>
      <c r="BP20" s="124">
        <v>-70.584431031296219</v>
      </c>
      <c r="BQ20" s="130">
        <v>0.35172625073136943</v>
      </c>
      <c r="BR20" s="24">
        <v>-280.75653468823293</v>
      </c>
      <c r="BS20" s="24">
        <v>9.4920836569367566</v>
      </c>
      <c r="BT20" s="130">
        <v>-3.3808950048045294E-2</v>
      </c>
      <c r="BV20" s="100" t="s">
        <v>10</v>
      </c>
      <c r="BW20" s="24">
        <f>BW18+BW13</f>
        <v>-264.28633000000002</v>
      </c>
      <c r="BX20" s="24">
        <f>BX18+BX13</f>
        <v>-207.63398999999998</v>
      </c>
      <c r="BY20" s="124">
        <f t="shared" ref="BY20" si="56">BW20-BX20</f>
        <v>-56.652340000000038</v>
      </c>
      <c r="BZ20" s="130">
        <f>+IF(IFERROR(BW20/BX20-1,"-")&lt;300%,IFERROR(BW20/BX20-1,"-"),"n.a.")</f>
        <v>0.27284713837074581</v>
      </c>
      <c r="CA20" s="24">
        <f>CA18+CA13</f>
        <v>-294.28332916333335</v>
      </c>
      <c r="CB20" s="24">
        <f t="shared" ref="CB20" si="57">BW20-CA20</f>
        <v>29.996999163333328</v>
      </c>
      <c r="CC20" s="130">
        <f t="shared" si="0"/>
        <v>-0.10193237669499233</v>
      </c>
      <c r="CD20" s="108"/>
      <c r="CE20" s="100" t="s">
        <v>10</v>
      </c>
      <c r="CF20" s="24">
        <f>CF18+CF13</f>
        <v>-280.72397999999998</v>
      </c>
      <c r="CG20" s="24">
        <f>CG18+CG13</f>
        <v>-421.09219999999993</v>
      </c>
      <c r="CH20" s="124">
        <f t="shared" ref="CH20" si="58">CF20-CG20</f>
        <v>140.36821999999995</v>
      </c>
      <c r="CI20" s="130">
        <f>+IF(IFERROR(CF20/CG20-1,"-")&lt;300%,IFERROR(CF20/CG20-1,"-"),"n.a.")</f>
        <v>-0.33334319657310196</v>
      </c>
      <c r="CJ20" s="24">
        <f>CJ18+CJ13</f>
        <v>-319.07268916333334</v>
      </c>
      <c r="CK20" s="24">
        <f t="shared" ref="CK20" si="59">CF20-CJ20</f>
        <v>38.348709163333353</v>
      </c>
      <c r="CL20" s="130">
        <f t="shared" ref="CL20" si="60">+IF(IFERROR(CF20/CJ20-1,"-")&lt;300%,IFERROR(CF20/CJ20-1,"-"),"n.a.")</f>
        <v>-0.12018800250153228</v>
      </c>
      <c r="CN20" s="100" t="s">
        <v>10</v>
      </c>
      <c r="CO20" s="24">
        <f>CO18+CO13</f>
        <v>-282.54820999999993</v>
      </c>
      <c r="CP20" s="24">
        <f>CP18+CP13</f>
        <v>-221.41196999999991</v>
      </c>
      <c r="CQ20" s="124">
        <f t="shared" ref="CQ20" si="61">CO20-CP20</f>
        <v>-61.136240000000015</v>
      </c>
      <c r="CR20" s="130">
        <f>+IF(IFERROR(CO20/CP20-1,"-")&lt;300%,IFERROR(CO20/CP20-1,"-"),"n.a.")</f>
        <v>0.27611985025019226</v>
      </c>
      <c r="CS20" s="24">
        <f>CS18+CS13</f>
        <v>-323.22268916333331</v>
      </c>
      <c r="CT20" s="24">
        <f t="shared" ref="CT20" si="62">CO20-CS20</f>
        <v>40.674479163333388</v>
      </c>
      <c r="CU20" s="130">
        <f t="shared" ref="CU20" si="63">+IF(IFERROR(CO20/CS20-1,"-")&lt;300%,IFERROR(CO20/CS20-1,"-"),"n.a.")</f>
        <v>-0.12584042063575385</v>
      </c>
      <c r="CW20" s="100" t="s">
        <v>10</v>
      </c>
      <c r="CX20" s="24">
        <f>CX18+CX13</f>
        <v>-682.07908000000009</v>
      </c>
      <c r="CY20" s="24">
        <f>CY18+CY13</f>
        <v>-363.88758000000007</v>
      </c>
      <c r="CZ20" s="124">
        <f t="shared" ref="CZ20" si="64">CX20-CY20</f>
        <v>-318.19150000000002</v>
      </c>
      <c r="DA20" s="130">
        <f>+IF(IFERROR(CX20/CY20-1,"-")&lt;300%,IFERROR(CX20/CY20-1,"-"),"n.a.")</f>
        <v>0.87442253456410901</v>
      </c>
      <c r="DB20" s="24">
        <f>DB18+DB13</f>
        <v>-487.31935583000001</v>
      </c>
      <c r="DC20" s="24">
        <f t="shared" ref="DC20" si="65">CX20-DB20</f>
        <v>-194.75972417000008</v>
      </c>
      <c r="DD20" s="130">
        <f t="shared" ref="DD20" si="66">+IF(IFERROR(CX20/DB20-1,"-")&lt;300%,IFERROR(CX20/DB20-1,"-"),"n.a.")</f>
        <v>0.39965521960088424</v>
      </c>
      <c r="DF20" s="100" t="s">
        <v>10</v>
      </c>
      <c r="DG20" s="24">
        <f>DG18+DG13</f>
        <v>-3521.9672752502938</v>
      </c>
      <c r="DH20" s="24">
        <f>DH18+DH13</f>
        <v>-3066.7221999999997</v>
      </c>
      <c r="DI20" s="124">
        <f t="shared" ref="DI20" si="67">DG20-DH20</f>
        <v>-455.24507525029412</v>
      </c>
      <c r="DJ20" s="130">
        <f>+IF(IFERROR(DG20/DH20-1,"-")&lt;300%,IFERROR(DG20/DH20-1,"-"),"n.a.")</f>
        <v>0.14844679288208562</v>
      </c>
      <c r="DK20" s="24">
        <f>DK18+DK13</f>
        <v>-4044.5730599600001</v>
      </c>
      <c r="DL20" s="24">
        <f t="shared" ref="DL20" si="68">DG20-DK20</f>
        <v>522.60578470970631</v>
      </c>
      <c r="DM20" s="130">
        <f t="shared" ref="DM20" si="69">+IF(IFERROR(DG20/DK20-1,"-")&lt;300%,IFERROR(DG20/DK20-1,"-"),"n.a.")</f>
        <v>-0.12921160700083256</v>
      </c>
    </row>
    <row r="21" spans="2:117" x14ac:dyDescent="0.35">
      <c r="B21" s="74" t="s">
        <v>6</v>
      </c>
      <c r="C21" s="101">
        <v>-0.21852005158722942</v>
      </c>
      <c r="D21" s="101">
        <v>-0.10549461941315379</v>
      </c>
      <c r="E21" s="83"/>
      <c r="F21" s="175"/>
      <c r="G21" s="101">
        <v>-0.39936561669311504</v>
      </c>
      <c r="H21" s="83"/>
      <c r="I21" s="84"/>
      <c r="K21" s="74" t="s">
        <v>6</v>
      </c>
      <c r="L21" s="101">
        <v>-0.13970494240061987</v>
      </c>
      <c r="M21" s="101">
        <v>-0.23014232252632472</v>
      </c>
      <c r="N21" s="83"/>
      <c r="O21" s="175"/>
      <c r="P21" s="101">
        <v>-0.18943182867803593</v>
      </c>
      <c r="Q21" s="83"/>
      <c r="R21" s="84"/>
      <c r="T21" s="74" t="s">
        <v>6</v>
      </c>
      <c r="U21" s="101">
        <v>-0.1674542660977168</v>
      </c>
      <c r="V21" s="101">
        <v>-0.17880497510000615</v>
      </c>
      <c r="W21" s="83"/>
      <c r="X21" s="113"/>
      <c r="Y21" s="101">
        <v>-0.17269852318379486</v>
      </c>
      <c r="Z21" s="83"/>
      <c r="AA21" s="113"/>
      <c r="AC21" s="74" t="s">
        <v>6</v>
      </c>
      <c r="AD21" s="101">
        <v>-0.16209292684450152</v>
      </c>
      <c r="AE21" s="101">
        <v>-0.15409636839979937</v>
      </c>
      <c r="AF21" s="83"/>
      <c r="AG21" s="113"/>
      <c r="AH21" s="101">
        <v>-0.15292760294384247</v>
      </c>
      <c r="AI21" s="83"/>
      <c r="AJ21" s="113"/>
      <c r="AL21" s="74" t="s">
        <v>6</v>
      </c>
      <c r="AM21" s="101">
        <v>-0.12110713312510939</v>
      </c>
      <c r="AN21" s="101">
        <v>-0.16788905570809612</v>
      </c>
      <c r="AO21" s="83"/>
      <c r="AP21" s="113"/>
      <c r="AQ21" s="101">
        <v>-0.17366580292493838</v>
      </c>
      <c r="AR21" s="83"/>
      <c r="AS21" s="113"/>
      <c r="AU21" s="74" t="s">
        <v>6</v>
      </c>
      <c r="AV21" s="101">
        <v>-0.1514112110105103</v>
      </c>
      <c r="AW21" s="101">
        <v>-0.12162291830168166</v>
      </c>
      <c r="AX21" s="83"/>
      <c r="AY21" s="113"/>
      <c r="AZ21" s="101">
        <v>-0.20940376401270436</v>
      </c>
      <c r="BA21" s="83"/>
      <c r="BB21" s="113"/>
      <c r="BD21" s="74" t="s">
        <v>6</v>
      </c>
      <c r="BE21" s="101">
        <v>-0.23519711721627973</v>
      </c>
      <c r="BF21" s="101">
        <v>-0.24428827561201102</v>
      </c>
      <c r="BG21" s="83"/>
      <c r="BH21" s="113"/>
      <c r="BI21" s="101">
        <v>-0.23006551547173992</v>
      </c>
      <c r="BJ21" s="83"/>
      <c r="BK21" s="113"/>
      <c r="BM21" s="74" t="s">
        <v>6</v>
      </c>
      <c r="BN21" s="101">
        <v>-0.34419829769072835</v>
      </c>
      <c r="BO21" s="101">
        <v>-0.30200292570196025</v>
      </c>
      <c r="BP21" s="83"/>
      <c r="BQ21" s="113"/>
      <c r="BR21" s="101">
        <v>-0.36176440768467533</v>
      </c>
      <c r="BS21" s="83"/>
      <c r="BT21" s="113"/>
      <c r="BV21" s="74" t="s">
        <v>6</v>
      </c>
      <c r="BW21" s="101">
        <f>BW20/BW8</f>
        <v>-0.42304434873795976</v>
      </c>
      <c r="BX21" s="101">
        <f>BX20/BX8</f>
        <v>-0.24656228094238675</v>
      </c>
      <c r="BY21" s="83"/>
      <c r="BZ21" s="113"/>
      <c r="CA21" s="101">
        <f>CA20/CA8</f>
        <v>-0.28666701962274044</v>
      </c>
      <c r="CB21" s="83"/>
      <c r="CC21" s="113"/>
      <c r="CD21" s="84"/>
      <c r="CE21" s="74" t="s">
        <v>6</v>
      </c>
      <c r="CF21" s="101">
        <f>CF20/CF8</f>
        <v>-0.30779281613726345</v>
      </c>
      <c r="CG21" s="101">
        <f>CG20/CG8</f>
        <v>-0.60191847019822842</v>
      </c>
      <c r="CH21" s="83"/>
      <c r="CI21" s="113"/>
      <c r="CJ21" s="101">
        <f>CJ20/CJ8</f>
        <v>-0.39955647508355391</v>
      </c>
      <c r="CK21" s="83"/>
      <c r="CL21" s="113"/>
      <c r="CN21" s="74" t="s">
        <v>6</v>
      </c>
      <c r="CO21" s="101">
        <f>CO20/CO8</f>
        <v>-0.23059102891323774</v>
      </c>
      <c r="CP21" s="101">
        <f>CP20/CP8</f>
        <v>-0.29533442454437292</v>
      </c>
      <c r="CQ21" s="83"/>
      <c r="CR21" s="113"/>
      <c r="CS21" s="101">
        <f>CS20/CS8</f>
        <v>-0.31373441645129024</v>
      </c>
      <c r="CT21" s="83"/>
      <c r="CU21" s="113"/>
      <c r="CW21" s="74" t="s">
        <v>6</v>
      </c>
      <c r="CX21" s="101">
        <f>CX20/CX8</f>
        <v>-0.59705416118722909</v>
      </c>
      <c r="CY21" s="101">
        <f>CY20/CY8</f>
        <v>-1.4643009237482831</v>
      </c>
      <c r="CZ21" s="83"/>
      <c r="DA21" s="113"/>
      <c r="DB21" s="101">
        <f>DB20/DB8</f>
        <v>-0.73842458423397939</v>
      </c>
      <c r="DC21" s="83"/>
      <c r="DD21" s="113"/>
      <c r="DF21" s="74" t="s">
        <v>6</v>
      </c>
      <c r="DG21" s="101">
        <f>DG20/DG8</f>
        <v>-0.23201365449606676</v>
      </c>
      <c r="DH21" s="101">
        <f>DH20/DH8</f>
        <v>-0.23999924864900163</v>
      </c>
      <c r="DI21" s="83"/>
      <c r="DJ21" s="113"/>
      <c r="DK21" s="101">
        <f>DK20/DK8</f>
        <v>-0.25375325053886644</v>
      </c>
      <c r="DL21" s="83"/>
      <c r="DM21" s="113"/>
    </row>
    <row r="22" spans="2:117" x14ac:dyDescent="0.35">
      <c r="B22" s="82" t="s">
        <v>11</v>
      </c>
      <c r="C22" s="110">
        <v>266.16781000000003</v>
      </c>
      <c r="D22" s="110">
        <v>38.544545000000184</v>
      </c>
      <c r="E22" s="110">
        <v>227.62326499999983</v>
      </c>
      <c r="F22" s="169">
        <v>5.905459903599815</v>
      </c>
      <c r="G22" s="110">
        <v>207.2243894348951</v>
      </c>
      <c r="H22" s="110">
        <v>58.94342056510493</v>
      </c>
      <c r="I22" s="125">
        <v>0.28444248635908531</v>
      </c>
      <c r="K22" s="82" t="s">
        <v>11</v>
      </c>
      <c r="L22" s="110">
        <v>908.7649100000001</v>
      </c>
      <c r="M22" s="110">
        <v>366.41347000000007</v>
      </c>
      <c r="N22" s="110">
        <v>542.35144000000003</v>
      </c>
      <c r="O22" s="169">
        <v>1.4801623968682154</v>
      </c>
      <c r="P22" s="110">
        <v>706.88924048916499</v>
      </c>
      <c r="Q22" s="110">
        <v>201.87566951083511</v>
      </c>
      <c r="R22" s="125">
        <v>0.28558316911308174</v>
      </c>
      <c r="T22" s="82" t="s">
        <v>11</v>
      </c>
      <c r="U22" s="110">
        <v>891.2498999999998</v>
      </c>
      <c r="V22" s="110">
        <v>964.14070000000015</v>
      </c>
      <c r="W22" s="110">
        <v>-72.890800000000354</v>
      </c>
      <c r="X22" s="125">
        <v>-7.5601828654262127E-2</v>
      </c>
      <c r="Y22" s="110">
        <v>1113.9671644897819</v>
      </c>
      <c r="Z22" s="110">
        <v>-222.71726448978211</v>
      </c>
      <c r="AA22" s="125">
        <v>-0.19993162418911226</v>
      </c>
      <c r="AC22" s="82" t="s">
        <v>11</v>
      </c>
      <c r="AD22" s="110">
        <v>718.93961999999988</v>
      </c>
      <c r="AE22" s="110">
        <v>857.85150999999985</v>
      </c>
      <c r="AF22" s="110">
        <v>-138.91188999999997</v>
      </c>
      <c r="AG22" s="125">
        <v>-0.1619299941548159</v>
      </c>
      <c r="AH22" s="110">
        <v>952.50804540953982</v>
      </c>
      <c r="AI22" s="110">
        <v>-233.56842540953994</v>
      </c>
      <c r="AJ22" s="125">
        <v>-0.24521412342413862</v>
      </c>
      <c r="AL22" s="82" t="s">
        <v>11</v>
      </c>
      <c r="AM22" s="110">
        <v>1068.41372</v>
      </c>
      <c r="AN22" s="110">
        <v>564.89395000000025</v>
      </c>
      <c r="AO22" s="110">
        <v>503.51976999999977</v>
      </c>
      <c r="AP22" s="125">
        <v>0.89135273974876084</v>
      </c>
      <c r="AQ22" s="110">
        <v>790.46312994236905</v>
      </c>
      <c r="AR22" s="110">
        <v>277.95059005763096</v>
      </c>
      <c r="AS22" s="125">
        <v>0.35163005019335403</v>
      </c>
      <c r="AU22" s="82" t="s">
        <v>11</v>
      </c>
      <c r="AV22" s="110">
        <v>921.59479999999974</v>
      </c>
      <c r="AW22" s="110">
        <v>1298.4036450000003</v>
      </c>
      <c r="AX22" s="110">
        <v>-376.80884500000059</v>
      </c>
      <c r="AY22" s="125">
        <v>-0.29020932469732896</v>
      </c>
      <c r="AZ22" s="110">
        <v>961.51268025486456</v>
      </c>
      <c r="BA22" s="110">
        <v>-39.917880254864826</v>
      </c>
      <c r="BB22" s="125">
        <v>-4.1515708606447044E-2</v>
      </c>
      <c r="BD22" s="82" t="s">
        <v>11</v>
      </c>
      <c r="BE22" s="110">
        <v>461.78104578100277</v>
      </c>
      <c r="BF22" s="110">
        <v>662.86745000000019</v>
      </c>
      <c r="BG22" s="110">
        <v>-201.08640421899742</v>
      </c>
      <c r="BH22" s="125">
        <v>-0.30335839272089371</v>
      </c>
      <c r="BI22" s="110">
        <v>574.93108526018455</v>
      </c>
      <c r="BJ22" s="110">
        <v>-113.15003947918177</v>
      </c>
      <c r="BK22" s="125">
        <v>-0.19680626492473585</v>
      </c>
      <c r="BM22" s="82" t="s">
        <v>11</v>
      </c>
      <c r="BN22" s="110">
        <v>244.72046896870404</v>
      </c>
      <c r="BO22" s="110">
        <v>364.61212000000006</v>
      </c>
      <c r="BP22" s="110">
        <v>-119.89165103129602</v>
      </c>
      <c r="BQ22" s="125">
        <v>-0.32881970854752718</v>
      </c>
      <c r="BR22" s="110">
        <v>228.7880178972764</v>
      </c>
      <c r="BS22" s="110">
        <v>15.932451071427636</v>
      </c>
      <c r="BT22" s="125">
        <v>6.9638485519731841E-2</v>
      </c>
      <c r="BV22" s="82" t="s">
        <v>11</v>
      </c>
      <c r="BW22" s="110">
        <f>BW10+BW20</f>
        <v>158.12649999999985</v>
      </c>
      <c r="BX22" s="110">
        <f>BX10+BX20</f>
        <v>369.1108900000001</v>
      </c>
      <c r="BY22" s="110">
        <f t="shared" ref="BY22" si="70">BW22-BX22</f>
        <v>-210.98439000000025</v>
      </c>
      <c r="BZ22" s="125">
        <f t="shared" si="6"/>
        <v>-0.57160163982157286</v>
      </c>
      <c r="CA22" s="110">
        <f>CA10+CA20</f>
        <v>379.72622892613975</v>
      </c>
      <c r="CB22" s="110">
        <f t="shared" ref="CB22" si="71">BW22-CA22</f>
        <v>-221.5997289261399</v>
      </c>
      <c r="CC22" s="125">
        <f t="shared" si="0"/>
        <v>-0.583577619994333</v>
      </c>
      <c r="CD22" s="106"/>
      <c r="CE22" s="82" t="s">
        <v>11</v>
      </c>
      <c r="CF22" s="110">
        <f>CF10+CF20</f>
        <v>329.22967000000006</v>
      </c>
      <c r="CG22" s="110">
        <f>CG10+CG20</f>
        <v>-82.582459999998093</v>
      </c>
      <c r="CH22" s="110">
        <f t="shared" ref="CH22" si="72">CF22-CG22</f>
        <v>411.81212999999815</v>
      </c>
      <c r="CI22" s="125">
        <f t="shared" ref="CI22:CI23" si="73">+IF(IFERROR(CF22/CG22-1,"-")&lt;300%,IFERROR(CF22/CG22-1,"-"),"n.a.")</f>
        <v>-4.9866779216798296</v>
      </c>
      <c r="CJ22" s="110">
        <f>CJ10+CJ20</f>
        <v>205.2390548679644</v>
      </c>
      <c r="CK22" s="110">
        <f t="shared" ref="CK22" si="74">CF22-CJ22</f>
        <v>123.99061513203566</v>
      </c>
      <c r="CL22" s="125">
        <f t="shared" ref="CL22" si="75">+IF(IFERROR(CF22/CJ22-1,"-")&lt;300%,IFERROR(CF22/CJ22-1,"-"),"n.a.")</f>
        <v>0.60412778265716538</v>
      </c>
      <c r="CN22" s="82" t="s">
        <v>11</v>
      </c>
      <c r="CO22" s="110">
        <f>CO10+CO20</f>
        <v>538.35029000000009</v>
      </c>
      <c r="CP22" s="110">
        <f>CP10+CP20</f>
        <v>252.5406500000004</v>
      </c>
      <c r="CQ22" s="110">
        <f t="shared" ref="CQ22" si="76">CO22-CP22</f>
        <v>285.80963999999972</v>
      </c>
      <c r="CR22" s="125">
        <f t="shared" ref="CR22:CR23" si="77">+IF(IFERROR(CO22/CP22-1,"-")&lt;300%,IFERROR(CO22/CP22-1,"-"),"n.a.")</f>
        <v>1.1317371678579242</v>
      </c>
      <c r="CS22" s="110">
        <f>CS10+CS20</f>
        <v>353.1994322583551</v>
      </c>
      <c r="CT22" s="110">
        <f t="shared" ref="CT22" si="78">CO22-CS22</f>
        <v>185.15085774164498</v>
      </c>
      <c r="CU22" s="125">
        <f t="shared" ref="CU22" si="79">+IF(IFERROR(CO22/CS22-1,"-")&lt;300%,IFERROR(CO22/CS22-1,"-"),"n.a.")</f>
        <v>0.52421051913303329</v>
      </c>
      <c r="CW22" s="82" t="s">
        <v>11</v>
      </c>
      <c r="CX22" s="110">
        <f>CX10+CX20</f>
        <v>11.182970000000068</v>
      </c>
      <c r="CY22" s="110">
        <f>CY10+CY20</f>
        <v>-231.81027</v>
      </c>
      <c r="CZ22" s="110">
        <f t="shared" ref="CZ22" si="80">CX22-CY22</f>
        <v>242.99324000000007</v>
      </c>
      <c r="DA22" s="125">
        <f t="shared" ref="DA22:DA23" si="81">+IF(IFERROR(CX22/CY22-1,"-")&lt;300%,IFERROR(CX22/CY22-1,"-"),"n.a.")</f>
        <v>-1.0482419092130821</v>
      </c>
      <c r="DB22" s="110">
        <f>DB10+DB20</f>
        <v>-54.021526300048379</v>
      </c>
      <c r="DC22" s="110">
        <f t="shared" ref="DC22" si="82">CX22-DB22</f>
        <v>65.204496300048447</v>
      </c>
      <c r="DD22" s="125">
        <f t="shared" ref="DD22" si="83">+IF(IFERROR(CX22/DB22-1,"-")&lt;300%,IFERROR(CX22/DB22-1,"-"),"n.a.")</f>
        <v>-1.2070095157602028</v>
      </c>
      <c r="DF22" s="82" t="s">
        <v>11</v>
      </c>
      <c r="DG22" s="110">
        <f>DG10+DG20</f>
        <v>6424.4998747497084</v>
      </c>
      <c r="DH22" s="110">
        <f>DH10+DH20</f>
        <v>5424.986200000003</v>
      </c>
      <c r="DI22" s="110">
        <f t="shared" ref="DI22" si="84">DG22-DH22</f>
        <v>999.51367474970539</v>
      </c>
      <c r="DJ22" s="125">
        <f t="shared" ref="DJ22:DJ23" si="85">+IF(IFERROR(DG22/DH22-1,"-")&lt;300%,IFERROR(DG22/DH22-1,"-"),"n.a.")</f>
        <v>0.18424262070006825</v>
      </c>
      <c r="DK22" s="110">
        <f>DK10+DK20</f>
        <v>6420.4269429304904</v>
      </c>
      <c r="DL22" s="110">
        <f t="shared" ref="DL22" si="86">DG22-DK22</f>
        <v>4.0729318192179562</v>
      </c>
      <c r="DM22" s="125">
        <f t="shared" ref="DM22" si="87">+IF(IFERROR(DG22/DK22-1,"-")&lt;300%,IFERROR(DG22/DK22-1,"-"),"n.a.")</f>
        <v>6.343708690124128E-4</v>
      </c>
    </row>
    <row r="23" spans="2:117" x14ac:dyDescent="0.35">
      <c r="B23" s="86" t="s">
        <v>12</v>
      </c>
      <c r="C23" s="101">
        <v>0.27054602108828907</v>
      </c>
      <c r="D23" s="101">
        <v>6.1940127832306131E-2</v>
      </c>
      <c r="E23" s="88"/>
      <c r="F23" s="180"/>
      <c r="G23" s="101">
        <v>0.25719998545660977</v>
      </c>
      <c r="H23" s="88"/>
      <c r="I23" s="89"/>
      <c r="K23" s="86" t="s">
        <v>12</v>
      </c>
      <c r="L23" s="101">
        <v>0.61802741602845412</v>
      </c>
      <c r="M23" s="101">
        <v>0.34487885817744501</v>
      </c>
      <c r="N23" s="88"/>
      <c r="O23" s="180"/>
      <c r="P23" s="101">
        <v>0.46713377347168872</v>
      </c>
      <c r="Q23" s="88"/>
      <c r="R23" s="89"/>
      <c r="T23" s="86" t="s">
        <v>12</v>
      </c>
      <c r="U23" s="101">
        <v>0.5810770984525182</v>
      </c>
      <c r="V23" s="101">
        <v>0.53708174533202457</v>
      </c>
      <c r="W23" s="88"/>
      <c r="X23" s="131">
        <v>8.1915562207938386E-2</v>
      </c>
      <c r="Y23" s="101">
        <v>0.48386707896592973</v>
      </c>
      <c r="Z23" s="88"/>
      <c r="AA23" s="131"/>
      <c r="AC23" s="86" t="s">
        <v>12</v>
      </c>
      <c r="AD23" s="101">
        <v>0.4917015690112756</v>
      </c>
      <c r="AE23" s="101">
        <v>0.55909734571861847</v>
      </c>
      <c r="AF23" s="88"/>
      <c r="AG23" s="131">
        <v>-0.12054390388979186</v>
      </c>
      <c r="AH23" s="101">
        <v>0.50363799920588226</v>
      </c>
      <c r="AI23" s="88"/>
      <c r="AJ23" s="131"/>
      <c r="AL23" s="86" t="s">
        <v>12</v>
      </c>
      <c r="AM23" s="101">
        <v>0.55475213010218005</v>
      </c>
      <c r="AN23" s="101">
        <v>0.38067805613607891</v>
      </c>
      <c r="AO23" s="88"/>
      <c r="AP23" s="131">
        <v>0.45727372818115852</v>
      </c>
      <c r="AQ23" s="101">
        <v>0.48289979922478626</v>
      </c>
      <c r="AR23" s="88"/>
      <c r="AS23" s="131"/>
      <c r="AU23" s="86" t="s">
        <v>12</v>
      </c>
      <c r="AV23" s="101">
        <v>0.46965944396930953</v>
      </c>
      <c r="AW23" s="101">
        <v>0.73733470210830343</v>
      </c>
      <c r="AX23" s="88"/>
      <c r="AY23" s="131">
        <v>-0.36303086966287446</v>
      </c>
      <c r="AZ23" s="101">
        <v>0.44716183813702026</v>
      </c>
      <c r="BA23" s="88"/>
      <c r="BB23" s="131"/>
      <c r="BD23" s="86" t="s">
        <v>12</v>
      </c>
      <c r="BE23" s="101">
        <v>0.35778834876712318</v>
      </c>
      <c r="BF23" s="101">
        <v>0.50424871513339542</v>
      </c>
      <c r="BG23" s="88"/>
      <c r="BH23" s="131">
        <v>-0.29045263174845615</v>
      </c>
      <c r="BI23" s="101">
        <v>0.42650008667798467</v>
      </c>
      <c r="BJ23" s="88"/>
      <c r="BK23" s="131"/>
      <c r="BM23" s="86" t="s">
        <v>12</v>
      </c>
      <c r="BN23" s="101">
        <v>0.31051753559623863</v>
      </c>
      <c r="BO23" s="101">
        <v>0.54870398650744723</v>
      </c>
      <c r="BP23" s="88"/>
      <c r="BQ23" s="131">
        <v>-0.43408915693740058</v>
      </c>
      <c r="BR23" s="101">
        <v>0.29480119446504927</v>
      </c>
      <c r="BS23" s="88"/>
      <c r="BT23" s="131"/>
      <c r="BV23" s="86" t="s">
        <v>12</v>
      </c>
      <c r="BW23" s="101">
        <f>BW22/BW8</f>
        <v>0.25311381867807137</v>
      </c>
      <c r="BX23" s="101">
        <f>BX22/BX8</f>
        <v>0.43831370267977054</v>
      </c>
      <c r="BY23" s="88"/>
      <c r="BZ23" s="131">
        <f t="shared" si="6"/>
        <v>-0.42252816389134229</v>
      </c>
      <c r="CA23" s="101">
        <f>CA22/CA8</f>
        <v>0.36989858252698421</v>
      </c>
      <c r="CB23" s="88"/>
      <c r="CC23" s="131"/>
      <c r="CD23" s="89"/>
      <c r="CE23" s="86" t="s">
        <v>12</v>
      </c>
      <c r="CF23" s="101">
        <f>CF22/CF8</f>
        <v>0.36097567185119683</v>
      </c>
      <c r="CG23" s="101">
        <f>CG22/CG8</f>
        <v>-0.11804518817590365</v>
      </c>
      <c r="CH23" s="88"/>
      <c r="CI23" s="131">
        <f t="shared" si="73"/>
        <v>-4.0579448212094267</v>
      </c>
      <c r="CJ23" s="101">
        <f>CJ22/CJ8</f>
        <v>0.25700912706617085</v>
      </c>
      <c r="CK23" s="88"/>
      <c r="CL23" s="131"/>
      <c r="CN23" s="86" t="s">
        <v>12</v>
      </c>
      <c r="CO23" s="101">
        <f>CO22/CO8</f>
        <v>0.43935421600030655</v>
      </c>
      <c r="CP23" s="101">
        <f>CP22/CP8</f>
        <v>0.3368559863399076</v>
      </c>
      <c r="CQ23" s="88"/>
      <c r="CR23" s="131">
        <f t="shared" si="77"/>
        <v>0.30427908013180494</v>
      </c>
      <c r="CS23" s="101">
        <f>CS22/CS8</f>
        <v>0.3428311856984344</v>
      </c>
      <c r="CT23" s="88"/>
      <c r="CU23" s="131"/>
      <c r="CW23" s="86" t="s">
        <v>12</v>
      </c>
      <c r="CX23" s="101">
        <f>CX22/CX8</f>
        <v>9.7889511182955302E-3</v>
      </c>
      <c r="CY23" s="101">
        <f>CY22/CY8</f>
        <v>-0.9328155484046442</v>
      </c>
      <c r="CZ23" s="88"/>
      <c r="DA23" s="131">
        <f t="shared" si="81"/>
        <v>-1.0104939836552222</v>
      </c>
      <c r="DB23" s="101">
        <f>DB22/DB8</f>
        <v>-8.1857661963490758E-2</v>
      </c>
      <c r="DC23" s="88"/>
      <c r="DD23" s="131"/>
      <c r="DF23" s="86" t="s">
        <v>12</v>
      </c>
      <c r="DG23" s="101">
        <f>DG22/DG8</f>
        <v>0.42322133562251041</v>
      </c>
      <c r="DH23" s="101">
        <f>DH22/DH8</f>
        <v>0.42455512009897839</v>
      </c>
      <c r="DI23" s="88"/>
      <c r="DJ23" s="131">
        <f t="shared" si="85"/>
        <v>-3.1416049726523676E-3</v>
      </c>
      <c r="DK23" s="101">
        <f>DK22/DK8</f>
        <v>0.40281240626965992</v>
      </c>
      <c r="DL23" s="88"/>
      <c r="DM23" s="131"/>
    </row>
    <row r="24" spans="2:117" x14ac:dyDescent="0.35">
      <c r="B24" s="86"/>
      <c r="C24" s="91"/>
      <c r="D24" s="91"/>
      <c r="E24" s="92"/>
      <c r="F24" s="173"/>
      <c r="G24" s="93"/>
      <c r="H24" s="92"/>
      <c r="I24" s="94"/>
      <c r="K24" s="86"/>
      <c r="L24" s="91"/>
      <c r="M24" s="91"/>
      <c r="N24" s="92"/>
      <c r="O24" s="173"/>
      <c r="P24" s="93"/>
      <c r="Q24" s="92"/>
      <c r="R24" s="94"/>
      <c r="T24" s="86"/>
      <c r="U24" s="91"/>
      <c r="V24" s="91"/>
      <c r="W24" s="92"/>
      <c r="X24" s="129"/>
      <c r="Y24" s="93"/>
      <c r="Z24" s="92"/>
      <c r="AA24" s="129"/>
      <c r="AC24" s="86"/>
      <c r="AD24" s="91"/>
      <c r="AE24" s="91"/>
      <c r="AF24" s="92"/>
      <c r="AG24" s="129"/>
      <c r="AH24" s="93"/>
      <c r="AI24" s="92"/>
      <c r="AJ24" s="129"/>
      <c r="AL24" s="86"/>
      <c r="AM24" s="91"/>
      <c r="AN24" s="91"/>
      <c r="AO24" s="92"/>
      <c r="AP24" s="129"/>
      <c r="AQ24" s="93"/>
      <c r="AR24" s="92"/>
      <c r="AS24" s="129"/>
      <c r="AU24" s="86"/>
      <c r="AV24" s="91"/>
      <c r="AW24" s="91"/>
      <c r="AX24" s="92"/>
      <c r="AY24" s="129"/>
      <c r="AZ24" s="93"/>
      <c r="BA24" s="92"/>
      <c r="BB24" s="129"/>
      <c r="BD24" s="86"/>
      <c r="BE24" s="91"/>
      <c r="BF24" s="91"/>
      <c r="BG24" s="92"/>
      <c r="BH24" s="129"/>
      <c r="BI24" s="93"/>
      <c r="BJ24" s="92"/>
      <c r="BK24" s="129"/>
      <c r="BM24" s="86"/>
      <c r="BN24" s="91"/>
      <c r="BO24" s="91"/>
      <c r="BP24" s="92"/>
      <c r="BQ24" s="129"/>
      <c r="BR24" s="93"/>
      <c r="BS24" s="92"/>
      <c r="BT24" s="129"/>
      <c r="BV24" s="86"/>
      <c r="BW24" s="91"/>
      <c r="BX24" s="91"/>
      <c r="BY24" s="92"/>
      <c r="BZ24" s="129"/>
      <c r="CA24" s="93"/>
      <c r="CB24" s="92"/>
      <c r="CC24" s="129"/>
      <c r="CD24" s="94"/>
      <c r="CE24" s="86"/>
      <c r="CF24" s="91"/>
      <c r="CG24" s="91"/>
      <c r="CH24" s="92"/>
      <c r="CI24" s="129"/>
      <c r="CJ24" s="93"/>
      <c r="CK24" s="92"/>
      <c r="CL24" s="129"/>
      <c r="CN24" s="86"/>
      <c r="CO24" s="91"/>
      <c r="CP24" s="91"/>
      <c r="CQ24" s="92"/>
      <c r="CR24" s="129"/>
      <c r="CS24" s="93"/>
      <c r="CT24" s="92"/>
      <c r="CU24" s="129"/>
      <c r="CW24" s="86"/>
      <c r="CX24" s="91"/>
      <c r="CY24" s="91"/>
      <c r="CZ24" s="92"/>
      <c r="DA24" s="129"/>
      <c r="DB24" s="93"/>
      <c r="DC24" s="92"/>
      <c r="DD24" s="129"/>
      <c r="DF24" s="86"/>
      <c r="DG24" s="91"/>
      <c r="DH24" s="91"/>
      <c r="DI24" s="92"/>
      <c r="DJ24" s="129"/>
      <c r="DK24" s="93"/>
      <c r="DL24" s="92"/>
      <c r="DM24" s="129"/>
    </row>
    <row r="25" spans="2:117" x14ac:dyDescent="0.35">
      <c r="B25" s="74" t="s">
        <v>13</v>
      </c>
      <c r="C25" s="23">
        <v>-19.13287</v>
      </c>
      <c r="D25" s="3">
        <v>0</v>
      </c>
      <c r="E25" s="112">
        <v>-19.13287</v>
      </c>
      <c r="F25" s="113" t="s">
        <v>62</v>
      </c>
      <c r="G25" s="119">
        <v>-20.833333</v>
      </c>
      <c r="H25" s="112">
        <v>1.7004629999999992</v>
      </c>
      <c r="I25" s="170">
        <v>-8.1622225305955573E-2</v>
      </c>
      <c r="K25" s="74" t="s">
        <v>13</v>
      </c>
      <c r="L25" s="23">
        <v>-19.13287</v>
      </c>
      <c r="M25" s="3">
        <v>0</v>
      </c>
      <c r="N25" s="112">
        <v>-19.13287</v>
      </c>
      <c r="O25" s="113" t="s">
        <v>62</v>
      </c>
      <c r="P25" s="119">
        <v>-20.833333</v>
      </c>
      <c r="Q25" s="112">
        <v>1.7004629999999992</v>
      </c>
      <c r="R25" s="170">
        <v>-8.1622225305955573E-2</v>
      </c>
      <c r="T25" s="74" t="s">
        <v>13</v>
      </c>
      <c r="U25" s="23">
        <v>-18.903549999999999</v>
      </c>
      <c r="V25" s="3">
        <v>0</v>
      </c>
      <c r="W25" s="112">
        <v>-18.903549999999999</v>
      </c>
      <c r="X25" s="113" t="s">
        <v>62</v>
      </c>
      <c r="Y25" s="119">
        <v>-20.833333</v>
      </c>
      <c r="Z25" s="112">
        <v>1.9297830000000005</v>
      </c>
      <c r="AA25" s="113">
        <v>-9.262958548207334E-2</v>
      </c>
      <c r="AC25" s="74" t="s">
        <v>13</v>
      </c>
      <c r="AD25" s="23">
        <v>-18.903549999999999</v>
      </c>
      <c r="AE25" s="3">
        <v>0</v>
      </c>
      <c r="AF25" s="112">
        <v>-18.903549999999999</v>
      </c>
      <c r="AG25" s="113" t="s">
        <v>62</v>
      </c>
      <c r="AH25" s="119">
        <v>-20.833333</v>
      </c>
      <c r="AI25" s="112">
        <v>1.9297830000000005</v>
      </c>
      <c r="AJ25" s="113">
        <v>-9.262958548207334E-2</v>
      </c>
      <c r="AL25" s="74" t="s">
        <v>13</v>
      </c>
      <c r="AM25" s="23">
        <v>-19.189679999999999</v>
      </c>
      <c r="AN25" s="3">
        <v>0</v>
      </c>
      <c r="AO25" s="112">
        <v>-19.189679999999999</v>
      </c>
      <c r="AP25" s="113" t="s">
        <v>62</v>
      </c>
      <c r="AQ25" s="119">
        <v>-20.833333</v>
      </c>
      <c r="AR25" s="112">
        <v>1.6436530000000005</v>
      </c>
      <c r="AS25" s="113">
        <v>-7.8895345262325556E-2</v>
      </c>
      <c r="AU25" s="74" t="s">
        <v>13</v>
      </c>
      <c r="AV25" s="23">
        <v>-19.06025</v>
      </c>
      <c r="AW25" s="3">
        <v>0</v>
      </c>
      <c r="AX25" s="112">
        <v>-19.06025</v>
      </c>
      <c r="AY25" s="113" t="s">
        <v>62</v>
      </c>
      <c r="AZ25" s="119">
        <v>-20.833333</v>
      </c>
      <c r="BA25" s="112">
        <v>1.7730829999999997</v>
      </c>
      <c r="BB25" s="113">
        <v>-8.51079853617277E-2</v>
      </c>
      <c r="BD25" s="74" t="s">
        <v>13</v>
      </c>
      <c r="BE25" s="3">
        <v>-19.225290000000001</v>
      </c>
      <c r="BF25" s="3">
        <v>0</v>
      </c>
      <c r="BG25" s="112">
        <v>-19.225290000000001</v>
      </c>
      <c r="BH25" s="113" t="s">
        <v>62</v>
      </c>
      <c r="BI25" s="119">
        <v>-20.833333</v>
      </c>
      <c r="BJ25" s="112">
        <v>1.6080429999999986</v>
      </c>
      <c r="BK25" s="113">
        <v>-7.7186065234976953E-2</v>
      </c>
      <c r="BM25" s="74" t="s">
        <v>13</v>
      </c>
      <c r="BN25" s="3">
        <v>-19.225290000000001</v>
      </c>
      <c r="BO25" s="3">
        <v>0</v>
      </c>
      <c r="BP25" s="112">
        <v>-19.225290000000001</v>
      </c>
      <c r="BQ25" s="113" t="s">
        <v>62</v>
      </c>
      <c r="BR25" s="119">
        <v>-20.833333</v>
      </c>
      <c r="BS25" s="112">
        <v>1.6080429999999986</v>
      </c>
      <c r="BT25" s="113">
        <v>-7.7186065234976953E-2</v>
      </c>
      <c r="BV25" s="74" t="s">
        <v>13</v>
      </c>
      <c r="BW25" s="3">
        <f>GETPIVOTDATA("sep-26 ",TABLA!$B$3,"Nivel 4","8.- Amortización del inmovilizado")/1000</f>
        <v>-19.342670000000002</v>
      </c>
      <c r="BX25" s="3">
        <f>VLOOKUP(BV25,'P&amp;L Mensualitzada 2025'!$A$5:$N$25,$BW$3+1,0)</f>
        <v>0</v>
      </c>
      <c r="BY25" s="112">
        <f t="shared" ref="BY25:BY27" si="88">BW25-BX25</f>
        <v>-19.342670000000002</v>
      </c>
      <c r="BZ25" s="113" t="str">
        <f>+IF(IFERROR(BW25/BX25-1,"-")&lt;300%,IFERROR(BW25/BX25-1,"-"),"n.a.")</f>
        <v>n.a.</v>
      </c>
      <c r="CA25" s="119">
        <f>VLOOKUP(BV25,'Budget26 sin EI'!$B:$O,$BW$3+1,0)</f>
        <v>-20.833333</v>
      </c>
      <c r="CB25" s="112">
        <f t="shared" ref="CB25:CB27" si="89">BW25-CA25</f>
        <v>1.4906629999999979</v>
      </c>
      <c r="CC25" s="113">
        <f>+IF(IFERROR(BW25/CA25-1,"-")&lt;300%,IFERROR(BW25/CA25-1,"-"),"n.a.")</f>
        <v>-7.1551825144829051E-2</v>
      </c>
      <c r="CD25" s="84"/>
      <c r="CE25" s="74" t="s">
        <v>13</v>
      </c>
      <c r="CF25" s="3">
        <f>GETPIVOTDATA("oct-26 ",TABLA!$B$3,"Nivel 4","8.- Amortización del inmovilizado")/1000</f>
        <v>-19.225349999999999</v>
      </c>
      <c r="CG25" s="3">
        <f>VLOOKUP(CE25,'P&amp;L Mensualitzada 2025'!$A$5:$N$25,$CF$3+1,0)</f>
        <v>-194.71201000000002</v>
      </c>
      <c r="CH25" s="112">
        <f t="shared" ref="CH25:CH27" si="90">CF25-CG25</f>
        <v>175.48666000000003</v>
      </c>
      <c r="CI25" s="113">
        <f>+IF(IFERROR(CF25/CG25-1,"-")&lt;300%,IFERROR(CF25/CG25-1,"-"),"n.a.")</f>
        <v>-0.90126263911507054</v>
      </c>
      <c r="CJ25" s="119">
        <f>VLOOKUP(CE25,'Budget26 sin EI'!$B:$O,$CF$3+1,0)</f>
        <v>-20.833333</v>
      </c>
      <c r="CK25" s="112">
        <f t="shared" ref="CK25:CK27" si="91">CF25-CJ25</f>
        <v>1.6079830000000008</v>
      </c>
      <c r="CL25" s="113">
        <f>+IF(IFERROR(CF25/CJ25-1,"-")&lt;300%,IFERROR(CF25/CJ25-1,"-"),"n.a.")</f>
        <v>-7.7183185234930951E-2</v>
      </c>
      <c r="CN25" s="74" t="s">
        <v>13</v>
      </c>
      <c r="CO25" s="3">
        <f>GETPIVOTDATA("nov-26 ",TABLA!$B$3,"Nivel 4","8.- Amortización del inmovilizado")/1000</f>
        <v>-19.225349999999999</v>
      </c>
      <c r="CP25" s="3">
        <f>VLOOKUP(CN25,'P&amp;L Mensualitzada 2025'!$A$5:$N$25,$CO$3+1,0)</f>
        <v>-19.471199999999982</v>
      </c>
      <c r="CQ25" s="112">
        <f t="shared" ref="CQ25:CQ27" si="92">CO25-CP25</f>
        <v>0.24584999999998303</v>
      </c>
      <c r="CR25" s="113">
        <f>+IF(IFERROR(CO25/CP25-1,"-")&lt;300%,IFERROR(CO25/CP25-1,"-"),"n.a.")</f>
        <v>-1.2626340441266204E-2</v>
      </c>
      <c r="CS25" s="119">
        <f>VLOOKUP(CN25,'Budget26 sin EI'!$B:$O,$CO$3+1,0)</f>
        <v>-20.833333</v>
      </c>
      <c r="CT25" s="112">
        <f t="shared" ref="CT25:CT27" si="93">CO25-CS25</f>
        <v>1.6079830000000008</v>
      </c>
      <c r="CU25" s="113">
        <f>+IF(IFERROR(CO25/CS25-1,"-")&lt;300%,IFERROR(CO25/CS25-1,"-"),"n.a.")</f>
        <v>-7.7183185234930951E-2</v>
      </c>
      <c r="CW25" s="74" t="s">
        <v>13</v>
      </c>
      <c r="CX25" s="3">
        <f>GETPIVOTDATA("dic-26 ",TABLA!$B$3,"Nivel 4","8.- Amortización del inmovilizado")/1000</f>
        <v>-19.225349999999999</v>
      </c>
      <c r="CY25" s="3">
        <f>VLOOKUP(CW25,'P&amp;L Mensualitzada 2025'!$A$5:$N$25,$CX$3+1,0)</f>
        <v>-34.072369999999999</v>
      </c>
      <c r="CZ25" s="112">
        <f t="shared" ref="CZ25:CZ27" si="94">CX25-CY25</f>
        <v>14.847020000000001</v>
      </c>
      <c r="DA25" s="113">
        <f>+IF(IFERROR(CX25/CY25-1,"-")&lt;300%,IFERROR(CX25/CY25-1,"-"),"n.a.")</f>
        <v>-0.43574955308362762</v>
      </c>
      <c r="DB25" s="119">
        <f>VLOOKUP(CW25,'Budget26 sin EI'!$B:$O,$CX$3+1,0)</f>
        <v>-20.833333</v>
      </c>
      <c r="DC25" s="112">
        <f t="shared" ref="DC25:DC27" si="95">CX25-DB25</f>
        <v>1.6079830000000008</v>
      </c>
      <c r="DD25" s="113">
        <f>+IF(IFERROR(CX25/DB25-1,"-")&lt;300%,IFERROR(CX25/DB25-1,"-"),"n.a.")</f>
        <v>-7.7183185234930951E-2</v>
      </c>
      <c r="DF25" s="74" t="s">
        <v>13</v>
      </c>
      <c r="DG25" s="3">
        <f>GETPIVOTDATA("Total 2026 ",TABLA!$B$3,"Nivel 4","8.- Amortización del inmovilizado")/1000</f>
        <v>-229.67474999999999</v>
      </c>
      <c r="DH25" s="3">
        <f>VLOOKUP(DF25,'P&amp;L Mensualitzada 2025'!$A$5:$N$25,$CX$3+2,0)</f>
        <v>-248.25558000000001</v>
      </c>
      <c r="DI25" s="112">
        <f t="shared" ref="DI25:DI27" si="96">DG25-DH25</f>
        <v>18.58083000000002</v>
      </c>
      <c r="DJ25" s="113">
        <f>+IF(IFERROR(DG25/DH25-1,"-")&lt;300%,IFERROR(DG25/DH25-1,"-"),"n.a.")</f>
        <v>-7.4845568425894071E-2</v>
      </c>
      <c r="DK25" s="119">
        <f>VLOOKUP(DF25,'Budget26 sin EI'!$B:$O,$CX$3+2,0)</f>
        <v>-249.99999600000004</v>
      </c>
      <c r="DL25" s="112">
        <f t="shared" ref="DL25:DL27" si="97">DG25-DK25</f>
        <v>20.32524600000005</v>
      </c>
      <c r="DM25" s="113">
        <f>+IF(IFERROR(DG25/DK25-1,"-")&lt;300%,IFERROR(DG25/DK25-1,"-"),"n.a.")</f>
        <v>-8.1300985300815976E-2</v>
      </c>
    </row>
    <row r="26" spans="2:117" ht="14.5" customHeight="1" x14ac:dyDescent="0.35">
      <c r="B26" s="74" t="s">
        <v>14</v>
      </c>
      <c r="C26" s="23">
        <v>3.0652699999999999</v>
      </c>
      <c r="D26" s="3">
        <v>0.92147000000000001</v>
      </c>
      <c r="E26" s="112">
        <v>2.1437999999999997</v>
      </c>
      <c r="F26" s="113">
        <v>2.3265000488350132</v>
      </c>
      <c r="G26" s="119">
        <v>0</v>
      </c>
      <c r="H26" s="112">
        <v>3.0652699999999999</v>
      </c>
      <c r="I26" s="170" t="s">
        <v>62</v>
      </c>
      <c r="K26" s="74" t="s">
        <v>14</v>
      </c>
      <c r="L26" s="23">
        <v>2.0000000000000002E-5</v>
      </c>
      <c r="M26" s="3">
        <v>3.1829999999999997E-2</v>
      </c>
      <c r="N26" s="112">
        <v>-3.1809999999999998E-2</v>
      </c>
      <c r="O26" s="113">
        <v>-0.9993716619541313</v>
      </c>
      <c r="P26" s="119">
        <v>0</v>
      </c>
      <c r="Q26" s="112">
        <v>2.0000000000000002E-5</v>
      </c>
      <c r="R26" s="170" t="s">
        <v>62</v>
      </c>
      <c r="T26" s="74" t="s">
        <v>14</v>
      </c>
      <c r="U26" s="23">
        <v>1.99986</v>
      </c>
      <c r="V26" s="3">
        <v>-1.0000000000000001E-5</v>
      </c>
      <c r="W26" s="112">
        <v>1.99987</v>
      </c>
      <c r="X26" s="113" t="s">
        <v>62</v>
      </c>
      <c r="Y26" s="119">
        <v>0</v>
      </c>
      <c r="Z26" s="112">
        <v>1.99986</v>
      </c>
      <c r="AA26" s="113" t="s">
        <v>62</v>
      </c>
      <c r="AC26" s="74" t="s">
        <v>14</v>
      </c>
      <c r="AD26" s="23">
        <v>1.0242599999999999</v>
      </c>
      <c r="AE26" s="3">
        <v>2.0000000000000002E-5</v>
      </c>
      <c r="AF26" s="112">
        <v>1.02424</v>
      </c>
      <c r="AG26" s="113" t="s">
        <v>62</v>
      </c>
      <c r="AH26" s="119">
        <v>0</v>
      </c>
      <c r="AI26" s="112">
        <v>1.0242599999999999</v>
      </c>
      <c r="AJ26" s="113" t="s">
        <v>62</v>
      </c>
      <c r="AL26" s="74" t="s">
        <v>14</v>
      </c>
      <c r="AM26" s="23">
        <v>0</v>
      </c>
      <c r="AN26" s="3">
        <v>3.1E-4</v>
      </c>
      <c r="AO26" s="112">
        <v>-3.1E-4</v>
      </c>
      <c r="AP26" s="113" t="s">
        <v>62</v>
      </c>
      <c r="AQ26" s="119">
        <v>0</v>
      </c>
      <c r="AR26" s="112">
        <v>0</v>
      </c>
      <c r="AS26" s="113" t="s">
        <v>62</v>
      </c>
      <c r="AU26" s="74" t="s">
        <v>14</v>
      </c>
      <c r="AV26" s="23">
        <v>0</v>
      </c>
      <c r="AW26" s="3">
        <v>2.2800000000000003E-3</v>
      </c>
      <c r="AX26" s="112">
        <v>-2.2800000000000003E-3</v>
      </c>
      <c r="AY26" s="113" t="s">
        <v>62</v>
      </c>
      <c r="AZ26" s="119">
        <v>0</v>
      </c>
      <c r="BA26" s="112">
        <v>0</v>
      </c>
      <c r="BB26" s="113" t="s">
        <v>62</v>
      </c>
      <c r="BD26" s="74" t="s">
        <v>14</v>
      </c>
      <c r="BE26" s="23">
        <v>-8.8029999999999997E-2</v>
      </c>
      <c r="BF26" s="3">
        <v>3.5699999999999998E-3</v>
      </c>
      <c r="BG26" s="112">
        <v>-9.1600000000000001E-2</v>
      </c>
      <c r="BH26" s="113" t="s">
        <v>62</v>
      </c>
      <c r="BI26" s="119">
        <v>0</v>
      </c>
      <c r="BJ26" s="112">
        <v>-8.8029999999999997E-2</v>
      </c>
      <c r="BK26" s="113" t="s">
        <v>62</v>
      </c>
      <c r="BM26" s="74" t="s">
        <v>14</v>
      </c>
      <c r="BN26" s="23">
        <v>-0.01</v>
      </c>
      <c r="BO26" s="3">
        <v>0.47300999999999999</v>
      </c>
      <c r="BP26" s="112">
        <v>-0.48300999999999999</v>
      </c>
      <c r="BQ26" s="113" t="s">
        <v>62</v>
      </c>
      <c r="BR26" s="119">
        <v>0</v>
      </c>
      <c r="BS26" s="112">
        <v>-0.01</v>
      </c>
      <c r="BT26" s="113" t="s">
        <v>62</v>
      </c>
      <c r="BV26" s="74" t="s">
        <v>14</v>
      </c>
      <c r="BW26" s="23">
        <f>GETPIVOTDATA("sep-26 ",TABLA!$B$3,"Nivel 4","13.- Otros resultados")+GETPIVOTDATA("ago-26 ",TABLA!$B$3,"Nivel 4","11.- Deterioro y resultado por enajenaciones del inmovilizado")/1000</f>
        <v>0.2</v>
      </c>
      <c r="BX26" s="3">
        <f>VLOOKUP(BV26,'P&amp;L Mensualitzada 2025'!$A$5:$N$25,$BW$3+1,0)</f>
        <v>-4.0640000000000003E-2</v>
      </c>
      <c r="BY26" s="112">
        <f t="shared" si="88"/>
        <v>0.24064000000000002</v>
      </c>
      <c r="BZ26" s="113" t="s">
        <v>62</v>
      </c>
      <c r="CA26" s="119">
        <f>VLOOKUP(BV26,'Budget26 sin EI'!$B:$O,$BW$3+1,0)</f>
        <v>0</v>
      </c>
      <c r="CB26" s="112">
        <f t="shared" si="89"/>
        <v>0.2</v>
      </c>
      <c r="CC26" s="113" t="str">
        <f>+IF(IFERROR(BW26/CA26-1,"-")&lt;300%,IFERROR(BW26/CA26-1,"-"),"n.a.")</f>
        <v>n.a.</v>
      </c>
      <c r="CD26" s="84"/>
      <c r="CE26" s="74" t="s">
        <v>14</v>
      </c>
      <c r="CF26" s="23">
        <f>GETPIVOTDATA("oct-26 ",TABLA!$B$3,"Nivel 4","13.- Otros resultados")+GETPIVOTDATA("ago-26 ",TABLA!$B$3,"Nivel 4","11.- Deterioro y resultado por enajenaciones del inmovilizado")/1000</f>
        <v>0</v>
      </c>
      <c r="CG26" s="3">
        <f>VLOOKUP(CE26,'P&amp;L Mensualitzada 2025'!$A$5:$N$25,$CF$3+1,0)</f>
        <v>0.81001000000000012</v>
      </c>
      <c r="CH26" s="112">
        <f t="shared" si="90"/>
        <v>-0.81001000000000012</v>
      </c>
      <c r="CI26" s="113" t="s">
        <v>62</v>
      </c>
      <c r="CJ26" s="119">
        <f>VLOOKUP(CE26,'Budget26 sin EI'!$B:$O,$CF$3+1,0)</f>
        <v>0</v>
      </c>
      <c r="CK26" s="112">
        <f t="shared" si="91"/>
        <v>0</v>
      </c>
      <c r="CL26" s="113" t="str">
        <f>+IF(IFERROR(CF26/CJ26-1,"-")&lt;300%,IFERROR(CF26/CJ26-1,"-"),"n.a.")</f>
        <v>n.a.</v>
      </c>
      <c r="CN26" s="74" t="s">
        <v>14</v>
      </c>
      <c r="CO26" s="23">
        <f>GETPIVOTDATA("nov-26 ",TABLA!$B$3,"Nivel 4","13.- Otros resultados")+GETPIVOTDATA("ago-26 ",TABLA!$B$3,"Nivel 4","11.- Deterioro y resultado por enajenaciones del inmovilizado")/1000</f>
        <v>0</v>
      </c>
      <c r="CP26" s="3">
        <f>VLOOKUP(CN26,'P&amp;L Mensualitzada 2025'!$A$5:$N$25,$CO$3+1,0)</f>
        <v>4.4300000000002913E-3</v>
      </c>
      <c r="CQ26" s="112">
        <f t="shared" si="92"/>
        <v>-4.4300000000002913E-3</v>
      </c>
      <c r="CR26" s="113" t="s">
        <v>62</v>
      </c>
      <c r="CS26" s="119">
        <f>VLOOKUP(CN26,'Budget26 sin EI'!$B:$O,$CO$3+1,0)</f>
        <v>0</v>
      </c>
      <c r="CT26" s="112">
        <f t="shared" si="93"/>
        <v>0</v>
      </c>
      <c r="CU26" s="113" t="str">
        <f>+IF(IFERROR(CO26/CS26-1,"-")&lt;300%,IFERROR(CO26/CS26-1,"-"),"n.a.")</f>
        <v>n.a.</v>
      </c>
      <c r="CW26" s="74" t="s">
        <v>14</v>
      </c>
      <c r="CX26" s="23">
        <f>GETPIVOTDATA("dic-26 ",TABLA!$B$3,"Nivel 4","13.- Otros resultados")+GETPIVOTDATA("ago-26 ",TABLA!$B$3,"Nivel 4","11.- Deterioro y resultado por enajenaciones del inmovilizado")/1000</f>
        <v>0</v>
      </c>
      <c r="CY26" s="3">
        <f>VLOOKUP(CW26,'P&amp;L Mensualitzada 2025'!$A$5:$N$25,$CX$3+1,0)</f>
        <v>0.15045</v>
      </c>
      <c r="CZ26" s="112">
        <f t="shared" si="94"/>
        <v>-0.15045</v>
      </c>
      <c r="DA26" s="113" t="s">
        <v>62</v>
      </c>
      <c r="DB26" s="119">
        <f>VLOOKUP(CW26,'Budget26 sin EI'!$B:$O,$CX$3+1,0)</f>
        <v>0</v>
      </c>
      <c r="DC26" s="112">
        <f t="shared" si="95"/>
        <v>0</v>
      </c>
      <c r="DD26" s="113" t="str">
        <f>+IF(IFERROR(CX26/DB26-1,"-")&lt;300%,IFERROR(CX26/DB26-1,"-"),"n.a.")</f>
        <v>n.a.</v>
      </c>
      <c r="DF26" s="74" t="s">
        <v>14</v>
      </c>
      <c r="DG26" s="23">
        <f>(GETPIVOTDATA("Total 2026 ",TABLA!$B$3,"Nivel 4","13.- Otros resultados")+GETPIVOTDATA("Total 2026 ",TABLA!$B$3,"Nivel 4","11.- Deterioro y resultado por enajenaciones del inmovilizado"))/1000</f>
        <v>5.9999400000000005</v>
      </c>
      <c r="DH26" s="3">
        <f>VLOOKUP(DF26,'P&amp;L Mensualitzada 2025'!$A$5:$N$25,$CX$3+2,0)</f>
        <v>2.3567300000000007</v>
      </c>
      <c r="DI26" s="112">
        <f t="shared" si="96"/>
        <v>3.6432099999999998</v>
      </c>
      <c r="DJ26" s="113" t="s">
        <v>62</v>
      </c>
      <c r="DK26" s="119">
        <f>VLOOKUP(DF26,'Budget26 sin EI'!$B:$O,$CX$3+2,0)</f>
        <v>0</v>
      </c>
      <c r="DL26" s="112">
        <f t="shared" si="97"/>
        <v>5.9999400000000005</v>
      </c>
      <c r="DM26" s="113" t="str">
        <f>+IF(IFERROR(DG26/DK26-1,"-")&lt;300%,IFERROR(DG26/DK26-1,"-"),"n.a.")</f>
        <v>n.a.</v>
      </c>
    </row>
    <row r="27" spans="2:117" ht="14.5" customHeight="1" x14ac:dyDescent="0.35">
      <c r="B27" s="82" t="s">
        <v>15</v>
      </c>
      <c r="C27" s="110">
        <v>250.10021000000003</v>
      </c>
      <c r="D27" s="110">
        <v>39.466015000000183</v>
      </c>
      <c r="E27" s="110">
        <v>210.63419499999986</v>
      </c>
      <c r="F27" s="169">
        <v>5.3371032013239459</v>
      </c>
      <c r="G27" s="110">
        <v>186.39105643489509</v>
      </c>
      <c r="H27" s="110">
        <v>63.709153565104941</v>
      </c>
      <c r="I27" s="125">
        <v>0.3418037044462916</v>
      </c>
      <c r="K27" s="82" t="s">
        <v>15</v>
      </c>
      <c r="L27" s="110">
        <v>889.63206000000002</v>
      </c>
      <c r="M27" s="110">
        <v>366.44530000000009</v>
      </c>
      <c r="N27" s="110">
        <v>523.18675999999994</v>
      </c>
      <c r="O27" s="169">
        <v>1.4277349443423064</v>
      </c>
      <c r="P27" s="110">
        <v>686.05590748916495</v>
      </c>
      <c r="Q27" s="110">
        <v>203.57615251083507</v>
      </c>
      <c r="R27" s="125">
        <v>0.29673405663961899</v>
      </c>
      <c r="T27" s="82" t="s">
        <v>15</v>
      </c>
      <c r="U27" s="110">
        <v>874.34620999999981</v>
      </c>
      <c r="V27" s="110">
        <v>964.14069000000018</v>
      </c>
      <c r="W27" s="110">
        <v>-89.794480000000362</v>
      </c>
      <c r="X27" s="125">
        <v>-9.3134208452503309E-2</v>
      </c>
      <c r="Y27" s="110">
        <v>1093.1338314897819</v>
      </c>
      <c r="Z27" s="110">
        <v>-218.78762148978205</v>
      </c>
      <c r="AA27" s="125">
        <v>-0.20014715050178844</v>
      </c>
      <c r="AC27" s="82" t="s">
        <v>15</v>
      </c>
      <c r="AD27" s="110">
        <v>701.06032999999991</v>
      </c>
      <c r="AE27" s="110">
        <v>857.8515299999998</v>
      </c>
      <c r="AF27" s="110">
        <v>-156.79119999999989</v>
      </c>
      <c r="AG27" s="125">
        <v>-0.1827719535570449</v>
      </c>
      <c r="AH27" s="110">
        <v>931.67471240953978</v>
      </c>
      <c r="AI27" s="110">
        <v>-230.61438240953987</v>
      </c>
      <c r="AJ27" s="125">
        <v>-0.24752671650077784</v>
      </c>
      <c r="AL27" s="82" t="s">
        <v>15</v>
      </c>
      <c r="AM27" s="110">
        <v>1049.2240400000001</v>
      </c>
      <c r="AN27" s="110">
        <v>564.89426000000026</v>
      </c>
      <c r="AO27" s="110">
        <v>484.3297799999998</v>
      </c>
      <c r="AP27" s="125">
        <v>0.85738130884884467</v>
      </c>
      <c r="AQ27" s="110">
        <v>769.62979694236901</v>
      </c>
      <c r="AR27" s="110">
        <v>279.59424305763105</v>
      </c>
      <c r="AS27" s="125">
        <v>0.36328406744180075</v>
      </c>
      <c r="AU27" s="82" t="s">
        <v>15</v>
      </c>
      <c r="AV27" s="110">
        <v>902.53454999999974</v>
      </c>
      <c r="AW27" s="110">
        <v>1298.4059250000003</v>
      </c>
      <c r="AX27" s="110">
        <v>-395.87137500000051</v>
      </c>
      <c r="AY27" s="125">
        <v>-0.30489030231435554</v>
      </c>
      <c r="AZ27" s="110">
        <v>940.67934725486452</v>
      </c>
      <c r="BA27" s="110">
        <v>-38.144797254864784</v>
      </c>
      <c r="BB27" s="125">
        <v>-4.0550265471630431E-2</v>
      </c>
      <c r="BD27" s="82" t="s">
        <v>15</v>
      </c>
      <c r="BE27" s="110">
        <v>442.46772578100274</v>
      </c>
      <c r="BF27" s="110">
        <v>662.87102000000016</v>
      </c>
      <c r="BG27" s="110">
        <v>-220.40329421899742</v>
      </c>
      <c r="BH27" s="125">
        <v>-0.33249800876646762</v>
      </c>
      <c r="BI27" s="110">
        <v>554.09775226018451</v>
      </c>
      <c r="BJ27" s="110">
        <v>-111.63002647918177</v>
      </c>
      <c r="BK27" s="125">
        <v>-0.20146269502779768</v>
      </c>
      <c r="BM27" s="82" t="s">
        <v>15</v>
      </c>
      <c r="BN27" s="110">
        <v>225.48517896870405</v>
      </c>
      <c r="BO27" s="110">
        <v>365.08513000000005</v>
      </c>
      <c r="BP27" s="110">
        <v>-139.599951031296</v>
      </c>
      <c r="BQ27" s="125">
        <v>-0.38237643650755093</v>
      </c>
      <c r="BR27" s="110">
        <v>207.95468489727639</v>
      </c>
      <c r="BS27" s="110">
        <v>17.530494071427654</v>
      </c>
      <c r="BT27" s="125">
        <v>8.4299587095559847E-2</v>
      </c>
      <c r="BV27" s="82" t="s">
        <v>15</v>
      </c>
      <c r="BW27" s="110">
        <f>BW22+BW25+BW26</f>
        <v>138.98382999999984</v>
      </c>
      <c r="BX27" s="110">
        <f>BX22+BX25+BX26</f>
        <v>369.0702500000001</v>
      </c>
      <c r="BY27" s="110">
        <f t="shared" si="88"/>
        <v>-230.08642000000026</v>
      </c>
      <c r="BZ27" s="125">
        <f t="shared" si="6"/>
        <v>-0.62342174694384123</v>
      </c>
      <c r="CA27" s="110">
        <f>CA22+CA25+CA26</f>
        <v>358.89289592613977</v>
      </c>
      <c r="CB27" s="110">
        <f t="shared" si="89"/>
        <v>-219.90906592613993</v>
      </c>
      <c r="CC27" s="125">
        <f t="shared" si="0"/>
        <v>-0.61274287795152471</v>
      </c>
      <c r="CD27" s="106"/>
      <c r="CE27" s="82" t="s">
        <v>15</v>
      </c>
      <c r="CF27" s="110">
        <f>CF22+CF25+CF26</f>
        <v>310.00432000000006</v>
      </c>
      <c r="CG27" s="110">
        <f>CG22+CG25+CG26</f>
        <v>-276.48445999999814</v>
      </c>
      <c r="CH27" s="110">
        <f t="shared" si="90"/>
        <v>586.4887799999982</v>
      </c>
      <c r="CI27" s="125">
        <f t="shared" ref="CI27" si="98">+IF(IFERROR(CF27/CG27-1,"-")&lt;300%,IFERROR(CF27/CG27-1,"-"),"n.a.")</f>
        <v>-2.1212359638585188</v>
      </c>
      <c r="CJ27" s="110">
        <f>CJ22+CJ25+CJ26</f>
        <v>184.40572186796439</v>
      </c>
      <c r="CK27" s="110">
        <f t="shared" si="91"/>
        <v>125.59859813203568</v>
      </c>
      <c r="CL27" s="125">
        <f t="shared" ref="CL27" si="99">+IF(IFERROR(CF27/CJ27-1,"-")&lt;300%,IFERROR(CF27/CJ27-1,"-"),"n.a.")</f>
        <v>0.68109924605248984</v>
      </c>
      <c r="CN27" s="82" t="s">
        <v>15</v>
      </c>
      <c r="CO27" s="110">
        <f>CO22+CO25+CO26</f>
        <v>519.12494000000004</v>
      </c>
      <c r="CP27" s="110">
        <f>CP22+CP25+CP26</f>
        <v>233.07388000000043</v>
      </c>
      <c r="CQ27" s="110">
        <f t="shared" si="92"/>
        <v>286.05105999999961</v>
      </c>
      <c r="CR27" s="125">
        <f t="shared" ref="CR27" si="100">+IF(IFERROR(CO27/CP27-1,"-")&lt;300%,IFERROR(CO27/CP27-1,"-"),"n.a.")</f>
        <v>1.2272977993072374</v>
      </c>
      <c r="CS27" s="110">
        <f>CS22+CS25+CS26</f>
        <v>332.36609925835512</v>
      </c>
      <c r="CT27" s="110">
        <f t="shared" si="93"/>
        <v>186.75884074164492</v>
      </c>
      <c r="CU27" s="125">
        <f t="shared" ref="CU27" si="101">+IF(IFERROR(CO27/CS27-1,"-")&lt;300%,IFERROR(CO27/CS27-1,"-"),"n.a.")</f>
        <v>0.56190700904328206</v>
      </c>
      <c r="CW27" s="82" t="s">
        <v>15</v>
      </c>
      <c r="CX27" s="110">
        <f>CX22+CX25+CX26</f>
        <v>-8.0423799999999304</v>
      </c>
      <c r="CY27" s="110">
        <f>CY22+CY25+CY26</f>
        <v>-265.73219</v>
      </c>
      <c r="CZ27" s="110">
        <f t="shared" si="94"/>
        <v>257.68981000000008</v>
      </c>
      <c r="DA27" s="125">
        <f t="shared" ref="DA27" si="102">+IF(IFERROR(CX27/CY27-1,"-")&lt;300%,IFERROR(CX27/CY27-1,"-"),"n.a.")</f>
        <v>-0.96973501780119331</v>
      </c>
      <c r="DB27" s="110">
        <f>DB22+DB25+DB26</f>
        <v>-74.854859300048375</v>
      </c>
      <c r="DC27" s="110">
        <f t="shared" si="95"/>
        <v>66.812479300048437</v>
      </c>
      <c r="DD27" s="125">
        <f t="shared" ref="DD27" si="103">+IF(IFERROR(CX27/DB27-1,"-")&lt;300%,IFERROR(CX27/DB27-1,"-"),"n.a.")</f>
        <v>-0.89256034845028775</v>
      </c>
      <c r="DF27" s="82" t="s">
        <v>15</v>
      </c>
      <c r="DG27" s="110">
        <f>DG22+DG25+DG26</f>
        <v>6200.825064749708</v>
      </c>
      <c r="DH27" s="110">
        <f>DH22+DH25+DH26</f>
        <v>5179.0873500000034</v>
      </c>
      <c r="DI27" s="110">
        <f t="shared" si="96"/>
        <v>1021.7377147497045</v>
      </c>
      <c r="DJ27" s="125">
        <f t="shared" ref="DJ27" si="104">+IF(IFERROR(DG27/DH27-1,"-")&lt;300%,IFERROR(DG27/DH27-1,"-"),"n.a.")</f>
        <v>0.1972814215519465</v>
      </c>
      <c r="DK27" s="110">
        <f>DK22+DK25+DK26</f>
        <v>6170.42694693049</v>
      </c>
      <c r="DL27" s="110">
        <f t="shared" si="97"/>
        <v>30.398117819217987</v>
      </c>
      <c r="DM27" s="125">
        <f t="shared" ref="DM27" si="105">+IF(IFERROR(DG27/DK27-1,"-")&lt;300%,IFERROR(DG27/DK27-1,"-"),"n.a.")</f>
        <v>4.9264205022863106E-3</v>
      </c>
    </row>
    <row r="28" spans="2:117" x14ac:dyDescent="0.35">
      <c r="B28" s="86" t="s">
        <v>16</v>
      </c>
      <c r="C28" s="126">
        <v>0.25421412412284389</v>
      </c>
      <c r="D28" s="126">
        <v>6.3420907267985938E-2</v>
      </c>
      <c r="E28" s="89"/>
      <c r="F28" s="180"/>
      <c r="G28" s="126">
        <v>0.23134234891476743</v>
      </c>
      <c r="H28" s="89"/>
      <c r="I28" s="89"/>
      <c r="K28" s="86" t="s">
        <v>16</v>
      </c>
      <c r="L28" s="126">
        <v>0.60501566159488995</v>
      </c>
      <c r="M28" s="126">
        <v>0.34490881748558883</v>
      </c>
      <c r="N28" s="89"/>
      <c r="O28" s="180"/>
      <c r="P28" s="126">
        <v>0.453366477407672</v>
      </c>
      <c r="Q28" s="89"/>
      <c r="R28" s="89"/>
      <c r="T28" s="86" t="s">
        <v>16</v>
      </c>
      <c r="U28" s="126">
        <v>0.57005623086157564</v>
      </c>
      <c r="V28" s="126">
        <v>0.53708173976145024</v>
      </c>
      <c r="W28" s="89"/>
      <c r="X28" s="131"/>
      <c r="Y28" s="126">
        <v>0.47481783199961397</v>
      </c>
      <c r="Z28" s="89"/>
      <c r="AA28" s="131"/>
      <c r="AC28" s="86" t="s">
        <v>16</v>
      </c>
      <c r="AD28" s="126">
        <v>0.47947345596638929</v>
      </c>
      <c r="AE28" s="126">
        <v>0.55909735875344646</v>
      </c>
      <c r="AF28" s="89"/>
      <c r="AG28" s="131"/>
      <c r="AH28" s="126">
        <v>0.49262238815726522</v>
      </c>
      <c r="AI28" s="89"/>
      <c r="AJ28" s="131"/>
      <c r="AL28" s="86" t="s">
        <v>16</v>
      </c>
      <c r="AM28" s="126">
        <v>0.54478827840624788</v>
      </c>
      <c r="AN28" s="126">
        <v>0.38067826504289654</v>
      </c>
      <c r="AO28" s="89"/>
      <c r="AP28" s="131"/>
      <c r="AQ28" s="126">
        <v>0.47017256130337098</v>
      </c>
      <c r="AR28" s="89"/>
      <c r="AS28" s="131"/>
      <c r="AU28" s="86" t="s">
        <v>16</v>
      </c>
      <c r="AV28" s="126">
        <v>0.45994603584578708</v>
      </c>
      <c r="AW28" s="126">
        <v>0.73733599686985718</v>
      </c>
      <c r="AX28" s="89"/>
      <c r="AY28" s="131"/>
      <c r="AZ28" s="126">
        <v>0.43747307201868751</v>
      </c>
      <c r="BA28" s="89"/>
      <c r="BB28" s="131"/>
      <c r="BD28" s="86" t="s">
        <v>16</v>
      </c>
      <c r="BE28" s="126">
        <v>0.34282437193190213</v>
      </c>
      <c r="BF28" s="126">
        <v>0.50425143086172541</v>
      </c>
      <c r="BG28" s="89"/>
      <c r="BH28" s="131"/>
      <c r="BI28" s="126">
        <v>0.41104533295516199</v>
      </c>
      <c r="BJ28" s="89"/>
      <c r="BK28" s="131"/>
      <c r="BM28" s="86" t="s">
        <v>16</v>
      </c>
      <c r="BN28" s="126">
        <v>0.28611052594784336</v>
      </c>
      <c r="BO28" s="126">
        <v>0.54941581822784613</v>
      </c>
      <c r="BP28" s="89"/>
      <c r="BQ28" s="131"/>
      <c r="BR28" s="126">
        <v>0.26795673158830152</v>
      </c>
      <c r="BS28" s="89"/>
      <c r="BT28" s="131"/>
      <c r="BV28" s="86" t="s">
        <v>16</v>
      </c>
      <c r="BW28" s="126">
        <f>BW27/BW8</f>
        <v>0.22247205842033996</v>
      </c>
      <c r="BX28" s="126">
        <f>BX27/BX8</f>
        <v>0.43826544328304312</v>
      </c>
      <c r="BY28" s="89"/>
      <c r="BZ28" s="131"/>
      <c r="CA28" s="126">
        <f>CA27/CA8</f>
        <v>0.34960443437765643</v>
      </c>
      <c r="CB28" s="89"/>
      <c r="CC28" s="131"/>
      <c r="CD28" s="89"/>
      <c r="CE28" s="86" t="s">
        <v>16</v>
      </c>
      <c r="CF28" s="126">
        <f>CF27/CF8</f>
        <v>0.33989651567179052</v>
      </c>
      <c r="CG28" s="126">
        <f>CG27/CG8</f>
        <v>-0.39521297995256666</v>
      </c>
      <c r="CH28" s="89"/>
      <c r="CI28" s="131"/>
      <c r="CJ28" s="126">
        <f>CJ27/CJ8</f>
        <v>0.230920735986542</v>
      </c>
      <c r="CK28" s="89"/>
      <c r="CL28" s="131"/>
      <c r="CN28" s="86" t="s">
        <v>16</v>
      </c>
      <c r="CO28" s="126">
        <f>CO27/CO8</f>
        <v>0.42366417415676727</v>
      </c>
      <c r="CP28" s="126">
        <f>CP27/CP8</f>
        <v>0.31088987748098884</v>
      </c>
      <c r="CQ28" s="89"/>
      <c r="CR28" s="131"/>
      <c r="CS28" s="126">
        <f>CS27/CS8</f>
        <v>0.32260941974379403</v>
      </c>
      <c r="CT28" s="89"/>
      <c r="CU28" s="131"/>
      <c r="CW28" s="86" t="s">
        <v>16</v>
      </c>
      <c r="CX28" s="126">
        <f>CX27/CX8</f>
        <v>-7.0398529813418481E-3</v>
      </c>
      <c r="CY28" s="126">
        <f>CY27/CY8</f>
        <v>-1.069318967376282</v>
      </c>
      <c r="CZ28" s="89"/>
      <c r="DA28" s="131"/>
      <c r="DB28" s="126">
        <f>DB27/DB8</f>
        <v>-0.11342596532491039</v>
      </c>
      <c r="DC28" s="89"/>
      <c r="DD28" s="131"/>
      <c r="DF28" s="86" t="s">
        <v>16</v>
      </c>
      <c r="DG28" s="126">
        <f>DG27/DG8</f>
        <v>0.40848649965413092</v>
      </c>
      <c r="DH28" s="126">
        <f>DH27/DH8</f>
        <v>0.40531127100053271</v>
      </c>
      <c r="DI28" s="89"/>
      <c r="DJ28" s="131"/>
      <c r="DK28" s="126">
        <f>DK27/DK8</f>
        <v>0.38712760822565301</v>
      </c>
      <c r="DL28" s="89"/>
      <c r="DM28" s="131"/>
    </row>
    <row r="29" spans="2:117" x14ac:dyDescent="0.35">
      <c r="BN29" s="70"/>
      <c r="BO29" s="70"/>
      <c r="BQ29" s="150"/>
      <c r="BZ29" s="150"/>
    </row>
    <row r="30" spans="2:117" x14ac:dyDescent="0.35">
      <c r="BN30" s="70"/>
      <c r="BO30" s="70"/>
    </row>
    <row r="31" spans="2:117" x14ac:dyDescent="0.35">
      <c r="BM31" s="73" t="s">
        <v>513</v>
      </c>
    </row>
    <row r="32" spans="2:117" x14ac:dyDescent="0.35">
      <c r="BM32" s="74"/>
      <c r="BN32" s="167"/>
      <c r="BO32" s="75"/>
      <c r="BP32" s="76" t="s">
        <v>21</v>
      </c>
      <c r="BQ32" s="77"/>
      <c r="BR32" s="78"/>
      <c r="BS32" s="76" t="s">
        <v>21</v>
      </c>
      <c r="BT32" s="76"/>
    </row>
    <row r="33" spans="65:101" ht="15" thickBot="1" x14ac:dyDescent="0.4">
      <c r="BM33" s="79" t="s">
        <v>18</v>
      </c>
      <c r="BN33" s="80" t="s">
        <v>19</v>
      </c>
      <c r="BO33" s="80" t="s">
        <v>20</v>
      </c>
      <c r="BP33" s="81" t="s">
        <v>0</v>
      </c>
      <c r="BQ33" s="127" t="s">
        <v>22</v>
      </c>
      <c r="BR33" s="80" t="s">
        <v>23</v>
      </c>
      <c r="BS33" s="81" t="s">
        <v>0</v>
      </c>
      <c r="BT33" s="81" t="s">
        <v>24</v>
      </c>
    </row>
    <row r="34" spans="65:101" x14ac:dyDescent="0.35">
      <c r="BM34" s="82" t="s">
        <v>1</v>
      </c>
      <c r="BN34" s="109">
        <v>11417.132089999999</v>
      </c>
      <c r="BO34" s="109">
        <v>10238.144760000003</v>
      </c>
      <c r="BP34" s="110">
        <v>1178.9873299999963</v>
      </c>
      <c r="BQ34" s="125">
        <v>0.11515634498608085</v>
      </c>
      <c r="BR34" s="118">
        <v>12423.676664008279</v>
      </c>
      <c r="BS34" s="110">
        <v>-1006.5445740082796</v>
      </c>
      <c r="BT34" s="125">
        <v>-8.1018252585747463E-2</v>
      </c>
      <c r="BW34">
        <v>-3.6197427654381727E-2</v>
      </c>
    </row>
    <row r="35" spans="65:101" x14ac:dyDescent="0.35">
      <c r="BM35" s="74" t="s">
        <v>2</v>
      </c>
      <c r="BN35" s="111">
        <v>-3916.0719199999999</v>
      </c>
      <c r="BO35" s="111">
        <v>-3267.72091</v>
      </c>
      <c r="BP35" s="112">
        <v>-648.35100999999986</v>
      </c>
      <c r="BQ35" s="113">
        <v>0.19841076635886878</v>
      </c>
      <c r="BR35" s="112">
        <v>-4266.7179141901997</v>
      </c>
      <c r="BS35" s="112">
        <v>350.64599419019987</v>
      </c>
      <c r="BT35" s="113">
        <v>-8.2181667792948221E-2</v>
      </c>
    </row>
    <row r="36" spans="65:101" x14ac:dyDescent="0.35">
      <c r="BM36" s="85" t="s">
        <v>3</v>
      </c>
      <c r="BN36" s="114">
        <v>7501.0601699999997</v>
      </c>
      <c r="BO36" s="114">
        <v>6970.423850000001</v>
      </c>
      <c r="BP36" s="115">
        <v>530.6363199999987</v>
      </c>
      <c r="BQ36" s="116">
        <v>7.6126836964153677E-2</v>
      </c>
      <c r="BR36" s="115">
        <v>8156.9587498180763</v>
      </c>
      <c r="BS36" s="115">
        <v>-655.89857981807654</v>
      </c>
      <c r="BT36" s="116">
        <v>-8.040969679204335E-2</v>
      </c>
      <c r="CW36" s="69">
        <f>CX8*BW34</f>
        <v>-41.352208489381781</v>
      </c>
    </row>
    <row r="37" spans="65:101" x14ac:dyDescent="0.35">
      <c r="BM37" s="86" t="s">
        <v>4</v>
      </c>
      <c r="BN37" s="117">
        <v>0.65700038423572271</v>
      </c>
      <c r="BO37" s="117">
        <v>0.68082880379198696</v>
      </c>
      <c r="BP37" s="87"/>
      <c r="BQ37" s="128"/>
      <c r="BR37" s="117">
        <v>0.65656560214972448</v>
      </c>
      <c r="BS37" s="88"/>
      <c r="BT37" s="128"/>
      <c r="CN37" s="69">
        <f>BW34*CO8</f>
        <v>-44.35349648488824</v>
      </c>
    </row>
    <row r="38" spans="65:101" x14ac:dyDescent="0.35">
      <c r="BM38" s="86"/>
      <c r="BN38" s="90"/>
      <c r="BO38" s="91"/>
      <c r="BP38" s="92"/>
      <c r="BQ38" s="129"/>
      <c r="BR38" s="93"/>
      <c r="BS38" s="92"/>
      <c r="BT38" s="129"/>
      <c r="BW38" s="70">
        <f>BW34*625</f>
        <v>-22.623392283988579</v>
      </c>
      <c r="CE38" s="69">
        <f>BW34*CF8</f>
        <v>-33.014045241291406</v>
      </c>
    </row>
    <row r="39" spans="65:101" x14ac:dyDescent="0.35">
      <c r="BM39" s="95" t="s">
        <v>5</v>
      </c>
      <c r="BN39" s="3">
        <v>-1116.9714300000001</v>
      </c>
      <c r="BO39" s="3">
        <v>-1103.04288</v>
      </c>
      <c r="BP39" s="120">
        <v>-13.928550000000087</v>
      </c>
      <c r="BQ39" s="121">
        <v>1.2627387613435292E-2</v>
      </c>
      <c r="BR39" s="122">
        <v>-1484.9063933333337</v>
      </c>
      <c r="BS39" s="120">
        <v>367.9349633333336</v>
      </c>
      <c r="BT39" s="121">
        <v>-0.2477832710433614</v>
      </c>
    </row>
    <row r="40" spans="65:101" x14ac:dyDescent="0.35">
      <c r="BM40" s="96" t="s">
        <v>6</v>
      </c>
      <c r="BN40" s="101">
        <v>-9.783292522106575E-2</v>
      </c>
      <c r="BO40" s="101">
        <v>-0.10773855086612388</v>
      </c>
      <c r="BP40" s="97"/>
      <c r="BQ40" s="113"/>
      <c r="BR40" s="101">
        <v>-0.11952229871171284</v>
      </c>
      <c r="BS40" s="97"/>
      <c r="BT40" s="113"/>
    </row>
    <row r="41" spans="65:101" x14ac:dyDescent="0.35">
      <c r="BM41" s="96"/>
      <c r="BN41" s="98"/>
      <c r="BO41" s="98"/>
      <c r="BP41" s="83"/>
      <c r="BQ41" s="113"/>
      <c r="BR41" s="83"/>
      <c r="BS41" s="83"/>
      <c r="BT41" s="113"/>
    </row>
    <row r="42" spans="65:101" x14ac:dyDescent="0.35">
      <c r="BM42" s="74" t="s">
        <v>7</v>
      </c>
      <c r="BN42" s="23">
        <v>71.325339999999997</v>
      </c>
      <c r="BO42" s="23">
        <v>0.79287999999999992</v>
      </c>
      <c r="BP42" s="112">
        <v>70.53246</v>
      </c>
      <c r="BQ42" s="113" t="s">
        <v>62</v>
      </c>
      <c r="BR42" s="119">
        <v>0</v>
      </c>
      <c r="BS42" s="112">
        <v>71.325339999999997</v>
      </c>
      <c r="BT42" s="113" t="s">
        <v>62</v>
      </c>
    </row>
    <row r="43" spans="65:101" x14ac:dyDescent="0.35">
      <c r="BM43" s="74" t="s">
        <v>8</v>
      </c>
      <c r="BN43" s="3">
        <v>-973.78180525029336</v>
      </c>
      <c r="BO43" s="111">
        <v>-750.44645999999989</v>
      </c>
      <c r="BP43" s="111">
        <v>-223.33534525029347</v>
      </c>
      <c r="BQ43" s="113">
        <v>0.29760330303949134</v>
      </c>
      <c r="BR43" s="119">
        <v>-1135.7686033066666</v>
      </c>
      <c r="BS43" s="111">
        <v>161.98679805637323</v>
      </c>
      <c r="BT43" s="113">
        <v>-0.14262306387477719</v>
      </c>
    </row>
    <row r="44" spans="65:101" x14ac:dyDescent="0.35">
      <c r="BM44" s="99" t="s">
        <v>9</v>
      </c>
      <c r="BN44" s="7">
        <v>-902.45646525029349</v>
      </c>
      <c r="BO44" s="7">
        <v>-749.65357999999992</v>
      </c>
      <c r="BP44" s="7">
        <v>-152.80288525029357</v>
      </c>
      <c r="BQ44" s="123">
        <v>0.20383132866555997</v>
      </c>
      <c r="BR44" s="7">
        <v>-1135.7686033066666</v>
      </c>
      <c r="BS44" s="7">
        <v>233.3121380563731</v>
      </c>
      <c r="BT44" s="123">
        <v>-0.20542224655366437</v>
      </c>
    </row>
    <row r="45" spans="65:101" x14ac:dyDescent="0.35">
      <c r="BM45" s="74" t="s">
        <v>6</v>
      </c>
      <c r="BN45" s="101">
        <v>-7.9044059238023018E-2</v>
      </c>
      <c r="BO45" s="101">
        <v>-7.3221623406700076E-2</v>
      </c>
      <c r="BP45" s="83"/>
      <c r="BQ45" s="113"/>
      <c r="BR45" s="101">
        <v>-9.1419684689397818E-2</v>
      </c>
      <c r="BS45" s="83"/>
      <c r="BT45" s="113"/>
    </row>
    <row r="46" spans="65:101" x14ac:dyDescent="0.35">
      <c r="BM46" s="100" t="s">
        <v>10</v>
      </c>
      <c r="BN46" s="24">
        <v>-2019.4278952502934</v>
      </c>
      <c r="BO46" s="24">
        <v>-1852.6964599999999</v>
      </c>
      <c r="BP46" s="124">
        <v>-166.73143525029354</v>
      </c>
      <c r="BQ46" s="130">
        <v>8.9993929847684617E-2</v>
      </c>
      <c r="BR46" s="24">
        <v>-2620.6749966400002</v>
      </c>
      <c r="BS46" s="24">
        <v>601.24710138970681</v>
      </c>
      <c r="BT46" s="130">
        <v>-0.22942451931680696</v>
      </c>
    </row>
    <row r="47" spans="65:101" x14ac:dyDescent="0.35">
      <c r="BM47" s="74" t="s">
        <v>6</v>
      </c>
      <c r="BN47" s="101">
        <v>-0.17687698445908875</v>
      </c>
      <c r="BO47" s="101">
        <v>-0.18096017427282396</v>
      </c>
      <c r="BP47" s="83"/>
      <c r="BQ47" s="113"/>
      <c r="BR47" s="101">
        <v>-0.21094198340111067</v>
      </c>
      <c r="BS47" s="83"/>
      <c r="BT47" s="113"/>
    </row>
    <row r="48" spans="65:101" x14ac:dyDescent="0.35">
      <c r="BM48" s="82" t="s">
        <v>11</v>
      </c>
      <c r="BN48" s="110">
        <v>5481.6322747497061</v>
      </c>
      <c r="BO48" s="110">
        <v>5117.7273900000009</v>
      </c>
      <c r="BP48" s="110">
        <v>363.90488474970516</v>
      </c>
      <c r="BQ48" s="125">
        <v>7.1106734887984135E-2</v>
      </c>
      <c r="BR48" s="110">
        <v>5536.283753178076</v>
      </c>
      <c r="BS48" s="110">
        <v>-54.651478428369956</v>
      </c>
      <c r="BT48" s="125">
        <v>-9.8715096380306289E-3</v>
      </c>
    </row>
    <row r="49" spans="65:72" x14ac:dyDescent="0.35">
      <c r="BM49" s="86" t="s">
        <v>12</v>
      </c>
      <c r="BN49" s="101">
        <v>0.48012339977663399</v>
      </c>
      <c r="BO49" s="101">
        <v>0.49986862951916294</v>
      </c>
      <c r="BP49" s="88"/>
      <c r="BQ49" s="131">
        <v>-3.9500837973213909E-2</v>
      </c>
      <c r="BR49" s="101">
        <v>0.44562361874861384</v>
      </c>
      <c r="BS49" s="88"/>
      <c r="BT49" s="131"/>
    </row>
    <row r="50" spans="65:72" x14ac:dyDescent="0.35">
      <c r="BM50" s="86"/>
      <c r="BN50" s="91"/>
      <c r="BO50" s="91"/>
      <c r="BP50" s="92"/>
      <c r="BQ50" s="129"/>
      <c r="BR50" s="93"/>
      <c r="BS50" s="92"/>
      <c r="BT50" s="129"/>
    </row>
    <row r="51" spans="65:72" x14ac:dyDescent="0.35">
      <c r="BM51" s="74" t="s">
        <v>13</v>
      </c>
      <c r="BN51" s="23">
        <v>-152.77334999999999</v>
      </c>
      <c r="BO51" s="23">
        <v>0</v>
      </c>
      <c r="BP51" s="112">
        <v>-152.77334999999999</v>
      </c>
      <c r="BQ51" s="113" t="s">
        <v>62</v>
      </c>
      <c r="BR51" s="119">
        <v>-166.666664</v>
      </c>
      <c r="BS51" s="112">
        <v>13.893314000000004</v>
      </c>
      <c r="BT51" s="113">
        <v>-8.3359885333758155E-2</v>
      </c>
    </row>
    <row r="52" spans="65:72" x14ac:dyDescent="0.35">
      <c r="BM52" s="74" t="s">
        <v>14</v>
      </c>
      <c r="BN52" s="23">
        <v>5.9913800000000004</v>
      </c>
      <c r="BO52" s="23">
        <v>1.43248</v>
      </c>
      <c r="BP52" s="112">
        <v>4.5589000000000004</v>
      </c>
      <c r="BQ52" s="113" t="s">
        <v>62</v>
      </c>
      <c r="BR52" s="119">
        <v>0</v>
      </c>
      <c r="BS52" s="112">
        <v>5.9913800000000004</v>
      </c>
      <c r="BT52" s="113" t="s">
        <v>62</v>
      </c>
    </row>
    <row r="53" spans="65:72" x14ac:dyDescent="0.35">
      <c r="BM53" s="82" t="s">
        <v>15</v>
      </c>
      <c r="BN53" s="110">
        <v>5334.8503047497061</v>
      </c>
      <c r="BO53" s="110">
        <v>5119.1598700000013</v>
      </c>
      <c r="BP53" s="110">
        <v>215.69043474970476</v>
      </c>
      <c r="BQ53" s="125">
        <v>4.2133951708311246E-2</v>
      </c>
      <c r="BR53" s="110">
        <v>5369.6170891780757</v>
      </c>
      <c r="BS53" s="110">
        <v>-34.766784428369647</v>
      </c>
      <c r="BT53" s="125">
        <v>-6.4747232160070611E-3</v>
      </c>
    </row>
    <row r="54" spans="65:72" x14ac:dyDescent="0.35">
      <c r="BM54" s="86" t="s">
        <v>16</v>
      </c>
      <c r="BN54" s="126">
        <v>0.467267108998623</v>
      </c>
      <c r="BO54" s="126">
        <v>0.50000854549354901</v>
      </c>
      <c r="BP54" s="89"/>
      <c r="BQ54" s="131"/>
      <c r="BR54" s="126">
        <v>0.43220837392959516</v>
      </c>
      <c r="BS54" s="89"/>
      <c r="BT54" s="89"/>
    </row>
  </sheetData>
  <mergeCells count="11">
    <mergeCell ref="BS6:BT6"/>
    <mergeCell ref="Z6:AA6"/>
    <mergeCell ref="AI6:AJ6"/>
    <mergeCell ref="AR6:AS6"/>
    <mergeCell ref="BA6:BB6"/>
    <mergeCell ref="BJ6:BK6"/>
    <mergeCell ref="CB6:CC6"/>
    <mergeCell ref="CK6:CL6"/>
    <mergeCell ref="CT6:CU6"/>
    <mergeCell ref="DC6:DD6"/>
    <mergeCell ref="DL6:DM6"/>
  </mergeCells>
  <pageMargins left="0.7" right="0.7" top="0.75" bottom="0.75" header="0.3" footer="0.3"/>
  <pageSetup paperSize="9" scale="1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13B2-0561-48C0-89AA-5D13323B051F}">
  <dimension ref="B1:AE19"/>
  <sheetViews>
    <sheetView workbookViewId="0">
      <selection activeCell="O4" sqref="O4"/>
    </sheetView>
  </sheetViews>
  <sheetFormatPr baseColWidth="10" defaultRowHeight="14.5" x14ac:dyDescent="0.35"/>
  <cols>
    <col min="1" max="1" width="12.453125" bestFit="1" customWidth="1"/>
    <col min="2" max="2" width="50.1796875" bestFit="1" customWidth="1"/>
    <col min="3" max="3" width="10.54296875" bestFit="1" customWidth="1"/>
    <col min="4" max="9" width="11.453125" customWidth="1"/>
    <col min="10" max="10" width="10.54296875" bestFit="1" customWidth="1"/>
    <col min="11" max="12" width="10.54296875" style="153" bestFit="1" customWidth="1"/>
    <col min="13" max="14" width="11.453125" bestFit="1" customWidth="1"/>
    <col min="15" max="15" width="12.453125" bestFit="1" customWidth="1"/>
    <col min="16" max="16" width="8.453125" bestFit="1" customWidth="1"/>
    <col min="17" max="17" width="7.453125" bestFit="1" customWidth="1"/>
    <col min="18" max="19" width="8.453125" bestFit="1" customWidth="1"/>
    <col min="20" max="20" width="5.453125" bestFit="1" customWidth="1"/>
    <col min="21" max="26" width="8.453125" bestFit="1" customWidth="1"/>
    <col min="27" max="27" width="7.453125" bestFit="1" customWidth="1"/>
    <col min="28" max="30" width="8.453125" bestFit="1" customWidth="1"/>
    <col min="31" max="35" width="7.453125" bestFit="1" customWidth="1"/>
    <col min="36" max="36" width="6.453125" bestFit="1" customWidth="1"/>
    <col min="37" max="41" width="7.453125" bestFit="1" customWidth="1"/>
    <col min="42" max="42" width="4.453125" bestFit="1" customWidth="1"/>
    <col min="43" max="48" width="7.453125" bestFit="1" customWidth="1"/>
    <col min="49" max="50" width="4.453125" bestFit="1" customWidth="1"/>
    <col min="51" max="53" width="7.453125" bestFit="1" customWidth="1"/>
    <col min="54" max="54" width="4.453125" bestFit="1" customWidth="1"/>
    <col min="55" max="55" width="7.453125" bestFit="1" customWidth="1"/>
    <col min="56" max="56" width="4.453125" bestFit="1" customWidth="1"/>
    <col min="57" max="61" width="7.453125" bestFit="1" customWidth="1"/>
    <col min="62" max="62" width="4.453125" bestFit="1" customWidth="1"/>
    <col min="63" max="63" width="7.453125" bestFit="1" customWidth="1"/>
    <col min="64" max="65" width="4.453125" bestFit="1" customWidth="1"/>
    <col min="66" max="66" width="6.453125" bestFit="1" customWidth="1"/>
    <col min="67" max="69" width="7.453125" bestFit="1" customWidth="1"/>
    <col min="70" max="70" width="5.453125" bestFit="1" customWidth="1"/>
    <col min="71" max="73" width="6.453125" bestFit="1" customWidth="1"/>
    <col min="74" max="74" width="3.453125" bestFit="1" customWidth="1"/>
    <col min="75" max="75" width="5.453125" bestFit="1" customWidth="1"/>
    <col min="76" max="76" width="6.453125" bestFit="1" customWidth="1"/>
    <col min="77" max="77" width="4.453125" bestFit="1" customWidth="1"/>
    <col min="78" max="78" width="1.81640625" bestFit="1" customWidth="1"/>
    <col min="79" max="83" width="7.81640625" bestFit="1" customWidth="1"/>
    <col min="84" max="87" width="8.81640625" bestFit="1" customWidth="1"/>
    <col min="88" max="88" width="9.81640625" bestFit="1" customWidth="1"/>
    <col min="89" max="89" width="10.26953125" bestFit="1" customWidth="1"/>
    <col min="90" max="90" width="11.453125" bestFit="1" customWidth="1"/>
  </cols>
  <sheetData>
    <row r="1" spans="2:15" x14ac:dyDescent="0.35">
      <c r="B1" s="149" t="s">
        <v>65</v>
      </c>
      <c r="C1" s="67">
        <v>2026</v>
      </c>
      <c r="D1" s="19"/>
      <c r="E1" s="19"/>
      <c r="F1" s="19"/>
    </row>
    <row r="2" spans="2:15" x14ac:dyDescent="0.35">
      <c r="C2" s="19"/>
      <c r="D2" s="19"/>
      <c r="E2" s="19"/>
      <c r="F2" s="19"/>
    </row>
    <row r="3" spans="2:15" x14ac:dyDescent="0.35">
      <c r="B3" s="162" t="s">
        <v>427</v>
      </c>
      <c r="C3" s="183" t="s">
        <v>314</v>
      </c>
      <c r="D3" s="183" t="s">
        <v>315</v>
      </c>
      <c r="E3" s="183" t="s">
        <v>316</v>
      </c>
      <c r="F3" s="26" t="s">
        <v>317</v>
      </c>
      <c r="G3" t="s">
        <v>407</v>
      </c>
      <c r="H3" t="s">
        <v>421</v>
      </c>
      <c r="I3" t="s">
        <v>432</v>
      </c>
      <c r="J3" t="s">
        <v>437</v>
      </c>
      <c r="K3" t="s">
        <v>463</v>
      </c>
      <c r="L3" t="s">
        <v>464</v>
      </c>
      <c r="M3" t="s">
        <v>465</v>
      </c>
      <c r="N3" t="s">
        <v>473</v>
      </c>
      <c r="O3" t="s">
        <v>422</v>
      </c>
    </row>
    <row r="4" spans="2:15" x14ac:dyDescent="0.35">
      <c r="B4" s="67" t="s">
        <v>78</v>
      </c>
      <c r="C4" s="19">
        <v>983817.13</v>
      </c>
      <c r="D4" s="19">
        <v>1470428.15</v>
      </c>
      <c r="E4" s="19">
        <v>1533789.4100000004</v>
      </c>
      <c r="F4" s="19">
        <v>1462146.28</v>
      </c>
      <c r="G4" s="19">
        <v>1925929.9100000001</v>
      </c>
      <c r="H4" s="19">
        <v>1962261.8299999998</v>
      </c>
      <c r="I4" s="19">
        <v>1290654.23</v>
      </c>
      <c r="J4" s="19">
        <v>788105.15</v>
      </c>
      <c r="K4" s="19">
        <v>624724.87999999989</v>
      </c>
      <c r="L4" s="19">
        <v>912055.01</v>
      </c>
      <c r="M4" s="19">
        <v>1225321.78</v>
      </c>
      <c r="N4" s="19">
        <v>1142407.3800000001</v>
      </c>
      <c r="O4" s="19">
        <v>15180000.000000002</v>
      </c>
    </row>
    <row r="5" spans="2:15" x14ac:dyDescent="0.35">
      <c r="B5" s="67" t="s">
        <v>95</v>
      </c>
      <c r="C5" s="19">
        <v>-84878.079999999987</v>
      </c>
      <c r="D5" s="19">
        <v>50005.570000000007</v>
      </c>
      <c r="E5" s="19">
        <v>83552.76999999999</v>
      </c>
      <c r="F5" s="19">
        <v>8645.1999999999989</v>
      </c>
      <c r="G5" s="19">
        <v>-30291.100000000002</v>
      </c>
      <c r="H5" s="19">
        <v>-90104.87</v>
      </c>
      <c r="I5" s="19">
        <v>-6292.6299999999974</v>
      </c>
      <c r="J5" s="19">
        <v>6734.6399999999994</v>
      </c>
      <c r="K5" s="19">
        <v>-109366.48999999999</v>
      </c>
      <c r="L5" s="19">
        <v>0</v>
      </c>
      <c r="M5" s="19">
        <v>0</v>
      </c>
      <c r="N5" s="19">
        <v>0</v>
      </c>
      <c r="O5" s="19">
        <v>-62628.5</v>
      </c>
    </row>
    <row r="6" spans="2:15" x14ac:dyDescent="0.35">
      <c r="B6" s="67" t="s">
        <v>98</v>
      </c>
      <c r="C6" s="19">
        <v>-417787.47</v>
      </c>
      <c r="D6" s="19">
        <v>-406242.7300000001</v>
      </c>
      <c r="E6" s="19">
        <v>-469252.69999999995</v>
      </c>
      <c r="F6" s="19">
        <v>-514848.29</v>
      </c>
      <c r="G6" s="19">
        <v>-593981.23999999987</v>
      </c>
      <c r="H6" s="19">
        <v>-653453.72000000009</v>
      </c>
      <c r="I6" s="19">
        <v>-519022.40000000008</v>
      </c>
      <c r="J6" s="19">
        <v>-278854.87</v>
      </c>
      <c r="K6" s="19">
        <v>-92945.56</v>
      </c>
      <c r="L6" s="19">
        <v>-302101.36</v>
      </c>
      <c r="M6" s="19">
        <v>-404423.28</v>
      </c>
      <c r="N6" s="19">
        <v>-449145.32999999996</v>
      </c>
      <c r="O6" s="19">
        <v>-5170904.3499999996</v>
      </c>
    </row>
    <row r="7" spans="2:15" x14ac:dyDescent="0.35">
      <c r="B7" s="67" t="s">
        <v>119</v>
      </c>
      <c r="C7" s="19">
        <v>-111532.01</v>
      </c>
      <c r="D7" s="19">
        <v>-142927.20000000001</v>
      </c>
      <c r="E7" s="19">
        <v>-146233.31</v>
      </c>
      <c r="F7" s="19">
        <v>-130047.67000000001</v>
      </c>
      <c r="G7" s="19">
        <v>-134992.51999999999</v>
      </c>
      <c r="H7" s="19">
        <v>-145072.28</v>
      </c>
      <c r="I7" s="19">
        <v>-153533.65</v>
      </c>
      <c r="J7" s="19">
        <v>-152632.79</v>
      </c>
      <c r="K7" s="19">
        <v>-165803.99</v>
      </c>
      <c r="L7" s="19">
        <v>-152632.79</v>
      </c>
      <c r="M7" s="19">
        <v>-152632.79</v>
      </c>
      <c r="N7" s="19">
        <v>-431632.79</v>
      </c>
      <c r="O7" s="19">
        <v>-2006502.5899999999</v>
      </c>
    </row>
    <row r="8" spans="2:15" x14ac:dyDescent="0.35">
      <c r="B8" s="67" t="s">
        <v>117</v>
      </c>
      <c r="C8" s="19">
        <v>0</v>
      </c>
      <c r="D8" s="19">
        <v>0</v>
      </c>
      <c r="E8" s="19">
        <v>0</v>
      </c>
      <c r="F8" s="19">
        <v>750.75</v>
      </c>
      <c r="G8" s="19">
        <v>25140.75</v>
      </c>
      <c r="H8" s="19">
        <v>22977.599999999999</v>
      </c>
      <c r="I8" s="19">
        <v>11027.24</v>
      </c>
      <c r="J8" s="19">
        <v>11429</v>
      </c>
      <c r="K8" s="19">
        <v>9613</v>
      </c>
      <c r="L8" s="19">
        <v>21379</v>
      </c>
      <c r="M8" s="19">
        <v>32454</v>
      </c>
      <c r="N8" s="19">
        <v>27150</v>
      </c>
      <c r="O8" s="19">
        <v>168561.34</v>
      </c>
    </row>
    <row r="9" spans="2:15" x14ac:dyDescent="0.35">
      <c r="B9" s="67" t="s">
        <v>140</v>
      </c>
      <c r="C9" s="19">
        <v>-103451.75999999995</v>
      </c>
      <c r="D9" s="19">
        <v>-62498.880000000019</v>
      </c>
      <c r="E9" s="19">
        <v>-110606.27000000002</v>
      </c>
      <c r="F9" s="19">
        <v>-107706.65</v>
      </c>
      <c r="G9" s="19">
        <v>-123392.07999999996</v>
      </c>
      <c r="H9" s="19">
        <v>-175013.76000000007</v>
      </c>
      <c r="I9" s="19">
        <v>-161051.74421899725</v>
      </c>
      <c r="J9" s="19">
        <v>-130060.6610312962</v>
      </c>
      <c r="K9" s="19">
        <v>-108095.34</v>
      </c>
      <c r="L9" s="19">
        <v>-149470.19</v>
      </c>
      <c r="M9" s="19">
        <v>-162369.41999999995</v>
      </c>
      <c r="N9" s="19">
        <v>-277596.2900000001</v>
      </c>
      <c r="O9" s="19">
        <v>-1684026.025250294</v>
      </c>
    </row>
    <row r="10" spans="2:15" x14ac:dyDescent="0.35">
      <c r="B10" s="67" t="s">
        <v>88</v>
      </c>
      <c r="C10" s="19">
        <v>0</v>
      </c>
      <c r="D10" s="19">
        <v>0</v>
      </c>
      <c r="E10" s="19">
        <v>2000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2000</v>
      </c>
    </row>
    <row r="11" spans="2:15" x14ac:dyDescent="0.35">
      <c r="B11" s="67" t="s">
        <v>222</v>
      </c>
      <c r="C11" s="19">
        <v>-19132.87</v>
      </c>
      <c r="D11" s="19">
        <v>-19132.87</v>
      </c>
      <c r="E11" s="19">
        <v>-18903.55</v>
      </c>
      <c r="F11" s="19">
        <v>-18903.55</v>
      </c>
      <c r="G11" s="19">
        <v>-19189.68</v>
      </c>
      <c r="H11" s="19">
        <v>-19060.25</v>
      </c>
      <c r="I11" s="19">
        <v>-19225.29</v>
      </c>
      <c r="J11" s="19">
        <v>-19225.29</v>
      </c>
      <c r="K11" s="19">
        <v>-19342.670000000002</v>
      </c>
      <c r="L11" s="19">
        <v>-19225.349999999999</v>
      </c>
      <c r="M11" s="19">
        <v>-19225.349999999999</v>
      </c>
      <c r="N11" s="19">
        <v>-19225.349999999999</v>
      </c>
      <c r="O11" s="19">
        <v>-229674.75</v>
      </c>
    </row>
    <row r="12" spans="2:15" x14ac:dyDescent="0.35">
      <c r="B12" s="67" t="s">
        <v>90</v>
      </c>
      <c r="C12" s="19">
        <v>3065.27</v>
      </c>
      <c r="D12" s="19">
        <v>0.02</v>
      </c>
      <c r="E12" s="19">
        <v>-0.14000000000000001</v>
      </c>
      <c r="F12" s="19">
        <v>1024.26</v>
      </c>
      <c r="G12" s="19">
        <v>-1.43</v>
      </c>
      <c r="H12" s="19">
        <v>0</v>
      </c>
      <c r="I12" s="19">
        <v>-88.03</v>
      </c>
      <c r="J12" s="19">
        <v>-0.01</v>
      </c>
      <c r="K12" s="19">
        <v>0.2</v>
      </c>
      <c r="L12" s="19">
        <v>0</v>
      </c>
      <c r="M12" s="19">
        <v>0</v>
      </c>
      <c r="N12" s="19">
        <v>0</v>
      </c>
      <c r="O12" s="19">
        <v>3999.9400000000005</v>
      </c>
    </row>
    <row r="13" spans="2:15" x14ac:dyDescent="0.35">
      <c r="B13" s="67" t="s">
        <v>228</v>
      </c>
      <c r="C13" s="19">
        <v>-52.82</v>
      </c>
      <c r="D13" s="19">
        <v>0</v>
      </c>
      <c r="E13" s="19">
        <v>-79.37</v>
      </c>
      <c r="F13" s="19">
        <v>-24483.469999999998</v>
      </c>
      <c r="G13" s="19">
        <v>-38651.64</v>
      </c>
      <c r="H13" s="19">
        <v>-78497.33</v>
      </c>
      <c r="I13" s="19">
        <v>-32604.18</v>
      </c>
      <c r="J13" s="19">
        <v>-19768.43</v>
      </c>
      <c r="K13" s="19">
        <v>-8347.1</v>
      </c>
      <c r="L13" s="19">
        <v>-24579.01</v>
      </c>
      <c r="M13" s="19">
        <v>-33042.67</v>
      </c>
      <c r="N13" s="19">
        <v>-35674.22</v>
      </c>
      <c r="O13" s="19">
        <v>-300408.35000000003</v>
      </c>
    </row>
    <row r="14" spans="2:15" x14ac:dyDescent="0.35">
      <c r="B14" s="67" t="s">
        <v>236</v>
      </c>
      <c r="C14" s="19">
        <v>0</v>
      </c>
      <c r="D14" s="19">
        <v>78.790000000000006</v>
      </c>
      <c r="E14" s="19">
        <v>15.51</v>
      </c>
      <c r="F14" s="19">
        <v>0</v>
      </c>
      <c r="G14" s="19">
        <v>2879.75</v>
      </c>
      <c r="H14" s="19">
        <v>1665.7</v>
      </c>
      <c r="I14" s="19">
        <v>604.76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5244.51</v>
      </c>
    </row>
    <row r="15" spans="2:15" x14ac:dyDescent="0.35">
      <c r="B15" s="67" t="s">
        <v>308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4495.93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4495.93</v>
      </c>
    </row>
    <row r="16" spans="2:15" x14ac:dyDescent="0.35">
      <c r="B16" s="67" t="s">
        <v>60</v>
      </c>
      <c r="C16" s="19">
        <v>250047.3900000001</v>
      </c>
      <c r="D16" s="19">
        <v>889710.84999999986</v>
      </c>
      <c r="E16" s="19">
        <v>874282.35000000033</v>
      </c>
      <c r="F16" s="19">
        <v>676576.85999999987</v>
      </c>
      <c r="G16" s="19">
        <v>1013450.7200000003</v>
      </c>
      <c r="H16" s="19">
        <v>830198.84999999986</v>
      </c>
      <c r="I16" s="19">
        <v>410468.30578100268</v>
      </c>
      <c r="J16" s="19">
        <v>205726.73896870381</v>
      </c>
      <c r="K16" s="19">
        <v>130436.92999999991</v>
      </c>
      <c r="L16" s="19">
        <v>285425.31</v>
      </c>
      <c r="M16" s="19">
        <v>486082.27000000008</v>
      </c>
      <c r="N16" s="19">
        <v>-43716.599999999911</v>
      </c>
      <c r="O16" s="19">
        <v>5910157.1547497083</v>
      </c>
    </row>
    <row r="17" spans="2:31" x14ac:dyDescent="0.35">
      <c r="B17" s="67" t="s">
        <v>424</v>
      </c>
      <c r="C17" s="19">
        <f>+SUM(C4:C9)</f>
        <v>266167.81000000011</v>
      </c>
      <c r="D17" s="19">
        <f t="shared" ref="D17:O17" si="0">+SUM(D4:D9)</f>
        <v>908764.9099999998</v>
      </c>
      <c r="E17" s="19">
        <f t="shared" si="0"/>
        <v>891249.90000000037</v>
      </c>
      <c r="F17" s="19">
        <f t="shared" si="0"/>
        <v>718939.61999999988</v>
      </c>
      <c r="G17" s="19">
        <f t="shared" si="0"/>
        <v>1068413.7200000002</v>
      </c>
      <c r="H17" s="19">
        <f t="shared" si="0"/>
        <v>921594.79999999981</v>
      </c>
      <c r="I17" s="19">
        <f t="shared" si="0"/>
        <v>461781.04578100267</v>
      </c>
      <c r="J17" s="19">
        <f t="shared" si="0"/>
        <v>244720.46896870382</v>
      </c>
      <c r="K17" s="19">
        <f t="shared" si="0"/>
        <v>158126.49999999991</v>
      </c>
      <c r="L17" s="19">
        <f t="shared" si="0"/>
        <v>329229.67</v>
      </c>
      <c r="M17" s="19">
        <f t="shared" si="0"/>
        <v>538350.29</v>
      </c>
      <c r="N17" s="19">
        <f t="shared" si="0"/>
        <v>11182.970000000088</v>
      </c>
      <c r="O17" s="19">
        <f t="shared" si="0"/>
        <v>6424499.874749708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2:31" x14ac:dyDescent="0.35">
      <c r="B18" s="21" t="s">
        <v>438</v>
      </c>
      <c r="C18" s="164">
        <f t="shared" ref="C18:J18" si="1">C17/C4</f>
        <v>0.27054602108828918</v>
      </c>
      <c r="D18" s="164">
        <f t="shared" si="1"/>
        <v>0.6180274160284539</v>
      </c>
      <c r="E18" s="164">
        <f t="shared" si="1"/>
        <v>0.58107709845251843</v>
      </c>
      <c r="F18" s="164">
        <f t="shared" si="1"/>
        <v>0.4917015690112756</v>
      </c>
      <c r="G18" s="164">
        <f t="shared" si="1"/>
        <v>0.55475213010218016</v>
      </c>
      <c r="H18" s="164">
        <f t="shared" si="1"/>
        <v>0.46965944396930959</v>
      </c>
      <c r="I18" s="164">
        <f t="shared" si="1"/>
        <v>0.35778834876712307</v>
      </c>
      <c r="J18" s="164">
        <f t="shared" si="1"/>
        <v>0.3105175355962384</v>
      </c>
      <c r="K18" s="164">
        <f>K17/K4</f>
        <v>0.25311381867807142</v>
      </c>
      <c r="L18" s="164">
        <f t="shared" ref="L18:O18" si="2">L17/L4</f>
        <v>0.36097567185119678</v>
      </c>
      <c r="M18" s="164">
        <f t="shared" si="2"/>
        <v>0.4393542160003065</v>
      </c>
      <c r="N18" s="164">
        <f t="shared" si="2"/>
        <v>9.7889511182955476E-3</v>
      </c>
      <c r="O18" s="164">
        <f t="shared" si="2"/>
        <v>0.42322133562251035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spans="2:31" x14ac:dyDescent="0.35">
      <c r="C19" s="19"/>
      <c r="D19" s="19"/>
      <c r="E19" s="19"/>
      <c r="F19" s="19"/>
      <c r="G19" s="19"/>
      <c r="H19" s="19"/>
      <c r="L19" s="19"/>
      <c r="M19" s="153"/>
      <c r="N19" s="161" t="s">
        <v>423</v>
      </c>
      <c r="O19" s="161">
        <f>SUM(C16:N16)-O16</f>
        <v>98532.819999999367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4828-DB15-400E-91CA-6CE7FA9D1E79}">
  <dimension ref="B1:AB260"/>
  <sheetViews>
    <sheetView tabSelected="1" topLeftCell="I157" zoomScale="80" zoomScaleNormal="80" workbookViewId="0">
      <selection activeCell="AB194" sqref="AB194"/>
    </sheetView>
  </sheetViews>
  <sheetFormatPr baseColWidth="10" defaultRowHeight="14.5" x14ac:dyDescent="0.35"/>
  <cols>
    <col min="1" max="1" width="2" customWidth="1"/>
    <col min="2" max="2" width="14.26953125" customWidth="1"/>
    <col min="3" max="3" width="12" customWidth="1"/>
    <col min="4" max="4" width="24.453125" customWidth="1"/>
    <col min="5" max="5" width="30.26953125" customWidth="1"/>
    <col min="6" max="6" width="29.1796875" customWidth="1"/>
    <col min="7" max="7" width="51.81640625" customWidth="1"/>
    <col min="8" max="8" width="58.54296875" customWidth="1"/>
    <col min="9" max="9" width="64.81640625" bestFit="1" customWidth="1"/>
    <col min="10" max="10" width="30.26953125" customWidth="1"/>
    <col min="11" max="11" width="11.1796875" customWidth="1"/>
    <col min="12" max="14" width="12.1796875" customWidth="1"/>
    <col min="15" max="15" width="15.7265625" style="153" customWidth="1"/>
    <col min="16" max="16" width="14.453125" customWidth="1"/>
    <col min="17" max="17" width="21.81640625" style="153" customWidth="1"/>
    <col min="18" max="18" width="21.81640625" customWidth="1"/>
    <col min="19" max="20" width="11.1796875" customWidth="1"/>
    <col min="21" max="22" width="12.1796875" customWidth="1"/>
    <col min="23" max="23" width="13.26953125" customWidth="1"/>
    <col min="24" max="24" width="150.81640625" hidden="1" customWidth="1"/>
    <col min="25" max="25" width="10.90625" hidden="1" customWidth="1"/>
    <col min="27" max="27" width="14.26953125" style="153" bestFit="1" customWidth="1"/>
    <col min="28" max="28" width="13.08984375" bestFit="1" customWidth="1"/>
  </cols>
  <sheetData>
    <row r="1" spans="2:28" x14ac:dyDescent="0.35">
      <c r="S1" s="185"/>
      <c r="T1" s="19"/>
      <c r="U1" s="19"/>
      <c r="Y1" s="19"/>
    </row>
    <row r="2" spans="2:28" x14ac:dyDescent="0.35">
      <c r="K2" s="19">
        <f>SUBTOTAL(9,K4:K216)</f>
        <v>250047.39000000025</v>
      </c>
      <c r="L2" s="19">
        <f>SUBTOTAL(9,L4:L216)</f>
        <v>889710.85000000044</v>
      </c>
      <c r="M2" s="19">
        <f>SUBTOTAL(9,M4:M216)</f>
        <v>874282.34999999974</v>
      </c>
      <c r="N2" s="19">
        <f>SUBTOTAL(9,N4:N216)</f>
        <v>676576.86000000034</v>
      </c>
      <c r="O2" s="153">
        <f>SUBTOTAL(9,O4:O2028)</f>
        <v>1013450.7200000004</v>
      </c>
      <c r="P2" s="153">
        <f>SUBTOTAL(9,P4:P2028)</f>
        <v>830198.85000000033</v>
      </c>
      <c r="Q2" s="153">
        <f>SUBTOTAL(9,Q4:Q2097)</f>
        <v>410468.3057810028</v>
      </c>
      <c r="R2" s="19">
        <f>SUBTOTAL(9,R4:R2016)</f>
        <v>205726.73896870387</v>
      </c>
      <c r="S2" s="19">
        <f>SUBTOTAL(9,S4:S216)</f>
        <v>130436.92999999985</v>
      </c>
      <c r="T2" s="19">
        <f>SUBTOTAL(9,T4:T216)</f>
        <v>285425.30999999959</v>
      </c>
      <c r="U2" s="19">
        <f>SUBTOTAL(9,U4:U216)</f>
        <v>486082.27000000043</v>
      </c>
      <c r="V2" s="19">
        <f>SUBTOTAL(9,V4:V216)</f>
        <v>-43716.600000000028</v>
      </c>
      <c r="W2" s="19">
        <f>SUBTOTAL(9,W4:W2037)</f>
        <v>6008689.9747497169</v>
      </c>
    </row>
    <row r="3" spans="2:28" x14ac:dyDescent="0.35">
      <c r="B3" s="132" t="s">
        <v>65</v>
      </c>
      <c r="C3" s="132" t="s">
        <v>66</v>
      </c>
      <c r="D3" s="132" t="s">
        <v>67</v>
      </c>
      <c r="E3" s="132" t="s">
        <v>68</v>
      </c>
      <c r="F3" s="132" t="s">
        <v>69</v>
      </c>
      <c r="G3" s="132" t="s">
        <v>70</v>
      </c>
      <c r="H3" s="132" t="s">
        <v>71</v>
      </c>
      <c r="I3" s="132" t="s">
        <v>72</v>
      </c>
      <c r="J3" s="132" t="s">
        <v>73</v>
      </c>
      <c r="K3" s="133">
        <v>46023</v>
      </c>
      <c r="L3" s="133">
        <v>46054</v>
      </c>
      <c r="M3" s="133">
        <v>46082</v>
      </c>
      <c r="N3" s="133">
        <v>46113</v>
      </c>
      <c r="O3" s="133">
        <v>46143</v>
      </c>
      <c r="P3" s="133">
        <v>46174</v>
      </c>
      <c r="Q3" s="133">
        <v>46204</v>
      </c>
      <c r="R3" s="133">
        <v>46235</v>
      </c>
      <c r="S3" s="133">
        <v>46266</v>
      </c>
      <c r="T3" s="133">
        <v>46296</v>
      </c>
      <c r="U3" s="133">
        <v>46327</v>
      </c>
      <c r="V3" s="133">
        <v>46357</v>
      </c>
      <c r="W3" s="133" t="s">
        <v>242</v>
      </c>
    </row>
    <row r="4" spans="2:28" x14ac:dyDescent="0.35">
      <c r="B4">
        <v>2026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64</v>
      </c>
      <c r="J4" t="s">
        <v>238</v>
      </c>
      <c r="K4" s="19">
        <v>993280.49</v>
      </c>
      <c r="L4" s="19">
        <v>1607537.98</v>
      </c>
      <c r="M4" s="19">
        <v>1536177.86</v>
      </c>
      <c r="N4" s="19">
        <v>1217250.42</v>
      </c>
      <c r="O4" s="153">
        <v>2029266.99</v>
      </c>
      <c r="P4" s="19">
        <v>2009948.67</v>
      </c>
      <c r="Q4" s="19">
        <v>1288443.6399999999</v>
      </c>
      <c r="R4" s="19">
        <v>802410.56</v>
      </c>
      <c r="S4" s="19">
        <f>IFERROR(VLOOKUP(I4,'[1]PL Mensual 2026'!$I:$S,11,0),0)</f>
        <v>632880.06999999995</v>
      </c>
      <c r="T4" s="19">
        <v>910333.55</v>
      </c>
      <c r="U4" s="19">
        <v>1223802.77</v>
      </c>
      <c r="V4" s="19">
        <v>1321267.54</v>
      </c>
      <c r="W4" s="19">
        <f>SUM(K4:V4)</f>
        <v>15572600.540000003</v>
      </c>
      <c r="X4" t="s">
        <v>466</v>
      </c>
      <c r="AA4" s="153">
        <f>VLOOKUP(I4,'[2]BBDD P&amp;L'!$J:$AK,28,0)</f>
        <v>15572600.540000003</v>
      </c>
      <c r="AB4" s="154">
        <f>W4-AA4</f>
        <v>0</v>
      </c>
    </row>
    <row r="5" spans="2:28" x14ac:dyDescent="0.35">
      <c r="B5">
        <v>2026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318</v>
      </c>
      <c r="J5" t="s">
        <v>238</v>
      </c>
      <c r="K5" s="19">
        <v>0</v>
      </c>
      <c r="L5" s="19">
        <v>0</v>
      </c>
      <c r="M5" s="19">
        <v>0</v>
      </c>
      <c r="N5" s="19">
        <v>106250.17</v>
      </c>
      <c r="O5" s="153">
        <v>-106250.17</v>
      </c>
      <c r="P5" s="19">
        <v>0</v>
      </c>
      <c r="Q5" s="19">
        <v>0</v>
      </c>
      <c r="R5" s="19">
        <v>0</v>
      </c>
      <c r="S5" s="19">
        <f>IFERROR(VLOOKUP(I5,'[1]PL Mensual 2026'!$I:$S,11,0),0)</f>
        <v>0</v>
      </c>
      <c r="T5" s="19">
        <v>0</v>
      </c>
      <c r="U5" s="19">
        <v>0</v>
      </c>
      <c r="V5" s="19">
        <v>0</v>
      </c>
      <c r="W5" s="19">
        <f t="shared" ref="W5:W68" si="0">SUM(K5:V5)</f>
        <v>0</v>
      </c>
      <c r="X5" t="s">
        <v>439</v>
      </c>
      <c r="AA5" s="153">
        <f>VLOOKUP(I5,'[2]BBDD P&amp;L'!$J:$AK,28,0)</f>
        <v>0</v>
      </c>
      <c r="AB5" s="154">
        <f t="shared" ref="AB5:AB68" si="1">W5-AA5</f>
        <v>0</v>
      </c>
    </row>
    <row r="6" spans="2:28" x14ac:dyDescent="0.35">
      <c r="B6">
        <v>2026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319</v>
      </c>
      <c r="J6" t="s">
        <v>238</v>
      </c>
      <c r="K6" s="19">
        <v>17921.38</v>
      </c>
      <c r="L6" s="19">
        <v>12025.38</v>
      </c>
      <c r="M6" s="19">
        <v>8455.5499999999993</v>
      </c>
      <c r="N6" s="19">
        <v>0</v>
      </c>
      <c r="O6" s="153">
        <v>0</v>
      </c>
      <c r="P6" s="19">
        <v>0</v>
      </c>
      <c r="Q6" s="19">
        <v>0</v>
      </c>
      <c r="R6" s="19">
        <v>0</v>
      </c>
      <c r="S6" s="19" t="str">
        <f>IFERROR(VLOOKUP(I6,'[1]PL Mensual 2026'!$I:$S,11,0),0)</f>
        <v xml:space="preserve">                                             -  </v>
      </c>
      <c r="T6" s="19">
        <v>0</v>
      </c>
      <c r="U6" s="19">
        <v>0</v>
      </c>
      <c r="V6" s="19">
        <v>0</v>
      </c>
      <c r="W6" s="19">
        <f t="shared" si="0"/>
        <v>38402.31</v>
      </c>
      <c r="X6" t="s">
        <v>440</v>
      </c>
      <c r="AA6" s="153">
        <f>VLOOKUP(I6,'[2]BBDD P&amp;L'!$J:$AK,28,0)</f>
        <v>38402.31</v>
      </c>
      <c r="AB6" s="154">
        <f t="shared" si="1"/>
        <v>0</v>
      </c>
    </row>
    <row r="7" spans="2:28" x14ac:dyDescent="0.35">
      <c r="B7">
        <v>2026</v>
      </c>
      <c r="C7" t="s">
        <v>74</v>
      </c>
      <c r="D7" t="s">
        <v>75</v>
      </c>
      <c r="E7" t="s">
        <v>76</v>
      </c>
      <c r="F7" t="s">
        <v>77</v>
      </c>
      <c r="G7" t="s">
        <v>117</v>
      </c>
      <c r="H7" t="s">
        <v>79</v>
      </c>
      <c r="I7" t="s">
        <v>397</v>
      </c>
      <c r="J7" t="s">
        <v>238</v>
      </c>
      <c r="K7" s="19">
        <v>0</v>
      </c>
      <c r="L7" s="19">
        <v>0</v>
      </c>
      <c r="M7" s="19">
        <v>0</v>
      </c>
      <c r="N7" s="19">
        <v>750.75</v>
      </c>
      <c r="O7" s="153">
        <v>25140.75</v>
      </c>
      <c r="P7" s="19">
        <v>22977.599999999999</v>
      </c>
      <c r="Q7" s="19">
        <v>11027.24</v>
      </c>
      <c r="R7" s="19">
        <v>11429</v>
      </c>
      <c r="S7" s="19">
        <f>IFERROR(VLOOKUP(I7,'[1]PL Mensual 2026'!$I:$S,11,0),0)</f>
        <v>9613</v>
      </c>
      <c r="T7" s="19">
        <v>21379</v>
      </c>
      <c r="U7" s="19">
        <v>32454</v>
      </c>
      <c r="V7" s="19">
        <v>27150</v>
      </c>
      <c r="W7" s="19">
        <f t="shared" si="0"/>
        <v>161921.34</v>
      </c>
      <c r="X7" t="s">
        <v>500</v>
      </c>
      <c r="AA7" s="153">
        <f>VLOOKUP(I7,'[2]BBDD P&amp;L'!$J:$AK,28,0)</f>
        <v>161170.59</v>
      </c>
      <c r="AB7" s="154">
        <f t="shared" si="1"/>
        <v>750.75</v>
      </c>
    </row>
    <row r="8" spans="2:28" x14ac:dyDescent="0.35">
      <c r="B8">
        <v>2026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320</v>
      </c>
      <c r="J8" t="s">
        <v>238</v>
      </c>
      <c r="K8" s="19">
        <v>5635.79</v>
      </c>
      <c r="L8" s="19">
        <v>202.81</v>
      </c>
      <c r="M8" s="19">
        <v>178.05</v>
      </c>
      <c r="N8" s="19">
        <v>0</v>
      </c>
      <c r="O8" s="153">
        <v>0</v>
      </c>
      <c r="P8" s="19">
        <v>0</v>
      </c>
      <c r="Q8" s="19">
        <v>0</v>
      </c>
      <c r="R8" s="19">
        <v>0</v>
      </c>
      <c r="S8" s="19" t="str">
        <f>IFERROR(VLOOKUP(I8,'[1]PL Mensual 2026'!$I:$S,11,0),0)</f>
        <v xml:space="preserve">                                             -  </v>
      </c>
      <c r="T8" s="19">
        <v>0</v>
      </c>
      <c r="U8" s="19">
        <v>0</v>
      </c>
      <c r="V8" s="19">
        <v>0</v>
      </c>
      <c r="W8" s="19">
        <f t="shared" si="0"/>
        <v>6016.6500000000005</v>
      </c>
      <c r="X8" t="s">
        <v>440</v>
      </c>
      <c r="AA8" s="153">
        <f>VLOOKUP(I8,'[2]BBDD P&amp;L'!$J:$AK,28,0)</f>
        <v>6016.6500000000005</v>
      </c>
      <c r="AB8" s="154">
        <f t="shared" si="1"/>
        <v>0</v>
      </c>
    </row>
    <row r="9" spans="2:28" x14ac:dyDescent="0.35">
      <c r="B9">
        <v>2026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311</v>
      </c>
      <c r="I9" t="s">
        <v>321</v>
      </c>
      <c r="J9" t="s">
        <v>238</v>
      </c>
      <c r="K9" s="19">
        <v>0</v>
      </c>
      <c r="L9" s="19">
        <v>0</v>
      </c>
      <c r="M9" s="19">
        <v>0</v>
      </c>
      <c r="N9" s="19">
        <v>51164.86</v>
      </c>
      <c r="O9" s="153">
        <v>0</v>
      </c>
      <c r="P9" s="19">
        <v>0</v>
      </c>
      <c r="Q9" s="19">
        <v>0</v>
      </c>
      <c r="R9" s="19">
        <v>0</v>
      </c>
      <c r="S9" s="19"/>
      <c r="T9" s="19">
        <v>0</v>
      </c>
      <c r="U9" s="19">
        <v>0</v>
      </c>
      <c r="V9" s="19">
        <v>0</v>
      </c>
      <c r="W9" s="19">
        <f t="shared" si="0"/>
        <v>51164.86</v>
      </c>
      <c r="X9" t="s">
        <v>440</v>
      </c>
      <c r="AA9" s="153">
        <f>VLOOKUP(I9,'[2]BBDD P&amp;L'!$J:$AK,28,0)</f>
        <v>228488.33</v>
      </c>
      <c r="AB9" s="154">
        <f t="shared" si="1"/>
        <v>-177323.46999999997</v>
      </c>
    </row>
    <row r="10" spans="2:28" x14ac:dyDescent="0.35">
      <c r="B10">
        <v>2026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80</v>
      </c>
      <c r="I10" t="s">
        <v>322</v>
      </c>
      <c r="J10" t="s">
        <v>238</v>
      </c>
      <c r="K10" s="19">
        <v>0</v>
      </c>
      <c r="L10" s="19">
        <v>0</v>
      </c>
      <c r="M10" s="19">
        <v>26.26</v>
      </c>
      <c r="N10" s="19">
        <v>0</v>
      </c>
      <c r="O10" s="158">
        <v>0</v>
      </c>
      <c r="P10" s="19">
        <v>0</v>
      </c>
      <c r="Q10" s="19">
        <v>0</v>
      </c>
      <c r="R10" s="19">
        <v>0</v>
      </c>
      <c r="S10" s="19">
        <f>IFERROR(VLOOKUP(I10,'[1]PL Mensual 2026'!$I:$S,11,0),0)</f>
        <v>2751.2</v>
      </c>
      <c r="T10" s="19">
        <v>0</v>
      </c>
      <c r="U10" s="19">
        <v>0</v>
      </c>
      <c r="V10" s="19">
        <v>0</v>
      </c>
      <c r="W10" s="19">
        <f t="shared" si="0"/>
        <v>2777.46</v>
      </c>
      <c r="X10" t="s">
        <v>440</v>
      </c>
      <c r="AA10" s="153">
        <f>VLOOKUP(I10,'[2]BBDD P&amp;L'!$J:$AK,28,0)</f>
        <v>2777.46</v>
      </c>
      <c r="AB10" s="154">
        <f t="shared" si="1"/>
        <v>0</v>
      </c>
    </row>
    <row r="11" spans="2:28" x14ac:dyDescent="0.35">
      <c r="B11">
        <v>2026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81</v>
      </c>
      <c r="I11" t="s">
        <v>82</v>
      </c>
      <c r="J11" t="s">
        <v>238</v>
      </c>
      <c r="K11" s="19">
        <v>0</v>
      </c>
      <c r="L11" s="19">
        <v>4500</v>
      </c>
      <c r="M11" s="19">
        <v>13500</v>
      </c>
      <c r="N11" s="19">
        <v>35533.660000000003</v>
      </c>
      <c r="O11" s="158">
        <v>0</v>
      </c>
      <c r="P11" s="19">
        <v>0</v>
      </c>
      <c r="Q11" s="19">
        <v>0</v>
      </c>
      <c r="R11" s="19">
        <v>0</v>
      </c>
      <c r="S11" s="19">
        <f>IFERROR(VLOOKUP(I11,'[1]PL Mensual 2026'!$I:$S,11,0),0)+'[1]PL Mensual 2026'!$S$220</f>
        <v>15.470000000000027</v>
      </c>
      <c r="T11" s="19">
        <v>0</v>
      </c>
      <c r="U11" s="19">
        <v>0</v>
      </c>
      <c r="V11" s="19">
        <v>0</v>
      </c>
      <c r="W11" s="19">
        <f t="shared" si="0"/>
        <v>53549.130000000005</v>
      </c>
      <c r="X11" t="s">
        <v>440</v>
      </c>
      <c r="AA11" s="153">
        <f>VLOOKUP(I11,'[2]BBDD P&amp;L'!$J:$AK,28,0)</f>
        <v>134467.12000000002</v>
      </c>
      <c r="AB11" s="154">
        <f t="shared" si="1"/>
        <v>-80917.99000000002</v>
      </c>
    </row>
    <row r="12" spans="2:28" x14ac:dyDescent="0.35">
      <c r="B12">
        <v>2026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83</v>
      </c>
      <c r="I12" t="s">
        <v>323</v>
      </c>
      <c r="J12" t="s">
        <v>238</v>
      </c>
      <c r="K12" s="19">
        <v>0</v>
      </c>
      <c r="L12" s="19">
        <v>0</v>
      </c>
      <c r="M12" s="19">
        <v>0</v>
      </c>
      <c r="N12" s="19">
        <v>48700.800000000003</v>
      </c>
      <c r="O12" s="158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f t="shared" si="0"/>
        <v>48700.800000000003</v>
      </c>
      <c r="X12" t="s">
        <v>440</v>
      </c>
      <c r="AA12" s="153">
        <f>VLOOKUP(I12,'[2]BBDD P&amp;L'!$J:$AK,28,0)</f>
        <v>213934.6</v>
      </c>
      <c r="AB12" s="154">
        <f t="shared" si="1"/>
        <v>-165233.79999999999</v>
      </c>
    </row>
    <row r="13" spans="2:28" x14ac:dyDescent="0.35">
      <c r="B13">
        <v>2026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83</v>
      </c>
      <c r="I13" t="s">
        <v>84</v>
      </c>
      <c r="J13" t="s">
        <v>238</v>
      </c>
      <c r="K13" s="19">
        <v>1295.6300000000001</v>
      </c>
      <c r="L13" s="19">
        <v>6097.12</v>
      </c>
      <c r="M13" s="19">
        <v>-1420.15</v>
      </c>
      <c r="N13" s="19">
        <v>3246.37</v>
      </c>
      <c r="O13" s="158">
        <v>2913.09</v>
      </c>
      <c r="P13" s="19">
        <v>2313.16</v>
      </c>
      <c r="Q13" s="19">
        <v>2210.59</v>
      </c>
      <c r="R13" s="19">
        <v>1694.59</v>
      </c>
      <c r="S13" s="19">
        <f>IFERROR(VLOOKUP(I13,'[1]PL Mensual 2026'!$I:$S,11,0),0)</f>
        <v>1405.89</v>
      </c>
      <c r="T13" s="19">
        <v>1721.46</v>
      </c>
      <c r="U13" s="19">
        <v>1519.01</v>
      </c>
      <c r="V13" s="19">
        <v>5378.56</v>
      </c>
      <c r="W13" s="19">
        <f t="shared" si="0"/>
        <v>28375.32</v>
      </c>
      <c r="X13" t="s">
        <v>441</v>
      </c>
      <c r="AA13" s="153">
        <f>VLOOKUP(I13,'[2]BBDD P&amp;L'!$J:$AK,28,0)</f>
        <v>16243.260000000002</v>
      </c>
      <c r="AB13" s="154">
        <f t="shared" si="1"/>
        <v>12132.059999999998</v>
      </c>
    </row>
    <row r="14" spans="2:28" x14ac:dyDescent="0.35">
      <c r="B14">
        <v>2026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85</v>
      </c>
      <c r="I14" t="s">
        <v>324</v>
      </c>
      <c r="J14" t="s">
        <v>238</v>
      </c>
      <c r="K14" s="19">
        <v>-34316.160000000003</v>
      </c>
      <c r="L14" s="19">
        <v>-77173.86</v>
      </c>
      <c r="M14" s="19">
        <v>-22849.78</v>
      </c>
      <c r="N14" s="19">
        <v>0</v>
      </c>
      <c r="O14" s="158">
        <v>0</v>
      </c>
      <c r="P14" s="19">
        <v>0</v>
      </c>
      <c r="Q14" s="19">
        <v>0</v>
      </c>
      <c r="R14" s="19">
        <v>0</v>
      </c>
      <c r="S14" s="19" t="str">
        <f>IFERROR(VLOOKUP(I14,'[1]PL Mensual 2026'!$I:$S,11,0),0)</f>
        <v xml:space="preserve">                                             -  </v>
      </c>
      <c r="T14" s="19">
        <v>0</v>
      </c>
      <c r="U14" s="19">
        <v>0</v>
      </c>
      <c r="V14" s="19">
        <v>0</v>
      </c>
      <c r="W14" s="19">
        <f t="shared" si="0"/>
        <v>-134339.79999999999</v>
      </c>
      <c r="X14" t="s">
        <v>440</v>
      </c>
      <c r="AA14" s="153">
        <f>VLOOKUP(I14,'[2]BBDD P&amp;L'!$J:$AK,28,0)</f>
        <v>-134339.79999999999</v>
      </c>
      <c r="AB14" s="154">
        <f t="shared" si="1"/>
        <v>0</v>
      </c>
    </row>
    <row r="15" spans="2:28" x14ac:dyDescent="0.35">
      <c r="B15">
        <v>2026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86</v>
      </c>
      <c r="I15" t="s">
        <v>325</v>
      </c>
      <c r="J15" t="s">
        <v>238</v>
      </c>
      <c r="K15" s="19">
        <v>0</v>
      </c>
      <c r="L15" s="19">
        <v>0</v>
      </c>
      <c r="M15" s="19">
        <v>-278.38</v>
      </c>
      <c r="N15" s="19">
        <v>0</v>
      </c>
      <c r="O15" s="153">
        <v>0</v>
      </c>
      <c r="P15" s="19">
        <v>0</v>
      </c>
      <c r="Q15" s="19">
        <v>0</v>
      </c>
      <c r="R15" s="19">
        <v>0</v>
      </c>
      <c r="S15" s="19" t="str">
        <f>IFERROR(VLOOKUP(I15,'[1]PL Mensual 2026'!$I:$S,11,0),0)</f>
        <v xml:space="preserve">                                             -  </v>
      </c>
      <c r="T15" s="19">
        <v>0</v>
      </c>
      <c r="U15" s="19">
        <v>0</v>
      </c>
      <c r="V15" s="19">
        <v>0</v>
      </c>
      <c r="W15" s="19">
        <f t="shared" si="0"/>
        <v>-278.38</v>
      </c>
      <c r="X15" t="s">
        <v>440</v>
      </c>
      <c r="AA15" s="153">
        <f>VLOOKUP(I15,'[2]BBDD P&amp;L'!$J:$AK,28,0)</f>
        <v>-278.38</v>
      </c>
      <c r="AB15" s="154">
        <f t="shared" si="1"/>
        <v>0</v>
      </c>
    </row>
    <row r="16" spans="2:28" x14ac:dyDescent="0.35">
      <c r="B16">
        <v>2026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86</v>
      </c>
      <c r="I16" t="s">
        <v>87</v>
      </c>
      <c r="J16" t="s">
        <v>238</v>
      </c>
      <c r="K16" s="19">
        <v>0</v>
      </c>
      <c r="L16" s="19">
        <v>-82761.279999999999</v>
      </c>
      <c r="M16" s="19">
        <v>0</v>
      </c>
      <c r="N16" s="19">
        <v>0</v>
      </c>
      <c r="O16" s="153">
        <v>0</v>
      </c>
      <c r="P16" s="19">
        <v>-50000</v>
      </c>
      <c r="Q16" s="19">
        <v>0</v>
      </c>
      <c r="R16" s="19">
        <v>-16000</v>
      </c>
      <c r="S16" s="19">
        <f>IFERROR(VLOOKUP(I16,'[1]PL Mensual 2026'!$I:$S,11,0),0)</f>
        <v>-12327.75</v>
      </c>
      <c r="T16" s="19">
        <v>0</v>
      </c>
      <c r="U16" s="19">
        <v>0</v>
      </c>
      <c r="V16" s="19">
        <v>-184238.72</v>
      </c>
      <c r="W16" s="19">
        <f t="shared" si="0"/>
        <v>-345327.75</v>
      </c>
      <c r="X16" t="s">
        <v>467</v>
      </c>
      <c r="AA16" s="153">
        <f>VLOOKUP(I16,'[2]BBDD P&amp;L'!$J:$AK,28,0)</f>
        <v>-345327.75</v>
      </c>
      <c r="AB16" s="154">
        <f t="shared" si="1"/>
        <v>0</v>
      </c>
    </row>
    <row r="17" spans="2:28" x14ac:dyDescent="0.35">
      <c r="B17">
        <v>2026</v>
      </c>
      <c r="C17" t="s">
        <v>74</v>
      </c>
      <c r="D17" t="s">
        <v>75</v>
      </c>
      <c r="E17" t="s">
        <v>76</v>
      </c>
      <c r="F17" t="s">
        <v>77</v>
      </c>
      <c r="G17" t="s">
        <v>88</v>
      </c>
      <c r="H17" t="s">
        <v>89</v>
      </c>
      <c r="I17" t="s">
        <v>326</v>
      </c>
      <c r="J17" t="s">
        <v>238</v>
      </c>
      <c r="K17" s="19">
        <v>0</v>
      </c>
      <c r="L17" s="19">
        <v>0</v>
      </c>
      <c r="M17" s="19">
        <v>2000</v>
      </c>
      <c r="N17" s="19">
        <v>0</v>
      </c>
      <c r="O17" s="153">
        <v>0</v>
      </c>
      <c r="P17" s="19">
        <v>0</v>
      </c>
      <c r="Q17" s="19">
        <v>0</v>
      </c>
      <c r="R17" s="19">
        <v>0</v>
      </c>
      <c r="S17" s="19" t="str">
        <f>IFERROR(VLOOKUP(I17,'[1]PL Mensual 2026'!$I:$S,11,0),0)</f>
        <v xml:space="preserve">                                             -  </v>
      </c>
      <c r="T17" s="19">
        <v>0</v>
      </c>
      <c r="U17" s="19">
        <v>0</v>
      </c>
      <c r="V17" s="19">
        <v>0</v>
      </c>
      <c r="W17" s="19">
        <f t="shared" si="0"/>
        <v>2000</v>
      </c>
      <c r="X17" t="s">
        <v>440</v>
      </c>
      <c r="AA17" s="153">
        <f>VLOOKUP(I17,'[2]BBDD P&amp;L'!$J:$AK,28,0)</f>
        <v>2000</v>
      </c>
      <c r="AB17" s="154">
        <f t="shared" si="1"/>
        <v>0</v>
      </c>
    </row>
    <row r="18" spans="2:28" x14ac:dyDescent="0.35">
      <c r="B18">
        <v>2026</v>
      </c>
      <c r="C18" t="s">
        <v>74</v>
      </c>
      <c r="D18" t="s">
        <v>75</v>
      </c>
      <c r="E18" t="s">
        <v>76</v>
      </c>
      <c r="F18" t="s">
        <v>77</v>
      </c>
      <c r="G18" t="s">
        <v>90</v>
      </c>
      <c r="H18" t="s">
        <v>91</v>
      </c>
      <c r="I18" t="s">
        <v>92</v>
      </c>
      <c r="J18" t="s">
        <v>238</v>
      </c>
      <c r="K18" s="19">
        <v>-0.2</v>
      </c>
      <c r="L18" s="19">
        <v>0</v>
      </c>
      <c r="M18" s="19">
        <v>-0.14000000000000001</v>
      </c>
      <c r="N18" s="19">
        <v>-93.18</v>
      </c>
      <c r="O18" s="153">
        <v>-1.43</v>
      </c>
      <c r="P18" s="19">
        <v>0</v>
      </c>
      <c r="Q18" s="19">
        <v>-88.03</v>
      </c>
      <c r="R18" s="19">
        <v>-0.02</v>
      </c>
      <c r="S18" s="19" t="str">
        <f>IFERROR(VLOOKUP(I18,'[1]PL Mensual 2026'!$I:$S,11,0),0)</f>
        <v xml:space="preserve">                                             -  </v>
      </c>
      <c r="T18" s="19">
        <v>0</v>
      </c>
      <c r="U18" s="19">
        <v>0</v>
      </c>
      <c r="V18" s="19">
        <v>0</v>
      </c>
      <c r="W18" s="19">
        <f t="shared" si="0"/>
        <v>-183.00000000000003</v>
      </c>
      <c r="X18" t="s">
        <v>440</v>
      </c>
      <c r="AA18" s="153">
        <f>VLOOKUP(I18,'[2]BBDD P&amp;L'!$J:$AK,28,0)</f>
        <v>-181.57000000000002</v>
      </c>
      <c r="AB18" s="154">
        <f t="shared" si="1"/>
        <v>-1.4300000000000068</v>
      </c>
    </row>
    <row r="19" spans="2:28" x14ac:dyDescent="0.35">
      <c r="B19">
        <v>2026</v>
      </c>
      <c r="C19" t="s">
        <v>74</v>
      </c>
      <c r="D19" t="s">
        <v>75</v>
      </c>
      <c r="E19" t="s">
        <v>76</v>
      </c>
      <c r="F19" t="s">
        <v>77</v>
      </c>
      <c r="G19" t="s">
        <v>90</v>
      </c>
      <c r="H19" t="s">
        <v>93</v>
      </c>
      <c r="I19" t="s">
        <v>94</v>
      </c>
      <c r="J19" t="s">
        <v>238</v>
      </c>
      <c r="K19" s="19">
        <v>3065.47</v>
      </c>
      <c r="L19" s="19">
        <v>0.02</v>
      </c>
      <c r="M19" s="19">
        <v>0</v>
      </c>
      <c r="N19" s="19">
        <v>1117.44</v>
      </c>
      <c r="O19" s="153">
        <v>0</v>
      </c>
      <c r="P19" s="19">
        <v>0</v>
      </c>
      <c r="Q19" s="19">
        <v>0</v>
      </c>
      <c r="R19" s="19">
        <v>0.01</v>
      </c>
      <c r="S19" s="19">
        <f>IFERROR(VLOOKUP(I19,'[1]PL Mensual 2026'!$I:$S,11,0),0)</f>
        <v>0.2</v>
      </c>
      <c r="T19" s="19">
        <v>0</v>
      </c>
      <c r="U19" s="19">
        <v>0</v>
      </c>
      <c r="V19" s="19">
        <v>0</v>
      </c>
      <c r="W19" s="19">
        <f t="shared" si="0"/>
        <v>4183.1400000000003</v>
      </c>
      <c r="X19" t="s">
        <v>440</v>
      </c>
      <c r="AA19" s="153">
        <f>VLOOKUP(I19,'[2]BBDD P&amp;L'!$J:$AK,28,0)</f>
        <v>4183.1400000000003</v>
      </c>
      <c r="AB19" s="154">
        <f t="shared" si="1"/>
        <v>0</v>
      </c>
    </row>
    <row r="20" spans="2:28" x14ac:dyDescent="0.35">
      <c r="B20">
        <v>2026</v>
      </c>
      <c r="C20" t="s">
        <v>74</v>
      </c>
      <c r="D20" t="s">
        <v>75</v>
      </c>
      <c r="E20" t="s">
        <v>76</v>
      </c>
      <c r="F20" t="s">
        <v>77</v>
      </c>
      <c r="G20" t="s">
        <v>95</v>
      </c>
      <c r="H20" t="s">
        <v>96</v>
      </c>
      <c r="I20" t="s">
        <v>327</v>
      </c>
      <c r="J20" t="s">
        <v>238</v>
      </c>
      <c r="K20" s="19">
        <v>1191.8499999999999</v>
      </c>
      <c r="L20" s="19">
        <v>-20400.169999999998</v>
      </c>
      <c r="M20" s="19">
        <v>-3284.66</v>
      </c>
      <c r="N20" s="19">
        <v>15429.21</v>
      </c>
      <c r="O20" s="153">
        <v>4436.0200000000004</v>
      </c>
      <c r="P20" s="19">
        <v>-12387.42</v>
      </c>
      <c r="Q20" s="19">
        <v>-48438.2</v>
      </c>
      <c r="R20" s="19">
        <v>27557.62</v>
      </c>
      <c r="S20" s="19">
        <f>IFERROR(VLOOKUP(I20,'[1]PL Mensual 2026'!$I:$S,11,0),0)</f>
        <v>-30979.93</v>
      </c>
      <c r="T20" s="19">
        <v>0</v>
      </c>
      <c r="U20" s="19">
        <v>0</v>
      </c>
      <c r="V20" s="19">
        <v>0</v>
      </c>
      <c r="W20" s="19">
        <f t="shared" si="0"/>
        <v>-66875.679999999993</v>
      </c>
      <c r="X20" t="s">
        <v>442</v>
      </c>
      <c r="AA20" s="153">
        <f>VLOOKUP(I20,'[2]BBDD P&amp;L'!$J:$AK,28,0)</f>
        <v>-64247.93</v>
      </c>
      <c r="AB20" s="154">
        <f t="shared" si="1"/>
        <v>-2627.7499999999927</v>
      </c>
    </row>
    <row r="21" spans="2:28" x14ac:dyDescent="0.35">
      <c r="B21">
        <v>2026</v>
      </c>
      <c r="C21" t="s">
        <v>74</v>
      </c>
      <c r="D21" t="s">
        <v>75</v>
      </c>
      <c r="E21" t="s">
        <v>76</v>
      </c>
      <c r="F21" t="s">
        <v>77</v>
      </c>
      <c r="G21" t="s">
        <v>95</v>
      </c>
      <c r="H21" t="s">
        <v>97</v>
      </c>
      <c r="I21" t="s">
        <v>328</v>
      </c>
      <c r="J21" t="s">
        <v>238</v>
      </c>
      <c r="K21" s="19">
        <v>-86069.93</v>
      </c>
      <c r="L21" s="19">
        <v>70405.740000000005</v>
      </c>
      <c r="M21" s="19">
        <v>86837.43</v>
      </c>
      <c r="N21" s="19">
        <v>-6784.01</v>
      </c>
      <c r="O21" s="153">
        <v>-34727.120000000003</v>
      </c>
      <c r="P21" s="19">
        <v>-77717.45</v>
      </c>
      <c r="Q21" s="19">
        <v>42145.57</v>
      </c>
      <c r="R21" s="19">
        <v>-20822.98</v>
      </c>
      <c r="S21" s="19">
        <f>IFERROR(VLOOKUP(I21,'[1]PL Mensual 2026'!$I:$S,11,0),0)</f>
        <v>-78386.559999999998</v>
      </c>
      <c r="T21" s="19">
        <v>0</v>
      </c>
      <c r="U21" s="19">
        <v>0</v>
      </c>
      <c r="V21" s="19">
        <v>0</v>
      </c>
      <c r="W21" s="19">
        <f t="shared" si="0"/>
        <v>-105119.31</v>
      </c>
      <c r="X21" t="s">
        <v>442</v>
      </c>
      <c r="AA21" s="153">
        <f>VLOOKUP(I21,'[2]BBDD P&amp;L'!$J:$AK,28,0)</f>
        <v>-105119.31</v>
      </c>
      <c r="AB21" s="154">
        <f t="shared" si="1"/>
        <v>0</v>
      </c>
    </row>
    <row r="22" spans="2:28" x14ac:dyDescent="0.35">
      <c r="B22">
        <v>2026</v>
      </c>
      <c r="C22" t="s">
        <v>74</v>
      </c>
      <c r="D22" t="s">
        <v>75</v>
      </c>
      <c r="E22" t="s">
        <v>76</v>
      </c>
      <c r="F22" t="s">
        <v>77</v>
      </c>
      <c r="G22" t="s">
        <v>98</v>
      </c>
      <c r="H22" t="s">
        <v>99</v>
      </c>
      <c r="I22" t="s">
        <v>100</v>
      </c>
      <c r="J22" t="s">
        <v>238</v>
      </c>
      <c r="K22" s="19">
        <v>-372155.73</v>
      </c>
      <c r="L22" s="19">
        <v>-457091.9</v>
      </c>
      <c r="M22" s="19">
        <v>-457890.87</v>
      </c>
      <c r="N22" s="19">
        <v>-391545.47</v>
      </c>
      <c r="O22" s="153">
        <v>-423709.62999999989</v>
      </c>
      <c r="P22" s="19">
        <v>-393937.01</v>
      </c>
      <c r="Q22" s="19">
        <v>-362186.44</v>
      </c>
      <c r="R22" s="19">
        <v>-189242.44</v>
      </c>
      <c r="S22" s="19">
        <f>IFERROR(VLOOKUP(I22,'[1]PL Mensual 2026'!$I:$S,11,0),0)</f>
        <v>-91631.27</v>
      </c>
      <c r="T22" s="19">
        <v>-235336.47</v>
      </c>
      <c r="U22" s="19">
        <v>-316373.51</v>
      </c>
      <c r="V22" s="19">
        <v>-341569.79</v>
      </c>
      <c r="W22" s="19">
        <f t="shared" si="0"/>
        <v>-4032670.5299999993</v>
      </c>
      <c r="X22" t="s">
        <v>476</v>
      </c>
      <c r="AA22" s="153">
        <f>VLOOKUP(I22,'[2]BBDD P&amp;L'!$J:$AK,28,0)</f>
        <v>-3971184.66</v>
      </c>
      <c r="AB22" s="154">
        <f t="shared" si="1"/>
        <v>-61485.86999999918</v>
      </c>
    </row>
    <row r="23" spans="2:28" x14ac:dyDescent="0.35">
      <c r="B23">
        <v>2026</v>
      </c>
      <c r="C23" t="s">
        <v>74</v>
      </c>
      <c r="D23" t="s">
        <v>75</v>
      </c>
      <c r="E23" t="s">
        <v>76</v>
      </c>
      <c r="F23" t="s">
        <v>77</v>
      </c>
      <c r="G23" t="s">
        <v>98</v>
      </c>
      <c r="H23" t="s">
        <v>99</v>
      </c>
      <c r="I23" t="s">
        <v>329</v>
      </c>
      <c r="K23" s="19"/>
      <c r="L23" s="19"/>
      <c r="M23" s="19"/>
      <c r="N23" s="19"/>
      <c r="P23" s="19"/>
      <c r="Q23" s="19"/>
      <c r="R23" s="19"/>
      <c r="S23" s="19">
        <f>IFERROR(VLOOKUP(I23,'[1]PL Mensual 2026'!$I:$S,11,0),0)</f>
        <v>-108150</v>
      </c>
      <c r="T23" s="19"/>
      <c r="U23" s="19"/>
      <c r="V23" s="19"/>
      <c r="W23" s="19">
        <f t="shared" si="0"/>
        <v>-108150</v>
      </c>
      <c r="AA23" s="153">
        <f>VLOOKUP(I23,'[2]BBDD P&amp;L'!$J:$AK,28,0)</f>
        <v>-499990</v>
      </c>
      <c r="AB23" s="154">
        <f t="shared" si="1"/>
        <v>391840</v>
      </c>
    </row>
    <row r="24" spans="2:28" x14ac:dyDescent="0.35">
      <c r="B24">
        <v>2026</v>
      </c>
      <c r="C24" t="s">
        <v>74</v>
      </c>
      <c r="D24" t="s">
        <v>75</v>
      </c>
      <c r="E24" t="s">
        <v>76</v>
      </c>
      <c r="F24" t="s">
        <v>77</v>
      </c>
      <c r="G24" t="s">
        <v>98</v>
      </c>
      <c r="H24" t="s">
        <v>101</v>
      </c>
      <c r="I24" t="s">
        <v>102</v>
      </c>
      <c r="J24" t="s">
        <v>238</v>
      </c>
      <c r="K24" s="19">
        <v>-103817.84</v>
      </c>
      <c r="L24" s="19">
        <v>-62983.5</v>
      </c>
      <c r="M24" s="19">
        <v>-55812.27</v>
      </c>
      <c r="N24" s="19">
        <v>-92652.34</v>
      </c>
      <c r="O24" s="153">
        <v>-30193.149999999991</v>
      </c>
      <c r="P24" s="19">
        <v>-119472.15</v>
      </c>
      <c r="Q24" s="19">
        <v>-145291.04999999999</v>
      </c>
      <c r="R24" s="19">
        <v>-8606.0399999999936</v>
      </c>
      <c r="S24" s="19">
        <f>IFERROR(VLOOKUP(I24,'[1]PL Mensual 2026'!$I:$S,11,0),0)</f>
        <v>-48494.97</v>
      </c>
      <c r="T24" s="19">
        <v>-49053</v>
      </c>
      <c r="U24" s="19">
        <v>-65944.179999999993</v>
      </c>
      <c r="V24" s="19">
        <v>-71196.03</v>
      </c>
      <c r="W24" s="19">
        <f t="shared" si="0"/>
        <v>-853516.51999999979</v>
      </c>
      <c r="X24" t="s">
        <v>477</v>
      </c>
      <c r="AA24" s="153">
        <f>VLOOKUP(I24,'[2]BBDD P&amp;L'!$J:$AK,28,0)</f>
        <v>-1035493.81</v>
      </c>
      <c r="AB24" s="154">
        <f t="shared" si="1"/>
        <v>181977.29000000027</v>
      </c>
    </row>
    <row r="25" spans="2:28" x14ac:dyDescent="0.35">
      <c r="B25">
        <v>2026</v>
      </c>
      <c r="C25" t="s">
        <v>74</v>
      </c>
      <c r="D25" t="s">
        <v>75</v>
      </c>
      <c r="E25" t="s">
        <v>76</v>
      </c>
      <c r="F25" t="s">
        <v>77</v>
      </c>
      <c r="G25" t="s">
        <v>98</v>
      </c>
      <c r="H25" t="s">
        <v>101</v>
      </c>
      <c r="I25" t="s">
        <v>413</v>
      </c>
      <c r="J25" t="s">
        <v>238</v>
      </c>
      <c r="K25" s="19">
        <v>0</v>
      </c>
      <c r="L25" s="19">
        <v>0</v>
      </c>
      <c r="M25" s="19">
        <v>0</v>
      </c>
      <c r="N25" s="19">
        <v>0</v>
      </c>
      <c r="O25" s="153">
        <v>0</v>
      </c>
      <c r="P25" s="19">
        <v>0</v>
      </c>
      <c r="Q25" s="19">
        <v>0</v>
      </c>
      <c r="R25" s="19">
        <v>0</v>
      </c>
      <c r="S25" s="19">
        <f>IFERROR(VLOOKUP(I25,'[1]PL Mensual 2026'!$I:$S,11,0),0)</f>
        <v>30306.17</v>
      </c>
      <c r="T25" s="19">
        <v>0</v>
      </c>
      <c r="U25" s="19">
        <v>0</v>
      </c>
      <c r="V25" s="19">
        <v>0</v>
      </c>
      <c r="W25" s="19">
        <f t="shared" si="0"/>
        <v>30306.17</v>
      </c>
      <c r="X25" t="s">
        <v>478</v>
      </c>
      <c r="AA25" s="153">
        <f>VLOOKUP(I25,'[2]BBDD P&amp;L'!$J:$AK,28,0)</f>
        <v>0</v>
      </c>
      <c r="AB25" s="154">
        <f t="shared" si="1"/>
        <v>30306.17</v>
      </c>
    </row>
    <row r="26" spans="2:28" x14ac:dyDescent="0.35">
      <c r="B26">
        <v>2026</v>
      </c>
      <c r="C26" t="s">
        <v>74</v>
      </c>
      <c r="D26" t="s">
        <v>75</v>
      </c>
      <c r="E26" t="s">
        <v>76</v>
      </c>
      <c r="F26" t="s">
        <v>77</v>
      </c>
      <c r="G26" t="s">
        <v>98</v>
      </c>
      <c r="H26" t="s">
        <v>101</v>
      </c>
      <c r="I26" t="s">
        <v>103</v>
      </c>
      <c r="J26" t="s">
        <v>238</v>
      </c>
      <c r="K26" s="19">
        <v>-12617.31</v>
      </c>
      <c r="L26" s="19">
        <v>-5458.67</v>
      </c>
      <c r="M26" s="19">
        <v>-15267.33</v>
      </c>
      <c r="N26" s="19">
        <v>-9307.32</v>
      </c>
      <c r="O26" s="153">
        <v>-2784.91</v>
      </c>
      <c r="P26" s="19">
        <v>-5867.49</v>
      </c>
      <c r="Q26" s="19">
        <v>-10270.19</v>
      </c>
      <c r="R26" s="19">
        <v>-2886.68</v>
      </c>
      <c r="S26" s="19" t="str">
        <f>IFERROR(VLOOKUP(I26,'[1]PL Mensual 2026'!$I:$S,11,0),0)</f>
        <v xml:space="preserve">                                             -  </v>
      </c>
      <c r="T26" s="19">
        <v>-4974.16</v>
      </c>
      <c r="U26" s="19">
        <v>-6687</v>
      </c>
      <c r="V26" s="19">
        <v>-7219.56</v>
      </c>
      <c r="W26" s="19">
        <f t="shared" si="0"/>
        <v>-83340.62</v>
      </c>
      <c r="X26" t="s">
        <v>479</v>
      </c>
      <c r="AA26" s="153">
        <f>VLOOKUP(I26,'[2]BBDD P&amp;L'!$J:$AK,28,0)</f>
        <v>-83340.62</v>
      </c>
      <c r="AB26" s="154">
        <f t="shared" si="1"/>
        <v>0</v>
      </c>
    </row>
    <row r="27" spans="2:28" x14ac:dyDescent="0.35">
      <c r="B27">
        <v>2026</v>
      </c>
      <c r="C27" t="s">
        <v>74</v>
      </c>
      <c r="D27" t="s">
        <v>75</v>
      </c>
      <c r="E27" t="s">
        <v>76</v>
      </c>
      <c r="F27" t="s">
        <v>77</v>
      </c>
      <c r="G27" t="s">
        <v>98</v>
      </c>
      <c r="H27" t="s">
        <v>101</v>
      </c>
      <c r="I27" t="s">
        <v>104</v>
      </c>
      <c r="J27" t="s">
        <v>238</v>
      </c>
      <c r="K27" s="19">
        <v>-7425.6</v>
      </c>
      <c r="L27" s="19">
        <v>-3712.8</v>
      </c>
      <c r="M27" s="19">
        <v>-4331.6000000000004</v>
      </c>
      <c r="N27" s="19">
        <v>-12608.05</v>
      </c>
      <c r="O27" s="153">
        <v>-17326.400000000001</v>
      </c>
      <c r="P27" s="19">
        <v>-12994.8</v>
      </c>
      <c r="Q27" s="19">
        <v>-4331.6000000000004</v>
      </c>
      <c r="R27" s="19">
        <v>-4331.6000000000004</v>
      </c>
      <c r="S27" s="19">
        <f>IFERROR(VLOOKUP(I27,'[1]PL Mensual 2026'!$I:$S,11,0),0)</f>
        <v>-1856.4</v>
      </c>
      <c r="T27" s="19">
        <v>-5174.53</v>
      </c>
      <c r="U27" s="19">
        <v>-6956.35</v>
      </c>
      <c r="V27" s="19">
        <v>-7510.36</v>
      </c>
      <c r="W27" s="19">
        <f t="shared" si="0"/>
        <v>-88560.09</v>
      </c>
      <c r="X27" t="s">
        <v>480</v>
      </c>
      <c r="AA27" s="153">
        <f>VLOOKUP(I27,'[2]BBDD P&amp;L'!$J:$AK,28,0)</f>
        <v>-88560.09</v>
      </c>
      <c r="AB27" s="154">
        <f t="shared" si="1"/>
        <v>0</v>
      </c>
    </row>
    <row r="28" spans="2:28" x14ac:dyDescent="0.35">
      <c r="B28">
        <v>2026</v>
      </c>
      <c r="C28" t="s">
        <v>74</v>
      </c>
      <c r="D28" t="s">
        <v>75</v>
      </c>
      <c r="E28" t="s">
        <v>76</v>
      </c>
      <c r="F28" t="s">
        <v>77</v>
      </c>
      <c r="G28" t="s">
        <v>98</v>
      </c>
      <c r="H28" t="s">
        <v>101</v>
      </c>
      <c r="I28" t="s">
        <v>105</v>
      </c>
      <c r="J28" t="s">
        <v>238</v>
      </c>
      <c r="K28" s="19">
        <v>-131.91999999999999</v>
      </c>
      <c r="L28" s="19">
        <v>0</v>
      </c>
      <c r="M28" s="19">
        <v>0</v>
      </c>
      <c r="N28" s="19">
        <v>0</v>
      </c>
      <c r="O28" s="153">
        <v>0</v>
      </c>
      <c r="P28" s="19">
        <v>0</v>
      </c>
      <c r="Q28" s="19">
        <v>0</v>
      </c>
      <c r="R28" s="19">
        <v>0</v>
      </c>
      <c r="S28" s="19">
        <f>IFERROR(VLOOKUP(I28,'[1]PL Mensual 2026'!$I:$S,11,0),0)</f>
        <v>-130.41999999999999</v>
      </c>
      <c r="T28" s="19">
        <v>-131.91999999999999</v>
      </c>
      <c r="U28" s="19">
        <v>-131.91999999999999</v>
      </c>
      <c r="V28" s="19">
        <v>-131.91999999999999</v>
      </c>
      <c r="W28" s="19">
        <f t="shared" si="0"/>
        <v>-658.09999999999991</v>
      </c>
      <c r="X28" t="s">
        <v>443</v>
      </c>
      <c r="AA28" s="153">
        <f>VLOOKUP(I28,'[2]BBDD P&amp;L'!$J:$AK,28,0)</f>
        <v>-658.09999999999991</v>
      </c>
      <c r="AB28" s="154">
        <f t="shared" si="1"/>
        <v>0</v>
      </c>
    </row>
    <row r="29" spans="2:28" x14ac:dyDescent="0.35">
      <c r="B29">
        <v>2026</v>
      </c>
      <c r="C29" t="s">
        <v>74</v>
      </c>
      <c r="D29" t="s">
        <v>75</v>
      </c>
      <c r="E29" t="s">
        <v>76</v>
      </c>
      <c r="F29" t="s">
        <v>77</v>
      </c>
      <c r="G29" t="s">
        <v>98</v>
      </c>
      <c r="H29" t="s">
        <v>101</v>
      </c>
      <c r="I29" t="s">
        <v>106</v>
      </c>
      <c r="J29" t="s">
        <v>238</v>
      </c>
      <c r="K29" s="19">
        <v>-95.3</v>
      </c>
      <c r="L29" s="19">
        <v>-136</v>
      </c>
      <c r="M29" s="19">
        <v>0</v>
      </c>
      <c r="N29" s="19">
        <v>-380.75</v>
      </c>
      <c r="O29" s="153">
        <v>0</v>
      </c>
      <c r="P29" s="19">
        <v>0</v>
      </c>
      <c r="Q29" s="19">
        <v>0</v>
      </c>
      <c r="R29" s="19">
        <v>0</v>
      </c>
      <c r="S29" s="19" t="str">
        <f>IFERROR(VLOOKUP(I29,'[1]PL Mensual 2026'!$I:$S,11,0),0)</f>
        <v xml:space="preserve">                                             -  </v>
      </c>
      <c r="T29" s="19">
        <v>-204.02</v>
      </c>
      <c r="U29" s="19">
        <v>-204.02</v>
      </c>
      <c r="V29" s="19">
        <v>-204.02</v>
      </c>
      <c r="W29" s="19">
        <f t="shared" si="0"/>
        <v>-1224.1099999999999</v>
      </c>
      <c r="X29" t="s">
        <v>443</v>
      </c>
      <c r="AA29" s="153">
        <f>VLOOKUP(I29,'[2]BBDD P&amp;L'!$J:$AK,28,0)</f>
        <v>-1224.1099999999999</v>
      </c>
      <c r="AB29" s="154">
        <f t="shared" si="1"/>
        <v>0</v>
      </c>
    </row>
    <row r="30" spans="2:28" x14ac:dyDescent="0.35">
      <c r="B30">
        <v>2026</v>
      </c>
      <c r="C30" t="s">
        <v>74</v>
      </c>
      <c r="D30" t="s">
        <v>75</v>
      </c>
      <c r="E30" t="s">
        <v>76</v>
      </c>
      <c r="F30" t="s">
        <v>77</v>
      </c>
      <c r="G30" t="s">
        <v>98</v>
      </c>
      <c r="H30" t="s">
        <v>101</v>
      </c>
      <c r="I30" t="s">
        <v>107</v>
      </c>
      <c r="J30" t="s">
        <v>238</v>
      </c>
      <c r="K30" s="19">
        <v>-3578.65</v>
      </c>
      <c r="L30" s="19">
        <v>0</v>
      </c>
      <c r="M30" s="19">
        <v>-5949</v>
      </c>
      <c r="N30" s="19">
        <v>-5353</v>
      </c>
      <c r="O30" s="153">
        <v>0</v>
      </c>
      <c r="P30" s="19">
        <v>-3337.38</v>
      </c>
      <c r="Q30" s="19">
        <v>-5826.6</v>
      </c>
      <c r="R30" s="19">
        <v>-1108.8</v>
      </c>
      <c r="S30" s="19" t="str">
        <f>IFERROR(VLOOKUP(I30,'[1]PL Mensual 2026'!$I:$S,11,0),0)</f>
        <v xml:space="preserve">                                             -  </v>
      </c>
      <c r="T30" s="19">
        <v>-2030.04</v>
      </c>
      <c r="U30" s="19">
        <v>-2729.08</v>
      </c>
      <c r="V30" s="19">
        <v>-2946.43</v>
      </c>
      <c r="W30" s="19">
        <f t="shared" si="0"/>
        <v>-32858.979999999996</v>
      </c>
      <c r="X30" t="s">
        <v>468</v>
      </c>
      <c r="AA30" s="153">
        <f>VLOOKUP(I30,'[2]BBDD P&amp;L'!$J:$AK,28,0)</f>
        <v>-32858.979999999996</v>
      </c>
      <c r="AB30" s="154">
        <f t="shared" si="1"/>
        <v>0</v>
      </c>
    </row>
    <row r="31" spans="2:28" x14ac:dyDescent="0.35">
      <c r="B31">
        <v>2026</v>
      </c>
      <c r="C31" t="s">
        <v>74</v>
      </c>
      <c r="D31" t="s">
        <v>75</v>
      </c>
      <c r="E31" t="s">
        <v>76</v>
      </c>
      <c r="F31" t="s">
        <v>77</v>
      </c>
      <c r="G31" t="s">
        <v>98</v>
      </c>
      <c r="H31" t="s">
        <v>101</v>
      </c>
      <c r="I31" t="s">
        <v>108</v>
      </c>
      <c r="J31" t="s">
        <v>238</v>
      </c>
      <c r="K31" s="19">
        <v>0</v>
      </c>
      <c r="L31" s="19">
        <v>0</v>
      </c>
      <c r="M31" s="19">
        <v>0</v>
      </c>
      <c r="N31" s="19">
        <v>0</v>
      </c>
      <c r="O31" s="153">
        <v>0</v>
      </c>
      <c r="P31" s="19">
        <v>0</v>
      </c>
      <c r="Q31" s="19">
        <v>0</v>
      </c>
      <c r="R31" s="19">
        <v>0</v>
      </c>
      <c r="S31" s="19">
        <f>IFERROR(VLOOKUP(I31,'[1]PL Mensual 2026'!$I:$S,11,0),0)</f>
        <v>0</v>
      </c>
      <c r="T31" s="19">
        <v>0</v>
      </c>
      <c r="U31" s="19">
        <v>0</v>
      </c>
      <c r="V31" s="19">
        <v>0</v>
      </c>
      <c r="W31" s="19">
        <f t="shared" si="0"/>
        <v>0</v>
      </c>
      <c r="X31" t="s">
        <v>444</v>
      </c>
      <c r="AA31" s="153">
        <f>VLOOKUP(I31,'[2]BBDD P&amp;L'!$J:$AK,28,0)</f>
        <v>0</v>
      </c>
      <c r="AB31" s="154">
        <f t="shared" si="1"/>
        <v>0</v>
      </c>
    </row>
    <row r="32" spans="2:28" x14ac:dyDescent="0.35">
      <c r="B32">
        <v>2026</v>
      </c>
      <c r="C32" t="s">
        <v>74</v>
      </c>
      <c r="D32" t="s">
        <v>75</v>
      </c>
      <c r="E32" t="s">
        <v>76</v>
      </c>
      <c r="F32" t="s">
        <v>77</v>
      </c>
      <c r="G32" t="s">
        <v>98</v>
      </c>
      <c r="H32" t="s">
        <v>101</v>
      </c>
      <c r="I32" t="s">
        <v>109</v>
      </c>
      <c r="J32" t="s">
        <v>238</v>
      </c>
      <c r="K32" s="19">
        <v>0</v>
      </c>
      <c r="L32" s="19">
        <v>0</v>
      </c>
      <c r="M32" s="19">
        <v>0</v>
      </c>
      <c r="N32" s="19">
        <v>0</v>
      </c>
      <c r="O32" s="153">
        <v>0</v>
      </c>
      <c r="P32" s="19">
        <v>0</v>
      </c>
      <c r="Q32" s="19">
        <v>0</v>
      </c>
      <c r="R32" s="19">
        <v>0</v>
      </c>
      <c r="S32" s="19">
        <f>IFERROR(VLOOKUP(I32,'[1]PL Mensual 2026'!$I:$S,11,0),0)</f>
        <v>-509.99</v>
      </c>
      <c r="T32" s="19">
        <v>0</v>
      </c>
      <c r="U32" s="19">
        <v>0</v>
      </c>
      <c r="V32" s="19">
        <v>0</v>
      </c>
      <c r="W32" s="19">
        <f t="shared" si="0"/>
        <v>-509.99</v>
      </c>
      <c r="X32" t="s">
        <v>444</v>
      </c>
      <c r="AA32" s="153">
        <f>VLOOKUP(I32,'[2]BBDD P&amp;L'!$J:$AK,28,0)</f>
        <v>-509.99</v>
      </c>
      <c r="AB32" s="154">
        <f t="shared" si="1"/>
        <v>0</v>
      </c>
    </row>
    <row r="33" spans="2:28" x14ac:dyDescent="0.35">
      <c r="B33">
        <v>2026</v>
      </c>
      <c r="C33" t="s">
        <v>74</v>
      </c>
      <c r="D33" t="s">
        <v>75</v>
      </c>
      <c r="E33" t="s">
        <v>76</v>
      </c>
      <c r="F33" t="s">
        <v>77</v>
      </c>
      <c r="G33" t="s">
        <v>98</v>
      </c>
      <c r="H33" t="s">
        <v>101</v>
      </c>
      <c r="I33" t="s">
        <v>110</v>
      </c>
      <c r="J33" t="s">
        <v>238</v>
      </c>
      <c r="K33" s="19">
        <v>0</v>
      </c>
      <c r="L33" s="19">
        <v>0</v>
      </c>
      <c r="M33" s="19">
        <v>0</v>
      </c>
      <c r="N33" s="19">
        <v>0</v>
      </c>
      <c r="O33" s="153">
        <v>0</v>
      </c>
      <c r="P33" s="19">
        <v>0</v>
      </c>
      <c r="Q33" s="19">
        <v>0</v>
      </c>
      <c r="R33" s="19">
        <v>0</v>
      </c>
      <c r="S33" s="19">
        <f>IFERROR(VLOOKUP(I33,'[1]PL Mensual 2026'!$I:$S,11,0),0)</f>
        <v>0</v>
      </c>
      <c r="T33" s="19">
        <v>0</v>
      </c>
      <c r="U33" s="19">
        <v>0</v>
      </c>
      <c r="V33" s="19">
        <v>0</v>
      </c>
      <c r="W33" s="19">
        <f t="shared" si="0"/>
        <v>0</v>
      </c>
      <c r="X33" t="s">
        <v>444</v>
      </c>
      <c r="AA33" s="153">
        <f>VLOOKUP(I33,'[2]BBDD P&amp;L'!$J:$AK,28,0)</f>
        <v>0</v>
      </c>
      <c r="AB33" s="154">
        <f t="shared" si="1"/>
        <v>0</v>
      </c>
    </row>
    <row r="34" spans="2:28" x14ac:dyDescent="0.35">
      <c r="B34">
        <v>2026</v>
      </c>
      <c r="C34" t="s">
        <v>74</v>
      </c>
      <c r="D34" t="s">
        <v>75</v>
      </c>
      <c r="E34" t="s">
        <v>76</v>
      </c>
      <c r="F34" t="s">
        <v>77</v>
      </c>
      <c r="G34" t="s">
        <v>98</v>
      </c>
      <c r="H34" t="s">
        <v>101</v>
      </c>
      <c r="I34" t="s">
        <v>111</v>
      </c>
      <c r="J34" t="s">
        <v>238</v>
      </c>
      <c r="K34" s="19">
        <v>0</v>
      </c>
      <c r="L34" s="19">
        <v>-1575</v>
      </c>
      <c r="M34" s="19">
        <v>0</v>
      </c>
      <c r="N34" s="19">
        <v>0</v>
      </c>
      <c r="O34" s="153">
        <v>0</v>
      </c>
      <c r="P34" s="19">
        <v>-1735.41</v>
      </c>
      <c r="Q34" s="19">
        <v>-175.92</v>
      </c>
      <c r="R34" s="19">
        <v>-371.23</v>
      </c>
      <c r="S34" s="19">
        <f>IFERROR(VLOOKUP(I34,'[1]PL Mensual 2026'!$I:$S,11,0),0)</f>
        <v>-125.1</v>
      </c>
      <c r="T34" s="19">
        <v>-964.39</v>
      </c>
      <c r="U34" s="19">
        <v>-964.39</v>
      </c>
      <c r="V34" s="19">
        <v>-964.39</v>
      </c>
      <c r="W34" s="19">
        <f t="shared" si="0"/>
        <v>-6875.8300000000008</v>
      </c>
      <c r="X34" t="s">
        <v>443</v>
      </c>
      <c r="AA34" s="153">
        <f>VLOOKUP(I34,'[2]BBDD P&amp;L'!$J:$AK,28,0)</f>
        <v>-6875.8300000000008</v>
      </c>
      <c r="AB34" s="154">
        <f t="shared" si="1"/>
        <v>0</v>
      </c>
    </row>
    <row r="35" spans="2:28" x14ac:dyDescent="0.35">
      <c r="B35">
        <v>2026</v>
      </c>
      <c r="C35" t="s">
        <v>74</v>
      </c>
      <c r="D35" t="s">
        <v>75</v>
      </c>
      <c r="E35" t="s">
        <v>76</v>
      </c>
      <c r="F35" t="s">
        <v>77</v>
      </c>
      <c r="G35" t="s">
        <v>98</v>
      </c>
      <c r="H35" t="s">
        <v>101</v>
      </c>
      <c r="I35" t="s">
        <v>112</v>
      </c>
      <c r="J35" t="s">
        <v>238</v>
      </c>
      <c r="K35" s="19">
        <v>0</v>
      </c>
      <c r="L35" s="19">
        <v>-1887.21</v>
      </c>
      <c r="M35" s="19">
        <v>0</v>
      </c>
      <c r="N35" s="19">
        <v>0</v>
      </c>
      <c r="O35" s="153">
        <v>0</v>
      </c>
      <c r="P35" s="19">
        <v>0</v>
      </c>
      <c r="Q35" s="19">
        <v>-1232.05</v>
      </c>
      <c r="R35" s="19">
        <v>0</v>
      </c>
      <c r="S35" s="19" t="str">
        <f>IFERROR(VLOOKUP(I35,'[1]PL Mensual 2026'!$I:$S,11,0),0)</f>
        <v xml:space="preserve">                                             -  </v>
      </c>
      <c r="T35" s="19">
        <v>-1559.63</v>
      </c>
      <c r="U35" s="19">
        <v>-1559.63</v>
      </c>
      <c r="V35" s="19">
        <v>-1559.63</v>
      </c>
      <c r="W35" s="19">
        <f t="shared" si="0"/>
        <v>-7798.1500000000005</v>
      </c>
      <c r="X35" t="s">
        <v>443</v>
      </c>
      <c r="AA35" s="153">
        <f>VLOOKUP(I35,'[2]BBDD P&amp;L'!$J:$AK,28,0)</f>
        <v>-7798.1500000000005</v>
      </c>
      <c r="AB35" s="154">
        <f t="shared" si="1"/>
        <v>0</v>
      </c>
    </row>
    <row r="36" spans="2:28" x14ac:dyDescent="0.35">
      <c r="B36">
        <v>2026</v>
      </c>
      <c r="C36" t="s">
        <v>74</v>
      </c>
      <c r="D36" t="s">
        <v>75</v>
      </c>
      <c r="E36" t="s">
        <v>76</v>
      </c>
      <c r="F36" t="s">
        <v>77</v>
      </c>
      <c r="G36" t="s">
        <v>98</v>
      </c>
      <c r="H36" t="s">
        <v>101</v>
      </c>
      <c r="I36" t="s">
        <v>330</v>
      </c>
      <c r="J36" t="s">
        <v>238</v>
      </c>
      <c r="K36" s="19">
        <v>-157</v>
      </c>
      <c r="L36" s="19">
        <v>-2350.16</v>
      </c>
      <c r="M36" s="19">
        <v>0</v>
      </c>
      <c r="N36" s="19">
        <v>-2676.19</v>
      </c>
      <c r="O36" s="153">
        <v>-480.84</v>
      </c>
      <c r="P36" s="19">
        <v>-2604.9699999999998</v>
      </c>
      <c r="Q36" s="19">
        <v>-2809.41</v>
      </c>
      <c r="R36" s="19">
        <v>-2557.66</v>
      </c>
      <c r="S36" s="19">
        <f>IFERROR(VLOOKUP(I36,'[1]PL Mensual 2026'!$I:$S,11,0),0)</f>
        <v>-2381.09</v>
      </c>
      <c r="T36" s="19">
        <v>-2490</v>
      </c>
      <c r="U36" s="19">
        <v>-2690</v>
      </c>
      <c r="V36" s="19">
        <v>-2690</v>
      </c>
      <c r="W36" s="19">
        <f t="shared" si="0"/>
        <v>-23887.32</v>
      </c>
      <c r="X36" t="s">
        <v>445</v>
      </c>
      <c r="AA36" s="153">
        <f>VLOOKUP(I36,'[2]BBDD P&amp;L'!$J:$AK,28,0)</f>
        <v>-23887.32</v>
      </c>
      <c r="AB36" s="154">
        <f t="shared" si="1"/>
        <v>0</v>
      </c>
    </row>
    <row r="37" spans="2:28" x14ac:dyDescent="0.35">
      <c r="B37">
        <v>2026</v>
      </c>
      <c r="C37" t="s">
        <v>74</v>
      </c>
      <c r="D37" t="s">
        <v>75</v>
      </c>
      <c r="E37" t="s">
        <v>76</v>
      </c>
      <c r="F37" t="s">
        <v>77</v>
      </c>
      <c r="G37" t="s">
        <v>98</v>
      </c>
      <c r="H37" t="s">
        <v>101</v>
      </c>
      <c r="I37" t="s">
        <v>113</v>
      </c>
      <c r="J37" t="s">
        <v>238</v>
      </c>
      <c r="K37" s="19">
        <v>-1200.4000000000001</v>
      </c>
      <c r="L37" s="19">
        <v>-562</v>
      </c>
      <c r="M37" s="19">
        <v>-363</v>
      </c>
      <c r="N37" s="19">
        <v>67</v>
      </c>
      <c r="O37" s="153">
        <v>1124</v>
      </c>
      <c r="P37" s="19">
        <v>-1708</v>
      </c>
      <c r="Q37" s="19">
        <v>1360</v>
      </c>
      <c r="R37" s="19">
        <v>0</v>
      </c>
      <c r="S37" s="19">
        <f>IFERROR(VLOOKUP(I37,'[1]PL Mensual 2026'!$I:$S,11,0),0)+1188</f>
        <v>4089</v>
      </c>
      <c r="T37" s="19">
        <v>-183.2</v>
      </c>
      <c r="U37" s="19">
        <v>-183.2</v>
      </c>
      <c r="V37" s="19">
        <v>-183.2</v>
      </c>
      <c r="W37" s="19">
        <f t="shared" si="0"/>
        <v>2257.0000000000005</v>
      </c>
      <c r="X37" t="s">
        <v>443</v>
      </c>
      <c r="AA37" s="153">
        <f>VLOOKUP(I37,'[2]BBDD P&amp;L'!$J:$AK,28,0)</f>
        <v>2257.0000000000005</v>
      </c>
      <c r="AB37" s="154">
        <f t="shared" si="1"/>
        <v>0</v>
      </c>
    </row>
    <row r="38" spans="2:28" x14ac:dyDescent="0.35">
      <c r="B38">
        <v>2026</v>
      </c>
      <c r="C38" t="s">
        <v>74</v>
      </c>
      <c r="D38" t="s">
        <v>75</v>
      </c>
      <c r="E38" t="s">
        <v>76</v>
      </c>
      <c r="F38" t="s">
        <v>77</v>
      </c>
      <c r="G38" t="s">
        <v>98</v>
      </c>
      <c r="H38" t="s">
        <v>114</v>
      </c>
      <c r="I38" t="s">
        <v>331</v>
      </c>
      <c r="J38" t="s">
        <v>238</v>
      </c>
      <c r="K38" s="19">
        <v>-4010</v>
      </c>
      <c r="L38" s="19">
        <v>-8438.9599999999991</v>
      </c>
      <c r="M38" s="19">
        <v>-10901.61</v>
      </c>
      <c r="N38" s="19">
        <v>-20866.93</v>
      </c>
      <c r="O38" s="153">
        <v>-3540</v>
      </c>
      <c r="P38" s="19">
        <v>0.72000000000116415</v>
      </c>
      <c r="Q38" s="19">
        <v>-3900</v>
      </c>
      <c r="R38" s="19">
        <v>-6131.3100000000013</v>
      </c>
      <c r="S38" s="19">
        <f>IFERROR(VLOOKUP(I38,'[1]PL Mensual 2026'!$I:$S,11,0),0)+4717.08</f>
        <v>-21488.9</v>
      </c>
      <c r="T38" s="19">
        <v>0</v>
      </c>
      <c r="U38" s="19">
        <v>0</v>
      </c>
      <c r="V38" s="19">
        <v>-7970</v>
      </c>
      <c r="W38" s="19">
        <f t="shared" si="0"/>
        <v>-87246.989999999991</v>
      </c>
      <c r="X38" t="s">
        <v>481</v>
      </c>
      <c r="AA38" s="153">
        <f>VLOOKUP(I38,'[2]BBDD P&amp;L'!$J:$AK,28,0)</f>
        <v>-206582.86</v>
      </c>
      <c r="AB38" s="154">
        <f t="shared" si="1"/>
        <v>119335.87</v>
      </c>
    </row>
    <row r="39" spans="2:28" x14ac:dyDescent="0.35">
      <c r="B39">
        <v>2026</v>
      </c>
      <c r="C39" t="s">
        <v>74</v>
      </c>
      <c r="D39" t="s">
        <v>75</v>
      </c>
      <c r="E39" t="s">
        <v>76</v>
      </c>
      <c r="F39" t="s">
        <v>77</v>
      </c>
      <c r="G39" t="s">
        <v>98</v>
      </c>
      <c r="H39" t="s">
        <v>115</v>
      </c>
      <c r="I39" t="s">
        <v>332</v>
      </c>
      <c r="J39" t="s">
        <v>238</v>
      </c>
      <c r="K39" s="19">
        <v>25970.74</v>
      </c>
      <c r="L39" s="19">
        <v>149437.84</v>
      </c>
      <c r="M39" s="19">
        <v>81262.98</v>
      </c>
      <c r="N39" s="19">
        <v>-23562.66</v>
      </c>
      <c r="O39" s="153">
        <v>-43504.89</v>
      </c>
      <c r="P39" s="19">
        <v>-145710</v>
      </c>
      <c r="Q39" s="19">
        <v>649.66999999999996</v>
      </c>
      <c r="R39" s="19">
        <v>-59037.03</v>
      </c>
      <c r="S39" s="19">
        <f>IFERROR(VLOOKUP(I39,'[1]PL Mensual 2026'!$I:$S,11,0),0)</f>
        <v>168480.81</v>
      </c>
      <c r="T39" s="19">
        <v>0</v>
      </c>
      <c r="U39" s="19">
        <v>0</v>
      </c>
      <c r="V39" s="19">
        <v>-15000</v>
      </c>
      <c r="W39" s="19">
        <f t="shared" si="0"/>
        <v>138987.46000000002</v>
      </c>
      <c r="X39" t="s">
        <v>442</v>
      </c>
      <c r="AA39" s="153">
        <f>VLOOKUP(I39,'[2]BBDD P&amp;L'!$J:$AK,28,0)</f>
        <v>138987.46000000002</v>
      </c>
      <c r="AB39" s="154">
        <f t="shared" si="1"/>
        <v>0</v>
      </c>
    </row>
    <row r="40" spans="2:28" x14ac:dyDescent="0.35">
      <c r="B40">
        <v>2026</v>
      </c>
      <c r="C40" t="s">
        <v>74</v>
      </c>
      <c r="D40" t="s">
        <v>75</v>
      </c>
      <c r="E40" t="s">
        <v>76</v>
      </c>
      <c r="F40" t="s">
        <v>77</v>
      </c>
      <c r="G40" t="s">
        <v>98</v>
      </c>
      <c r="H40" t="s">
        <v>116</v>
      </c>
      <c r="I40" t="s">
        <v>333</v>
      </c>
      <c r="J40" t="s">
        <v>238</v>
      </c>
      <c r="K40" s="19">
        <v>61431.54</v>
      </c>
      <c r="L40" s="19">
        <v>-11484.37</v>
      </c>
      <c r="M40" s="19">
        <v>0</v>
      </c>
      <c r="N40" s="19">
        <v>44037.42</v>
      </c>
      <c r="O40" s="153">
        <v>-73565.42</v>
      </c>
      <c r="P40" s="19">
        <v>33912.769999999997</v>
      </c>
      <c r="Q40" s="19">
        <v>14991.19</v>
      </c>
      <c r="R40" s="19">
        <v>-4582.08</v>
      </c>
      <c r="S40" s="19">
        <f>IFERROR(VLOOKUP(I40,'[1]PL Mensual 2026'!$I:$S,11,0),0)</f>
        <v>-21053.4</v>
      </c>
      <c r="T40" s="19">
        <v>0</v>
      </c>
      <c r="U40" s="19">
        <v>0</v>
      </c>
      <c r="V40" s="19">
        <v>10000</v>
      </c>
      <c r="W40" s="19">
        <f t="shared" si="0"/>
        <v>53687.649999999987</v>
      </c>
      <c r="X40" t="s">
        <v>442</v>
      </c>
      <c r="AA40" s="153">
        <f>VLOOKUP(I40,'[2]BBDD P&amp;L'!$J:$AK,28,0)</f>
        <v>53687.649999999987</v>
      </c>
      <c r="AB40" s="154">
        <f t="shared" si="1"/>
        <v>0</v>
      </c>
    </row>
    <row r="41" spans="2:28" x14ac:dyDescent="0.35">
      <c r="B41">
        <v>2026</v>
      </c>
      <c r="C41" t="s">
        <v>74</v>
      </c>
      <c r="D41" t="s">
        <v>75</v>
      </c>
      <c r="E41" t="s">
        <v>76</v>
      </c>
      <c r="F41" t="s">
        <v>77</v>
      </c>
      <c r="G41" t="s">
        <v>117</v>
      </c>
      <c r="H41" t="s">
        <v>118</v>
      </c>
      <c r="I41" t="s">
        <v>334</v>
      </c>
      <c r="J41" t="s">
        <v>238</v>
      </c>
      <c r="K41" s="19">
        <v>0</v>
      </c>
      <c r="L41" s="19">
        <v>0</v>
      </c>
      <c r="M41" s="19">
        <v>0</v>
      </c>
      <c r="N41" s="19">
        <v>0</v>
      </c>
      <c r="O41" s="153">
        <v>0</v>
      </c>
      <c r="P41" s="19">
        <v>0</v>
      </c>
      <c r="Q41" s="19">
        <v>0</v>
      </c>
      <c r="R41" s="19">
        <v>0</v>
      </c>
      <c r="S41" s="19">
        <f>IFERROR(VLOOKUP(I41,'[1]PL Mensual 2026'!$I:$S,11,0),0)</f>
        <v>0</v>
      </c>
      <c r="T41" s="19">
        <v>0</v>
      </c>
      <c r="U41" s="19">
        <v>0</v>
      </c>
      <c r="V41" s="19">
        <v>0</v>
      </c>
      <c r="W41" s="19">
        <f t="shared" si="0"/>
        <v>0</v>
      </c>
      <c r="X41" t="s">
        <v>444</v>
      </c>
      <c r="AA41" s="153">
        <f>VLOOKUP(I41,'[2]BBDD P&amp;L'!$J:$AK,28,0)</f>
        <v>0</v>
      </c>
      <c r="AB41" s="154">
        <f t="shared" si="1"/>
        <v>0</v>
      </c>
    </row>
    <row r="42" spans="2:28" x14ac:dyDescent="0.35">
      <c r="B42">
        <v>2026</v>
      </c>
      <c r="C42" t="s">
        <v>74</v>
      </c>
      <c r="D42" t="s">
        <v>75</v>
      </c>
      <c r="E42" t="s">
        <v>76</v>
      </c>
      <c r="F42" t="s">
        <v>77</v>
      </c>
      <c r="G42" t="s">
        <v>119</v>
      </c>
      <c r="H42" t="s">
        <v>120</v>
      </c>
      <c r="I42" t="s">
        <v>121</v>
      </c>
      <c r="J42" t="s">
        <v>238</v>
      </c>
      <c r="K42" s="19">
        <v>-84814.92</v>
      </c>
      <c r="L42" s="19">
        <v>-115852.5</v>
      </c>
      <c r="M42" s="19">
        <v>-111568.08</v>
      </c>
      <c r="N42" s="19">
        <v>-100687.82</v>
      </c>
      <c r="O42" s="153">
        <v>-104048.18</v>
      </c>
      <c r="P42" s="19">
        <v>-114103.58</v>
      </c>
      <c r="Q42" s="19">
        <v>-121813.59</v>
      </c>
      <c r="R42" s="19">
        <v>-128060.74</v>
      </c>
      <c r="S42" s="19">
        <f>IFERROR(VLOOKUP(I42,'[1]PL Mensual 2026'!$I:$S,11,0),0)</f>
        <v>-131094.26999999999</v>
      </c>
      <c r="T42" s="19">
        <v>-128060.74</v>
      </c>
      <c r="U42" s="19">
        <v>-128060.74</v>
      </c>
      <c r="V42" s="19">
        <v>-407060.74</v>
      </c>
      <c r="W42" s="19">
        <f t="shared" si="0"/>
        <v>-1675225.9</v>
      </c>
      <c r="X42" t="s">
        <v>470</v>
      </c>
      <c r="AA42" s="153">
        <f>VLOOKUP(I42,'[2]BBDD P&amp;L'!$J:$AK,28,0)</f>
        <v>-1747364.69</v>
      </c>
      <c r="AB42" s="154">
        <f t="shared" si="1"/>
        <v>72138.790000000037</v>
      </c>
    </row>
    <row r="43" spans="2:28" x14ac:dyDescent="0.35">
      <c r="B43">
        <v>2026</v>
      </c>
      <c r="C43" t="s">
        <v>74</v>
      </c>
      <c r="D43" t="s">
        <v>75</v>
      </c>
      <c r="E43" t="s">
        <v>76</v>
      </c>
      <c r="F43" t="s">
        <v>77</v>
      </c>
      <c r="G43" t="s">
        <v>119</v>
      </c>
      <c r="H43" t="s">
        <v>127</v>
      </c>
      <c r="I43" t="s">
        <v>335</v>
      </c>
      <c r="J43" t="s">
        <v>238</v>
      </c>
      <c r="K43" s="19">
        <v>-26717.09</v>
      </c>
      <c r="L43" s="19">
        <v>-27074.7</v>
      </c>
      <c r="M43" s="19">
        <v>-32042.23</v>
      </c>
      <c r="N43" s="19">
        <v>-29359.85</v>
      </c>
      <c r="O43" s="153">
        <v>-30856.34</v>
      </c>
      <c r="P43" s="19">
        <v>-30968.7</v>
      </c>
      <c r="Q43" s="19">
        <v>-31720.06</v>
      </c>
      <c r="R43" s="19">
        <v>-24572.05</v>
      </c>
      <c r="S43" s="19">
        <f>IFERROR(VLOOKUP(I43,'[1]PL Mensual 2026'!$I:$S,11,0),0)</f>
        <v>-34709.72</v>
      </c>
      <c r="T43" s="19">
        <v>-24572.05</v>
      </c>
      <c r="U43" s="19">
        <v>-24572.05</v>
      </c>
      <c r="V43" s="19">
        <v>-24572.05</v>
      </c>
      <c r="W43" s="19">
        <f t="shared" si="0"/>
        <v>-341736.88999999996</v>
      </c>
      <c r="X43" t="s">
        <v>471</v>
      </c>
      <c r="AA43" s="153">
        <f>VLOOKUP(I43,'[2]BBDD P&amp;L'!$J:$AK,28,0)</f>
        <v>-353869.06999999995</v>
      </c>
      <c r="AB43" s="154">
        <f t="shared" si="1"/>
        <v>12132.179999999993</v>
      </c>
    </row>
    <row r="44" spans="2:28" x14ac:dyDescent="0.35">
      <c r="B44">
        <v>2026</v>
      </c>
      <c r="C44" t="s">
        <v>74</v>
      </c>
      <c r="D44" t="s">
        <v>75</v>
      </c>
      <c r="E44" t="s">
        <v>76</v>
      </c>
      <c r="F44" t="s">
        <v>77</v>
      </c>
      <c r="G44" t="s">
        <v>119</v>
      </c>
      <c r="H44" t="s">
        <v>128</v>
      </c>
      <c r="I44" t="s">
        <v>129</v>
      </c>
      <c r="J44" t="s">
        <v>238</v>
      </c>
      <c r="K44" s="19">
        <v>0</v>
      </c>
      <c r="L44" s="19">
        <v>0</v>
      </c>
      <c r="M44" s="19">
        <v>0</v>
      </c>
      <c r="N44" s="19">
        <v>0</v>
      </c>
      <c r="O44" s="153">
        <v>0</v>
      </c>
      <c r="P44" s="19">
        <v>0</v>
      </c>
      <c r="Q44" s="19">
        <v>0</v>
      </c>
      <c r="R44" s="19">
        <v>0</v>
      </c>
      <c r="S44" s="19">
        <f>IFERROR(VLOOKUP(I44,'[1]PL Mensual 2026'!$I:$S,11,0),0)</f>
        <v>0</v>
      </c>
      <c r="T44" s="19">
        <v>0</v>
      </c>
      <c r="U44" s="19">
        <v>0</v>
      </c>
      <c r="V44" s="19">
        <v>0</v>
      </c>
      <c r="W44" s="19">
        <f t="shared" si="0"/>
        <v>0</v>
      </c>
      <c r="X44" t="s">
        <v>444</v>
      </c>
      <c r="AA44" s="153">
        <f>VLOOKUP(I44,'[2]BBDD P&amp;L'!$J:$AK,28,0)</f>
        <v>0</v>
      </c>
      <c r="AB44" s="154">
        <f t="shared" si="1"/>
        <v>0</v>
      </c>
    </row>
    <row r="45" spans="2:28" x14ac:dyDescent="0.35">
      <c r="B45">
        <v>2026</v>
      </c>
      <c r="C45" t="s">
        <v>74</v>
      </c>
      <c r="D45" t="s">
        <v>75</v>
      </c>
      <c r="E45" t="s">
        <v>76</v>
      </c>
      <c r="F45" t="s">
        <v>77</v>
      </c>
      <c r="G45" t="s">
        <v>119</v>
      </c>
      <c r="H45" t="s">
        <v>128</v>
      </c>
      <c r="I45" t="s">
        <v>130</v>
      </c>
      <c r="J45" t="s">
        <v>238</v>
      </c>
      <c r="K45" s="19">
        <v>0</v>
      </c>
      <c r="L45" s="19">
        <v>0</v>
      </c>
      <c r="M45" s="19">
        <v>0</v>
      </c>
      <c r="N45" s="19">
        <v>0</v>
      </c>
      <c r="O45" s="153">
        <v>0</v>
      </c>
      <c r="P45" s="19">
        <v>0</v>
      </c>
      <c r="Q45" s="19">
        <v>0</v>
      </c>
      <c r="R45" s="19">
        <v>0</v>
      </c>
      <c r="S45" s="19">
        <f>IFERROR(VLOOKUP(I45,'[1]PL Mensual 2026'!$I:$S,11,0),0)</f>
        <v>0</v>
      </c>
      <c r="T45" s="19">
        <v>0</v>
      </c>
      <c r="U45" s="19">
        <v>0</v>
      </c>
      <c r="V45" s="19">
        <v>0</v>
      </c>
      <c r="W45" s="19">
        <f t="shared" si="0"/>
        <v>0</v>
      </c>
      <c r="X45" t="s">
        <v>444</v>
      </c>
      <c r="AA45" s="153">
        <f>VLOOKUP(I45,'[2]BBDD P&amp;L'!$J:$AK,28,0)</f>
        <v>0</v>
      </c>
      <c r="AB45" s="154">
        <f t="shared" si="1"/>
        <v>0</v>
      </c>
    </row>
    <row r="46" spans="2:28" x14ac:dyDescent="0.35">
      <c r="B46">
        <v>2026</v>
      </c>
      <c r="C46" t="s">
        <v>74</v>
      </c>
      <c r="D46" t="s">
        <v>75</v>
      </c>
      <c r="E46" t="s">
        <v>76</v>
      </c>
      <c r="F46" t="s">
        <v>77</v>
      </c>
      <c r="G46" t="s">
        <v>119</v>
      </c>
      <c r="H46" t="s">
        <v>128</v>
      </c>
      <c r="I46" t="s">
        <v>131</v>
      </c>
      <c r="J46" t="s">
        <v>238</v>
      </c>
      <c r="K46" s="19">
        <v>0</v>
      </c>
      <c r="L46" s="19">
        <v>0</v>
      </c>
      <c r="M46" s="19">
        <v>0</v>
      </c>
      <c r="N46" s="19">
        <v>0</v>
      </c>
      <c r="O46" s="153">
        <v>0</v>
      </c>
      <c r="P46" s="19">
        <v>0</v>
      </c>
      <c r="Q46" s="19">
        <v>0</v>
      </c>
      <c r="R46" s="19">
        <v>0</v>
      </c>
      <c r="S46" s="19">
        <f>IFERROR(VLOOKUP(I46,'[1]PL Mensual 2026'!$I:$S,11,0),0)</f>
        <v>0</v>
      </c>
      <c r="T46" s="19">
        <v>0</v>
      </c>
      <c r="U46" s="19">
        <v>0</v>
      </c>
      <c r="V46" s="19">
        <v>0</v>
      </c>
      <c r="W46" s="19">
        <f t="shared" si="0"/>
        <v>0</v>
      </c>
      <c r="X46" t="s">
        <v>444</v>
      </c>
      <c r="AA46" s="153">
        <f>VLOOKUP(I46,'[2]BBDD P&amp;L'!$J:$AK,28,0)</f>
        <v>0</v>
      </c>
      <c r="AB46" s="154">
        <f t="shared" si="1"/>
        <v>0</v>
      </c>
    </row>
    <row r="47" spans="2:28" x14ac:dyDescent="0.35">
      <c r="B47">
        <v>2026</v>
      </c>
      <c r="C47" t="s">
        <v>74</v>
      </c>
      <c r="D47" t="s">
        <v>75</v>
      </c>
      <c r="E47" t="s">
        <v>76</v>
      </c>
      <c r="F47" t="s">
        <v>77</v>
      </c>
      <c r="G47" t="s">
        <v>119</v>
      </c>
      <c r="H47" t="s">
        <v>128</v>
      </c>
      <c r="I47" t="s">
        <v>336</v>
      </c>
      <c r="J47" t="s">
        <v>238</v>
      </c>
      <c r="K47" s="19">
        <v>0</v>
      </c>
      <c r="L47" s="19">
        <v>0</v>
      </c>
      <c r="M47" s="19">
        <v>0</v>
      </c>
      <c r="N47" s="19">
        <v>0</v>
      </c>
      <c r="O47" s="153">
        <v>0</v>
      </c>
      <c r="P47" s="19">
        <v>0</v>
      </c>
      <c r="Q47" s="19">
        <v>0</v>
      </c>
      <c r="R47" s="19">
        <v>0</v>
      </c>
      <c r="S47" s="19">
        <f>IFERROR(VLOOKUP(I47,'[1]PL Mensual 2026'!$I:$S,11,0),0)</f>
        <v>0</v>
      </c>
      <c r="T47" s="19">
        <v>0</v>
      </c>
      <c r="U47" s="19">
        <v>0</v>
      </c>
      <c r="V47" s="19">
        <v>0</v>
      </c>
      <c r="W47" s="19">
        <f t="shared" si="0"/>
        <v>0</v>
      </c>
      <c r="X47" t="s">
        <v>444</v>
      </c>
      <c r="AA47" s="153">
        <f>VLOOKUP(I47,'[2]BBDD P&amp;L'!$J:$AK,28,0)</f>
        <v>0</v>
      </c>
      <c r="AB47" s="154">
        <f t="shared" si="1"/>
        <v>0</v>
      </c>
    </row>
    <row r="48" spans="2:28" x14ac:dyDescent="0.35">
      <c r="B48">
        <v>2026</v>
      </c>
      <c r="C48" t="s">
        <v>74</v>
      </c>
      <c r="D48" t="s">
        <v>75</v>
      </c>
      <c r="E48" t="s">
        <v>76</v>
      </c>
      <c r="F48" t="s">
        <v>77</v>
      </c>
      <c r="G48" t="s">
        <v>119</v>
      </c>
      <c r="H48" t="s">
        <v>128</v>
      </c>
      <c r="I48" t="s">
        <v>132</v>
      </c>
      <c r="J48" t="s">
        <v>238</v>
      </c>
      <c r="K48" s="19">
        <v>0</v>
      </c>
      <c r="L48" s="19">
        <v>0</v>
      </c>
      <c r="M48" s="19">
        <v>0</v>
      </c>
      <c r="N48" s="19">
        <v>0</v>
      </c>
      <c r="O48" s="153">
        <v>0</v>
      </c>
      <c r="P48" s="19">
        <v>0</v>
      </c>
      <c r="Q48" s="19">
        <v>0</v>
      </c>
      <c r="R48" s="19">
        <v>0</v>
      </c>
      <c r="S48" s="19">
        <f>IFERROR(VLOOKUP(I48,'[1]PL Mensual 2026'!$I:$S,11,0),0)</f>
        <v>0</v>
      </c>
      <c r="T48" s="19">
        <v>0</v>
      </c>
      <c r="U48" s="19">
        <v>0</v>
      </c>
      <c r="V48" s="19">
        <v>0</v>
      </c>
      <c r="W48" s="19">
        <f t="shared" si="0"/>
        <v>0</v>
      </c>
      <c r="X48" t="s">
        <v>444</v>
      </c>
      <c r="AA48" s="153">
        <f>VLOOKUP(I48,'[2]BBDD P&amp;L'!$J:$AK,28,0)</f>
        <v>0</v>
      </c>
      <c r="AB48" s="154">
        <f t="shared" si="1"/>
        <v>0</v>
      </c>
    </row>
    <row r="49" spans="2:28" x14ac:dyDescent="0.35">
      <c r="B49">
        <v>2026</v>
      </c>
      <c r="C49" t="s">
        <v>74</v>
      </c>
      <c r="D49" t="s">
        <v>75</v>
      </c>
      <c r="E49" t="s">
        <v>76</v>
      </c>
      <c r="F49" t="s">
        <v>77</v>
      </c>
      <c r="G49" t="s">
        <v>119</v>
      </c>
      <c r="H49" t="s">
        <v>128</v>
      </c>
      <c r="I49" t="s">
        <v>133</v>
      </c>
      <c r="J49" t="s">
        <v>238</v>
      </c>
      <c r="K49" s="19">
        <v>0</v>
      </c>
      <c r="L49" s="19">
        <v>0</v>
      </c>
      <c r="M49" s="19">
        <v>0</v>
      </c>
      <c r="N49" s="19">
        <v>0</v>
      </c>
      <c r="O49" s="153">
        <v>0</v>
      </c>
      <c r="P49" s="19">
        <v>0</v>
      </c>
      <c r="Q49" s="19">
        <v>0</v>
      </c>
      <c r="R49" s="19">
        <v>0</v>
      </c>
      <c r="S49" s="19">
        <f>IFERROR(VLOOKUP(I49,'[1]PL Mensual 2026'!$I:$S,11,0),0)</f>
        <v>0</v>
      </c>
      <c r="T49" s="19">
        <v>0</v>
      </c>
      <c r="U49" s="19">
        <v>0</v>
      </c>
      <c r="V49" s="19">
        <v>0</v>
      </c>
      <c r="W49" s="19">
        <f t="shared" si="0"/>
        <v>0</v>
      </c>
      <c r="X49" t="s">
        <v>444</v>
      </c>
      <c r="AA49" s="153">
        <f>VLOOKUP(I49,'[2]BBDD P&amp;L'!$J:$AK,28,0)</f>
        <v>0</v>
      </c>
      <c r="AB49" s="154">
        <f t="shared" si="1"/>
        <v>0</v>
      </c>
    </row>
    <row r="50" spans="2:28" x14ac:dyDescent="0.35">
      <c r="B50">
        <v>2026</v>
      </c>
      <c r="C50" t="s">
        <v>74</v>
      </c>
      <c r="D50" t="s">
        <v>75</v>
      </c>
      <c r="E50" t="s">
        <v>76</v>
      </c>
      <c r="F50" t="s">
        <v>77</v>
      </c>
      <c r="G50" t="s">
        <v>119</v>
      </c>
      <c r="H50" t="s">
        <v>128</v>
      </c>
      <c r="I50" t="s">
        <v>134</v>
      </c>
      <c r="J50" t="s">
        <v>238</v>
      </c>
      <c r="K50" s="19">
        <v>0</v>
      </c>
      <c r="L50" s="19">
        <v>0</v>
      </c>
      <c r="M50" s="19">
        <v>0</v>
      </c>
      <c r="N50" s="19">
        <v>0</v>
      </c>
      <c r="O50" s="153">
        <v>0</v>
      </c>
      <c r="P50" s="19">
        <v>0</v>
      </c>
      <c r="Q50" s="19">
        <v>0</v>
      </c>
      <c r="R50" s="19">
        <v>0</v>
      </c>
      <c r="S50" s="19">
        <f>IFERROR(VLOOKUP(I50,'[1]PL Mensual 2026'!$I:$S,11,0),0)</f>
        <v>0</v>
      </c>
      <c r="T50" s="19">
        <v>0</v>
      </c>
      <c r="U50" s="19">
        <v>0</v>
      </c>
      <c r="V50" s="19">
        <v>0</v>
      </c>
      <c r="W50" s="19">
        <f t="shared" si="0"/>
        <v>0</v>
      </c>
      <c r="X50" t="s">
        <v>444</v>
      </c>
      <c r="AA50" s="153">
        <f>VLOOKUP(I50,'[2]BBDD P&amp;L'!$J:$AK,28,0)</f>
        <v>0</v>
      </c>
      <c r="AB50" s="154">
        <f t="shared" si="1"/>
        <v>0</v>
      </c>
    </row>
    <row r="51" spans="2:28" x14ac:dyDescent="0.35">
      <c r="B51">
        <v>2026</v>
      </c>
      <c r="C51" t="s">
        <v>74</v>
      </c>
      <c r="D51" t="s">
        <v>75</v>
      </c>
      <c r="E51" t="s">
        <v>76</v>
      </c>
      <c r="F51" t="s">
        <v>77</v>
      </c>
      <c r="G51" t="s">
        <v>119</v>
      </c>
      <c r="H51" t="s">
        <v>128</v>
      </c>
      <c r="I51" t="s">
        <v>337</v>
      </c>
      <c r="J51" t="s">
        <v>238</v>
      </c>
      <c r="K51" s="19">
        <v>0</v>
      </c>
      <c r="L51" s="19">
        <v>0</v>
      </c>
      <c r="M51" s="19">
        <v>0</v>
      </c>
      <c r="N51" s="19">
        <v>0</v>
      </c>
      <c r="O51" s="153">
        <v>0</v>
      </c>
      <c r="P51" s="19">
        <v>0</v>
      </c>
      <c r="Q51" s="19">
        <v>0</v>
      </c>
      <c r="R51" s="19">
        <v>0</v>
      </c>
      <c r="S51" s="19">
        <f>IFERROR(VLOOKUP(I51,'[1]PL Mensual 2026'!$I:$S,11,0),0)</f>
        <v>0</v>
      </c>
      <c r="T51" s="19">
        <v>0</v>
      </c>
      <c r="U51" s="19">
        <v>0</v>
      </c>
      <c r="V51" s="19">
        <v>0</v>
      </c>
      <c r="W51" s="19">
        <f t="shared" si="0"/>
        <v>0</v>
      </c>
      <c r="X51" t="s">
        <v>444</v>
      </c>
      <c r="AA51" s="153">
        <f>VLOOKUP(I51,'[2]BBDD P&amp;L'!$J:$AK,28,0)</f>
        <v>0</v>
      </c>
      <c r="AB51" s="154">
        <f t="shared" si="1"/>
        <v>0</v>
      </c>
    </row>
    <row r="52" spans="2:28" x14ac:dyDescent="0.35">
      <c r="B52">
        <v>2026</v>
      </c>
      <c r="C52" t="s">
        <v>74</v>
      </c>
      <c r="D52" t="s">
        <v>75</v>
      </c>
      <c r="E52" t="s">
        <v>76</v>
      </c>
      <c r="F52" t="s">
        <v>77</v>
      </c>
      <c r="G52" t="s">
        <v>119</v>
      </c>
      <c r="H52" t="s">
        <v>128</v>
      </c>
      <c r="I52" t="s">
        <v>135</v>
      </c>
      <c r="J52" t="s">
        <v>238</v>
      </c>
      <c r="K52" s="19">
        <v>0</v>
      </c>
      <c r="L52" s="19">
        <v>0</v>
      </c>
      <c r="M52" s="19">
        <v>-2623</v>
      </c>
      <c r="N52" s="19">
        <v>0</v>
      </c>
      <c r="O52" s="153">
        <v>-88</v>
      </c>
      <c r="P52" s="19">
        <v>0</v>
      </c>
      <c r="Q52" s="19">
        <v>0</v>
      </c>
      <c r="R52" s="19">
        <v>0</v>
      </c>
      <c r="S52" s="19" t="str">
        <f>IFERROR(VLOOKUP(I52,'[1]PL Mensual 2026'!$I:$S,11,0),0)</f>
        <v xml:space="preserve">                                             -  </v>
      </c>
      <c r="T52" s="19">
        <v>0</v>
      </c>
      <c r="U52" s="19">
        <v>0</v>
      </c>
      <c r="V52" s="19">
        <v>0</v>
      </c>
      <c r="W52" s="19">
        <f t="shared" si="0"/>
        <v>-2711</v>
      </c>
      <c r="X52" t="s">
        <v>472</v>
      </c>
      <c r="AA52" s="153">
        <f>VLOOKUP(I52,'[2]BBDD P&amp;L'!$J:$AK,28,0)</f>
        <v>-2711</v>
      </c>
      <c r="AB52" s="154">
        <f t="shared" si="1"/>
        <v>0</v>
      </c>
    </row>
    <row r="53" spans="2:28" x14ac:dyDescent="0.35">
      <c r="B53">
        <v>2026</v>
      </c>
      <c r="C53" t="s">
        <v>74</v>
      </c>
      <c r="D53" t="s">
        <v>75</v>
      </c>
      <c r="E53" t="s">
        <v>76</v>
      </c>
      <c r="F53" t="s">
        <v>77</v>
      </c>
      <c r="G53" t="s">
        <v>119</v>
      </c>
      <c r="H53" t="s">
        <v>128</v>
      </c>
      <c r="I53" t="s">
        <v>136</v>
      </c>
      <c r="J53" t="s">
        <v>238</v>
      </c>
      <c r="K53" s="19">
        <v>0</v>
      </c>
      <c r="L53" s="19">
        <v>0</v>
      </c>
      <c r="M53" s="19">
        <v>0</v>
      </c>
      <c r="N53" s="19">
        <v>0</v>
      </c>
      <c r="O53" s="153">
        <v>0</v>
      </c>
      <c r="P53" s="19">
        <v>0</v>
      </c>
      <c r="Q53" s="19">
        <v>0</v>
      </c>
      <c r="R53" s="19">
        <v>0</v>
      </c>
      <c r="S53" s="19">
        <f>IFERROR(VLOOKUP(I53,'[1]PL Mensual 2026'!$I:$S,11,0),0)</f>
        <v>0</v>
      </c>
      <c r="T53" s="19">
        <v>0</v>
      </c>
      <c r="U53" s="19">
        <v>0</v>
      </c>
      <c r="V53" s="19">
        <v>0</v>
      </c>
      <c r="W53" s="19">
        <f t="shared" si="0"/>
        <v>0</v>
      </c>
      <c r="X53" t="s">
        <v>444</v>
      </c>
      <c r="AA53" s="153">
        <f>VLOOKUP(I53,'[2]BBDD P&amp;L'!$J:$AK,28,0)</f>
        <v>0</v>
      </c>
      <c r="AB53" s="154">
        <f t="shared" si="1"/>
        <v>0</v>
      </c>
    </row>
    <row r="54" spans="2:28" x14ac:dyDescent="0.35">
      <c r="B54">
        <v>2026</v>
      </c>
      <c r="C54" t="s">
        <v>74</v>
      </c>
      <c r="D54" t="s">
        <v>75</v>
      </c>
      <c r="E54" t="s">
        <v>76</v>
      </c>
      <c r="F54" t="s">
        <v>77</v>
      </c>
      <c r="G54" t="s">
        <v>119</v>
      </c>
      <c r="H54" t="s">
        <v>128</v>
      </c>
      <c r="I54" t="s">
        <v>338</v>
      </c>
      <c r="J54" t="s">
        <v>238</v>
      </c>
      <c r="K54" s="19">
        <v>0</v>
      </c>
      <c r="L54" s="19">
        <v>0</v>
      </c>
      <c r="M54" s="19">
        <v>0</v>
      </c>
      <c r="N54" s="19">
        <v>0</v>
      </c>
      <c r="O54" s="153">
        <v>0</v>
      </c>
      <c r="P54" s="19">
        <v>0</v>
      </c>
      <c r="Q54" s="19">
        <v>0</v>
      </c>
      <c r="R54" s="19">
        <v>0</v>
      </c>
      <c r="S54" s="19">
        <f>IFERROR(VLOOKUP(I54,'[1]PL Mensual 2026'!$I:$S,11,0),0)</f>
        <v>0</v>
      </c>
      <c r="T54" s="19">
        <v>0</v>
      </c>
      <c r="U54" s="19">
        <v>0</v>
      </c>
      <c r="V54" s="19">
        <v>0</v>
      </c>
      <c r="W54" s="19">
        <f t="shared" si="0"/>
        <v>0</v>
      </c>
      <c r="X54" t="s">
        <v>444</v>
      </c>
      <c r="AA54" s="153">
        <f>VLOOKUP(I54,'[2]BBDD P&amp;L'!$J:$AK,28,0)</f>
        <v>0</v>
      </c>
      <c r="AB54" s="154">
        <f t="shared" si="1"/>
        <v>0</v>
      </c>
    </row>
    <row r="55" spans="2:28" x14ac:dyDescent="0.35">
      <c r="B55">
        <v>2026</v>
      </c>
      <c r="C55" t="s">
        <v>74</v>
      </c>
      <c r="D55" t="s">
        <v>75</v>
      </c>
      <c r="E55" t="s">
        <v>76</v>
      </c>
      <c r="F55" t="s">
        <v>77</v>
      </c>
      <c r="G55" t="s">
        <v>119</v>
      </c>
      <c r="H55" t="s">
        <v>128</v>
      </c>
      <c r="I55" t="s">
        <v>137</v>
      </c>
      <c r="J55" t="s">
        <v>238</v>
      </c>
      <c r="K55" s="19">
        <v>0</v>
      </c>
      <c r="L55" s="19">
        <v>0</v>
      </c>
      <c r="M55" s="19">
        <v>0</v>
      </c>
      <c r="N55" s="19">
        <v>0</v>
      </c>
      <c r="O55" s="153">
        <v>0</v>
      </c>
      <c r="P55" s="19">
        <v>0</v>
      </c>
      <c r="Q55" s="19">
        <v>0</v>
      </c>
      <c r="R55" s="19">
        <v>0</v>
      </c>
      <c r="S55" s="19">
        <f>IFERROR(VLOOKUP(I55,'[1]PL Mensual 2026'!$I:$S,11,0),0)</f>
        <v>0</v>
      </c>
      <c r="T55" s="19">
        <v>0</v>
      </c>
      <c r="U55" s="19">
        <v>0</v>
      </c>
      <c r="V55" s="19">
        <v>0</v>
      </c>
      <c r="W55" s="19">
        <f t="shared" si="0"/>
        <v>0</v>
      </c>
      <c r="X55" t="s">
        <v>444</v>
      </c>
      <c r="AA55" s="153">
        <f>VLOOKUP(I55,'[2]BBDD P&amp;L'!$J:$AK,28,0)</f>
        <v>0</v>
      </c>
      <c r="AB55" s="154">
        <f t="shared" si="1"/>
        <v>0</v>
      </c>
    </row>
    <row r="56" spans="2:28" x14ac:dyDescent="0.35">
      <c r="B56">
        <v>2026</v>
      </c>
      <c r="C56" t="s">
        <v>74</v>
      </c>
      <c r="D56" t="s">
        <v>75</v>
      </c>
      <c r="E56" t="s">
        <v>76</v>
      </c>
      <c r="F56" t="s">
        <v>77</v>
      </c>
      <c r="G56" t="s">
        <v>119</v>
      </c>
      <c r="H56" t="s">
        <v>128</v>
      </c>
      <c r="I56" t="s">
        <v>138</v>
      </c>
      <c r="J56" t="s">
        <v>238</v>
      </c>
      <c r="K56" s="19">
        <v>0</v>
      </c>
      <c r="L56" s="19">
        <v>0</v>
      </c>
      <c r="M56" s="19">
        <v>0</v>
      </c>
      <c r="N56" s="19">
        <v>0</v>
      </c>
      <c r="O56" s="153">
        <v>0</v>
      </c>
      <c r="P56" s="19">
        <v>0</v>
      </c>
      <c r="Q56" s="19">
        <v>0</v>
      </c>
      <c r="R56" s="19">
        <v>0</v>
      </c>
      <c r="S56" s="19">
        <f>IFERROR(VLOOKUP(I56,'[1]PL Mensual 2026'!$I:$S,11,0),0)</f>
        <v>0</v>
      </c>
      <c r="T56" s="19">
        <v>0</v>
      </c>
      <c r="U56" s="19">
        <v>0</v>
      </c>
      <c r="V56" s="19">
        <v>0</v>
      </c>
      <c r="W56" s="19">
        <f t="shared" si="0"/>
        <v>0</v>
      </c>
      <c r="X56" t="s">
        <v>444</v>
      </c>
      <c r="AA56" s="153">
        <f>VLOOKUP(I56,'[2]BBDD P&amp;L'!$J:$AK,28,0)</f>
        <v>0</v>
      </c>
      <c r="AB56" s="154">
        <f t="shared" si="1"/>
        <v>0</v>
      </c>
    </row>
    <row r="57" spans="2:28" x14ac:dyDescent="0.35">
      <c r="B57">
        <v>2026</v>
      </c>
      <c r="C57" t="s">
        <v>74</v>
      </c>
      <c r="D57" t="s">
        <v>75</v>
      </c>
      <c r="E57" t="s">
        <v>76</v>
      </c>
      <c r="F57" t="s">
        <v>77</v>
      </c>
      <c r="G57" t="s">
        <v>119</v>
      </c>
      <c r="H57" t="s">
        <v>128</v>
      </c>
      <c r="I57" t="s">
        <v>139</v>
      </c>
      <c r="J57" t="s">
        <v>238</v>
      </c>
      <c r="K57" s="19">
        <v>0</v>
      </c>
      <c r="L57" s="19">
        <v>0</v>
      </c>
      <c r="M57" s="19">
        <v>0</v>
      </c>
      <c r="N57" s="19">
        <v>0</v>
      </c>
      <c r="O57" s="153">
        <v>0</v>
      </c>
      <c r="P57" s="19">
        <v>0</v>
      </c>
      <c r="Q57" s="19">
        <v>0</v>
      </c>
      <c r="R57" s="19">
        <v>0</v>
      </c>
      <c r="S57" s="19">
        <f>IFERROR(VLOOKUP(I57,'[1]PL Mensual 2026'!$I:$S,11,0),0)</f>
        <v>0</v>
      </c>
      <c r="T57" s="19">
        <v>0</v>
      </c>
      <c r="U57" s="19">
        <v>0</v>
      </c>
      <c r="V57" s="19">
        <v>0</v>
      </c>
      <c r="W57" s="19">
        <f t="shared" si="0"/>
        <v>0</v>
      </c>
      <c r="X57" t="s">
        <v>444</v>
      </c>
      <c r="AA57" s="153">
        <f>VLOOKUP(I57,'[2]BBDD P&amp;L'!$J:$AK,28,0)</f>
        <v>0</v>
      </c>
      <c r="AB57" s="154">
        <f t="shared" si="1"/>
        <v>0</v>
      </c>
    </row>
    <row r="58" spans="2:28" x14ac:dyDescent="0.35">
      <c r="B58">
        <v>2026</v>
      </c>
      <c r="C58" t="s">
        <v>74</v>
      </c>
      <c r="D58" t="s">
        <v>75</v>
      </c>
      <c r="E58" t="s">
        <v>76</v>
      </c>
      <c r="F58" t="s">
        <v>77</v>
      </c>
      <c r="G58" t="s">
        <v>140</v>
      </c>
      <c r="H58" t="s">
        <v>141</v>
      </c>
      <c r="I58" t="s">
        <v>142</v>
      </c>
      <c r="J58" t="s">
        <v>238</v>
      </c>
      <c r="K58" s="19">
        <v>0</v>
      </c>
      <c r="L58" s="19">
        <v>0</v>
      </c>
      <c r="M58" s="19">
        <v>-113.13</v>
      </c>
      <c r="N58" s="19">
        <v>-87.6</v>
      </c>
      <c r="O58" s="153">
        <v>-487.47</v>
      </c>
      <c r="P58" s="19">
        <v>-697.81</v>
      </c>
      <c r="Q58" s="19">
        <v>-226.47</v>
      </c>
      <c r="R58" s="19">
        <v>0</v>
      </c>
      <c r="S58" s="19" t="str">
        <f>IFERROR(VLOOKUP(I58,'[1]PL Mensual 2026'!$I:$S,11,0),0)</f>
        <v xml:space="preserve">                                             -  </v>
      </c>
      <c r="T58" s="19">
        <v>-322.5</v>
      </c>
      <c r="U58" s="19">
        <v>-322.5</v>
      </c>
      <c r="V58" s="19">
        <v>-322.5</v>
      </c>
      <c r="W58" s="19">
        <f t="shared" si="0"/>
        <v>-2579.98</v>
      </c>
      <c r="X58" t="s">
        <v>446</v>
      </c>
      <c r="AA58" s="153">
        <f>VLOOKUP(I58,'[2]BBDD P&amp;L'!$J:$AK,28,0)</f>
        <v>-2579.98</v>
      </c>
      <c r="AB58" s="154">
        <f t="shared" si="1"/>
        <v>0</v>
      </c>
    </row>
    <row r="59" spans="2:28" x14ac:dyDescent="0.35">
      <c r="B59">
        <v>2026</v>
      </c>
      <c r="C59" t="s">
        <v>74</v>
      </c>
      <c r="D59" t="s">
        <v>75</v>
      </c>
      <c r="E59" t="s">
        <v>76</v>
      </c>
      <c r="F59" t="s">
        <v>77</v>
      </c>
      <c r="G59" t="s">
        <v>140</v>
      </c>
      <c r="H59" t="s">
        <v>141</v>
      </c>
      <c r="I59" t="s">
        <v>143</v>
      </c>
      <c r="J59" t="s">
        <v>238</v>
      </c>
      <c r="K59" s="19">
        <v>-522.30999999999995</v>
      </c>
      <c r="L59" s="19">
        <v>-356.17</v>
      </c>
      <c r="M59" s="19">
        <v>0</v>
      </c>
      <c r="N59" s="19">
        <v>-1440.58</v>
      </c>
      <c r="O59" s="153">
        <v>-1464.58</v>
      </c>
      <c r="P59" s="19">
        <v>-752.24</v>
      </c>
      <c r="Q59" s="19">
        <v>-752.24</v>
      </c>
      <c r="R59" s="19">
        <v>-399.98</v>
      </c>
      <c r="S59" s="19">
        <f>IFERROR(VLOOKUP(I59,'[1]PL Mensual 2026'!$I:$S,11,0),0)</f>
        <v>-768.14</v>
      </c>
      <c r="T59" s="19">
        <v>-812.59</v>
      </c>
      <c r="U59" s="19">
        <v>-812.59</v>
      </c>
      <c r="V59" s="19">
        <v>-812.59</v>
      </c>
      <c r="W59" s="19">
        <f t="shared" si="0"/>
        <v>-8894.01</v>
      </c>
      <c r="X59" t="s">
        <v>446</v>
      </c>
      <c r="AA59" s="153">
        <f>VLOOKUP(I59,'[2]BBDD P&amp;L'!$J:$AK,28,0)</f>
        <v>-8894.01</v>
      </c>
      <c r="AB59" s="154">
        <f t="shared" si="1"/>
        <v>0</v>
      </c>
    </row>
    <row r="60" spans="2:28" x14ac:dyDescent="0.35">
      <c r="B60">
        <v>2026</v>
      </c>
      <c r="C60" t="s">
        <v>74</v>
      </c>
      <c r="D60" t="s">
        <v>75</v>
      </c>
      <c r="E60" t="s">
        <v>76</v>
      </c>
      <c r="F60" t="s">
        <v>77</v>
      </c>
      <c r="G60" t="s">
        <v>140</v>
      </c>
      <c r="H60" t="s">
        <v>141</v>
      </c>
      <c r="I60" t="s">
        <v>144</v>
      </c>
      <c r="J60" t="s">
        <v>238</v>
      </c>
      <c r="K60" s="19">
        <v>-523.96</v>
      </c>
      <c r="L60" s="19">
        <v>-1019.07</v>
      </c>
      <c r="M60" s="19">
        <v>-1573.25</v>
      </c>
      <c r="N60" s="19">
        <v>-41.5</v>
      </c>
      <c r="O60" s="153">
        <v>-1476.12</v>
      </c>
      <c r="P60" s="19">
        <v>-2389.0100000000002</v>
      </c>
      <c r="Q60" s="19">
        <v>-1899.09</v>
      </c>
      <c r="R60" s="19">
        <v>-911.52</v>
      </c>
      <c r="S60" s="19">
        <f>IFERROR(VLOOKUP(I60,'[1]PL Mensual 2026'!$I:$S,11,0),0)</f>
        <v>-1010.22</v>
      </c>
      <c r="T60" s="19">
        <v>-1229.19</v>
      </c>
      <c r="U60" s="19">
        <v>-1229.19</v>
      </c>
      <c r="V60" s="19">
        <v>-1229.19</v>
      </c>
      <c r="W60" s="19">
        <f t="shared" si="0"/>
        <v>-14531.310000000001</v>
      </c>
      <c r="X60" t="s">
        <v>446</v>
      </c>
      <c r="AA60" s="153">
        <f>VLOOKUP(I60,'[2]BBDD P&amp;L'!$J:$AK,28,0)</f>
        <v>-14531.310000000001</v>
      </c>
      <c r="AB60" s="154">
        <f t="shared" si="1"/>
        <v>0</v>
      </c>
    </row>
    <row r="61" spans="2:28" x14ac:dyDescent="0.35">
      <c r="B61">
        <v>2026</v>
      </c>
      <c r="C61" t="s">
        <v>74</v>
      </c>
      <c r="D61" t="s">
        <v>75</v>
      </c>
      <c r="E61" t="s">
        <v>76</v>
      </c>
      <c r="F61" t="s">
        <v>77</v>
      </c>
      <c r="G61" t="s">
        <v>140</v>
      </c>
      <c r="H61" t="s">
        <v>145</v>
      </c>
      <c r="I61" t="s">
        <v>146</v>
      </c>
      <c r="J61" t="s">
        <v>238</v>
      </c>
      <c r="K61" s="19">
        <v>-192</v>
      </c>
      <c r="L61" s="19">
        <v>-192</v>
      </c>
      <c r="M61" s="19">
        <v>-192</v>
      </c>
      <c r="N61" s="19">
        <v>-192</v>
      </c>
      <c r="O61" s="153">
        <v>-192</v>
      </c>
      <c r="P61" s="19">
        <v>-192</v>
      </c>
      <c r="Q61" s="19">
        <v>-192</v>
      </c>
      <c r="R61" s="19">
        <v>-192</v>
      </c>
      <c r="S61" s="19">
        <f>IFERROR(VLOOKUP(I61,'[1]PL Mensual 2026'!$I:$S,11,0),0)</f>
        <v>-192</v>
      </c>
      <c r="T61" s="19">
        <v>-192</v>
      </c>
      <c r="U61" s="19">
        <v>-192</v>
      </c>
      <c r="V61" s="19">
        <v>-192</v>
      </c>
      <c r="W61" s="19">
        <f t="shared" si="0"/>
        <v>-2304</v>
      </c>
      <c r="X61" t="s">
        <v>447</v>
      </c>
      <c r="AA61" s="153">
        <f>VLOOKUP(I61,'[2]BBDD P&amp;L'!$J:$AK,28,0)</f>
        <v>-2304</v>
      </c>
      <c r="AB61" s="154">
        <f t="shared" si="1"/>
        <v>0</v>
      </c>
    </row>
    <row r="62" spans="2:28" x14ac:dyDescent="0.35">
      <c r="B62">
        <v>2026</v>
      </c>
      <c r="C62" t="s">
        <v>74</v>
      </c>
      <c r="D62" t="s">
        <v>75</v>
      </c>
      <c r="E62" t="s">
        <v>76</v>
      </c>
      <c r="F62" t="s">
        <v>77</v>
      </c>
      <c r="G62" t="s">
        <v>140</v>
      </c>
      <c r="H62" t="s">
        <v>145</v>
      </c>
      <c r="I62" t="s">
        <v>400</v>
      </c>
      <c r="J62" t="s">
        <v>238</v>
      </c>
      <c r="K62" s="19">
        <v>0</v>
      </c>
      <c r="L62" s="19">
        <v>0</v>
      </c>
      <c r="M62" s="19">
        <v>0</v>
      </c>
      <c r="N62" s="19">
        <v>0</v>
      </c>
      <c r="O62" s="153">
        <v>-15421.92</v>
      </c>
      <c r="P62" s="19">
        <v>0</v>
      </c>
      <c r="Q62" s="19">
        <v>-6139.04</v>
      </c>
      <c r="R62" s="19">
        <v>0</v>
      </c>
      <c r="S62" s="19" t="str">
        <f>IFERROR(VLOOKUP(I62,'[1]PL Mensual 2026'!$I:$S,11,0),0)</f>
        <v xml:space="preserve">                                             -  </v>
      </c>
      <c r="T62" s="19">
        <v>0</v>
      </c>
      <c r="U62" s="19">
        <v>0</v>
      </c>
      <c r="V62" s="19">
        <v>0</v>
      </c>
      <c r="W62" s="19">
        <f t="shared" si="0"/>
        <v>-21560.959999999999</v>
      </c>
      <c r="X62" t="s">
        <v>482</v>
      </c>
      <c r="AA62" s="153">
        <f>VLOOKUP(I62,'[2]BBDD P&amp;L'!$J:$AK,28,0)</f>
        <v>-21560.959999999999</v>
      </c>
      <c r="AB62" s="154">
        <f t="shared" si="1"/>
        <v>0</v>
      </c>
    </row>
    <row r="63" spans="2:28" x14ac:dyDescent="0.35">
      <c r="B63">
        <v>2026</v>
      </c>
      <c r="C63" t="s">
        <v>74</v>
      </c>
      <c r="D63" t="s">
        <v>75</v>
      </c>
      <c r="E63" t="s">
        <v>76</v>
      </c>
      <c r="F63" t="s">
        <v>77</v>
      </c>
      <c r="G63" t="s">
        <v>140</v>
      </c>
      <c r="H63" t="s">
        <v>145</v>
      </c>
      <c r="I63" t="s">
        <v>339</v>
      </c>
      <c r="J63" t="s">
        <v>238</v>
      </c>
      <c r="K63" s="19">
        <v>0</v>
      </c>
      <c r="L63" s="19">
        <v>0</v>
      </c>
      <c r="M63" s="19">
        <v>0</v>
      </c>
      <c r="N63" s="19">
        <v>0</v>
      </c>
      <c r="O63" s="153">
        <v>0</v>
      </c>
      <c r="P63" s="19">
        <v>0</v>
      </c>
      <c r="Q63" s="19">
        <v>0</v>
      </c>
      <c r="R63" s="19">
        <v>0</v>
      </c>
      <c r="S63" s="19">
        <f>IFERROR(VLOOKUP(I63,'[1]PL Mensual 2026'!$I:$S,11,0),0)</f>
        <v>0</v>
      </c>
      <c r="T63" s="19">
        <v>0</v>
      </c>
      <c r="U63" s="19">
        <v>0</v>
      </c>
      <c r="V63" s="19">
        <v>0</v>
      </c>
      <c r="W63" s="19">
        <f t="shared" si="0"/>
        <v>0</v>
      </c>
      <c r="X63" t="s">
        <v>439</v>
      </c>
      <c r="AA63" s="153">
        <f>VLOOKUP(I63,'[2]BBDD P&amp;L'!$J:$AK,28,0)</f>
        <v>0</v>
      </c>
      <c r="AB63" s="154">
        <f t="shared" si="1"/>
        <v>0</v>
      </c>
    </row>
    <row r="64" spans="2:28" x14ac:dyDescent="0.35">
      <c r="B64">
        <v>2026</v>
      </c>
      <c r="C64" t="s">
        <v>74</v>
      </c>
      <c r="D64" t="s">
        <v>75</v>
      </c>
      <c r="E64" t="s">
        <v>76</v>
      </c>
      <c r="F64" t="s">
        <v>77</v>
      </c>
      <c r="G64" t="s">
        <v>140</v>
      </c>
      <c r="H64" t="s">
        <v>145</v>
      </c>
      <c r="I64" t="s">
        <v>340</v>
      </c>
      <c r="J64" t="s">
        <v>238</v>
      </c>
      <c r="K64" s="19">
        <v>0</v>
      </c>
      <c r="L64" s="19">
        <v>-361.46</v>
      </c>
      <c r="M64" s="19">
        <v>0</v>
      </c>
      <c r="N64" s="19">
        <v>-361.46</v>
      </c>
      <c r="O64" s="153">
        <v>0</v>
      </c>
      <c r="P64" s="19">
        <v>0</v>
      </c>
      <c r="Q64" s="19">
        <v>0</v>
      </c>
      <c r="R64" s="19">
        <v>0</v>
      </c>
      <c r="S64" s="19" t="str">
        <f>IFERROR(VLOOKUP(I64,'[1]PL Mensual 2026'!$I:$S,11,0),0)</f>
        <v xml:space="preserve">                                             -  </v>
      </c>
      <c r="T64" s="19">
        <v>-361.46</v>
      </c>
      <c r="U64" s="19">
        <v>-361.46</v>
      </c>
      <c r="V64" s="19">
        <v>-361.46</v>
      </c>
      <c r="W64" s="19">
        <f t="shared" si="0"/>
        <v>-1807.3</v>
      </c>
      <c r="X64" t="s">
        <v>447</v>
      </c>
      <c r="AA64" s="153">
        <f>VLOOKUP(I64,'[2]BBDD P&amp;L'!$J:$AK,28,0)</f>
        <v>-1807.3</v>
      </c>
      <c r="AB64" s="154">
        <f t="shared" si="1"/>
        <v>0</v>
      </c>
    </row>
    <row r="65" spans="2:28" x14ac:dyDescent="0.35">
      <c r="B65">
        <v>2026</v>
      </c>
      <c r="C65" t="s">
        <v>74</v>
      </c>
      <c r="D65" t="s">
        <v>75</v>
      </c>
      <c r="E65" t="s">
        <v>76</v>
      </c>
      <c r="F65" t="s">
        <v>77</v>
      </c>
      <c r="G65" t="s">
        <v>140</v>
      </c>
      <c r="H65" t="s">
        <v>145</v>
      </c>
      <c r="I65" t="s">
        <v>341</v>
      </c>
      <c r="J65" t="s">
        <v>238</v>
      </c>
      <c r="K65" s="19">
        <v>0</v>
      </c>
      <c r="L65" s="19">
        <v>0</v>
      </c>
      <c r="M65" s="19">
        <v>0</v>
      </c>
      <c r="N65" s="19">
        <v>0</v>
      </c>
      <c r="O65" s="153">
        <v>0</v>
      </c>
      <c r="P65" s="19">
        <v>0</v>
      </c>
      <c r="Q65" s="19">
        <v>0</v>
      </c>
      <c r="R65" s="19">
        <v>0</v>
      </c>
      <c r="S65" s="19">
        <f>IFERROR(VLOOKUP(I65,'[1]PL Mensual 2026'!$I:$S,11,0),0)</f>
        <v>0</v>
      </c>
      <c r="T65" s="19">
        <v>0</v>
      </c>
      <c r="U65" s="19">
        <v>0</v>
      </c>
      <c r="V65" s="19">
        <v>0</v>
      </c>
      <c r="W65" s="19">
        <f t="shared" si="0"/>
        <v>0</v>
      </c>
      <c r="X65" t="s">
        <v>439</v>
      </c>
      <c r="AA65" s="153">
        <f>VLOOKUP(I65,'[2]BBDD P&amp;L'!$J:$AK,28,0)</f>
        <v>0</v>
      </c>
      <c r="AB65" s="154">
        <f t="shared" si="1"/>
        <v>0</v>
      </c>
    </row>
    <row r="66" spans="2:28" x14ac:dyDescent="0.35">
      <c r="B66">
        <v>2026</v>
      </c>
      <c r="C66" t="s">
        <v>74</v>
      </c>
      <c r="D66" t="s">
        <v>75</v>
      </c>
      <c r="E66" t="s">
        <v>76</v>
      </c>
      <c r="F66" t="s">
        <v>77</v>
      </c>
      <c r="G66" t="s">
        <v>140</v>
      </c>
      <c r="H66" t="s">
        <v>145</v>
      </c>
      <c r="I66" t="s">
        <v>147</v>
      </c>
      <c r="J66" t="s">
        <v>238</v>
      </c>
      <c r="K66" s="19">
        <v>0</v>
      </c>
      <c r="L66" s="19">
        <v>0</v>
      </c>
      <c r="M66" s="19">
        <v>-369.97</v>
      </c>
      <c r="N66" s="19">
        <v>-369.97</v>
      </c>
      <c r="O66" s="153">
        <v>0</v>
      </c>
      <c r="P66" s="19">
        <v>0</v>
      </c>
      <c r="Q66" s="19">
        <v>0</v>
      </c>
      <c r="R66" s="19">
        <v>0</v>
      </c>
      <c r="S66" s="19" t="str">
        <f>IFERROR(VLOOKUP(I66,'[1]PL Mensual 2026'!$I:$S,11,0),0)</f>
        <v xml:space="preserve">                                             -  </v>
      </c>
      <c r="T66" s="19">
        <v>-369.97</v>
      </c>
      <c r="U66" s="19">
        <v>-369.97</v>
      </c>
      <c r="V66" s="19">
        <v>-369.97</v>
      </c>
      <c r="W66" s="19">
        <f t="shared" si="0"/>
        <v>-1849.8500000000001</v>
      </c>
      <c r="X66" t="s">
        <v>447</v>
      </c>
      <c r="AA66" s="153">
        <f>VLOOKUP(I66,'[2]BBDD P&amp;L'!$J:$AK,28,0)</f>
        <v>-1849.8500000000001</v>
      </c>
      <c r="AB66" s="154">
        <f t="shared" si="1"/>
        <v>0</v>
      </c>
    </row>
    <row r="67" spans="2:28" x14ac:dyDescent="0.35">
      <c r="B67">
        <v>2026</v>
      </c>
      <c r="C67" t="s">
        <v>74</v>
      </c>
      <c r="D67" t="s">
        <v>75</v>
      </c>
      <c r="E67" t="s">
        <v>76</v>
      </c>
      <c r="F67" t="s">
        <v>77</v>
      </c>
      <c r="G67" t="s">
        <v>140</v>
      </c>
      <c r="H67" t="s">
        <v>145</v>
      </c>
      <c r="I67" t="s">
        <v>342</v>
      </c>
      <c r="J67" t="s">
        <v>238</v>
      </c>
      <c r="K67" s="19">
        <v>0</v>
      </c>
      <c r="L67" s="19">
        <v>0</v>
      </c>
      <c r="M67" s="19">
        <v>0</v>
      </c>
      <c r="N67" s="19">
        <v>0</v>
      </c>
      <c r="O67" s="153">
        <v>0</v>
      </c>
      <c r="P67" s="19">
        <v>0</v>
      </c>
      <c r="Q67" s="19">
        <v>0</v>
      </c>
      <c r="R67" s="19">
        <v>0</v>
      </c>
      <c r="S67" s="19">
        <f>IFERROR(VLOOKUP(I67,'[1]PL Mensual 2026'!$I:$S,11,0),0)</f>
        <v>0</v>
      </c>
      <c r="T67" s="19">
        <v>0</v>
      </c>
      <c r="U67" s="19">
        <v>0</v>
      </c>
      <c r="V67" s="19">
        <v>0</v>
      </c>
      <c r="W67" s="19">
        <f t="shared" si="0"/>
        <v>0</v>
      </c>
      <c r="X67" t="s">
        <v>439</v>
      </c>
      <c r="AA67" s="153">
        <f>VLOOKUP(I67,'[2]BBDD P&amp;L'!$J:$AK,28,0)</f>
        <v>0</v>
      </c>
      <c r="AB67" s="154">
        <f t="shared" si="1"/>
        <v>0</v>
      </c>
    </row>
    <row r="68" spans="2:28" x14ac:dyDescent="0.35">
      <c r="B68">
        <v>2026</v>
      </c>
      <c r="C68" t="s">
        <v>74</v>
      </c>
      <c r="D68" t="s">
        <v>75</v>
      </c>
      <c r="E68" t="s">
        <v>76</v>
      </c>
      <c r="F68" t="s">
        <v>77</v>
      </c>
      <c r="G68" t="s">
        <v>140</v>
      </c>
      <c r="H68" t="s">
        <v>145</v>
      </c>
      <c r="I68" t="s">
        <v>343</v>
      </c>
      <c r="J68" t="s">
        <v>238</v>
      </c>
      <c r="K68" s="19">
        <v>-338</v>
      </c>
      <c r="L68" s="19">
        <v>-338</v>
      </c>
      <c r="M68" s="19">
        <v>-338</v>
      </c>
      <c r="N68" s="19">
        <v>-338</v>
      </c>
      <c r="O68" s="153">
        <v>-338</v>
      </c>
      <c r="P68" s="19">
        <v>-338</v>
      </c>
      <c r="Q68" s="19">
        <v>-338</v>
      </c>
      <c r="R68" s="19">
        <v>-338</v>
      </c>
      <c r="S68" s="19">
        <f>IFERROR(VLOOKUP(I68,'[1]PL Mensual 2026'!$I:$S,11,0),0)</f>
        <v>-275</v>
      </c>
      <c r="T68" s="19">
        <v>-338</v>
      </c>
      <c r="U68" s="19">
        <v>-338</v>
      </c>
      <c r="V68" s="19">
        <v>-338</v>
      </c>
      <c r="W68" s="19">
        <f t="shared" si="0"/>
        <v>-3993</v>
      </c>
      <c r="X68" t="s">
        <v>447</v>
      </c>
      <c r="AA68" s="153">
        <f>VLOOKUP(I68,'[2]BBDD P&amp;L'!$J:$AK,28,0)</f>
        <v>-3993</v>
      </c>
      <c r="AB68" s="154">
        <f t="shared" si="1"/>
        <v>0</v>
      </c>
    </row>
    <row r="69" spans="2:28" x14ac:dyDescent="0.35">
      <c r="B69">
        <v>2026</v>
      </c>
      <c r="C69" t="s">
        <v>74</v>
      </c>
      <c r="D69" t="s">
        <v>75</v>
      </c>
      <c r="E69" t="s">
        <v>76</v>
      </c>
      <c r="F69" t="s">
        <v>77</v>
      </c>
      <c r="G69" t="s">
        <v>140</v>
      </c>
      <c r="H69" t="s">
        <v>145</v>
      </c>
      <c r="I69" t="s">
        <v>344</v>
      </c>
      <c r="J69" t="s">
        <v>238</v>
      </c>
      <c r="K69" s="19">
        <v>-349</v>
      </c>
      <c r="L69" s="19">
        <v>-349</v>
      </c>
      <c r="M69" s="19">
        <v>-349</v>
      </c>
      <c r="N69" s="19">
        <v>0</v>
      </c>
      <c r="O69" s="153">
        <v>-443.49</v>
      </c>
      <c r="P69" s="19">
        <v>-443.49</v>
      </c>
      <c r="Q69" s="19">
        <v>-886.98</v>
      </c>
      <c r="R69" s="19">
        <v>0</v>
      </c>
      <c r="S69" s="19" t="str">
        <f>IFERROR(VLOOKUP(I69,'[1]PL Mensual 2026'!$I:$S,11,0),0)</f>
        <v xml:space="preserve">                                             -  </v>
      </c>
      <c r="T69" s="19">
        <v>-470.16</v>
      </c>
      <c r="U69" s="19">
        <v>-470.16</v>
      </c>
      <c r="V69" s="19">
        <v>-470.16</v>
      </c>
      <c r="W69" s="19">
        <f t="shared" ref="W69:W132" si="2">SUM(K69:V69)</f>
        <v>-4231.4399999999996</v>
      </c>
      <c r="X69" t="s">
        <v>447</v>
      </c>
      <c r="AA69" s="153">
        <f>VLOOKUP(I69,'[2]BBDD P&amp;L'!$J:$AK,28,0)</f>
        <v>-4231.4399999999996</v>
      </c>
      <c r="AB69" s="154">
        <f t="shared" ref="AB69:AB132" si="3">W69-AA69</f>
        <v>0</v>
      </c>
    </row>
    <row r="70" spans="2:28" x14ac:dyDescent="0.35">
      <c r="B70">
        <v>2026</v>
      </c>
      <c r="C70" t="s">
        <v>74</v>
      </c>
      <c r="D70" t="s">
        <v>75</v>
      </c>
      <c r="E70" t="s">
        <v>76</v>
      </c>
      <c r="F70" t="s">
        <v>77</v>
      </c>
      <c r="G70" t="s">
        <v>140</v>
      </c>
      <c r="H70" t="s">
        <v>145</v>
      </c>
      <c r="I70" t="s">
        <v>345</v>
      </c>
      <c r="J70" t="s">
        <v>238</v>
      </c>
      <c r="K70" s="19">
        <v>-361.46</v>
      </c>
      <c r="L70" s="19">
        <v>0</v>
      </c>
      <c r="M70" s="19">
        <v>-361.46</v>
      </c>
      <c r="N70" s="19">
        <v>0</v>
      </c>
      <c r="O70" s="153">
        <v>-399.42</v>
      </c>
      <c r="P70" s="19">
        <v>-399.42</v>
      </c>
      <c r="Q70" s="19">
        <v>-149.15</v>
      </c>
      <c r="R70" s="19">
        <v>-399.42</v>
      </c>
      <c r="S70" s="19">
        <f>IFERROR(VLOOKUP(I70,'[1]PL Mensual 2026'!$I:$S,11,0),0)</f>
        <v>-399.42</v>
      </c>
      <c r="T70" s="19">
        <v>-345.06</v>
      </c>
      <c r="U70" s="19">
        <v>-345.06</v>
      </c>
      <c r="V70" s="19">
        <v>-345.06</v>
      </c>
      <c r="W70" s="19">
        <f t="shared" si="2"/>
        <v>-3504.93</v>
      </c>
      <c r="X70" t="s">
        <v>447</v>
      </c>
      <c r="AA70" s="153">
        <f>VLOOKUP(I70,'[2]BBDD P&amp;L'!$J:$AK,28,0)</f>
        <v>-3504.93</v>
      </c>
      <c r="AB70" s="154">
        <f t="shared" si="3"/>
        <v>0</v>
      </c>
    </row>
    <row r="71" spans="2:28" x14ac:dyDescent="0.35">
      <c r="B71">
        <v>2026</v>
      </c>
      <c r="C71" t="s">
        <v>74</v>
      </c>
      <c r="D71" t="s">
        <v>75</v>
      </c>
      <c r="E71" t="s">
        <v>76</v>
      </c>
      <c r="F71" t="s">
        <v>77</v>
      </c>
      <c r="G71" t="s">
        <v>140</v>
      </c>
      <c r="H71" t="s">
        <v>145</v>
      </c>
      <c r="I71" t="s">
        <v>346</v>
      </c>
      <c r="J71" t="s">
        <v>238</v>
      </c>
      <c r="K71" s="19">
        <v>-650.95000000000005</v>
      </c>
      <c r="L71" s="19">
        <v>-650.95000000000005</v>
      </c>
      <c r="M71" s="19">
        <v>0</v>
      </c>
      <c r="N71" s="19">
        <v>0</v>
      </c>
      <c r="O71" s="153">
        <v>0</v>
      </c>
      <c r="P71" s="19">
        <v>0</v>
      </c>
      <c r="Q71" s="19">
        <v>0</v>
      </c>
      <c r="R71" s="19">
        <v>-1139.1600000000001</v>
      </c>
      <c r="S71" s="19" t="str">
        <f>IFERROR(VLOOKUP(I71,'[1]PL Mensual 2026'!$I:$S,11,0),0)</f>
        <v xml:space="preserve">                                             -  </v>
      </c>
      <c r="T71" s="19">
        <v>-813.69</v>
      </c>
      <c r="U71" s="19">
        <v>-813.69</v>
      </c>
      <c r="V71" s="19">
        <v>-813.69</v>
      </c>
      <c r="W71" s="19">
        <f t="shared" si="2"/>
        <v>-4882.130000000001</v>
      </c>
      <c r="X71" t="s">
        <v>447</v>
      </c>
      <c r="AA71" s="153">
        <f>VLOOKUP(I71,'[2]BBDD P&amp;L'!$J:$AK,28,0)</f>
        <v>-4882.130000000001</v>
      </c>
      <c r="AB71" s="154">
        <f t="shared" si="3"/>
        <v>0</v>
      </c>
    </row>
    <row r="72" spans="2:28" x14ac:dyDescent="0.35">
      <c r="B72">
        <v>2026</v>
      </c>
      <c r="C72" t="s">
        <v>74</v>
      </c>
      <c r="D72" t="s">
        <v>75</v>
      </c>
      <c r="E72" t="s">
        <v>76</v>
      </c>
      <c r="F72" t="s">
        <v>77</v>
      </c>
      <c r="G72" t="s">
        <v>140</v>
      </c>
      <c r="H72" t="s">
        <v>145</v>
      </c>
      <c r="I72" t="s">
        <v>347</v>
      </c>
      <c r="J72" t="s">
        <v>238</v>
      </c>
      <c r="K72" s="19">
        <v>0</v>
      </c>
      <c r="L72" s="19">
        <v>0</v>
      </c>
      <c r="M72" s="19">
        <v>0</v>
      </c>
      <c r="N72" s="19">
        <v>0</v>
      </c>
      <c r="O72" s="153">
        <v>0</v>
      </c>
      <c r="P72" s="19">
        <v>0</v>
      </c>
      <c r="Q72" s="19">
        <v>0</v>
      </c>
      <c r="R72" s="19">
        <v>0</v>
      </c>
      <c r="S72" s="19">
        <f>IFERROR(VLOOKUP(I72,'[1]PL Mensual 2026'!$I:$S,11,0),0)</f>
        <v>0</v>
      </c>
      <c r="T72" s="19">
        <v>0</v>
      </c>
      <c r="U72" s="19">
        <v>0</v>
      </c>
      <c r="V72" s="19">
        <v>0</v>
      </c>
      <c r="W72" s="19">
        <f t="shared" si="2"/>
        <v>0</v>
      </c>
      <c r="X72" t="s">
        <v>439</v>
      </c>
      <c r="AA72" s="153">
        <f>VLOOKUP(I72,'[2]BBDD P&amp;L'!$J:$AK,28,0)</f>
        <v>0</v>
      </c>
      <c r="AB72" s="154">
        <f t="shared" si="3"/>
        <v>0</v>
      </c>
    </row>
    <row r="73" spans="2:28" x14ac:dyDescent="0.35">
      <c r="B73">
        <v>2026</v>
      </c>
      <c r="C73" t="s">
        <v>74</v>
      </c>
      <c r="D73" t="s">
        <v>75</v>
      </c>
      <c r="E73" t="s">
        <v>76</v>
      </c>
      <c r="F73" t="s">
        <v>77</v>
      </c>
      <c r="G73" t="s">
        <v>140</v>
      </c>
      <c r="H73" t="s">
        <v>145</v>
      </c>
      <c r="I73" t="s">
        <v>348</v>
      </c>
      <c r="J73" t="s">
        <v>238</v>
      </c>
      <c r="K73" s="19">
        <v>0</v>
      </c>
      <c r="L73" s="19">
        <v>0</v>
      </c>
      <c r="M73" s="19">
        <v>0</v>
      </c>
      <c r="N73" s="19">
        <v>0</v>
      </c>
      <c r="O73" s="153">
        <v>0</v>
      </c>
      <c r="P73" s="19">
        <v>0</v>
      </c>
      <c r="Q73" s="19">
        <v>0</v>
      </c>
      <c r="R73" s="19">
        <v>0</v>
      </c>
      <c r="S73" s="19">
        <f>IFERROR(VLOOKUP(I73,'[1]PL Mensual 2026'!$I:$S,11,0),0)</f>
        <v>0</v>
      </c>
      <c r="T73" s="19">
        <v>0</v>
      </c>
      <c r="U73" s="19">
        <v>0</v>
      </c>
      <c r="V73" s="19">
        <v>0</v>
      </c>
      <c r="W73" s="19">
        <f t="shared" si="2"/>
        <v>0</v>
      </c>
      <c r="X73" t="s">
        <v>439</v>
      </c>
      <c r="AA73" s="153">
        <f>VLOOKUP(I73,'[2]BBDD P&amp;L'!$J:$AK,28,0)</f>
        <v>0</v>
      </c>
      <c r="AB73" s="154">
        <f t="shared" si="3"/>
        <v>0</v>
      </c>
    </row>
    <row r="74" spans="2:28" x14ac:dyDescent="0.35">
      <c r="B74">
        <v>2026</v>
      </c>
      <c r="C74" t="s">
        <v>74</v>
      </c>
      <c r="D74" t="s">
        <v>75</v>
      </c>
      <c r="E74" t="s">
        <v>76</v>
      </c>
      <c r="F74" t="s">
        <v>77</v>
      </c>
      <c r="G74" t="s">
        <v>140</v>
      </c>
      <c r="H74" t="s">
        <v>145</v>
      </c>
      <c r="I74" t="s">
        <v>349</v>
      </c>
      <c r="J74" t="s">
        <v>238</v>
      </c>
      <c r="K74" s="19">
        <v>-200</v>
      </c>
      <c r="L74" s="19">
        <v>-200</v>
      </c>
      <c r="M74" s="19">
        <v>-200</v>
      </c>
      <c r="N74" s="19">
        <v>-200</v>
      </c>
      <c r="O74" s="153">
        <v>-200</v>
      </c>
      <c r="P74" s="19">
        <v>-200</v>
      </c>
      <c r="Q74" s="19">
        <v>0</v>
      </c>
      <c r="R74" s="19">
        <v>-400</v>
      </c>
      <c r="S74" s="19">
        <f>IFERROR(VLOOKUP(I74,'[1]PL Mensual 2026'!$I:$S,11,0),0)</f>
        <v>-400.22</v>
      </c>
      <c r="T74" s="19">
        <v>-228.57</v>
      </c>
      <c r="U74" s="19">
        <v>-228.57</v>
      </c>
      <c r="V74" s="19">
        <v>-228.57</v>
      </c>
      <c r="W74" s="19">
        <f t="shared" si="2"/>
        <v>-2685.9300000000003</v>
      </c>
      <c r="X74" t="s">
        <v>447</v>
      </c>
      <c r="AA74" s="153">
        <f>VLOOKUP(I74,'[2]BBDD P&amp;L'!$J:$AK,28,0)</f>
        <v>-2685.9300000000003</v>
      </c>
      <c r="AB74" s="154">
        <f t="shared" si="3"/>
        <v>0</v>
      </c>
    </row>
    <row r="75" spans="2:28" x14ac:dyDescent="0.35">
      <c r="B75">
        <v>2026</v>
      </c>
      <c r="C75" t="s">
        <v>74</v>
      </c>
      <c r="D75" t="s">
        <v>75</v>
      </c>
      <c r="E75" t="s">
        <v>76</v>
      </c>
      <c r="F75" t="s">
        <v>77</v>
      </c>
      <c r="G75" t="s">
        <v>140</v>
      </c>
      <c r="H75" t="s">
        <v>145</v>
      </c>
      <c r="I75" t="s">
        <v>350</v>
      </c>
      <c r="J75" t="s">
        <v>238</v>
      </c>
      <c r="K75" s="19">
        <v>-200.22</v>
      </c>
      <c r="L75" s="19">
        <v>-200.22</v>
      </c>
      <c r="M75" s="19">
        <v>-200.22</v>
      </c>
      <c r="N75" s="19">
        <v>-200.22</v>
      </c>
      <c r="O75" s="153">
        <v>-200.22</v>
      </c>
      <c r="P75" s="19">
        <v>-200.22</v>
      </c>
      <c r="Q75" s="19">
        <v>0</v>
      </c>
      <c r="R75" s="19">
        <v>-400.44</v>
      </c>
      <c r="S75" s="19" t="str">
        <f>IFERROR(VLOOKUP(I75,'[1]PL Mensual 2026'!$I:$S,11,0),0)</f>
        <v xml:space="preserve">                                             -  </v>
      </c>
      <c r="T75" s="19">
        <v>-228.82</v>
      </c>
      <c r="U75" s="19">
        <v>-228.82</v>
      </c>
      <c r="V75" s="19">
        <v>-228.82</v>
      </c>
      <c r="W75" s="19">
        <f t="shared" si="2"/>
        <v>-2288.2200000000003</v>
      </c>
      <c r="X75" t="s">
        <v>447</v>
      </c>
      <c r="AA75" s="153">
        <f>VLOOKUP(I75,'[2]BBDD P&amp;L'!$J:$AK,28,0)</f>
        <v>-2288.2200000000003</v>
      </c>
      <c r="AB75" s="154">
        <f t="shared" si="3"/>
        <v>0</v>
      </c>
    </row>
    <row r="76" spans="2:28" x14ac:dyDescent="0.35">
      <c r="B76">
        <v>2026</v>
      </c>
      <c r="C76" t="s">
        <v>74</v>
      </c>
      <c r="D76" t="s">
        <v>75</v>
      </c>
      <c r="E76" t="s">
        <v>76</v>
      </c>
      <c r="F76" t="s">
        <v>77</v>
      </c>
      <c r="G76" t="s">
        <v>140</v>
      </c>
      <c r="H76" t="s">
        <v>145</v>
      </c>
      <c r="I76" t="s">
        <v>351</v>
      </c>
      <c r="J76" t="s">
        <v>238</v>
      </c>
      <c r="K76" s="19">
        <v>-369.97</v>
      </c>
      <c r="L76" s="19">
        <v>-369.97</v>
      </c>
      <c r="M76" s="19">
        <v>-150</v>
      </c>
      <c r="N76" s="19">
        <v>-1039.51</v>
      </c>
      <c r="O76" s="153">
        <v>0</v>
      </c>
      <c r="P76" s="19">
        <v>0</v>
      </c>
      <c r="Q76" s="19">
        <v>0</v>
      </c>
      <c r="R76" s="19">
        <v>0</v>
      </c>
      <c r="S76" s="19" t="str">
        <f>IFERROR(VLOOKUP(I76,'[1]PL Mensual 2026'!$I:$S,11,0),0)</f>
        <v xml:space="preserve">                                             -  </v>
      </c>
      <c r="T76" s="19">
        <v>-482.36</v>
      </c>
      <c r="U76" s="19">
        <v>-482.36</v>
      </c>
      <c r="V76" s="19">
        <v>-482.36</v>
      </c>
      <c r="W76" s="19">
        <f t="shared" si="2"/>
        <v>-3376.53</v>
      </c>
      <c r="X76" t="s">
        <v>447</v>
      </c>
      <c r="AA76" s="153">
        <f>VLOOKUP(I76,'[2]BBDD P&amp;L'!$J:$AK,28,0)</f>
        <v>-3376.53</v>
      </c>
      <c r="AB76" s="154">
        <f t="shared" si="3"/>
        <v>0</v>
      </c>
    </row>
    <row r="77" spans="2:28" x14ac:dyDescent="0.35">
      <c r="B77">
        <v>2026</v>
      </c>
      <c r="C77" t="s">
        <v>74</v>
      </c>
      <c r="D77" t="s">
        <v>75</v>
      </c>
      <c r="E77" t="s">
        <v>76</v>
      </c>
      <c r="F77" t="s">
        <v>77</v>
      </c>
      <c r="G77" t="s">
        <v>140</v>
      </c>
      <c r="H77" t="s">
        <v>145</v>
      </c>
      <c r="I77" t="s">
        <v>352</v>
      </c>
      <c r="J77" t="s">
        <v>238</v>
      </c>
      <c r="K77" s="19">
        <v>-1068.22</v>
      </c>
      <c r="L77" s="19">
        <v>0</v>
      </c>
      <c r="M77" s="19">
        <v>-2136.44</v>
      </c>
      <c r="N77" s="19">
        <v>-1068.22</v>
      </c>
      <c r="O77" s="153">
        <v>-1172.1400000000001</v>
      </c>
      <c r="P77" s="19">
        <v>0</v>
      </c>
      <c r="Q77" s="19">
        <v>-2344.3000000000002</v>
      </c>
      <c r="R77" s="19">
        <v>0</v>
      </c>
      <c r="S77" s="19">
        <f>IFERROR(VLOOKUP(I77,'[1]PL Mensual 2026'!$I:$S,11,0),0)</f>
        <v>-1172.1400000000001</v>
      </c>
      <c r="T77" s="19">
        <v>-1557.86</v>
      </c>
      <c r="U77" s="19">
        <v>-1557.86</v>
      </c>
      <c r="V77" s="19">
        <v>-1557.86</v>
      </c>
      <c r="W77" s="19">
        <f t="shared" si="2"/>
        <v>-13635.040000000003</v>
      </c>
      <c r="X77" t="s">
        <v>447</v>
      </c>
      <c r="AA77" s="153">
        <f>VLOOKUP(I77,'[2]BBDD P&amp;L'!$J:$AK,28,0)</f>
        <v>-13635.040000000003</v>
      </c>
      <c r="AB77" s="154">
        <f t="shared" si="3"/>
        <v>0</v>
      </c>
    </row>
    <row r="78" spans="2:28" x14ac:dyDescent="0.35">
      <c r="B78">
        <v>2026</v>
      </c>
      <c r="C78" t="s">
        <v>74</v>
      </c>
      <c r="D78" t="s">
        <v>75</v>
      </c>
      <c r="E78" t="s">
        <v>76</v>
      </c>
      <c r="F78" t="s">
        <v>77</v>
      </c>
      <c r="G78" t="s">
        <v>140</v>
      </c>
      <c r="H78" t="s">
        <v>145</v>
      </c>
      <c r="I78" t="s">
        <v>353</v>
      </c>
      <c r="J78" t="s">
        <v>238</v>
      </c>
      <c r="K78" s="19">
        <v>-911.28</v>
      </c>
      <c r="L78" s="19">
        <v>0</v>
      </c>
      <c r="M78" s="19">
        <v>-1822.56</v>
      </c>
      <c r="N78" s="19">
        <v>-911.28</v>
      </c>
      <c r="O78" s="153">
        <v>-1015.21</v>
      </c>
      <c r="P78" s="19">
        <v>0</v>
      </c>
      <c r="Q78" s="19">
        <v>-2030.4</v>
      </c>
      <c r="R78" s="19">
        <v>0</v>
      </c>
      <c r="S78" s="19">
        <f>IFERROR(VLOOKUP(I78,'[1]PL Mensual 2026'!$I:$S,11,0),0)</f>
        <v>-1015.21</v>
      </c>
      <c r="T78" s="19">
        <v>-1338.15</v>
      </c>
      <c r="U78" s="19">
        <v>-1338.15</v>
      </c>
      <c r="V78" s="19">
        <v>-1338.15</v>
      </c>
      <c r="W78" s="19">
        <f t="shared" si="2"/>
        <v>-11720.39</v>
      </c>
      <c r="X78" t="s">
        <v>447</v>
      </c>
      <c r="AA78" s="153">
        <f>VLOOKUP(I78,'[2]BBDD P&amp;L'!$J:$AK,28,0)</f>
        <v>-11720.39</v>
      </c>
      <c r="AB78" s="154">
        <f t="shared" si="3"/>
        <v>0</v>
      </c>
    </row>
    <row r="79" spans="2:28" x14ac:dyDescent="0.35">
      <c r="B79">
        <v>2026</v>
      </c>
      <c r="C79" t="s">
        <v>74</v>
      </c>
      <c r="D79" t="s">
        <v>75</v>
      </c>
      <c r="E79" t="s">
        <v>76</v>
      </c>
      <c r="F79" t="s">
        <v>77</v>
      </c>
      <c r="G79" t="s">
        <v>140</v>
      </c>
      <c r="H79" t="s">
        <v>145</v>
      </c>
      <c r="I79" t="s">
        <v>354</v>
      </c>
      <c r="J79" t="s">
        <v>238</v>
      </c>
      <c r="K79" s="19">
        <v>-613.16</v>
      </c>
      <c r="L79" s="19">
        <v>-613.15</v>
      </c>
      <c r="M79" s="19">
        <v>-613.15</v>
      </c>
      <c r="N79" s="19">
        <v>-613.15</v>
      </c>
      <c r="O79" s="153">
        <v>-677.53</v>
      </c>
      <c r="P79" s="19">
        <v>-677.53</v>
      </c>
      <c r="Q79" s="19">
        <v>-677.53</v>
      </c>
      <c r="R79" s="19">
        <v>-677.53</v>
      </c>
      <c r="S79" s="19">
        <f>IFERROR(VLOOKUP(I79,'[1]PL Mensual 2026'!$I:$S,11,0),0)</f>
        <v>-677.53</v>
      </c>
      <c r="T79" s="19">
        <v>-645.34</v>
      </c>
      <c r="U79" s="19">
        <v>-645.34</v>
      </c>
      <c r="V79" s="19">
        <v>-645.34</v>
      </c>
      <c r="W79" s="19">
        <f t="shared" si="2"/>
        <v>-7776.28</v>
      </c>
      <c r="X79" t="s">
        <v>447</v>
      </c>
      <c r="AA79" s="153">
        <f>VLOOKUP(I79,'[2]BBDD P&amp;L'!$J:$AK,28,0)</f>
        <v>-7776.28</v>
      </c>
      <c r="AB79" s="154">
        <f t="shared" si="3"/>
        <v>0</v>
      </c>
    </row>
    <row r="80" spans="2:28" x14ac:dyDescent="0.35">
      <c r="B80">
        <v>2026</v>
      </c>
      <c r="C80" t="s">
        <v>74</v>
      </c>
      <c r="D80" t="s">
        <v>75</v>
      </c>
      <c r="E80" t="s">
        <v>76</v>
      </c>
      <c r="F80" t="s">
        <v>77</v>
      </c>
      <c r="G80" t="s">
        <v>140</v>
      </c>
      <c r="H80" t="s">
        <v>145</v>
      </c>
      <c r="I80" t="s">
        <v>355</v>
      </c>
      <c r="J80" t="s">
        <v>238</v>
      </c>
      <c r="K80" s="19">
        <v>-1600</v>
      </c>
      <c r="L80" s="19">
        <v>-1600</v>
      </c>
      <c r="M80" s="19">
        <v>-1600</v>
      </c>
      <c r="N80" s="19">
        <v>-1600</v>
      </c>
      <c r="O80" s="153">
        <v>-1600</v>
      </c>
      <c r="P80" s="19">
        <v>-1600</v>
      </c>
      <c r="Q80" s="19">
        <v>-1600</v>
      </c>
      <c r="R80" s="19">
        <v>-1600</v>
      </c>
      <c r="S80" s="19">
        <f>IFERROR(VLOOKUP(I80,'[1]PL Mensual 2026'!$I:$S,11,0),0)</f>
        <v>-1600</v>
      </c>
      <c r="T80" s="19">
        <v>-1600</v>
      </c>
      <c r="U80" s="19">
        <v>-1600</v>
      </c>
      <c r="V80" s="19">
        <v>-1600</v>
      </c>
      <c r="W80" s="19">
        <f t="shared" si="2"/>
        <v>-19200</v>
      </c>
      <c r="X80" t="s">
        <v>447</v>
      </c>
      <c r="AA80" s="153">
        <f>VLOOKUP(I80,'[2]BBDD P&amp;L'!$J:$AK,28,0)</f>
        <v>-19200</v>
      </c>
      <c r="AB80" s="154">
        <f t="shared" si="3"/>
        <v>0</v>
      </c>
    </row>
    <row r="81" spans="2:28" x14ac:dyDescent="0.35">
      <c r="B81">
        <v>2026</v>
      </c>
      <c r="C81" t="s">
        <v>74</v>
      </c>
      <c r="D81" t="s">
        <v>75</v>
      </c>
      <c r="E81" t="s">
        <v>76</v>
      </c>
      <c r="F81" t="s">
        <v>77</v>
      </c>
      <c r="G81" t="s">
        <v>140</v>
      </c>
      <c r="H81" t="s">
        <v>145</v>
      </c>
      <c r="I81" t="s">
        <v>148</v>
      </c>
      <c r="J81" t="s">
        <v>238</v>
      </c>
      <c r="K81" s="19">
        <v>-634.77</v>
      </c>
      <c r="L81" s="19">
        <v>-1093.22</v>
      </c>
      <c r="M81" s="19">
        <v>-1093.22</v>
      </c>
      <c r="N81" s="19">
        <v>-1093.22</v>
      </c>
      <c r="O81" s="153">
        <v>-1208.01</v>
      </c>
      <c r="P81" s="19">
        <v>-1208.01</v>
      </c>
      <c r="Q81" s="19">
        <v>-1208.01</v>
      </c>
      <c r="R81" s="19">
        <v>-1208.01</v>
      </c>
      <c r="S81" s="19">
        <f>IFERROR(VLOOKUP(I81,'[1]PL Mensual 2026'!$I:$S,11,0),0)</f>
        <v>-1208.01</v>
      </c>
      <c r="T81" s="19">
        <v>-1093.31</v>
      </c>
      <c r="U81" s="19">
        <v>-1093.31</v>
      </c>
      <c r="V81" s="19">
        <v>-1093.31</v>
      </c>
      <c r="W81" s="19">
        <f t="shared" si="2"/>
        <v>-13234.41</v>
      </c>
      <c r="X81" t="s">
        <v>447</v>
      </c>
      <c r="AA81" s="153">
        <f>VLOOKUP(I81,'[2]BBDD P&amp;L'!$J:$AK,28,0)</f>
        <v>-13234.41</v>
      </c>
      <c r="AB81" s="154">
        <f t="shared" si="3"/>
        <v>0</v>
      </c>
    </row>
    <row r="82" spans="2:28" x14ac:dyDescent="0.35">
      <c r="B82">
        <v>2026</v>
      </c>
      <c r="C82" t="s">
        <v>74</v>
      </c>
      <c r="D82" t="s">
        <v>75</v>
      </c>
      <c r="E82" t="s">
        <v>76</v>
      </c>
      <c r="F82" t="s">
        <v>77</v>
      </c>
      <c r="G82" t="s">
        <v>140</v>
      </c>
      <c r="H82" t="s">
        <v>145</v>
      </c>
      <c r="I82" t="s">
        <v>310</v>
      </c>
      <c r="J82" t="s">
        <v>238</v>
      </c>
      <c r="K82" s="19">
        <v>0</v>
      </c>
      <c r="L82" s="19">
        <v>0</v>
      </c>
      <c r="M82" s="19">
        <v>0</v>
      </c>
      <c r="N82" s="19">
        <v>-381.67</v>
      </c>
      <c r="O82" s="153">
        <v>0</v>
      </c>
      <c r="P82" s="19">
        <v>-845.32999999999993</v>
      </c>
      <c r="Q82" s="19">
        <v>-742</v>
      </c>
      <c r="R82" s="19">
        <v>-742</v>
      </c>
      <c r="S82" s="19">
        <f>IFERROR(VLOOKUP(I82,'[1]PL Mensual 2026'!$I:$S,11,0),0)+665</f>
        <v>-742</v>
      </c>
      <c r="T82" s="19">
        <v>-677.75</v>
      </c>
      <c r="U82" s="19">
        <v>-677.75</v>
      </c>
      <c r="V82" s="19">
        <v>-677.75</v>
      </c>
      <c r="W82" s="19">
        <f t="shared" si="2"/>
        <v>-5486.25</v>
      </c>
      <c r="X82" t="s">
        <v>447</v>
      </c>
      <c r="AA82" s="153">
        <f>VLOOKUP(I82,'[2]BBDD P&amp;L'!$J:$AK,28,0)</f>
        <v>-8146.25</v>
      </c>
      <c r="AB82" s="154">
        <f t="shared" si="3"/>
        <v>2660</v>
      </c>
    </row>
    <row r="83" spans="2:28" x14ac:dyDescent="0.35">
      <c r="B83">
        <v>2026</v>
      </c>
      <c r="C83" t="s">
        <v>74</v>
      </c>
      <c r="D83" t="s">
        <v>75</v>
      </c>
      <c r="E83" t="s">
        <v>76</v>
      </c>
      <c r="F83" t="s">
        <v>77</v>
      </c>
      <c r="G83" t="s">
        <v>140</v>
      </c>
      <c r="H83" t="s">
        <v>149</v>
      </c>
      <c r="I83" t="s">
        <v>356</v>
      </c>
      <c r="J83" t="s">
        <v>238</v>
      </c>
      <c r="K83" s="19">
        <v>-1621.56</v>
      </c>
      <c r="L83" s="19">
        <v>-815.7</v>
      </c>
      <c r="M83" s="19">
        <v>-136.16</v>
      </c>
      <c r="N83" s="19">
        <v>-218</v>
      </c>
      <c r="O83" s="153">
        <v>0</v>
      </c>
      <c r="P83" s="19">
        <v>-790.66</v>
      </c>
      <c r="Q83" s="19">
        <v>0</v>
      </c>
      <c r="R83" s="19">
        <v>0</v>
      </c>
      <c r="S83" s="19">
        <f>IFERROR(VLOOKUP(I83,'[1]PL Mensual 2026'!$I:$S,11,0),0)</f>
        <v>-3275.52</v>
      </c>
      <c r="T83" s="19">
        <v>-716.42</v>
      </c>
      <c r="U83" s="19">
        <v>-716.42</v>
      </c>
      <c r="V83" s="19">
        <v>-716.42</v>
      </c>
      <c r="W83" s="19">
        <f t="shared" si="2"/>
        <v>-9006.86</v>
      </c>
      <c r="X83" t="s">
        <v>483</v>
      </c>
      <c r="AA83" s="153">
        <f>VLOOKUP(I83,'[2]BBDD P&amp;L'!$J:$AK,28,0)</f>
        <v>-9006.86</v>
      </c>
      <c r="AB83" s="154">
        <f t="shared" si="3"/>
        <v>0</v>
      </c>
    </row>
    <row r="84" spans="2:28" x14ac:dyDescent="0.35">
      <c r="B84">
        <v>2026</v>
      </c>
      <c r="C84" t="s">
        <v>74</v>
      </c>
      <c r="D84" t="s">
        <v>75</v>
      </c>
      <c r="E84" t="s">
        <v>76</v>
      </c>
      <c r="F84" t="s">
        <v>77</v>
      </c>
      <c r="G84" t="s">
        <v>140</v>
      </c>
      <c r="H84" t="s">
        <v>149</v>
      </c>
      <c r="I84" t="s">
        <v>357</v>
      </c>
      <c r="J84" t="s">
        <v>238</v>
      </c>
      <c r="K84" s="19">
        <v>0</v>
      </c>
      <c r="L84" s="19">
        <v>0</v>
      </c>
      <c r="M84" s="19">
        <v>-1006.36</v>
      </c>
      <c r="N84" s="19">
        <v>0</v>
      </c>
      <c r="O84" s="153">
        <v>0</v>
      </c>
      <c r="P84" s="19">
        <v>-979.23</v>
      </c>
      <c r="Q84" s="19">
        <v>0</v>
      </c>
      <c r="R84" s="19">
        <v>-115.48</v>
      </c>
      <c r="S84" s="19" t="str">
        <f>IFERROR(VLOOKUP(I84,'[1]PL Mensual 2026'!$I:$S,11,0),0)</f>
        <v xml:space="preserve">                                             -  </v>
      </c>
      <c r="T84" s="19">
        <v>-700.36</v>
      </c>
      <c r="U84" s="19">
        <v>-700.36</v>
      </c>
      <c r="V84" s="19">
        <v>-700.36</v>
      </c>
      <c r="W84" s="19">
        <f t="shared" si="2"/>
        <v>-4202.1500000000005</v>
      </c>
      <c r="X84" t="s">
        <v>483</v>
      </c>
      <c r="AA84" s="153">
        <f>VLOOKUP(I84,'[2]BBDD P&amp;L'!$J:$AK,28,0)</f>
        <v>-4202.1500000000005</v>
      </c>
      <c r="AB84" s="154">
        <f t="shared" si="3"/>
        <v>0</v>
      </c>
    </row>
    <row r="85" spans="2:28" x14ac:dyDescent="0.35">
      <c r="B85">
        <v>2026</v>
      </c>
      <c r="C85" t="s">
        <v>74</v>
      </c>
      <c r="D85" t="s">
        <v>75</v>
      </c>
      <c r="E85" t="s">
        <v>76</v>
      </c>
      <c r="F85" t="s">
        <v>77</v>
      </c>
      <c r="G85" t="s">
        <v>140</v>
      </c>
      <c r="H85" t="s">
        <v>149</v>
      </c>
      <c r="I85" t="s">
        <v>150</v>
      </c>
      <c r="J85" t="s">
        <v>238</v>
      </c>
      <c r="K85" s="19">
        <v>0</v>
      </c>
      <c r="L85" s="19">
        <v>-73.72</v>
      </c>
      <c r="M85" s="19">
        <v>0</v>
      </c>
      <c r="N85" s="19">
        <v>-13.33</v>
      </c>
      <c r="O85" s="153">
        <v>-183.66</v>
      </c>
      <c r="P85" s="19">
        <v>0</v>
      </c>
      <c r="Q85" s="19">
        <v>-196.99</v>
      </c>
      <c r="R85" s="19">
        <v>0</v>
      </c>
      <c r="S85" s="19" t="str">
        <f>IFERROR(VLOOKUP(I85,'[1]PL Mensual 2026'!$I:$S,11,0),0)</f>
        <v xml:space="preserve">                                             -  </v>
      </c>
      <c r="T85" s="19">
        <v>-116.92</v>
      </c>
      <c r="U85" s="19">
        <v>-116.92</v>
      </c>
      <c r="V85" s="19">
        <v>-116.92</v>
      </c>
      <c r="W85" s="19">
        <f t="shared" si="2"/>
        <v>-818.45999999999992</v>
      </c>
      <c r="X85" t="s">
        <v>483</v>
      </c>
      <c r="AA85" s="153">
        <f>VLOOKUP(I85,'[2]BBDD P&amp;L'!$J:$AK,28,0)</f>
        <v>-818.45999999999992</v>
      </c>
      <c r="AB85" s="154">
        <f t="shared" si="3"/>
        <v>0</v>
      </c>
    </row>
    <row r="86" spans="2:28" x14ac:dyDescent="0.35">
      <c r="B86">
        <v>2026</v>
      </c>
      <c r="C86" t="s">
        <v>74</v>
      </c>
      <c r="D86" t="s">
        <v>75</v>
      </c>
      <c r="E86" t="s">
        <v>76</v>
      </c>
      <c r="F86" t="s">
        <v>77</v>
      </c>
      <c r="G86" t="s">
        <v>140</v>
      </c>
      <c r="H86" t="s">
        <v>149</v>
      </c>
      <c r="I86" t="s">
        <v>358</v>
      </c>
      <c r="J86" t="s">
        <v>238</v>
      </c>
      <c r="K86" s="19">
        <v>0</v>
      </c>
      <c r="L86" s="19">
        <v>-1833.95</v>
      </c>
      <c r="M86" s="19">
        <v>-468.78</v>
      </c>
      <c r="N86" s="19">
        <v>-344</v>
      </c>
      <c r="O86" s="153">
        <v>0</v>
      </c>
      <c r="P86" s="19">
        <v>-1900.59</v>
      </c>
      <c r="Q86" s="19">
        <v>-2274.92</v>
      </c>
      <c r="R86" s="19">
        <v>0</v>
      </c>
      <c r="S86" s="19">
        <f>IFERROR(VLOOKUP(I86,'[1]PL Mensual 2026'!$I:$S,11,0),0)</f>
        <v>-877.14</v>
      </c>
      <c r="T86" s="19">
        <v>-3193</v>
      </c>
      <c r="U86" s="19">
        <v>-1250</v>
      </c>
      <c r="V86" s="19">
        <v>-525</v>
      </c>
      <c r="W86" s="19">
        <f t="shared" si="2"/>
        <v>-12667.380000000001</v>
      </c>
      <c r="X86" t="s">
        <v>501</v>
      </c>
      <c r="AA86" s="153">
        <f>VLOOKUP(I86,'[2]BBDD P&amp;L'!$J:$AK,28,0)</f>
        <v>-12667.380000000001</v>
      </c>
      <c r="AB86" s="154">
        <f t="shared" si="3"/>
        <v>0</v>
      </c>
    </row>
    <row r="87" spans="2:28" x14ac:dyDescent="0.35">
      <c r="B87">
        <v>2026</v>
      </c>
      <c r="C87" t="s">
        <v>74</v>
      </c>
      <c r="D87" t="s">
        <v>75</v>
      </c>
      <c r="E87" t="s">
        <v>76</v>
      </c>
      <c r="F87" t="s">
        <v>77</v>
      </c>
      <c r="G87" t="s">
        <v>140</v>
      </c>
      <c r="H87" t="s">
        <v>149</v>
      </c>
      <c r="I87" t="s">
        <v>151</v>
      </c>
      <c r="J87" t="s">
        <v>238</v>
      </c>
      <c r="K87" s="19">
        <v>0</v>
      </c>
      <c r="L87" s="19">
        <v>0</v>
      </c>
      <c r="M87" s="19">
        <v>-238.88</v>
      </c>
      <c r="N87" s="19">
        <v>0</v>
      </c>
      <c r="O87" s="153">
        <v>0</v>
      </c>
      <c r="P87" s="19">
        <v>0</v>
      </c>
      <c r="Q87" s="19">
        <v>0</v>
      </c>
      <c r="R87" s="19">
        <v>0</v>
      </c>
      <c r="S87" s="19" t="str">
        <f>IFERROR(VLOOKUP(I87,'[1]PL Mensual 2026'!$I:$S,11,0),0)</f>
        <v xml:space="preserve">                                             -  </v>
      </c>
      <c r="T87" s="19">
        <v>-238.88</v>
      </c>
      <c r="U87" s="19">
        <v>-238.88</v>
      </c>
      <c r="V87" s="19">
        <v>-238.88</v>
      </c>
      <c r="W87" s="19">
        <f t="shared" si="2"/>
        <v>-955.52</v>
      </c>
      <c r="X87" t="s">
        <v>483</v>
      </c>
      <c r="AA87" s="153">
        <f>VLOOKUP(I87,'[2]BBDD P&amp;L'!$J:$AK,28,0)</f>
        <v>-955.52</v>
      </c>
      <c r="AB87" s="154">
        <f t="shared" si="3"/>
        <v>0</v>
      </c>
    </row>
    <row r="88" spans="2:28" x14ac:dyDescent="0.35">
      <c r="B88">
        <v>2026</v>
      </c>
      <c r="C88" t="s">
        <v>74</v>
      </c>
      <c r="D88" t="s">
        <v>75</v>
      </c>
      <c r="E88" t="s">
        <v>76</v>
      </c>
      <c r="F88" t="s">
        <v>77</v>
      </c>
      <c r="G88" t="s">
        <v>140</v>
      </c>
      <c r="H88" t="s">
        <v>149</v>
      </c>
      <c r="I88" t="s">
        <v>359</v>
      </c>
      <c r="J88" t="s">
        <v>238</v>
      </c>
      <c r="K88" s="19">
        <v>0</v>
      </c>
      <c r="L88" s="19">
        <v>0</v>
      </c>
      <c r="M88" s="19">
        <v>0</v>
      </c>
      <c r="N88" s="19">
        <v>-350.75</v>
      </c>
      <c r="O88" s="153">
        <v>0</v>
      </c>
      <c r="P88" s="19">
        <v>0</v>
      </c>
      <c r="Q88" s="19">
        <v>-634.91</v>
      </c>
      <c r="R88" s="19">
        <v>0</v>
      </c>
      <c r="S88" s="19">
        <f>IFERROR(VLOOKUP(I88,'[1]PL Mensual 2026'!$I:$S,11,0),0)</f>
        <v>-591.76</v>
      </c>
      <c r="T88" s="19">
        <v>-492.83</v>
      </c>
      <c r="U88" s="19">
        <v>-492.83</v>
      </c>
      <c r="V88" s="19">
        <v>-492.83</v>
      </c>
      <c r="W88" s="19">
        <f t="shared" si="2"/>
        <v>-3055.91</v>
      </c>
      <c r="X88" t="s">
        <v>483</v>
      </c>
      <c r="AA88" s="153">
        <f>VLOOKUP(I88,'[2]BBDD P&amp;L'!$J:$AK,28,0)</f>
        <v>-3055.91</v>
      </c>
      <c r="AB88" s="154">
        <f t="shared" si="3"/>
        <v>0</v>
      </c>
    </row>
    <row r="89" spans="2:28" x14ac:dyDescent="0.35">
      <c r="B89">
        <v>2026</v>
      </c>
      <c r="C89" t="s">
        <v>74</v>
      </c>
      <c r="D89" t="s">
        <v>75</v>
      </c>
      <c r="E89" t="s">
        <v>76</v>
      </c>
      <c r="F89" t="s">
        <v>77</v>
      </c>
      <c r="G89" t="s">
        <v>140</v>
      </c>
      <c r="H89" t="s">
        <v>149</v>
      </c>
      <c r="I89" t="s">
        <v>152</v>
      </c>
      <c r="J89" t="s">
        <v>238</v>
      </c>
      <c r="K89" s="19">
        <v>0</v>
      </c>
      <c r="L89" s="19">
        <v>0</v>
      </c>
      <c r="M89" s="19">
        <v>0</v>
      </c>
      <c r="N89" s="19">
        <v>0</v>
      </c>
      <c r="O89" s="153">
        <v>0</v>
      </c>
      <c r="P89" s="19">
        <v>0</v>
      </c>
      <c r="Q89" s="19">
        <v>0</v>
      </c>
      <c r="R89" s="19">
        <v>0</v>
      </c>
      <c r="S89" s="19">
        <f>IFERROR(VLOOKUP(I89,'[1]PL Mensual 2026'!$I:$S,11,0),0)</f>
        <v>0</v>
      </c>
      <c r="T89" s="19">
        <v>0</v>
      </c>
      <c r="U89" s="19">
        <v>0</v>
      </c>
      <c r="V89" s="19">
        <v>0</v>
      </c>
      <c r="W89" s="19">
        <f t="shared" si="2"/>
        <v>0</v>
      </c>
      <c r="X89" t="s">
        <v>483</v>
      </c>
      <c r="AA89" s="153">
        <f>VLOOKUP(I89,'[2]BBDD P&amp;L'!$J:$AK,28,0)</f>
        <v>0</v>
      </c>
      <c r="AB89" s="154">
        <f t="shared" si="3"/>
        <v>0</v>
      </c>
    </row>
    <row r="90" spans="2:28" x14ac:dyDescent="0.35">
      <c r="B90">
        <v>2026</v>
      </c>
      <c r="C90" t="s">
        <v>74</v>
      </c>
      <c r="D90" t="s">
        <v>75</v>
      </c>
      <c r="E90" t="s">
        <v>76</v>
      </c>
      <c r="F90" t="s">
        <v>77</v>
      </c>
      <c r="G90" t="s">
        <v>140</v>
      </c>
      <c r="H90" t="s">
        <v>149</v>
      </c>
      <c r="I90" t="s">
        <v>360</v>
      </c>
      <c r="J90" t="s">
        <v>238</v>
      </c>
      <c r="K90" s="19">
        <v>-585</v>
      </c>
      <c r="L90" s="19">
        <v>0</v>
      </c>
      <c r="M90" s="19">
        <v>-1101.5999999999999</v>
      </c>
      <c r="N90" s="19">
        <v>-495</v>
      </c>
      <c r="O90" s="153">
        <v>0</v>
      </c>
      <c r="P90" s="19">
        <v>-1566.9</v>
      </c>
      <c r="Q90" s="19">
        <v>-642.6</v>
      </c>
      <c r="R90" s="19">
        <v>-977.98</v>
      </c>
      <c r="S90" s="19">
        <f>IFERROR(VLOOKUP(I90,'[1]PL Mensual 2026'!$I:$S,11,0),0)</f>
        <v>-734.1</v>
      </c>
      <c r="T90" s="19">
        <v>-894.85</v>
      </c>
      <c r="U90" s="19">
        <v>-894.85</v>
      </c>
      <c r="V90" s="19">
        <v>-894.85</v>
      </c>
      <c r="W90" s="19">
        <f t="shared" si="2"/>
        <v>-8787.7300000000014</v>
      </c>
      <c r="X90" t="s">
        <v>483</v>
      </c>
      <c r="AA90" s="153">
        <f>VLOOKUP(I90,'[2]BBDD P&amp;L'!$J:$AK,28,0)</f>
        <v>-8787.7300000000014</v>
      </c>
      <c r="AB90" s="154">
        <f t="shared" si="3"/>
        <v>0</v>
      </c>
    </row>
    <row r="91" spans="2:28" x14ac:dyDescent="0.35">
      <c r="B91">
        <v>2026</v>
      </c>
      <c r="C91" t="s">
        <v>74</v>
      </c>
      <c r="D91" t="s">
        <v>75</v>
      </c>
      <c r="E91" t="s">
        <v>76</v>
      </c>
      <c r="F91" t="s">
        <v>77</v>
      </c>
      <c r="G91" t="s">
        <v>140</v>
      </c>
      <c r="H91" t="s">
        <v>149</v>
      </c>
      <c r="I91" t="s">
        <v>515</v>
      </c>
      <c r="J91" t="s">
        <v>238</v>
      </c>
      <c r="K91" s="19">
        <v>0</v>
      </c>
      <c r="L91" s="19">
        <v>0</v>
      </c>
      <c r="M91" s="19">
        <v>0</v>
      </c>
      <c r="N91" s="19">
        <v>0</v>
      </c>
      <c r="O91" s="153">
        <v>0</v>
      </c>
      <c r="P91" s="19">
        <v>0</v>
      </c>
      <c r="Q91" s="19">
        <v>-1409.04</v>
      </c>
      <c r="R91" s="19">
        <v>0</v>
      </c>
      <c r="S91" s="19">
        <f>IFERROR(VLOOKUP(I91,'[1]PL Mensual 2026'!$I:$S,11,0),0)</f>
        <v>0</v>
      </c>
      <c r="T91" s="19">
        <v>-1409.04</v>
      </c>
      <c r="U91" s="19">
        <v>-1409.04</v>
      </c>
      <c r="V91" s="19">
        <v>-1409.04</v>
      </c>
      <c r="W91" s="19">
        <f t="shared" si="2"/>
        <v>-5636.16</v>
      </c>
      <c r="X91" t="s">
        <v>483</v>
      </c>
      <c r="AA91" s="153">
        <f>VLOOKUP(I91,'[2]BBDD P&amp;L'!$J:$AK,28,0)</f>
        <v>-5636.16</v>
      </c>
      <c r="AB91" s="154">
        <f t="shared" si="3"/>
        <v>0</v>
      </c>
    </row>
    <row r="92" spans="2:28" x14ac:dyDescent="0.35">
      <c r="B92">
        <v>2026</v>
      </c>
      <c r="C92" t="s">
        <v>74</v>
      </c>
      <c r="D92" t="s">
        <v>75</v>
      </c>
      <c r="E92" t="s">
        <v>76</v>
      </c>
      <c r="F92" t="s">
        <v>77</v>
      </c>
      <c r="G92" t="s">
        <v>140</v>
      </c>
      <c r="H92" t="s">
        <v>149</v>
      </c>
      <c r="I92" t="s">
        <v>361</v>
      </c>
      <c r="J92" t="s">
        <v>238</v>
      </c>
      <c r="K92" s="19">
        <v>0</v>
      </c>
      <c r="L92" s="19">
        <v>0</v>
      </c>
      <c r="M92" s="19">
        <v>0</v>
      </c>
      <c r="N92" s="19">
        <v>0</v>
      </c>
      <c r="O92" s="153">
        <v>0</v>
      </c>
      <c r="P92" s="19">
        <v>0</v>
      </c>
      <c r="Q92" s="19">
        <v>0</v>
      </c>
      <c r="R92" s="19">
        <v>0</v>
      </c>
      <c r="S92" s="19">
        <f>IFERROR(VLOOKUP(I92,'[1]PL Mensual 2026'!$I:$S,11,0),0)</f>
        <v>0</v>
      </c>
      <c r="T92" s="19">
        <v>0</v>
      </c>
      <c r="U92" s="19">
        <v>0</v>
      </c>
      <c r="V92" s="19">
        <v>0</v>
      </c>
      <c r="W92" s="19">
        <f t="shared" si="2"/>
        <v>0</v>
      </c>
      <c r="X92" t="s">
        <v>483</v>
      </c>
      <c r="AA92" s="153">
        <f>VLOOKUP(I92,'[2]BBDD P&amp;L'!$J:$AK,28,0)</f>
        <v>0</v>
      </c>
      <c r="AB92" s="154">
        <f t="shared" si="3"/>
        <v>0</v>
      </c>
    </row>
    <row r="93" spans="2:28" x14ac:dyDescent="0.35">
      <c r="B93">
        <v>2026</v>
      </c>
      <c r="C93" t="s">
        <v>74</v>
      </c>
      <c r="D93" t="s">
        <v>75</v>
      </c>
      <c r="E93" t="s">
        <v>76</v>
      </c>
      <c r="F93" t="s">
        <v>77</v>
      </c>
      <c r="G93" t="s">
        <v>140</v>
      </c>
      <c r="H93" t="s">
        <v>149</v>
      </c>
      <c r="I93" t="s">
        <v>153</v>
      </c>
      <c r="J93" t="s">
        <v>238</v>
      </c>
      <c r="K93" s="19">
        <v>-1342.54</v>
      </c>
      <c r="L93" s="19">
        <v>-586</v>
      </c>
      <c r="M93" s="19">
        <v>-2280</v>
      </c>
      <c r="N93" s="19">
        <v>0</v>
      </c>
      <c r="O93" s="153">
        <v>-942.88</v>
      </c>
      <c r="P93" s="19">
        <v>-354.5</v>
      </c>
      <c r="Q93" s="19">
        <v>-9441.85</v>
      </c>
      <c r="R93" s="19">
        <v>-1983.69</v>
      </c>
      <c r="S93" s="19">
        <f>IFERROR(VLOOKUP(I93,'[1]PL Mensual 2026'!$I:$S,11,0),0)</f>
        <v>-1288.6199999999999</v>
      </c>
      <c r="T93" s="19">
        <v>-3000</v>
      </c>
      <c r="U93" s="19">
        <v>0</v>
      </c>
      <c r="V93" s="19">
        <v>0</v>
      </c>
      <c r="W93" s="19">
        <f t="shared" si="2"/>
        <v>-21220.079999999998</v>
      </c>
      <c r="X93" t="s">
        <v>502</v>
      </c>
      <c r="AA93" s="153">
        <f>VLOOKUP(I93,'[2]BBDD P&amp;L'!$J:$AK,28,0)</f>
        <v>-21220.079999999998</v>
      </c>
      <c r="AB93" s="154">
        <f t="shared" si="3"/>
        <v>0</v>
      </c>
    </row>
    <row r="94" spans="2:28" x14ac:dyDescent="0.35">
      <c r="B94">
        <v>2026</v>
      </c>
      <c r="C94" t="s">
        <v>74</v>
      </c>
      <c r="D94" t="s">
        <v>75</v>
      </c>
      <c r="E94" t="s">
        <v>76</v>
      </c>
      <c r="F94" t="s">
        <v>77</v>
      </c>
      <c r="G94" t="s">
        <v>140</v>
      </c>
      <c r="H94" t="s">
        <v>149</v>
      </c>
      <c r="I94" t="s">
        <v>154</v>
      </c>
      <c r="J94" t="s">
        <v>238</v>
      </c>
      <c r="K94" s="19">
        <v>-667.12</v>
      </c>
      <c r="L94" s="19">
        <v>0</v>
      </c>
      <c r="M94" s="19">
        <v>0</v>
      </c>
      <c r="N94" s="19">
        <v>0</v>
      </c>
      <c r="O94" s="153">
        <v>0</v>
      </c>
      <c r="P94" s="19">
        <v>-4282.05</v>
      </c>
      <c r="Q94" s="19">
        <v>-5230</v>
      </c>
      <c r="R94" s="19">
        <v>-5848.16</v>
      </c>
      <c r="S94" s="19" t="str">
        <f>IFERROR(VLOOKUP(I94,'[1]PL Mensual 2026'!$I:$S,11,0),0)</f>
        <v xml:space="preserve">                                             -  </v>
      </c>
      <c r="T94" s="19">
        <v>-4006.83</v>
      </c>
      <c r="U94" s="19">
        <v>-4006.83</v>
      </c>
      <c r="V94" s="19">
        <v>-4006.83</v>
      </c>
      <c r="W94" s="19">
        <f t="shared" si="2"/>
        <v>-28047.82</v>
      </c>
      <c r="X94" t="s">
        <v>483</v>
      </c>
      <c r="AA94" s="153">
        <f>VLOOKUP(I94,'[2]BBDD P&amp;L'!$J:$AK,28,0)</f>
        <v>-28047.82</v>
      </c>
      <c r="AB94" s="154">
        <f t="shared" si="3"/>
        <v>0</v>
      </c>
    </row>
    <row r="95" spans="2:28" x14ac:dyDescent="0.35">
      <c r="B95">
        <v>2026</v>
      </c>
      <c r="C95" t="s">
        <v>74</v>
      </c>
      <c r="D95" t="s">
        <v>75</v>
      </c>
      <c r="E95" t="s">
        <v>76</v>
      </c>
      <c r="F95" t="s">
        <v>77</v>
      </c>
      <c r="G95" t="s">
        <v>140</v>
      </c>
      <c r="H95" t="s">
        <v>149</v>
      </c>
      <c r="I95" t="s">
        <v>155</v>
      </c>
      <c r="J95" t="s">
        <v>238</v>
      </c>
      <c r="K95" s="19">
        <v>-617.41999999999996</v>
      </c>
      <c r="L95" s="19">
        <v>0</v>
      </c>
      <c r="M95" s="19">
        <v>0</v>
      </c>
      <c r="N95" s="19">
        <v>0</v>
      </c>
      <c r="O95" s="153">
        <v>0</v>
      </c>
      <c r="P95" s="19">
        <v>-4467.0200000000004</v>
      </c>
      <c r="Q95" s="19">
        <v>0</v>
      </c>
      <c r="R95" s="19">
        <v>-11965.55</v>
      </c>
      <c r="S95" s="19">
        <f>IFERROR(VLOOKUP(I95,'[1]PL Mensual 2026'!$I:$S,11,0),0)</f>
        <v>-6085.86</v>
      </c>
      <c r="T95" s="19">
        <v>-350</v>
      </c>
      <c r="U95" s="19">
        <v>-2850</v>
      </c>
      <c r="V95" s="19">
        <v>-350</v>
      </c>
      <c r="W95" s="19">
        <f t="shared" si="2"/>
        <v>-26685.85</v>
      </c>
      <c r="X95" t="s">
        <v>503</v>
      </c>
      <c r="AA95" s="153">
        <f>VLOOKUP(I95,'[2]BBDD P&amp;L'!$J:$AK,28,0)</f>
        <v>-26685.85</v>
      </c>
      <c r="AB95" s="154">
        <f t="shared" si="3"/>
        <v>0</v>
      </c>
    </row>
    <row r="96" spans="2:28" x14ac:dyDescent="0.35">
      <c r="B96">
        <v>2026</v>
      </c>
      <c r="C96" t="s">
        <v>74</v>
      </c>
      <c r="D96" t="s">
        <v>75</v>
      </c>
      <c r="E96" t="s">
        <v>76</v>
      </c>
      <c r="F96" t="s">
        <v>77</v>
      </c>
      <c r="G96" t="s">
        <v>140</v>
      </c>
      <c r="H96" t="s">
        <v>149</v>
      </c>
      <c r="I96" t="s">
        <v>156</v>
      </c>
      <c r="J96" t="s">
        <v>238</v>
      </c>
      <c r="K96" s="19">
        <v>0</v>
      </c>
      <c r="L96" s="19">
        <v>0</v>
      </c>
      <c r="M96" s="19">
        <v>-1502.54</v>
      </c>
      <c r="N96" s="19">
        <v>-55.82</v>
      </c>
      <c r="O96" s="153">
        <v>-1092.45</v>
      </c>
      <c r="P96" s="19">
        <v>-8017.35</v>
      </c>
      <c r="Q96" s="19">
        <v>5697.8</v>
      </c>
      <c r="R96" s="19">
        <v>-288.39</v>
      </c>
      <c r="S96" s="19" t="str">
        <f>IFERROR(VLOOKUP(I96,'[1]PL Mensual 2026'!$I:$S,11,0),0)</f>
        <v xml:space="preserve">                                             -  </v>
      </c>
      <c r="T96" s="19">
        <v>-1100</v>
      </c>
      <c r="U96" s="19">
        <v>0</v>
      </c>
      <c r="V96" s="19">
        <v>0</v>
      </c>
      <c r="W96" s="19">
        <f t="shared" si="2"/>
        <v>-6358.75</v>
      </c>
      <c r="X96" t="s">
        <v>504</v>
      </c>
      <c r="AA96" s="153">
        <f>VLOOKUP(I96,'[2]BBDD P&amp;L'!$J:$AK,28,0)</f>
        <v>-6358.75</v>
      </c>
      <c r="AB96" s="154">
        <f t="shared" si="3"/>
        <v>0</v>
      </c>
    </row>
    <row r="97" spans="2:28" x14ac:dyDescent="0.35">
      <c r="B97">
        <v>2026</v>
      </c>
      <c r="C97" t="s">
        <v>74</v>
      </c>
      <c r="D97" t="s">
        <v>75</v>
      </c>
      <c r="E97" t="s">
        <v>76</v>
      </c>
      <c r="F97" t="s">
        <v>77</v>
      </c>
      <c r="G97" t="s">
        <v>140</v>
      </c>
      <c r="H97" t="s">
        <v>149</v>
      </c>
      <c r="I97" t="s">
        <v>157</v>
      </c>
      <c r="J97" t="s">
        <v>238</v>
      </c>
      <c r="K97" s="19">
        <v>0</v>
      </c>
      <c r="L97" s="19">
        <v>-155.11000000000001</v>
      </c>
      <c r="M97" s="19">
        <v>-1072.93</v>
      </c>
      <c r="N97" s="19">
        <v>-2283.52</v>
      </c>
      <c r="O97" s="153">
        <v>-799.04</v>
      </c>
      <c r="P97" s="19">
        <v>-106.8</v>
      </c>
      <c r="Q97" s="19">
        <v>0</v>
      </c>
      <c r="R97" s="19">
        <v>-108.17</v>
      </c>
      <c r="S97" s="19">
        <f>IFERROR(VLOOKUP(I97,'[1]PL Mensual 2026'!$I:$S,11,0),0)</f>
        <v>-602.22</v>
      </c>
      <c r="T97" s="19">
        <v>-250</v>
      </c>
      <c r="U97" s="19">
        <v>-250</v>
      </c>
      <c r="V97" s="19">
        <v>-250</v>
      </c>
      <c r="W97" s="19">
        <f t="shared" si="2"/>
        <v>-5877.7900000000009</v>
      </c>
      <c r="X97" t="s">
        <v>505</v>
      </c>
      <c r="AA97" s="153">
        <f>VLOOKUP(I97,'[2]BBDD P&amp;L'!$J:$AK,28,0)</f>
        <v>-5877.7900000000009</v>
      </c>
      <c r="AB97" s="154">
        <f t="shared" si="3"/>
        <v>0</v>
      </c>
    </row>
    <row r="98" spans="2:28" x14ac:dyDescent="0.35">
      <c r="B98">
        <v>2026</v>
      </c>
      <c r="C98" t="s">
        <v>74</v>
      </c>
      <c r="D98" t="s">
        <v>75</v>
      </c>
      <c r="E98" t="s">
        <v>76</v>
      </c>
      <c r="F98" t="s">
        <v>77</v>
      </c>
      <c r="G98" t="s">
        <v>140</v>
      </c>
      <c r="H98" t="s">
        <v>149</v>
      </c>
      <c r="I98" t="s">
        <v>158</v>
      </c>
      <c r="J98" t="s">
        <v>238</v>
      </c>
      <c r="K98" s="19">
        <v>0</v>
      </c>
      <c r="L98" s="19">
        <v>-39.799999999999997</v>
      </c>
      <c r="M98" s="19">
        <v>-227.04</v>
      </c>
      <c r="N98" s="19">
        <v>0</v>
      </c>
      <c r="O98" s="19">
        <v>0</v>
      </c>
      <c r="P98" s="19">
        <v>-81.8</v>
      </c>
      <c r="Q98" s="19">
        <v>0</v>
      </c>
      <c r="R98" s="19">
        <v>0</v>
      </c>
      <c r="S98" s="19">
        <f>IFERROR(VLOOKUP(I98,'[1]PL Mensual 2026'!$I:$S,11,0),0)</f>
        <v>-90.85</v>
      </c>
      <c r="T98" s="19">
        <v>-116.21</v>
      </c>
      <c r="U98" s="19">
        <v>-116.21</v>
      </c>
      <c r="V98" s="19">
        <v>-116.21</v>
      </c>
      <c r="W98" s="19">
        <f t="shared" si="2"/>
        <v>-788.12000000000012</v>
      </c>
      <c r="X98" t="s">
        <v>483</v>
      </c>
      <c r="AA98" s="153">
        <f>VLOOKUP(I98,'[2]BBDD P&amp;L'!$J:$AK,28,0)</f>
        <v>-788.12000000000012</v>
      </c>
      <c r="AB98" s="154">
        <f t="shared" si="3"/>
        <v>0</v>
      </c>
    </row>
    <row r="99" spans="2:28" x14ac:dyDescent="0.35">
      <c r="B99">
        <v>2026</v>
      </c>
      <c r="C99" t="s">
        <v>74</v>
      </c>
      <c r="D99" t="s">
        <v>75</v>
      </c>
      <c r="E99" t="s">
        <v>76</v>
      </c>
      <c r="F99" t="s">
        <v>77</v>
      </c>
      <c r="G99" t="s">
        <v>140</v>
      </c>
      <c r="H99" t="s">
        <v>159</v>
      </c>
      <c r="I99" t="s">
        <v>160</v>
      </c>
      <c r="J99" t="s">
        <v>238</v>
      </c>
      <c r="K99" s="19">
        <v>-1902.37</v>
      </c>
      <c r="L99" s="19">
        <v>-497</v>
      </c>
      <c r="M99" s="19">
        <v>-5360.3</v>
      </c>
      <c r="N99" s="19">
        <v>-10729</v>
      </c>
      <c r="O99" s="153">
        <v>-21698</v>
      </c>
      <c r="P99" s="19">
        <v>-2988</v>
      </c>
      <c r="Q99" s="19">
        <v>-2584.62</v>
      </c>
      <c r="R99" s="19">
        <v>-2853.02</v>
      </c>
      <c r="S99" s="19">
        <f>IFERROR(VLOOKUP(I99,'[1]PL Mensual 2026'!$I:$S,11,0),0)</f>
        <v>-2345.62</v>
      </c>
      <c r="T99" s="19">
        <v>-6000</v>
      </c>
      <c r="U99" s="19">
        <v>-6000</v>
      </c>
      <c r="V99" s="19">
        <v>-8000</v>
      </c>
      <c r="W99" s="19">
        <f t="shared" si="2"/>
        <v>-70957.929999999993</v>
      </c>
      <c r="X99" t="s">
        <v>448</v>
      </c>
      <c r="AA99" s="153">
        <f>VLOOKUP(I99,'[2]BBDD P&amp;L'!$J:$AK,28,0)</f>
        <v>-70957.929999999993</v>
      </c>
      <c r="AB99" s="154">
        <f t="shared" si="3"/>
        <v>0</v>
      </c>
    </row>
    <row r="100" spans="2:28" x14ac:dyDescent="0.35">
      <c r="B100">
        <v>2026</v>
      </c>
      <c r="C100" t="s">
        <v>74</v>
      </c>
      <c r="D100" t="s">
        <v>75</v>
      </c>
      <c r="E100" t="s">
        <v>76</v>
      </c>
      <c r="F100" t="s">
        <v>77</v>
      </c>
      <c r="G100" t="s">
        <v>140</v>
      </c>
      <c r="H100" t="s">
        <v>159</v>
      </c>
      <c r="I100" t="s">
        <v>362</v>
      </c>
      <c r="J100" t="s">
        <v>238</v>
      </c>
      <c r="K100" s="19">
        <v>-1417.95</v>
      </c>
      <c r="L100" s="19">
        <v>-1417.95</v>
      </c>
      <c r="M100" s="19">
        <v>-5837.67</v>
      </c>
      <c r="N100" s="19">
        <v>-2891.19</v>
      </c>
      <c r="O100" s="153">
        <v>-2891.19</v>
      </c>
      <c r="P100" s="19">
        <v>-2891.19</v>
      </c>
      <c r="Q100" s="19">
        <v>-2891.19</v>
      </c>
      <c r="R100" s="19">
        <v>-2148.2399999999998</v>
      </c>
      <c r="S100" s="19">
        <f>IFERROR(VLOOKUP(I100,'[1]PL Mensual 2026'!$I:$S,11,0),0)</f>
        <v>-3634.14</v>
      </c>
      <c r="T100" s="19">
        <v>-2800</v>
      </c>
      <c r="U100" s="19">
        <v>-2800</v>
      </c>
      <c r="V100" s="19">
        <v>-2800</v>
      </c>
      <c r="W100" s="19">
        <f t="shared" si="2"/>
        <v>-34420.71</v>
      </c>
      <c r="X100" t="s">
        <v>484</v>
      </c>
      <c r="AA100" s="153">
        <f>VLOOKUP(I100,'[2]BBDD P&amp;L'!$J:$AK,28,0)</f>
        <v>-34420.71</v>
      </c>
      <c r="AB100" s="154">
        <f t="shared" si="3"/>
        <v>0</v>
      </c>
    </row>
    <row r="101" spans="2:28" x14ac:dyDescent="0.35">
      <c r="B101">
        <v>2026</v>
      </c>
      <c r="C101" t="s">
        <v>74</v>
      </c>
      <c r="D101" t="s">
        <v>75</v>
      </c>
      <c r="E101" t="s">
        <v>76</v>
      </c>
      <c r="F101" t="s">
        <v>77</v>
      </c>
      <c r="G101" t="s">
        <v>140</v>
      </c>
      <c r="H101" t="s">
        <v>159</v>
      </c>
      <c r="I101" t="s">
        <v>363</v>
      </c>
      <c r="J101" t="s">
        <v>238</v>
      </c>
      <c r="K101" s="19">
        <v>-548.32000000000005</v>
      </c>
      <c r="L101" s="19">
        <v>-3007.86</v>
      </c>
      <c r="M101" s="19">
        <v>-3805.86</v>
      </c>
      <c r="N101" s="19">
        <v>-3053.37</v>
      </c>
      <c r="O101" s="153">
        <v>-2271.2399999999998</v>
      </c>
      <c r="P101" s="19">
        <v>-2271.2399999999998</v>
      </c>
      <c r="Q101" s="19">
        <v>-736.62</v>
      </c>
      <c r="R101" s="19">
        <v>0</v>
      </c>
      <c r="S101" s="19">
        <f>IFERROR(VLOOKUP(I101,'[1]PL Mensual 2026'!$I:$S,11,0),0)</f>
        <v>-1534.62</v>
      </c>
      <c r="T101" s="19">
        <v>-2150</v>
      </c>
      <c r="U101" s="19">
        <v>-2100</v>
      </c>
      <c r="V101" s="19">
        <v>-6150</v>
      </c>
      <c r="W101" s="19">
        <f t="shared" si="2"/>
        <v>-27629.13</v>
      </c>
      <c r="X101" t="s">
        <v>506</v>
      </c>
      <c r="AA101" s="153">
        <f>VLOOKUP(I101,'[2]BBDD P&amp;L'!$J:$AK,28,0)</f>
        <v>-27629.13</v>
      </c>
      <c r="AB101" s="154">
        <f t="shared" si="3"/>
        <v>0</v>
      </c>
    </row>
    <row r="102" spans="2:28" x14ac:dyDescent="0.35">
      <c r="B102">
        <v>2026</v>
      </c>
      <c r="C102" t="s">
        <v>74</v>
      </c>
      <c r="D102" t="s">
        <v>75</v>
      </c>
      <c r="E102" t="s">
        <v>76</v>
      </c>
      <c r="F102" t="s">
        <v>77</v>
      </c>
      <c r="G102" t="s">
        <v>140</v>
      </c>
      <c r="H102" t="s">
        <v>159</v>
      </c>
      <c r="I102" t="s">
        <v>161</v>
      </c>
      <c r="J102" t="s">
        <v>238</v>
      </c>
      <c r="K102" s="19">
        <v>-971.47</v>
      </c>
      <c r="L102" s="19">
        <v>0</v>
      </c>
      <c r="M102" s="19">
        <v>0</v>
      </c>
      <c r="N102" s="19">
        <v>0</v>
      </c>
      <c r="O102" s="153">
        <v>-1574.71</v>
      </c>
      <c r="P102" s="19">
        <v>-1267.24</v>
      </c>
      <c r="Q102" s="19">
        <v>0</v>
      </c>
      <c r="R102" s="19">
        <v>0</v>
      </c>
      <c r="S102" s="19" t="str">
        <f>IFERROR(VLOOKUP(I102,'[1]PL Mensual 2026'!$I:$S,11,0),0)</f>
        <v xml:space="preserve">                                             -  </v>
      </c>
      <c r="T102" s="19">
        <v>-300</v>
      </c>
      <c r="U102" s="19">
        <v>-1200</v>
      </c>
      <c r="V102" s="19">
        <v>0</v>
      </c>
      <c r="W102" s="19">
        <f t="shared" si="2"/>
        <v>-5313.42</v>
      </c>
      <c r="X102" t="s">
        <v>507</v>
      </c>
      <c r="AA102" s="153">
        <f>VLOOKUP(I102,'[2]BBDD P&amp;L'!$J:$AK,28,0)</f>
        <v>-5313.42</v>
      </c>
      <c r="AB102" s="154">
        <f t="shared" si="3"/>
        <v>0</v>
      </c>
    </row>
    <row r="103" spans="2:28" x14ac:dyDescent="0.35">
      <c r="B103">
        <v>2026</v>
      </c>
      <c r="C103" t="s">
        <v>74</v>
      </c>
      <c r="D103" t="s">
        <v>75</v>
      </c>
      <c r="E103" t="s">
        <v>76</v>
      </c>
      <c r="F103" t="s">
        <v>77</v>
      </c>
      <c r="G103" t="s">
        <v>140</v>
      </c>
      <c r="H103" t="s">
        <v>159</v>
      </c>
      <c r="I103" t="s">
        <v>364</v>
      </c>
      <c r="J103" t="s">
        <v>238</v>
      </c>
      <c r="K103" s="19">
        <v>-692.3</v>
      </c>
      <c r="L103" s="19">
        <v>-689.7</v>
      </c>
      <c r="M103" s="19">
        <v>-324</v>
      </c>
      <c r="N103" s="19">
        <v>-591</v>
      </c>
      <c r="O103" s="153">
        <v>-429</v>
      </c>
      <c r="P103" s="19">
        <v>-1185.44</v>
      </c>
      <c r="Q103" s="19">
        <v>-763</v>
      </c>
      <c r="R103" s="19">
        <v>-210</v>
      </c>
      <c r="S103" s="19">
        <f>IFERROR(VLOOKUP(I103,'[1]PL Mensual 2026'!$I:$S,11,0),0)</f>
        <v>-662</v>
      </c>
      <c r="T103" s="19">
        <v>-610.55999999999995</v>
      </c>
      <c r="U103" s="19">
        <v>-610.55999999999995</v>
      </c>
      <c r="V103" s="19">
        <v>-610.55999999999995</v>
      </c>
      <c r="W103" s="19">
        <f t="shared" si="2"/>
        <v>-7378.119999999999</v>
      </c>
      <c r="X103" t="s">
        <v>449</v>
      </c>
      <c r="AA103" s="153">
        <f>VLOOKUP(I103,'[2]BBDD P&amp;L'!$J:$AK,28,0)</f>
        <v>-7378.119999999999</v>
      </c>
      <c r="AB103" s="154">
        <f t="shared" si="3"/>
        <v>0</v>
      </c>
    </row>
    <row r="104" spans="2:28" x14ac:dyDescent="0.35">
      <c r="B104">
        <v>2026</v>
      </c>
      <c r="C104" t="s">
        <v>74</v>
      </c>
      <c r="D104" t="s">
        <v>75</v>
      </c>
      <c r="E104" t="s">
        <v>76</v>
      </c>
      <c r="F104" t="s">
        <v>77</v>
      </c>
      <c r="G104" t="s">
        <v>140</v>
      </c>
      <c r="H104" t="s">
        <v>159</v>
      </c>
      <c r="I104" t="s">
        <v>162</v>
      </c>
      <c r="J104" t="s">
        <v>238</v>
      </c>
      <c r="K104" s="19">
        <v>-3245.91</v>
      </c>
      <c r="L104" s="19">
        <v>-4213.45</v>
      </c>
      <c r="M104" s="19">
        <v>-5262.62</v>
      </c>
      <c r="N104" s="19">
        <v>-2950.29</v>
      </c>
      <c r="O104" s="153">
        <v>-4225.22</v>
      </c>
      <c r="P104" s="19">
        <v>-3567.95</v>
      </c>
      <c r="Q104" s="19">
        <v>-3428.16</v>
      </c>
      <c r="R104" s="19">
        <v>-4396.3900000000003</v>
      </c>
      <c r="S104" s="19">
        <f>IFERROR(VLOOKUP(I104,'[1]PL Mensual 2026'!$I:$S,11,0),0)</f>
        <v>-4659.66</v>
      </c>
      <c r="T104" s="19">
        <v>-4000</v>
      </c>
      <c r="U104" s="19">
        <v>-4000</v>
      </c>
      <c r="V104" s="19">
        <v>-9200</v>
      </c>
      <c r="W104" s="19">
        <f t="shared" si="2"/>
        <v>-53149.65</v>
      </c>
      <c r="X104" t="s">
        <v>485</v>
      </c>
      <c r="AA104" s="153">
        <f>VLOOKUP(I104,'[2]BBDD P&amp;L'!$J:$AK,28,0)</f>
        <v>-53149.65</v>
      </c>
      <c r="AB104" s="154">
        <f t="shared" si="3"/>
        <v>0</v>
      </c>
    </row>
    <row r="105" spans="2:28" x14ac:dyDescent="0.35">
      <c r="B105">
        <v>2026</v>
      </c>
      <c r="C105" t="s">
        <v>74</v>
      </c>
      <c r="D105" t="s">
        <v>75</v>
      </c>
      <c r="E105" t="s">
        <v>76</v>
      </c>
      <c r="F105" t="s">
        <v>77</v>
      </c>
      <c r="G105" t="s">
        <v>140</v>
      </c>
      <c r="H105" t="s">
        <v>159</v>
      </c>
      <c r="I105" t="s">
        <v>365</v>
      </c>
      <c r="J105" t="s">
        <v>238</v>
      </c>
      <c r="K105" s="19">
        <v>0</v>
      </c>
      <c r="L105" s="19">
        <v>-236.74</v>
      </c>
      <c r="M105" s="19">
        <v>-895.06</v>
      </c>
      <c r="N105" s="19">
        <v>-438.09</v>
      </c>
      <c r="O105" s="153">
        <v>-141.55000000000001</v>
      </c>
      <c r="P105" s="19">
        <v>-54.55</v>
      </c>
      <c r="Q105" s="19">
        <v>0</v>
      </c>
      <c r="R105" s="19">
        <v>-20364.61</v>
      </c>
      <c r="S105" s="19" t="str">
        <f>IFERROR(VLOOKUP(I105,'[1]PL Mensual 2026'!$I:$S,11,0),0)</f>
        <v xml:space="preserve">                                             -  </v>
      </c>
      <c r="T105" s="19">
        <v>-500</v>
      </c>
      <c r="U105" s="19">
        <v>-500</v>
      </c>
      <c r="V105" s="19">
        <v>-30500</v>
      </c>
      <c r="W105" s="19">
        <f t="shared" si="2"/>
        <v>-53630.6</v>
      </c>
      <c r="X105" t="s">
        <v>486</v>
      </c>
      <c r="AA105" s="153">
        <f>VLOOKUP(I105,'[2]BBDD P&amp;L'!$J:$AK,28,0)</f>
        <v>-53630.6</v>
      </c>
      <c r="AB105" s="154">
        <f t="shared" si="3"/>
        <v>0</v>
      </c>
    </row>
    <row r="106" spans="2:28" x14ac:dyDescent="0.35">
      <c r="B106">
        <v>2026</v>
      </c>
      <c r="C106" t="s">
        <v>74</v>
      </c>
      <c r="D106" t="s">
        <v>75</v>
      </c>
      <c r="E106" t="s">
        <v>76</v>
      </c>
      <c r="F106" t="s">
        <v>77</v>
      </c>
      <c r="G106" t="s">
        <v>140</v>
      </c>
      <c r="H106" t="s">
        <v>159</v>
      </c>
      <c r="I106" t="s">
        <v>163</v>
      </c>
      <c r="J106" t="s">
        <v>238</v>
      </c>
      <c r="K106" s="19">
        <v>-5502.03</v>
      </c>
      <c r="L106" s="19">
        <v>-5916.14</v>
      </c>
      <c r="M106" s="19">
        <v>-5438.35</v>
      </c>
      <c r="N106" s="19">
        <v>-5067.2299999999996</v>
      </c>
      <c r="O106" s="153">
        <v>0</v>
      </c>
      <c r="P106" s="19">
        <v>-41963.34</v>
      </c>
      <c r="Q106" s="19">
        <v>-20123.98</v>
      </c>
      <c r="R106" s="19">
        <v>-6760.66</v>
      </c>
      <c r="S106" s="19">
        <f>IFERROR(VLOOKUP(I106,'[1]PL Mensual 2026'!$I:$S,11,0),0)</f>
        <v>-5892.08</v>
      </c>
      <c r="T106" s="19">
        <v>-6000</v>
      </c>
      <c r="U106" s="19">
        <v>-6000</v>
      </c>
      <c r="V106" s="19">
        <v>-106000</v>
      </c>
      <c r="W106" s="19">
        <f t="shared" si="2"/>
        <v>-214663.81</v>
      </c>
      <c r="X106" t="s">
        <v>487</v>
      </c>
      <c r="AA106" s="153">
        <f>VLOOKUP(I106,'[2]BBDD P&amp;L'!$J:$AK,28,0)</f>
        <v>-214663.81</v>
      </c>
      <c r="AB106" s="154">
        <f t="shared" si="3"/>
        <v>0</v>
      </c>
    </row>
    <row r="107" spans="2:28" x14ac:dyDescent="0.35">
      <c r="B107">
        <v>2026</v>
      </c>
      <c r="C107" t="s">
        <v>74</v>
      </c>
      <c r="D107" t="s">
        <v>75</v>
      </c>
      <c r="E107" t="s">
        <v>76</v>
      </c>
      <c r="F107" t="s">
        <v>77</v>
      </c>
      <c r="G107" t="s">
        <v>140</v>
      </c>
      <c r="H107" t="s">
        <v>159</v>
      </c>
      <c r="I107" t="s">
        <v>401</v>
      </c>
      <c r="J107" t="s">
        <v>238</v>
      </c>
      <c r="K107" s="19">
        <v>0</v>
      </c>
      <c r="L107" s="19">
        <v>0</v>
      </c>
      <c r="M107" s="19">
        <v>0</v>
      </c>
      <c r="N107" s="19">
        <v>0</v>
      </c>
      <c r="O107" s="153">
        <v>-3398.55</v>
      </c>
      <c r="P107" s="19">
        <v>0</v>
      </c>
      <c r="Q107" s="19">
        <v>0</v>
      </c>
      <c r="R107" s="19">
        <v>0</v>
      </c>
      <c r="S107" s="19" t="str">
        <f>IFERROR(VLOOKUP(I107,'[1]PL Mensual 2026'!$I:$S,11,0),0)</f>
        <v xml:space="preserve">                                             -  </v>
      </c>
      <c r="T107" s="19">
        <v>0</v>
      </c>
      <c r="U107" s="19">
        <v>0</v>
      </c>
      <c r="V107" s="19">
        <v>0</v>
      </c>
      <c r="W107" s="19">
        <f t="shared" si="2"/>
        <v>-3398.55</v>
      </c>
      <c r="X107" t="s">
        <v>488</v>
      </c>
      <c r="AA107" s="153">
        <f>VLOOKUP(I107,'[2]BBDD P&amp;L'!$J:$AK,28,0)</f>
        <v>-3398.55</v>
      </c>
      <c r="AB107" s="154">
        <f t="shared" si="3"/>
        <v>0</v>
      </c>
    </row>
    <row r="108" spans="2:28" x14ac:dyDescent="0.35">
      <c r="B108">
        <v>2026</v>
      </c>
      <c r="C108" t="s">
        <v>74</v>
      </c>
      <c r="D108" t="s">
        <v>75</v>
      </c>
      <c r="E108" t="s">
        <v>76</v>
      </c>
      <c r="F108" t="s">
        <v>77</v>
      </c>
      <c r="G108" t="s">
        <v>140</v>
      </c>
      <c r="H108" t="s">
        <v>159</v>
      </c>
      <c r="I108" t="s">
        <v>164</v>
      </c>
      <c r="J108" t="s">
        <v>238</v>
      </c>
      <c r="K108" s="19">
        <v>0</v>
      </c>
      <c r="L108" s="19">
        <v>0</v>
      </c>
      <c r="M108" s="19">
        <v>0</v>
      </c>
      <c r="N108" s="19">
        <v>0</v>
      </c>
      <c r="O108" s="153">
        <v>0</v>
      </c>
      <c r="P108" s="19">
        <v>0</v>
      </c>
      <c r="Q108" s="19">
        <v>0</v>
      </c>
      <c r="R108" s="19">
        <v>0</v>
      </c>
      <c r="S108" s="19">
        <f>IFERROR(VLOOKUP(I108,'[1]PL Mensual 2026'!$I:$S,11,0),0)</f>
        <v>0</v>
      </c>
      <c r="T108" s="19">
        <v>0</v>
      </c>
      <c r="U108" s="19">
        <v>0</v>
      </c>
      <c r="V108" s="19">
        <v>0</v>
      </c>
      <c r="W108" s="19">
        <f t="shared" si="2"/>
        <v>0</v>
      </c>
      <c r="X108" t="s">
        <v>439</v>
      </c>
      <c r="AA108" s="153">
        <f>VLOOKUP(I108,'[2]BBDD P&amp;L'!$J:$AK,28,0)</f>
        <v>0</v>
      </c>
      <c r="AB108" s="154">
        <f t="shared" si="3"/>
        <v>0</v>
      </c>
    </row>
    <row r="109" spans="2:28" x14ac:dyDescent="0.35">
      <c r="B109">
        <v>2026</v>
      </c>
      <c r="C109" t="s">
        <v>74</v>
      </c>
      <c r="D109" t="s">
        <v>75</v>
      </c>
      <c r="E109" t="s">
        <v>76</v>
      </c>
      <c r="F109" t="s">
        <v>77</v>
      </c>
      <c r="G109" t="s">
        <v>140</v>
      </c>
      <c r="H109" t="s">
        <v>159</v>
      </c>
      <c r="I109" t="s">
        <v>165</v>
      </c>
      <c r="J109" t="s">
        <v>238</v>
      </c>
      <c r="K109" s="19">
        <v>-377.56</v>
      </c>
      <c r="L109" s="19">
        <v>0</v>
      </c>
      <c r="M109" s="19">
        <v>0</v>
      </c>
      <c r="N109" s="19">
        <v>0</v>
      </c>
      <c r="O109" s="153">
        <v>-377.56</v>
      </c>
      <c r="P109" s="19">
        <v>0</v>
      </c>
      <c r="Q109" s="19">
        <v>0</v>
      </c>
      <c r="R109" s="19">
        <v>0</v>
      </c>
      <c r="S109" s="19" t="str">
        <f>IFERROR(VLOOKUP(I109,'[1]PL Mensual 2026'!$I:$S,11,0),0)</f>
        <v xml:space="preserve">                                             -  </v>
      </c>
      <c r="T109" s="19">
        <v>0</v>
      </c>
      <c r="U109" s="19">
        <v>0</v>
      </c>
      <c r="V109" s="19">
        <v>0</v>
      </c>
      <c r="W109" s="19">
        <f t="shared" si="2"/>
        <v>-755.12</v>
      </c>
      <c r="X109" t="s">
        <v>474</v>
      </c>
      <c r="AA109" s="153">
        <f>VLOOKUP(I109,'[2]BBDD P&amp;L'!$J:$AK,28,0)</f>
        <v>-755.12</v>
      </c>
      <c r="AB109" s="154">
        <f t="shared" si="3"/>
        <v>0</v>
      </c>
    </row>
    <row r="110" spans="2:28" x14ac:dyDescent="0.35">
      <c r="B110">
        <v>2026</v>
      </c>
      <c r="C110" t="s">
        <v>74</v>
      </c>
      <c r="D110" t="s">
        <v>75</v>
      </c>
      <c r="E110" t="s">
        <v>76</v>
      </c>
      <c r="F110" t="s">
        <v>77</v>
      </c>
      <c r="G110" t="s">
        <v>140</v>
      </c>
      <c r="H110" t="s">
        <v>159</v>
      </c>
      <c r="I110" t="s">
        <v>166</v>
      </c>
      <c r="J110" t="s">
        <v>238</v>
      </c>
      <c r="K110" s="19">
        <v>0</v>
      </c>
      <c r="L110" s="19">
        <v>0</v>
      </c>
      <c r="M110" s="19">
        <v>0</v>
      </c>
      <c r="N110" s="19">
        <v>0</v>
      </c>
      <c r="O110" s="153">
        <v>0</v>
      </c>
      <c r="P110" s="19">
        <v>0</v>
      </c>
      <c r="Q110" s="19">
        <v>0</v>
      </c>
      <c r="R110" s="19">
        <v>0</v>
      </c>
      <c r="S110" s="19">
        <f>IFERROR(VLOOKUP(I110,'[1]PL Mensual 2026'!$I:$S,11,0),0)</f>
        <v>0</v>
      </c>
      <c r="T110" s="19">
        <v>0</v>
      </c>
      <c r="U110" s="19">
        <v>0</v>
      </c>
      <c r="V110" s="19">
        <v>0</v>
      </c>
      <c r="W110" s="19">
        <f t="shared" si="2"/>
        <v>0</v>
      </c>
      <c r="X110" t="s">
        <v>474</v>
      </c>
      <c r="AA110" s="153">
        <f>VLOOKUP(I110,'[2]BBDD P&amp;L'!$J:$AK,28,0)</f>
        <v>0</v>
      </c>
      <c r="AB110" s="154">
        <f t="shared" si="3"/>
        <v>0</v>
      </c>
    </row>
    <row r="111" spans="2:28" x14ac:dyDescent="0.35">
      <c r="B111">
        <v>2026</v>
      </c>
      <c r="C111" t="s">
        <v>74</v>
      </c>
      <c r="D111" t="s">
        <v>75</v>
      </c>
      <c r="E111" t="s">
        <v>76</v>
      </c>
      <c r="F111" t="s">
        <v>77</v>
      </c>
      <c r="G111" t="s">
        <v>140</v>
      </c>
      <c r="H111" t="s">
        <v>159</v>
      </c>
      <c r="I111" t="s">
        <v>167</v>
      </c>
      <c r="J111" t="s">
        <v>238</v>
      </c>
      <c r="K111" s="19">
        <v>0</v>
      </c>
      <c r="L111" s="19">
        <v>-1218.75</v>
      </c>
      <c r="M111" s="19">
        <v>0</v>
      </c>
      <c r="N111" s="19">
        <v>0</v>
      </c>
      <c r="O111" s="153">
        <v>0</v>
      </c>
      <c r="P111" s="19">
        <v>-30.35</v>
      </c>
      <c r="Q111" s="19">
        <v>0</v>
      </c>
      <c r="R111" s="19">
        <v>-663</v>
      </c>
      <c r="S111" s="19" t="str">
        <f>IFERROR(VLOOKUP(I111,'[1]PL Mensual 2026'!$I:$S,11,0),0)</f>
        <v xml:space="preserve">                                             -  </v>
      </c>
      <c r="T111" s="19">
        <v>0</v>
      </c>
      <c r="U111" s="19">
        <v>0</v>
      </c>
      <c r="V111" s="19">
        <v>0</v>
      </c>
      <c r="W111" s="19">
        <f t="shared" si="2"/>
        <v>-1912.1</v>
      </c>
      <c r="X111" t="s">
        <v>474</v>
      </c>
      <c r="AA111" s="153">
        <f>VLOOKUP(I111,'[2]BBDD P&amp;L'!$J:$AK,28,0)</f>
        <v>-1912.1</v>
      </c>
      <c r="AB111" s="154">
        <f t="shared" si="3"/>
        <v>0</v>
      </c>
    </row>
    <row r="112" spans="2:28" x14ac:dyDescent="0.35">
      <c r="B112">
        <v>2026</v>
      </c>
      <c r="C112" t="s">
        <v>74</v>
      </c>
      <c r="D112" t="s">
        <v>75</v>
      </c>
      <c r="E112" t="s">
        <v>76</v>
      </c>
      <c r="F112" t="s">
        <v>77</v>
      </c>
      <c r="G112" t="s">
        <v>140</v>
      </c>
      <c r="H112" t="s">
        <v>159</v>
      </c>
      <c r="I112" t="s">
        <v>168</v>
      </c>
      <c r="J112" t="s">
        <v>238</v>
      </c>
      <c r="K112" s="19">
        <v>0</v>
      </c>
      <c r="L112" s="19">
        <v>0</v>
      </c>
      <c r="M112" s="19">
        <v>-212.5</v>
      </c>
      <c r="N112" s="19">
        <v>-513</v>
      </c>
      <c r="O112" s="153">
        <v>-53.12</v>
      </c>
      <c r="P112" s="19">
        <v>-30.35</v>
      </c>
      <c r="Q112" s="19">
        <v>0</v>
      </c>
      <c r="R112" s="19">
        <v>0</v>
      </c>
      <c r="S112" s="19" t="str">
        <f>IFERROR(VLOOKUP(I112,'[1]PL Mensual 2026'!$I:$S,11,0),0)</f>
        <v xml:space="preserve">                                             -  </v>
      </c>
      <c r="T112" s="19">
        <v>0</v>
      </c>
      <c r="U112" s="19">
        <v>0</v>
      </c>
      <c r="V112" s="19">
        <v>0</v>
      </c>
      <c r="W112" s="19">
        <f t="shared" si="2"/>
        <v>-808.97</v>
      </c>
      <c r="X112" t="s">
        <v>474</v>
      </c>
      <c r="AA112" s="153">
        <f>VLOOKUP(I112,'[2]BBDD P&amp;L'!$J:$AK,28,0)</f>
        <v>-808.97</v>
      </c>
      <c r="AB112" s="154">
        <f t="shared" si="3"/>
        <v>0</v>
      </c>
    </row>
    <row r="113" spans="2:28" x14ac:dyDescent="0.35">
      <c r="B113">
        <v>2026</v>
      </c>
      <c r="C113" t="s">
        <v>74</v>
      </c>
      <c r="D113" t="s">
        <v>75</v>
      </c>
      <c r="E113" t="s">
        <v>76</v>
      </c>
      <c r="F113" t="s">
        <v>77</v>
      </c>
      <c r="G113" t="s">
        <v>140</v>
      </c>
      <c r="H113" t="s">
        <v>159</v>
      </c>
      <c r="I113" t="s">
        <v>169</v>
      </c>
      <c r="J113" t="s">
        <v>238</v>
      </c>
      <c r="K113" s="19">
        <v>0</v>
      </c>
      <c r="L113" s="19">
        <v>0</v>
      </c>
      <c r="M113" s="19">
        <v>0</v>
      </c>
      <c r="N113" s="19">
        <v>0</v>
      </c>
      <c r="O113" s="153">
        <v>0</v>
      </c>
      <c r="P113" s="19">
        <v>0</v>
      </c>
      <c r="Q113" s="19">
        <v>0</v>
      </c>
      <c r="R113" s="19">
        <v>0</v>
      </c>
      <c r="S113" s="19">
        <f>IFERROR(VLOOKUP(I113,'[1]PL Mensual 2026'!$I:$S,11,0),0)</f>
        <v>0</v>
      </c>
      <c r="T113" s="19">
        <v>0</v>
      </c>
      <c r="U113" s="19">
        <v>0</v>
      </c>
      <c r="V113" s="19">
        <v>0</v>
      </c>
      <c r="W113" s="19">
        <f t="shared" si="2"/>
        <v>0</v>
      </c>
      <c r="X113" t="s">
        <v>474</v>
      </c>
      <c r="AA113" s="153">
        <f>VLOOKUP(I113,'[2]BBDD P&amp;L'!$J:$AK,28,0)</f>
        <v>0</v>
      </c>
      <c r="AB113" s="154">
        <f t="shared" si="3"/>
        <v>0</v>
      </c>
    </row>
    <row r="114" spans="2:28" x14ac:dyDescent="0.35">
      <c r="B114">
        <v>2026</v>
      </c>
      <c r="C114" t="s">
        <v>74</v>
      </c>
      <c r="D114" t="s">
        <v>75</v>
      </c>
      <c r="E114" t="s">
        <v>76</v>
      </c>
      <c r="F114" t="s">
        <v>77</v>
      </c>
      <c r="G114" t="s">
        <v>140</v>
      </c>
      <c r="H114" t="s">
        <v>159</v>
      </c>
      <c r="I114" t="s">
        <v>402</v>
      </c>
      <c r="J114" t="s">
        <v>238</v>
      </c>
      <c r="K114" s="19">
        <v>0</v>
      </c>
      <c r="L114" s="19">
        <v>0</v>
      </c>
      <c r="M114" s="19">
        <v>0</v>
      </c>
      <c r="N114" s="19">
        <v>0</v>
      </c>
      <c r="O114" s="153">
        <v>-53.12</v>
      </c>
      <c r="P114" s="19">
        <v>-30.35</v>
      </c>
      <c r="Q114" s="19">
        <v>0</v>
      </c>
      <c r="R114" s="19">
        <v>0</v>
      </c>
      <c r="S114" s="19" t="str">
        <f>IFERROR(VLOOKUP(I114,'[1]PL Mensual 2026'!$I:$S,11,0),0)</f>
        <v xml:space="preserve">                                             -  </v>
      </c>
      <c r="T114" s="19">
        <v>0</v>
      </c>
      <c r="U114" s="19">
        <v>0</v>
      </c>
      <c r="V114" s="19">
        <v>0</v>
      </c>
      <c r="W114" s="19">
        <f t="shared" si="2"/>
        <v>-83.47</v>
      </c>
      <c r="X114" t="s">
        <v>474</v>
      </c>
      <c r="AA114" s="153">
        <f>VLOOKUP(I114,'[2]BBDD P&amp;L'!$J:$AK,28,0)</f>
        <v>-83.47</v>
      </c>
      <c r="AB114" s="154">
        <f t="shared" si="3"/>
        <v>0</v>
      </c>
    </row>
    <row r="115" spans="2:28" x14ac:dyDescent="0.35">
      <c r="B115">
        <v>2026</v>
      </c>
      <c r="C115" t="s">
        <v>74</v>
      </c>
      <c r="D115" t="s">
        <v>75</v>
      </c>
      <c r="E115" t="s">
        <v>76</v>
      </c>
      <c r="F115" t="s">
        <v>77</v>
      </c>
      <c r="G115" t="s">
        <v>140</v>
      </c>
      <c r="H115" t="s">
        <v>159</v>
      </c>
      <c r="I115" t="s">
        <v>414</v>
      </c>
      <c r="J115" t="s">
        <v>238</v>
      </c>
      <c r="K115" s="19">
        <v>0</v>
      </c>
      <c r="L115" s="19">
        <v>0</v>
      </c>
      <c r="M115" s="19">
        <v>0</v>
      </c>
      <c r="N115" s="19">
        <v>0</v>
      </c>
      <c r="O115" s="153">
        <v>0</v>
      </c>
      <c r="P115" s="19">
        <v>-267.75</v>
      </c>
      <c r="Q115" s="19">
        <v>0</v>
      </c>
      <c r="R115" s="19">
        <v>0</v>
      </c>
      <c r="S115" s="19" t="str">
        <f>IFERROR(VLOOKUP(I115,'[1]PL Mensual 2026'!$I:$S,11,0),0)</f>
        <v xml:space="preserve">                                             -  </v>
      </c>
      <c r="T115" s="19">
        <v>0</v>
      </c>
      <c r="U115" s="19">
        <v>0</v>
      </c>
      <c r="V115" s="19">
        <v>0</v>
      </c>
      <c r="W115" s="19">
        <f t="shared" si="2"/>
        <v>-267.75</v>
      </c>
      <c r="X115" t="s">
        <v>474</v>
      </c>
      <c r="AA115" s="153">
        <f>VLOOKUP(I115,'[2]BBDD P&amp;L'!$J:$AK,28,0)</f>
        <v>-267.75</v>
      </c>
      <c r="AB115" s="154">
        <f t="shared" si="3"/>
        <v>0</v>
      </c>
    </row>
    <row r="116" spans="2:28" x14ac:dyDescent="0.35">
      <c r="B116">
        <v>2026</v>
      </c>
      <c r="C116" t="s">
        <v>74</v>
      </c>
      <c r="D116" t="s">
        <v>75</v>
      </c>
      <c r="E116" t="s">
        <v>76</v>
      </c>
      <c r="F116" t="s">
        <v>77</v>
      </c>
      <c r="G116" t="s">
        <v>140</v>
      </c>
      <c r="H116" t="s">
        <v>159</v>
      </c>
      <c r="I116" t="s">
        <v>415</v>
      </c>
      <c r="J116" t="s">
        <v>238</v>
      </c>
      <c r="K116" s="19">
        <v>0</v>
      </c>
      <c r="L116" s="19">
        <v>0</v>
      </c>
      <c r="M116" s="19">
        <v>0</v>
      </c>
      <c r="N116" s="19">
        <v>0</v>
      </c>
      <c r="O116" s="153">
        <v>0</v>
      </c>
      <c r="P116" s="19">
        <v>-2450</v>
      </c>
      <c r="Q116" s="19">
        <v>0</v>
      </c>
      <c r="R116" s="19">
        <v>0</v>
      </c>
      <c r="S116" s="19" t="str">
        <f>IFERROR(VLOOKUP(I116,'[1]PL Mensual 2026'!$I:$S,11,0),0)</f>
        <v xml:space="preserve">                                             -  </v>
      </c>
      <c r="T116" s="19">
        <v>0</v>
      </c>
      <c r="U116" s="19">
        <v>0</v>
      </c>
      <c r="V116" s="19">
        <v>0</v>
      </c>
      <c r="W116" s="19">
        <f t="shared" si="2"/>
        <v>-2450</v>
      </c>
      <c r="X116" t="s">
        <v>474</v>
      </c>
      <c r="AA116" s="153">
        <f>VLOOKUP(I116,'[2]BBDD P&amp;L'!$J:$AK,28,0)</f>
        <v>-2450</v>
      </c>
      <c r="AB116" s="154">
        <f t="shared" si="3"/>
        <v>0</v>
      </c>
    </row>
    <row r="117" spans="2:28" x14ac:dyDescent="0.35">
      <c r="B117">
        <v>2026</v>
      </c>
      <c r="C117" t="s">
        <v>74</v>
      </c>
      <c r="D117" t="s">
        <v>75</v>
      </c>
      <c r="E117" t="s">
        <v>76</v>
      </c>
      <c r="F117" t="s">
        <v>77</v>
      </c>
      <c r="G117" t="s">
        <v>140</v>
      </c>
      <c r="H117" t="s">
        <v>159</v>
      </c>
      <c r="I117" t="s">
        <v>366</v>
      </c>
      <c r="J117" t="s">
        <v>238</v>
      </c>
      <c r="K117" s="19">
        <v>0</v>
      </c>
      <c r="L117" s="19">
        <v>0</v>
      </c>
      <c r="M117" s="19">
        <v>0</v>
      </c>
      <c r="N117" s="19">
        <v>-513</v>
      </c>
      <c r="O117" s="153">
        <v>-53.14</v>
      </c>
      <c r="P117" s="19">
        <v>0</v>
      </c>
      <c r="Q117" s="19">
        <v>0</v>
      </c>
      <c r="R117" s="19">
        <v>0</v>
      </c>
      <c r="S117" s="19" t="str">
        <f>IFERROR(VLOOKUP(I117,'[1]PL Mensual 2026'!$I:$S,11,0),0)</f>
        <v xml:space="preserve">                                             -  </v>
      </c>
      <c r="T117" s="19">
        <v>0</v>
      </c>
      <c r="U117" s="19">
        <v>0</v>
      </c>
      <c r="V117" s="19">
        <v>0</v>
      </c>
      <c r="W117" s="19">
        <f t="shared" si="2"/>
        <v>-566.14</v>
      </c>
      <c r="X117" t="s">
        <v>474</v>
      </c>
      <c r="AA117" s="153">
        <f>VLOOKUP(I117,'[2]BBDD P&amp;L'!$J:$AK,28,0)</f>
        <v>-566.14</v>
      </c>
      <c r="AB117" s="154">
        <f t="shared" si="3"/>
        <v>0</v>
      </c>
    </row>
    <row r="118" spans="2:28" x14ac:dyDescent="0.35">
      <c r="B118">
        <v>2026</v>
      </c>
      <c r="C118" t="s">
        <v>74</v>
      </c>
      <c r="D118" t="s">
        <v>75</v>
      </c>
      <c r="E118" t="s">
        <v>76</v>
      </c>
      <c r="F118" t="s">
        <v>77</v>
      </c>
      <c r="G118" t="s">
        <v>140</v>
      </c>
      <c r="H118" t="s">
        <v>159</v>
      </c>
      <c r="I118" t="s">
        <v>367</v>
      </c>
      <c r="J118" t="s">
        <v>238</v>
      </c>
      <c r="K118" s="19">
        <v>0</v>
      </c>
      <c r="L118" s="19">
        <v>0</v>
      </c>
      <c r="M118" s="19">
        <v>0</v>
      </c>
      <c r="N118" s="19">
        <v>-513</v>
      </c>
      <c r="O118" s="153">
        <v>0</v>
      </c>
      <c r="P118" s="19">
        <v>-30.35</v>
      </c>
      <c r="Q118" s="19">
        <v>0</v>
      </c>
      <c r="R118" s="19">
        <v>0</v>
      </c>
      <c r="S118" s="19" t="str">
        <f>IFERROR(VLOOKUP(I118,'[1]PL Mensual 2026'!$I:$S,11,0),0)</f>
        <v xml:space="preserve">                                             -  </v>
      </c>
      <c r="T118" s="19">
        <v>0</v>
      </c>
      <c r="U118" s="19">
        <v>0</v>
      </c>
      <c r="V118" s="19">
        <v>0</v>
      </c>
      <c r="W118" s="19">
        <f t="shared" si="2"/>
        <v>-543.35</v>
      </c>
      <c r="X118" t="s">
        <v>474</v>
      </c>
      <c r="AA118" s="153">
        <f>VLOOKUP(I118,'[2]BBDD P&amp;L'!$J:$AK,28,0)</f>
        <v>-543.35</v>
      </c>
      <c r="AB118" s="154">
        <f t="shared" si="3"/>
        <v>0</v>
      </c>
    </row>
    <row r="119" spans="2:28" x14ac:dyDescent="0.35">
      <c r="B119">
        <v>2026</v>
      </c>
      <c r="C119" t="s">
        <v>74</v>
      </c>
      <c r="D119" t="s">
        <v>75</v>
      </c>
      <c r="E119" t="s">
        <v>76</v>
      </c>
      <c r="F119" t="s">
        <v>77</v>
      </c>
      <c r="G119" t="s">
        <v>140</v>
      </c>
      <c r="H119" t="s">
        <v>159</v>
      </c>
      <c r="I119" t="s">
        <v>368</v>
      </c>
      <c r="J119" t="s">
        <v>238</v>
      </c>
      <c r="K119" s="19">
        <v>0</v>
      </c>
      <c r="L119" s="19">
        <v>0</v>
      </c>
      <c r="M119" s="19">
        <v>0</v>
      </c>
      <c r="N119" s="19">
        <v>-513</v>
      </c>
      <c r="O119" s="153">
        <v>0</v>
      </c>
      <c r="P119" s="19">
        <v>-30.4</v>
      </c>
      <c r="Q119" s="19">
        <v>0</v>
      </c>
      <c r="R119" s="19">
        <v>0</v>
      </c>
      <c r="S119" s="19" t="str">
        <f>IFERROR(VLOOKUP(I119,'[1]PL Mensual 2026'!$I:$S,11,0),0)</f>
        <v xml:space="preserve">                                             -  </v>
      </c>
      <c r="T119" s="19">
        <v>0</v>
      </c>
      <c r="U119" s="19">
        <v>0</v>
      </c>
      <c r="V119" s="19">
        <v>0</v>
      </c>
      <c r="W119" s="19">
        <f t="shared" si="2"/>
        <v>-543.4</v>
      </c>
      <c r="X119" t="s">
        <v>474</v>
      </c>
      <c r="AA119" s="153">
        <f>VLOOKUP(I119,'[2]BBDD P&amp;L'!$J:$AK,28,0)</f>
        <v>-543.4</v>
      </c>
      <c r="AB119" s="154">
        <f t="shared" si="3"/>
        <v>0</v>
      </c>
    </row>
    <row r="120" spans="2:28" x14ac:dyDescent="0.35">
      <c r="B120">
        <v>2026</v>
      </c>
      <c r="C120" t="s">
        <v>74</v>
      </c>
      <c r="D120" t="s">
        <v>75</v>
      </c>
      <c r="E120" t="s">
        <v>76</v>
      </c>
      <c r="F120" t="s">
        <v>77</v>
      </c>
      <c r="G120" t="s">
        <v>140</v>
      </c>
      <c r="H120" t="s">
        <v>159</v>
      </c>
      <c r="I120" t="s">
        <v>369</v>
      </c>
      <c r="J120" t="s">
        <v>238</v>
      </c>
      <c r="K120" s="19">
        <v>0</v>
      </c>
      <c r="L120" s="19">
        <v>0</v>
      </c>
      <c r="M120" s="19">
        <v>0</v>
      </c>
      <c r="N120" s="19">
        <v>-1190</v>
      </c>
      <c r="O120" s="153">
        <v>0</v>
      </c>
      <c r="P120" s="19">
        <v>0</v>
      </c>
      <c r="Q120" s="19">
        <v>0</v>
      </c>
      <c r="R120" s="19">
        <v>0</v>
      </c>
      <c r="S120" s="19" t="str">
        <f>IFERROR(VLOOKUP(I120,'[1]PL Mensual 2026'!$I:$S,11,0),0)</f>
        <v xml:space="preserve">                                             -  </v>
      </c>
      <c r="T120" s="19">
        <v>0</v>
      </c>
      <c r="U120" s="19">
        <v>0</v>
      </c>
      <c r="V120" s="19">
        <v>0</v>
      </c>
      <c r="W120" s="19">
        <f t="shared" si="2"/>
        <v>-1190</v>
      </c>
      <c r="X120" t="s">
        <v>474</v>
      </c>
      <c r="AA120" s="153">
        <f>VLOOKUP(I120,'[2]BBDD P&amp;L'!$J:$AK,28,0)</f>
        <v>-1190</v>
      </c>
      <c r="AB120" s="154">
        <f t="shared" si="3"/>
        <v>0</v>
      </c>
    </row>
    <row r="121" spans="2:28" x14ac:dyDescent="0.35">
      <c r="B121">
        <v>2026</v>
      </c>
      <c r="C121" t="s">
        <v>74</v>
      </c>
      <c r="D121" t="s">
        <v>75</v>
      </c>
      <c r="E121" t="s">
        <v>76</v>
      </c>
      <c r="F121" t="s">
        <v>77</v>
      </c>
      <c r="G121" t="s">
        <v>140</v>
      </c>
      <c r="H121" t="s">
        <v>159</v>
      </c>
      <c r="I121" t="s">
        <v>433</v>
      </c>
      <c r="J121" t="s">
        <v>238</v>
      </c>
      <c r="K121" s="19">
        <v>0</v>
      </c>
      <c r="L121" s="19">
        <v>0</v>
      </c>
      <c r="M121" s="19">
        <v>0</v>
      </c>
      <c r="N121" s="19">
        <v>0</v>
      </c>
      <c r="O121" s="153">
        <v>0</v>
      </c>
      <c r="P121" s="19">
        <v>0</v>
      </c>
      <c r="Q121" s="19">
        <v>0</v>
      </c>
      <c r="R121" s="19">
        <v>-4869.95</v>
      </c>
      <c r="S121" s="19" t="str">
        <f>IFERROR(VLOOKUP(I121,'[1]PL Mensual 2026'!$I:$S,11,0),0)</f>
        <v xml:space="preserve">                                             -  </v>
      </c>
      <c r="T121" s="19">
        <v>-4869.95</v>
      </c>
      <c r="U121" s="19">
        <v>-4869.95</v>
      </c>
      <c r="V121" s="19">
        <v>-4869.95</v>
      </c>
      <c r="W121" s="19">
        <f t="shared" si="2"/>
        <v>-19479.8</v>
      </c>
      <c r="X121" t="s">
        <v>475</v>
      </c>
      <c r="AA121" s="153">
        <f>VLOOKUP(I121,'[2]BBDD P&amp;L'!$J:$AK,28,0)</f>
        <v>-19479.8</v>
      </c>
      <c r="AB121" s="154">
        <f t="shared" si="3"/>
        <v>0</v>
      </c>
    </row>
    <row r="122" spans="2:28" x14ac:dyDescent="0.35">
      <c r="B122">
        <v>2026</v>
      </c>
      <c r="C122" t="s">
        <v>74</v>
      </c>
      <c r="D122" t="s">
        <v>75</v>
      </c>
      <c r="E122" t="s">
        <v>76</v>
      </c>
      <c r="F122" t="s">
        <v>77</v>
      </c>
      <c r="G122" t="s">
        <v>140</v>
      </c>
      <c r="H122" t="s">
        <v>159</v>
      </c>
      <c r="I122" t="s">
        <v>370</v>
      </c>
      <c r="J122" t="s">
        <v>238</v>
      </c>
      <c r="K122" s="19">
        <v>0</v>
      </c>
      <c r="L122" s="19">
        <v>0</v>
      </c>
      <c r="M122" s="19">
        <v>0</v>
      </c>
      <c r="N122" s="19">
        <v>-513</v>
      </c>
      <c r="O122" s="153">
        <v>0</v>
      </c>
      <c r="P122" s="19">
        <v>-30.35</v>
      </c>
      <c r="Q122" s="19">
        <v>0</v>
      </c>
      <c r="R122" s="19">
        <v>0</v>
      </c>
      <c r="S122" s="19" t="str">
        <f>IFERROR(VLOOKUP(I122,'[1]PL Mensual 2026'!$I:$S,11,0),0)</f>
        <v xml:space="preserve">                                             -  </v>
      </c>
      <c r="T122" s="19">
        <v>0</v>
      </c>
      <c r="U122" s="19">
        <v>0</v>
      </c>
      <c r="V122" s="19">
        <v>0</v>
      </c>
      <c r="W122" s="19">
        <f t="shared" si="2"/>
        <v>-543.35</v>
      </c>
      <c r="X122" t="s">
        <v>474</v>
      </c>
      <c r="AA122" s="153">
        <f>VLOOKUP(I122,'[2]BBDD P&amp;L'!$J:$AK,28,0)</f>
        <v>-543.35</v>
      </c>
      <c r="AB122" s="154">
        <f t="shared" si="3"/>
        <v>0</v>
      </c>
    </row>
    <row r="123" spans="2:28" x14ac:dyDescent="0.35">
      <c r="B123">
        <v>2026</v>
      </c>
      <c r="C123" t="s">
        <v>74</v>
      </c>
      <c r="D123" t="s">
        <v>75</v>
      </c>
      <c r="E123" t="s">
        <v>76</v>
      </c>
      <c r="F123" t="s">
        <v>77</v>
      </c>
      <c r="G123" t="s">
        <v>140</v>
      </c>
      <c r="H123" t="s">
        <v>159</v>
      </c>
      <c r="I123" t="s">
        <v>371</v>
      </c>
      <c r="J123" t="s">
        <v>238</v>
      </c>
      <c r="K123" s="19">
        <v>0</v>
      </c>
      <c r="L123" s="19">
        <v>0</v>
      </c>
      <c r="M123" s="19">
        <v>0</v>
      </c>
      <c r="N123" s="19">
        <v>-513</v>
      </c>
      <c r="O123" s="153">
        <v>0</v>
      </c>
      <c r="P123" s="19">
        <v>0</v>
      </c>
      <c r="Q123" s="19">
        <v>0</v>
      </c>
      <c r="R123" s="19">
        <v>0</v>
      </c>
      <c r="S123" s="19" t="str">
        <f>IFERROR(VLOOKUP(I123,'[1]PL Mensual 2026'!$I:$S,11,0),0)</f>
        <v xml:space="preserve">                                             -  </v>
      </c>
      <c r="T123" s="19">
        <v>0</v>
      </c>
      <c r="U123" s="19">
        <v>0</v>
      </c>
      <c r="V123" s="19">
        <v>0</v>
      </c>
      <c r="W123" s="19">
        <f t="shared" si="2"/>
        <v>-513</v>
      </c>
      <c r="X123" t="s">
        <v>474</v>
      </c>
      <c r="AA123" s="153">
        <f>VLOOKUP(I123,'[2]BBDD P&amp;L'!$J:$AK,28,0)</f>
        <v>-513</v>
      </c>
      <c r="AB123" s="154">
        <f t="shared" si="3"/>
        <v>0</v>
      </c>
    </row>
    <row r="124" spans="2:28" x14ac:dyDescent="0.35">
      <c r="B124">
        <v>2026</v>
      </c>
      <c r="C124" t="s">
        <v>74</v>
      </c>
      <c r="D124" t="s">
        <v>75</v>
      </c>
      <c r="E124" t="s">
        <v>76</v>
      </c>
      <c r="F124" t="s">
        <v>77</v>
      </c>
      <c r="G124" t="s">
        <v>140</v>
      </c>
      <c r="H124" t="s">
        <v>159</v>
      </c>
      <c r="I124" t="s">
        <v>170</v>
      </c>
      <c r="J124" t="s">
        <v>238</v>
      </c>
      <c r="K124" s="19">
        <v>0</v>
      </c>
      <c r="L124" s="19">
        <v>0</v>
      </c>
      <c r="M124" s="19">
        <v>0</v>
      </c>
      <c r="N124" s="19">
        <v>-9951.56</v>
      </c>
      <c r="O124" s="153">
        <v>0</v>
      </c>
      <c r="P124" s="19">
        <v>0</v>
      </c>
      <c r="Q124" s="19">
        <v>0</v>
      </c>
      <c r="R124" s="19">
        <v>-212.5</v>
      </c>
      <c r="S124" s="19">
        <f>IFERROR(VLOOKUP(I124,'[1]PL Mensual 2026'!$I:$S,11,0),0)</f>
        <v>-2300.9899999999998</v>
      </c>
      <c r="T124" s="19">
        <v>0</v>
      </c>
      <c r="U124" s="19">
        <v>0</v>
      </c>
      <c r="V124" s="19">
        <v>0</v>
      </c>
      <c r="W124" s="19">
        <f t="shared" si="2"/>
        <v>-12465.05</v>
      </c>
      <c r="X124" t="s">
        <v>474</v>
      </c>
      <c r="AA124" s="153">
        <f>VLOOKUP(I124,'[2]BBDD P&amp;L'!$J:$AK,28,0)</f>
        <v>-12465.05</v>
      </c>
      <c r="AB124" s="154">
        <f t="shared" si="3"/>
        <v>0</v>
      </c>
    </row>
    <row r="125" spans="2:28" x14ac:dyDescent="0.35">
      <c r="B125">
        <v>2026</v>
      </c>
      <c r="C125" t="s">
        <v>74</v>
      </c>
      <c r="D125" t="s">
        <v>75</v>
      </c>
      <c r="E125" t="s">
        <v>76</v>
      </c>
      <c r="F125" t="s">
        <v>77</v>
      </c>
      <c r="G125" t="s">
        <v>140</v>
      </c>
      <c r="H125" t="s">
        <v>159</v>
      </c>
      <c r="I125" t="s">
        <v>372</v>
      </c>
      <c r="J125" t="s">
        <v>238</v>
      </c>
      <c r="K125" s="19">
        <v>0</v>
      </c>
      <c r="L125" s="19">
        <v>0</v>
      </c>
      <c r="M125" s="19">
        <v>0</v>
      </c>
      <c r="N125" s="19">
        <v>-513</v>
      </c>
      <c r="O125" s="153">
        <v>0</v>
      </c>
      <c r="P125" s="19">
        <v>0</v>
      </c>
      <c r="Q125" s="19">
        <v>0</v>
      </c>
      <c r="R125" s="19">
        <v>0</v>
      </c>
      <c r="S125" s="19" t="str">
        <f>IFERROR(VLOOKUP(I125,'[1]PL Mensual 2026'!$I:$S,11,0),0)</f>
        <v xml:space="preserve">                                             -  </v>
      </c>
      <c r="T125" s="19">
        <v>0</v>
      </c>
      <c r="U125" s="19">
        <v>0</v>
      </c>
      <c r="V125" s="19">
        <v>0</v>
      </c>
      <c r="W125" s="19">
        <f t="shared" si="2"/>
        <v>-513</v>
      </c>
      <c r="X125" t="s">
        <v>474</v>
      </c>
      <c r="AA125" s="153">
        <f>VLOOKUP(I125,'[2]BBDD P&amp;L'!$J:$AK,28,0)</f>
        <v>-513</v>
      </c>
      <c r="AB125" s="154">
        <f t="shared" si="3"/>
        <v>0</v>
      </c>
    </row>
    <row r="126" spans="2:28" x14ac:dyDescent="0.35">
      <c r="B126">
        <v>2026</v>
      </c>
      <c r="C126" t="s">
        <v>74</v>
      </c>
      <c r="D126" t="s">
        <v>75</v>
      </c>
      <c r="E126" t="s">
        <v>76</v>
      </c>
      <c r="F126" t="s">
        <v>77</v>
      </c>
      <c r="G126" t="s">
        <v>140</v>
      </c>
      <c r="H126" t="s">
        <v>159</v>
      </c>
      <c r="I126" t="s">
        <v>373</v>
      </c>
      <c r="J126" t="s">
        <v>238</v>
      </c>
      <c r="K126" s="19">
        <v>0</v>
      </c>
      <c r="L126" s="19">
        <v>0</v>
      </c>
      <c r="M126" s="19">
        <v>0</v>
      </c>
      <c r="N126" s="19">
        <v>-513</v>
      </c>
      <c r="O126" s="153">
        <v>-53.12</v>
      </c>
      <c r="P126" s="19">
        <v>-30.35</v>
      </c>
      <c r="Q126" s="19">
        <v>0</v>
      </c>
      <c r="R126" s="19">
        <v>0</v>
      </c>
      <c r="S126" s="19" t="str">
        <f>IFERROR(VLOOKUP(I126,'[1]PL Mensual 2026'!$I:$S,11,0),0)</f>
        <v xml:space="preserve">                                             -  </v>
      </c>
      <c r="T126" s="19">
        <v>0</v>
      </c>
      <c r="U126" s="19">
        <v>0</v>
      </c>
      <c r="V126" s="19">
        <v>0</v>
      </c>
      <c r="W126" s="19">
        <f t="shared" si="2"/>
        <v>-596.47</v>
      </c>
      <c r="X126" t="s">
        <v>474</v>
      </c>
      <c r="AA126" s="153">
        <f>VLOOKUP(I126,'[2]BBDD P&amp;L'!$J:$AK,28,0)</f>
        <v>-596.47</v>
      </c>
      <c r="AB126" s="154">
        <f t="shared" si="3"/>
        <v>0</v>
      </c>
    </row>
    <row r="127" spans="2:28" x14ac:dyDescent="0.35">
      <c r="B127">
        <v>2026</v>
      </c>
      <c r="C127" t="s">
        <v>74</v>
      </c>
      <c r="D127" t="s">
        <v>75</v>
      </c>
      <c r="E127" t="s">
        <v>76</v>
      </c>
      <c r="F127" t="s">
        <v>77</v>
      </c>
      <c r="G127" t="s">
        <v>140</v>
      </c>
      <c r="H127" t="s">
        <v>159</v>
      </c>
      <c r="I127" t="s">
        <v>171</v>
      </c>
      <c r="J127" t="s">
        <v>238</v>
      </c>
      <c r="K127" s="19">
        <v>0</v>
      </c>
      <c r="L127" s="19">
        <v>0</v>
      </c>
      <c r="M127" s="19">
        <v>0</v>
      </c>
      <c r="N127" s="19">
        <v>0</v>
      </c>
      <c r="O127" s="153">
        <v>0</v>
      </c>
      <c r="P127" s="19">
        <v>0</v>
      </c>
      <c r="Q127" s="19">
        <v>0</v>
      </c>
      <c r="R127" s="19">
        <v>0</v>
      </c>
      <c r="S127" s="19">
        <f>IFERROR(VLOOKUP(I127,'[1]PL Mensual 2026'!$I:$S,11,0),0)</f>
        <v>0</v>
      </c>
      <c r="T127" s="19">
        <v>0</v>
      </c>
      <c r="U127" s="19">
        <v>0</v>
      </c>
      <c r="V127" s="19">
        <v>0</v>
      </c>
      <c r="W127" s="19">
        <f t="shared" si="2"/>
        <v>0</v>
      </c>
      <c r="X127" t="s">
        <v>474</v>
      </c>
      <c r="AA127" s="153">
        <f>VLOOKUP(I127,'[2]BBDD P&amp;L'!$J:$AK,28,0)</f>
        <v>0</v>
      </c>
      <c r="AB127" s="154">
        <f t="shared" si="3"/>
        <v>0</v>
      </c>
    </row>
    <row r="128" spans="2:28" x14ac:dyDescent="0.35">
      <c r="B128">
        <v>2026</v>
      </c>
      <c r="C128" t="s">
        <v>74</v>
      </c>
      <c r="D128" t="s">
        <v>75</v>
      </c>
      <c r="E128" t="s">
        <v>76</v>
      </c>
      <c r="F128" t="s">
        <v>77</v>
      </c>
      <c r="G128" t="s">
        <v>140</v>
      </c>
      <c r="H128" t="s">
        <v>172</v>
      </c>
      <c r="I128" t="s">
        <v>173</v>
      </c>
      <c r="J128" t="s">
        <v>238</v>
      </c>
      <c r="K128" s="19">
        <v>-6935.76</v>
      </c>
      <c r="L128" s="19">
        <v>-9119.9699999999993</v>
      </c>
      <c r="M128" s="19">
        <v>-14742.05</v>
      </c>
      <c r="N128" s="19">
        <v>-19866.740000000002</v>
      </c>
      <c r="O128" s="153">
        <v>-17966.84</v>
      </c>
      <c r="P128" s="19">
        <v>-14634.83</v>
      </c>
      <c r="Q128" s="19">
        <v>-11227.02</v>
      </c>
      <c r="R128" s="19">
        <v>-7363.19</v>
      </c>
      <c r="S128" s="19">
        <f>IFERROR(VLOOKUP(I128,'[1]PL Mensual 2026'!$I:$S,11,0),0)</f>
        <v>-8129.04</v>
      </c>
      <c r="T128" s="19">
        <v>-10499.03</v>
      </c>
      <c r="U128" s="19">
        <v>-10212.34</v>
      </c>
      <c r="V128" s="19">
        <v>-4053.93</v>
      </c>
      <c r="W128" s="19">
        <f t="shared" si="2"/>
        <v>-134750.74</v>
      </c>
      <c r="X128" t="s">
        <v>508</v>
      </c>
      <c r="AA128" s="153">
        <f>VLOOKUP(I128,'[2]BBDD P&amp;L'!$J:$AK,28,0)</f>
        <v>-134750.74</v>
      </c>
      <c r="AB128" s="154">
        <f t="shared" si="3"/>
        <v>0</v>
      </c>
    </row>
    <row r="129" spans="2:28" x14ac:dyDescent="0.35">
      <c r="B129">
        <v>2026</v>
      </c>
      <c r="C129" t="s">
        <v>74</v>
      </c>
      <c r="D129" t="s">
        <v>75</v>
      </c>
      <c r="E129" t="s">
        <v>76</v>
      </c>
      <c r="F129" t="s">
        <v>77</v>
      </c>
      <c r="G129" t="s">
        <v>140</v>
      </c>
      <c r="H129" t="s">
        <v>172</v>
      </c>
      <c r="I129" t="s">
        <v>174</v>
      </c>
      <c r="J129" t="s">
        <v>238</v>
      </c>
      <c r="K129" s="19">
        <v>-2898.1</v>
      </c>
      <c r="L129" s="19">
        <v>-864.32</v>
      </c>
      <c r="M129" s="19">
        <v>-4611.7700000000004</v>
      </c>
      <c r="N129" s="19">
        <v>-1313.78</v>
      </c>
      <c r="O129" s="153">
        <v>-951.38</v>
      </c>
      <c r="P129" s="19">
        <v>-23539.9</v>
      </c>
      <c r="Q129" s="19">
        <v>-30143.15</v>
      </c>
      <c r="R129" s="19">
        <v>-8087.44</v>
      </c>
      <c r="S129" s="19">
        <f>IFERROR(VLOOKUP(I129,'[1]PL Mensual 2026'!$I:$S,11,0),0)</f>
        <v>-8078.83</v>
      </c>
      <c r="T129" s="19">
        <v>-21379</v>
      </c>
      <c r="U129" s="19">
        <v>-32454</v>
      </c>
      <c r="V129" s="19">
        <v>-27150</v>
      </c>
      <c r="W129" s="19">
        <f t="shared" si="2"/>
        <v>-161471.66999999998</v>
      </c>
      <c r="X129" t="s">
        <v>509</v>
      </c>
      <c r="AA129" s="153">
        <f>VLOOKUP(I129,'[2]BBDD P&amp;L'!$J:$AK,28,0)</f>
        <v>-161471.66999999998</v>
      </c>
      <c r="AB129" s="154">
        <f t="shared" si="3"/>
        <v>0</v>
      </c>
    </row>
    <row r="130" spans="2:28" x14ac:dyDescent="0.35">
      <c r="B130">
        <v>2026</v>
      </c>
      <c r="C130" t="s">
        <v>74</v>
      </c>
      <c r="D130" t="s">
        <v>75</v>
      </c>
      <c r="E130" t="s">
        <v>76</v>
      </c>
      <c r="F130" t="s">
        <v>77</v>
      </c>
      <c r="G130" t="s">
        <v>140</v>
      </c>
      <c r="H130" t="s">
        <v>172</v>
      </c>
      <c r="I130" t="s">
        <v>175</v>
      </c>
      <c r="J130" t="s">
        <v>238</v>
      </c>
      <c r="K130" s="19">
        <v>-5283.6</v>
      </c>
      <c r="L130" s="19">
        <v>-4717.34</v>
      </c>
      <c r="M130" s="19">
        <v>-6216.75</v>
      </c>
      <c r="N130" s="19">
        <v>-3107.88</v>
      </c>
      <c r="O130" s="153">
        <v>-6790.44</v>
      </c>
      <c r="P130" s="19">
        <v>-6162.89</v>
      </c>
      <c r="Q130" s="19">
        <v>-1597.42</v>
      </c>
      <c r="R130" s="19">
        <v>-11901.38</v>
      </c>
      <c r="S130" s="19">
        <f>IFERROR(VLOOKUP(I130,'[1]PL Mensual 2026'!$I:$S,11,0),0)</f>
        <v>-10256.540000000001</v>
      </c>
      <c r="T130" s="19">
        <v>-7990.59</v>
      </c>
      <c r="U130" s="19">
        <v>-11300.38</v>
      </c>
      <c r="V130" s="19">
        <v>-534.14</v>
      </c>
      <c r="W130" s="19">
        <f t="shared" si="2"/>
        <v>-75859.350000000006</v>
      </c>
      <c r="X130" t="s">
        <v>510</v>
      </c>
      <c r="AA130" s="153">
        <f>VLOOKUP(I130,'[2]BBDD P&amp;L'!$J:$AK,28,0)</f>
        <v>-75859.350000000006</v>
      </c>
      <c r="AB130" s="154">
        <f t="shared" si="3"/>
        <v>0</v>
      </c>
    </row>
    <row r="131" spans="2:28" x14ac:dyDescent="0.35">
      <c r="B131">
        <v>2026</v>
      </c>
      <c r="C131" t="s">
        <v>74</v>
      </c>
      <c r="D131" t="s">
        <v>75</v>
      </c>
      <c r="E131" t="s">
        <v>76</v>
      </c>
      <c r="F131" t="s">
        <v>77</v>
      </c>
      <c r="G131" t="s">
        <v>140</v>
      </c>
      <c r="H131" t="s">
        <v>172</v>
      </c>
      <c r="I131" t="s">
        <v>176</v>
      </c>
      <c r="J131" t="s">
        <v>238</v>
      </c>
      <c r="K131" s="19">
        <v>-18803.73</v>
      </c>
      <c r="L131" s="19">
        <v>-3406.44</v>
      </c>
      <c r="M131" s="19">
        <v>-15879.46</v>
      </c>
      <c r="N131" s="19">
        <v>0</v>
      </c>
      <c r="O131" s="153">
        <v>0</v>
      </c>
      <c r="P131" s="19">
        <v>0</v>
      </c>
      <c r="Q131" s="19">
        <v>0</v>
      </c>
      <c r="R131" s="19">
        <v>0</v>
      </c>
      <c r="S131" s="19" t="str">
        <f>IFERROR(VLOOKUP(I131,'[1]PL Mensual 2026'!$I:$S,11,0),0)</f>
        <v xml:space="preserve">                                             -  </v>
      </c>
      <c r="T131" s="19">
        <v>-4960.8900000000003</v>
      </c>
      <c r="U131" s="19">
        <v>-6449.16</v>
      </c>
      <c r="V131" s="19">
        <v>-6945.24</v>
      </c>
      <c r="W131" s="19">
        <f t="shared" si="2"/>
        <v>-56444.919999999991</v>
      </c>
      <c r="X131" t="s">
        <v>450</v>
      </c>
      <c r="AA131" s="153">
        <f>VLOOKUP(I131,'[2]BBDD P&amp;L'!$J:$AK,28,0)</f>
        <v>-56444.919999999991</v>
      </c>
      <c r="AB131" s="154">
        <f t="shared" si="3"/>
        <v>0</v>
      </c>
    </row>
    <row r="132" spans="2:28" x14ac:dyDescent="0.35">
      <c r="B132">
        <v>2026</v>
      </c>
      <c r="C132" t="s">
        <v>74</v>
      </c>
      <c r="D132" t="s">
        <v>75</v>
      </c>
      <c r="E132" t="s">
        <v>76</v>
      </c>
      <c r="F132" t="s">
        <v>77</v>
      </c>
      <c r="G132" t="s">
        <v>140</v>
      </c>
      <c r="H132" t="s">
        <v>172</v>
      </c>
      <c r="I132" t="s">
        <v>177</v>
      </c>
      <c r="J132" t="s">
        <v>238</v>
      </c>
      <c r="K132" s="19">
        <v>-202.03</v>
      </c>
      <c r="L132" s="19">
        <v>-389.24</v>
      </c>
      <c r="M132" s="19">
        <v>-280.8</v>
      </c>
      <c r="N132" s="19">
        <v>0</v>
      </c>
      <c r="O132" s="153">
        <v>0</v>
      </c>
      <c r="P132" s="19">
        <v>-1935.01</v>
      </c>
      <c r="Q132" s="19">
        <v>-592.1</v>
      </c>
      <c r="R132" s="19">
        <v>-149.55000000000001</v>
      </c>
      <c r="S132" s="19">
        <f>IFERROR(VLOOKUP(I132,'[1]PL Mensual 2026'!$I:$S,11,0),0)</f>
        <v>-638.41999999999996</v>
      </c>
      <c r="T132" s="19">
        <v>-591.46</v>
      </c>
      <c r="U132" s="19">
        <v>-591.46</v>
      </c>
      <c r="V132" s="19">
        <v>-591.46</v>
      </c>
      <c r="W132" s="19">
        <f t="shared" si="2"/>
        <v>-5961.53</v>
      </c>
      <c r="X132" t="s">
        <v>449</v>
      </c>
      <c r="AA132" s="153">
        <f>VLOOKUP(I132,'[2]BBDD P&amp;L'!$J:$AK,28,0)</f>
        <v>-5961.53</v>
      </c>
      <c r="AB132" s="154">
        <f t="shared" si="3"/>
        <v>0</v>
      </c>
    </row>
    <row r="133" spans="2:28" x14ac:dyDescent="0.35">
      <c r="B133">
        <v>2026</v>
      </c>
      <c r="C133" t="s">
        <v>74</v>
      </c>
      <c r="D133" t="s">
        <v>75</v>
      </c>
      <c r="E133" t="s">
        <v>76</v>
      </c>
      <c r="F133" t="s">
        <v>77</v>
      </c>
      <c r="G133" t="s">
        <v>140</v>
      </c>
      <c r="H133" t="s">
        <v>172</v>
      </c>
      <c r="I133" t="s">
        <v>178</v>
      </c>
      <c r="J133" t="s">
        <v>238</v>
      </c>
      <c r="K133" s="19">
        <v>0</v>
      </c>
      <c r="L133" s="19">
        <v>-1750</v>
      </c>
      <c r="M133" s="19">
        <v>-487.13</v>
      </c>
      <c r="N133" s="19">
        <v>-1930</v>
      </c>
      <c r="O133" s="153">
        <v>0</v>
      </c>
      <c r="P133" s="19">
        <v>0</v>
      </c>
      <c r="Q133" s="19">
        <v>0</v>
      </c>
      <c r="R133" s="19">
        <v>0</v>
      </c>
      <c r="S133" s="19">
        <f>IFERROR(VLOOKUP(I133,'[1]PL Mensual 2026'!$I:$S,11,0),0)</f>
        <v>-225</v>
      </c>
      <c r="T133" s="19">
        <v>-1389.04</v>
      </c>
      <c r="U133" s="19">
        <v>-1389.04</v>
      </c>
      <c r="V133" s="19">
        <v>-1389.04</v>
      </c>
      <c r="W133" s="19">
        <f t="shared" ref="W133:W196" si="4">SUM(K133:V133)</f>
        <v>-8559.25</v>
      </c>
      <c r="X133" t="s">
        <v>449</v>
      </c>
      <c r="AA133" s="153">
        <f>VLOOKUP(I133,'[2]BBDD P&amp;L'!$J:$AK,28,0)</f>
        <v>-8559.25</v>
      </c>
      <c r="AB133" s="154">
        <f t="shared" ref="AB133:AB196" si="5">W133-AA133</f>
        <v>0</v>
      </c>
    </row>
    <row r="134" spans="2:28" x14ac:dyDescent="0.35">
      <c r="B134">
        <v>2026</v>
      </c>
      <c r="C134" t="s">
        <v>74</v>
      </c>
      <c r="D134" t="s">
        <v>75</v>
      </c>
      <c r="E134" t="s">
        <v>76</v>
      </c>
      <c r="F134" t="s">
        <v>77</v>
      </c>
      <c r="G134" t="s">
        <v>140</v>
      </c>
      <c r="H134" t="s">
        <v>172</v>
      </c>
      <c r="I134" t="s">
        <v>179</v>
      </c>
      <c r="J134" t="s">
        <v>238</v>
      </c>
      <c r="K134" s="19">
        <v>0</v>
      </c>
      <c r="L134" s="19">
        <v>0</v>
      </c>
      <c r="M134" s="19">
        <v>0</v>
      </c>
      <c r="N134" s="19">
        <v>0</v>
      </c>
      <c r="O134" s="153">
        <v>0</v>
      </c>
      <c r="P134" s="19">
        <v>0</v>
      </c>
      <c r="Q134" s="19">
        <v>0</v>
      </c>
      <c r="R134" s="19">
        <v>0</v>
      </c>
      <c r="S134" s="19">
        <f>IFERROR(VLOOKUP(I134,'[1]PL Mensual 2026'!$I:$S,11,0),0)</f>
        <v>0</v>
      </c>
      <c r="T134" s="19">
        <v>0</v>
      </c>
      <c r="U134" s="19">
        <v>0</v>
      </c>
      <c r="V134" s="19">
        <v>0</v>
      </c>
      <c r="W134" s="19">
        <f t="shared" si="4"/>
        <v>0</v>
      </c>
      <c r="X134" t="s">
        <v>439</v>
      </c>
      <c r="AA134" s="153">
        <f>VLOOKUP(I134,'[2]BBDD P&amp;L'!$J:$AK,28,0)</f>
        <v>0</v>
      </c>
      <c r="AB134" s="154">
        <f t="shared" si="5"/>
        <v>0</v>
      </c>
    </row>
    <row r="135" spans="2:28" x14ac:dyDescent="0.35">
      <c r="B135">
        <v>2026</v>
      </c>
      <c r="C135" t="s">
        <v>74</v>
      </c>
      <c r="D135" t="s">
        <v>75</v>
      </c>
      <c r="E135" t="s">
        <v>76</v>
      </c>
      <c r="F135" t="s">
        <v>77</v>
      </c>
      <c r="G135" t="s">
        <v>140</v>
      </c>
      <c r="H135" t="s">
        <v>180</v>
      </c>
      <c r="I135" t="s">
        <v>181</v>
      </c>
      <c r="J135" t="s">
        <v>238</v>
      </c>
      <c r="K135" s="19">
        <v>0</v>
      </c>
      <c r="L135" s="19">
        <v>0</v>
      </c>
      <c r="M135" s="19">
        <v>-188.17</v>
      </c>
      <c r="N135" s="19">
        <v>0</v>
      </c>
      <c r="O135" s="153">
        <v>0</v>
      </c>
      <c r="P135" s="19">
        <v>0</v>
      </c>
      <c r="Q135" s="19">
        <v>0</v>
      </c>
      <c r="R135" s="19">
        <v>0</v>
      </c>
      <c r="S135" s="19" t="str">
        <f>IFERROR(VLOOKUP(I135,'[1]PL Mensual 2026'!$I:$S,11,0),0)</f>
        <v xml:space="preserve">                                             -  </v>
      </c>
      <c r="T135" s="19">
        <v>-188.17</v>
      </c>
      <c r="U135" s="19">
        <v>-188.17</v>
      </c>
      <c r="V135" s="19">
        <v>-188.17</v>
      </c>
      <c r="W135" s="19">
        <f t="shared" si="4"/>
        <v>-752.68</v>
      </c>
      <c r="X135" t="s">
        <v>451</v>
      </c>
      <c r="AA135" s="153">
        <f>VLOOKUP(I135,'[2]BBDD P&amp;L'!$J:$AK,28,0)</f>
        <v>-752.68</v>
      </c>
      <c r="AB135" s="154">
        <f t="shared" si="5"/>
        <v>0</v>
      </c>
    </row>
    <row r="136" spans="2:28" x14ac:dyDescent="0.35">
      <c r="B136">
        <v>2026</v>
      </c>
      <c r="C136" t="s">
        <v>74</v>
      </c>
      <c r="D136" t="s">
        <v>75</v>
      </c>
      <c r="E136" t="s">
        <v>76</v>
      </c>
      <c r="F136" t="s">
        <v>77</v>
      </c>
      <c r="G136" t="s">
        <v>140</v>
      </c>
      <c r="H136" t="s">
        <v>180</v>
      </c>
      <c r="I136" t="s">
        <v>429</v>
      </c>
      <c r="J136" t="s">
        <v>238</v>
      </c>
      <c r="K136" s="19">
        <v>0</v>
      </c>
      <c r="L136" s="19">
        <v>0</v>
      </c>
      <c r="M136" s="19">
        <v>0</v>
      </c>
      <c r="N136" s="19">
        <v>0</v>
      </c>
      <c r="O136" s="153">
        <v>0</v>
      </c>
      <c r="P136" s="19">
        <v>0</v>
      </c>
      <c r="Q136" s="19">
        <v>-194.64</v>
      </c>
      <c r="R136" s="19">
        <v>0</v>
      </c>
      <c r="S136" s="19" t="str">
        <f>IFERROR(VLOOKUP(I136,'[1]PL Mensual 2026'!$I:$S,11,0),0)</f>
        <v xml:space="preserve">                                             -  </v>
      </c>
      <c r="T136" s="19">
        <v>-194.64</v>
      </c>
      <c r="U136" s="19">
        <v>-194.64</v>
      </c>
      <c r="V136" s="19">
        <v>-194.64</v>
      </c>
      <c r="W136" s="19">
        <f t="shared" si="4"/>
        <v>-778.56</v>
      </c>
      <c r="X136" t="s">
        <v>451</v>
      </c>
      <c r="AA136" s="153">
        <f>VLOOKUP(I136,'[2]BBDD P&amp;L'!$J:$AK,28,0)</f>
        <v>-778.56</v>
      </c>
      <c r="AB136" s="154">
        <f t="shared" si="5"/>
        <v>0</v>
      </c>
    </row>
    <row r="137" spans="2:28" x14ac:dyDescent="0.35">
      <c r="B137">
        <v>2026</v>
      </c>
      <c r="C137" t="s">
        <v>74</v>
      </c>
      <c r="D137" t="s">
        <v>75</v>
      </c>
      <c r="E137" t="s">
        <v>76</v>
      </c>
      <c r="F137" t="s">
        <v>77</v>
      </c>
      <c r="G137" t="s">
        <v>140</v>
      </c>
      <c r="H137" t="s">
        <v>180</v>
      </c>
      <c r="I137" t="s">
        <v>182</v>
      </c>
      <c r="J137" t="s">
        <v>238</v>
      </c>
      <c r="K137" s="19">
        <v>0</v>
      </c>
      <c r="L137" s="19">
        <v>0</v>
      </c>
      <c r="M137" s="19">
        <v>0</v>
      </c>
      <c r="N137" s="19">
        <v>0</v>
      </c>
      <c r="O137" s="153">
        <v>-5788.51</v>
      </c>
      <c r="P137" s="19">
        <v>-774.67</v>
      </c>
      <c r="Q137" s="19">
        <v>0</v>
      </c>
      <c r="R137" s="19">
        <v>0</v>
      </c>
      <c r="S137" s="19" t="str">
        <f>IFERROR(VLOOKUP(I137,'[1]PL Mensual 2026'!$I:$S,11,0),0)</f>
        <v xml:space="preserve">                                             -  </v>
      </c>
      <c r="T137" s="19">
        <v>-3281.59</v>
      </c>
      <c r="U137" s="19">
        <v>-3281.59</v>
      </c>
      <c r="V137" s="19">
        <v>-3281.59</v>
      </c>
      <c r="W137" s="19">
        <f t="shared" si="4"/>
        <v>-16407.95</v>
      </c>
      <c r="X137" t="s">
        <v>451</v>
      </c>
      <c r="AA137" s="153">
        <f>VLOOKUP(I137,'[2]BBDD P&amp;L'!$J:$AK,28,0)</f>
        <v>-16407.95</v>
      </c>
      <c r="AB137" s="154">
        <f t="shared" si="5"/>
        <v>0</v>
      </c>
    </row>
    <row r="138" spans="2:28" x14ac:dyDescent="0.35">
      <c r="B138">
        <v>2026</v>
      </c>
      <c r="C138" t="s">
        <v>74</v>
      </c>
      <c r="D138" t="s">
        <v>75</v>
      </c>
      <c r="E138" t="s">
        <v>76</v>
      </c>
      <c r="F138" t="s">
        <v>77</v>
      </c>
      <c r="G138" t="s">
        <v>140</v>
      </c>
      <c r="H138" t="s">
        <v>180</v>
      </c>
      <c r="I138" t="s">
        <v>183</v>
      </c>
      <c r="J138" t="s">
        <v>238</v>
      </c>
      <c r="K138" s="19">
        <v>-8631.83</v>
      </c>
      <c r="L138" s="19">
        <v>0</v>
      </c>
      <c r="M138" s="19">
        <v>-2798.15</v>
      </c>
      <c r="N138" s="19">
        <v>-608.9</v>
      </c>
      <c r="O138" s="153">
        <v>0</v>
      </c>
      <c r="P138" s="19">
        <v>-2798.15</v>
      </c>
      <c r="Q138" s="19">
        <v>-41.37</v>
      </c>
      <c r="R138" s="19">
        <v>0</v>
      </c>
      <c r="S138" s="19">
        <f>IFERROR(VLOOKUP(I138,'[1]PL Mensual 2026'!$I:$S,11,0),0)</f>
        <v>-2798.15</v>
      </c>
      <c r="T138" s="19">
        <v>-2975.68</v>
      </c>
      <c r="U138" s="19">
        <v>-2975.68</v>
      </c>
      <c r="V138" s="19">
        <v>-2975.68</v>
      </c>
      <c r="W138" s="19">
        <f t="shared" si="4"/>
        <v>-26603.59</v>
      </c>
      <c r="X138" t="s">
        <v>451</v>
      </c>
      <c r="AA138" s="153">
        <f>VLOOKUP(I138,'[2]BBDD P&amp;L'!$J:$AK,28,0)</f>
        <v>-26603.59</v>
      </c>
      <c r="AB138" s="154">
        <f t="shared" si="5"/>
        <v>0</v>
      </c>
    </row>
    <row r="139" spans="2:28" x14ac:dyDescent="0.35">
      <c r="B139">
        <v>2026</v>
      </c>
      <c r="C139" t="s">
        <v>74</v>
      </c>
      <c r="D139" t="s">
        <v>75</v>
      </c>
      <c r="E139" t="s">
        <v>76</v>
      </c>
      <c r="F139" t="s">
        <v>77</v>
      </c>
      <c r="G139" t="s">
        <v>140</v>
      </c>
      <c r="H139" t="s">
        <v>184</v>
      </c>
      <c r="I139" t="s">
        <v>374</v>
      </c>
      <c r="J139" t="s">
        <v>238</v>
      </c>
      <c r="K139" s="19">
        <v>0</v>
      </c>
      <c r="L139" s="19">
        <v>0</v>
      </c>
      <c r="M139" s="19">
        <v>0</v>
      </c>
      <c r="N139" s="19">
        <v>0</v>
      </c>
      <c r="O139" s="153">
        <v>0</v>
      </c>
      <c r="P139" s="19">
        <v>0</v>
      </c>
      <c r="Q139" s="19">
        <v>0</v>
      </c>
      <c r="R139" s="19">
        <v>0</v>
      </c>
      <c r="S139" s="19">
        <f>IFERROR(VLOOKUP(I139,'[1]PL Mensual 2026'!$I:$S,11,0),0)</f>
        <v>0</v>
      </c>
      <c r="T139" s="19">
        <v>0</v>
      </c>
      <c r="U139" s="19">
        <v>0</v>
      </c>
      <c r="V139" s="19">
        <v>0</v>
      </c>
      <c r="W139" s="19">
        <f t="shared" si="4"/>
        <v>0</v>
      </c>
      <c r="X139" t="s">
        <v>439</v>
      </c>
      <c r="AA139" s="153">
        <f>VLOOKUP(I139,'[2]BBDD P&amp;L'!$J:$AK,28,0)</f>
        <v>0</v>
      </c>
      <c r="AB139" s="154">
        <f t="shared" si="5"/>
        <v>0</v>
      </c>
    </row>
    <row r="140" spans="2:28" x14ac:dyDescent="0.35">
      <c r="B140">
        <v>2026</v>
      </c>
      <c r="C140" t="s">
        <v>74</v>
      </c>
      <c r="D140" t="s">
        <v>75</v>
      </c>
      <c r="E140" t="s">
        <v>76</v>
      </c>
      <c r="F140" t="s">
        <v>77</v>
      </c>
      <c r="G140" t="s">
        <v>140</v>
      </c>
      <c r="H140" t="s">
        <v>184</v>
      </c>
      <c r="I140" t="s">
        <v>375</v>
      </c>
      <c r="J140" t="s">
        <v>238</v>
      </c>
      <c r="K140" s="19">
        <v>-111.93</v>
      </c>
      <c r="L140" s="19">
        <v>-38.96</v>
      </c>
      <c r="M140" s="19">
        <v>-1.21</v>
      </c>
      <c r="N140" s="19">
        <v>-1.21</v>
      </c>
      <c r="O140" s="153">
        <v>-8.4700000000000006</v>
      </c>
      <c r="P140" s="19">
        <v>-102.05</v>
      </c>
      <c r="Q140" s="19">
        <v>-121.06</v>
      </c>
      <c r="R140" s="19">
        <v>-7.26</v>
      </c>
      <c r="S140" s="19">
        <f>IFERROR(VLOOKUP(I140,'[1]PL Mensual 2026'!$I:$S,11,0),0)</f>
        <v>-62.42</v>
      </c>
      <c r="T140" s="19">
        <v>-49.02</v>
      </c>
      <c r="U140" s="19">
        <v>-49.02</v>
      </c>
      <c r="V140" s="19">
        <v>-49.02</v>
      </c>
      <c r="W140" s="19">
        <f t="shared" si="4"/>
        <v>-601.63</v>
      </c>
      <c r="X140" t="s">
        <v>452</v>
      </c>
      <c r="AA140" s="153">
        <f>VLOOKUP(I140,'[2]BBDD P&amp;L'!$J:$AK,28,0)</f>
        <v>-601.63</v>
      </c>
      <c r="AB140" s="154">
        <f t="shared" si="5"/>
        <v>0</v>
      </c>
    </row>
    <row r="141" spans="2:28" x14ac:dyDescent="0.35">
      <c r="B141">
        <v>2026</v>
      </c>
      <c r="C141" t="s">
        <v>74</v>
      </c>
      <c r="D141" t="s">
        <v>75</v>
      </c>
      <c r="E141" t="s">
        <v>76</v>
      </c>
      <c r="F141" t="s">
        <v>77</v>
      </c>
      <c r="G141" t="s">
        <v>140</v>
      </c>
      <c r="H141" t="s">
        <v>184</v>
      </c>
      <c r="I141" t="s">
        <v>376</v>
      </c>
      <c r="J141" t="s">
        <v>238</v>
      </c>
      <c r="K141" s="19">
        <v>-138.5</v>
      </c>
      <c r="L141" s="19">
        <v>-149.62</v>
      </c>
      <c r="M141" s="19">
        <v>-353.89</v>
      </c>
      <c r="N141" s="19">
        <v>-230.86</v>
      </c>
      <c r="O141" s="153">
        <v>-43.09</v>
      </c>
      <c r="P141" s="19">
        <v>-200.29</v>
      </c>
      <c r="Q141" s="19">
        <v>-109.75</v>
      </c>
      <c r="R141" s="19">
        <v>-143.33000000000001</v>
      </c>
      <c r="S141" s="19">
        <f>IFERROR(VLOOKUP(I141,'[1]PL Mensual 2026'!$I:$S,11,0),0)</f>
        <v>-66.11</v>
      </c>
      <c r="T141" s="19">
        <v>-171.17</v>
      </c>
      <c r="U141" s="19">
        <v>-171.17</v>
      </c>
      <c r="V141" s="19">
        <v>-171.17</v>
      </c>
      <c r="W141" s="19">
        <f t="shared" si="4"/>
        <v>-1948.95</v>
      </c>
      <c r="X141" t="s">
        <v>452</v>
      </c>
      <c r="AA141" s="153">
        <f>VLOOKUP(I141,'[2]BBDD P&amp;L'!$J:$AK,28,0)</f>
        <v>-1948.95</v>
      </c>
      <c r="AB141" s="154">
        <f t="shared" si="5"/>
        <v>0</v>
      </c>
    </row>
    <row r="142" spans="2:28" x14ac:dyDescent="0.35">
      <c r="B142">
        <v>2026</v>
      </c>
      <c r="C142" t="s">
        <v>74</v>
      </c>
      <c r="D142" t="s">
        <v>75</v>
      </c>
      <c r="E142" t="s">
        <v>76</v>
      </c>
      <c r="F142" t="s">
        <v>77</v>
      </c>
      <c r="G142" t="s">
        <v>140</v>
      </c>
      <c r="H142" t="s">
        <v>184</v>
      </c>
      <c r="I142" t="s">
        <v>185</v>
      </c>
      <c r="J142" t="s">
        <v>238</v>
      </c>
      <c r="K142" s="19">
        <v>-342.23</v>
      </c>
      <c r="L142" s="19">
        <v>-704.39</v>
      </c>
      <c r="M142" s="19">
        <v>-687.65</v>
      </c>
      <c r="N142" s="19">
        <v>-381.46</v>
      </c>
      <c r="O142" s="153">
        <v>-1201.98</v>
      </c>
      <c r="P142" s="19">
        <v>-1201.74</v>
      </c>
      <c r="Q142" s="19">
        <v>-1353.52</v>
      </c>
      <c r="R142" s="19">
        <v>-615.71</v>
      </c>
      <c r="S142" s="19">
        <f>IFERROR(VLOOKUP(I142,'[1]PL Mensual 2026'!$I:$S,11,0),0)</f>
        <v>-2564.7199999999998</v>
      </c>
      <c r="T142" s="19">
        <v>-811.09</v>
      </c>
      <c r="U142" s="19">
        <v>-811.09</v>
      </c>
      <c r="V142" s="19">
        <v>-811.09</v>
      </c>
      <c r="W142" s="19">
        <f t="shared" si="4"/>
        <v>-11486.67</v>
      </c>
      <c r="X142" t="s">
        <v>452</v>
      </c>
      <c r="AA142" s="153">
        <f>VLOOKUP(I142,'[2]BBDD P&amp;L'!$J:$AK,28,0)</f>
        <v>-11486.67</v>
      </c>
      <c r="AB142" s="154">
        <f t="shared" si="5"/>
        <v>0</v>
      </c>
    </row>
    <row r="143" spans="2:28" x14ac:dyDescent="0.35">
      <c r="B143">
        <v>2026</v>
      </c>
      <c r="C143" t="s">
        <v>74</v>
      </c>
      <c r="D143" t="s">
        <v>75</v>
      </c>
      <c r="E143" t="s">
        <v>76</v>
      </c>
      <c r="F143" t="s">
        <v>77</v>
      </c>
      <c r="G143" t="s">
        <v>140</v>
      </c>
      <c r="H143" t="s">
        <v>186</v>
      </c>
      <c r="I143" t="s">
        <v>187</v>
      </c>
      <c r="J143" t="s">
        <v>238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f>IFERROR(VLOOKUP(I143,'[1]PL Mensual 2026'!$I:$S,11,0),0)</f>
        <v>-875.65</v>
      </c>
      <c r="T143" s="19">
        <v>0</v>
      </c>
      <c r="U143" s="19">
        <v>0</v>
      </c>
      <c r="V143" s="19">
        <v>0</v>
      </c>
      <c r="W143" s="19">
        <f t="shared" si="4"/>
        <v>-875.65</v>
      </c>
      <c r="X143" t="s">
        <v>439</v>
      </c>
      <c r="AA143" s="153">
        <f>VLOOKUP(I143,'[2]BBDD P&amp;L'!$J:$AK,28,0)</f>
        <v>-875.65</v>
      </c>
      <c r="AB143" s="154">
        <f t="shared" si="5"/>
        <v>0</v>
      </c>
    </row>
    <row r="144" spans="2:28" x14ac:dyDescent="0.35">
      <c r="B144">
        <v>2026</v>
      </c>
      <c r="C144" t="s">
        <v>74</v>
      </c>
      <c r="D144" t="s">
        <v>75</v>
      </c>
      <c r="E144" t="s">
        <v>76</v>
      </c>
      <c r="F144" t="s">
        <v>77</v>
      </c>
      <c r="G144" t="s">
        <v>140</v>
      </c>
      <c r="H144" t="s">
        <v>186</v>
      </c>
      <c r="I144" t="s">
        <v>514</v>
      </c>
      <c r="K144" s="19"/>
      <c r="L144" s="19"/>
      <c r="M144" s="19"/>
      <c r="N144" s="19"/>
      <c r="O144" s="19"/>
      <c r="P144" s="19"/>
      <c r="Q144" s="19"/>
      <c r="R144" s="19"/>
      <c r="S144" s="19">
        <f>IFERROR(VLOOKUP(I144,'[1]PL Mensual 2026'!$I:$S,11,0),0)</f>
        <v>-1700</v>
      </c>
      <c r="T144" s="19"/>
      <c r="U144" s="19"/>
      <c r="V144" s="19"/>
      <c r="W144" s="19">
        <f t="shared" si="4"/>
        <v>-1700</v>
      </c>
      <c r="AA144" s="153">
        <f>VLOOKUP(I144,'[2]BBDD P&amp;L'!$J:$AK,28,0)</f>
        <v>-1700</v>
      </c>
      <c r="AB144" s="154">
        <f t="shared" si="5"/>
        <v>0</v>
      </c>
    </row>
    <row r="145" spans="2:28" x14ac:dyDescent="0.35">
      <c r="B145">
        <v>2026</v>
      </c>
      <c r="C145" t="s">
        <v>74</v>
      </c>
      <c r="D145" t="s">
        <v>75</v>
      </c>
      <c r="E145" t="s">
        <v>76</v>
      </c>
      <c r="F145" t="s">
        <v>77</v>
      </c>
      <c r="G145" t="s">
        <v>140</v>
      </c>
      <c r="H145" t="s">
        <v>186</v>
      </c>
      <c r="I145" t="s">
        <v>188</v>
      </c>
      <c r="J145" t="s">
        <v>238</v>
      </c>
      <c r="K145" s="19">
        <v>0</v>
      </c>
      <c r="L145" s="19">
        <v>0</v>
      </c>
      <c r="M145" s="19">
        <v>0</v>
      </c>
      <c r="N145" s="19">
        <v>0</v>
      </c>
      <c r="O145" s="153">
        <v>0</v>
      </c>
      <c r="P145" s="19">
        <v>0</v>
      </c>
      <c r="Q145" s="19">
        <v>0</v>
      </c>
      <c r="R145" s="19">
        <v>-214.6</v>
      </c>
      <c r="S145" s="19">
        <f>IFERROR(VLOOKUP(I145,'[1]PL Mensual 2026'!$I:$S,11,0),0)</f>
        <v>-347.59</v>
      </c>
      <c r="T145" s="19">
        <v>-321.89999999999998</v>
      </c>
      <c r="U145" s="19">
        <v>-214.6</v>
      </c>
      <c r="V145" s="19">
        <v>-214.6</v>
      </c>
      <c r="W145" s="19">
        <f t="shared" si="4"/>
        <v>-1313.2899999999997</v>
      </c>
      <c r="X145" t="s">
        <v>453</v>
      </c>
      <c r="AA145" s="153">
        <f>VLOOKUP(I145,'[2]BBDD P&amp;L'!$J:$AK,28,0)</f>
        <v>-1313.2899999999997</v>
      </c>
      <c r="AB145" s="154">
        <f t="shared" si="5"/>
        <v>0</v>
      </c>
    </row>
    <row r="146" spans="2:28" x14ac:dyDescent="0.35">
      <c r="B146">
        <v>2026</v>
      </c>
      <c r="C146" t="s">
        <v>74</v>
      </c>
      <c r="D146" t="s">
        <v>75</v>
      </c>
      <c r="E146" t="s">
        <v>76</v>
      </c>
      <c r="F146" t="s">
        <v>77</v>
      </c>
      <c r="G146" t="s">
        <v>140</v>
      </c>
      <c r="H146" t="s">
        <v>186</v>
      </c>
      <c r="I146" t="s">
        <v>189</v>
      </c>
      <c r="J146" t="s">
        <v>238</v>
      </c>
      <c r="K146" s="19">
        <v>0</v>
      </c>
      <c r="L146" s="19">
        <v>0</v>
      </c>
      <c r="M146" s="19">
        <v>0</v>
      </c>
      <c r="N146" s="19">
        <v>0</v>
      </c>
      <c r="O146" s="153">
        <v>0</v>
      </c>
      <c r="P146" s="19">
        <v>0</v>
      </c>
      <c r="Q146" s="19">
        <v>-407</v>
      </c>
      <c r="R146" s="19">
        <v>0</v>
      </c>
      <c r="S146" s="19">
        <f>IFERROR(VLOOKUP(I146,'[1]PL Mensual 2026'!$I:$S,11,0),0)</f>
        <v>-1261.92</v>
      </c>
      <c r="T146" s="19">
        <v>-610.5</v>
      </c>
      <c r="U146" s="19">
        <v>-407</v>
      </c>
      <c r="V146" s="19">
        <v>-407</v>
      </c>
      <c r="W146" s="19">
        <f t="shared" si="4"/>
        <v>-3093.42</v>
      </c>
      <c r="X146" t="s">
        <v>453</v>
      </c>
      <c r="AA146" s="153">
        <f>VLOOKUP(I146,'[2]BBDD P&amp;L'!$J:$AK,28,0)</f>
        <v>-3093.42</v>
      </c>
      <c r="AB146" s="154">
        <f t="shared" si="5"/>
        <v>0</v>
      </c>
    </row>
    <row r="147" spans="2:28" x14ac:dyDescent="0.35">
      <c r="B147">
        <v>2026</v>
      </c>
      <c r="C147" t="s">
        <v>74</v>
      </c>
      <c r="D147" t="s">
        <v>75</v>
      </c>
      <c r="E147" t="s">
        <v>76</v>
      </c>
      <c r="F147" t="s">
        <v>77</v>
      </c>
      <c r="G147" t="s">
        <v>140</v>
      </c>
      <c r="H147" t="s">
        <v>186</v>
      </c>
      <c r="I147" t="s">
        <v>377</v>
      </c>
      <c r="J147" t="s">
        <v>238</v>
      </c>
      <c r="K147" s="19">
        <v>-27.52</v>
      </c>
      <c r="L147" s="19">
        <v>0</v>
      </c>
      <c r="M147" s="19">
        <v>0</v>
      </c>
      <c r="N147" s="19">
        <v>0</v>
      </c>
      <c r="O147" s="153">
        <v>-170.36</v>
      </c>
      <c r="P147" s="19">
        <v>0</v>
      </c>
      <c r="Q147" s="19">
        <v>0</v>
      </c>
      <c r="R147" s="19">
        <v>0</v>
      </c>
      <c r="S147" s="19" t="str">
        <f>IFERROR(VLOOKUP(I147,'[1]PL Mensual 2026'!$I:$S,11,0),0)</f>
        <v xml:space="preserve">                                             -  </v>
      </c>
      <c r="T147" s="19">
        <v>-148.41</v>
      </c>
      <c r="U147" s="19">
        <v>-98.94</v>
      </c>
      <c r="V147" s="19">
        <v>-98.94</v>
      </c>
      <c r="W147" s="19">
        <f t="shared" si="4"/>
        <v>-544.17000000000007</v>
      </c>
      <c r="X147" t="s">
        <v>453</v>
      </c>
      <c r="AA147" s="153">
        <f>VLOOKUP(I147,'[2]BBDD P&amp;L'!$J:$AK,28,0)</f>
        <v>-544.17000000000007</v>
      </c>
      <c r="AB147" s="154">
        <f t="shared" si="5"/>
        <v>0</v>
      </c>
    </row>
    <row r="148" spans="2:28" x14ac:dyDescent="0.35">
      <c r="B148">
        <v>2026</v>
      </c>
      <c r="C148" t="s">
        <v>74</v>
      </c>
      <c r="D148" t="s">
        <v>75</v>
      </c>
      <c r="E148" t="s">
        <v>76</v>
      </c>
      <c r="F148" t="s">
        <v>77</v>
      </c>
      <c r="G148" t="s">
        <v>140</v>
      </c>
      <c r="H148" t="s">
        <v>186</v>
      </c>
      <c r="I148" t="s">
        <v>190</v>
      </c>
      <c r="J148" t="s">
        <v>238</v>
      </c>
      <c r="K148" s="19">
        <v>0</v>
      </c>
      <c r="L148" s="19">
        <v>0</v>
      </c>
      <c r="M148" s="19">
        <v>0</v>
      </c>
      <c r="N148" s="19">
        <v>-308.45999999999998</v>
      </c>
      <c r="O148" s="153">
        <v>0</v>
      </c>
      <c r="P148" s="19">
        <v>0</v>
      </c>
      <c r="Q148" s="19">
        <v>0</v>
      </c>
      <c r="R148" s="19">
        <v>0</v>
      </c>
      <c r="S148" s="19">
        <f>IFERROR(VLOOKUP(I148,'[1]PL Mensual 2026'!$I:$S,11,0),0)</f>
        <v>-559.72</v>
      </c>
      <c r="T148" s="19">
        <v>-462.69</v>
      </c>
      <c r="U148" s="19">
        <v>-308.45999999999998</v>
      </c>
      <c r="V148" s="19">
        <v>-308.45999999999998</v>
      </c>
      <c r="W148" s="19">
        <f t="shared" si="4"/>
        <v>-1947.7900000000002</v>
      </c>
      <c r="X148" t="s">
        <v>453</v>
      </c>
      <c r="AA148" s="153">
        <f>VLOOKUP(I148,'[2]BBDD P&amp;L'!$J:$AK,28,0)</f>
        <v>-1947.7900000000002</v>
      </c>
      <c r="AB148" s="154">
        <f t="shared" si="5"/>
        <v>0</v>
      </c>
    </row>
    <row r="149" spans="2:28" x14ac:dyDescent="0.35">
      <c r="B149">
        <v>2026</v>
      </c>
      <c r="C149" t="s">
        <v>74</v>
      </c>
      <c r="D149" t="s">
        <v>75</v>
      </c>
      <c r="E149" t="s">
        <v>76</v>
      </c>
      <c r="F149" t="s">
        <v>77</v>
      </c>
      <c r="G149" t="s">
        <v>140</v>
      </c>
      <c r="H149" t="s">
        <v>186</v>
      </c>
      <c r="I149" t="s">
        <v>191</v>
      </c>
      <c r="J149" t="s">
        <v>238</v>
      </c>
      <c r="K149" s="19">
        <v>0</v>
      </c>
      <c r="L149" s="19">
        <v>0</v>
      </c>
      <c r="M149" s="19">
        <v>-1568.58</v>
      </c>
      <c r="N149" s="19">
        <v>-4485</v>
      </c>
      <c r="O149" s="153">
        <v>-55</v>
      </c>
      <c r="P149" s="19">
        <v>-3000</v>
      </c>
      <c r="Q149" s="19">
        <v>0</v>
      </c>
      <c r="R149" s="19">
        <v>0</v>
      </c>
      <c r="S149" s="19">
        <f>IFERROR(VLOOKUP(I149,'[1]PL Mensual 2026'!$I:$S,11,0),0)</f>
        <v>-2679.5</v>
      </c>
      <c r="T149" s="19">
        <v>0</v>
      </c>
      <c r="U149" s="19">
        <v>0</v>
      </c>
      <c r="V149" s="19">
        <v>0</v>
      </c>
      <c r="W149" s="19">
        <f t="shared" si="4"/>
        <v>-11788.08</v>
      </c>
      <c r="X149" t="s">
        <v>489</v>
      </c>
      <c r="AA149" s="153">
        <f>VLOOKUP(I149,'[2]BBDD P&amp;L'!$J:$AK,28,0)</f>
        <v>-11788.08</v>
      </c>
      <c r="AB149" s="154">
        <f t="shared" si="5"/>
        <v>0</v>
      </c>
    </row>
    <row r="150" spans="2:28" x14ac:dyDescent="0.35">
      <c r="B150">
        <v>2026</v>
      </c>
      <c r="C150" t="s">
        <v>74</v>
      </c>
      <c r="D150" t="s">
        <v>75</v>
      </c>
      <c r="E150" t="s">
        <v>76</v>
      </c>
      <c r="F150" t="s">
        <v>77</v>
      </c>
      <c r="G150" t="s">
        <v>140</v>
      </c>
      <c r="H150" t="s">
        <v>186</v>
      </c>
      <c r="I150" t="s">
        <v>192</v>
      </c>
      <c r="J150" t="s">
        <v>238</v>
      </c>
      <c r="K150" s="19">
        <v>0</v>
      </c>
      <c r="L150" s="19">
        <v>0</v>
      </c>
      <c r="M150" s="19">
        <v>0</v>
      </c>
      <c r="N150" s="19">
        <v>0</v>
      </c>
      <c r="O150" s="153">
        <v>-3208.9</v>
      </c>
      <c r="P150" s="19">
        <v>-438</v>
      </c>
      <c r="Q150" s="19">
        <v>-9082.9</v>
      </c>
      <c r="R150" s="19">
        <v>-3164.3</v>
      </c>
      <c r="S150" s="19" t="str">
        <f>IFERROR(VLOOKUP(I150,'[1]PL Mensual 2026'!$I:$S,11,0),0)</f>
        <v xml:space="preserve">                                             -  </v>
      </c>
      <c r="T150" s="19">
        <v>-4500</v>
      </c>
      <c r="U150" s="19">
        <v>-2000</v>
      </c>
      <c r="V150" s="19">
        <v>-2000</v>
      </c>
      <c r="W150" s="19">
        <f t="shared" si="4"/>
        <v>-24394.1</v>
      </c>
      <c r="X150" t="s">
        <v>454</v>
      </c>
      <c r="AA150" s="153">
        <f>VLOOKUP(I150,'[2]BBDD P&amp;L'!$J:$AK,28,0)</f>
        <v>-24394.1</v>
      </c>
      <c r="AB150" s="154">
        <f t="shared" si="5"/>
        <v>0</v>
      </c>
    </row>
    <row r="151" spans="2:28" x14ac:dyDescent="0.35">
      <c r="B151">
        <v>2026</v>
      </c>
      <c r="C151" t="s">
        <v>74</v>
      </c>
      <c r="D151" t="s">
        <v>75</v>
      </c>
      <c r="E151" t="s">
        <v>76</v>
      </c>
      <c r="F151" t="s">
        <v>77</v>
      </c>
      <c r="G151" t="s">
        <v>140</v>
      </c>
      <c r="H151" t="s">
        <v>186</v>
      </c>
      <c r="I151" t="s">
        <v>378</v>
      </c>
      <c r="J151" t="s">
        <v>238</v>
      </c>
      <c r="K151" s="19">
        <v>0</v>
      </c>
      <c r="L151" s="19">
        <v>0</v>
      </c>
      <c r="M151" s="19">
        <v>-826.76</v>
      </c>
      <c r="N151" s="19">
        <v>0</v>
      </c>
      <c r="O151" s="153">
        <v>0</v>
      </c>
      <c r="P151" s="19">
        <v>0</v>
      </c>
      <c r="Q151" s="19">
        <v>0</v>
      </c>
      <c r="R151" s="19">
        <v>0</v>
      </c>
      <c r="S151" s="19" t="str">
        <f>IFERROR(VLOOKUP(I151,'[1]PL Mensual 2026'!$I:$S,11,0),0)</f>
        <v xml:space="preserve">                                             -  </v>
      </c>
      <c r="T151" s="19">
        <v>-1240.1400000000001</v>
      </c>
      <c r="U151" s="19">
        <v>-826.76</v>
      </c>
      <c r="V151" s="19">
        <v>-826.76</v>
      </c>
      <c r="W151" s="19">
        <f t="shared" si="4"/>
        <v>-3720.42</v>
      </c>
      <c r="X151" t="s">
        <v>453</v>
      </c>
      <c r="AA151" s="153">
        <f>VLOOKUP(I151,'[2]BBDD P&amp;L'!$J:$AK,28,0)</f>
        <v>-3720.42</v>
      </c>
      <c r="AB151" s="154">
        <f t="shared" si="5"/>
        <v>0</v>
      </c>
    </row>
    <row r="152" spans="2:28" x14ac:dyDescent="0.35">
      <c r="B152">
        <v>2026</v>
      </c>
      <c r="C152" t="s">
        <v>74</v>
      </c>
      <c r="D152" t="s">
        <v>75</v>
      </c>
      <c r="E152" t="s">
        <v>76</v>
      </c>
      <c r="F152" t="s">
        <v>77</v>
      </c>
      <c r="G152" t="s">
        <v>140</v>
      </c>
      <c r="H152" t="s">
        <v>193</v>
      </c>
      <c r="I152" t="s">
        <v>194</v>
      </c>
      <c r="J152" t="s">
        <v>238</v>
      </c>
      <c r="K152" s="19">
        <v>0</v>
      </c>
      <c r="L152" s="19">
        <v>0</v>
      </c>
      <c r="M152" s="19">
        <v>0</v>
      </c>
      <c r="N152" s="19">
        <v>0</v>
      </c>
      <c r="O152" s="153">
        <v>0</v>
      </c>
      <c r="P152" s="19">
        <v>-489</v>
      </c>
      <c r="Q152" s="19">
        <v>0</v>
      </c>
      <c r="R152" s="19">
        <v>0</v>
      </c>
      <c r="S152" s="19" t="str">
        <f>IFERROR(VLOOKUP(I152,'[1]PL Mensual 2026'!$I:$S,11,0),0)</f>
        <v xml:space="preserve">                                             -  </v>
      </c>
      <c r="T152" s="19">
        <v>-489</v>
      </c>
      <c r="U152" s="19">
        <v>-489</v>
      </c>
      <c r="V152" s="19">
        <v>-489</v>
      </c>
      <c r="W152" s="19">
        <f t="shared" si="4"/>
        <v>-1956</v>
      </c>
      <c r="X152" t="s">
        <v>449</v>
      </c>
      <c r="AA152" s="153">
        <f>VLOOKUP(I152,'[2]BBDD P&amp;L'!$J:$AK,28,0)</f>
        <v>-1956</v>
      </c>
      <c r="AB152" s="154">
        <f t="shared" si="5"/>
        <v>0</v>
      </c>
    </row>
    <row r="153" spans="2:28" x14ac:dyDescent="0.35">
      <c r="B153">
        <v>2026</v>
      </c>
      <c r="C153" t="s">
        <v>74</v>
      </c>
      <c r="D153" t="s">
        <v>75</v>
      </c>
      <c r="E153" t="s">
        <v>76</v>
      </c>
      <c r="F153" t="s">
        <v>77</v>
      </c>
      <c r="G153" t="s">
        <v>140</v>
      </c>
      <c r="H153" t="s">
        <v>193</v>
      </c>
      <c r="I153" t="s">
        <v>195</v>
      </c>
      <c r="J153" t="s">
        <v>238</v>
      </c>
      <c r="K153" s="19">
        <v>-4457.07</v>
      </c>
      <c r="L153" s="19">
        <v>-4192.18</v>
      </c>
      <c r="M153" s="19">
        <v>0</v>
      </c>
      <c r="N153" s="19">
        <v>-8417.9</v>
      </c>
      <c r="O153" s="153">
        <v>-1115.2</v>
      </c>
      <c r="P153" s="19">
        <v>-7205.31</v>
      </c>
      <c r="Q153" s="19">
        <v>-3014.475435477108</v>
      </c>
      <c r="R153" s="19">
        <v>-1350.4331431072339</v>
      </c>
      <c r="S153" s="19">
        <f>IFERROR(VLOOKUP(I153,'[1]PL Mensual 2026'!$I:$S,11,0),0)+77.3</f>
        <v>-1947.15</v>
      </c>
      <c r="T153" s="19">
        <v>-3790</v>
      </c>
      <c r="U153" s="19">
        <v>-4190</v>
      </c>
      <c r="V153" s="19">
        <v>-4390</v>
      </c>
      <c r="W153" s="19">
        <f t="shared" si="4"/>
        <v>-44069.718578584347</v>
      </c>
      <c r="X153" t="s">
        <v>455</v>
      </c>
      <c r="AA153" s="153">
        <f>VLOOKUP(I153,'[2]BBDD P&amp;L'!$J:$AK,28,0)</f>
        <v>-50086.17</v>
      </c>
      <c r="AB153" s="154">
        <f t="shared" si="5"/>
        <v>6016.4514214156516</v>
      </c>
    </row>
    <row r="154" spans="2:28" x14ac:dyDescent="0.35">
      <c r="B154">
        <v>2026</v>
      </c>
      <c r="C154" t="s">
        <v>74</v>
      </c>
      <c r="D154" t="s">
        <v>75</v>
      </c>
      <c r="E154" t="s">
        <v>76</v>
      </c>
      <c r="F154" t="s">
        <v>77</v>
      </c>
      <c r="G154" t="s">
        <v>140</v>
      </c>
      <c r="H154" t="s">
        <v>193</v>
      </c>
      <c r="I154" t="s">
        <v>196</v>
      </c>
      <c r="J154" t="s">
        <v>238</v>
      </c>
      <c r="K154" s="19">
        <v>-1170.76</v>
      </c>
      <c r="L154" s="19">
        <v>0</v>
      </c>
      <c r="M154" s="19">
        <v>0</v>
      </c>
      <c r="N154" s="19">
        <v>-1209.46</v>
      </c>
      <c r="O154" s="153">
        <v>0</v>
      </c>
      <c r="P154" s="19">
        <v>0</v>
      </c>
      <c r="Q154" s="19">
        <v>-1927.6</v>
      </c>
      <c r="R154" s="19">
        <v>0</v>
      </c>
      <c r="S154" s="19" t="str">
        <f>IFERROR(VLOOKUP(I154,'[1]PL Mensual 2026'!$I:$S,11,0),0)</f>
        <v xml:space="preserve">                                             -  </v>
      </c>
      <c r="T154" s="19">
        <v>-1435.94</v>
      </c>
      <c r="U154" s="19">
        <v>-1435.94</v>
      </c>
      <c r="V154" s="19">
        <v>-1435.94</v>
      </c>
      <c r="W154" s="19">
        <f t="shared" si="4"/>
        <v>-8615.6400000000012</v>
      </c>
      <c r="X154" t="s">
        <v>449</v>
      </c>
      <c r="AA154" s="153">
        <f>VLOOKUP(I154,'[2]BBDD P&amp;L'!$J:$AK,28,0)</f>
        <v>-8615.6400000000012</v>
      </c>
      <c r="AB154" s="154">
        <f t="shared" si="5"/>
        <v>0</v>
      </c>
    </row>
    <row r="155" spans="2:28" x14ac:dyDescent="0.35">
      <c r="B155">
        <v>2026</v>
      </c>
      <c r="C155" t="s">
        <v>74</v>
      </c>
      <c r="D155" t="s">
        <v>75</v>
      </c>
      <c r="E155" t="s">
        <v>76</v>
      </c>
      <c r="F155" t="s">
        <v>77</v>
      </c>
      <c r="G155" t="s">
        <v>140</v>
      </c>
      <c r="H155" t="s">
        <v>193</v>
      </c>
      <c r="I155" t="s">
        <v>379</v>
      </c>
      <c r="J155" t="s">
        <v>238</v>
      </c>
      <c r="K155" s="19">
        <v>-697.53</v>
      </c>
      <c r="L155" s="19">
        <v>-707.86</v>
      </c>
      <c r="M155" s="19">
        <v>-721.07</v>
      </c>
      <c r="N155" s="19">
        <v>-752.94</v>
      </c>
      <c r="O155" s="153">
        <v>-259.61</v>
      </c>
      <c r="P155" s="19">
        <v>-1232.48</v>
      </c>
      <c r="Q155" s="19">
        <v>-761.55</v>
      </c>
      <c r="R155" s="19">
        <v>-853</v>
      </c>
      <c r="S155" s="19">
        <f>IFERROR(VLOOKUP(I155,'[1]PL Mensual 2026'!$I:$S,11,0),0)</f>
        <v>-464.2</v>
      </c>
      <c r="T155" s="19">
        <v>-400</v>
      </c>
      <c r="U155" s="19">
        <v>-700</v>
      </c>
      <c r="V155" s="19">
        <v>-900</v>
      </c>
      <c r="W155" s="19">
        <f t="shared" si="4"/>
        <v>-8450.24</v>
      </c>
      <c r="X155" t="s">
        <v>456</v>
      </c>
      <c r="AA155" s="153">
        <f>VLOOKUP(I155,'[2]BBDD P&amp;L'!$J:$AK,28,0)</f>
        <v>-8450.24</v>
      </c>
      <c r="AB155" s="154">
        <f t="shared" si="5"/>
        <v>0</v>
      </c>
    </row>
    <row r="156" spans="2:28" x14ac:dyDescent="0.35">
      <c r="B156">
        <v>2026</v>
      </c>
      <c r="C156" t="s">
        <v>74</v>
      </c>
      <c r="D156" t="s">
        <v>75</v>
      </c>
      <c r="E156" t="s">
        <v>76</v>
      </c>
      <c r="F156" t="s">
        <v>77</v>
      </c>
      <c r="G156" t="s">
        <v>140</v>
      </c>
      <c r="H156" t="s">
        <v>193</v>
      </c>
      <c r="I156" t="s">
        <v>197</v>
      </c>
      <c r="J156" t="s">
        <v>238</v>
      </c>
      <c r="K156" s="19">
        <v>0</v>
      </c>
      <c r="L156" s="19">
        <v>0</v>
      </c>
      <c r="M156" s="19">
        <v>0</v>
      </c>
      <c r="N156" s="19">
        <v>0</v>
      </c>
      <c r="O156" s="153">
        <v>-1891.22</v>
      </c>
      <c r="P156" s="19">
        <v>0</v>
      </c>
      <c r="Q156" s="19">
        <v>0</v>
      </c>
      <c r="R156" s="19">
        <v>-1496.33</v>
      </c>
      <c r="S156" s="19" t="str">
        <f>IFERROR(VLOOKUP(I156,'[1]PL Mensual 2026'!$I:$S,11,0),0)</f>
        <v xml:space="preserve">                                             -  </v>
      </c>
      <c r="T156" s="19">
        <v>-1693.78</v>
      </c>
      <c r="U156" s="19">
        <v>-1693.78</v>
      </c>
      <c r="V156" s="19">
        <v>-1693.78</v>
      </c>
      <c r="W156" s="19">
        <f t="shared" si="4"/>
        <v>-8468.89</v>
      </c>
      <c r="X156" t="s">
        <v>449</v>
      </c>
      <c r="AA156" s="153">
        <f>VLOOKUP(I156,'[2]BBDD P&amp;L'!$J:$AK,28,0)</f>
        <v>-8468.89</v>
      </c>
      <c r="AB156" s="154">
        <f t="shared" si="5"/>
        <v>0</v>
      </c>
    </row>
    <row r="157" spans="2:28" x14ac:dyDescent="0.35">
      <c r="B157">
        <v>2026</v>
      </c>
      <c r="C157" t="s">
        <v>74</v>
      </c>
      <c r="D157" t="s">
        <v>75</v>
      </c>
      <c r="E157" t="s">
        <v>76</v>
      </c>
      <c r="F157" t="s">
        <v>77</v>
      </c>
      <c r="G157" t="s">
        <v>140</v>
      </c>
      <c r="H157" t="s">
        <v>198</v>
      </c>
      <c r="I157" t="s">
        <v>199</v>
      </c>
      <c r="J157" t="s">
        <v>238</v>
      </c>
      <c r="K157" s="19">
        <v>-396</v>
      </c>
      <c r="L157" s="19">
        <v>0</v>
      </c>
      <c r="M157" s="19">
        <v>0</v>
      </c>
      <c r="N157" s="19">
        <v>0</v>
      </c>
      <c r="O157" s="153">
        <v>0</v>
      </c>
      <c r="P157" s="19">
        <v>-30</v>
      </c>
      <c r="Q157" s="19">
        <v>0</v>
      </c>
      <c r="R157" s="19">
        <v>0</v>
      </c>
      <c r="S157" s="19" t="str">
        <f>IFERROR(VLOOKUP(I157,'[1]PL Mensual 2026'!$I:$S,11,0),0)</f>
        <v xml:space="preserve">                                             -  </v>
      </c>
      <c r="T157" s="19">
        <v>-213</v>
      </c>
      <c r="U157" s="19">
        <v>-213</v>
      </c>
      <c r="V157" s="19">
        <v>-213</v>
      </c>
      <c r="W157" s="19">
        <f t="shared" si="4"/>
        <v>-1065</v>
      </c>
      <c r="X157" t="s">
        <v>457</v>
      </c>
      <c r="AA157" s="153">
        <f>VLOOKUP(I157,'[2]BBDD P&amp;L'!$J:$AK,28,0)</f>
        <v>-1065</v>
      </c>
      <c r="AB157" s="154">
        <f t="shared" si="5"/>
        <v>0</v>
      </c>
    </row>
    <row r="158" spans="2:28" x14ac:dyDescent="0.35">
      <c r="B158">
        <v>2026</v>
      </c>
      <c r="C158" t="s">
        <v>74</v>
      </c>
      <c r="D158" t="s">
        <v>75</v>
      </c>
      <c r="E158" t="s">
        <v>76</v>
      </c>
      <c r="F158" t="s">
        <v>77</v>
      </c>
      <c r="G158" t="s">
        <v>140</v>
      </c>
      <c r="H158" t="s">
        <v>198</v>
      </c>
      <c r="I158" t="s">
        <v>200</v>
      </c>
      <c r="J158" t="s">
        <v>238</v>
      </c>
      <c r="K158" s="19">
        <v>-194.68</v>
      </c>
      <c r="L158" s="19">
        <v>-108</v>
      </c>
      <c r="M158" s="19">
        <v>-1186.24</v>
      </c>
      <c r="N158" s="19">
        <v>-80.59</v>
      </c>
      <c r="O158" s="153">
        <v>-277.83999999999997</v>
      </c>
      <c r="P158" s="19">
        <v>-254.03</v>
      </c>
      <c r="Q158" s="19">
        <v>-4498.18</v>
      </c>
      <c r="R158" s="19">
        <v>-986.98</v>
      </c>
      <c r="S158" s="19">
        <f>IFERROR(VLOOKUP(I158,'[1]PL Mensual 2026'!$I:$S,11,0),0)</f>
        <v>-1007.61</v>
      </c>
      <c r="T158" s="19">
        <v>0</v>
      </c>
      <c r="U158" s="19">
        <v>-1940</v>
      </c>
      <c r="V158" s="19">
        <v>-976</v>
      </c>
      <c r="W158" s="19">
        <f t="shared" si="4"/>
        <v>-11510.150000000001</v>
      </c>
      <c r="X158" t="s">
        <v>511</v>
      </c>
      <c r="AA158" s="153">
        <f>VLOOKUP(I158,'[2]BBDD P&amp;L'!$J:$AK,28,0)</f>
        <v>-11510.150000000001</v>
      </c>
      <c r="AB158" s="154">
        <f t="shared" si="5"/>
        <v>0</v>
      </c>
    </row>
    <row r="159" spans="2:28" x14ac:dyDescent="0.35">
      <c r="B159">
        <v>2026</v>
      </c>
      <c r="C159" t="s">
        <v>74</v>
      </c>
      <c r="D159" t="s">
        <v>75</v>
      </c>
      <c r="E159" t="s">
        <v>76</v>
      </c>
      <c r="F159" t="s">
        <v>77</v>
      </c>
      <c r="G159" t="s">
        <v>140</v>
      </c>
      <c r="H159" t="s">
        <v>198</v>
      </c>
      <c r="I159" t="s">
        <v>380</v>
      </c>
      <c r="J159" t="s">
        <v>238</v>
      </c>
      <c r="K159" s="19">
        <v>-460.58</v>
      </c>
      <c r="L159" s="19">
        <v>0</v>
      </c>
      <c r="M159" s="19">
        <v>0</v>
      </c>
      <c r="N159" s="19">
        <v>0</v>
      </c>
      <c r="O159" s="153">
        <v>0</v>
      </c>
      <c r="P159" s="19">
        <v>0</v>
      </c>
      <c r="Q159" s="19">
        <v>0</v>
      </c>
      <c r="R159" s="19">
        <v>0</v>
      </c>
      <c r="S159" s="19" t="str">
        <f>IFERROR(VLOOKUP(I159,'[1]PL Mensual 2026'!$I:$S,11,0),0)</f>
        <v xml:space="preserve">                                             -  </v>
      </c>
      <c r="T159" s="19">
        <v>-460.58</v>
      </c>
      <c r="U159" s="19">
        <v>-460.58</v>
      </c>
      <c r="V159" s="19">
        <v>-460.58</v>
      </c>
      <c r="W159" s="19">
        <f t="shared" si="4"/>
        <v>-1842.32</v>
      </c>
      <c r="X159" t="s">
        <v>457</v>
      </c>
      <c r="AA159" s="153">
        <f>VLOOKUP(I159,'[2]BBDD P&amp;L'!$J:$AK,28,0)</f>
        <v>-1842.32</v>
      </c>
      <c r="AB159" s="154">
        <f t="shared" si="5"/>
        <v>0</v>
      </c>
    </row>
    <row r="160" spans="2:28" x14ac:dyDescent="0.35">
      <c r="B160">
        <v>2026</v>
      </c>
      <c r="C160" t="s">
        <v>74</v>
      </c>
      <c r="D160" t="s">
        <v>75</v>
      </c>
      <c r="E160" t="s">
        <v>76</v>
      </c>
      <c r="F160" t="s">
        <v>77</v>
      </c>
      <c r="G160" t="s">
        <v>140</v>
      </c>
      <c r="H160" t="s">
        <v>198</v>
      </c>
      <c r="I160" t="s">
        <v>201</v>
      </c>
      <c r="J160" t="s">
        <v>238</v>
      </c>
      <c r="K160" s="19">
        <v>-73.72</v>
      </c>
      <c r="L160" s="19">
        <v>0</v>
      </c>
      <c r="M160" s="19">
        <v>-73.72</v>
      </c>
      <c r="N160" s="19">
        <v>-73.72</v>
      </c>
      <c r="O160" s="153">
        <v>-75.94</v>
      </c>
      <c r="P160" s="19">
        <v>-75.94</v>
      </c>
      <c r="Q160" s="19">
        <v>-75.94</v>
      </c>
      <c r="R160" s="19">
        <v>-75.94</v>
      </c>
      <c r="S160" s="19">
        <f>IFERROR(VLOOKUP(I160,'[1]PL Mensual 2026'!$I:$S,11,0),0)</f>
        <v>-75.94</v>
      </c>
      <c r="T160" s="19">
        <v>-74.989999999999995</v>
      </c>
      <c r="U160" s="19">
        <v>-74.989999999999995</v>
      </c>
      <c r="V160" s="19">
        <v>-74.989999999999995</v>
      </c>
      <c r="W160" s="19">
        <f t="shared" si="4"/>
        <v>-825.83000000000015</v>
      </c>
      <c r="X160" t="s">
        <v>457</v>
      </c>
      <c r="AA160" s="153">
        <f>VLOOKUP(I160,'[2]BBDD P&amp;L'!$J:$AK,28,0)</f>
        <v>-825.83000000000015</v>
      </c>
      <c r="AB160" s="154">
        <f t="shared" si="5"/>
        <v>0</v>
      </c>
    </row>
    <row r="161" spans="2:28" x14ac:dyDescent="0.35">
      <c r="B161">
        <v>2026</v>
      </c>
      <c r="C161" t="s">
        <v>74</v>
      </c>
      <c r="D161" t="s">
        <v>75</v>
      </c>
      <c r="E161" t="s">
        <v>76</v>
      </c>
      <c r="F161" t="s">
        <v>77</v>
      </c>
      <c r="G161" t="s">
        <v>140</v>
      </c>
      <c r="H161" t="s">
        <v>198</v>
      </c>
      <c r="I161" t="s">
        <v>202</v>
      </c>
      <c r="J161" t="s">
        <v>238</v>
      </c>
      <c r="K161" s="19">
        <v>-87.98</v>
      </c>
      <c r="L161" s="19">
        <v>0</v>
      </c>
      <c r="M161" s="19">
        <v>0</v>
      </c>
      <c r="N161" s="19">
        <v>-2772</v>
      </c>
      <c r="O161" s="153">
        <v>36.18</v>
      </c>
      <c r="P161" s="19">
        <v>0</v>
      </c>
      <c r="Q161" s="19">
        <v>0</v>
      </c>
      <c r="R161" s="19">
        <v>0</v>
      </c>
      <c r="S161" s="19" t="str">
        <f>IFERROR(VLOOKUP(I161,'[1]PL Mensual 2026'!$I:$S,11,0),0)</f>
        <v xml:space="preserve">                                             -  </v>
      </c>
      <c r="T161" s="19">
        <v>-941.27</v>
      </c>
      <c r="U161" s="19">
        <v>-941.27</v>
      </c>
      <c r="V161" s="19">
        <v>-941.27</v>
      </c>
      <c r="W161" s="19">
        <f t="shared" si="4"/>
        <v>-5647.6100000000006</v>
      </c>
      <c r="X161" t="s">
        <v>457</v>
      </c>
      <c r="AA161" s="153">
        <f>VLOOKUP(I161,'[2]BBDD P&amp;L'!$J:$AK,28,0)</f>
        <v>-5647.6100000000006</v>
      </c>
      <c r="AB161" s="154">
        <f t="shared" si="5"/>
        <v>0</v>
      </c>
    </row>
    <row r="162" spans="2:28" x14ac:dyDescent="0.35">
      <c r="B162">
        <v>2026</v>
      </c>
      <c r="C162" t="s">
        <v>74</v>
      </c>
      <c r="D162" t="s">
        <v>75</v>
      </c>
      <c r="E162" t="s">
        <v>76</v>
      </c>
      <c r="F162" t="s">
        <v>77</v>
      </c>
      <c r="G162" t="s">
        <v>140</v>
      </c>
      <c r="H162" t="s">
        <v>198</v>
      </c>
      <c r="I162" t="s">
        <v>203</v>
      </c>
      <c r="J162" t="s">
        <v>238</v>
      </c>
      <c r="K162" s="19">
        <v>-48</v>
      </c>
      <c r="L162" s="19">
        <v>0</v>
      </c>
      <c r="M162" s="19">
        <v>0</v>
      </c>
      <c r="N162" s="19">
        <v>0</v>
      </c>
      <c r="O162" s="153">
        <v>-144</v>
      </c>
      <c r="P162" s="19">
        <v>0</v>
      </c>
      <c r="Q162" s="19">
        <v>0</v>
      </c>
      <c r="R162" s="19">
        <v>0</v>
      </c>
      <c r="S162" s="19" t="str">
        <f>IFERROR(VLOOKUP(I162,'[1]PL Mensual 2026'!$I:$S,11,0),0)</f>
        <v xml:space="preserve">                                             -  </v>
      </c>
      <c r="T162" s="19">
        <v>-96</v>
      </c>
      <c r="U162" s="19">
        <v>-96</v>
      </c>
      <c r="V162" s="19">
        <v>-96</v>
      </c>
      <c r="W162" s="19">
        <f t="shared" si="4"/>
        <v>-480</v>
      </c>
      <c r="X162" t="s">
        <v>457</v>
      </c>
      <c r="AA162" s="153">
        <f>VLOOKUP(I162,'[2]BBDD P&amp;L'!$J:$AK,28,0)</f>
        <v>-480</v>
      </c>
      <c r="AB162" s="154">
        <f t="shared" si="5"/>
        <v>0</v>
      </c>
    </row>
    <row r="163" spans="2:28" x14ac:dyDescent="0.35">
      <c r="B163">
        <v>2026</v>
      </c>
      <c r="C163" t="s">
        <v>74</v>
      </c>
      <c r="D163" t="s">
        <v>75</v>
      </c>
      <c r="E163" t="s">
        <v>76</v>
      </c>
      <c r="F163" t="s">
        <v>77</v>
      </c>
      <c r="G163" t="s">
        <v>140</v>
      </c>
      <c r="H163" t="s">
        <v>198</v>
      </c>
      <c r="I163" t="s">
        <v>204</v>
      </c>
      <c r="J163" t="s">
        <v>238</v>
      </c>
      <c r="K163" s="19">
        <v>-7569.69</v>
      </c>
      <c r="L163" s="19">
        <v>1670.07</v>
      </c>
      <c r="M163" s="19">
        <v>-1388.15</v>
      </c>
      <c r="N163" s="19">
        <v>-1276.52</v>
      </c>
      <c r="O163" s="153">
        <v>-545.44999999999993</v>
      </c>
      <c r="P163" s="19">
        <v>-1758.33</v>
      </c>
      <c r="Q163" s="19">
        <v>-11469.318783520101</v>
      </c>
      <c r="R163" s="19">
        <v>667.67211181104619</v>
      </c>
      <c r="S163" s="19">
        <f>IFERROR(VLOOKUP(I163,'[1]PL Mensual 2026'!$I:$S,11,0),0)+233.86</f>
        <v>-5890.87</v>
      </c>
      <c r="T163" s="19">
        <v>-4500</v>
      </c>
      <c r="U163" s="19">
        <v>-4500</v>
      </c>
      <c r="V163" s="19">
        <v>-4500</v>
      </c>
      <c r="W163" s="19">
        <f t="shared" si="4"/>
        <v>-41060.586671709054</v>
      </c>
      <c r="X163" t="s">
        <v>512</v>
      </c>
      <c r="AA163" s="153">
        <f>VLOOKUP(I163,'[2]BBDD P&amp;L'!$J:$AK,28,0)</f>
        <v>-42741.53</v>
      </c>
      <c r="AB163" s="154">
        <f t="shared" si="5"/>
        <v>1680.9433282909449</v>
      </c>
    </row>
    <row r="164" spans="2:28" x14ac:dyDescent="0.35">
      <c r="B164">
        <v>2026</v>
      </c>
      <c r="C164" t="s">
        <v>74</v>
      </c>
      <c r="D164" t="s">
        <v>75</v>
      </c>
      <c r="E164" t="s">
        <v>76</v>
      </c>
      <c r="F164" t="s">
        <v>77</v>
      </c>
      <c r="G164" t="s">
        <v>140</v>
      </c>
      <c r="H164" t="s">
        <v>198</v>
      </c>
      <c r="I164" t="s">
        <v>205</v>
      </c>
      <c r="J164" t="s">
        <v>238</v>
      </c>
      <c r="K164" s="19">
        <v>-1148.29</v>
      </c>
      <c r="L164" s="19">
        <v>0</v>
      </c>
      <c r="M164" s="19">
        <v>-600</v>
      </c>
      <c r="N164" s="19">
        <v>-945</v>
      </c>
      <c r="O164" s="153">
        <v>0</v>
      </c>
      <c r="P164" s="19">
        <v>0</v>
      </c>
      <c r="Q164" s="19">
        <v>-514</v>
      </c>
      <c r="R164" s="19">
        <v>0</v>
      </c>
      <c r="S164" s="19" t="str">
        <f>IFERROR(VLOOKUP(I164,'[1]PL Mensual 2026'!$I:$S,11,0),0)</f>
        <v xml:space="preserve">                                             -  </v>
      </c>
      <c r="T164" s="19">
        <v>-801.82</v>
      </c>
      <c r="U164" s="19">
        <v>-801.82</v>
      </c>
      <c r="V164" s="19">
        <v>-801.82</v>
      </c>
      <c r="W164" s="19">
        <f t="shared" si="4"/>
        <v>-5612.75</v>
      </c>
      <c r="X164" t="s">
        <v>457</v>
      </c>
      <c r="AA164" s="153">
        <f>VLOOKUP(I164,'[2]BBDD P&amp;L'!$J:$AK,28,0)</f>
        <v>-5612.75</v>
      </c>
      <c r="AB164" s="154">
        <f t="shared" si="5"/>
        <v>0</v>
      </c>
    </row>
    <row r="165" spans="2:28" x14ac:dyDescent="0.35">
      <c r="B165">
        <v>2026</v>
      </c>
      <c r="C165" t="s">
        <v>74</v>
      </c>
      <c r="D165" t="s">
        <v>75</v>
      </c>
      <c r="E165" t="s">
        <v>76</v>
      </c>
      <c r="F165" t="s">
        <v>77</v>
      </c>
      <c r="G165" t="s">
        <v>140</v>
      </c>
      <c r="H165" t="s">
        <v>198</v>
      </c>
      <c r="I165" t="s">
        <v>206</v>
      </c>
      <c r="J165" t="s">
        <v>238</v>
      </c>
      <c r="K165" s="19">
        <v>0</v>
      </c>
      <c r="L165" s="19">
        <v>0</v>
      </c>
      <c r="M165" s="19">
        <v>0</v>
      </c>
      <c r="N165" s="19">
        <v>0</v>
      </c>
      <c r="O165" s="153">
        <v>0</v>
      </c>
      <c r="P165" s="19">
        <v>0</v>
      </c>
      <c r="Q165" s="19">
        <v>-90</v>
      </c>
      <c r="R165" s="19">
        <v>0</v>
      </c>
      <c r="S165" s="19">
        <f>IFERROR(VLOOKUP(I165,'[1]PL Mensual 2026'!$I:$S,11,0),0)</f>
        <v>-130</v>
      </c>
      <c r="T165" s="19">
        <v>-90</v>
      </c>
      <c r="U165" s="19">
        <v>-90</v>
      </c>
      <c r="V165" s="19">
        <v>-90</v>
      </c>
      <c r="W165" s="19">
        <f t="shared" si="4"/>
        <v>-490</v>
      </c>
      <c r="X165" t="s">
        <v>457</v>
      </c>
      <c r="AA165" s="153">
        <f>VLOOKUP(I165,'[2]BBDD P&amp;L'!$J:$AK,28,0)</f>
        <v>-490</v>
      </c>
      <c r="AB165" s="154">
        <f t="shared" si="5"/>
        <v>0</v>
      </c>
    </row>
    <row r="166" spans="2:28" x14ac:dyDescent="0.35">
      <c r="B166">
        <v>2026</v>
      </c>
      <c r="C166" t="s">
        <v>74</v>
      </c>
      <c r="D166" t="s">
        <v>75</v>
      </c>
      <c r="E166" t="s">
        <v>76</v>
      </c>
      <c r="F166" t="s">
        <v>77</v>
      </c>
      <c r="G166" t="s">
        <v>140</v>
      </c>
      <c r="H166" t="s">
        <v>198</v>
      </c>
      <c r="I166" t="s">
        <v>207</v>
      </c>
      <c r="J166" t="s">
        <v>238</v>
      </c>
      <c r="K166" s="19">
        <v>-1233.23</v>
      </c>
      <c r="L166" s="19">
        <v>0</v>
      </c>
      <c r="M166" s="19">
        <v>29.06</v>
      </c>
      <c r="N166" s="19">
        <v>46.51</v>
      </c>
      <c r="O166" s="153">
        <v>29.06</v>
      </c>
      <c r="P166" s="19">
        <v>0</v>
      </c>
      <c r="Q166" s="19">
        <v>-2125.27</v>
      </c>
      <c r="R166" s="19">
        <v>-1663.31</v>
      </c>
      <c r="S166" s="19">
        <f>IFERROR(VLOOKUP(I166,'[1]PL Mensual 2026'!$I:$S,11,0),0)</f>
        <v>-3215.9</v>
      </c>
      <c r="T166" s="19">
        <v>-819.53</v>
      </c>
      <c r="U166" s="19">
        <v>-819.53</v>
      </c>
      <c r="V166" s="19">
        <v>-819.53</v>
      </c>
      <c r="W166" s="19">
        <f t="shared" si="4"/>
        <v>-10591.670000000002</v>
      </c>
      <c r="X166" t="s">
        <v>457</v>
      </c>
      <c r="AA166" s="153">
        <f>VLOOKUP(I166,'[2]BBDD P&amp;L'!$J:$AK,28,0)</f>
        <v>-10591.670000000002</v>
      </c>
      <c r="AB166" s="154">
        <f t="shared" si="5"/>
        <v>0</v>
      </c>
    </row>
    <row r="167" spans="2:28" x14ac:dyDescent="0.35">
      <c r="B167">
        <v>2026</v>
      </c>
      <c r="C167" t="s">
        <v>74</v>
      </c>
      <c r="D167" t="s">
        <v>75</v>
      </c>
      <c r="E167" t="s">
        <v>76</v>
      </c>
      <c r="F167" t="s">
        <v>77</v>
      </c>
      <c r="G167" t="s">
        <v>140</v>
      </c>
      <c r="H167" t="s">
        <v>198</v>
      </c>
      <c r="I167" t="s">
        <v>208</v>
      </c>
      <c r="J167" t="s">
        <v>238</v>
      </c>
      <c r="K167" s="19">
        <v>-425</v>
      </c>
      <c r="L167" s="19">
        <v>0</v>
      </c>
      <c r="M167" s="19">
        <v>0</v>
      </c>
      <c r="N167" s="19">
        <v>-35.25</v>
      </c>
      <c r="O167" s="153">
        <v>-425</v>
      </c>
      <c r="P167" s="19">
        <v>0</v>
      </c>
      <c r="Q167" s="19">
        <v>0</v>
      </c>
      <c r="R167" s="19">
        <v>0</v>
      </c>
      <c r="S167" s="19">
        <f>IFERROR(VLOOKUP(I167,'[1]PL Mensual 2026'!$I:$S,11,0),0)</f>
        <v>-1958.39</v>
      </c>
      <c r="T167" s="19">
        <v>-295.08</v>
      </c>
      <c r="U167" s="19">
        <v>-295.08</v>
      </c>
      <c r="V167" s="19">
        <v>-295.08</v>
      </c>
      <c r="W167" s="19">
        <f t="shared" si="4"/>
        <v>-3728.88</v>
      </c>
      <c r="X167" t="s">
        <v>457</v>
      </c>
      <c r="AA167" s="153">
        <f>VLOOKUP(I167,'[2]BBDD P&amp;L'!$J:$AK,28,0)</f>
        <v>-3728.88</v>
      </c>
      <c r="AB167" s="154">
        <f t="shared" si="5"/>
        <v>0</v>
      </c>
    </row>
    <row r="168" spans="2:28" x14ac:dyDescent="0.35">
      <c r="B168">
        <v>2026</v>
      </c>
      <c r="C168" t="s">
        <v>74</v>
      </c>
      <c r="D168" t="s">
        <v>75</v>
      </c>
      <c r="E168" t="s">
        <v>76</v>
      </c>
      <c r="F168" t="s">
        <v>77</v>
      </c>
      <c r="G168" t="s">
        <v>140</v>
      </c>
      <c r="H168" t="s">
        <v>198</v>
      </c>
      <c r="I168" t="s">
        <v>209</v>
      </c>
      <c r="J168" t="s">
        <v>238</v>
      </c>
      <c r="K168" s="19">
        <v>-808.04</v>
      </c>
      <c r="L168" s="19">
        <v>-2163.44</v>
      </c>
      <c r="M168" s="19">
        <v>-2173.63</v>
      </c>
      <c r="N168" s="19">
        <v>-237.86</v>
      </c>
      <c r="O168" s="153">
        <v>-2671.84</v>
      </c>
      <c r="P168" s="19">
        <v>-503.74</v>
      </c>
      <c r="Q168" s="19">
        <v>-1117.8599999999999</v>
      </c>
      <c r="R168" s="19">
        <v>-932.8</v>
      </c>
      <c r="S168" s="19">
        <f>IFERROR(VLOOKUP(I168,'[1]PL Mensual 2026'!$I:$S,11,0),0)</f>
        <v>-619.42999999999995</v>
      </c>
      <c r="T168" s="19">
        <v>-1326.15</v>
      </c>
      <c r="U168" s="19">
        <v>-1326.15</v>
      </c>
      <c r="V168" s="19">
        <v>-1326.15</v>
      </c>
      <c r="W168" s="19">
        <f t="shared" si="4"/>
        <v>-15207.09</v>
      </c>
      <c r="X168" t="s">
        <v>457</v>
      </c>
      <c r="AA168" s="153">
        <f>VLOOKUP(I168,'[2]BBDD P&amp;L'!$J:$AK,28,0)</f>
        <v>-15207.09</v>
      </c>
      <c r="AB168" s="154">
        <f t="shared" si="5"/>
        <v>0</v>
      </c>
    </row>
    <row r="169" spans="2:28" x14ac:dyDescent="0.35">
      <c r="B169">
        <v>2026</v>
      </c>
      <c r="C169" t="s">
        <v>74</v>
      </c>
      <c r="D169" t="s">
        <v>75</v>
      </c>
      <c r="E169" t="s">
        <v>76</v>
      </c>
      <c r="F169" t="s">
        <v>77</v>
      </c>
      <c r="G169" t="s">
        <v>140</v>
      </c>
      <c r="H169" t="s">
        <v>198</v>
      </c>
      <c r="I169" t="s">
        <v>210</v>
      </c>
      <c r="J169" t="s">
        <v>238</v>
      </c>
      <c r="K169" s="19">
        <v>0</v>
      </c>
      <c r="L169" s="19">
        <v>0</v>
      </c>
      <c r="M169" s="19">
        <v>-400</v>
      </c>
      <c r="N169" s="19">
        <v>0</v>
      </c>
      <c r="O169" s="153">
        <v>-625.20000000000005</v>
      </c>
      <c r="P169" s="19">
        <v>0</v>
      </c>
      <c r="Q169" s="19">
        <v>0</v>
      </c>
      <c r="R169" s="19">
        <v>-4513.8</v>
      </c>
      <c r="S169" s="19" t="str">
        <f>IFERROR(VLOOKUP(I169,'[1]PL Mensual 2026'!$I:$S,11,0),0)</f>
        <v xml:space="preserve">                                             -  </v>
      </c>
      <c r="T169" s="19">
        <v>-1846.33</v>
      </c>
      <c r="U169" s="19">
        <v>-1846.33</v>
      </c>
      <c r="V169" s="19">
        <v>-1846.33</v>
      </c>
      <c r="W169" s="19">
        <f t="shared" si="4"/>
        <v>-11077.99</v>
      </c>
      <c r="X169" t="s">
        <v>457</v>
      </c>
      <c r="AA169" s="153">
        <f>VLOOKUP(I169,'[2]BBDD P&amp;L'!$J:$AK,28,0)</f>
        <v>-11077.99</v>
      </c>
      <c r="AB169" s="154">
        <f t="shared" si="5"/>
        <v>0</v>
      </c>
    </row>
    <row r="170" spans="2:28" x14ac:dyDescent="0.35">
      <c r="B170">
        <v>2026</v>
      </c>
      <c r="C170" t="s">
        <v>74</v>
      </c>
      <c r="D170" t="s">
        <v>75</v>
      </c>
      <c r="E170" t="s">
        <v>76</v>
      </c>
      <c r="F170" t="s">
        <v>77</v>
      </c>
      <c r="G170" t="s">
        <v>140</v>
      </c>
      <c r="H170" t="s">
        <v>198</v>
      </c>
      <c r="I170" t="s">
        <v>211</v>
      </c>
      <c r="J170" t="s">
        <v>238</v>
      </c>
      <c r="K170" s="19">
        <v>0</v>
      </c>
      <c r="L170" s="19">
        <v>-351.4</v>
      </c>
      <c r="M170" s="19">
        <v>0</v>
      </c>
      <c r="N170" s="19">
        <v>0</v>
      </c>
      <c r="O170" s="153">
        <v>0</v>
      </c>
      <c r="P170" s="19">
        <v>0</v>
      </c>
      <c r="Q170" s="19">
        <v>-98.8</v>
      </c>
      <c r="R170" s="19">
        <v>-340</v>
      </c>
      <c r="S170" s="19">
        <f>IFERROR(VLOOKUP(I170,'[1]PL Mensual 2026'!$I:$S,11,0),0)</f>
        <v>-277.02999999999997</v>
      </c>
      <c r="T170" s="19">
        <v>-263.39999999999998</v>
      </c>
      <c r="U170" s="19">
        <v>-263.39999999999998</v>
      </c>
      <c r="V170" s="19">
        <v>-263.39999999999998</v>
      </c>
      <c r="W170" s="19">
        <f t="shared" si="4"/>
        <v>-1857.4300000000003</v>
      </c>
      <c r="X170" t="s">
        <v>457</v>
      </c>
      <c r="AA170" s="153">
        <f>VLOOKUP(I170,'[2]BBDD P&amp;L'!$J:$AK,28,0)</f>
        <v>-1857.4300000000003</v>
      </c>
      <c r="AB170" s="154">
        <f t="shared" si="5"/>
        <v>0</v>
      </c>
    </row>
    <row r="171" spans="2:28" x14ac:dyDescent="0.35">
      <c r="B171">
        <v>2026</v>
      </c>
      <c r="C171" t="s">
        <v>74</v>
      </c>
      <c r="D171" t="s">
        <v>75</v>
      </c>
      <c r="E171" t="s">
        <v>76</v>
      </c>
      <c r="F171" t="s">
        <v>77</v>
      </c>
      <c r="G171" t="s">
        <v>140</v>
      </c>
      <c r="H171" t="s">
        <v>198</v>
      </c>
      <c r="I171" t="s">
        <v>430</v>
      </c>
      <c r="J171" t="s">
        <v>238</v>
      </c>
      <c r="K171" s="19">
        <v>0</v>
      </c>
      <c r="L171" s="19">
        <v>0</v>
      </c>
      <c r="M171" s="19">
        <v>0</v>
      </c>
      <c r="N171" s="19">
        <v>0</v>
      </c>
      <c r="O171" s="153">
        <v>0</v>
      </c>
      <c r="P171" s="19">
        <v>0</v>
      </c>
      <c r="Q171" s="19">
        <v>-206.45</v>
      </c>
      <c r="R171" s="19">
        <v>-107.24</v>
      </c>
      <c r="S171" s="19">
        <f>IFERROR(VLOOKUP(I171,'[1]PL Mensual 2026'!$I:$S,11,0),0)</f>
        <v>-40.880000000000003</v>
      </c>
      <c r="T171" s="19">
        <v>-156.84</v>
      </c>
      <c r="U171" s="19">
        <v>-156.84</v>
      </c>
      <c r="V171" s="19">
        <v>-156.84</v>
      </c>
      <c r="W171" s="19">
        <f t="shared" si="4"/>
        <v>-825.09</v>
      </c>
      <c r="X171" t="s">
        <v>457</v>
      </c>
      <c r="AA171" s="153">
        <f>VLOOKUP(I171,'[2]BBDD P&amp;L'!$J:$AK,28,0)</f>
        <v>-825.09</v>
      </c>
      <c r="AB171" s="154">
        <f t="shared" si="5"/>
        <v>0</v>
      </c>
    </row>
    <row r="172" spans="2:28" x14ac:dyDescent="0.35">
      <c r="B172">
        <v>2026</v>
      </c>
      <c r="C172" t="s">
        <v>74</v>
      </c>
      <c r="D172" t="s">
        <v>75</v>
      </c>
      <c r="E172" t="s">
        <v>76</v>
      </c>
      <c r="F172" t="s">
        <v>77</v>
      </c>
      <c r="G172" t="s">
        <v>140</v>
      </c>
      <c r="H172" t="s">
        <v>198</v>
      </c>
      <c r="I172" t="s">
        <v>434</v>
      </c>
      <c r="J172" t="s">
        <v>238</v>
      </c>
      <c r="K172" s="19">
        <v>0</v>
      </c>
      <c r="L172" s="19">
        <v>0</v>
      </c>
      <c r="M172" s="19">
        <v>0</v>
      </c>
      <c r="N172" s="19">
        <v>0</v>
      </c>
      <c r="O172" s="153">
        <v>0</v>
      </c>
      <c r="P172" s="19">
        <v>0</v>
      </c>
      <c r="Q172" s="19">
        <v>0</v>
      </c>
      <c r="R172" s="19">
        <v>-500.03</v>
      </c>
      <c r="S172" s="19" t="str">
        <f>IFERROR(VLOOKUP(I172,'[1]PL Mensual 2026'!$I:$S,11,0),0)</f>
        <v xml:space="preserve">                                             -  </v>
      </c>
      <c r="T172" s="19">
        <v>-500.03</v>
      </c>
      <c r="U172" s="19">
        <v>-500.03</v>
      </c>
      <c r="V172" s="19">
        <v>-500.03</v>
      </c>
      <c r="W172" s="19">
        <f t="shared" si="4"/>
        <v>-2000.12</v>
      </c>
      <c r="X172" t="s">
        <v>457</v>
      </c>
      <c r="AA172" s="153">
        <f>VLOOKUP(I172,'[2]BBDD P&amp;L'!$J:$AK,28,0)</f>
        <v>-2000.12</v>
      </c>
      <c r="AB172" s="154">
        <f t="shared" si="5"/>
        <v>0</v>
      </c>
    </row>
    <row r="173" spans="2:28" x14ac:dyDescent="0.35">
      <c r="B173">
        <v>2026</v>
      </c>
      <c r="C173" t="s">
        <v>74</v>
      </c>
      <c r="D173" t="s">
        <v>75</v>
      </c>
      <c r="E173" t="s">
        <v>76</v>
      </c>
      <c r="F173" t="s">
        <v>77</v>
      </c>
      <c r="G173" t="s">
        <v>140</v>
      </c>
      <c r="H173" t="s">
        <v>198</v>
      </c>
      <c r="I173" t="s">
        <v>212</v>
      </c>
      <c r="J173" t="s">
        <v>238</v>
      </c>
      <c r="K173" s="19">
        <v>-1325.34</v>
      </c>
      <c r="L173" s="19">
        <v>-2819.19</v>
      </c>
      <c r="M173" s="19">
        <v>-1737.88</v>
      </c>
      <c r="N173" s="19">
        <v>-1506.87</v>
      </c>
      <c r="O173" s="153">
        <v>-2533.9299999999998</v>
      </c>
      <c r="P173" s="19">
        <v>-5047.3500000000004</v>
      </c>
      <c r="Q173" s="19">
        <v>-6591.35</v>
      </c>
      <c r="R173" s="19">
        <v>-2380.04</v>
      </c>
      <c r="S173" s="19">
        <f>IFERROR(VLOOKUP(I173,'[1]PL Mensual 2026'!$I:$S,11,0),0)</f>
        <v>-2431.8200000000002</v>
      </c>
      <c r="T173" s="19">
        <v>-3200</v>
      </c>
      <c r="U173" s="19">
        <v>-3200</v>
      </c>
      <c r="V173" s="19">
        <v>-3500</v>
      </c>
      <c r="W173" s="19">
        <f t="shared" si="4"/>
        <v>-36273.770000000004</v>
      </c>
      <c r="X173" t="s">
        <v>458</v>
      </c>
      <c r="AA173" s="153">
        <f>VLOOKUP(I173,'[2]BBDD P&amp;L'!$J:$AK,28,0)</f>
        <v>-36273.770000000004</v>
      </c>
      <c r="AB173" s="154">
        <f t="shared" si="5"/>
        <v>0</v>
      </c>
    </row>
    <row r="174" spans="2:28" x14ac:dyDescent="0.35">
      <c r="B174">
        <v>2026</v>
      </c>
      <c r="C174" t="s">
        <v>74</v>
      </c>
      <c r="D174" t="s">
        <v>75</v>
      </c>
      <c r="E174" t="s">
        <v>76</v>
      </c>
      <c r="F174" t="s">
        <v>77</v>
      </c>
      <c r="G174" t="s">
        <v>140</v>
      </c>
      <c r="H174" t="s">
        <v>198</v>
      </c>
      <c r="I174" t="s">
        <v>381</v>
      </c>
      <c r="J174" t="s">
        <v>238</v>
      </c>
      <c r="K174" s="19">
        <v>-3865.16</v>
      </c>
      <c r="L174" s="19">
        <v>34.200000000000003</v>
      </c>
      <c r="M174" s="19">
        <v>-1710.02</v>
      </c>
      <c r="N174" s="19">
        <v>-532.08000000000004</v>
      </c>
      <c r="O174" s="153">
        <v>-2522.2600000000002</v>
      </c>
      <c r="P174" s="19">
        <v>-4633.3500000000004</v>
      </c>
      <c r="Q174" s="19">
        <v>-2854.53</v>
      </c>
      <c r="R174" s="19">
        <v>-1290.01</v>
      </c>
      <c r="S174" s="19">
        <f>IFERROR(VLOOKUP(I174,'[1]PL Mensual 2026'!$I:$S,11,0),0)</f>
        <v>-315.52</v>
      </c>
      <c r="T174" s="19">
        <v>-2300</v>
      </c>
      <c r="U174" s="19">
        <v>-2300</v>
      </c>
      <c r="V174" s="19">
        <v>-2500</v>
      </c>
      <c r="W174" s="19">
        <f t="shared" si="4"/>
        <v>-24788.73</v>
      </c>
      <c r="X174" t="s">
        <v>459</v>
      </c>
      <c r="AA174" s="153">
        <f>VLOOKUP(I174,'[2]BBDD P&amp;L'!$J:$AK,28,0)</f>
        <v>-24788.73</v>
      </c>
      <c r="AB174" s="154">
        <f t="shared" si="5"/>
        <v>0</v>
      </c>
    </row>
    <row r="175" spans="2:28" x14ac:dyDescent="0.35">
      <c r="B175">
        <v>2026</v>
      </c>
      <c r="C175" t="s">
        <v>74</v>
      </c>
      <c r="D175" t="s">
        <v>75</v>
      </c>
      <c r="E175" t="s">
        <v>76</v>
      </c>
      <c r="F175" t="s">
        <v>77</v>
      </c>
      <c r="G175" t="s">
        <v>140</v>
      </c>
      <c r="H175" t="s">
        <v>198</v>
      </c>
      <c r="I175" t="s">
        <v>213</v>
      </c>
      <c r="J175" t="s">
        <v>238</v>
      </c>
      <c r="K175" s="19">
        <v>-557.42999999999995</v>
      </c>
      <c r="L175" s="19">
        <v>-1592.89</v>
      </c>
      <c r="M175" s="19">
        <v>-800.56</v>
      </c>
      <c r="N175" s="19">
        <v>-929.26</v>
      </c>
      <c r="O175" s="153">
        <v>-1786.27</v>
      </c>
      <c r="P175" s="19">
        <v>-936.54</v>
      </c>
      <c r="Q175" s="19">
        <v>-759.39</v>
      </c>
      <c r="R175" s="19">
        <v>-1377.28</v>
      </c>
      <c r="S175" s="19">
        <f>IFERROR(VLOOKUP(I175,'[1]PL Mensual 2026'!$I:$S,11,0),0)</f>
        <v>-1722.71</v>
      </c>
      <c r="T175" s="19">
        <v>-1092.45</v>
      </c>
      <c r="U175" s="19">
        <v>-1092.45</v>
      </c>
      <c r="V175" s="19">
        <v>-1092.45</v>
      </c>
      <c r="W175" s="19">
        <f t="shared" si="4"/>
        <v>-13739.680000000004</v>
      </c>
      <c r="X175" t="s">
        <v>457</v>
      </c>
      <c r="AA175" s="153">
        <f>VLOOKUP(I175,'[2]BBDD P&amp;L'!$J:$AK,28,0)</f>
        <v>-13739.680000000004</v>
      </c>
      <c r="AB175" s="154">
        <f t="shared" si="5"/>
        <v>0</v>
      </c>
    </row>
    <row r="176" spans="2:28" x14ac:dyDescent="0.35">
      <c r="B176">
        <v>2026</v>
      </c>
      <c r="C176" t="s">
        <v>74</v>
      </c>
      <c r="D176" t="s">
        <v>75</v>
      </c>
      <c r="E176" t="s">
        <v>76</v>
      </c>
      <c r="F176" t="s">
        <v>77</v>
      </c>
      <c r="G176" t="s">
        <v>140</v>
      </c>
      <c r="H176" t="s">
        <v>198</v>
      </c>
      <c r="I176" t="s">
        <v>214</v>
      </c>
      <c r="J176" t="s">
        <v>238</v>
      </c>
      <c r="K176" s="19">
        <v>-274.08</v>
      </c>
      <c r="L176" s="19">
        <v>-503.96</v>
      </c>
      <c r="M176" s="19">
        <v>-762.8</v>
      </c>
      <c r="N176" s="19">
        <v>-391.86</v>
      </c>
      <c r="O176" s="153">
        <v>-3016.62</v>
      </c>
      <c r="P176" s="19">
        <v>-553.36</v>
      </c>
      <c r="Q176" s="19">
        <v>-614.65</v>
      </c>
      <c r="R176" s="19">
        <v>-283.02999999999997</v>
      </c>
      <c r="S176" s="19">
        <f>IFERROR(VLOOKUP(I176,'[1]PL Mensual 2026'!$I:$S,11,0),0)</f>
        <v>-1839.72</v>
      </c>
      <c r="T176" s="19">
        <v>-800.04</v>
      </c>
      <c r="U176" s="19">
        <v>-800.04</v>
      </c>
      <c r="V176" s="19">
        <v>-800.04</v>
      </c>
      <c r="W176" s="19">
        <f t="shared" si="4"/>
        <v>-10640.2</v>
      </c>
      <c r="X176" t="s">
        <v>457</v>
      </c>
      <c r="AA176" s="153">
        <f>VLOOKUP(I176,'[2]BBDD P&amp;L'!$J:$AK,28,0)</f>
        <v>-10640.2</v>
      </c>
      <c r="AB176" s="154">
        <f t="shared" si="5"/>
        <v>0</v>
      </c>
    </row>
    <row r="177" spans="2:28" x14ac:dyDescent="0.35">
      <c r="B177">
        <v>2026</v>
      </c>
      <c r="C177" t="s">
        <v>74</v>
      </c>
      <c r="D177" t="s">
        <v>75</v>
      </c>
      <c r="E177" t="s">
        <v>76</v>
      </c>
      <c r="F177" t="s">
        <v>77</v>
      </c>
      <c r="G177" t="s">
        <v>140</v>
      </c>
      <c r="H177" t="s">
        <v>198</v>
      </c>
      <c r="I177" t="s">
        <v>215</v>
      </c>
      <c r="J177" t="s">
        <v>238</v>
      </c>
      <c r="K177" s="19">
        <v>-313.19</v>
      </c>
      <c r="L177" s="19">
        <v>-219.25</v>
      </c>
      <c r="M177" s="19">
        <v>-436.29</v>
      </c>
      <c r="N177" s="19">
        <v>-325.14999999999998</v>
      </c>
      <c r="O177" s="153">
        <v>-506.79</v>
      </c>
      <c r="P177" s="19">
        <v>-887.3</v>
      </c>
      <c r="Q177" s="19">
        <v>-413.5</v>
      </c>
      <c r="R177" s="19">
        <v>-281.24</v>
      </c>
      <c r="S177" s="19">
        <f>IFERROR(VLOOKUP(I177,'[1]PL Mensual 2026'!$I:$S,11,0),0)</f>
        <v>-106.75</v>
      </c>
      <c r="T177" s="19">
        <v>-422.84</v>
      </c>
      <c r="U177" s="19">
        <v>-422.84</v>
      </c>
      <c r="V177" s="19">
        <v>-422.84</v>
      </c>
      <c r="W177" s="19">
        <f t="shared" si="4"/>
        <v>-4757.9800000000005</v>
      </c>
      <c r="X177" t="s">
        <v>457</v>
      </c>
      <c r="AA177" s="153">
        <f>VLOOKUP(I177,'[2]BBDD P&amp;L'!$J:$AK,28,0)</f>
        <v>-4757.9800000000005</v>
      </c>
      <c r="AB177" s="154">
        <f t="shared" si="5"/>
        <v>0</v>
      </c>
    </row>
    <row r="178" spans="2:28" x14ac:dyDescent="0.35">
      <c r="B178">
        <v>2026</v>
      </c>
      <c r="C178" t="s">
        <v>74</v>
      </c>
      <c r="D178" t="s">
        <v>75</v>
      </c>
      <c r="E178" t="s">
        <v>76</v>
      </c>
      <c r="F178" t="s">
        <v>77</v>
      </c>
      <c r="G178" t="s">
        <v>140</v>
      </c>
      <c r="H178" t="s">
        <v>198</v>
      </c>
      <c r="I178" t="s">
        <v>216</v>
      </c>
      <c r="J178" t="s">
        <v>238</v>
      </c>
      <c r="K178" s="19">
        <v>-118.28</v>
      </c>
      <c r="L178" s="19">
        <v>0</v>
      </c>
      <c r="M178" s="19">
        <v>-301.79000000000002</v>
      </c>
      <c r="N178" s="19">
        <v>-166.56</v>
      </c>
      <c r="O178" s="19">
        <v>-222.62</v>
      </c>
      <c r="P178" s="19">
        <v>-202.95</v>
      </c>
      <c r="Q178" s="19">
        <v>0</v>
      </c>
      <c r="R178" s="19">
        <v>0</v>
      </c>
      <c r="S178" s="19" t="str">
        <f>IFERROR(VLOOKUP(I178,'[1]PL Mensual 2026'!$I:$S,11,0),0)</f>
        <v xml:space="preserve">                                             -  </v>
      </c>
      <c r="T178" s="19">
        <v>-202.44</v>
      </c>
      <c r="U178" s="19">
        <v>-202.44</v>
      </c>
      <c r="V178" s="19">
        <v>-202.44</v>
      </c>
      <c r="W178" s="19">
        <f t="shared" si="4"/>
        <v>-1619.5200000000002</v>
      </c>
      <c r="X178" t="s">
        <v>457</v>
      </c>
      <c r="AA178" s="153">
        <f>VLOOKUP(I178,'[2]BBDD P&amp;L'!$J:$AK,28,0)</f>
        <v>-1619.5200000000002</v>
      </c>
      <c r="AB178" s="154">
        <f t="shared" si="5"/>
        <v>0</v>
      </c>
    </row>
    <row r="179" spans="2:28" x14ac:dyDescent="0.35">
      <c r="B179">
        <v>2026</v>
      </c>
      <c r="C179" t="s">
        <v>74</v>
      </c>
      <c r="D179" t="s">
        <v>75</v>
      </c>
      <c r="E179" t="s">
        <v>76</v>
      </c>
      <c r="F179" t="s">
        <v>77</v>
      </c>
      <c r="G179" t="s">
        <v>140</v>
      </c>
      <c r="H179" t="s">
        <v>198</v>
      </c>
      <c r="I179" t="s">
        <v>217</v>
      </c>
      <c r="J179" t="s">
        <v>238</v>
      </c>
      <c r="K179" s="19">
        <v>-210.18</v>
      </c>
      <c r="L179" s="19">
        <v>0</v>
      </c>
      <c r="M179" s="19">
        <v>-33.06</v>
      </c>
      <c r="N179" s="19">
        <v>0</v>
      </c>
      <c r="O179" s="19">
        <v>0</v>
      </c>
      <c r="P179" s="19">
        <v>-20.5</v>
      </c>
      <c r="Q179" s="19">
        <v>0</v>
      </c>
      <c r="R179" s="19">
        <v>-100.45</v>
      </c>
      <c r="S179" s="19" t="str">
        <f>IFERROR(VLOOKUP(I179,'[1]PL Mensual 2026'!$I:$S,11,0),0)</f>
        <v xml:space="preserve">                                             -  </v>
      </c>
      <c r="T179" s="19">
        <v>-91.05</v>
      </c>
      <c r="U179" s="19">
        <v>-91.05</v>
      </c>
      <c r="V179" s="19">
        <v>-91.05</v>
      </c>
      <c r="W179" s="19">
        <f t="shared" si="4"/>
        <v>-637.33999999999992</v>
      </c>
      <c r="X179" t="s">
        <v>457</v>
      </c>
      <c r="AA179" s="153">
        <f>VLOOKUP(I179,'[2]BBDD P&amp;L'!$J:$AK,28,0)</f>
        <v>-637.33999999999992</v>
      </c>
      <c r="AB179" s="154">
        <f t="shared" si="5"/>
        <v>0</v>
      </c>
    </row>
    <row r="180" spans="2:28" x14ac:dyDescent="0.35">
      <c r="B180">
        <v>2026</v>
      </c>
      <c r="C180" t="s">
        <v>74</v>
      </c>
      <c r="D180" t="s">
        <v>75</v>
      </c>
      <c r="E180" t="s">
        <v>76</v>
      </c>
      <c r="F180" t="s">
        <v>77</v>
      </c>
      <c r="G180" t="s">
        <v>140</v>
      </c>
      <c r="H180" t="s">
        <v>198</v>
      </c>
      <c r="I180" t="s">
        <v>435</v>
      </c>
      <c r="J180" t="s">
        <v>238</v>
      </c>
      <c r="K180" s="19">
        <v>0</v>
      </c>
      <c r="L180" s="19">
        <v>0</v>
      </c>
      <c r="M180" s="19">
        <v>0</v>
      </c>
      <c r="N180" s="19">
        <v>0</v>
      </c>
      <c r="O180" s="153">
        <v>0</v>
      </c>
      <c r="P180" s="19">
        <v>0</v>
      </c>
      <c r="Q180" s="19">
        <v>0</v>
      </c>
      <c r="R180" s="19">
        <v>-141.13999999999999</v>
      </c>
      <c r="S180" s="19">
        <f>IFERROR(VLOOKUP(I180,'[1]PL Mensual 2026'!$I:$S,11,0),0)</f>
        <v>-326.58</v>
      </c>
      <c r="T180" s="19">
        <v>-141.13999999999999</v>
      </c>
      <c r="U180" s="19">
        <v>-141.13999999999999</v>
      </c>
      <c r="V180" s="19">
        <v>-141.13999999999999</v>
      </c>
      <c r="W180" s="19">
        <f t="shared" si="4"/>
        <v>-891.13999999999987</v>
      </c>
      <c r="X180" t="s">
        <v>457</v>
      </c>
      <c r="AA180" s="153">
        <f>VLOOKUP(I180,'[2]BBDD P&amp;L'!$J:$AK,28,0)</f>
        <v>-891.13999999999987</v>
      </c>
      <c r="AB180" s="154">
        <f t="shared" si="5"/>
        <v>0</v>
      </c>
    </row>
    <row r="181" spans="2:28" x14ac:dyDescent="0.35">
      <c r="B181">
        <v>2026</v>
      </c>
      <c r="C181" t="s">
        <v>74</v>
      </c>
      <c r="D181" t="s">
        <v>75</v>
      </c>
      <c r="E181" t="s">
        <v>76</v>
      </c>
      <c r="F181" t="s">
        <v>77</v>
      </c>
      <c r="G181" t="s">
        <v>140</v>
      </c>
      <c r="H181" t="s">
        <v>218</v>
      </c>
      <c r="I181" t="s">
        <v>382</v>
      </c>
      <c r="J181" t="s">
        <v>238</v>
      </c>
      <c r="K181" s="19">
        <v>0</v>
      </c>
      <c r="L181" s="19">
        <v>0</v>
      </c>
      <c r="M181" s="19">
        <v>0</v>
      </c>
      <c r="N181" s="19">
        <v>-284.56</v>
      </c>
      <c r="O181" s="153">
        <v>-27.57</v>
      </c>
      <c r="P181" s="19">
        <v>0</v>
      </c>
      <c r="Q181" s="19">
        <v>0</v>
      </c>
      <c r="R181" s="19">
        <v>0</v>
      </c>
      <c r="S181" s="19" t="str">
        <f>IFERROR(VLOOKUP(I181,'[1]PL Mensual 2026'!$I:$S,11,0),0)</f>
        <v xml:space="preserve">                                             -  </v>
      </c>
      <c r="T181" s="19">
        <v>-156.06</v>
      </c>
      <c r="U181" s="19">
        <v>-156.06</v>
      </c>
      <c r="V181" s="19">
        <v>-156.06</v>
      </c>
      <c r="W181" s="19">
        <f t="shared" si="4"/>
        <v>-780.31</v>
      </c>
      <c r="X181" t="s">
        <v>460</v>
      </c>
      <c r="AA181" s="153">
        <f>VLOOKUP(I181,'[2]BBDD P&amp;L'!$J:$AK,28,0)</f>
        <v>-780.31</v>
      </c>
      <c r="AB181" s="154">
        <f t="shared" si="5"/>
        <v>0</v>
      </c>
    </row>
    <row r="182" spans="2:28" x14ac:dyDescent="0.35">
      <c r="B182">
        <v>2026</v>
      </c>
      <c r="C182" t="s">
        <v>74</v>
      </c>
      <c r="D182" t="s">
        <v>75</v>
      </c>
      <c r="E182" t="s">
        <v>76</v>
      </c>
      <c r="F182" t="s">
        <v>77</v>
      </c>
      <c r="G182" t="s">
        <v>140</v>
      </c>
      <c r="H182" t="s">
        <v>218</v>
      </c>
      <c r="I182" t="s">
        <v>403</v>
      </c>
      <c r="J182" t="s">
        <v>238</v>
      </c>
      <c r="K182" s="19">
        <v>0</v>
      </c>
      <c r="L182" s="19">
        <v>0</v>
      </c>
      <c r="M182" s="19">
        <v>0</v>
      </c>
      <c r="N182" s="19">
        <v>0</v>
      </c>
      <c r="O182" s="153">
        <v>-581.49</v>
      </c>
      <c r="P182" s="19">
        <v>0</v>
      </c>
      <c r="Q182" s="19">
        <v>0</v>
      </c>
      <c r="R182" s="19">
        <v>0</v>
      </c>
      <c r="S182" s="19" t="str">
        <f>IFERROR(VLOOKUP(I182,'[1]PL Mensual 2026'!$I:$S,11,0),0)</f>
        <v xml:space="preserve">                                             -  </v>
      </c>
      <c r="T182" s="19">
        <v>0</v>
      </c>
      <c r="U182" s="19">
        <v>0</v>
      </c>
      <c r="V182" s="19">
        <v>0</v>
      </c>
      <c r="W182" s="19">
        <f t="shared" si="4"/>
        <v>-581.49</v>
      </c>
      <c r="X182" t="s">
        <v>490</v>
      </c>
      <c r="AA182" s="153">
        <f>VLOOKUP(I182,'[2]BBDD P&amp;L'!$J:$AK,28,0)</f>
        <v>-581.49</v>
      </c>
      <c r="AB182" s="154">
        <f t="shared" si="5"/>
        <v>0</v>
      </c>
    </row>
    <row r="183" spans="2:28" x14ac:dyDescent="0.35">
      <c r="B183">
        <v>2026</v>
      </c>
      <c r="C183" t="s">
        <v>74</v>
      </c>
      <c r="D183" t="s">
        <v>75</v>
      </c>
      <c r="E183" t="s">
        <v>76</v>
      </c>
      <c r="F183" t="s">
        <v>77</v>
      </c>
      <c r="G183" t="s">
        <v>140</v>
      </c>
      <c r="H183" t="s">
        <v>218</v>
      </c>
      <c r="I183" t="s">
        <v>436</v>
      </c>
      <c r="J183" t="s">
        <v>238</v>
      </c>
      <c r="K183" s="19">
        <v>0</v>
      </c>
      <c r="L183" s="19">
        <v>0</v>
      </c>
      <c r="M183" s="19">
        <v>0</v>
      </c>
      <c r="N183" s="19">
        <v>0</v>
      </c>
      <c r="O183" s="153">
        <v>0</v>
      </c>
      <c r="P183" s="19">
        <v>0</v>
      </c>
      <c r="Q183" s="19">
        <v>0</v>
      </c>
      <c r="R183" s="19">
        <v>-7396.59</v>
      </c>
      <c r="S183" s="19" t="str">
        <f>IFERROR(VLOOKUP(I183,'[1]PL Mensual 2026'!$I:$S,11,0),0)</f>
        <v xml:space="preserve">                                             -  </v>
      </c>
      <c r="T183" s="19">
        <v>0</v>
      </c>
      <c r="U183" s="19">
        <v>0</v>
      </c>
      <c r="V183" s="19">
        <v>0</v>
      </c>
      <c r="W183" s="19">
        <f t="shared" si="4"/>
        <v>-7396.59</v>
      </c>
      <c r="X183" t="s">
        <v>491</v>
      </c>
      <c r="AA183" s="153" t="e">
        <f>VLOOKUP(I183,'[2]BBDD P&amp;L'!$J:$AK,28,0)</f>
        <v>#N/A</v>
      </c>
      <c r="AB183" s="154" t="e">
        <f t="shared" si="5"/>
        <v>#N/A</v>
      </c>
    </row>
    <row r="184" spans="2:28" x14ac:dyDescent="0.35">
      <c r="B184">
        <v>2026</v>
      </c>
      <c r="C184" t="s">
        <v>74</v>
      </c>
      <c r="D184" t="s">
        <v>75</v>
      </c>
      <c r="E184" t="s">
        <v>76</v>
      </c>
      <c r="F184" t="s">
        <v>77</v>
      </c>
      <c r="G184" t="s">
        <v>140</v>
      </c>
      <c r="H184" t="s">
        <v>218</v>
      </c>
      <c r="I184" t="s">
        <v>219</v>
      </c>
      <c r="J184" t="s">
        <v>238</v>
      </c>
      <c r="K184" s="19">
        <v>-5921.54</v>
      </c>
      <c r="L184" s="19">
        <v>-1801.72</v>
      </c>
      <c r="M184" s="19">
        <v>-2503.2199999999998</v>
      </c>
      <c r="N184" s="19">
        <v>-285.97000000000003</v>
      </c>
      <c r="O184" s="153">
        <v>-159.84</v>
      </c>
      <c r="P184" s="19">
        <v>-4575.29</v>
      </c>
      <c r="Q184" s="19">
        <v>-5203.66</v>
      </c>
      <c r="R184" s="19">
        <v>-838.08</v>
      </c>
      <c r="S184" s="19">
        <f>IFERROR(VLOOKUP(I184,'[1]PL Mensual 2026'!$I:$S,11,0),0)</f>
        <v>-1446.16</v>
      </c>
      <c r="T184" s="19">
        <v>-2182.79</v>
      </c>
      <c r="U184" s="19">
        <v>-2976.53</v>
      </c>
      <c r="V184" s="19">
        <v>-3174.97</v>
      </c>
      <c r="W184" s="19">
        <f t="shared" si="4"/>
        <v>-31069.77</v>
      </c>
      <c r="X184" t="s">
        <v>461</v>
      </c>
      <c r="AA184" s="153">
        <f>VLOOKUP(I184,'[2]BBDD P&amp;L'!$J:$AK,28,0)</f>
        <v>-31069.77</v>
      </c>
      <c r="AB184" s="154">
        <f t="shared" si="5"/>
        <v>0</v>
      </c>
    </row>
    <row r="185" spans="2:28" x14ac:dyDescent="0.35">
      <c r="B185">
        <v>2026</v>
      </c>
      <c r="C185" t="s">
        <v>74</v>
      </c>
      <c r="D185" t="s">
        <v>75</v>
      </c>
      <c r="E185" t="s">
        <v>76</v>
      </c>
      <c r="F185" t="s">
        <v>77</v>
      </c>
      <c r="G185" t="s">
        <v>140</v>
      </c>
      <c r="H185" t="s">
        <v>220</v>
      </c>
      <c r="I185" t="s">
        <v>221</v>
      </c>
      <c r="J185" t="s">
        <v>238</v>
      </c>
      <c r="K185" s="19">
        <v>-693.91</v>
      </c>
      <c r="L185" s="19">
        <v>-557.9</v>
      </c>
      <c r="M185" s="19">
        <v>-881.48</v>
      </c>
      <c r="N185" s="19">
        <v>-630.79</v>
      </c>
      <c r="O185" s="153">
        <v>0</v>
      </c>
      <c r="P185" s="19">
        <v>0</v>
      </c>
      <c r="Q185" s="19">
        <v>0</v>
      </c>
      <c r="R185" s="19">
        <v>0</v>
      </c>
      <c r="S185" s="19" t="str">
        <f>IFERROR(VLOOKUP(I185,'[1]PL Mensual 2026'!$I:$S,11,0),0)</f>
        <v xml:space="preserve">                                             -  </v>
      </c>
      <c r="T185" s="19">
        <v>0</v>
      </c>
      <c r="U185" s="19">
        <v>0</v>
      </c>
      <c r="V185" s="19">
        <v>0</v>
      </c>
      <c r="W185" s="19">
        <f t="shared" si="4"/>
        <v>-2764.08</v>
      </c>
      <c r="X185" t="s">
        <v>492</v>
      </c>
      <c r="AA185" s="153">
        <f>VLOOKUP(I185,'[2]BBDD P&amp;L'!$J:$AK,28,0)</f>
        <v>-2764.08</v>
      </c>
      <c r="AB185" s="154">
        <f t="shared" si="5"/>
        <v>0</v>
      </c>
    </row>
    <row r="186" spans="2:28" x14ac:dyDescent="0.35">
      <c r="B186">
        <v>2026</v>
      </c>
      <c r="C186" t="s">
        <v>74</v>
      </c>
      <c r="D186" t="s">
        <v>75</v>
      </c>
      <c r="E186" t="s">
        <v>76</v>
      </c>
      <c r="F186" t="s">
        <v>77</v>
      </c>
      <c r="G186" t="s">
        <v>140</v>
      </c>
      <c r="H186" t="s">
        <v>417</v>
      </c>
      <c r="I186" t="s">
        <v>416</v>
      </c>
      <c r="J186" t="s">
        <v>238</v>
      </c>
      <c r="K186" s="19">
        <v>0</v>
      </c>
      <c r="L186" s="19">
        <v>0</v>
      </c>
      <c r="M186" s="19">
        <v>0</v>
      </c>
      <c r="N186" s="19">
        <v>0</v>
      </c>
      <c r="O186" s="153">
        <v>0</v>
      </c>
      <c r="P186" s="19">
        <v>-211.6</v>
      </c>
      <c r="Q186" s="19">
        <v>0</v>
      </c>
      <c r="R186" s="19">
        <v>0</v>
      </c>
      <c r="S186" s="19" t="str">
        <f>IFERROR(VLOOKUP(I186,'[1]PL Mensual 2026'!$I:$S,11,0),0)</f>
        <v xml:space="preserve">                                             -  </v>
      </c>
      <c r="T186" s="19">
        <v>0</v>
      </c>
      <c r="U186" s="19">
        <v>0</v>
      </c>
      <c r="V186" s="19">
        <v>0</v>
      </c>
      <c r="W186" s="19">
        <f t="shared" si="4"/>
        <v>-211.6</v>
      </c>
      <c r="X186" t="s">
        <v>493</v>
      </c>
      <c r="AA186" s="153" t="e">
        <f>VLOOKUP(I186,'[2]BBDD P&amp;L'!$J:$AK,28,0)</f>
        <v>#N/A</v>
      </c>
      <c r="AB186" s="154" t="e">
        <f t="shared" si="5"/>
        <v>#N/A</v>
      </c>
    </row>
    <row r="187" spans="2:28" x14ac:dyDescent="0.35">
      <c r="B187">
        <v>2026</v>
      </c>
      <c r="C187" t="s">
        <v>74</v>
      </c>
      <c r="D187" t="s">
        <v>75</v>
      </c>
      <c r="E187" t="s">
        <v>76</v>
      </c>
      <c r="F187" t="s">
        <v>77</v>
      </c>
      <c r="G187" t="s">
        <v>222</v>
      </c>
      <c r="H187" t="s">
        <v>223</v>
      </c>
      <c r="I187" t="s">
        <v>224</v>
      </c>
      <c r="J187" t="s">
        <v>238</v>
      </c>
      <c r="K187" s="19">
        <v>-3154.35</v>
      </c>
      <c r="L187" s="19">
        <v>-3154.35</v>
      </c>
      <c r="M187" s="19">
        <v>-3154.35</v>
      </c>
      <c r="N187" s="19">
        <v>-3154.35</v>
      </c>
      <c r="O187" s="153">
        <v>-3154.35</v>
      </c>
      <c r="P187" s="19">
        <v>-3154.35</v>
      </c>
      <c r="Q187" s="19">
        <v>-3154.35</v>
      </c>
      <c r="R187" s="19">
        <v>-3154.35</v>
      </c>
      <c r="S187" s="19">
        <f>IFERROR(VLOOKUP(I187,'[1]PL Mensual 2026'!$I:$S,11,0),0)</f>
        <v>-3154.35</v>
      </c>
      <c r="T187" s="19">
        <v>-3154.35</v>
      </c>
      <c r="U187" s="19">
        <v>-3154.35</v>
      </c>
      <c r="V187" s="19">
        <v>-3154.35</v>
      </c>
      <c r="W187" s="19">
        <f t="shared" si="4"/>
        <v>-37852.19999999999</v>
      </c>
      <c r="X187" t="s">
        <v>462</v>
      </c>
      <c r="AA187" s="153">
        <f>VLOOKUP(I187,'[2]BBDD P&amp;L'!$J:$AK,28,0)</f>
        <v>-37852.19999999999</v>
      </c>
      <c r="AB187" s="154">
        <f t="shared" si="5"/>
        <v>0</v>
      </c>
    </row>
    <row r="188" spans="2:28" x14ac:dyDescent="0.35">
      <c r="B188">
        <v>2026</v>
      </c>
      <c r="C188" t="s">
        <v>74</v>
      </c>
      <c r="D188" t="s">
        <v>75</v>
      </c>
      <c r="E188" t="s">
        <v>76</v>
      </c>
      <c r="F188" t="s">
        <v>77</v>
      </c>
      <c r="G188" t="s">
        <v>222</v>
      </c>
      <c r="H188" t="s">
        <v>223</v>
      </c>
      <c r="I188" t="s">
        <v>383</v>
      </c>
      <c r="J188" t="s">
        <v>238</v>
      </c>
      <c r="K188" s="19">
        <v>-6245.7</v>
      </c>
      <c r="L188" s="19">
        <v>-6245.7</v>
      </c>
      <c r="M188" s="19">
        <v>-5719.74</v>
      </c>
      <c r="N188" s="19">
        <v>-5719.74</v>
      </c>
      <c r="O188" s="153">
        <v>-5719.74</v>
      </c>
      <c r="P188" s="19">
        <v>-5719.74</v>
      </c>
      <c r="Q188" s="19">
        <v>-5772.02</v>
      </c>
      <c r="R188" s="19">
        <v>-5772.02</v>
      </c>
      <c r="S188" s="19">
        <f>IFERROR(VLOOKUP(I188,'[1]PL Mensual 2026'!$I:$S,11,0),0)</f>
        <v>-5867.77</v>
      </c>
      <c r="T188" s="19">
        <v>-5772</v>
      </c>
      <c r="U188" s="19">
        <v>-5772</v>
      </c>
      <c r="V188" s="19">
        <v>-5772</v>
      </c>
      <c r="W188" s="19">
        <f t="shared" si="4"/>
        <v>-70098.17</v>
      </c>
      <c r="X188" t="s">
        <v>462</v>
      </c>
      <c r="AA188" s="153">
        <f>VLOOKUP(I188,'[2]BBDD P&amp;L'!$J:$AK,28,0)</f>
        <v>-70098.17</v>
      </c>
      <c r="AB188" s="154">
        <f t="shared" si="5"/>
        <v>0</v>
      </c>
    </row>
    <row r="189" spans="2:28" x14ac:dyDescent="0.35">
      <c r="B189">
        <v>2026</v>
      </c>
      <c r="C189" t="s">
        <v>74</v>
      </c>
      <c r="D189" t="s">
        <v>75</v>
      </c>
      <c r="E189" t="s">
        <v>76</v>
      </c>
      <c r="F189" t="s">
        <v>77</v>
      </c>
      <c r="G189" t="s">
        <v>222</v>
      </c>
      <c r="H189" t="s">
        <v>223</v>
      </c>
      <c r="I189" t="s">
        <v>225</v>
      </c>
      <c r="J189" t="s">
        <v>238</v>
      </c>
      <c r="K189" s="19">
        <v>-6398.5</v>
      </c>
      <c r="L189" s="19">
        <v>-6398.5</v>
      </c>
      <c r="M189" s="19">
        <v>-6398.5</v>
      </c>
      <c r="N189" s="19">
        <v>-6398.5</v>
      </c>
      <c r="O189" s="153">
        <v>-6398.5</v>
      </c>
      <c r="P189" s="19">
        <v>-6410.5</v>
      </c>
      <c r="Q189" s="19">
        <v>-6419.19</v>
      </c>
      <c r="R189" s="19">
        <v>-6419.19</v>
      </c>
      <c r="S189" s="19">
        <f>IFERROR(VLOOKUP(I189,'[1]PL Mensual 2026'!$I:$S,11,0),0)</f>
        <v>-6419.19</v>
      </c>
      <c r="T189" s="19">
        <v>-6419</v>
      </c>
      <c r="U189" s="19">
        <v>-6419</v>
      </c>
      <c r="V189" s="19">
        <v>-6419</v>
      </c>
      <c r="W189" s="19">
        <f t="shared" si="4"/>
        <v>-76917.570000000007</v>
      </c>
      <c r="X189" t="s">
        <v>462</v>
      </c>
      <c r="AA189" s="153">
        <f>VLOOKUP(I189,'[2]BBDD P&amp;L'!$J:$AK,28,0)</f>
        <v>-76917.570000000007</v>
      </c>
      <c r="AB189" s="154">
        <f t="shared" si="5"/>
        <v>0</v>
      </c>
    </row>
    <row r="190" spans="2:28" x14ac:dyDescent="0.35">
      <c r="B190">
        <v>2026</v>
      </c>
      <c r="C190" t="s">
        <v>74</v>
      </c>
      <c r="D190" t="s">
        <v>75</v>
      </c>
      <c r="E190" t="s">
        <v>76</v>
      </c>
      <c r="F190" t="s">
        <v>77</v>
      </c>
      <c r="G190" t="s">
        <v>222</v>
      </c>
      <c r="H190" t="s">
        <v>223</v>
      </c>
      <c r="I190" t="s">
        <v>384</v>
      </c>
      <c r="J190" t="s">
        <v>238</v>
      </c>
      <c r="K190" s="19">
        <v>-1522.43</v>
      </c>
      <c r="L190" s="19">
        <v>-1522.43</v>
      </c>
      <c r="M190" s="19">
        <v>-1522.43</v>
      </c>
      <c r="N190" s="19">
        <v>-1522.43</v>
      </c>
      <c r="O190" s="153">
        <v>-1522.43</v>
      </c>
      <c r="P190" s="19">
        <v>-1631.75</v>
      </c>
      <c r="Q190" s="19">
        <v>-1642.07</v>
      </c>
      <c r="R190" s="19">
        <v>-1642.07</v>
      </c>
      <c r="S190" s="19">
        <f>IFERROR(VLOOKUP(I190,'[1]PL Mensual 2026'!$I:$S,11,0),0)</f>
        <v>-1642.07</v>
      </c>
      <c r="T190" s="19">
        <v>-1642</v>
      </c>
      <c r="U190" s="19">
        <v>-1642</v>
      </c>
      <c r="V190" s="19">
        <v>-1642</v>
      </c>
      <c r="W190" s="19">
        <f t="shared" si="4"/>
        <v>-19096.11</v>
      </c>
      <c r="X190" t="s">
        <v>462</v>
      </c>
      <c r="AA190" s="153">
        <f>VLOOKUP(I190,'[2]BBDD P&amp;L'!$J:$AK,28,0)</f>
        <v>-19096.11</v>
      </c>
      <c r="AB190" s="154">
        <f t="shared" si="5"/>
        <v>0</v>
      </c>
    </row>
    <row r="191" spans="2:28" x14ac:dyDescent="0.35">
      <c r="B191">
        <v>2026</v>
      </c>
      <c r="C191" t="s">
        <v>74</v>
      </c>
      <c r="D191" t="s">
        <v>75</v>
      </c>
      <c r="E191" t="s">
        <v>76</v>
      </c>
      <c r="F191" t="s">
        <v>77</v>
      </c>
      <c r="G191" t="s">
        <v>222</v>
      </c>
      <c r="H191" t="s">
        <v>223</v>
      </c>
      <c r="I191" t="s">
        <v>226</v>
      </c>
      <c r="J191" t="s">
        <v>238</v>
      </c>
      <c r="K191" s="19">
        <v>-1325.66</v>
      </c>
      <c r="L191" s="19">
        <v>-1325.66</v>
      </c>
      <c r="M191" s="19">
        <v>-1325.66</v>
      </c>
      <c r="N191" s="19">
        <v>-1325.66</v>
      </c>
      <c r="O191" s="153">
        <v>-1325.66</v>
      </c>
      <c r="P191" s="19">
        <v>-1337.16</v>
      </c>
      <c r="Q191" s="19">
        <v>-1337.16</v>
      </c>
      <c r="R191" s="19">
        <v>-1337.16</v>
      </c>
      <c r="S191" s="19">
        <f>IFERROR(VLOOKUP(I191,'[1]PL Mensual 2026'!$I:$S,11,0),0)</f>
        <v>-1337.16</v>
      </c>
      <c r="T191" s="19">
        <v>-1337</v>
      </c>
      <c r="U191" s="19">
        <v>-1337</v>
      </c>
      <c r="V191" s="19">
        <v>-1337</v>
      </c>
      <c r="W191" s="19">
        <f t="shared" si="4"/>
        <v>-15987.94</v>
      </c>
      <c r="X191" t="s">
        <v>462</v>
      </c>
      <c r="AA191" s="153">
        <f>VLOOKUP(I191,'[2]BBDD P&amp;L'!$J:$AK,28,0)</f>
        <v>-15987.94</v>
      </c>
      <c r="AB191" s="154">
        <f t="shared" si="5"/>
        <v>0</v>
      </c>
    </row>
    <row r="192" spans="2:28" x14ac:dyDescent="0.35">
      <c r="B192">
        <v>2026</v>
      </c>
      <c r="C192" t="s">
        <v>74</v>
      </c>
      <c r="D192" t="s">
        <v>75</v>
      </c>
      <c r="E192" t="s">
        <v>76</v>
      </c>
      <c r="F192" t="s">
        <v>77</v>
      </c>
      <c r="G192" t="s">
        <v>222</v>
      </c>
      <c r="H192" t="s">
        <v>223</v>
      </c>
      <c r="I192" t="s">
        <v>385</v>
      </c>
      <c r="J192" t="s">
        <v>238</v>
      </c>
      <c r="K192" s="19">
        <v>-448.73</v>
      </c>
      <c r="L192" s="19">
        <v>-448.73</v>
      </c>
      <c r="M192" s="19">
        <v>-745.37</v>
      </c>
      <c r="N192" s="19">
        <v>-745.37</v>
      </c>
      <c r="O192" s="153">
        <v>-937.75</v>
      </c>
      <c r="P192" s="19">
        <v>-848</v>
      </c>
      <c r="Q192" s="19">
        <v>-855.5</v>
      </c>
      <c r="R192" s="19">
        <v>-855.5</v>
      </c>
      <c r="S192" s="19">
        <f>IFERROR(VLOOKUP(I192,'[1]PL Mensual 2026'!$I:$S,11,0),0)</f>
        <v>-877.13</v>
      </c>
      <c r="T192" s="19">
        <v>-856</v>
      </c>
      <c r="U192" s="19">
        <v>-856</v>
      </c>
      <c r="V192" s="19">
        <v>-856</v>
      </c>
      <c r="W192" s="19">
        <f t="shared" si="4"/>
        <v>-9330.08</v>
      </c>
      <c r="X192" t="s">
        <v>462</v>
      </c>
      <c r="AA192" s="153">
        <f>VLOOKUP(I192,'[2]BBDD P&amp;L'!$J:$AK,28,0)</f>
        <v>-9330.08</v>
      </c>
      <c r="AB192" s="154">
        <f t="shared" si="5"/>
        <v>0</v>
      </c>
    </row>
    <row r="193" spans="2:28" x14ac:dyDescent="0.35">
      <c r="B193">
        <v>2026</v>
      </c>
      <c r="C193" t="s">
        <v>74</v>
      </c>
      <c r="D193" t="s">
        <v>75</v>
      </c>
      <c r="E193" t="s">
        <v>76</v>
      </c>
      <c r="F193" t="s">
        <v>77</v>
      </c>
      <c r="G193" t="s">
        <v>222</v>
      </c>
      <c r="H193" t="s">
        <v>223</v>
      </c>
      <c r="I193" t="s">
        <v>386</v>
      </c>
      <c r="J193" t="s">
        <v>238</v>
      </c>
      <c r="K193" s="19">
        <v>-37.5</v>
      </c>
      <c r="L193" s="19">
        <v>-37.5</v>
      </c>
      <c r="M193" s="19">
        <v>-37.5</v>
      </c>
      <c r="N193" s="19">
        <v>-37.5</v>
      </c>
      <c r="O193" s="153">
        <v>-131.25</v>
      </c>
      <c r="P193" s="19">
        <v>41.25</v>
      </c>
      <c r="Q193" s="19">
        <v>-45</v>
      </c>
      <c r="R193" s="19">
        <v>-45</v>
      </c>
      <c r="S193" s="19">
        <f>IFERROR(VLOOKUP(I193,'[1]PL Mensual 2026'!$I:$S,11,0),0)</f>
        <v>-45</v>
      </c>
      <c r="T193" s="19">
        <v>-45</v>
      </c>
      <c r="U193" s="19">
        <v>-45</v>
      </c>
      <c r="V193" s="19">
        <v>-45</v>
      </c>
      <c r="W193" s="19">
        <f t="shared" si="4"/>
        <v>-510</v>
      </c>
      <c r="X193" t="s">
        <v>462</v>
      </c>
      <c r="AA193" s="153">
        <f>VLOOKUP(I193,'[2]BBDD P&amp;L'!$J:$AK,28,0)</f>
        <v>-510</v>
      </c>
      <c r="AB193" s="154">
        <f t="shared" si="5"/>
        <v>0</v>
      </c>
    </row>
    <row r="194" spans="2:28" x14ac:dyDescent="0.35">
      <c r="B194">
        <v>2026</v>
      </c>
      <c r="C194" t="s">
        <v>74</v>
      </c>
      <c r="D194" t="s">
        <v>75</v>
      </c>
      <c r="E194" t="s">
        <v>76</v>
      </c>
      <c r="F194" t="s">
        <v>227</v>
      </c>
      <c r="G194" t="s">
        <v>228</v>
      </c>
      <c r="H194" t="s">
        <v>85</v>
      </c>
      <c r="I194" t="s">
        <v>399</v>
      </c>
      <c r="J194" t="s">
        <v>238</v>
      </c>
      <c r="K194" s="19">
        <v>0</v>
      </c>
      <c r="L194" s="19">
        <v>0</v>
      </c>
      <c r="M194" s="19">
        <v>0</v>
      </c>
      <c r="N194" s="19">
        <v>-23519.91</v>
      </c>
      <c r="O194" s="153">
        <v>-38633.949999999997</v>
      </c>
      <c r="P194" s="19">
        <v>-78488.47</v>
      </c>
      <c r="Q194" s="19">
        <v>-32604.18</v>
      </c>
      <c r="R194" s="19">
        <v>-19768.43</v>
      </c>
      <c r="S194" s="19">
        <f>IFERROR(VLOOKUP(I194,'[1]PL Mensual 2026'!$I:$S,11,0),0)</f>
        <v>-8347.1</v>
      </c>
      <c r="T194" s="19">
        <v>-24579.01</v>
      </c>
      <c r="U194" s="19">
        <v>-33042.67</v>
      </c>
      <c r="V194" s="19">
        <v>-35674.22</v>
      </c>
      <c r="W194" s="19">
        <f t="shared" si="4"/>
        <v>-294657.94000000006</v>
      </c>
      <c r="X194" t="s">
        <v>469</v>
      </c>
      <c r="AA194" s="153">
        <f>VLOOKUP(I194,'[2]BBDD P&amp;L'!$J:$AK,28,0)</f>
        <v>-271138.03000000003</v>
      </c>
      <c r="AB194" s="154">
        <f t="shared" si="5"/>
        <v>-23519.910000000033</v>
      </c>
    </row>
    <row r="195" spans="2:28" x14ac:dyDescent="0.35">
      <c r="B195">
        <v>2026</v>
      </c>
      <c r="C195" t="s">
        <v>74</v>
      </c>
      <c r="D195" t="s">
        <v>75</v>
      </c>
      <c r="E195" t="s">
        <v>76</v>
      </c>
      <c r="F195" t="s">
        <v>227</v>
      </c>
      <c r="G195" t="s">
        <v>228</v>
      </c>
      <c r="H195" t="s">
        <v>309</v>
      </c>
      <c r="I195" t="s">
        <v>387</v>
      </c>
      <c r="J195" t="s">
        <v>238</v>
      </c>
      <c r="K195" s="19">
        <v>0</v>
      </c>
      <c r="L195" s="19">
        <v>0</v>
      </c>
      <c r="M195" s="19">
        <v>0</v>
      </c>
      <c r="N195" s="19">
        <v>-937.05</v>
      </c>
      <c r="O195" s="153">
        <v>0</v>
      </c>
      <c r="P195" s="19">
        <v>0</v>
      </c>
      <c r="Q195" s="19">
        <v>0</v>
      </c>
      <c r="R195" s="19">
        <v>0</v>
      </c>
      <c r="S195" s="19" t="str">
        <f>IFERROR(VLOOKUP(I195,'[1]PL Mensual 2026'!$I:$S,11,0),0)</f>
        <v xml:space="preserve">                                             -  </v>
      </c>
      <c r="T195" s="19">
        <v>0</v>
      </c>
      <c r="U195" s="19">
        <v>0</v>
      </c>
      <c r="V195" s="19">
        <v>0</v>
      </c>
      <c r="W195" s="19">
        <f t="shared" si="4"/>
        <v>-937.05</v>
      </c>
      <c r="X195" t="s">
        <v>494</v>
      </c>
      <c r="AA195" s="153">
        <f>VLOOKUP(I195,'[2]BBDD P&amp;L'!$J:$AK,28,0)</f>
        <v>-937.05</v>
      </c>
      <c r="AB195" s="154">
        <f t="shared" si="5"/>
        <v>0</v>
      </c>
    </row>
    <row r="196" spans="2:28" x14ac:dyDescent="0.35">
      <c r="B196">
        <v>2026</v>
      </c>
      <c r="C196" t="s">
        <v>74</v>
      </c>
      <c r="D196" t="s">
        <v>75</v>
      </c>
      <c r="E196" t="s">
        <v>76</v>
      </c>
      <c r="F196" t="s">
        <v>227</v>
      </c>
      <c r="G196" t="s">
        <v>228</v>
      </c>
      <c r="H196" t="s">
        <v>229</v>
      </c>
      <c r="I196" t="s">
        <v>388</v>
      </c>
      <c r="J196" t="s">
        <v>238</v>
      </c>
      <c r="K196" s="19">
        <v>-52.82</v>
      </c>
      <c r="L196" s="19">
        <v>0</v>
      </c>
      <c r="M196" s="19">
        <v>-79.37</v>
      </c>
      <c r="N196" s="19">
        <v>-26.51</v>
      </c>
      <c r="O196" s="153">
        <v>-17.690000000000001</v>
      </c>
      <c r="P196" s="19">
        <v>-8.86</v>
      </c>
      <c r="Q196" s="19">
        <v>0</v>
      </c>
      <c r="R196" s="19">
        <v>0</v>
      </c>
      <c r="S196" s="19" t="str">
        <f>IFERROR(VLOOKUP(I196,'[1]PL Mensual 2026'!$I:$S,11,0),0)</f>
        <v xml:space="preserve">                                             -  </v>
      </c>
      <c r="T196" s="19">
        <v>0</v>
      </c>
      <c r="U196" s="19">
        <v>0</v>
      </c>
      <c r="V196" s="19">
        <v>0</v>
      </c>
      <c r="W196" s="19">
        <f t="shared" si="4"/>
        <v>-185.25</v>
      </c>
      <c r="X196" t="s">
        <v>495</v>
      </c>
      <c r="AA196" s="153">
        <f>VLOOKUP(I196,'[2]BBDD P&amp;L'!$J:$AK,28,0)</f>
        <v>-185.25</v>
      </c>
      <c r="AB196" s="154">
        <f t="shared" si="5"/>
        <v>0</v>
      </c>
    </row>
    <row r="197" spans="2:28" x14ac:dyDescent="0.35">
      <c r="B197">
        <v>2026</v>
      </c>
      <c r="C197" t="s">
        <v>74</v>
      </c>
      <c r="D197" t="s">
        <v>75</v>
      </c>
      <c r="E197" t="s">
        <v>76</v>
      </c>
      <c r="F197" t="s">
        <v>227</v>
      </c>
      <c r="G197" t="s">
        <v>228</v>
      </c>
      <c r="H197" t="s">
        <v>230</v>
      </c>
      <c r="I197" t="s">
        <v>389</v>
      </c>
      <c r="J197" t="s">
        <v>238</v>
      </c>
      <c r="K197" s="19">
        <v>0</v>
      </c>
      <c r="L197" s="19">
        <v>0</v>
      </c>
      <c r="M197" s="19">
        <v>0</v>
      </c>
      <c r="N197" s="19">
        <v>0</v>
      </c>
      <c r="O197" s="153">
        <v>0</v>
      </c>
      <c r="P197" s="19">
        <v>0</v>
      </c>
      <c r="Q197" s="19">
        <v>0</v>
      </c>
      <c r="R197" s="19">
        <v>0</v>
      </c>
      <c r="S197" s="19">
        <f>IFERROR(VLOOKUP(I197,'[1]PL Mensual 2026'!$I:$S,11,0),0)</f>
        <v>0</v>
      </c>
      <c r="T197" s="19">
        <v>0</v>
      </c>
      <c r="U197" s="19">
        <v>0</v>
      </c>
      <c r="V197" s="19">
        <v>0</v>
      </c>
      <c r="W197" s="19">
        <f t="shared" ref="W197:W206" si="6">SUM(K197:V197)</f>
        <v>0</v>
      </c>
      <c r="X197" t="s">
        <v>444</v>
      </c>
      <c r="AA197" s="153">
        <f>VLOOKUP(I197,'[2]BBDD P&amp;L'!$J:$AK,28,0)</f>
        <v>0</v>
      </c>
      <c r="AB197" s="154">
        <f t="shared" ref="AB197:AB206" si="7">W197-AA197</f>
        <v>0</v>
      </c>
    </row>
    <row r="198" spans="2:28" x14ac:dyDescent="0.35">
      <c r="B198">
        <v>2026</v>
      </c>
      <c r="C198" t="s">
        <v>74</v>
      </c>
      <c r="D198" t="s">
        <v>75</v>
      </c>
      <c r="E198" t="s">
        <v>76</v>
      </c>
      <c r="F198" t="s">
        <v>227</v>
      </c>
      <c r="G198" t="s">
        <v>228</v>
      </c>
      <c r="H198" t="s">
        <v>230</v>
      </c>
      <c r="I198" t="s">
        <v>231</v>
      </c>
      <c r="J198" t="s">
        <v>238</v>
      </c>
      <c r="K198" s="19">
        <v>0</v>
      </c>
      <c r="L198" s="19">
        <v>0</v>
      </c>
      <c r="M198" s="19">
        <v>0</v>
      </c>
      <c r="N198" s="19">
        <v>0</v>
      </c>
      <c r="O198" s="153">
        <v>0</v>
      </c>
      <c r="P198" s="19">
        <v>0</v>
      </c>
      <c r="Q198" s="19">
        <v>0</v>
      </c>
      <c r="R198" s="19">
        <v>0</v>
      </c>
      <c r="S198" s="19">
        <f>IFERROR(VLOOKUP(I198,'[1]PL Mensual 2026'!$I:$S,11,0),0)</f>
        <v>0</v>
      </c>
      <c r="T198" s="19">
        <v>0</v>
      </c>
      <c r="U198" s="19">
        <v>0</v>
      </c>
      <c r="V198" s="19">
        <v>0</v>
      </c>
      <c r="W198" s="19">
        <f t="shared" si="6"/>
        <v>0</v>
      </c>
      <c r="X198" t="s">
        <v>444</v>
      </c>
      <c r="AA198" s="153">
        <f>VLOOKUP(I198,'[2]BBDD P&amp;L'!$J:$AK,28,0)</f>
        <v>0</v>
      </c>
      <c r="AB198" s="154">
        <f t="shared" si="7"/>
        <v>0</v>
      </c>
    </row>
    <row r="199" spans="2:28" x14ac:dyDescent="0.35">
      <c r="B199">
        <v>2026</v>
      </c>
      <c r="C199" t="s">
        <v>74</v>
      </c>
      <c r="D199" t="s">
        <v>75</v>
      </c>
      <c r="E199" t="s">
        <v>76</v>
      </c>
      <c r="F199" t="s">
        <v>227</v>
      </c>
      <c r="G199" t="s">
        <v>228</v>
      </c>
      <c r="H199" t="s">
        <v>230</v>
      </c>
      <c r="I199" t="s">
        <v>232</v>
      </c>
      <c r="J199" t="s">
        <v>238</v>
      </c>
      <c r="K199" s="19">
        <v>0</v>
      </c>
      <c r="L199" s="19">
        <v>0</v>
      </c>
      <c r="M199" s="19">
        <v>0</v>
      </c>
      <c r="N199" s="19">
        <v>0</v>
      </c>
      <c r="O199" s="153">
        <v>0</v>
      </c>
      <c r="P199" s="19">
        <v>0</v>
      </c>
      <c r="Q199" s="19">
        <v>0</v>
      </c>
      <c r="R199" s="19">
        <v>0</v>
      </c>
      <c r="S199" s="19">
        <f>IFERROR(VLOOKUP(I199,'[1]PL Mensual 2026'!$I:$S,11,0),0)</f>
        <v>0</v>
      </c>
      <c r="T199" s="19">
        <v>0</v>
      </c>
      <c r="U199" s="19">
        <v>0</v>
      </c>
      <c r="V199" s="19">
        <v>0</v>
      </c>
      <c r="W199" s="19">
        <f t="shared" si="6"/>
        <v>0</v>
      </c>
      <c r="X199" t="s">
        <v>444</v>
      </c>
      <c r="AA199" s="153">
        <f>VLOOKUP(I199,'[2]BBDD P&amp;L'!$J:$AK,28,0)</f>
        <v>0</v>
      </c>
      <c r="AB199" s="154">
        <f t="shared" si="7"/>
        <v>0</v>
      </c>
    </row>
    <row r="200" spans="2:28" x14ac:dyDescent="0.35">
      <c r="B200">
        <v>2026</v>
      </c>
      <c r="C200" t="s">
        <v>74</v>
      </c>
      <c r="D200" t="s">
        <v>75</v>
      </c>
      <c r="E200" t="s">
        <v>76</v>
      </c>
      <c r="F200" t="s">
        <v>227</v>
      </c>
      <c r="G200" t="s">
        <v>228</v>
      </c>
      <c r="H200" t="s">
        <v>230</v>
      </c>
      <c r="I200" t="s">
        <v>390</v>
      </c>
      <c r="J200" t="s">
        <v>238</v>
      </c>
      <c r="K200" s="19">
        <v>0</v>
      </c>
      <c r="L200" s="19">
        <v>0</v>
      </c>
      <c r="M200" s="19">
        <v>0</v>
      </c>
      <c r="N200" s="19">
        <v>0</v>
      </c>
      <c r="O200" s="153">
        <v>0</v>
      </c>
      <c r="P200" s="19">
        <v>0</v>
      </c>
      <c r="Q200" s="19">
        <v>0</v>
      </c>
      <c r="R200" s="19">
        <v>0</v>
      </c>
      <c r="S200" s="19">
        <f>IFERROR(VLOOKUP(I200,'[1]PL Mensual 2026'!$I:$S,11,0),0)</f>
        <v>0</v>
      </c>
      <c r="T200" s="19">
        <v>0</v>
      </c>
      <c r="U200" s="19">
        <v>0</v>
      </c>
      <c r="V200" s="19">
        <v>0</v>
      </c>
      <c r="W200" s="19">
        <f t="shared" si="6"/>
        <v>0</v>
      </c>
      <c r="X200" t="s">
        <v>444</v>
      </c>
      <c r="AA200" s="153">
        <f>VLOOKUP(I200,'[2]BBDD P&amp;L'!$J:$AK,28,0)</f>
        <v>0</v>
      </c>
      <c r="AB200" s="154">
        <f t="shared" si="7"/>
        <v>0</v>
      </c>
    </row>
    <row r="201" spans="2:28" x14ac:dyDescent="0.35">
      <c r="B201">
        <v>2026</v>
      </c>
      <c r="C201" t="s">
        <v>74</v>
      </c>
      <c r="D201" t="s">
        <v>75</v>
      </c>
      <c r="E201" t="s">
        <v>76</v>
      </c>
      <c r="F201" t="s">
        <v>227</v>
      </c>
      <c r="G201" t="s">
        <v>228</v>
      </c>
      <c r="H201" t="s">
        <v>230</v>
      </c>
      <c r="I201" t="s">
        <v>233</v>
      </c>
      <c r="J201" t="s">
        <v>238</v>
      </c>
      <c r="K201" s="19">
        <v>0</v>
      </c>
      <c r="L201" s="19">
        <v>0</v>
      </c>
      <c r="M201" s="19">
        <v>0</v>
      </c>
      <c r="N201" s="19">
        <v>0</v>
      </c>
      <c r="O201" s="153">
        <v>0</v>
      </c>
      <c r="P201" s="19">
        <v>0</v>
      </c>
      <c r="Q201" s="19">
        <v>0</v>
      </c>
      <c r="R201" s="19">
        <v>0</v>
      </c>
      <c r="S201" s="19">
        <f>IFERROR(VLOOKUP(I201,'[1]PL Mensual 2026'!$I:$S,11,0),0)</f>
        <v>0</v>
      </c>
      <c r="T201" s="19">
        <v>0</v>
      </c>
      <c r="U201" s="19">
        <v>0</v>
      </c>
      <c r="V201" s="19">
        <v>0</v>
      </c>
      <c r="W201" s="19">
        <f t="shared" si="6"/>
        <v>0</v>
      </c>
      <c r="X201" t="s">
        <v>444</v>
      </c>
      <c r="AA201" s="153">
        <f>VLOOKUP(I201,'[2]BBDD P&amp;L'!$J:$AK,28,0)</f>
        <v>0</v>
      </c>
      <c r="AB201" s="154">
        <f t="shared" si="7"/>
        <v>0</v>
      </c>
    </row>
    <row r="202" spans="2:28" x14ac:dyDescent="0.35">
      <c r="B202">
        <v>2026</v>
      </c>
      <c r="C202" t="s">
        <v>74</v>
      </c>
      <c r="D202" t="s">
        <v>75</v>
      </c>
      <c r="E202" t="s">
        <v>76</v>
      </c>
      <c r="F202" t="s">
        <v>227</v>
      </c>
      <c r="G202" t="s">
        <v>228</v>
      </c>
      <c r="H202" t="s">
        <v>230</v>
      </c>
      <c r="I202" t="s">
        <v>234</v>
      </c>
      <c r="J202" t="s">
        <v>238</v>
      </c>
      <c r="K202" s="19">
        <v>0</v>
      </c>
      <c r="L202" s="19">
        <v>0</v>
      </c>
      <c r="M202" s="19">
        <v>0</v>
      </c>
      <c r="N202" s="19">
        <v>0</v>
      </c>
      <c r="O202" s="153">
        <v>0</v>
      </c>
      <c r="P202" s="19">
        <v>0</v>
      </c>
      <c r="Q202" s="19">
        <v>0</v>
      </c>
      <c r="R202" s="19">
        <v>0</v>
      </c>
      <c r="S202" s="19">
        <f>IFERROR(VLOOKUP(I202,'[1]PL Mensual 2026'!$I:$S,11,0),0)</f>
        <v>0</v>
      </c>
      <c r="T202" s="19">
        <v>0</v>
      </c>
      <c r="U202" s="19">
        <v>0</v>
      </c>
      <c r="V202" s="19">
        <v>0</v>
      </c>
      <c r="W202" s="19">
        <f t="shared" si="6"/>
        <v>0</v>
      </c>
      <c r="X202" t="s">
        <v>444</v>
      </c>
      <c r="AA202" s="153">
        <f>VLOOKUP(I202,'[2]BBDD P&amp;L'!$J:$AK,28,0)</f>
        <v>0</v>
      </c>
      <c r="AB202" s="154">
        <f t="shared" si="7"/>
        <v>0</v>
      </c>
    </row>
    <row r="203" spans="2:28" x14ac:dyDescent="0.35">
      <c r="B203">
        <v>2026</v>
      </c>
      <c r="C203" t="s">
        <v>74</v>
      </c>
      <c r="D203" t="s">
        <v>75</v>
      </c>
      <c r="E203" t="s">
        <v>76</v>
      </c>
      <c r="F203" t="s">
        <v>227</v>
      </c>
      <c r="G203" t="s">
        <v>228</v>
      </c>
      <c r="H203" t="s">
        <v>230</v>
      </c>
      <c r="I203" t="s">
        <v>235</v>
      </c>
      <c r="J203" t="s">
        <v>238</v>
      </c>
      <c r="K203" s="19">
        <v>0</v>
      </c>
      <c r="L203" s="19">
        <v>0</v>
      </c>
      <c r="M203" s="19">
        <v>0</v>
      </c>
      <c r="N203" s="19">
        <v>0</v>
      </c>
      <c r="O203" s="153">
        <v>0</v>
      </c>
      <c r="P203" s="19">
        <v>0</v>
      </c>
      <c r="Q203" s="19">
        <v>0</v>
      </c>
      <c r="R203" s="19">
        <v>0</v>
      </c>
      <c r="S203" s="19">
        <f>IFERROR(VLOOKUP(I203,'[1]PL Mensual 2026'!$I:$S,11,0),0)</f>
        <v>0</v>
      </c>
      <c r="T203" s="19">
        <v>0</v>
      </c>
      <c r="U203" s="19">
        <v>0</v>
      </c>
      <c r="V203" s="19">
        <v>0</v>
      </c>
      <c r="W203" s="19">
        <f t="shared" si="6"/>
        <v>0</v>
      </c>
      <c r="X203" t="s">
        <v>444</v>
      </c>
      <c r="AA203" s="153">
        <f>VLOOKUP(I203,'[2]BBDD P&amp;L'!$J:$AK,28,0)</f>
        <v>0</v>
      </c>
      <c r="AB203" s="154">
        <f t="shared" si="7"/>
        <v>0</v>
      </c>
    </row>
    <row r="204" spans="2:28" x14ac:dyDescent="0.35">
      <c r="B204">
        <v>2026</v>
      </c>
      <c r="C204" t="s">
        <v>74</v>
      </c>
      <c r="D204" t="s">
        <v>75</v>
      </c>
      <c r="E204" t="s">
        <v>76</v>
      </c>
      <c r="F204" t="s">
        <v>227</v>
      </c>
      <c r="G204" t="s">
        <v>236</v>
      </c>
      <c r="H204" t="s">
        <v>237</v>
      </c>
      <c r="I204" t="s">
        <v>391</v>
      </c>
      <c r="J204" t="s">
        <v>238</v>
      </c>
      <c r="K204" s="19">
        <v>0</v>
      </c>
      <c r="L204" s="19">
        <v>78.790000000000006</v>
      </c>
      <c r="M204" s="19">
        <v>15.51</v>
      </c>
      <c r="N204" s="19">
        <v>0</v>
      </c>
      <c r="O204" s="153">
        <v>2879.75</v>
      </c>
      <c r="P204" s="19">
        <v>1665.7</v>
      </c>
      <c r="Q204" s="19">
        <v>604.76</v>
      </c>
      <c r="R204" s="19">
        <v>0</v>
      </c>
      <c r="S204" s="19" t="str">
        <f>IFERROR(VLOOKUP(I204,'[1]PL Mensual 2026'!$I:$S,11,0),0)</f>
        <v xml:space="preserve">                                             -  </v>
      </c>
      <c r="T204" s="19">
        <v>0</v>
      </c>
      <c r="U204" s="19">
        <v>0</v>
      </c>
      <c r="V204" s="19">
        <v>0</v>
      </c>
      <c r="W204" s="19">
        <f t="shared" si="6"/>
        <v>5244.51</v>
      </c>
      <c r="X204" t="s">
        <v>496</v>
      </c>
      <c r="AA204" s="153">
        <f>VLOOKUP(I204,'[2]BBDD P&amp;L'!$J:$AK,28,0)</f>
        <v>5244.51</v>
      </c>
      <c r="AB204" s="154">
        <f t="shared" si="7"/>
        <v>0</v>
      </c>
    </row>
    <row r="205" spans="2:28" x14ac:dyDescent="0.35">
      <c r="B205">
        <v>2026</v>
      </c>
      <c r="C205" t="s">
        <v>74</v>
      </c>
      <c r="D205" t="s">
        <v>75</v>
      </c>
      <c r="E205" t="s">
        <v>76</v>
      </c>
      <c r="F205" t="s">
        <v>77</v>
      </c>
      <c r="G205" t="s">
        <v>140</v>
      </c>
      <c r="H205" t="s">
        <v>394</v>
      </c>
      <c r="I205" t="s">
        <v>393</v>
      </c>
      <c r="J205" t="s">
        <v>238</v>
      </c>
      <c r="K205" s="19">
        <v>0</v>
      </c>
      <c r="L205" s="19">
        <v>0</v>
      </c>
      <c r="M205" s="19">
        <v>0</v>
      </c>
      <c r="N205" s="19">
        <v>0</v>
      </c>
      <c r="O205" s="153">
        <v>-1350</v>
      </c>
      <c r="P205" s="19">
        <v>0</v>
      </c>
      <c r="Q205" s="19">
        <v>0</v>
      </c>
      <c r="R205" s="19">
        <v>0</v>
      </c>
      <c r="S205" s="19" t="str">
        <f>IFERROR(VLOOKUP(I205,'[1]PL Mensual 2026'!$I:$S,11,0),0)</f>
        <v xml:space="preserve">                                             -  </v>
      </c>
      <c r="T205" s="19">
        <v>0</v>
      </c>
      <c r="U205" s="19">
        <v>0</v>
      </c>
      <c r="V205" s="19">
        <v>0</v>
      </c>
      <c r="W205" s="19">
        <f t="shared" si="6"/>
        <v>-1350</v>
      </c>
      <c r="X205" t="s">
        <v>440</v>
      </c>
      <c r="AA205" s="153">
        <f>VLOOKUP(I205,'[2]BBDD P&amp;L'!$J:$AK,28,0)</f>
        <v>-1350</v>
      </c>
      <c r="AB205" s="154">
        <f t="shared" si="7"/>
        <v>0</v>
      </c>
    </row>
    <row r="206" spans="2:28" x14ac:dyDescent="0.35">
      <c r="B206">
        <v>2026</v>
      </c>
      <c r="C206" t="s">
        <v>74</v>
      </c>
      <c r="D206" t="s">
        <v>75</v>
      </c>
      <c r="E206" t="s">
        <v>76</v>
      </c>
      <c r="F206" t="s">
        <v>227</v>
      </c>
      <c r="G206" t="s">
        <v>308</v>
      </c>
      <c r="H206" t="s">
        <v>419</v>
      </c>
      <c r="I206" t="s">
        <v>418</v>
      </c>
      <c r="J206" t="s">
        <v>238</v>
      </c>
      <c r="K206" s="19">
        <v>0</v>
      </c>
      <c r="L206" s="19">
        <v>0</v>
      </c>
      <c r="M206" s="19">
        <v>0</v>
      </c>
      <c r="N206" s="19">
        <v>0</v>
      </c>
      <c r="O206" s="153">
        <v>0</v>
      </c>
      <c r="P206" s="19">
        <v>4495.93</v>
      </c>
      <c r="Q206" s="19">
        <v>0</v>
      </c>
      <c r="R206" s="19">
        <v>0</v>
      </c>
      <c r="S206" s="19" t="str">
        <f>IFERROR(VLOOKUP(I206,'[1]PL Mensual 2026'!$I:$S,11,0),0)</f>
        <v xml:space="preserve">                                             -  </v>
      </c>
      <c r="T206" s="19">
        <v>0</v>
      </c>
      <c r="U206" s="19">
        <v>0</v>
      </c>
      <c r="V206" s="19">
        <v>0</v>
      </c>
      <c r="W206" s="19">
        <f t="shared" si="6"/>
        <v>4495.93</v>
      </c>
      <c r="X206" t="s">
        <v>497</v>
      </c>
      <c r="AA206" s="153">
        <f>VLOOKUP(I206,'[2]BBDD P&amp;L'!$J:$AK,28,0)</f>
        <v>4495.93</v>
      </c>
      <c r="AB206" s="154">
        <f t="shared" si="7"/>
        <v>0</v>
      </c>
    </row>
    <row r="207" spans="2:28" x14ac:dyDescent="0.35">
      <c r="K207" s="19"/>
      <c r="L207" s="19"/>
      <c r="M207" s="19"/>
      <c r="N207" s="19"/>
      <c r="P207" s="19"/>
      <c r="Q207" s="19"/>
      <c r="R207" s="19"/>
      <c r="S207" s="19"/>
      <c r="T207" s="19"/>
      <c r="U207" s="19"/>
      <c r="V207" s="19"/>
      <c r="W207" s="19"/>
      <c r="AA207" s="153" t="e">
        <f>VLOOKUP(I207,'[2]BBDD P&amp;L'!$J:$AK,28,0)</f>
        <v>#N/A</v>
      </c>
    </row>
    <row r="208" spans="2:28" x14ac:dyDescent="0.35">
      <c r="K208" s="19"/>
      <c r="L208" s="19"/>
      <c r="M208" s="19"/>
      <c r="N208" s="19"/>
      <c r="P208" s="19"/>
      <c r="Q208" s="19"/>
      <c r="R208" s="19"/>
      <c r="S208" s="19"/>
      <c r="T208" s="19"/>
      <c r="U208" s="19"/>
      <c r="V208" s="19"/>
      <c r="W208" s="19"/>
      <c r="AA208" s="153" t="e">
        <f>VLOOKUP(I208,'[2]BBDD P&amp;L'!$J:$AK,28,0)</f>
        <v>#N/A</v>
      </c>
    </row>
    <row r="209" spans="11:27" x14ac:dyDescent="0.35">
      <c r="K209" s="19"/>
      <c r="L209" s="19"/>
      <c r="M209" s="19"/>
      <c r="N209" s="19"/>
      <c r="P209" s="19"/>
      <c r="Q209" s="19"/>
      <c r="R209" s="19"/>
      <c r="S209" s="19"/>
      <c r="T209" s="19"/>
      <c r="U209" s="19"/>
      <c r="V209" s="19"/>
      <c r="W209" s="19"/>
      <c r="AA209" s="153" t="e">
        <f>VLOOKUP(I209,'[2]BBDD P&amp;L'!$J:$AK,28,0)</f>
        <v>#N/A</v>
      </c>
    </row>
    <row r="210" spans="11:27" x14ac:dyDescent="0.35">
      <c r="K210" s="19"/>
      <c r="L210" s="19"/>
      <c r="M210" s="19"/>
      <c r="N210" s="19"/>
      <c r="P210" s="19"/>
      <c r="Q210" s="19"/>
      <c r="R210" s="19"/>
      <c r="S210" s="19"/>
      <c r="T210" s="19"/>
      <c r="U210" s="19"/>
      <c r="V210" s="19"/>
      <c r="W210" s="19"/>
      <c r="AA210" s="153" t="e">
        <f>VLOOKUP(I210,'[2]BBDD P&amp;L'!$J:$AK,28,0)</f>
        <v>#N/A</v>
      </c>
    </row>
    <row r="211" spans="11:27" x14ac:dyDescent="0.35">
      <c r="K211" s="19"/>
      <c r="L211" s="19"/>
      <c r="M211" s="19"/>
      <c r="N211" s="19"/>
      <c r="P211" s="19"/>
      <c r="Q211" s="19"/>
      <c r="R211" s="19"/>
      <c r="S211" s="19"/>
      <c r="T211" s="19"/>
      <c r="U211" s="19"/>
      <c r="V211" s="19"/>
      <c r="W211" s="19"/>
      <c r="AA211" s="153" t="e">
        <f>VLOOKUP(I211,'[2]BBDD P&amp;L'!$J:$AK,28,0)</f>
        <v>#N/A</v>
      </c>
    </row>
    <row r="212" spans="11:27" x14ac:dyDescent="0.35">
      <c r="P212" s="19"/>
      <c r="Q212" s="19"/>
      <c r="R212" s="19"/>
      <c r="W212" s="19"/>
      <c r="AA212" s="153" t="e">
        <f>VLOOKUP(I212,'[2]BBDD P&amp;L'!$J:$AK,28,0)</f>
        <v>#N/A</v>
      </c>
    </row>
    <row r="213" spans="11:27" x14ac:dyDescent="0.35">
      <c r="K213" s="19"/>
      <c r="L213" s="19"/>
      <c r="M213" s="19"/>
      <c r="N213" s="19"/>
      <c r="P213" s="19"/>
      <c r="R213" s="19"/>
      <c r="S213" s="19"/>
      <c r="T213" s="19"/>
      <c r="U213" s="19"/>
      <c r="V213" s="19"/>
      <c r="W213" s="19"/>
      <c r="AA213" s="153" t="e">
        <f>VLOOKUP(I213,'[2]BBDD P&amp;L'!$J:$AK,28,0)</f>
        <v>#N/A</v>
      </c>
    </row>
    <row r="214" spans="11:27" x14ac:dyDescent="0.35">
      <c r="K214" s="19"/>
      <c r="L214" s="19"/>
      <c r="M214" s="19"/>
      <c r="N214" s="19"/>
      <c r="P214" s="19"/>
      <c r="R214" s="19"/>
      <c r="S214" s="19"/>
      <c r="T214" s="19"/>
      <c r="U214" s="19"/>
      <c r="V214" s="19"/>
      <c r="W214" s="19"/>
      <c r="AA214" s="153" t="e">
        <f>VLOOKUP(I214,'[2]BBDD P&amp;L'!$J:$AK,28,0)</f>
        <v>#N/A</v>
      </c>
    </row>
    <row r="215" spans="11:27" x14ac:dyDescent="0.35">
      <c r="K215" s="19"/>
      <c r="L215" s="19"/>
      <c r="M215" s="19"/>
      <c r="N215" s="19"/>
      <c r="P215" s="19"/>
      <c r="R215" s="19"/>
      <c r="S215" s="19"/>
      <c r="T215" s="19"/>
      <c r="U215" s="19"/>
      <c r="V215" s="19"/>
      <c r="W215" s="19"/>
      <c r="AA215" s="153" t="e">
        <f>VLOOKUP(I215,'[2]BBDD P&amp;L'!$J:$AK,28,0)</f>
        <v>#N/A</v>
      </c>
    </row>
    <row r="216" spans="11:27" x14ac:dyDescent="0.35">
      <c r="K216" s="19"/>
      <c r="L216" s="19"/>
      <c r="M216" s="19"/>
      <c r="N216" s="19"/>
      <c r="P216" s="19"/>
      <c r="R216" s="19"/>
      <c r="S216" s="19"/>
      <c r="T216" s="19"/>
      <c r="U216" s="19"/>
      <c r="V216" s="19"/>
      <c r="W216" s="19"/>
      <c r="AA216" s="153" t="e">
        <f>VLOOKUP(I216,'[2]BBDD P&amp;L'!$J:$AK,28,0)</f>
        <v>#N/A</v>
      </c>
    </row>
    <row r="217" spans="11:27" x14ac:dyDescent="0.35">
      <c r="K217" s="19"/>
      <c r="L217" s="19"/>
      <c r="M217" s="19"/>
      <c r="N217" s="19"/>
      <c r="P217" s="19"/>
      <c r="R217" s="19"/>
      <c r="W217" s="19"/>
      <c r="AA217" s="153" t="e">
        <f>VLOOKUP(I217,'[2]BBDD P&amp;L'!$J:$AK,28,0)</f>
        <v>#N/A</v>
      </c>
    </row>
    <row r="218" spans="11:27" x14ac:dyDescent="0.35">
      <c r="K218" s="19"/>
      <c r="L218" s="19"/>
      <c r="M218" s="19"/>
      <c r="N218" s="19"/>
      <c r="P218" s="19"/>
      <c r="R218" s="19"/>
      <c r="W218" s="19"/>
      <c r="AA218" s="153" t="e">
        <f>VLOOKUP(I218,'[2]BBDD P&amp;L'!$J:$AK,28,0)</f>
        <v>#N/A</v>
      </c>
    </row>
    <row r="219" spans="11:27" x14ac:dyDescent="0.35">
      <c r="K219" s="19"/>
      <c r="L219" s="19"/>
      <c r="M219" s="19"/>
      <c r="N219" s="19"/>
      <c r="P219" s="19"/>
      <c r="R219" s="19"/>
      <c r="W219" s="19"/>
      <c r="AA219" s="153" t="e">
        <f>VLOOKUP(I219,'[2]BBDD P&amp;L'!$J:$AK,28,0)</f>
        <v>#N/A</v>
      </c>
    </row>
    <row r="220" spans="11:27" x14ac:dyDescent="0.35">
      <c r="K220" s="19"/>
      <c r="L220" s="19"/>
      <c r="M220" s="19"/>
      <c r="N220" s="19"/>
      <c r="P220" s="19"/>
      <c r="R220" s="19"/>
      <c r="W220" s="19"/>
      <c r="AA220" s="153" t="e">
        <f>VLOOKUP(I220,'[2]BBDD P&amp;L'!$J:$AK,28,0)</f>
        <v>#N/A</v>
      </c>
    </row>
    <row r="221" spans="11:27" x14ac:dyDescent="0.35">
      <c r="K221" s="19"/>
      <c r="L221" s="19"/>
      <c r="M221" s="19"/>
      <c r="N221" s="19"/>
      <c r="O221" s="158"/>
      <c r="P221" s="158"/>
      <c r="R221" s="19"/>
      <c r="S221" s="19"/>
      <c r="T221" s="19"/>
      <c r="U221" s="19"/>
      <c r="V221" s="19"/>
      <c r="W221" s="19"/>
      <c r="AA221" s="153" t="e">
        <f>VLOOKUP(I221,'[2]BBDD P&amp;L'!$J:$AK,28,0)</f>
        <v>#N/A</v>
      </c>
    </row>
    <row r="222" spans="11:27" x14ac:dyDescent="0.35">
      <c r="K222" s="19"/>
      <c r="L222" s="19"/>
      <c r="M222" s="19"/>
      <c r="N222" s="19"/>
      <c r="O222" s="158"/>
      <c r="P222" s="158"/>
      <c r="R222" s="19"/>
      <c r="S222" s="19"/>
      <c r="T222" s="19"/>
      <c r="U222" s="19"/>
      <c r="V222" s="19"/>
      <c r="W222" s="19"/>
      <c r="AA222" s="153" t="e">
        <f>VLOOKUP(I222,'[2]BBDD P&amp;L'!$J:$AK,28,0)</f>
        <v>#N/A</v>
      </c>
    </row>
    <row r="223" spans="11:27" x14ac:dyDescent="0.35">
      <c r="K223" s="19"/>
      <c r="L223" s="19"/>
      <c r="M223" s="19"/>
      <c r="N223" s="19"/>
      <c r="O223" s="158"/>
      <c r="P223" s="158"/>
      <c r="R223" s="19"/>
      <c r="S223" s="19"/>
      <c r="T223" s="19"/>
      <c r="U223" s="19"/>
      <c r="V223" s="19"/>
      <c r="W223" s="19"/>
      <c r="AA223" s="153" t="e">
        <f>VLOOKUP(I223,'[2]BBDD P&amp;L'!$J:$AK,28,0)</f>
        <v>#N/A</v>
      </c>
    </row>
    <row r="224" spans="11:27" x14ac:dyDescent="0.35">
      <c r="K224" s="19"/>
      <c r="L224" s="19"/>
      <c r="M224" s="19"/>
      <c r="N224" s="19"/>
      <c r="O224" s="158"/>
      <c r="P224" s="19"/>
      <c r="R224" s="19"/>
      <c r="W224" s="19"/>
      <c r="AA224" s="153" t="e">
        <f>VLOOKUP(I224,'[2]BBDD P&amp;L'!$J:$AK,28,0)</f>
        <v>#N/A</v>
      </c>
    </row>
    <row r="225" spans="11:27" x14ac:dyDescent="0.35">
      <c r="K225" s="19"/>
      <c r="L225" s="19"/>
      <c r="M225" s="19"/>
      <c r="N225" s="19"/>
      <c r="O225" s="158"/>
      <c r="P225" s="19"/>
      <c r="R225" s="19"/>
      <c r="W225" s="19"/>
      <c r="AA225" s="153" t="e">
        <f>VLOOKUP(I225,'[2]BBDD P&amp;L'!$J:$AK,28,0)</f>
        <v>#N/A</v>
      </c>
    </row>
    <row r="226" spans="11:27" x14ac:dyDescent="0.35">
      <c r="P226" s="19"/>
      <c r="Q226" s="19"/>
      <c r="R226" s="19"/>
      <c r="W226" s="19"/>
      <c r="AA226" s="153" t="e">
        <f>VLOOKUP(I226,'[2]BBDD P&amp;L'!$J:$AK,28,0)</f>
        <v>#N/A</v>
      </c>
    </row>
    <row r="227" spans="11:27" x14ac:dyDescent="0.35">
      <c r="W227" s="19"/>
      <c r="AA227" s="153" t="e">
        <f>VLOOKUP(I227,'[2]BBDD P&amp;L'!$J:$AK,28,0)</f>
        <v>#N/A</v>
      </c>
    </row>
    <row r="228" spans="11:27" x14ac:dyDescent="0.35">
      <c r="W228" s="19"/>
      <c r="AA228" s="153" t="e">
        <f>VLOOKUP(I228,'[2]BBDD P&amp;L'!$J:$AK,28,0)</f>
        <v>#N/A</v>
      </c>
    </row>
    <row r="229" spans="11:27" x14ac:dyDescent="0.35">
      <c r="W229" s="19"/>
      <c r="AA229" s="153" t="e">
        <f>VLOOKUP(I229,'[2]BBDD P&amp;L'!$J:$AK,28,0)</f>
        <v>#N/A</v>
      </c>
    </row>
    <row r="230" spans="11:27" x14ac:dyDescent="0.35">
      <c r="W230" s="19"/>
      <c r="AA230" s="153" t="e">
        <f>VLOOKUP(I230,'[2]BBDD P&amp;L'!$J:$AK,28,0)</f>
        <v>#N/A</v>
      </c>
    </row>
    <row r="231" spans="11:27" x14ac:dyDescent="0.35">
      <c r="W231" s="19"/>
      <c r="AA231" s="153" t="e">
        <f>VLOOKUP(I231,'[2]BBDD P&amp;L'!$J:$AK,28,0)</f>
        <v>#N/A</v>
      </c>
    </row>
    <row r="232" spans="11:27" x14ac:dyDescent="0.35">
      <c r="W232" s="19"/>
      <c r="AA232" s="153" t="e">
        <f>VLOOKUP(I232,'[2]BBDD P&amp;L'!$J:$AK,28,0)</f>
        <v>#N/A</v>
      </c>
    </row>
    <row r="233" spans="11:27" x14ac:dyDescent="0.35">
      <c r="W233" s="19"/>
      <c r="AA233" s="153" t="e">
        <f>VLOOKUP(I233,'[2]BBDD P&amp;L'!$J:$AK,28,0)</f>
        <v>#N/A</v>
      </c>
    </row>
    <row r="234" spans="11:27" x14ac:dyDescent="0.35">
      <c r="W234" s="19"/>
      <c r="AA234" s="153" t="e">
        <f>VLOOKUP(I234,'[2]BBDD P&amp;L'!$J:$AK,28,0)</f>
        <v>#N/A</v>
      </c>
    </row>
    <row r="235" spans="11:27" x14ac:dyDescent="0.35">
      <c r="W235" s="19"/>
      <c r="AA235" s="153" t="e">
        <f>VLOOKUP(I235,'[2]BBDD P&amp;L'!$J:$AK,28,0)</f>
        <v>#N/A</v>
      </c>
    </row>
    <row r="236" spans="11:27" x14ac:dyDescent="0.35">
      <c r="W236" s="19"/>
      <c r="AA236" s="153" t="e">
        <f>VLOOKUP(I236,'[2]BBDD P&amp;L'!$J:$AK,28,0)</f>
        <v>#N/A</v>
      </c>
    </row>
    <row r="237" spans="11:27" x14ac:dyDescent="0.35">
      <c r="W237" s="19"/>
      <c r="AA237" s="153" t="e">
        <f>VLOOKUP(I237,'[2]BBDD P&amp;L'!$J:$AK,28,0)</f>
        <v>#N/A</v>
      </c>
    </row>
    <row r="238" spans="11:27" x14ac:dyDescent="0.35">
      <c r="W238" s="19"/>
      <c r="AA238" s="153" t="e">
        <f>VLOOKUP(I238,'[2]BBDD P&amp;L'!$J:$AK,28,0)</f>
        <v>#N/A</v>
      </c>
    </row>
    <row r="239" spans="11:27" x14ac:dyDescent="0.35">
      <c r="W239" s="19"/>
      <c r="AA239" s="153" t="e">
        <f>VLOOKUP(I239,'[2]BBDD P&amp;L'!$J:$AK,28,0)</f>
        <v>#N/A</v>
      </c>
    </row>
    <row r="240" spans="11:27" x14ac:dyDescent="0.35">
      <c r="W240" s="19"/>
      <c r="AA240" s="153" t="e">
        <f>VLOOKUP(I240,'[2]BBDD P&amp;L'!$J:$AK,28,0)</f>
        <v>#N/A</v>
      </c>
    </row>
    <row r="241" spans="23:27" x14ac:dyDescent="0.35">
      <c r="W241" s="19"/>
      <c r="AA241" s="153" t="e">
        <f>VLOOKUP(I241,'[2]BBDD P&amp;L'!$J:$AK,28,0)</f>
        <v>#N/A</v>
      </c>
    </row>
    <row r="242" spans="23:27" x14ac:dyDescent="0.35">
      <c r="W242" s="19"/>
      <c r="AA242" s="153" t="e">
        <f>VLOOKUP(I242,'[2]BBDD P&amp;L'!$J:$AK,28,0)</f>
        <v>#N/A</v>
      </c>
    </row>
    <row r="243" spans="23:27" x14ac:dyDescent="0.35">
      <c r="W243" s="19"/>
      <c r="AA243" s="153" t="e">
        <f>VLOOKUP(I243,'[2]BBDD P&amp;L'!$J:$AK,28,0)</f>
        <v>#N/A</v>
      </c>
    </row>
    <row r="244" spans="23:27" x14ac:dyDescent="0.35">
      <c r="W244" s="19"/>
      <c r="AA244" s="153" t="e">
        <f>VLOOKUP(I244,'[2]BBDD P&amp;L'!$J:$AK,28,0)</f>
        <v>#N/A</v>
      </c>
    </row>
    <row r="245" spans="23:27" x14ac:dyDescent="0.35">
      <c r="W245" s="19"/>
      <c r="AA245" s="153" t="e">
        <f>VLOOKUP(I245,'[2]BBDD P&amp;L'!$J:$AK,28,0)</f>
        <v>#N/A</v>
      </c>
    </row>
    <row r="246" spans="23:27" x14ac:dyDescent="0.35">
      <c r="W246" s="19"/>
      <c r="AA246" s="153" t="e">
        <f>VLOOKUP(I246,'[2]BBDD P&amp;L'!$J:$AK,28,0)</f>
        <v>#N/A</v>
      </c>
    </row>
    <row r="247" spans="23:27" x14ac:dyDescent="0.35">
      <c r="W247" s="19"/>
      <c r="AA247" s="153" t="e">
        <f>VLOOKUP(I247,'[2]BBDD P&amp;L'!$J:$AK,28,0)</f>
        <v>#N/A</v>
      </c>
    </row>
    <row r="248" spans="23:27" x14ac:dyDescent="0.35">
      <c r="W248" s="19"/>
      <c r="AA248" s="153" t="e">
        <f>VLOOKUP(I248,'[2]BBDD P&amp;L'!$J:$AK,28,0)</f>
        <v>#N/A</v>
      </c>
    </row>
    <row r="249" spans="23:27" x14ac:dyDescent="0.35">
      <c r="W249" s="19"/>
      <c r="AA249" s="153" t="e">
        <f>VLOOKUP(I249,'[2]BBDD P&amp;L'!$J:$AK,28,0)</f>
        <v>#N/A</v>
      </c>
    </row>
    <row r="250" spans="23:27" x14ac:dyDescent="0.35">
      <c r="W250" s="19"/>
      <c r="AA250" s="153" t="e">
        <f>VLOOKUP(I250,'[2]BBDD P&amp;L'!$J:$AK,28,0)</f>
        <v>#N/A</v>
      </c>
    </row>
    <row r="251" spans="23:27" x14ac:dyDescent="0.35">
      <c r="W251" s="19"/>
      <c r="AA251" s="153" t="e">
        <f>VLOOKUP(I251,'[2]BBDD P&amp;L'!$J:$AK,28,0)</f>
        <v>#N/A</v>
      </c>
    </row>
    <row r="252" spans="23:27" x14ac:dyDescent="0.35">
      <c r="W252" s="19"/>
      <c r="AA252" s="153" t="e">
        <f>VLOOKUP(I252,'[2]BBDD P&amp;L'!$J:$AK,28,0)</f>
        <v>#N/A</v>
      </c>
    </row>
    <row r="253" spans="23:27" x14ac:dyDescent="0.35">
      <c r="W253" s="19"/>
    </row>
    <row r="254" spans="23:27" x14ac:dyDescent="0.35">
      <c r="W254" s="19"/>
    </row>
    <row r="255" spans="23:27" x14ac:dyDescent="0.35">
      <c r="W255" s="19"/>
    </row>
    <row r="256" spans="23:27" x14ac:dyDescent="0.35">
      <c r="W256" s="19"/>
    </row>
    <row r="257" spans="23:23" x14ac:dyDescent="0.35">
      <c r="W257" s="19"/>
    </row>
    <row r="258" spans="23:23" x14ac:dyDescent="0.35">
      <c r="W258" s="19"/>
    </row>
    <row r="259" spans="23:23" x14ac:dyDescent="0.35">
      <c r="W259" s="19"/>
    </row>
    <row r="260" spans="23:23" x14ac:dyDescent="0.35">
      <c r="W260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342B-A7EE-471A-A088-95E0F2A2590F}">
  <sheetPr>
    <tabColor rgb="FFFFC000"/>
  </sheetPr>
  <dimension ref="A1:I158"/>
  <sheetViews>
    <sheetView workbookViewId="0"/>
  </sheetViews>
  <sheetFormatPr baseColWidth="10" defaultRowHeight="14.5" x14ac:dyDescent="0.35"/>
  <cols>
    <col min="1" max="1" width="61.453125" bestFit="1" customWidth="1"/>
    <col min="2" max="2" width="12.54296875" bestFit="1" customWidth="1"/>
    <col min="3" max="3" width="6.453125" bestFit="1" customWidth="1"/>
    <col min="4" max="4" width="6" bestFit="1" customWidth="1"/>
    <col min="5" max="5" width="6.54296875" bestFit="1" customWidth="1"/>
    <col min="6" max="6" width="6.1796875" bestFit="1" customWidth="1"/>
    <col min="7" max="7" width="12.453125" bestFit="1" customWidth="1"/>
    <col min="8" max="8" width="16.26953125" style="153" bestFit="1" customWidth="1"/>
    <col min="9" max="9" width="12.54296875" bestFit="1" customWidth="1"/>
  </cols>
  <sheetData>
    <row r="1" spans="1:9" x14ac:dyDescent="0.35">
      <c r="A1" t="s">
        <v>72</v>
      </c>
      <c r="B1" t="s">
        <v>73</v>
      </c>
      <c r="C1" s="152">
        <v>46023</v>
      </c>
      <c r="D1" s="152">
        <v>46054</v>
      </c>
      <c r="E1" s="152">
        <v>46082</v>
      </c>
      <c r="F1" s="152">
        <v>46113</v>
      </c>
      <c r="G1" s="152">
        <v>46143</v>
      </c>
      <c r="H1" s="153" t="s">
        <v>404</v>
      </c>
      <c r="I1" t="s">
        <v>405</v>
      </c>
    </row>
    <row r="2" spans="1:9" x14ac:dyDescent="0.35">
      <c r="A2" t="s">
        <v>64</v>
      </c>
      <c r="B2" t="s">
        <v>238</v>
      </c>
      <c r="G2" s="19">
        <v>2029266.99</v>
      </c>
      <c r="H2" s="153">
        <f>VLOOKUP(A2,'PL Mensual 2026'!I:O,7,0)</f>
        <v>2029266.99</v>
      </c>
      <c r="I2" s="154">
        <f>G2-H2</f>
        <v>0</v>
      </c>
    </row>
    <row r="3" spans="1:9" x14ac:dyDescent="0.35">
      <c r="A3" t="s">
        <v>318</v>
      </c>
      <c r="B3" t="s">
        <v>238</v>
      </c>
      <c r="G3" s="19">
        <v>-106250.17</v>
      </c>
      <c r="H3" s="153">
        <f>VLOOKUP(A3,'PL Mensual 2026'!I:O,7,0)</f>
        <v>-106250.17</v>
      </c>
      <c r="I3" s="154">
        <f t="shared" ref="I3:I63" si="0">G3-H3</f>
        <v>0</v>
      </c>
    </row>
    <row r="4" spans="1:9" x14ac:dyDescent="0.35">
      <c r="A4" t="s">
        <v>319</v>
      </c>
      <c r="B4" t="s">
        <v>238</v>
      </c>
      <c r="G4" t="s">
        <v>396</v>
      </c>
      <c r="H4" s="153">
        <f>VLOOKUP(A4,'PL Mensual 2026'!I:O,7,0)</f>
        <v>0</v>
      </c>
      <c r="I4" s="154"/>
    </row>
    <row r="5" spans="1:9" x14ac:dyDescent="0.35">
      <c r="A5" t="s">
        <v>320</v>
      </c>
      <c r="B5" t="s">
        <v>238</v>
      </c>
      <c r="G5" t="s">
        <v>396</v>
      </c>
      <c r="H5" s="153">
        <f>VLOOKUP(A5,'PL Mensual 2026'!I:O,7,0)</f>
        <v>0</v>
      </c>
      <c r="I5" s="154"/>
    </row>
    <row r="6" spans="1:9" x14ac:dyDescent="0.35">
      <c r="A6" t="s">
        <v>397</v>
      </c>
      <c r="B6" t="s">
        <v>238</v>
      </c>
      <c r="G6" s="19">
        <v>25140.75</v>
      </c>
      <c r="H6" s="153">
        <f>VLOOKUP(A6,'PL Mensual 2026'!I:O,7,0)</f>
        <v>25140.75</v>
      </c>
      <c r="I6" s="154">
        <f t="shared" si="0"/>
        <v>0</v>
      </c>
    </row>
    <row r="7" spans="1:9" x14ac:dyDescent="0.35">
      <c r="A7" t="s">
        <v>321</v>
      </c>
      <c r="B7" t="s">
        <v>238</v>
      </c>
      <c r="G7" s="19">
        <v>101865.8</v>
      </c>
      <c r="H7" s="153">
        <f>VLOOKUP(A7,'PL Mensual 2026'!I:O,7,0)</f>
        <v>0</v>
      </c>
      <c r="I7" s="154">
        <f t="shared" si="0"/>
        <v>101865.8</v>
      </c>
    </row>
    <row r="8" spans="1:9" x14ac:dyDescent="0.35">
      <c r="A8" t="s">
        <v>322</v>
      </c>
      <c r="B8" t="s">
        <v>238</v>
      </c>
      <c r="G8" t="s">
        <v>396</v>
      </c>
      <c r="H8" s="153">
        <f>VLOOKUP(A8,'PL Mensual 2026'!I:O,7,0)</f>
        <v>0</v>
      </c>
      <c r="I8" s="154"/>
    </row>
    <row r="9" spans="1:9" x14ac:dyDescent="0.35">
      <c r="A9" t="s">
        <v>82</v>
      </c>
      <c r="B9" t="s">
        <v>238</v>
      </c>
      <c r="G9" s="19">
        <v>80917.990000000005</v>
      </c>
      <c r="H9" s="153">
        <f>VLOOKUP(A9,'PL Mensual 2026'!I:O,7,0)</f>
        <v>0</v>
      </c>
      <c r="I9" s="154">
        <f t="shared" si="0"/>
        <v>80917.990000000005</v>
      </c>
    </row>
    <row r="10" spans="1:9" x14ac:dyDescent="0.35">
      <c r="A10" t="s">
        <v>323</v>
      </c>
      <c r="B10" t="s">
        <v>238</v>
      </c>
      <c r="G10" s="19">
        <v>111557.6</v>
      </c>
      <c r="H10" s="153">
        <f>VLOOKUP(A10,'PL Mensual 2026'!I:O,7,0)</f>
        <v>0</v>
      </c>
      <c r="I10" s="154">
        <f t="shared" si="0"/>
        <v>111557.6</v>
      </c>
    </row>
    <row r="11" spans="1:9" x14ac:dyDescent="0.35">
      <c r="A11" t="s">
        <v>392</v>
      </c>
      <c r="B11" t="s">
        <v>398</v>
      </c>
      <c r="G11" s="19">
        <v>-111557.6</v>
      </c>
      <c r="H11" s="153" t="e">
        <f>VLOOKUP(A11,'PL Mensual 2026'!I:O,7,0)</f>
        <v>#N/A</v>
      </c>
      <c r="I11" s="154" t="e">
        <f t="shared" si="0"/>
        <v>#N/A</v>
      </c>
    </row>
    <row r="12" spans="1:9" x14ac:dyDescent="0.35">
      <c r="A12" t="s">
        <v>84</v>
      </c>
      <c r="B12" t="s">
        <v>238</v>
      </c>
      <c r="G12" s="19">
        <v>2913.09</v>
      </c>
      <c r="H12" s="153">
        <f>VLOOKUP(A12,'PL Mensual 2026'!I:O,7,0)</f>
        <v>2913.09</v>
      </c>
      <c r="I12" s="154">
        <f t="shared" si="0"/>
        <v>0</v>
      </c>
    </row>
    <row r="13" spans="1:9" x14ac:dyDescent="0.35">
      <c r="A13" t="s">
        <v>324</v>
      </c>
      <c r="B13" t="s">
        <v>238</v>
      </c>
      <c r="G13" t="s">
        <v>396</v>
      </c>
      <c r="H13" s="153">
        <f>VLOOKUP(A13,'PL Mensual 2026'!I:O,7,0)</f>
        <v>0</v>
      </c>
      <c r="I13" s="154"/>
    </row>
    <row r="14" spans="1:9" x14ac:dyDescent="0.35">
      <c r="A14" t="s">
        <v>399</v>
      </c>
      <c r="B14" t="s">
        <v>238</v>
      </c>
      <c r="G14" s="19">
        <v>-38633.949999999997</v>
      </c>
      <c r="H14" s="153">
        <f>VLOOKUP(A14,'PL Mensual 2026'!I:O,7,0)</f>
        <v>-38633.949999999997</v>
      </c>
      <c r="I14" s="154">
        <f t="shared" si="0"/>
        <v>0</v>
      </c>
    </row>
    <row r="15" spans="1:9" x14ac:dyDescent="0.35">
      <c r="A15" t="s">
        <v>325</v>
      </c>
      <c r="B15" t="s">
        <v>238</v>
      </c>
      <c r="G15" t="s">
        <v>396</v>
      </c>
      <c r="H15" s="153">
        <f>VLOOKUP(A15,'PL Mensual 2026'!I:O,7,0)</f>
        <v>0</v>
      </c>
      <c r="I15" s="154"/>
    </row>
    <row r="16" spans="1:9" x14ac:dyDescent="0.35">
      <c r="A16" t="s">
        <v>87</v>
      </c>
      <c r="B16" t="s">
        <v>238</v>
      </c>
      <c r="G16" t="s">
        <v>396</v>
      </c>
      <c r="H16" s="153">
        <f>VLOOKUP(A16,'PL Mensual 2026'!I:O,7,0)</f>
        <v>0</v>
      </c>
      <c r="I16" s="154"/>
    </row>
    <row r="17" spans="1:9" x14ac:dyDescent="0.35">
      <c r="A17" t="s">
        <v>393</v>
      </c>
      <c r="B17" t="s">
        <v>238</v>
      </c>
      <c r="G17" s="19">
        <v>-1350</v>
      </c>
      <c r="H17" s="153">
        <f>VLOOKUP(A17,'PL Mensual 2026'!I:O,7,0)</f>
        <v>-1350</v>
      </c>
      <c r="I17" s="154">
        <f t="shared" si="0"/>
        <v>0</v>
      </c>
    </row>
    <row r="18" spans="1:9" x14ac:dyDescent="0.35">
      <c r="A18" t="s">
        <v>327</v>
      </c>
      <c r="B18" t="s">
        <v>238</v>
      </c>
      <c r="G18" s="19">
        <v>4436.0200000000004</v>
      </c>
      <c r="H18" s="153">
        <f>VLOOKUP(A18,'PL Mensual 2026'!I:O,7,0)</f>
        <v>4436.0200000000004</v>
      </c>
      <c r="I18" s="154">
        <f t="shared" si="0"/>
        <v>0</v>
      </c>
    </row>
    <row r="19" spans="1:9" x14ac:dyDescent="0.35">
      <c r="A19" t="s">
        <v>328</v>
      </c>
      <c r="B19" t="s">
        <v>238</v>
      </c>
      <c r="G19" s="19">
        <v>-34727.120000000003</v>
      </c>
      <c r="H19" s="153">
        <f>VLOOKUP(A19,'PL Mensual 2026'!I:O,7,0)</f>
        <v>-34727.120000000003</v>
      </c>
      <c r="I19" s="154">
        <f t="shared" si="0"/>
        <v>0</v>
      </c>
    </row>
    <row r="20" spans="1:9" x14ac:dyDescent="0.35">
      <c r="A20" t="s">
        <v>100</v>
      </c>
      <c r="B20" t="s">
        <v>238</v>
      </c>
      <c r="G20" s="19">
        <v>-417425.43</v>
      </c>
      <c r="H20" s="153">
        <f>VLOOKUP(A20,'PL Mensual 2026'!I:O,7,0)</f>
        <v>-423709.62999999989</v>
      </c>
      <c r="I20" s="154">
        <f t="shared" si="0"/>
        <v>6284.1999999998952</v>
      </c>
    </row>
    <row r="21" spans="1:9" x14ac:dyDescent="0.35">
      <c r="A21" t="s">
        <v>329</v>
      </c>
      <c r="B21" t="s">
        <v>238</v>
      </c>
      <c r="G21" s="19">
        <v>-108150</v>
      </c>
      <c r="H21" s="153">
        <f>VLOOKUP(A21,'PL Mensual 2026'!I:O,7,0)</f>
        <v>0</v>
      </c>
      <c r="I21" s="154">
        <f t="shared" si="0"/>
        <v>-108150</v>
      </c>
    </row>
    <row r="22" spans="1:9" x14ac:dyDescent="0.35">
      <c r="A22" t="s">
        <v>102</v>
      </c>
      <c r="B22" t="s">
        <v>238</v>
      </c>
      <c r="G22" s="19">
        <v>-111111.14</v>
      </c>
      <c r="H22" s="153">
        <f>VLOOKUP(A22,'PL Mensual 2026'!I:O,7,0)</f>
        <v>-30193.149999999991</v>
      </c>
      <c r="I22" s="154">
        <f t="shared" si="0"/>
        <v>-80917.990000000005</v>
      </c>
    </row>
    <row r="23" spans="1:9" x14ac:dyDescent="0.35">
      <c r="A23" t="s">
        <v>103</v>
      </c>
      <c r="B23" t="s">
        <v>238</v>
      </c>
      <c r="G23" s="19">
        <v>-2784.91</v>
      </c>
      <c r="H23" s="153">
        <f>VLOOKUP(A23,'PL Mensual 2026'!I:O,7,0)</f>
        <v>-2784.91</v>
      </c>
      <c r="I23" s="154">
        <f t="shared" si="0"/>
        <v>0</v>
      </c>
    </row>
    <row r="24" spans="1:9" x14ac:dyDescent="0.35">
      <c r="A24" t="s">
        <v>104</v>
      </c>
      <c r="B24" t="s">
        <v>238</v>
      </c>
      <c r="G24" s="19">
        <v>-17326.400000000001</v>
      </c>
      <c r="H24" s="153">
        <f>VLOOKUP(A24,'PL Mensual 2026'!I:O,7,0)</f>
        <v>-17326.400000000001</v>
      </c>
      <c r="I24" s="154">
        <f t="shared" si="0"/>
        <v>0</v>
      </c>
    </row>
    <row r="25" spans="1:9" x14ac:dyDescent="0.35">
      <c r="A25" t="s">
        <v>105</v>
      </c>
      <c r="B25" t="s">
        <v>238</v>
      </c>
      <c r="G25" t="s">
        <v>396</v>
      </c>
      <c r="H25" s="153">
        <f>VLOOKUP(A25,'PL Mensual 2026'!I:O,7,0)</f>
        <v>0</v>
      </c>
      <c r="I25" s="154"/>
    </row>
    <row r="26" spans="1:9" x14ac:dyDescent="0.35">
      <c r="A26" t="s">
        <v>106</v>
      </c>
      <c r="B26" t="s">
        <v>238</v>
      </c>
      <c r="G26" t="s">
        <v>396</v>
      </c>
      <c r="H26" s="153">
        <f>VLOOKUP(A26,'PL Mensual 2026'!I:O,7,0)</f>
        <v>0</v>
      </c>
      <c r="I26" s="154"/>
    </row>
    <row r="27" spans="1:9" x14ac:dyDescent="0.35">
      <c r="A27" t="s">
        <v>107</v>
      </c>
      <c r="B27" t="s">
        <v>238</v>
      </c>
      <c r="G27" t="s">
        <v>396</v>
      </c>
      <c r="H27" s="153">
        <f>VLOOKUP(A27,'PL Mensual 2026'!I:O,7,0)</f>
        <v>0</v>
      </c>
      <c r="I27" s="154"/>
    </row>
    <row r="28" spans="1:9" x14ac:dyDescent="0.35">
      <c r="A28" t="s">
        <v>111</v>
      </c>
      <c r="B28" t="s">
        <v>238</v>
      </c>
      <c r="G28" t="s">
        <v>396</v>
      </c>
      <c r="H28" s="153">
        <f>VLOOKUP(A28,'PL Mensual 2026'!I:O,7,0)</f>
        <v>0</v>
      </c>
      <c r="I28" s="154"/>
    </row>
    <row r="29" spans="1:9" x14ac:dyDescent="0.35">
      <c r="A29" t="s">
        <v>112</v>
      </c>
      <c r="B29" t="s">
        <v>238</v>
      </c>
      <c r="G29" t="s">
        <v>396</v>
      </c>
      <c r="H29" s="153">
        <f>VLOOKUP(A29,'PL Mensual 2026'!I:O,7,0)</f>
        <v>0</v>
      </c>
      <c r="I29" s="154"/>
    </row>
    <row r="30" spans="1:9" x14ac:dyDescent="0.35">
      <c r="A30" t="s">
        <v>330</v>
      </c>
      <c r="B30" t="s">
        <v>238</v>
      </c>
      <c r="G30">
        <v>-480.84</v>
      </c>
      <c r="H30" s="153">
        <f>VLOOKUP(A30,'PL Mensual 2026'!I:O,7,0)</f>
        <v>-480.84</v>
      </c>
      <c r="I30" s="154">
        <f t="shared" si="0"/>
        <v>0</v>
      </c>
    </row>
    <row r="31" spans="1:9" x14ac:dyDescent="0.35">
      <c r="A31" t="s">
        <v>113</v>
      </c>
      <c r="B31" t="s">
        <v>238</v>
      </c>
      <c r="G31" s="19">
        <v>1124</v>
      </c>
      <c r="H31" s="153">
        <f>VLOOKUP(A31,'PL Mensual 2026'!I:O,7,0)</f>
        <v>1124</v>
      </c>
      <c r="I31" s="154">
        <f t="shared" si="0"/>
        <v>0</v>
      </c>
    </row>
    <row r="32" spans="1:9" x14ac:dyDescent="0.35">
      <c r="A32" t="s">
        <v>331</v>
      </c>
      <c r="B32" t="s">
        <v>238</v>
      </c>
      <c r="G32" s="19">
        <v>-32102.71</v>
      </c>
      <c r="H32" s="153">
        <f>VLOOKUP(A32,'PL Mensual 2026'!I:O,7,0)</f>
        <v>-3540</v>
      </c>
      <c r="I32" s="154">
        <f t="shared" si="0"/>
        <v>-28562.71</v>
      </c>
    </row>
    <row r="33" spans="1:9" x14ac:dyDescent="0.35">
      <c r="A33" t="s">
        <v>392</v>
      </c>
      <c r="B33" t="s">
        <v>398</v>
      </c>
      <c r="G33" s="19">
        <v>28562.71</v>
      </c>
      <c r="H33" s="153" t="e">
        <f>VLOOKUP(A33,'PL Mensual 2026'!I:O,7,0)</f>
        <v>#N/A</v>
      </c>
      <c r="I33" s="154" t="e">
        <f t="shared" si="0"/>
        <v>#N/A</v>
      </c>
    </row>
    <row r="34" spans="1:9" x14ac:dyDescent="0.35">
      <c r="A34" t="s">
        <v>332</v>
      </c>
      <c r="B34" t="s">
        <v>238</v>
      </c>
      <c r="G34" s="19">
        <v>-43504.89</v>
      </c>
      <c r="H34" s="153">
        <f>VLOOKUP(A34,'PL Mensual 2026'!I:O,7,0)</f>
        <v>-43504.89</v>
      </c>
      <c r="I34" s="154">
        <f t="shared" si="0"/>
        <v>0</v>
      </c>
    </row>
    <row r="35" spans="1:9" x14ac:dyDescent="0.35">
      <c r="A35" t="s">
        <v>333</v>
      </c>
      <c r="B35" t="s">
        <v>238</v>
      </c>
      <c r="G35" s="19">
        <v>-73565.42</v>
      </c>
      <c r="H35" s="153">
        <f>VLOOKUP(A35,'PL Mensual 2026'!I:O,7,0)</f>
        <v>-73565.42</v>
      </c>
      <c r="I35" s="154">
        <f t="shared" si="0"/>
        <v>0</v>
      </c>
    </row>
    <row r="36" spans="1:9" x14ac:dyDescent="0.35">
      <c r="A36" t="s">
        <v>121</v>
      </c>
      <c r="B36" t="s">
        <v>238</v>
      </c>
      <c r="G36" s="19">
        <v>-104048.18</v>
      </c>
      <c r="H36" s="153">
        <f>VLOOKUP(A36,'PL Mensual 2026'!I:O,7,0)</f>
        <v>-104048.18</v>
      </c>
      <c r="I36" s="154">
        <f t="shared" si="0"/>
        <v>0</v>
      </c>
    </row>
    <row r="37" spans="1:9" x14ac:dyDescent="0.35">
      <c r="A37" t="s">
        <v>125</v>
      </c>
      <c r="B37" t="s">
        <v>238</v>
      </c>
      <c r="G37" t="s">
        <v>396</v>
      </c>
      <c r="H37" s="153" t="e">
        <f>VLOOKUP(A37,'PL Mensual 2026'!I:O,7,0)</f>
        <v>#N/A</v>
      </c>
      <c r="I37" s="154"/>
    </row>
    <row r="38" spans="1:9" x14ac:dyDescent="0.35">
      <c r="A38" t="s">
        <v>335</v>
      </c>
      <c r="B38" t="s">
        <v>238</v>
      </c>
      <c r="G38" s="19">
        <v>-30856.34</v>
      </c>
      <c r="H38" s="153">
        <f>VLOOKUP(A38,'PL Mensual 2026'!I:O,7,0)</f>
        <v>-30856.34</v>
      </c>
      <c r="I38" s="154">
        <f t="shared" si="0"/>
        <v>0</v>
      </c>
    </row>
    <row r="39" spans="1:9" x14ac:dyDescent="0.35">
      <c r="A39" t="s">
        <v>135</v>
      </c>
      <c r="B39" t="s">
        <v>238</v>
      </c>
      <c r="G39">
        <v>-88</v>
      </c>
      <c r="H39" s="153">
        <f>VLOOKUP(A39,'PL Mensual 2026'!I:O,7,0)</f>
        <v>-88</v>
      </c>
      <c r="I39" s="154">
        <f t="shared" si="0"/>
        <v>0</v>
      </c>
    </row>
    <row r="40" spans="1:9" x14ac:dyDescent="0.35">
      <c r="A40" t="s">
        <v>142</v>
      </c>
      <c r="B40" t="s">
        <v>238</v>
      </c>
      <c r="G40">
        <v>-487.47</v>
      </c>
      <c r="H40" s="153">
        <f>VLOOKUP(A40,'PL Mensual 2026'!I:O,7,0)</f>
        <v>-487.47</v>
      </c>
      <c r="I40" s="154">
        <f t="shared" si="0"/>
        <v>0</v>
      </c>
    </row>
    <row r="41" spans="1:9" x14ac:dyDescent="0.35">
      <c r="A41" t="s">
        <v>143</v>
      </c>
      <c r="B41" t="s">
        <v>238</v>
      </c>
      <c r="G41" s="19">
        <v>-1464.58</v>
      </c>
      <c r="H41" s="153">
        <f>VLOOKUP(A41,'PL Mensual 2026'!I:O,7,0)</f>
        <v>-1464.58</v>
      </c>
      <c r="I41" s="154">
        <f t="shared" si="0"/>
        <v>0</v>
      </c>
    </row>
    <row r="42" spans="1:9" x14ac:dyDescent="0.35">
      <c r="A42" t="s">
        <v>144</v>
      </c>
      <c r="B42" t="s">
        <v>238</v>
      </c>
      <c r="G42" s="19">
        <v>-1476.12</v>
      </c>
      <c r="H42" s="153">
        <f>VLOOKUP(A42,'PL Mensual 2026'!I:O,7,0)</f>
        <v>-1476.12</v>
      </c>
      <c r="I42" s="154">
        <f t="shared" si="0"/>
        <v>0</v>
      </c>
    </row>
    <row r="43" spans="1:9" x14ac:dyDescent="0.35">
      <c r="A43" t="s">
        <v>146</v>
      </c>
      <c r="B43" t="s">
        <v>238</v>
      </c>
      <c r="G43">
        <v>-192</v>
      </c>
      <c r="H43" s="153">
        <f>VLOOKUP(A43,'PL Mensual 2026'!I:O,7,0)</f>
        <v>-192</v>
      </c>
      <c r="I43" s="154">
        <f t="shared" si="0"/>
        <v>0</v>
      </c>
    </row>
    <row r="44" spans="1:9" x14ac:dyDescent="0.35">
      <c r="A44" t="s">
        <v>400</v>
      </c>
      <c r="B44" t="s">
        <v>238</v>
      </c>
      <c r="G44" s="19">
        <v>-15421.92</v>
      </c>
      <c r="H44" s="153">
        <f>VLOOKUP(A44,'PL Mensual 2026'!I:O,7,0)</f>
        <v>-15421.92</v>
      </c>
      <c r="I44" s="154">
        <f t="shared" si="0"/>
        <v>0</v>
      </c>
    </row>
    <row r="45" spans="1:9" x14ac:dyDescent="0.35">
      <c r="A45" t="s">
        <v>340</v>
      </c>
      <c r="B45" t="s">
        <v>238</v>
      </c>
      <c r="G45" t="s">
        <v>396</v>
      </c>
      <c r="H45" s="153">
        <f>VLOOKUP(A45,'PL Mensual 2026'!I:O,7,0)</f>
        <v>0</v>
      </c>
      <c r="I45" s="154"/>
    </row>
    <row r="46" spans="1:9" x14ac:dyDescent="0.35">
      <c r="A46" t="s">
        <v>147</v>
      </c>
      <c r="B46" t="s">
        <v>238</v>
      </c>
      <c r="G46" t="s">
        <v>396</v>
      </c>
      <c r="H46" s="153">
        <f>VLOOKUP(A46,'PL Mensual 2026'!I:O,7,0)</f>
        <v>0</v>
      </c>
      <c r="I46" s="154"/>
    </row>
    <row r="47" spans="1:9" x14ac:dyDescent="0.35">
      <c r="A47" t="s">
        <v>343</v>
      </c>
      <c r="B47" t="s">
        <v>238</v>
      </c>
      <c r="G47">
        <v>-338</v>
      </c>
      <c r="H47" s="153">
        <f>VLOOKUP(A47,'PL Mensual 2026'!I:O,7,0)</f>
        <v>-338</v>
      </c>
      <c r="I47" s="154">
        <f t="shared" si="0"/>
        <v>0</v>
      </c>
    </row>
    <row r="48" spans="1:9" x14ac:dyDescent="0.35">
      <c r="A48" t="s">
        <v>344</v>
      </c>
      <c r="B48" t="s">
        <v>238</v>
      </c>
      <c r="G48">
        <v>-443.49</v>
      </c>
      <c r="H48" s="153">
        <f>VLOOKUP(A48,'PL Mensual 2026'!I:O,7,0)</f>
        <v>-443.49</v>
      </c>
      <c r="I48" s="154">
        <f t="shared" si="0"/>
        <v>0</v>
      </c>
    </row>
    <row r="49" spans="1:9" x14ac:dyDescent="0.35">
      <c r="A49" t="s">
        <v>345</v>
      </c>
      <c r="B49" t="s">
        <v>238</v>
      </c>
      <c r="G49">
        <v>-399.42</v>
      </c>
      <c r="H49" s="153">
        <f>VLOOKUP(A49,'PL Mensual 2026'!I:O,7,0)</f>
        <v>-399.42</v>
      </c>
      <c r="I49" s="154">
        <f t="shared" si="0"/>
        <v>0</v>
      </c>
    </row>
    <row r="50" spans="1:9" x14ac:dyDescent="0.35">
      <c r="A50" t="s">
        <v>346</v>
      </c>
      <c r="B50" t="s">
        <v>238</v>
      </c>
      <c r="G50" t="s">
        <v>396</v>
      </c>
      <c r="H50" s="153">
        <f>VLOOKUP(A50,'PL Mensual 2026'!I:O,7,0)</f>
        <v>0</v>
      </c>
      <c r="I50" s="154"/>
    </row>
    <row r="51" spans="1:9" x14ac:dyDescent="0.35">
      <c r="A51" t="s">
        <v>349</v>
      </c>
      <c r="B51" t="s">
        <v>238</v>
      </c>
      <c r="G51">
        <v>-200</v>
      </c>
      <c r="H51" s="153">
        <f>VLOOKUP(A51,'PL Mensual 2026'!I:O,7,0)</f>
        <v>-200</v>
      </c>
      <c r="I51" s="154">
        <f t="shared" si="0"/>
        <v>0</v>
      </c>
    </row>
    <row r="52" spans="1:9" x14ac:dyDescent="0.35">
      <c r="A52" t="s">
        <v>350</v>
      </c>
      <c r="B52" t="s">
        <v>238</v>
      </c>
      <c r="G52">
        <v>-200.22</v>
      </c>
      <c r="H52" s="153">
        <f>VLOOKUP(A52,'PL Mensual 2026'!I:O,7,0)</f>
        <v>-200.22</v>
      </c>
      <c r="I52" s="154">
        <f t="shared" si="0"/>
        <v>0</v>
      </c>
    </row>
    <row r="53" spans="1:9" x14ac:dyDescent="0.35">
      <c r="A53" t="s">
        <v>351</v>
      </c>
      <c r="B53" t="s">
        <v>238</v>
      </c>
      <c r="G53" t="s">
        <v>396</v>
      </c>
      <c r="H53" s="153">
        <f>VLOOKUP(A53,'PL Mensual 2026'!I:O,7,0)</f>
        <v>0</v>
      </c>
      <c r="I53" s="154"/>
    </row>
    <row r="54" spans="1:9" x14ac:dyDescent="0.35">
      <c r="A54" t="s">
        <v>352</v>
      </c>
      <c r="B54" t="s">
        <v>238</v>
      </c>
      <c r="G54" s="19">
        <v>-1172.1400000000001</v>
      </c>
      <c r="H54" s="153">
        <f>VLOOKUP(A54,'PL Mensual 2026'!I:O,7,0)</f>
        <v>-1172.1400000000001</v>
      </c>
      <c r="I54" s="154">
        <f t="shared" si="0"/>
        <v>0</v>
      </c>
    </row>
    <row r="55" spans="1:9" x14ac:dyDescent="0.35">
      <c r="A55" t="s">
        <v>353</v>
      </c>
      <c r="B55" t="s">
        <v>238</v>
      </c>
      <c r="G55" s="19">
        <v>-1015.21</v>
      </c>
      <c r="H55" s="153">
        <f>VLOOKUP(A55,'PL Mensual 2026'!I:O,7,0)</f>
        <v>-1015.21</v>
      </c>
      <c r="I55" s="154">
        <f t="shared" si="0"/>
        <v>0</v>
      </c>
    </row>
    <row r="56" spans="1:9" x14ac:dyDescent="0.35">
      <c r="A56" t="s">
        <v>354</v>
      </c>
      <c r="B56" t="s">
        <v>238</v>
      </c>
      <c r="G56">
        <v>-677.53</v>
      </c>
      <c r="H56" s="153">
        <f>VLOOKUP(A56,'PL Mensual 2026'!I:O,7,0)</f>
        <v>-677.53</v>
      </c>
      <c r="I56" s="154">
        <f t="shared" si="0"/>
        <v>0</v>
      </c>
    </row>
    <row r="57" spans="1:9" x14ac:dyDescent="0.35">
      <c r="A57" t="s">
        <v>355</v>
      </c>
      <c r="B57" t="s">
        <v>238</v>
      </c>
      <c r="G57" s="19">
        <v>-1600</v>
      </c>
      <c r="H57" s="153">
        <f>VLOOKUP(A57,'PL Mensual 2026'!I:O,7,0)</f>
        <v>-1600</v>
      </c>
      <c r="I57" s="154">
        <f t="shared" si="0"/>
        <v>0</v>
      </c>
    </row>
    <row r="58" spans="1:9" x14ac:dyDescent="0.35">
      <c r="A58" t="s">
        <v>148</v>
      </c>
      <c r="B58" t="s">
        <v>238</v>
      </c>
      <c r="G58" s="19">
        <v>-1208.01</v>
      </c>
      <c r="H58" s="153">
        <f>VLOOKUP(A58,'PL Mensual 2026'!I:O,7,0)</f>
        <v>-1208.01</v>
      </c>
      <c r="I58" s="154">
        <f t="shared" si="0"/>
        <v>0</v>
      </c>
    </row>
    <row r="59" spans="1:9" x14ac:dyDescent="0.35">
      <c r="A59" t="s">
        <v>310</v>
      </c>
      <c r="B59" t="s">
        <v>238</v>
      </c>
      <c r="G59">
        <v>-665</v>
      </c>
      <c r="H59" s="153">
        <f>VLOOKUP(A59,'PL Mensual 2026'!I:O,7,0)</f>
        <v>0</v>
      </c>
      <c r="I59" s="154">
        <f t="shared" si="0"/>
        <v>-665</v>
      </c>
    </row>
    <row r="60" spans="1:9" x14ac:dyDescent="0.35">
      <c r="A60" t="s">
        <v>392</v>
      </c>
      <c r="B60" t="s">
        <v>398</v>
      </c>
      <c r="G60">
        <v>665</v>
      </c>
      <c r="H60" s="153" t="e">
        <f>VLOOKUP(A60,'PL Mensual 2026'!I:O,7,0)</f>
        <v>#N/A</v>
      </c>
      <c r="I60" s="154" t="e">
        <f t="shared" si="0"/>
        <v>#N/A</v>
      </c>
    </row>
    <row r="61" spans="1:9" x14ac:dyDescent="0.35">
      <c r="A61" t="s">
        <v>356</v>
      </c>
      <c r="B61" t="s">
        <v>238</v>
      </c>
      <c r="G61" t="s">
        <v>396</v>
      </c>
      <c r="H61" s="153">
        <f>VLOOKUP(A61,'PL Mensual 2026'!I:O,7,0)</f>
        <v>0</v>
      </c>
      <c r="I61" s="154"/>
    </row>
    <row r="62" spans="1:9" x14ac:dyDescent="0.35">
      <c r="A62" t="s">
        <v>357</v>
      </c>
      <c r="B62" t="s">
        <v>238</v>
      </c>
      <c r="G62" t="s">
        <v>396</v>
      </c>
      <c r="H62" s="153">
        <f>VLOOKUP(A62,'PL Mensual 2026'!I:O,7,0)</f>
        <v>0</v>
      </c>
      <c r="I62" s="154"/>
    </row>
    <row r="63" spans="1:9" x14ac:dyDescent="0.35">
      <c r="A63" t="s">
        <v>150</v>
      </c>
      <c r="B63" t="s">
        <v>238</v>
      </c>
      <c r="G63">
        <v>-183.66</v>
      </c>
      <c r="H63" s="153">
        <f>VLOOKUP(A63,'PL Mensual 2026'!I:O,7,0)</f>
        <v>-183.66</v>
      </c>
      <c r="I63" s="154">
        <f t="shared" si="0"/>
        <v>0</v>
      </c>
    </row>
    <row r="64" spans="1:9" x14ac:dyDescent="0.35">
      <c r="A64" t="s">
        <v>358</v>
      </c>
      <c r="B64" t="s">
        <v>238</v>
      </c>
      <c r="G64" t="s">
        <v>396</v>
      </c>
      <c r="H64" s="153">
        <f>VLOOKUP(A64,'PL Mensual 2026'!I:O,7,0)</f>
        <v>0</v>
      </c>
      <c r="I64" s="154"/>
    </row>
    <row r="65" spans="1:9" x14ac:dyDescent="0.35">
      <c r="A65" t="s">
        <v>151</v>
      </c>
      <c r="B65" t="s">
        <v>238</v>
      </c>
      <c r="G65" t="s">
        <v>396</v>
      </c>
      <c r="H65" s="153">
        <f>VLOOKUP(A65,'PL Mensual 2026'!I:O,7,0)</f>
        <v>0</v>
      </c>
      <c r="I65" s="154"/>
    </row>
    <row r="66" spans="1:9" x14ac:dyDescent="0.35">
      <c r="A66" t="s">
        <v>359</v>
      </c>
      <c r="B66" t="s">
        <v>238</v>
      </c>
      <c r="G66" t="s">
        <v>396</v>
      </c>
      <c r="H66" s="153">
        <f>VLOOKUP(A66,'PL Mensual 2026'!I:O,7,0)</f>
        <v>0</v>
      </c>
      <c r="I66" s="154"/>
    </row>
    <row r="67" spans="1:9" x14ac:dyDescent="0.35">
      <c r="A67" t="s">
        <v>360</v>
      </c>
      <c r="B67" t="s">
        <v>238</v>
      </c>
      <c r="G67" t="s">
        <v>396</v>
      </c>
      <c r="H67" s="153">
        <f>VLOOKUP(A67,'PL Mensual 2026'!I:O,7,0)</f>
        <v>0</v>
      </c>
      <c r="I67" s="154"/>
    </row>
    <row r="68" spans="1:9" x14ac:dyDescent="0.35">
      <c r="A68" t="s">
        <v>153</v>
      </c>
      <c r="B68" t="s">
        <v>238</v>
      </c>
      <c r="G68">
        <v>-942.88</v>
      </c>
      <c r="H68" s="153">
        <f>VLOOKUP(A68,'PL Mensual 2026'!I:O,7,0)</f>
        <v>-942.88</v>
      </c>
      <c r="I68" s="154">
        <f t="shared" ref="I68:I130" si="1">G68-H68</f>
        <v>0</v>
      </c>
    </row>
    <row r="69" spans="1:9" x14ac:dyDescent="0.35">
      <c r="A69" t="s">
        <v>154</v>
      </c>
      <c r="B69" t="s">
        <v>238</v>
      </c>
      <c r="G69" t="s">
        <v>396</v>
      </c>
      <c r="H69" s="153">
        <f>VLOOKUP(A69,'PL Mensual 2026'!I:O,7,0)</f>
        <v>0</v>
      </c>
      <c r="I69" s="154"/>
    </row>
    <row r="70" spans="1:9" x14ac:dyDescent="0.35">
      <c r="A70" t="s">
        <v>155</v>
      </c>
      <c r="B70" t="s">
        <v>238</v>
      </c>
      <c r="G70" t="s">
        <v>396</v>
      </c>
      <c r="H70" s="153">
        <f>VLOOKUP(A70,'PL Mensual 2026'!I:O,7,0)</f>
        <v>0</v>
      </c>
      <c r="I70" s="154"/>
    </row>
    <row r="71" spans="1:9" x14ac:dyDescent="0.35">
      <c r="A71" t="s">
        <v>156</v>
      </c>
      <c r="B71" t="s">
        <v>238</v>
      </c>
      <c r="G71" s="19">
        <v>-1092.45</v>
      </c>
      <c r="H71" s="153">
        <f>VLOOKUP(A71,'PL Mensual 2026'!I:O,7,0)</f>
        <v>-1092.45</v>
      </c>
      <c r="I71" s="154">
        <f t="shared" si="1"/>
        <v>0</v>
      </c>
    </row>
    <row r="72" spans="1:9" x14ac:dyDescent="0.35">
      <c r="A72" t="s">
        <v>157</v>
      </c>
      <c r="B72" t="s">
        <v>238</v>
      </c>
      <c r="G72">
        <v>-799.04</v>
      </c>
      <c r="H72" s="153">
        <f>VLOOKUP(A72,'PL Mensual 2026'!I:O,7,0)</f>
        <v>-799.04</v>
      </c>
      <c r="I72" s="154">
        <f t="shared" si="1"/>
        <v>0</v>
      </c>
    </row>
    <row r="73" spans="1:9" x14ac:dyDescent="0.35">
      <c r="A73" t="s">
        <v>158</v>
      </c>
      <c r="B73" t="s">
        <v>238</v>
      </c>
      <c r="G73" t="s">
        <v>396</v>
      </c>
      <c r="H73" s="153">
        <f>VLOOKUP(A73,'PL Mensual 2026'!I:O,7,0)</f>
        <v>0</v>
      </c>
      <c r="I73" s="154"/>
    </row>
    <row r="74" spans="1:9" x14ac:dyDescent="0.35">
      <c r="A74" t="s">
        <v>160</v>
      </c>
      <c r="B74" t="s">
        <v>238</v>
      </c>
      <c r="G74" s="19">
        <v>-21698</v>
      </c>
      <c r="H74" s="153">
        <f>VLOOKUP(A74,'PL Mensual 2026'!I:O,7,0)</f>
        <v>-21698</v>
      </c>
      <c r="I74" s="154">
        <f t="shared" si="1"/>
        <v>0</v>
      </c>
    </row>
    <row r="75" spans="1:9" x14ac:dyDescent="0.35">
      <c r="A75" t="s">
        <v>362</v>
      </c>
      <c r="B75" t="s">
        <v>238</v>
      </c>
      <c r="G75" s="19">
        <v>-2891.19</v>
      </c>
      <c r="H75" s="153">
        <f>VLOOKUP(A75,'PL Mensual 2026'!I:O,7,0)</f>
        <v>-2891.19</v>
      </c>
      <c r="I75" s="154">
        <f t="shared" si="1"/>
        <v>0</v>
      </c>
    </row>
    <row r="76" spans="1:9" x14ac:dyDescent="0.35">
      <c r="A76" t="s">
        <v>363</v>
      </c>
      <c r="B76" t="s">
        <v>238</v>
      </c>
      <c r="G76" s="19">
        <v>-2271.2399999999998</v>
      </c>
      <c r="H76" s="153">
        <f>VLOOKUP(A76,'PL Mensual 2026'!I:O,7,0)</f>
        <v>-2271.2399999999998</v>
      </c>
      <c r="I76" s="154">
        <f t="shared" si="1"/>
        <v>0</v>
      </c>
    </row>
    <row r="77" spans="1:9" x14ac:dyDescent="0.35">
      <c r="A77" t="s">
        <v>161</v>
      </c>
      <c r="B77" t="s">
        <v>238</v>
      </c>
      <c r="G77" s="19">
        <v>-1574.71</v>
      </c>
      <c r="H77" s="153">
        <f>VLOOKUP(A77,'PL Mensual 2026'!I:O,7,0)</f>
        <v>-1574.71</v>
      </c>
      <c r="I77" s="154">
        <f t="shared" si="1"/>
        <v>0</v>
      </c>
    </row>
    <row r="78" spans="1:9" x14ac:dyDescent="0.35">
      <c r="A78" t="s">
        <v>364</v>
      </c>
      <c r="B78" t="s">
        <v>238</v>
      </c>
      <c r="G78">
        <v>-429</v>
      </c>
      <c r="H78" s="153">
        <f>VLOOKUP(A78,'PL Mensual 2026'!I:O,7,0)</f>
        <v>-429</v>
      </c>
      <c r="I78" s="154">
        <f t="shared" si="1"/>
        <v>0</v>
      </c>
    </row>
    <row r="79" spans="1:9" x14ac:dyDescent="0.35">
      <c r="A79" t="s">
        <v>162</v>
      </c>
      <c r="B79" t="s">
        <v>238</v>
      </c>
      <c r="G79" s="19">
        <v>-4225.22</v>
      </c>
      <c r="H79" s="153">
        <f>VLOOKUP(A79,'PL Mensual 2026'!I:O,7,0)</f>
        <v>-4225.22</v>
      </c>
      <c r="I79" s="154">
        <f t="shared" si="1"/>
        <v>0</v>
      </c>
    </row>
    <row r="80" spans="1:9" x14ac:dyDescent="0.35">
      <c r="A80" t="s">
        <v>365</v>
      </c>
      <c r="B80" t="s">
        <v>238</v>
      </c>
      <c r="G80">
        <v>-141.55000000000001</v>
      </c>
      <c r="H80" s="153">
        <f>VLOOKUP(A80,'PL Mensual 2026'!I:O,7,0)</f>
        <v>-141.55000000000001</v>
      </c>
      <c r="I80" s="154">
        <f t="shared" si="1"/>
        <v>0</v>
      </c>
    </row>
    <row r="81" spans="1:9" x14ac:dyDescent="0.35">
      <c r="A81" t="s">
        <v>163</v>
      </c>
      <c r="B81" t="s">
        <v>238</v>
      </c>
      <c r="G81" t="s">
        <v>396</v>
      </c>
      <c r="H81" s="153">
        <f>VLOOKUP(A81,'PL Mensual 2026'!I:O,7,0)</f>
        <v>0</v>
      </c>
      <c r="I81" s="154"/>
    </row>
    <row r="82" spans="1:9" x14ac:dyDescent="0.35">
      <c r="A82" t="s">
        <v>401</v>
      </c>
      <c r="B82" t="s">
        <v>238</v>
      </c>
      <c r="G82" s="19">
        <v>-3398.55</v>
      </c>
      <c r="H82" s="153">
        <f>VLOOKUP(A82,'PL Mensual 2026'!I:O,7,0)</f>
        <v>-3398.55</v>
      </c>
      <c r="I82" s="154">
        <f t="shared" si="1"/>
        <v>0</v>
      </c>
    </row>
    <row r="83" spans="1:9" x14ac:dyDescent="0.35">
      <c r="A83" t="s">
        <v>165</v>
      </c>
      <c r="B83" t="s">
        <v>238</v>
      </c>
      <c r="G83">
        <v>-377.56</v>
      </c>
      <c r="H83" s="153">
        <f>VLOOKUP(A83,'PL Mensual 2026'!I:O,7,0)</f>
        <v>-377.56</v>
      </c>
      <c r="I83" s="154">
        <f t="shared" si="1"/>
        <v>0</v>
      </c>
    </row>
    <row r="84" spans="1:9" x14ac:dyDescent="0.35">
      <c r="A84" t="s">
        <v>167</v>
      </c>
      <c r="B84" t="s">
        <v>238</v>
      </c>
      <c r="G84" t="s">
        <v>396</v>
      </c>
      <c r="H84" s="153">
        <f>VLOOKUP(A84,'PL Mensual 2026'!I:O,7,0)</f>
        <v>0</v>
      </c>
      <c r="I84" s="154"/>
    </row>
    <row r="85" spans="1:9" x14ac:dyDescent="0.35">
      <c r="A85" t="s">
        <v>366</v>
      </c>
      <c r="B85" t="s">
        <v>238</v>
      </c>
      <c r="G85">
        <v>-53.14</v>
      </c>
      <c r="H85" s="153">
        <f>VLOOKUP(A85,'PL Mensual 2026'!I:O,7,0)</f>
        <v>-53.14</v>
      </c>
      <c r="I85" s="154">
        <f t="shared" si="1"/>
        <v>0</v>
      </c>
    </row>
    <row r="86" spans="1:9" x14ac:dyDescent="0.35">
      <c r="A86" t="s">
        <v>367</v>
      </c>
      <c r="B86" t="s">
        <v>238</v>
      </c>
      <c r="G86" t="s">
        <v>396</v>
      </c>
      <c r="H86" s="153">
        <f>VLOOKUP(A86,'PL Mensual 2026'!I:O,7,0)</f>
        <v>0</v>
      </c>
      <c r="I86" s="154"/>
    </row>
    <row r="87" spans="1:9" x14ac:dyDescent="0.35">
      <c r="A87" t="s">
        <v>368</v>
      </c>
      <c r="B87" t="s">
        <v>238</v>
      </c>
      <c r="G87" t="s">
        <v>396</v>
      </c>
      <c r="H87" s="153">
        <f>VLOOKUP(A87,'PL Mensual 2026'!I:O,7,0)</f>
        <v>0</v>
      </c>
      <c r="I87" s="154"/>
    </row>
    <row r="88" spans="1:9" x14ac:dyDescent="0.35">
      <c r="A88" t="s">
        <v>168</v>
      </c>
      <c r="B88" t="s">
        <v>238</v>
      </c>
      <c r="G88">
        <v>-53.12</v>
      </c>
      <c r="H88" s="153">
        <f>VLOOKUP(A88,'PL Mensual 2026'!I:O,7,0)</f>
        <v>-53.12</v>
      </c>
      <c r="I88" s="154">
        <f t="shared" si="1"/>
        <v>0</v>
      </c>
    </row>
    <row r="89" spans="1:9" x14ac:dyDescent="0.35">
      <c r="A89" t="s">
        <v>369</v>
      </c>
      <c r="B89" t="s">
        <v>238</v>
      </c>
      <c r="G89" t="s">
        <v>396</v>
      </c>
      <c r="H89" s="153">
        <f>VLOOKUP(A89,'PL Mensual 2026'!I:O,7,0)</f>
        <v>0</v>
      </c>
      <c r="I89" s="154"/>
    </row>
    <row r="90" spans="1:9" x14ac:dyDescent="0.35">
      <c r="A90" t="s">
        <v>370</v>
      </c>
      <c r="B90" t="s">
        <v>238</v>
      </c>
      <c r="G90" t="s">
        <v>396</v>
      </c>
      <c r="H90" s="153">
        <f>VLOOKUP(A90,'PL Mensual 2026'!I:O,7,0)</f>
        <v>0</v>
      </c>
      <c r="I90" s="154"/>
    </row>
    <row r="91" spans="1:9" x14ac:dyDescent="0.35">
      <c r="A91" t="s">
        <v>371</v>
      </c>
      <c r="B91" t="s">
        <v>238</v>
      </c>
      <c r="G91" t="s">
        <v>396</v>
      </c>
      <c r="H91" s="153">
        <f>VLOOKUP(A91,'PL Mensual 2026'!I:O,7,0)</f>
        <v>0</v>
      </c>
      <c r="I91" s="154"/>
    </row>
    <row r="92" spans="1:9" x14ac:dyDescent="0.35">
      <c r="A92" t="s">
        <v>402</v>
      </c>
      <c r="B92" t="s">
        <v>238</v>
      </c>
      <c r="G92">
        <v>-53.12</v>
      </c>
      <c r="H92" s="153">
        <f>VLOOKUP(A92,'PL Mensual 2026'!I:O,7,0)</f>
        <v>-53.12</v>
      </c>
      <c r="I92" s="154">
        <f t="shared" si="1"/>
        <v>0</v>
      </c>
    </row>
    <row r="93" spans="1:9" x14ac:dyDescent="0.35">
      <c r="A93" t="s">
        <v>170</v>
      </c>
      <c r="B93" t="s">
        <v>238</v>
      </c>
      <c r="G93" t="s">
        <v>396</v>
      </c>
      <c r="H93" s="153">
        <f>VLOOKUP(A93,'PL Mensual 2026'!I:O,7,0)</f>
        <v>0</v>
      </c>
      <c r="I93" s="154"/>
    </row>
    <row r="94" spans="1:9" x14ac:dyDescent="0.35">
      <c r="A94" t="s">
        <v>372</v>
      </c>
      <c r="B94" t="s">
        <v>238</v>
      </c>
      <c r="G94" t="s">
        <v>396</v>
      </c>
      <c r="H94" s="153">
        <f>VLOOKUP(A94,'PL Mensual 2026'!I:O,7,0)</f>
        <v>0</v>
      </c>
      <c r="I94" s="154"/>
    </row>
    <row r="95" spans="1:9" x14ac:dyDescent="0.35">
      <c r="A95" t="s">
        <v>373</v>
      </c>
      <c r="B95" t="s">
        <v>238</v>
      </c>
      <c r="G95">
        <v>-53.12</v>
      </c>
      <c r="H95" s="153">
        <f>VLOOKUP(A95,'PL Mensual 2026'!I:O,7,0)</f>
        <v>-53.12</v>
      </c>
      <c r="I95" s="154">
        <f t="shared" si="1"/>
        <v>0</v>
      </c>
    </row>
    <row r="96" spans="1:9" x14ac:dyDescent="0.35">
      <c r="A96" t="s">
        <v>173</v>
      </c>
      <c r="B96" t="s">
        <v>238</v>
      </c>
      <c r="G96" s="19">
        <v>-17966.84</v>
      </c>
      <c r="H96" s="153">
        <f>VLOOKUP(A96,'PL Mensual 2026'!I:O,7,0)</f>
        <v>-17966.84</v>
      </c>
      <c r="I96" s="154">
        <f t="shared" si="1"/>
        <v>0</v>
      </c>
    </row>
    <row r="97" spans="1:9" x14ac:dyDescent="0.35">
      <c r="A97" t="s">
        <v>174</v>
      </c>
      <c r="B97" t="s">
        <v>238</v>
      </c>
      <c r="G97">
        <v>-951.38</v>
      </c>
      <c r="H97" s="153">
        <f>VLOOKUP(A97,'PL Mensual 2026'!I:O,7,0)</f>
        <v>-951.38</v>
      </c>
      <c r="I97" s="154">
        <f t="shared" si="1"/>
        <v>0</v>
      </c>
    </row>
    <row r="98" spans="1:9" x14ac:dyDescent="0.35">
      <c r="A98" t="s">
        <v>175</v>
      </c>
      <c r="B98" t="s">
        <v>238</v>
      </c>
      <c r="G98" s="19">
        <v>-6790.44</v>
      </c>
      <c r="H98" s="153">
        <f>VLOOKUP(A98,'PL Mensual 2026'!I:O,7,0)</f>
        <v>-6790.44</v>
      </c>
      <c r="I98" s="154">
        <f t="shared" si="1"/>
        <v>0</v>
      </c>
    </row>
    <row r="99" spans="1:9" x14ac:dyDescent="0.35">
      <c r="A99" t="s">
        <v>176</v>
      </c>
      <c r="B99" t="s">
        <v>238</v>
      </c>
      <c r="G99" t="s">
        <v>396</v>
      </c>
      <c r="H99" s="153">
        <f>VLOOKUP(A99,'PL Mensual 2026'!I:O,7,0)</f>
        <v>0</v>
      </c>
      <c r="I99" s="154"/>
    </row>
    <row r="100" spans="1:9" x14ac:dyDescent="0.35">
      <c r="A100" t="s">
        <v>177</v>
      </c>
      <c r="B100" t="s">
        <v>238</v>
      </c>
      <c r="G100" t="s">
        <v>396</v>
      </c>
      <c r="H100" s="153">
        <f>VLOOKUP(A100,'PL Mensual 2026'!I:O,7,0)</f>
        <v>0</v>
      </c>
      <c r="I100" s="154"/>
    </row>
    <row r="101" spans="1:9" x14ac:dyDescent="0.35">
      <c r="A101" t="s">
        <v>178</v>
      </c>
      <c r="B101" t="s">
        <v>238</v>
      </c>
      <c r="G101" t="s">
        <v>396</v>
      </c>
      <c r="H101" s="153">
        <f>VLOOKUP(A101,'PL Mensual 2026'!I:O,7,0)</f>
        <v>0</v>
      </c>
      <c r="I101" s="154"/>
    </row>
    <row r="102" spans="1:9" x14ac:dyDescent="0.35">
      <c r="A102" t="s">
        <v>181</v>
      </c>
      <c r="B102" t="s">
        <v>238</v>
      </c>
      <c r="G102" t="s">
        <v>396</v>
      </c>
      <c r="H102" s="153">
        <f>VLOOKUP(A102,'PL Mensual 2026'!I:O,7,0)</f>
        <v>0</v>
      </c>
      <c r="I102" s="154"/>
    </row>
    <row r="103" spans="1:9" x14ac:dyDescent="0.35">
      <c r="A103" t="s">
        <v>182</v>
      </c>
      <c r="B103" t="s">
        <v>238</v>
      </c>
      <c r="G103" s="19">
        <v>-5788.51</v>
      </c>
      <c r="H103" s="153">
        <f>VLOOKUP(A103,'PL Mensual 2026'!I:O,7,0)</f>
        <v>-5788.51</v>
      </c>
      <c r="I103" s="154">
        <f t="shared" si="1"/>
        <v>0</v>
      </c>
    </row>
    <row r="104" spans="1:9" x14ac:dyDescent="0.35">
      <c r="A104" t="s">
        <v>183</v>
      </c>
      <c r="B104" t="s">
        <v>238</v>
      </c>
      <c r="G104" t="s">
        <v>396</v>
      </c>
      <c r="H104" s="153">
        <f>VLOOKUP(A104,'PL Mensual 2026'!I:O,7,0)</f>
        <v>0</v>
      </c>
      <c r="I104" s="154"/>
    </row>
    <row r="105" spans="1:9" x14ac:dyDescent="0.35">
      <c r="A105" t="s">
        <v>375</v>
      </c>
      <c r="B105" t="s">
        <v>238</v>
      </c>
      <c r="G105">
        <v>-8.4700000000000006</v>
      </c>
      <c r="H105" s="153">
        <f>VLOOKUP(A105,'PL Mensual 2026'!I:O,7,0)</f>
        <v>-8.4700000000000006</v>
      </c>
      <c r="I105" s="154">
        <f t="shared" si="1"/>
        <v>0</v>
      </c>
    </row>
    <row r="106" spans="1:9" x14ac:dyDescent="0.35">
      <c r="A106" t="s">
        <v>376</v>
      </c>
      <c r="B106" t="s">
        <v>238</v>
      </c>
      <c r="G106">
        <v>-43.09</v>
      </c>
      <c r="H106" s="153">
        <f>VLOOKUP(A106,'PL Mensual 2026'!I:O,7,0)</f>
        <v>-43.09</v>
      </c>
      <c r="I106" s="154">
        <f t="shared" si="1"/>
        <v>0</v>
      </c>
    </row>
    <row r="107" spans="1:9" x14ac:dyDescent="0.35">
      <c r="A107" t="s">
        <v>185</v>
      </c>
      <c r="B107" t="s">
        <v>238</v>
      </c>
      <c r="G107" s="19">
        <v>-1201.98</v>
      </c>
      <c r="H107" s="153">
        <f>VLOOKUP(A107,'PL Mensual 2026'!I:O,7,0)</f>
        <v>-1201.98</v>
      </c>
      <c r="I107" s="154">
        <f t="shared" si="1"/>
        <v>0</v>
      </c>
    </row>
    <row r="108" spans="1:9" x14ac:dyDescent="0.35">
      <c r="A108" t="s">
        <v>377</v>
      </c>
      <c r="B108" t="s">
        <v>238</v>
      </c>
      <c r="G108">
        <v>-170.36</v>
      </c>
      <c r="H108" s="153">
        <f>VLOOKUP(A108,'PL Mensual 2026'!I:O,7,0)</f>
        <v>-170.36</v>
      </c>
      <c r="I108" s="154">
        <f t="shared" si="1"/>
        <v>0</v>
      </c>
    </row>
    <row r="109" spans="1:9" x14ac:dyDescent="0.35">
      <c r="A109" t="s">
        <v>190</v>
      </c>
      <c r="B109" t="s">
        <v>238</v>
      </c>
      <c r="G109" t="s">
        <v>396</v>
      </c>
      <c r="H109" s="153">
        <f>VLOOKUP(A109,'PL Mensual 2026'!I:O,7,0)</f>
        <v>0</v>
      </c>
      <c r="I109" s="154"/>
    </row>
    <row r="110" spans="1:9" x14ac:dyDescent="0.35">
      <c r="A110" t="s">
        <v>191</v>
      </c>
      <c r="B110" t="s">
        <v>238</v>
      </c>
      <c r="G110">
        <v>-55</v>
      </c>
      <c r="H110" s="153">
        <f>VLOOKUP(A110,'PL Mensual 2026'!I:O,7,0)</f>
        <v>-55</v>
      </c>
      <c r="I110" s="154">
        <f t="shared" si="1"/>
        <v>0</v>
      </c>
    </row>
    <row r="111" spans="1:9" x14ac:dyDescent="0.35">
      <c r="A111" t="s">
        <v>192</v>
      </c>
      <c r="B111" t="s">
        <v>238</v>
      </c>
      <c r="G111" s="19">
        <v>-3208.9</v>
      </c>
      <c r="H111" s="153">
        <f>VLOOKUP(A111,'PL Mensual 2026'!I:O,7,0)</f>
        <v>-3208.9</v>
      </c>
      <c r="I111" s="154">
        <f t="shared" si="1"/>
        <v>0</v>
      </c>
    </row>
    <row r="112" spans="1:9" x14ac:dyDescent="0.35">
      <c r="A112" t="s">
        <v>378</v>
      </c>
      <c r="B112" t="s">
        <v>238</v>
      </c>
      <c r="G112" t="s">
        <v>396</v>
      </c>
      <c r="H112" s="153">
        <f>VLOOKUP(A112,'PL Mensual 2026'!I:O,7,0)</f>
        <v>0</v>
      </c>
      <c r="I112" s="154"/>
    </row>
    <row r="113" spans="1:9" x14ac:dyDescent="0.35">
      <c r="A113" t="s">
        <v>195</v>
      </c>
      <c r="B113" t="s">
        <v>238</v>
      </c>
      <c r="G113" s="19">
        <v>-2638.99</v>
      </c>
      <c r="H113" s="153">
        <f>VLOOKUP(A113,'PL Mensual 2026'!I:O,7,0)</f>
        <v>-1115.2</v>
      </c>
      <c r="I113" s="154">
        <f t="shared" si="1"/>
        <v>-1523.7899999999997</v>
      </c>
    </row>
    <row r="114" spans="1:9" x14ac:dyDescent="0.35">
      <c r="A114" t="s">
        <v>392</v>
      </c>
      <c r="B114" t="s">
        <v>398</v>
      </c>
      <c r="G114" s="19">
        <v>1523.79</v>
      </c>
      <c r="H114" s="153" t="e">
        <f>VLOOKUP(A114,'PL Mensual 2026'!I:O,7,0)</f>
        <v>#N/A</v>
      </c>
      <c r="I114" s="154" t="e">
        <f t="shared" si="1"/>
        <v>#N/A</v>
      </c>
    </row>
    <row r="115" spans="1:9" x14ac:dyDescent="0.35">
      <c r="A115" t="s">
        <v>196</v>
      </c>
      <c r="B115" t="s">
        <v>238</v>
      </c>
      <c r="G115" t="s">
        <v>396</v>
      </c>
      <c r="H115" s="153">
        <f>VLOOKUP(A115,'PL Mensual 2026'!I:O,7,0)</f>
        <v>0</v>
      </c>
      <c r="I115" s="154"/>
    </row>
    <row r="116" spans="1:9" x14ac:dyDescent="0.35">
      <c r="A116" t="s">
        <v>379</v>
      </c>
      <c r="B116" t="s">
        <v>238</v>
      </c>
      <c r="G116">
        <v>-259.61</v>
      </c>
      <c r="H116" s="153">
        <f>VLOOKUP(A116,'PL Mensual 2026'!I:O,7,0)</f>
        <v>-259.61</v>
      </c>
      <c r="I116" s="154">
        <f t="shared" si="1"/>
        <v>0</v>
      </c>
    </row>
    <row r="117" spans="1:9" x14ac:dyDescent="0.35">
      <c r="A117" t="s">
        <v>197</v>
      </c>
      <c r="B117" t="s">
        <v>238</v>
      </c>
      <c r="G117" s="19">
        <v>-1891.22</v>
      </c>
      <c r="H117" s="153">
        <f>VLOOKUP(A117,'PL Mensual 2026'!I:O,7,0)</f>
        <v>-1891.22</v>
      </c>
      <c r="I117" s="154">
        <f t="shared" si="1"/>
        <v>0</v>
      </c>
    </row>
    <row r="118" spans="1:9" x14ac:dyDescent="0.35">
      <c r="A118" t="s">
        <v>199</v>
      </c>
      <c r="B118" t="s">
        <v>238</v>
      </c>
      <c r="G118" t="s">
        <v>396</v>
      </c>
      <c r="H118" s="153">
        <f>VLOOKUP(A118,'PL Mensual 2026'!I:O,7,0)</f>
        <v>0</v>
      </c>
      <c r="I118" s="154"/>
    </row>
    <row r="119" spans="1:9" x14ac:dyDescent="0.35">
      <c r="A119" t="s">
        <v>200</v>
      </c>
      <c r="B119" t="s">
        <v>238</v>
      </c>
      <c r="G119">
        <v>-277.83999999999997</v>
      </c>
      <c r="H119" s="153">
        <f>VLOOKUP(A119,'PL Mensual 2026'!I:O,7,0)</f>
        <v>-277.83999999999997</v>
      </c>
      <c r="I119" s="154">
        <f t="shared" si="1"/>
        <v>0</v>
      </c>
    </row>
    <row r="120" spans="1:9" x14ac:dyDescent="0.35">
      <c r="A120" t="s">
        <v>380</v>
      </c>
      <c r="B120" t="s">
        <v>238</v>
      </c>
      <c r="G120" t="s">
        <v>396</v>
      </c>
      <c r="H120" s="153">
        <f>VLOOKUP(A120,'PL Mensual 2026'!I:O,7,0)</f>
        <v>0</v>
      </c>
      <c r="I120" s="154"/>
    </row>
    <row r="121" spans="1:9" x14ac:dyDescent="0.35">
      <c r="A121" t="s">
        <v>201</v>
      </c>
      <c r="B121" t="s">
        <v>238</v>
      </c>
      <c r="G121">
        <v>-75.94</v>
      </c>
      <c r="H121" s="153">
        <f>VLOOKUP(A121,'PL Mensual 2026'!I:O,7,0)</f>
        <v>-75.94</v>
      </c>
      <c r="I121" s="154">
        <f t="shared" si="1"/>
        <v>0</v>
      </c>
    </row>
    <row r="122" spans="1:9" x14ac:dyDescent="0.35">
      <c r="A122" t="s">
        <v>202</v>
      </c>
      <c r="B122" t="s">
        <v>238</v>
      </c>
      <c r="G122">
        <v>36.18</v>
      </c>
      <c r="H122" s="153">
        <f>VLOOKUP(A122,'PL Mensual 2026'!I:O,7,0)</f>
        <v>36.18</v>
      </c>
      <c r="I122" s="154">
        <f t="shared" si="1"/>
        <v>0</v>
      </c>
    </row>
    <row r="123" spans="1:9" x14ac:dyDescent="0.35">
      <c r="A123" t="s">
        <v>203</v>
      </c>
      <c r="B123" t="s">
        <v>238</v>
      </c>
      <c r="G123">
        <v>-144</v>
      </c>
      <c r="H123" s="153">
        <f>VLOOKUP(A123,'PL Mensual 2026'!I:O,7,0)</f>
        <v>-144</v>
      </c>
      <c r="I123" s="154">
        <f t="shared" si="1"/>
        <v>0</v>
      </c>
    </row>
    <row r="124" spans="1:9" x14ac:dyDescent="0.35">
      <c r="A124" t="s">
        <v>204</v>
      </c>
      <c r="B124" t="s">
        <v>238</v>
      </c>
      <c r="G124">
        <v>-971.18</v>
      </c>
      <c r="H124" s="153">
        <f>VLOOKUP(A124,'PL Mensual 2026'!I:O,7,0)</f>
        <v>-545.44999999999993</v>
      </c>
      <c r="I124" s="154">
        <f t="shared" si="1"/>
        <v>-425.73</v>
      </c>
    </row>
    <row r="125" spans="1:9" x14ac:dyDescent="0.35">
      <c r="A125" t="s">
        <v>392</v>
      </c>
      <c r="B125" t="s">
        <v>398</v>
      </c>
      <c r="G125">
        <v>425.73</v>
      </c>
      <c r="H125" s="153" t="e">
        <f>VLOOKUP(A125,'PL Mensual 2026'!I:O,7,0)</f>
        <v>#N/A</v>
      </c>
      <c r="I125" s="154" t="e">
        <f t="shared" si="1"/>
        <v>#N/A</v>
      </c>
    </row>
    <row r="126" spans="1:9" x14ac:dyDescent="0.35">
      <c r="A126" t="s">
        <v>205</v>
      </c>
      <c r="B126" t="s">
        <v>238</v>
      </c>
      <c r="G126" t="s">
        <v>396</v>
      </c>
      <c r="H126" s="153">
        <f>VLOOKUP(A126,'PL Mensual 2026'!I:O,7,0)</f>
        <v>0</v>
      </c>
      <c r="I126" s="154"/>
    </row>
    <row r="127" spans="1:9" x14ac:dyDescent="0.35">
      <c r="A127" t="s">
        <v>207</v>
      </c>
      <c r="B127" t="s">
        <v>238</v>
      </c>
      <c r="G127">
        <v>29.06</v>
      </c>
      <c r="H127" s="153">
        <f>VLOOKUP(A127,'PL Mensual 2026'!I:O,7,0)</f>
        <v>29.06</v>
      </c>
      <c r="I127" s="154">
        <f t="shared" si="1"/>
        <v>0</v>
      </c>
    </row>
    <row r="128" spans="1:9" x14ac:dyDescent="0.35">
      <c r="A128" t="s">
        <v>208</v>
      </c>
      <c r="B128" t="s">
        <v>238</v>
      </c>
      <c r="G128">
        <v>-425</v>
      </c>
      <c r="H128" s="153">
        <f>VLOOKUP(A128,'PL Mensual 2026'!I:O,7,0)</f>
        <v>-425</v>
      </c>
      <c r="I128" s="154">
        <f t="shared" si="1"/>
        <v>0</v>
      </c>
    </row>
    <row r="129" spans="1:9" x14ac:dyDescent="0.35">
      <c r="A129" t="s">
        <v>209</v>
      </c>
      <c r="B129" t="s">
        <v>238</v>
      </c>
      <c r="G129" s="19">
        <v>-2671.84</v>
      </c>
      <c r="H129" s="153">
        <f>VLOOKUP(A129,'PL Mensual 2026'!I:O,7,0)</f>
        <v>-2671.84</v>
      </c>
      <c r="I129" s="154">
        <f t="shared" si="1"/>
        <v>0</v>
      </c>
    </row>
    <row r="130" spans="1:9" x14ac:dyDescent="0.35">
      <c r="A130" t="s">
        <v>210</v>
      </c>
      <c r="B130" t="s">
        <v>238</v>
      </c>
      <c r="G130">
        <v>-625.20000000000005</v>
      </c>
      <c r="H130" s="153">
        <f>VLOOKUP(A130,'PL Mensual 2026'!I:O,7,0)</f>
        <v>-625.20000000000005</v>
      </c>
      <c r="I130" s="154">
        <f t="shared" si="1"/>
        <v>0</v>
      </c>
    </row>
    <row r="131" spans="1:9" x14ac:dyDescent="0.35">
      <c r="A131" t="s">
        <v>211</v>
      </c>
      <c r="B131" t="s">
        <v>238</v>
      </c>
      <c r="G131" t="s">
        <v>396</v>
      </c>
      <c r="H131" s="153">
        <f>VLOOKUP(A131,'PL Mensual 2026'!I:O,7,0)</f>
        <v>0</v>
      </c>
      <c r="I131" s="154"/>
    </row>
    <row r="132" spans="1:9" x14ac:dyDescent="0.35">
      <c r="A132" t="s">
        <v>212</v>
      </c>
      <c r="B132" t="s">
        <v>238</v>
      </c>
      <c r="G132" s="19">
        <v>-2533.9299999999998</v>
      </c>
      <c r="H132" s="153">
        <f>VLOOKUP(A132,'PL Mensual 2026'!I:O,7,0)</f>
        <v>-2533.9299999999998</v>
      </c>
      <c r="I132" s="154">
        <f t="shared" ref="I132:I155" si="2">G132-H132</f>
        <v>0</v>
      </c>
    </row>
    <row r="133" spans="1:9" x14ac:dyDescent="0.35">
      <c r="A133" t="s">
        <v>381</v>
      </c>
      <c r="B133" t="s">
        <v>238</v>
      </c>
      <c r="G133" s="19">
        <v>-2522.2600000000002</v>
      </c>
      <c r="H133" s="153">
        <f>VLOOKUP(A133,'PL Mensual 2026'!I:O,7,0)</f>
        <v>-2522.2600000000002</v>
      </c>
      <c r="I133" s="154">
        <f t="shared" si="2"/>
        <v>0</v>
      </c>
    </row>
    <row r="134" spans="1:9" x14ac:dyDescent="0.35">
      <c r="A134" t="s">
        <v>213</v>
      </c>
      <c r="B134" t="s">
        <v>238</v>
      </c>
      <c r="G134" s="19">
        <v>-1786.27</v>
      </c>
      <c r="H134" s="153">
        <f>VLOOKUP(A134,'PL Mensual 2026'!I:O,7,0)</f>
        <v>-1786.27</v>
      </c>
      <c r="I134" s="154">
        <f t="shared" si="2"/>
        <v>0</v>
      </c>
    </row>
    <row r="135" spans="1:9" x14ac:dyDescent="0.35">
      <c r="A135" t="s">
        <v>214</v>
      </c>
      <c r="B135" t="s">
        <v>238</v>
      </c>
      <c r="G135" s="19">
        <v>-3016.62</v>
      </c>
      <c r="H135" s="153">
        <f>VLOOKUP(A135,'PL Mensual 2026'!I:O,7,0)</f>
        <v>-3016.62</v>
      </c>
      <c r="I135" s="154">
        <f t="shared" si="2"/>
        <v>0</v>
      </c>
    </row>
    <row r="136" spans="1:9" x14ac:dyDescent="0.35">
      <c r="A136" t="s">
        <v>215</v>
      </c>
      <c r="B136" t="s">
        <v>238</v>
      </c>
      <c r="G136">
        <v>-506.79</v>
      </c>
      <c r="H136" s="153">
        <f>VLOOKUP(A136,'PL Mensual 2026'!I:O,7,0)</f>
        <v>-506.79</v>
      </c>
      <c r="I136" s="154">
        <f t="shared" si="2"/>
        <v>0</v>
      </c>
    </row>
    <row r="137" spans="1:9" x14ac:dyDescent="0.35">
      <c r="A137" t="s">
        <v>216</v>
      </c>
      <c r="B137" t="s">
        <v>238</v>
      </c>
      <c r="G137">
        <v>-222.62</v>
      </c>
      <c r="H137" s="153">
        <f>VLOOKUP(A137,'PL Mensual 2026'!I:O,7,0)</f>
        <v>-222.62</v>
      </c>
      <c r="I137" s="154">
        <f t="shared" si="2"/>
        <v>0</v>
      </c>
    </row>
    <row r="138" spans="1:9" x14ac:dyDescent="0.35">
      <c r="A138" t="s">
        <v>217</v>
      </c>
      <c r="B138" t="s">
        <v>238</v>
      </c>
      <c r="G138" t="s">
        <v>396</v>
      </c>
      <c r="H138" s="153">
        <f>VLOOKUP(A138,'PL Mensual 2026'!I:O,7,0)</f>
        <v>0</v>
      </c>
      <c r="I138" s="154"/>
    </row>
    <row r="139" spans="1:9" x14ac:dyDescent="0.35">
      <c r="A139" t="s">
        <v>382</v>
      </c>
      <c r="B139" t="s">
        <v>238</v>
      </c>
      <c r="G139">
        <v>-27.57</v>
      </c>
      <c r="H139" s="153">
        <f>VLOOKUP(A139,'PL Mensual 2026'!I:O,7,0)</f>
        <v>-27.57</v>
      </c>
      <c r="I139" s="154">
        <f t="shared" si="2"/>
        <v>0</v>
      </c>
    </row>
    <row r="140" spans="1:9" x14ac:dyDescent="0.35">
      <c r="A140" t="s">
        <v>403</v>
      </c>
      <c r="B140" t="s">
        <v>238</v>
      </c>
      <c r="G140">
        <v>-581.49</v>
      </c>
      <c r="H140" s="153">
        <f>VLOOKUP(A140,'PL Mensual 2026'!I:O,7,0)</f>
        <v>-581.49</v>
      </c>
      <c r="I140" s="154">
        <f t="shared" si="2"/>
        <v>0</v>
      </c>
    </row>
    <row r="141" spans="1:9" x14ac:dyDescent="0.35">
      <c r="A141" t="s">
        <v>219</v>
      </c>
      <c r="B141" t="s">
        <v>238</v>
      </c>
      <c r="G141">
        <v>-159.84</v>
      </c>
      <c r="H141" s="153">
        <f>VLOOKUP(A141,'PL Mensual 2026'!I:O,7,0)</f>
        <v>-159.84</v>
      </c>
      <c r="I141" s="154">
        <f t="shared" si="2"/>
        <v>0</v>
      </c>
    </row>
    <row r="142" spans="1:9" x14ac:dyDescent="0.35">
      <c r="A142" t="s">
        <v>221</v>
      </c>
      <c r="B142" t="s">
        <v>238</v>
      </c>
      <c r="G142" t="s">
        <v>396</v>
      </c>
      <c r="H142" s="153">
        <f>VLOOKUP(A142,'PL Mensual 2026'!I:O,7,0)</f>
        <v>0</v>
      </c>
      <c r="I142" s="154"/>
    </row>
    <row r="143" spans="1:9" x14ac:dyDescent="0.35">
      <c r="A143" t="s">
        <v>224</v>
      </c>
      <c r="B143" t="s">
        <v>238</v>
      </c>
      <c r="G143" s="19">
        <v>-3154.35</v>
      </c>
      <c r="H143" s="153">
        <f>VLOOKUP(A143,'PL Mensual 2026'!I:O,7,0)</f>
        <v>-3154.35</v>
      </c>
      <c r="I143" s="154">
        <f t="shared" si="2"/>
        <v>0</v>
      </c>
    </row>
    <row r="144" spans="1:9" x14ac:dyDescent="0.35">
      <c r="A144" t="s">
        <v>383</v>
      </c>
      <c r="B144" t="s">
        <v>238</v>
      </c>
      <c r="G144" s="19">
        <v>-5719.74</v>
      </c>
      <c r="H144" s="153">
        <f>VLOOKUP(A144,'PL Mensual 2026'!I:O,7,0)</f>
        <v>-5719.74</v>
      </c>
      <c r="I144" s="154">
        <f t="shared" si="2"/>
        <v>0</v>
      </c>
    </row>
    <row r="145" spans="1:9" x14ac:dyDescent="0.35">
      <c r="A145" t="s">
        <v>225</v>
      </c>
      <c r="B145" t="s">
        <v>238</v>
      </c>
      <c r="G145" s="19">
        <v>-6398.5</v>
      </c>
      <c r="H145" s="153">
        <f>VLOOKUP(A145,'PL Mensual 2026'!I:O,7,0)</f>
        <v>-6398.5</v>
      </c>
      <c r="I145" s="154">
        <f t="shared" si="2"/>
        <v>0</v>
      </c>
    </row>
    <row r="146" spans="1:9" x14ac:dyDescent="0.35">
      <c r="A146" t="s">
        <v>384</v>
      </c>
      <c r="B146" t="s">
        <v>238</v>
      </c>
      <c r="G146" s="19">
        <v>-1522.43</v>
      </c>
      <c r="H146" s="153">
        <f>VLOOKUP(A146,'PL Mensual 2026'!I:O,7,0)</f>
        <v>-1522.43</v>
      </c>
      <c r="I146" s="154">
        <f t="shared" si="2"/>
        <v>0</v>
      </c>
    </row>
    <row r="147" spans="1:9" x14ac:dyDescent="0.35">
      <c r="A147" t="s">
        <v>226</v>
      </c>
      <c r="B147" t="s">
        <v>238</v>
      </c>
      <c r="G147" s="19">
        <v>-1325.66</v>
      </c>
      <c r="H147" s="153">
        <f>VLOOKUP(A147,'PL Mensual 2026'!I:O,7,0)</f>
        <v>-1325.66</v>
      </c>
      <c r="I147" s="154">
        <f t="shared" si="2"/>
        <v>0</v>
      </c>
    </row>
    <row r="148" spans="1:9" x14ac:dyDescent="0.35">
      <c r="A148" t="s">
        <v>385</v>
      </c>
      <c r="B148" t="s">
        <v>238</v>
      </c>
      <c r="G148">
        <v>-937.75</v>
      </c>
      <c r="H148" s="153">
        <f>VLOOKUP(A148,'PL Mensual 2026'!I:O,7,0)</f>
        <v>-937.75</v>
      </c>
      <c r="I148" s="154">
        <f t="shared" si="2"/>
        <v>0</v>
      </c>
    </row>
    <row r="149" spans="1:9" x14ac:dyDescent="0.35">
      <c r="A149" t="s">
        <v>386</v>
      </c>
      <c r="B149" t="s">
        <v>238</v>
      </c>
      <c r="G149">
        <v>-131.25</v>
      </c>
      <c r="H149" s="153">
        <f>VLOOKUP(A149,'PL Mensual 2026'!I:O,7,0)</f>
        <v>-131.25</v>
      </c>
      <c r="I149" s="154">
        <f t="shared" si="2"/>
        <v>0</v>
      </c>
    </row>
    <row r="150" spans="1:9" x14ac:dyDescent="0.35">
      <c r="A150" t="s">
        <v>326</v>
      </c>
      <c r="B150" t="s">
        <v>238</v>
      </c>
      <c r="G150" t="s">
        <v>396</v>
      </c>
      <c r="H150" s="153">
        <f>VLOOKUP(A150,'PL Mensual 2026'!I:O,7,0)</f>
        <v>0</v>
      </c>
      <c r="I150" s="154"/>
    </row>
    <row r="151" spans="1:9" x14ac:dyDescent="0.35">
      <c r="A151" t="s">
        <v>92</v>
      </c>
      <c r="B151" t="s">
        <v>238</v>
      </c>
      <c r="G151" t="s">
        <v>396</v>
      </c>
      <c r="H151" s="153">
        <f>VLOOKUP(A151,'PL Mensual 2026'!I:O,7,0)</f>
        <v>-1.43</v>
      </c>
      <c r="I151" s="154"/>
    </row>
    <row r="152" spans="1:9" x14ac:dyDescent="0.35">
      <c r="A152" t="s">
        <v>94</v>
      </c>
      <c r="B152" t="s">
        <v>238</v>
      </c>
      <c r="G152" t="s">
        <v>396</v>
      </c>
      <c r="H152" s="153">
        <f>VLOOKUP(A152,'PL Mensual 2026'!I:O,7,0)</f>
        <v>0</v>
      </c>
      <c r="I152" s="154"/>
    </row>
    <row r="153" spans="1:9" x14ac:dyDescent="0.35">
      <c r="A153" t="s">
        <v>388</v>
      </c>
      <c r="B153" t="s">
        <v>238</v>
      </c>
      <c r="G153">
        <v>-17.690000000000001</v>
      </c>
      <c r="H153" s="153">
        <f>VLOOKUP(A153,'PL Mensual 2026'!I:O,7,0)</f>
        <v>-17.690000000000001</v>
      </c>
      <c r="I153" s="154">
        <f t="shared" si="2"/>
        <v>0</v>
      </c>
    </row>
    <row r="154" spans="1:9" x14ac:dyDescent="0.35">
      <c r="A154" t="s">
        <v>387</v>
      </c>
      <c r="B154" t="s">
        <v>238</v>
      </c>
      <c r="G154" t="s">
        <v>396</v>
      </c>
      <c r="H154" s="153">
        <f>VLOOKUP(A154,'PL Mensual 2026'!I:O,7,0)</f>
        <v>0</v>
      </c>
      <c r="I154" s="154"/>
    </row>
    <row r="155" spans="1:9" x14ac:dyDescent="0.35">
      <c r="A155" t="s">
        <v>391</v>
      </c>
      <c r="B155" t="s">
        <v>238</v>
      </c>
      <c r="G155" s="19">
        <v>2879.75</v>
      </c>
      <c r="H155" s="153">
        <f>VLOOKUP(A155,'PL Mensual 2026'!I:O,7,0)</f>
        <v>2879.75</v>
      </c>
      <c r="I155" s="154">
        <f t="shared" si="2"/>
        <v>0</v>
      </c>
    </row>
    <row r="156" spans="1:9" x14ac:dyDescent="0.35">
      <c r="G156" s="19">
        <f>SUM(G2:G155)</f>
        <v>1013452.1500000007</v>
      </c>
      <c r="H156" s="19" t="e">
        <f>SUM(H2:H155)</f>
        <v>#N/A</v>
      </c>
      <c r="I156" s="19" t="e">
        <f>SUM(I2:I155)</f>
        <v>#N/A</v>
      </c>
    </row>
    <row r="157" spans="1:9" x14ac:dyDescent="0.35">
      <c r="G157" s="19">
        <f>'PL Mensual 2026'!O2</f>
        <v>1013450.7200000004</v>
      </c>
    </row>
    <row r="158" spans="1:9" x14ac:dyDescent="0.35">
      <c r="F158" s="156" t="s">
        <v>406</v>
      </c>
      <c r="G158" s="157">
        <f>G156-G157</f>
        <v>1.4300000002840534</v>
      </c>
      <c r="H158" s="155"/>
    </row>
  </sheetData>
  <autoFilter ref="A1:I155" xr:uid="{3BE9342B-A7EE-471A-A088-95E0F2A2590F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812EA-00AF-439E-8B17-260CF4F54B51}">
  <dimension ref="B1:M7"/>
  <sheetViews>
    <sheetView workbookViewId="0"/>
  </sheetViews>
  <sheetFormatPr baseColWidth="10" defaultRowHeight="14.5" x14ac:dyDescent="0.35"/>
  <cols>
    <col min="1" max="1" width="4.81640625" customWidth="1"/>
  </cols>
  <sheetData>
    <row r="1" spans="2:13" x14ac:dyDescent="0.35">
      <c r="B1" s="21" t="s">
        <v>37</v>
      </c>
    </row>
    <row r="2" spans="2:13" x14ac:dyDescent="0.35">
      <c r="B2" s="1">
        <v>2026</v>
      </c>
      <c r="C2" s="20"/>
    </row>
    <row r="3" spans="2:13" x14ac:dyDescent="0.35">
      <c r="C3" s="20"/>
    </row>
    <row r="4" spans="2:13" ht="15" thickBot="1" x14ac:dyDescent="0.4">
      <c r="B4" s="26">
        <v>1</v>
      </c>
      <c r="C4" s="26">
        <v>2</v>
      </c>
      <c r="D4" s="26">
        <v>3</v>
      </c>
      <c r="E4" s="26">
        <v>4</v>
      </c>
      <c r="F4" s="26">
        <v>5</v>
      </c>
      <c r="G4" s="26">
        <v>6</v>
      </c>
      <c r="H4" s="26">
        <v>7</v>
      </c>
      <c r="I4" s="26">
        <v>8</v>
      </c>
      <c r="J4" s="26">
        <v>9</v>
      </c>
      <c r="K4" s="26">
        <v>10</v>
      </c>
      <c r="L4" s="26">
        <v>11</v>
      </c>
      <c r="M4" s="26">
        <v>12</v>
      </c>
    </row>
    <row r="5" spans="2:13" ht="15" thickBot="1" x14ac:dyDescent="0.4">
      <c r="B5" s="27" t="s">
        <v>25</v>
      </c>
      <c r="C5" s="28" t="s">
        <v>26</v>
      </c>
      <c r="D5" s="28" t="s">
        <v>27</v>
      </c>
      <c r="E5" s="28" t="s">
        <v>28</v>
      </c>
      <c r="F5" s="28" t="s">
        <v>29</v>
      </c>
      <c r="G5" s="28" t="s">
        <v>30</v>
      </c>
      <c r="H5" s="28" t="s">
        <v>31</v>
      </c>
      <c r="I5" s="28" t="s">
        <v>32</v>
      </c>
      <c r="J5" s="28" t="s">
        <v>33</v>
      </c>
      <c r="K5" s="28" t="s">
        <v>34</v>
      </c>
      <c r="L5" s="28" t="s">
        <v>35</v>
      </c>
      <c r="M5" s="29" t="s">
        <v>36</v>
      </c>
    </row>
    <row r="6" spans="2:13" ht="15" thickBot="1" x14ac:dyDescent="0.4">
      <c r="B6" s="30">
        <v>26.201700000000002</v>
      </c>
      <c r="C6" s="31">
        <v>40.074889999999996</v>
      </c>
      <c r="D6" s="31">
        <v>29.27336</v>
      </c>
      <c r="E6" s="32">
        <v>0</v>
      </c>
      <c r="F6" s="32"/>
      <c r="G6" s="32"/>
      <c r="H6" s="32"/>
      <c r="I6" s="32"/>
      <c r="J6" s="32"/>
      <c r="K6" s="32"/>
      <c r="L6" s="32"/>
      <c r="M6" s="33"/>
    </row>
    <row r="7" spans="2:13" x14ac:dyDescent="0.35">
      <c r="B7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1D0B-4412-4BFF-A46E-9C90BA16CF0A}">
  <dimension ref="A1:O59"/>
  <sheetViews>
    <sheetView topLeftCell="A43" workbookViewId="0">
      <selection activeCell="D71" sqref="D71"/>
    </sheetView>
  </sheetViews>
  <sheetFormatPr baseColWidth="10" defaultRowHeight="14.5" x14ac:dyDescent="0.35"/>
  <cols>
    <col min="1" max="1" width="12.7265625" customWidth="1"/>
    <col min="2" max="2" width="10.54296875" bestFit="1" customWidth="1"/>
    <col min="3" max="3" width="8.81640625" bestFit="1" customWidth="1"/>
    <col min="4" max="4" width="22.54296875" customWidth="1"/>
    <col min="5" max="5" width="7.81640625" bestFit="1" customWidth="1"/>
    <col min="6" max="6" width="24.453125" bestFit="1" customWidth="1"/>
    <col min="7" max="7" width="30.26953125" bestFit="1" customWidth="1"/>
    <col min="8" max="8" width="29.1796875" bestFit="1" customWidth="1"/>
    <col min="9" max="9" width="19.453125" bestFit="1" customWidth="1"/>
    <col min="10" max="10" width="36.26953125" bestFit="1" customWidth="1"/>
    <col min="11" max="11" width="43.1796875" bestFit="1" customWidth="1"/>
    <col min="12" max="12" width="16.7265625" customWidth="1"/>
    <col min="13" max="13" width="10.1796875" bestFit="1" customWidth="1"/>
    <col min="14" max="14" width="11.81640625" style="153" bestFit="1" customWidth="1"/>
    <col min="15" max="15" width="33.1796875" bestFit="1" customWidth="1"/>
  </cols>
  <sheetData>
    <row r="1" spans="1:15" x14ac:dyDescent="0.35">
      <c r="N1" s="153">
        <f>SUM(N3:N2300)</f>
        <v>-100248.98525029339</v>
      </c>
    </row>
    <row r="2" spans="1:15" ht="15" thickBot="1" x14ac:dyDescent="0.4">
      <c r="A2" s="134" t="s">
        <v>243</v>
      </c>
      <c r="B2" s="135" t="s">
        <v>244</v>
      </c>
      <c r="C2" s="136" t="s">
        <v>66</v>
      </c>
      <c r="D2" s="136" t="s">
        <v>251</v>
      </c>
      <c r="E2" s="137" t="s">
        <v>245</v>
      </c>
      <c r="F2" s="137" t="s">
        <v>67</v>
      </c>
      <c r="G2" s="137" t="s">
        <v>68</v>
      </c>
      <c r="H2" s="137" t="s">
        <v>69</v>
      </c>
      <c r="I2" s="137" t="s">
        <v>70</v>
      </c>
      <c r="J2" s="138" t="s">
        <v>71</v>
      </c>
      <c r="K2" s="138" t="s">
        <v>246</v>
      </c>
      <c r="L2" s="137" t="s">
        <v>247</v>
      </c>
      <c r="M2" s="137" t="s">
        <v>248</v>
      </c>
      <c r="N2" s="159" t="s">
        <v>249</v>
      </c>
      <c r="O2" s="139" t="s">
        <v>250</v>
      </c>
    </row>
    <row r="3" spans="1:15" ht="15" thickTop="1" x14ac:dyDescent="0.35">
      <c r="A3" s="140">
        <v>46053</v>
      </c>
      <c r="B3">
        <v>1</v>
      </c>
      <c r="C3" t="s">
        <v>74</v>
      </c>
      <c r="D3" t="s">
        <v>239</v>
      </c>
      <c r="F3" t="s">
        <v>75</v>
      </c>
      <c r="G3" t="s">
        <v>76</v>
      </c>
      <c r="H3" s="34" t="s">
        <v>77</v>
      </c>
      <c r="I3" t="s">
        <v>119</v>
      </c>
      <c r="J3" t="s">
        <v>120</v>
      </c>
      <c r="K3" t="s">
        <v>238</v>
      </c>
      <c r="N3" s="153">
        <v>7934.82</v>
      </c>
      <c r="O3" t="s">
        <v>252</v>
      </c>
    </row>
    <row r="4" spans="1:15" x14ac:dyDescent="0.35">
      <c r="A4" s="140">
        <v>46053</v>
      </c>
      <c r="B4">
        <v>1</v>
      </c>
      <c r="C4" t="s">
        <v>74</v>
      </c>
      <c r="D4" t="s">
        <v>239</v>
      </c>
      <c r="F4" t="s">
        <v>75</v>
      </c>
      <c r="G4" t="s">
        <v>76</v>
      </c>
      <c r="H4" s="34" t="s">
        <v>77</v>
      </c>
      <c r="I4" t="s">
        <v>119</v>
      </c>
      <c r="J4" t="s">
        <v>127</v>
      </c>
      <c r="K4" t="s">
        <v>238</v>
      </c>
      <c r="N4" s="153">
        <v>1693.8</v>
      </c>
      <c r="O4" t="s">
        <v>252</v>
      </c>
    </row>
    <row r="5" spans="1:15" x14ac:dyDescent="0.35">
      <c r="A5" s="140">
        <v>46053</v>
      </c>
      <c r="B5">
        <v>1</v>
      </c>
      <c r="C5" t="s">
        <v>74</v>
      </c>
      <c r="D5" t="s">
        <v>239</v>
      </c>
      <c r="F5" t="s">
        <v>75</v>
      </c>
      <c r="G5" t="s">
        <v>76</v>
      </c>
      <c r="H5" s="34" t="s">
        <v>77</v>
      </c>
      <c r="I5" t="s">
        <v>119</v>
      </c>
      <c r="J5" t="s">
        <v>120</v>
      </c>
      <c r="K5" t="s">
        <v>238</v>
      </c>
      <c r="N5" s="153">
        <v>2166.7600000000002</v>
      </c>
      <c r="O5" t="s">
        <v>253</v>
      </c>
    </row>
    <row r="6" spans="1:15" x14ac:dyDescent="0.35">
      <c r="A6" s="140">
        <v>46053</v>
      </c>
      <c r="B6">
        <v>1</v>
      </c>
      <c r="C6" t="s">
        <v>74</v>
      </c>
      <c r="D6" t="s">
        <v>239</v>
      </c>
      <c r="F6" t="s">
        <v>75</v>
      </c>
      <c r="G6" t="s">
        <v>76</v>
      </c>
      <c r="H6" s="34" t="s">
        <v>77</v>
      </c>
      <c r="I6" t="s">
        <v>119</v>
      </c>
      <c r="J6" t="s">
        <v>127</v>
      </c>
      <c r="K6" t="s">
        <v>238</v>
      </c>
      <c r="N6" s="153">
        <v>911.41</v>
      </c>
      <c r="O6" t="s">
        <v>253</v>
      </c>
    </row>
    <row r="7" spans="1:15" x14ac:dyDescent="0.35">
      <c r="A7" s="140">
        <v>46053</v>
      </c>
      <c r="B7">
        <v>1</v>
      </c>
      <c r="C7" t="s">
        <v>74</v>
      </c>
      <c r="D7" t="s">
        <v>239</v>
      </c>
      <c r="F7" t="s">
        <v>75</v>
      </c>
      <c r="G7" t="s">
        <v>76</v>
      </c>
      <c r="H7" s="34" t="s">
        <v>77</v>
      </c>
      <c r="I7" t="s">
        <v>119</v>
      </c>
      <c r="J7" t="s">
        <v>120</v>
      </c>
      <c r="K7" t="s">
        <v>238</v>
      </c>
      <c r="N7" s="153">
        <v>4444.21</v>
      </c>
      <c r="O7" t="s">
        <v>254</v>
      </c>
    </row>
    <row r="8" spans="1:15" x14ac:dyDescent="0.35">
      <c r="A8" s="140">
        <v>46053</v>
      </c>
      <c r="B8">
        <v>1</v>
      </c>
      <c r="C8" t="s">
        <v>74</v>
      </c>
      <c r="D8" t="s">
        <v>239</v>
      </c>
      <c r="F8" t="s">
        <v>75</v>
      </c>
      <c r="G8" t="s">
        <v>76</v>
      </c>
      <c r="H8" s="34" t="s">
        <v>77</v>
      </c>
      <c r="I8" t="s">
        <v>119</v>
      </c>
      <c r="J8" t="s">
        <v>127</v>
      </c>
      <c r="K8" t="s">
        <v>238</v>
      </c>
      <c r="N8" s="153">
        <v>1720.91</v>
      </c>
      <c r="O8" t="s">
        <v>254</v>
      </c>
    </row>
    <row r="9" spans="1:15" x14ac:dyDescent="0.35">
      <c r="A9" s="140">
        <v>46053</v>
      </c>
      <c r="B9">
        <v>1</v>
      </c>
      <c r="C9" t="s">
        <v>74</v>
      </c>
      <c r="D9" t="s">
        <v>239</v>
      </c>
      <c r="F9" t="s">
        <v>75</v>
      </c>
      <c r="G9" t="s">
        <v>76</v>
      </c>
      <c r="H9" s="34" t="s">
        <v>77</v>
      </c>
      <c r="I9" t="s">
        <v>119</v>
      </c>
      <c r="J9" t="s">
        <v>120</v>
      </c>
      <c r="K9" t="s">
        <v>238</v>
      </c>
      <c r="N9" s="153">
        <v>5593.98</v>
      </c>
      <c r="O9" t="s">
        <v>255</v>
      </c>
    </row>
    <row r="10" spans="1:15" x14ac:dyDescent="0.35">
      <c r="A10" s="140">
        <v>46053</v>
      </c>
      <c r="B10">
        <v>1</v>
      </c>
      <c r="C10" t="s">
        <v>74</v>
      </c>
      <c r="D10" t="s">
        <v>239</v>
      </c>
      <c r="F10" t="s">
        <v>75</v>
      </c>
      <c r="G10" t="s">
        <v>76</v>
      </c>
      <c r="H10" s="34" t="s">
        <v>77</v>
      </c>
      <c r="I10" t="s">
        <v>119</v>
      </c>
      <c r="J10" t="s">
        <v>127</v>
      </c>
      <c r="K10" t="s">
        <v>238</v>
      </c>
      <c r="N10" s="153">
        <v>1735.81</v>
      </c>
      <c r="O10" t="s">
        <v>255</v>
      </c>
    </row>
    <row r="11" spans="1:15" x14ac:dyDescent="0.35">
      <c r="A11" s="140">
        <v>46081</v>
      </c>
      <c r="B11">
        <v>2</v>
      </c>
      <c r="C11" t="s">
        <v>74</v>
      </c>
      <c r="D11" t="s">
        <v>239</v>
      </c>
      <c r="F11" t="s">
        <v>75</v>
      </c>
      <c r="G11" t="s">
        <v>76</v>
      </c>
      <c r="H11" s="34" t="s">
        <v>77</v>
      </c>
      <c r="I11" t="s">
        <v>119</v>
      </c>
      <c r="J11" t="s">
        <v>120</v>
      </c>
      <c r="K11" t="s">
        <v>238</v>
      </c>
      <c r="N11" s="153">
        <v>9273.34</v>
      </c>
      <c r="O11" t="s">
        <v>252</v>
      </c>
    </row>
    <row r="12" spans="1:15" x14ac:dyDescent="0.35">
      <c r="A12" s="140">
        <v>46081</v>
      </c>
      <c r="B12">
        <v>2</v>
      </c>
      <c r="C12" t="s">
        <v>74</v>
      </c>
      <c r="D12" t="s">
        <v>239</v>
      </c>
      <c r="F12" t="s">
        <v>75</v>
      </c>
      <c r="G12" t="s">
        <v>76</v>
      </c>
      <c r="H12" s="34" t="s">
        <v>77</v>
      </c>
      <c r="I12" t="s">
        <v>119</v>
      </c>
      <c r="J12" t="s">
        <v>127</v>
      </c>
      <c r="K12" t="s">
        <v>238</v>
      </c>
      <c r="N12" s="153">
        <v>1774.57</v>
      </c>
      <c r="O12" t="s">
        <v>252</v>
      </c>
    </row>
    <row r="13" spans="1:15" x14ac:dyDescent="0.35">
      <c r="A13" s="140">
        <v>46081</v>
      </c>
      <c r="B13">
        <v>2</v>
      </c>
      <c r="C13" t="s">
        <v>74</v>
      </c>
      <c r="D13" t="s">
        <v>239</v>
      </c>
      <c r="F13" t="s">
        <v>75</v>
      </c>
      <c r="G13" t="s">
        <v>76</v>
      </c>
      <c r="H13" s="34" t="s">
        <v>77</v>
      </c>
      <c r="I13" t="s">
        <v>119</v>
      </c>
      <c r="J13" t="s">
        <v>120</v>
      </c>
      <c r="K13" t="s">
        <v>238</v>
      </c>
      <c r="N13" s="153">
        <v>3414.13</v>
      </c>
      <c r="O13" t="s">
        <v>253</v>
      </c>
    </row>
    <row r="14" spans="1:15" x14ac:dyDescent="0.35">
      <c r="A14" s="140">
        <v>46081</v>
      </c>
      <c r="B14">
        <v>2</v>
      </c>
      <c r="C14" t="s">
        <v>74</v>
      </c>
      <c r="D14" t="s">
        <v>239</v>
      </c>
      <c r="F14" t="s">
        <v>75</v>
      </c>
      <c r="G14" t="s">
        <v>76</v>
      </c>
      <c r="H14" s="34" t="s">
        <v>77</v>
      </c>
      <c r="I14" t="s">
        <v>119</v>
      </c>
      <c r="J14" t="s">
        <v>127</v>
      </c>
      <c r="K14" t="s">
        <v>238</v>
      </c>
      <c r="N14" s="153">
        <v>838.96</v>
      </c>
      <c r="O14" t="s">
        <v>253</v>
      </c>
    </row>
    <row r="15" spans="1:15" x14ac:dyDescent="0.35">
      <c r="A15" s="140">
        <v>46081</v>
      </c>
      <c r="B15">
        <v>2</v>
      </c>
      <c r="C15" t="s">
        <v>74</v>
      </c>
      <c r="D15" t="s">
        <v>241</v>
      </c>
      <c r="F15" t="s">
        <v>75</v>
      </c>
      <c r="G15" t="s">
        <v>76</v>
      </c>
      <c r="H15" s="34" t="s">
        <v>77</v>
      </c>
      <c r="I15" t="s">
        <v>119</v>
      </c>
      <c r="J15" t="s">
        <v>240</v>
      </c>
      <c r="K15" t="s">
        <v>238</v>
      </c>
      <c r="N15" s="153">
        <v>11278.98</v>
      </c>
      <c r="O15" t="s">
        <v>253</v>
      </c>
    </row>
    <row r="16" spans="1:15" x14ac:dyDescent="0.35">
      <c r="A16" s="140">
        <v>46081</v>
      </c>
      <c r="B16">
        <v>2</v>
      </c>
      <c r="C16" t="s">
        <v>74</v>
      </c>
      <c r="D16" t="s">
        <v>239</v>
      </c>
      <c r="F16" t="s">
        <v>75</v>
      </c>
      <c r="G16" t="s">
        <v>76</v>
      </c>
      <c r="H16" s="34" t="s">
        <v>77</v>
      </c>
      <c r="I16" t="s">
        <v>119</v>
      </c>
      <c r="J16" t="s">
        <v>120</v>
      </c>
      <c r="K16" t="s">
        <v>238</v>
      </c>
      <c r="N16" s="153">
        <v>4444.21</v>
      </c>
      <c r="O16" t="s">
        <v>254</v>
      </c>
    </row>
    <row r="17" spans="1:15" x14ac:dyDescent="0.35">
      <c r="A17" s="140">
        <v>46081</v>
      </c>
      <c r="B17">
        <v>2</v>
      </c>
      <c r="C17" t="s">
        <v>74</v>
      </c>
      <c r="D17" t="s">
        <v>239</v>
      </c>
      <c r="F17" t="s">
        <v>75</v>
      </c>
      <c r="G17" t="s">
        <v>76</v>
      </c>
      <c r="H17" s="34" t="s">
        <v>77</v>
      </c>
      <c r="I17" t="s">
        <v>119</v>
      </c>
      <c r="J17" t="s">
        <v>127</v>
      </c>
      <c r="K17" t="s">
        <v>238</v>
      </c>
      <c r="N17" s="153">
        <v>1720.91</v>
      </c>
      <c r="O17" t="s">
        <v>254</v>
      </c>
    </row>
    <row r="18" spans="1:15" x14ac:dyDescent="0.35">
      <c r="A18" s="140">
        <v>46081</v>
      </c>
      <c r="B18">
        <v>2</v>
      </c>
      <c r="C18" t="s">
        <v>74</v>
      </c>
      <c r="D18" t="s">
        <v>239</v>
      </c>
      <c r="F18" t="s">
        <v>75</v>
      </c>
      <c r="G18" t="s">
        <v>76</v>
      </c>
      <c r="H18" s="34" t="s">
        <v>77</v>
      </c>
      <c r="I18" t="s">
        <v>119</v>
      </c>
      <c r="J18" t="s">
        <v>120</v>
      </c>
      <c r="K18" t="s">
        <v>238</v>
      </c>
      <c r="N18" s="153">
        <v>5593.98</v>
      </c>
      <c r="O18" t="s">
        <v>255</v>
      </c>
    </row>
    <row r="19" spans="1:15" x14ac:dyDescent="0.35">
      <c r="A19" s="140">
        <v>46081</v>
      </c>
      <c r="B19">
        <v>2</v>
      </c>
      <c r="C19" t="s">
        <v>74</v>
      </c>
      <c r="D19" t="s">
        <v>239</v>
      </c>
      <c r="F19" t="s">
        <v>75</v>
      </c>
      <c r="G19" t="s">
        <v>76</v>
      </c>
      <c r="H19" s="34" t="s">
        <v>77</v>
      </c>
      <c r="I19" t="s">
        <v>119</v>
      </c>
      <c r="J19" t="s">
        <v>127</v>
      </c>
      <c r="K19" t="s">
        <v>238</v>
      </c>
      <c r="N19" s="153">
        <v>1735.81</v>
      </c>
      <c r="O19" t="s">
        <v>255</v>
      </c>
    </row>
    <row r="20" spans="1:15" x14ac:dyDescent="0.35">
      <c r="A20" s="140">
        <v>46112</v>
      </c>
      <c r="B20">
        <v>3</v>
      </c>
      <c r="C20" t="s">
        <v>74</v>
      </c>
      <c r="D20" t="s">
        <v>239</v>
      </c>
      <c r="F20" t="s">
        <v>75</v>
      </c>
      <c r="G20" t="s">
        <v>76</v>
      </c>
      <c r="H20" s="34" t="s">
        <v>77</v>
      </c>
      <c r="I20" t="s">
        <v>119</v>
      </c>
      <c r="J20" t="s">
        <v>120</v>
      </c>
      <c r="K20" t="s">
        <v>238</v>
      </c>
      <c r="N20" s="153">
        <v>10999.04</v>
      </c>
      <c r="O20" t="s">
        <v>312</v>
      </c>
    </row>
    <row r="21" spans="1:15" x14ac:dyDescent="0.35">
      <c r="A21" s="140">
        <v>46112</v>
      </c>
      <c r="B21">
        <v>3</v>
      </c>
      <c r="C21" t="s">
        <v>74</v>
      </c>
      <c r="D21" t="s">
        <v>239</v>
      </c>
      <c r="F21" t="s">
        <v>75</v>
      </c>
      <c r="G21" t="s">
        <v>76</v>
      </c>
      <c r="H21" t="s">
        <v>77</v>
      </c>
      <c r="I21" t="s">
        <v>119</v>
      </c>
      <c r="J21" t="s">
        <v>120</v>
      </c>
      <c r="K21" t="s">
        <v>238</v>
      </c>
      <c r="N21" s="153">
        <v>14077.68</v>
      </c>
      <c r="O21" t="s">
        <v>313</v>
      </c>
    </row>
    <row r="22" spans="1:15" x14ac:dyDescent="0.35">
      <c r="A22" s="140">
        <v>46112</v>
      </c>
      <c r="B22">
        <v>3</v>
      </c>
      <c r="C22" t="s">
        <v>74</v>
      </c>
      <c r="D22" t="s">
        <v>239</v>
      </c>
      <c r="F22" t="s">
        <v>75</v>
      </c>
      <c r="G22" t="s">
        <v>76</v>
      </c>
      <c r="H22" t="s">
        <v>77</v>
      </c>
      <c r="I22" t="s">
        <v>119</v>
      </c>
      <c r="J22" t="s">
        <v>127</v>
      </c>
      <c r="K22" t="s">
        <v>238</v>
      </c>
      <c r="N22" s="153">
        <v>2057.2800000000002</v>
      </c>
      <c r="O22" t="s">
        <v>312</v>
      </c>
    </row>
    <row r="23" spans="1:15" x14ac:dyDescent="0.35">
      <c r="A23" s="140">
        <v>46112</v>
      </c>
      <c r="B23">
        <v>3</v>
      </c>
      <c r="C23" t="s">
        <v>74</v>
      </c>
      <c r="D23" t="s">
        <v>239</v>
      </c>
      <c r="F23" t="s">
        <v>75</v>
      </c>
      <c r="G23" t="s">
        <v>76</v>
      </c>
      <c r="H23" t="s">
        <v>77</v>
      </c>
      <c r="I23" t="s">
        <v>119</v>
      </c>
      <c r="J23" t="s">
        <v>127</v>
      </c>
      <c r="K23" t="s">
        <v>238</v>
      </c>
      <c r="N23" s="153">
        <v>2139.36</v>
      </c>
      <c r="O23" t="s">
        <v>313</v>
      </c>
    </row>
    <row r="24" spans="1:15" x14ac:dyDescent="0.35">
      <c r="A24" s="140">
        <v>46173</v>
      </c>
      <c r="B24">
        <v>5</v>
      </c>
      <c r="C24" t="s">
        <v>74</v>
      </c>
      <c r="D24" t="s">
        <v>426</v>
      </c>
      <c r="F24" t="s">
        <v>75</v>
      </c>
      <c r="G24" t="s">
        <v>76</v>
      </c>
      <c r="H24" t="s">
        <v>77</v>
      </c>
      <c r="I24" t="s">
        <v>98</v>
      </c>
      <c r="J24" t="s">
        <v>114</v>
      </c>
      <c r="K24" t="s">
        <v>392</v>
      </c>
      <c r="N24" s="153">
        <v>28562.71</v>
      </c>
      <c r="O24" t="s">
        <v>408</v>
      </c>
    </row>
    <row r="25" spans="1:15" x14ac:dyDescent="0.35">
      <c r="A25" s="140">
        <v>46173</v>
      </c>
      <c r="B25">
        <v>5</v>
      </c>
      <c r="C25" t="s">
        <v>74</v>
      </c>
      <c r="D25" t="s">
        <v>426</v>
      </c>
      <c r="F25" t="s">
        <v>75</v>
      </c>
      <c r="G25" t="s">
        <v>76</v>
      </c>
      <c r="H25" t="s">
        <v>77</v>
      </c>
      <c r="I25" t="s">
        <v>140</v>
      </c>
      <c r="J25" t="s">
        <v>145</v>
      </c>
      <c r="K25" t="s">
        <v>392</v>
      </c>
      <c r="N25" s="153">
        <v>665</v>
      </c>
      <c r="O25" t="s">
        <v>409</v>
      </c>
    </row>
    <row r="26" spans="1:15" x14ac:dyDescent="0.35">
      <c r="A26" s="140">
        <v>46173</v>
      </c>
      <c r="B26">
        <v>5</v>
      </c>
      <c r="C26" t="s">
        <v>74</v>
      </c>
      <c r="D26" t="s">
        <v>426</v>
      </c>
      <c r="F26" t="s">
        <v>75</v>
      </c>
      <c r="G26" t="s">
        <v>76</v>
      </c>
      <c r="H26" t="s">
        <v>77</v>
      </c>
      <c r="I26" t="s">
        <v>140</v>
      </c>
      <c r="J26" t="s">
        <v>193</v>
      </c>
      <c r="K26" t="s">
        <v>392</v>
      </c>
      <c r="N26" s="153">
        <v>1523.79</v>
      </c>
      <c r="O26" t="s">
        <v>395</v>
      </c>
    </row>
    <row r="27" spans="1:15" x14ac:dyDescent="0.35">
      <c r="A27" s="140">
        <v>46173</v>
      </c>
      <c r="B27">
        <v>5</v>
      </c>
      <c r="C27" t="s">
        <v>74</v>
      </c>
      <c r="D27" t="s">
        <v>426</v>
      </c>
      <c r="F27" t="s">
        <v>75</v>
      </c>
      <c r="G27" t="s">
        <v>76</v>
      </c>
      <c r="H27" t="s">
        <v>77</v>
      </c>
      <c r="I27" t="s">
        <v>140</v>
      </c>
      <c r="J27" t="s">
        <v>198</v>
      </c>
      <c r="K27" t="s">
        <v>392</v>
      </c>
      <c r="N27" s="153">
        <v>425.73</v>
      </c>
      <c r="O27" t="s">
        <v>410</v>
      </c>
    </row>
    <row r="28" spans="1:15" x14ac:dyDescent="0.35">
      <c r="A28" s="140">
        <v>46173</v>
      </c>
      <c r="B28">
        <v>5</v>
      </c>
      <c r="C28" t="s">
        <v>74</v>
      </c>
      <c r="D28" t="s">
        <v>425</v>
      </c>
      <c r="F28" t="s">
        <v>75</v>
      </c>
      <c r="G28" t="s">
        <v>76</v>
      </c>
      <c r="H28" t="s">
        <v>77</v>
      </c>
      <c r="I28" t="s">
        <v>78</v>
      </c>
      <c r="J28" t="s">
        <v>311</v>
      </c>
      <c r="K28" t="s">
        <v>321</v>
      </c>
      <c r="N28" s="153">
        <v>-101865.8</v>
      </c>
      <c r="O28" t="s">
        <v>411</v>
      </c>
    </row>
    <row r="29" spans="1:15" x14ac:dyDescent="0.35">
      <c r="A29" s="140">
        <v>46173</v>
      </c>
      <c r="B29">
        <v>5</v>
      </c>
      <c r="C29" t="s">
        <v>74</v>
      </c>
      <c r="D29" t="s">
        <v>425</v>
      </c>
      <c r="F29" t="s">
        <v>75</v>
      </c>
      <c r="G29" t="s">
        <v>76</v>
      </c>
      <c r="H29" t="s">
        <v>77</v>
      </c>
      <c r="I29" t="s">
        <v>78</v>
      </c>
      <c r="J29" t="s">
        <v>81</v>
      </c>
      <c r="K29" t="s">
        <v>82</v>
      </c>
      <c r="N29" s="153">
        <v>-80917.990000000005</v>
      </c>
      <c r="O29" t="s">
        <v>412</v>
      </c>
    </row>
    <row r="30" spans="1:15" x14ac:dyDescent="0.35">
      <c r="A30" s="140">
        <v>46173</v>
      </c>
      <c r="B30">
        <v>5</v>
      </c>
      <c r="C30" t="s">
        <v>74</v>
      </c>
      <c r="D30" t="s">
        <v>425</v>
      </c>
      <c r="F30" t="s">
        <v>75</v>
      </c>
      <c r="G30" t="s">
        <v>76</v>
      </c>
      <c r="H30" t="s">
        <v>77</v>
      </c>
      <c r="I30" t="s">
        <v>78</v>
      </c>
      <c r="J30" t="s">
        <v>83</v>
      </c>
      <c r="K30" t="s">
        <v>323</v>
      </c>
      <c r="N30" s="153">
        <v>-111557.6</v>
      </c>
      <c r="O30" t="s">
        <v>398</v>
      </c>
    </row>
    <row r="31" spans="1:15" x14ac:dyDescent="0.35">
      <c r="A31" s="140">
        <v>46173</v>
      </c>
      <c r="B31">
        <v>5</v>
      </c>
      <c r="C31" t="s">
        <v>74</v>
      </c>
      <c r="D31" t="s">
        <v>425</v>
      </c>
      <c r="F31" t="s">
        <v>75</v>
      </c>
      <c r="G31" t="s">
        <v>76</v>
      </c>
      <c r="H31" t="s">
        <v>77</v>
      </c>
      <c r="I31" t="s">
        <v>98</v>
      </c>
      <c r="J31" t="s">
        <v>99</v>
      </c>
      <c r="K31" t="s">
        <v>100</v>
      </c>
      <c r="N31" s="153">
        <v>101865.8</v>
      </c>
      <c r="O31" t="s">
        <v>411</v>
      </c>
    </row>
    <row r="32" spans="1:15" x14ac:dyDescent="0.35">
      <c r="A32" s="140">
        <v>46173</v>
      </c>
      <c r="B32">
        <v>5</v>
      </c>
      <c r="C32" t="s">
        <v>74</v>
      </c>
      <c r="D32" t="s">
        <v>425</v>
      </c>
      <c r="F32" t="s">
        <v>75</v>
      </c>
      <c r="G32" t="s">
        <v>76</v>
      </c>
      <c r="H32" t="s">
        <v>77</v>
      </c>
      <c r="I32" t="s">
        <v>98</v>
      </c>
      <c r="J32" t="s">
        <v>101</v>
      </c>
      <c r="K32" t="s">
        <v>102</v>
      </c>
      <c r="N32" s="153">
        <v>80917.990000000005</v>
      </c>
      <c r="O32" t="s">
        <v>412</v>
      </c>
    </row>
    <row r="33" spans="1:15" x14ac:dyDescent="0.35">
      <c r="A33" s="140">
        <v>46203</v>
      </c>
      <c r="B33">
        <v>6</v>
      </c>
      <c r="C33" t="s">
        <v>74</v>
      </c>
      <c r="D33" t="s">
        <v>426</v>
      </c>
      <c r="F33" t="s">
        <v>75</v>
      </c>
      <c r="G33" t="s">
        <v>76</v>
      </c>
      <c r="H33" t="s">
        <v>77</v>
      </c>
      <c r="I33" t="s">
        <v>98</v>
      </c>
      <c r="J33" t="s">
        <v>114</v>
      </c>
      <c r="K33" t="s">
        <v>392</v>
      </c>
      <c r="N33" s="153">
        <v>36290</v>
      </c>
      <c r="O33" t="s">
        <v>408</v>
      </c>
    </row>
    <row r="34" spans="1:15" x14ac:dyDescent="0.35">
      <c r="A34" s="140">
        <v>46203</v>
      </c>
      <c r="B34">
        <v>6</v>
      </c>
      <c r="C34" t="s">
        <v>74</v>
      </c>
      <c r="D34" t="s">
        <v>426</v>
      </c>
      <c r="F34" t="s">
        <v>75</v>
      </c>
      <c r="G34" t="s">
        <v>76</v>
      </c>
      <c r="H34" t="s">
        <v>77</v>
      </c>
      <c r="I34" t="s">
        <v>140</v>
      </c>
      <c r="J34" t="s">
        <v>145</v>
      </c>
      <c r="K34" t="s">
        <v>392</v>
      </c>
      <c r="N34" s="153">
        <v>665</v>
      </c>
      <c r="O34" t="s">
        <v>409</v>
      </c>
    </row>
    <row r="35" spans="1:15" x14ac:dyDescent="0.35">
      <c r="A35" s="140">
        <v>46203</v>
      </c>
      <c r="B35">
        <v>6</v>
      </c>
      <c r="C35" t="s">
        <v>74</v>
      </c>
      <c r="D35" t="s">
        <v>426</v>
      </c>
      <c r="F35" t="s">
        <v>75</v>
      </c>
      <c r="G35" t="s">
        <v>76</v>
      </c>
      <c r="H35" t="s">
        <v>77</v>
      </c>
      <c r="I35" t="s">
        <v>140</v>
      </c>
      <c r="J35" t="s">
        <v>193</v>
      </c>
      <c r="K35" t="s">
        <v>392</v>
      </c>
      <c r="N35" s="153">
        <v>1217.6400000000001</v>
      </c>
      <c r="O35" t="s">
        <v>395</v>
      </c>
    </row>
    <row r="36" spans="1:15" x14ac:dyDescent="0.35">
      <c r="A36" s="140">
        <v>46203</v>
      </c>
      <c r="B36">
        <v>6</v>
      </c>
      <c r="C36" t="s">
        <v>74</v>
      </c>
      <c r="D36" t="s">
        <v>426</v>
      </c>
      <c r="F36" t="s">
        <v>75</v>
      </c>
      <c r="G36" t="s">
        <v>76</v>
      </c>
      <c r="H36" t="s">
        <v>77</v>
      </c>
      <c r="I36" t="s">
        <v>140</v>
      </c>
      <c r="J36" t="s">
        <v>198</v>
      </c>
      <c r="K36" t="s">
        <v>392</v>
      </c>
      <c r="N36" s="153">
        <v>340.2</v>
      </c>
      <c r="O36" t="s">
        <v>410</v>
      </c>
    </row>
    <row r="37" spans="1:15" x14ac:dyDescent="0.35">
      <c r="A37" s="140">
        <v>46203</v>
      </c>
      <c r="B37">
        <v>6</v>
      </c>
      <c r="C37" t="s">
        <v>74</v>
      </c>
      <c r="D37" t="s">
        <v>425</v>
      </c>
      <c r="F37" t="s">
        <v>75</v>
      </c>
      <c r="G37" t="s">
        <v>76</v>
      </c>
      <c r="H37" t="s">
        <v>77</v>
      </c>
      <c r="I37" t="s">
        <v>78</v>
      </c>
      <c r="J37" t="s">
        <v>311</v>
      </c>
      <c r="K37" t="s">
        <v>321</v>
      </c>
      <c r="N37" s="153">
        <v>-70011.64</v>
      </c>
      <c r="O37" t="s">
        <v>411</v>
      </c>
    </row>
    <row r="38" spans="1:15" x14ac:dyDescent="0.35">
      <c r="A38" s="140">
        <v>46203</v>
      </c>
      <c r="B38">
        <v>6</v>
      </c>
      <c r="C38" t="s">
        <v>74</v>
      </c>
      <c r="D38" t="s">
        <v>425</v>
      </c>
      <c r="F38" t="s">
        <v>75</v>
      </c>
      <c r="G38" t="s">
        <v>76</v>
      </c>
      <c r="H38" t="s">
        <v>77</v>
      </c>
      <c r="I38" t="s">
        <v>78</v>
      </c>
      <c r="J38" t="s">
        <v>81</v>
      </c>
      <c r="K38" t="s">
        <v>82</v>
      </c>
      <c r="N38" s="153">
        <v>-44823.06</v>
      </c>
      <c r="O38" t="s">
        <v>412</v>
      </c>
    </row>
    <row r="39" spans="1:15" x14ac:dyDescent="0.35">
      <c r="A39" s="140">
        <v>46203</v>
      </c>
      <c r="B39">
        <v>6</v>
      </c>
      <c r="C39" t="s">
        <v>74</v>
      </c>
      <c r="D39" t="s">
        <v>425</v>
      </c>
      <c r="F39" t="s">
        <v>75</v>
      </c>
      <c r="G39" t="s">
        <v>76</v>
      </c>
      <c r="H39" t="s">
        <v>77</v>
      </c>
      <c r="I39" t="s">
        <v>78</v>
      </c>
      <c r="J39" t="s">
        <v>83</v>
      </c>
      <c r="K39" t="s">
        <v>323</v>
      </c>
      <c r="N39" s="153">
        <v>-70833.600000000006</v>
      </c>
      <c r="O39" t="s">
        <v>398</v>
      </c>
    </row>
    <row r="40" spans="1:15" x14ac:dyDescent="0.35">
      <c r="A40" s="140">
        <v>46203</v>
      </c>
      <c r="B40">
        <v>6</v>
      </c>
      <c r="C40" t="s">
        <v>74</v>
      </c>
      <c r="D40" t="s">
        <v>425</v>
      </c>
      <c r="F40" t="s">
        <v>75</v>
      </c>
      <c r="G40" t="s">
        <v>76</v>
      </c>
      <c r="H40" t="s">
        <v>77</v>
      </c>
      <c r="I40" t="s">
        <v>98</v>
      </c>
      <c r="J40" t="s">
        <v>99</v>
      </c>
      <c r="K40" t="s">
        <v>100</v>
      </c>
      <c r="N40" s="153">
        <v>70011.64</v>
      </c>
      <c r="O40" t="s">
        <v>411</v>
      </c>
    </row>
    <row r="41" spans="1:15" x14ac:dyDescent="0.35">
      <c r="A41" s="140">
        <v>46203</v>
      </c>
      <c r="B41">
        <v>6</v>
      </c>
      <c r="C41" t="s">
        <v>74</v>
      </c>
      <c r="D41" t="s">
        <v>425</v>
      </c>
      <c r="F41" t="s">
        <v>75</v>
      </c>
      <c r="G41" t="s">
        <v>76</v>
      </c>
      <c r="H41" t="s">
        <v>77</v>
      </c>
      <c r="I41" t="s">
        <v>98</v>
      </c>
      <c r="J41" t="s">
        <v>101</v>
      </c>
      <c r="K41" t="s">
        <v>102</v>
      </c>
      <c r="N41" s="153">
        <v>44823.06</v>
      </c>
      <c r="O41" t="s">
        <v>412</v>
      </c>
    </row>
    <row r="42" spans="1:15" x14ac:dyDescent="0.35">
      <c r="A42" s="140">
        <v>46234</v>
      </c>
      <c r="B42">
        <v>7</v>
      </c>
      <c r="C42" t="s">
        <v>74</v>
      </c>
      <c r="D42" t="s">
        <v>426</v>
      </c>
      <c r="F42" t="s">
        <v>75</v>
      </c>
      <c r="G42" t="s">
        <v>76</v>
      </c>
      <c r="H42" t="s">
        <v>77</v>
      </c>
      <c r="I42" t="s">
        <v>98</v>
      </c>
      <c r="J42" t="s">
        <v>114</v>
      </c>
      <c r="K42" t="s">
        <v>392</v>
      </c>
      <c r="N42" s="153">
        <v>34757.97</v>
      </c>
      <c r="O42" t="s">
        <v>408</v>
      </c>
    </row>
    <row r="43" spans="1:15" x14ac:dyDescent="0.35">
      <c r="A43" s="140">
        <v>46234</v>
      </c>
      <c r="B43">
        <v>7</v>
      </c>
      <c r="C43" t="s">
        <v>74</v>
      </c>
      <c r="D43" t="s">
        <v>426</v>
      </c>
      <c r="F43" t="s">
        <v>75</v>
      </c>
      <c r="G43" t="s">
        <v>76</v>
      </c>
      <c r="H43" t="s">
        <v>77</v>
      </c>
      <c r="I43" t="s">
        <v>140</v>
      </c>
      <c r="J43" t="s">
        <v>145</v>
      </c>
      <c r="K43" t="s">
        <v>392</v>
      </c>
      <c r="N43" s="153">
        <v>665</v>
      </c>
      <c r="O43" t="s">
        <v>409</v>
      </c>
    </row>
    <row r="44" spans="1:15" x14ac:dyDescent="0.35">
      <c r="A44" s="140">
        <v>46234</v>
      </c>
      <c r="B44">
        <v>7</v>
      </c>
      <c r="C44" t="s">
        <v>74</v>
      </c>
      <c r="D44" t="s">
        <v>426</v>
      </c>
      <c r="F44" t="s">
        <v>75</v>
      </c>
      <c r="G44" t="s">
        <v>76</v>
      </c>
      <c r="H44" t="s">
        <v>77</v>
      </c>
      <c r="I44" t="s">
        <v>140</v>
      </c>
      <c r="J44" t="s">
        <v>193</v>
      </c>
      <c r="K44" t="s">
        <v>392</v>
      </c>
      <c r="N44" s="153">
        <v>599.66456452289231</v>
      </c>
      <c r="O44" t="s">
        <v>395</v>
      </c>
    </row>
    <row r="45" spans="1:15" x14ac:dyDescent="0.35">
      <c r="A45" s="140">
        <v>46234</v>
      </c>
      <c r="B45">
        <v>7</v>
      </c>
      <c r="C45" t="s">
        <v>74</v>
      </c>
      <c r="D45" t="s">
        <v>426</v>
      </c>
      <c r="F45" t="s">
        <v>75</v>
      </c>
      <c r="G45" t="s">
        <v>76</v>
      </c>
      <c r="H45" t="s">
        <v>77</v>
      </c>
      <c r="I45" t="s">
        <v>140</v>
      </c>
      <c r="J45" t="s">
        <v>198</v>
      </c>
      <c r="K45" t="s">
        <v>392</v>
      </c>
      <c r="N45" s="153">
        <v>167.54121647990033</v>
      </c>
      <c r="O45" t="s">
        <v>410</v>
      </c>
    </row>
    <row r="46" spans="1:15" x14ac:dyDescent="0.35">
      <c r="A46" s="140">
        <v>46234</v>
      </c>
      <c r="B46">
        <v>7</v>
      </c>
      <c r="C46" t="s">
        <v>74</v>
      </c>
      <c r="D46" t="s">
        <v>425</v>
      </c>
      <c r="F46" t="s">
        <v>75</v>
      </c>
      <c r="G46" t="s">
        <v>76</v>
      </c>
      <c r="H46" t="s">
        <v>77</v>
      </c>
      <c r="I46" t="s">
        <v>78</v>
      </c>
      <c r="J46" t="s">
        <v>311</v>
      </c>
      <c r="K46" t="s">
        <v>321</v>
      </c>
      <c r="N46" s="153">
        <v>-17402.29</v>
      </c>
      <c r="O46" t="s">
        <v>411</v>
      </c>
    </row>
    <row r="47" spans="1:15" x14ac:dyDescent="0.35">
      <c r="A47" s="140">
        <v>46234</v>
      </c>
      <c r="B47">
        <v>7</v>
      </c>
      <c r="C47" t="s">
        <v>74</v>
      </c>
      <c r="D47" t="s">
        <v>425</v>
      </c>
      <c r="F47" t="s">
        <v>75</v>
      </c>
      <c r="G47" t="s">
        <v>76</v>
      </c>
      <c r="H47" t="s">
        <v>77</v>
      </c>
      <c r="I47" t="s">
        <v>78</v>
      </c>
      <c r="J47" t="s">
        <v>81</v>
      </c>
      <c r="K47" t="s">
        <v>82</v>
      </c>
      <c r="N47" s="153">
        <v>-26969.69</v>
      </c>
      <c r="O47" t="s">
        <v>412</v>
      </c>
    </row>
    <row r="48" spans="1:15" x14ac:dyDescent="0.35">
      <c r="A48" s="140">
        <v>46234</v>
      </c>
      <c r="B48">
        <v>7</v>
      </c>
      <c r="C48" t="s">
        <v>74</v>
      </c>
      <c r="D48" t="s">
        <v>425</v>
      </c>
      <c r="F48" t="s">
        <v>75</v>
      </c>
      <c r="G48" t="s">
        <v>76</v>
      </c>
      <c r="H48" t="s">
        <v>77</v>
      </c>
      <c r="I48" t="s">
        <v>78</v>
      </c>
      <c r="J48" t="s">
        <v>83</v>
      </c>
      <c r="K48" t="s">
        <v>323</v>
      </c>
      <c r="N48" s="153">
        <v>-41581</v>
      </c>
      <c r="O48" t="s">
        <v>398</v>
      </c>
    </row>
    <row r="49" spans="1:15" x14ac:dyDescent="0.35">
      <c r="A49" s="140">
        <v>46234</v>
      </c>
      <c r="B49">
        <v>7</v>
      </c>
      <c r="C49" t="s">
        <v>74</v>
      </c>
      <c r="D49" t="s">
        <v>425</v>
      </c>
      <c r="F49" t="s">
        <v>75</v>
      </c>
      <c r="G49" t="s">
        <v>76</v>
      </c>
      <c r="H49" t="s">
        <v>77</v>
      </c>
      <c r="I49" t="s">
        <v>98</v>
      </c>
      <c r="J49" t="s">
        <v>99</v>
      </c>
      <c r="K49" t="s">
        <v>100</v>
      </c>
      <c r="N49" s="153">
        <v>17402.29</v>
      </c>
      <c r="O49" t="s">
        <v>411</v>
      </c>
    </row>
    <row r="50" spans="1:15" x14ac:dyDescent="0.35">
      <c r="A50" s="140">
        <v>46234</v>
      </c>
      <c r="B50">
        <v>7</v>
      </c>
      <c r="C50" t="s">
        <v>74</v>
      </c>
      <c r="D50" t="s">
        <v>425</v>
      </c>
      <c r="F50" t="s">
        <v>75</v>
      </c>
      <c r="G50" t="s">
        <v>76</v>
      </c>
      <c r="H50" t="s">
        <v>77</v>
      </c>
      <c r="I50" t="s">
        <v>98</v>
      </c>
      <c r="J50" t="s">
        <v>101</v>
      </c>
      <c r="K50" t="s">
        <v>102</v>
      </c>
      <c r="N50" s="153">
        <v>26969.69</v>
      </c>
      <c r="O50" t="s">
        <v>412</v>
      </c>
    </row>
    <row r="51" spans="1:15" x14ac:dyDescent="0.35">
      <c r="A51" s="140">
        <v>46265</v>
      </c>
      <c r="B51">
        <v>8</v>
      </c>
      <c r="C51" t="s">
        <v>74</v>
      </c>
      <c r="D51" t="s">
        <v>426</v>
      </c>
      <c r="F51" t="s">
        <v>75</v>
      </c>
      <c r="G51" t="s">
        <v>76</v>
      </c>
      <c r="H51" t="s">
        <v>77</v>
      </c>
      <c r="I51" t="s">
        <v>98</v>
      </c>
      <c r="J51" t="s">
        <v>114</v>
      </c>
      <c r="K51" t="s">
        <v>392</v>
      </c>
      <c r="N51" s="153">
        <v>19725.189999999999</v>
      </c>
      <c r="O51" t="s">
        <v>408</v>
      </c>
    </row>
    <row r="52" spans="1:15" x14ac:dyDescent="0.35">
      <c r="A52" s="140">
        <v>46265</v>
      </c>
      <c r="B52">
        <v>8</v>
      </c>
      <c r="C52" t="s">
        <v>74</v>
      </c>
      <c r="D52" t="s">
        <v>426</v>
      </c>
      <c r="F52" t="s">
        <v>75</v>
      </c>
      <c r="G52" t="s">
        <v>76</v>
      </c>
      <c r="H52" t="s">
        <v>77</v>
      </c>
      <c r="I52" t="s">
        <v>140</v>
      </c>
      <c r="J52" t="s">
        <v>145</v>
      </c>
      <c r="K52" t="s">
        <v>392</v>
      </c>
      <c r="N52" s="153">
        <v>665</v>
      </c>
      <c r="O52" t="s">
        <v>409</v>
      </c>
    </row>
    <row r="53" spans="1:15" x14ac:dyDescent="0.35">
      <c r="A53" s="140">
        <v>46265</v>
      </c>
      <c r="B53">
        <v>8</v>
      </c>
      <c r="C53" t="s">
        <v>74</v>
      </c>
      <c r="D53" t="s">
        <v>426</v>
      </c>
      <c r="F53" t="s">
        <v>75</v>
      </c>
      <c r="G53" t="s">
        <v>76</v>
      </c>
      <c r="H53" t="s">
        <v>77</v>
      </c>
      <c r="I53" t="s">
        <v>140</v>
      </c>
      <c r="J53" t="s">
        <v>193</v>
      </c>
      <c r="K53" t="s">
        <v>392</v>
      </c>
      <c r="N53" s="153">
        <v>2675.3568568927662</v>
      </c>
      <c r="O53" t="s">
        <v>395</v>
      </c>
    </row>
    <row r="54" spans="1:15" x14ac:dyDescent="0.35">
      <c r="A54" s="140">
        <v>46265</v>
      </c>
      <c r="B54">
        <v>8</v>
      </c>
      <c r="C54" t="s">
        <v>74</v>
      </c>
      <c r="D54" t="s">
        <v>426</v>
      </c>
      <c r="F54" t="s">
        <v>75</v>
      </c>
      <c r="G54" t="s">
        <v>76</v>
      </c>
      <c r="H54" t="s">
        <v>77</v>
      </c>
      <c r="I54" t="s">
        <v>140</v>
      </c>
      <c r="J54" t="s">
        <v>198</v>
      </c>
      <c r="K54" t="s">
        <v>392</v>
      </c>
      <c r="N54" s="153">
        <v>747.47211181104615</v>
      </c>
      <c r="O54" t="s">
        <v>410</v>
      </c>
    </row>
    <row r="55" spans="1:15" x14ac:dyDescent="0.35">
      <c r="A55" s="140">
        <v>46265</v>
      </c>
      <c r="B55">
        <v>8</v>
      </c>
      <c r="C55" t="s">
        <v>74</v>
      </c>
      <c r="D55" t="s">
        <v>425</v>
      </c>
      <c r="F55" t="s">
        <v>75</v>
      </c>
      <c r="G55" t="s">
        <v>76</v>
      </c>
      <c r="H55" t="s">
        <v>77</v>
      </c>
      <c r="I55" t="s">
        <v>78</v>
      </c>
      <c r="J55" t="s">
        <v>311</v>
      </c>
      <c r="K55" t="s">
        <v>321</v>
      </c>
      <c r="N55" s="153">
        <v>-141074.4</v>
      </c>
      <c r="O55" t="s">
        <v>411</v>
      </c>
    </row>
    <row r="56" spans="1:15" x14ac:dyDescent="0.35">
      <c r="A56" s="140">
        <v>46265</v>
      </c>
      <c r="B56">
        <v>8</v>
      </c>
      <c r="C56" t="s">
        <v>74</v>
      </c>
      <c r="D56" t="s">
        <v>425</v>
      </c>
      <c r="F56" t="s">
        <v>75</v>
      </c>
      <c r="G56" t="s">
        <v>76</v>
      </c>
      <c r="H56" t="s">
        <v>77</v>
      </c>
      <c r="I56" t="s">
        <v>78</v>
      </c>
      <c r="J56" t="s">
        <v>81</v>
      </c>
      <c r="K56" t="s">
        <v>82</v>
      </c>
      <c r="N56" s="153">
        <v>-59572.72</v>
      </c>
      <c r="O56" t="s">
        <v>412</v>
      </c>
    </row>
    <row r="57" spans="1:15" x14ac:dyDescent="0.35">
      <c r="A57" s="140">
        <v>46265</v>
      </c>
      <c r="B57">
        <v>8</v>
      </c>
      <c r="C57" t="s">
        <v>74</v>
      </c>
      <c r="D57" t="s">
        <v>425</v>
      </c>
      <c r="F57" t="s">
        <v>75</v>
      </c>
      <c r="G57" t="s">
        <v>76</v>
      </c>
      <c r="H57" t="s">
        <v>77</v>
      </c>
      <c r="I57" t="s">
        <v>78</v>
      </c>
      <c r="J57" t="s">
        <v>83</v>
      </c>
      <c r="K57" t="s">
        <v>323</v>
      </c>
      <c r="N57" s="153">
        <v>-101520</v>
      </c>
      <c r="O57" t="s">
        <v>398</v>
      </c>
    </row>
    <row r="58" spans="1:15" x14ac:dyDescent="0.35">
      <c r="A58" s="140">
        <v>46265</v>
      </c>
      <c r="B58">
        <v>8</v>
      </c>
      <c r="C58" t="s">
        <v>74</v>
      </c>
      <c r="D58" t="s">
        <v>425</v>
      </c>
      <c r="F58" t="s">
        <v>75</v>
      </c>
      <c r="G58" t="s">
        <v>76</v>
      </c>
      <c r="H58" t="s">
        <v>77</v>
      </c>
      <c r="I58" t="s">
        <v>98</v>
      </c>
      <c r="J58" t="s">
        <v>99</v>
      </c>
      <c r="K58" t="s">
        <v>100</v>
      </c>
      <c r="N58" s="153">
        <v>141074.4</v>
      </c>
      <c r="O58" t="s">
        <v>411</v>
      </c>
    </row>
    <row r="59" spans="1:15" x14ac:dyDescent="0.35">
      <c r="A59" s="140">
        <v>46265</v>
      </c>
      <c r="B59">
        <v>8</v>
      </c>
      <c r="C59" t="s">
        <v>74</v>
      </c>
      <c r="D59" t="s">
        <v>425</v>
      </c>
      <c r="F59" t="s">
        <v>75</v>
      </c>
      <c r="G59" t="s">
        <v>76</v>
      </c>
      <c r="H59" t="s">
        <v>77</v>
      </c>
      <c r="I59" t="s">
        <v>98</v>
      </c>
      <c r="J59" t="s">
        <v>101</v>
      </c>
      <c r="K59" t="s">
        <v>102</v>
      </c>
      <c r="N59" s="153">
        <v>59572.72</v>
      </c>
      <c r="O59" t="s">
        <v>412</v>
      </c>
    </row>
  </sheetData>
  <autoFilter ref="A2:O59" xr:uid="{AF431D0B-4412-4BFF-A46E-9C90BA16CF0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A0A2-EA4A-49E0-8D57-FC7AC8F4F3D5}">
  <dimension ref="A1:N45"/>
  <sheetViews>
    <sheetView workbookViewId="0">
      <selection activeCell="D71" sqref="D71"/>
    </sheetView>
  </sheetViews>
  <sheetFormatPr baseColWidth="10" defaultRowHeight="14.5" x14ac:dyDescent="0.35"/>
  <cols>
    <col min="8" max="8" width="29.1796875" bestFit="1" customWidth="1"/>
  </cols>
  <sheetData>
    <row r="1" spans="1:14" x14ac:dyDescent="0.35">
      <c r="L1">
        <f>SUBTOTAL(9,L3:L52)</f>
        <v>174.42694000000009</v>
      </c>
    </row>
    <row r="2" spans="1:14" x14ac:dyDescent="0.35">
      <c r="A2" s="141" t="s">
        <v>256</v>
      </c>
      <c r="B2" s="141" t="s">
        <v>66</v>
      </c>
      <c r="C2" s="141" t="s">
        <v>257</v>
      </c>
      <c r="D2" s="141" t="s">
        <v>67</v>
      </c>
      <c r="E2" s="141" t="s">
        <v>68</v>
      </c>
      <c r="F2" s="141" t="s">
        <v>69</v>
      </c>
      <c r="G2" s="141" t="s">
        <v>70</v>
      </c>
      <c r="H2" s="141" t="s">
        <v>71</v>
      </c>
      <c r="I2" s="141" t="s">
        <v>72</v>
      </c>
      <c r="J2" s="141" t="s">
        <v>258</v>
      </c>
      <c r="K2" s="142" t="s">
        <v>259</v>
      </c>
      <c r="L2" s="142" t="s">
        <v>260</v>
      </c>
      <c r="M2" s="142" t="s">
        <v>250</v>
      </c>
      <c r="N2" s="142" t="s">
        <v>251</v>
      </c>
    </row>
    <row r="3" spans="1:14" x14ac:dyDescent="0.35">
      <c r="B3" s="143" t="s">
        <v>74</v>
      </c>
      <c r="C3" s="143" t="s">
        <v>61</v>
      </c>
      <c r="D3" s="143" t="s">
        <v>75</v>
      </c>
      <c r="E3" s="34" t="s">
        <v>76</v>
      </c>
      <c r="F3" s="34" t="s">
        <v>77</v>
      </c>
      <c r="G3" s="34" t="s">
        <v>119</v>
      </c>
      <c r="H3" s="34" t="s">
        <v>120</v>
      </c>
      <c r="I3" s="34"/>
      <c r="J3" s="143">
        <v>1</v>
      </c>
      <c r="K3" s="144">
        <v>9918.52</v>
      </c>
      <c r="L3" s="144">
        <f t="shared" ref="L3:L45" si="0">+K3/1000</f>
        <v>9.9185200000000009</v>
      </c>
      <c r="M3" s="145" t="s">
        <v>252</v>
      </c>
      <c r="N3" t="s">
        <v>239</v>
      </c>
    </row>
    <row r="4" spans="1:14" x14ac:dyDescent="0.35">
      <c r="B4" s="143" t="s">
        <v>74</v>
      </c>
      <c r="C4" s="143" t="s">
        <v>61</v>
      </c>
      <c r="D4" s="143" t="s">
        <v>75</v>
      </c>
      <c r="E4" s="34" t="s">
        <v>76</v>
      </c>
      <c r="F4" s="34" t="s">
        <v>77</v>
      </c>
      <c r="G4" s="34" t="s">
        <v>119</v>
      </c>
      <c r="H4" s="34" t="s">
        <v>127</v>
      </c>
      <c r="I4" s="34"/>
      <c r="J4" s="143">
        <v>1</v>
      </c>
      <c r="K4" s="144">
        <v>6612.34</v>
      </c>
      <c r="L4" s="144">
        <f t="shared" si="0"/>
        <v>6.6123400000000006</v>
      </c>
      <c r="M4" s="145" t="s">
        <v>252</v>
      </c>
      <c r="N4" t="s">
        <v>239</v>
      </c>
    </row>
    <row r="5" spans="1:14" x14ac:dyDescent="0.35">
      <c r="B5" s="143" t="s">
        <v>74</v>
      </c>
      <c r="C5" s="143" t="s">
        <v>61</v>
      </c>
      <c r="D5" s="143" t="s">
        <v>75</v>
      </c>
      <c r="E5" s="34" t="s">
        <v>76</v>
      </c>
      <c r="F5" s="34" t="s">
        <v>77</v>
      </c>
      <c r="G5" s="34" t="s">
        <v>119</v>
      </c>
      <c r="H5" s="34" t="s">
        <v>120</v>
      </c>
      <c r="I5" s="34"/>
      <c r="J5" s="143">
        <v>2</v>
      </c>
      <c r="K5" s="144">
        <v>1295.9100000000001</v>
      </c>
      <c r="L5" s="144">
        <f t="shared" si="0"/>
        <v>1.2959100000000001</v>
      </c>
      <c r="M5" s="145" t="s">
        <v>252</v>
      </c>
      <c r="N5" t="s">
        <v>239</v>
      </c>
    </row>
    <row r="6" spans="1:14" x14ac:dyDescent="0.35">
      <c r="B6" s="143" t="s">
        <v>74</v>
      </c>
      <c r="C6" s="143" t="s">
        <v>61</v>
      </c>
      <c r="D6" s="143" t="s">
        <v>75</v>
      </c>
      <c r="E6" s="34" t="s">
        <v>76</v>
      </c>
      <c r="F6" s="34" t="s">
        <v>77</v>
      </c>
      <c r="G6" s="34" t="s">
        <v>119</v>
      </c>
      <c r="H6" s="34" t="s">
        <v>127</v>
      </c>
      <c r="I6" s="34"/>
      <c r="J6" s="143">
        <v>2</v>
      </c>
      <c r="K6" s="144">
        <v>863.94</v>
      </c>
      <c r="L6" s="144">
        <f t="shared" si="0"/>
        <v>0.86394000000000004</v>
      </c>
      <c r="M6" s="145" t="s">
        <v>252</v>
      </c>
      <c r="N6" t="s">
        <v>239</v>
      </c>
    </row>
    <row r="7" spans="1:14" x14ac:dyDescent="0.35">
      <c r="B7" s="143" t="s">
        <v>74</v>
      </c>
      <c r="C7" s="143" t="s">
        <v>61</v>
      </c>
      <c r="D7" s="143" t="s">
        <v>75</v>
      </c>
      <c r="E7" s="34" t="s">
        <v>76</v>
      </c>
      <c r="F7" s="34" t="s">
        <v>77</v>
      </c>
      <c r="G7" s="34" t="s">
        <v>119</v>
      </c>
      <c r="H7" s="34" t="s">
        <v>120</v>
      </c>
      <c r="I7" s="34"/>
      <c r="J7" s="143">
        <v>1</v>
      </c>
      <c r="K7" s="144">
        <v>1708.45</v>
      </c>
      <c r="L7" s="144">
        <f t="shared" si="0"/>
        <v>1.70845</v>
      </c>
      <c r="M7" s="145" t="s">
        <v>253</v>
      </c>
      <c r="N7" t="s">
        <v>239</v>
      </c>
    </row>
    <row r="8" spans="1:14" x14ac:dyDescent="0.35">
      <c r="B8" s="143" t="s">
        <v>74</v>
      </c>
      <c r="C8" s="143" t="s">
        <v>61</v>
      </c>
      <c r="D8" s="143" t="s">
        <v>75</v>
      </c>
      <c r="E8" s="34" t="s">
        <v>76</v>
      </c>
      <c r="F8" s="34" t="s">
        <v>77</v>
      </c>
      <c r="G8" s="34" t="s">
        <v>119</v>
      </c>
      <c r="H8" s="34" t="s">
        <v>127</v>
      </c>
      <c r="I8" s="34"/>
      <c r="J8" s="143">
        <v>1</v>
      </c>
      <c r="K8" s="144">
        <v>659.51</v>
      </c>
      <c r="L8" s="144">
        <f t="shared" si="0"/>
        <v>0.65951000000000004</v>
      </c>
      <c r="M8" s="145" t="s">
        <v>253</v>
      </c>
      <c r="N8" t="s">
        <v>239</v>
      </c>
    </row>
    <row r="9" spans="1:14" x14ac:dyDescent="0.35">
      <c r="B9" s="143" t="s">
        <v>74</v>
      </c>
      <c r="C9" s="143" t="s">
        <v>61</v>
      </c>
      <c r="D9" s="143" t="s">
        <v>75</v>
      </c>
      <c r="E9" s="34" t="s">
        <v>76</v>
      </c>
      <c r="F9" s="34" t="s">
        <v>77</v>
      </c>
      <c r="G9" s="34" t="s">
        <v>119</v>
      </c>
      <c r="H9" s="34" t="s">
        <v>120</v>
      </c>
      <c r="I9" s="34"/>
      <c r="J9" s="143">
        <v>2</v>
      </c>
      <c r="K9" s="144">
        <v>1708.45</v>
      </c>
      <c r="L9" s="144">
        <f t="shared" si="0"/>
        <v>1.70845</v>
      </c>
      <c r="M9" s="145" t="s">
        <v>253</v>
      </c>
      <c r="N9" t="s">
        <v>239</v>
      </c>
    </row>
    <row r="10" spans="1:14" x14ac:dyDescent="0.35">
      <c r="B10" s="143" t="s">
        <v>74</v>
      </c>
      <c r="C10" s="143" t="s">
        <v>61</v>
      </c>
      <c r="D10" s="143" t="s">
        <v>75</v>
      </c>
      <c r="E10" s="34" t="s">
        <v>76</v>
      </c>
      <c r="F10" s="34" t="s">
        <v>77</v>
      </c>
      <c r="G10" s="34" t="s">
        <v>119</v>
      </c>
      <c r="H10" s="34" t="s">
        <v>127</v>
      </c>
      <c r="I10" s="34"/>
      <c r="J10" s="143">
        <v>2</v>
      </c>
      <c r="K10" s="144">
        <v>659.51</v>
      </c>
      <c r="L10" s="144">
        <f t="shared" si="0"/>
        <v>0.65951000000000004</v>
      </c>
      <c r="M10" s="145" t="s">
        <v>253</v>
      </c>
      <c r="N10" t="s">
        <v>239</v>
      </c>
    </row>
    <row r="11" spans="1:14" x14ac:dyDescent="0.35">
      <c r="B11" s="143" t="s">
        <v>74</v>
      </c>
      <c r="C11" s="143" t="s">
        <v>61</v>
      </c>
      <c r="D11" s="143" t="s">
        <v>75</v>
      </c>
      <c r="E11" s="34" t="s">
        <v>76</v>
      </c>
      <c r="F11" s="34" t="s">
        <v>77</v>
      </c>
      <c r="G11" s="34" t="s">
        <v>119</v>
      </c>
      <c r="H11" s="34" t="s">
        <v>120</v>
      </c>
      <c r="I11" s="34"/>
      <c r="J11" s="143">
        <v>3</v>
      </c>
      <c r="K11" s="144">
        <v>1708.45</v>
      </c>
      <c r="L11" s="144">
        <f t="shared" si="0"/>
        <v>1.70845</v>
      </c>
      <c r="M11" s="145" t="s">
        <v>253</v>
      </c>
      <c r="N11" t="s">
        <v>239</v>
      </c>
    </row>
    <row r="12" spans="1:14" x14ac:dyDescent="0.35">
      <c r="B12" s="143" t="s">
        <v>74</v>
      </c>
      <c r="C12" s="143" t="s">
        <v>61</v>
      </c>
      <c r="D12" s="143" t="s">
        <v>75</v>
      </c>
      <c r="E12" s="34" t="s">
        <v>76</v>
      </c>
      <c r="F12" s="34" t="s">
        <v>77</v>
      </c>
      <c r="G12" s="34" t="s">
        <v>119</v>
      </c>
      <c r="H12" s="34" t="s">
        <v>127</v>
      </c>
      <c r="I12" s="34"/>
      <c r="J12" s="143">
        <v>3</v>
      </c>
      <c r="K12" s="144">
        <v>659.51</v>
      </c>
      <c r="L12" s="144">
        <f t="shared" si="0"/>
        <v>0.65951000000000004</v>
      </c>
      <c r="M12" s="145" t="s">
        <v>253</v>
      </c>
      <c r="N12" t="s">
        <v>239</v>
      </c>
    </row>
    <row r="13" spans="1:14" x14ac:dyDescent="0.35">
      <c r="B13" s="143" t="s">
        <v>74</v>
      </c>
      <c r="C13" s="143" t="s">
        <v>61</v>
      </c>
      <c r="D13" s="143" t="s">
        <v>75</v>
      </c>
      <c r="E13" s="34" t="s">
        <v>76</v>
      </c>
      <c r="F13" s="34" t="s">
        <v>77</v>
      </c>
      <c r="G13" s="34" t="s">
        <v>119</v>
      </c>
      <c r="H13" s="34" t="s">
        <v>124</v>
      </c>
      <c r="I13" s="34"/>
      <c r="J13" s="143">
        <v>3</v>
      </c>
      <c r="K13" s="144">
        <v>19064.32</v>
      </c>
      <c r="L13" s="144">
        <f t="shared" si="0"/>
        <v>19.064319999999999</v>
      </c>
      <c r="M13" s="145" t="s">
        <v>253</v>
      </c>
      <c r="N13" t="s">
        <v>241</v>
      </c>
    </row>
    <row r="14" spans="1:14" x14ac:dyDescent="0.35">
      <c r="B14" s="143" t="s">
        <v>74</v>
      </c>
      <c r="C14" s="143" t="s">
        <v>61</v>
      </c>
      <c r="D14" s="143" t="s">
        <v>75</v>
      </c>
      <c r="E14" s="34" t="s">
        <v>76</v>
      </c>
      <c r="F14" s="34" t="s">
        <v>77</v>
      </c>
      <c r="G14" s="34" t="s">
        <v>119</v>
      </c>
      <c r="H14" s="34" t="s">
        <v>120</v>
      </c>
      <c r="I14" s="34"/>
      <c r="J14" s="143">
        <v>1</v>
      </c>
      <c r="K14" s="144">
        <v>5700.18</v>
      </c>
      <c r="L14" s="144">
        <f t="shared" si="0"/>
        <v>5.7001800000000005</v>
      </c>
      <c r="M14" s="145" t="s">
        <v>254</v>
      </c>
      <c r="N14" t="s">
        <v>239</v>
      </c>
    </row>
    <row r="15" spans="1:14" x14ac:dyDescent="0.35">
      <c r="B15" s="143" t="s">
        <v>74</v>
      </c>
      <c r="C15" s="143" t="s">
        <v>61</v>
      </c>
      <c r="D15" s="143" t="s">
        <v>75</v>
      </c>
      <c r="E15" s="34" t="s">
        <v>76</v>
      </c>
      <c r="F15" s="34" t="s">
        <v>77</v>
      </c>
      <c r="G15" s="34" t="s">
        <v>119</v>
      </c>
      <c r="H15" s="34" t="s">
        <v>127</v>
      </c>
      <c r="I15" s="34"/>
      <c r="J15" s="143">
        <v>1</v>
      </c>
      <c r="K15" s="144">
        <v>1409.09</v>
      </c>
      <c r="L15" s="144">
        <f t="shared" si="0"/>
        <v>1.40909</v>
      </c>
      <c r="M15" s="145" t="s">
        <v>254</v>
      </c>
      <c r="N15" t="s">
        <v>239</v>
      </c>
    </row>
    <row r="16" spans="1:14" x14ac:dyDescent="0.35">
      <c r="B16" s="143" t="s">
        <v>74</v>
      </c>
      <c r="C16" s="143" t="s">
        <v>61</v>
      </c>
      <c r="D16" s="143" t="s">
        <v>75</v>
      </c>
      <c r="E16" s="34" t="s">
        <v>76</v>
      </c>
      <c r="F16" s="34" t="s">
        <v>77</v>
      </c>
      <c r="G16" s="34" t="s">
        <v>119</v>
      </c>
      <c r="H16" s="34" t="s">
        <v>120</v>
      </c>
      <c r="I16" s="34"/>
      <c r="J16" s="143">
        <v>2</v>
      </c>
      <c r="K16" s="144">
        <v>5700.18</v>
      </c>
      <c r="L16" s="144">
        <f t="shared" si="0"/>
        <v>5.7001800000000005</v>
      </c>
      <c r="M16" s="145" t="s">
        <v>254</v>
      </c>
      <c r="N16" t="s">
        <v>239</v>
      </c>
    </row>
    <row r="17" spans="2:14" x14ac:dyDescent="0.35">
      <c r="B17" s="143" t="s">
        <v>74</v>
      </c>
      <c r="C17" s="143" t="s">
        <v>61</v>
      </c>
      <c r="D17" s="143" t="s">
        <v>75</v>
      </c>
      <c r="E17" s="34" t="s">
        <v>76</v>
      </c>
      <c r="F17" s="34" t="s">
        <v>77</v>
      </c>
      <c r="G17" s="34" t="s">
        <v>119</v>
      </c>
      <c r="H17" s="34" t="s">
        <v>127</v>
      </c>
      <c r="I17" s="34"/>
      <c r="J17" s="143">
        <v>2</v>
      </c>
      <c r="K17" s="144">
        <v>1409.09</v>
      </c>
      <c r="L17" s="144">
        <f t="shared" si="0"/>
        <v>1.40909</v>
      </c>
      <c r="M17" s="145" t="s">
        <v>254</v>
      </c>
      <c r="N17" t="s">
        <v>239</v>
      </c>
    </row>
    <row r="18" spans="2:14" x14ac:dyDescent="0.35">
      <c r="B18" s="143" t="s">
        <v>74</v>
      </c>
      <c r="C18" s="143" t="s">
        <v>61</v>
      </c>
      <c r="D18" s="143" t="s">
        <v>75</v>
      </c>
      <c r="E18" s="34" t="s">
        <v>76</v>
      </c>
      <c r="F18" s="34" t="s">
        <v>77</v>
      </c>
      <c r="G18" s="34" t="s">
        <v>119</v>
      </c>
      <c r="H18" s="34" t="s">
        <v>120</v>
      </c>
      <c r="I18" s="34"/>
      <c r="J18" s="143">
        <v>3</v>
      </c>
      <c r="K18" s="144">
        <v>5700.18</v>
      </c>
      <c r="L18" s="144">
        <f t="shared" si="0"/>
        <v>5.7001800000000005</v>
      </c>
      <c r="M18" s="145" t="s">
        <v>254</v>
      </c>
      <c r="N18" t="s">
        <v>239</v>
      </c>
    </row>
    <row r="19" spans="2:14" x14ac:dyDescent="0.35">
      <c r="B19" s="143" t="s">
        <v>74</v>
      </c>
      <c r="C19" s="143" t="s">
        <v>61</v>
      </c>
      <c r="D19" s="143" t="s">
        <v>75</v>
      </c>
      <c r="E19" s="34" t="s">
        <v>76</v>
      </c>
      <c r="F19" s="34" t="s">
        <v>77</v>
      </c>
      <c r="G19" s="34" t="s">
        <v>119</v>
      </c>
      <c r="H19" s="34" t="s">
        <v>127</v>
      </c>
      <c r="I19" s="34"/>
      <c r="J19" s="143">
        <v>3</v>
      </c>
      <c r="K19" s="144">
        <v>1409.09</v>
      </c>
      <c r="L19" s="144">
        <f t="shared" si="0"/>
        <v>1.40909</v>
      </c>
      <c r="M19" s="145" t="s">
        <v>254</v>
      </c>
      <c r="N19" t="s">
        <v>239</v>
      </c>
    </row>
    <row r="20" spans="2:14" x14ac:dyDescent="0.35">
      <c r="B20" s="143" t="s">
        <v>74</v>
      </c>
      <c r="C20" s="143" t="s">
        <v>61</v>
      </c>
      <c r="D20" s="143" t="s">
        <v>75</v>
      </c>
      <c r="E20" s="34" t="s">
        <v>76</v>
      </c>
      <c r="F20" s="34" t="s">
        <v>77</v>
      </c>
      <c r="G20" s="34" t="s">
        <v>119</v>
      </c>
      <c r="H20" s="34" t="s">
        <v>120</v>
      </c>
      <c r="I20" s="34"/>
      <c r="J20" s="143">
        <v>4</v>
      </c>
      <c r="K20" s="144">
        <v>5700.18</v>
      </c>
      <c r="L20" s="144">
        <f t="shared" si="0"/>
        <v>5.7001800000000005</v>
      </c>
      <c r="M20" s="145" t="s">
        <v>254</v>
      </c>
      <c r="N20" t="s">
        <v>239</v>
      </c>
    </row>
    <row r="21" spans="2:14" x14ac:dyDescent="0.35">
      <c r="B21" s="143" t="s">
        <v>74</v>
      </c>
      <c r="C21" s="143" t="s">
        <v>61</v>
      </c>
      <c r="D21" s="143" t="s">
        <v>75</v>
      </c>
      <c r="E21" s="34" t="s">
        <v>76</v>
      </c>
      <c r="F21" s="34" t="s">
        <v>77</v>
      </c>
      <c r="G21" s="34" t="s">
        <v>119</v>
      </c>
      <c r="H21" s="34" t="s">
        <v>127</v>
      </c>
      <c r="I21" s="34"/>
      <c r="J21" s="143">
        <v>4</v>
      </c>
      <c r="K21" s="144">
        <v>1409.09</v>
      </c>
      <c r="L21" s="144">
        <f t="shared" si="0"/>
        <v>1.40909</v>
      </c>
      <c r="M21" s="145" t="s">
        <v>254</v>
      </c>
      <c r="N21" t="s">
        <v>239</v>
      </c>
    </row>
    <row r="22" spans="2:14" x14ac:dyDescent="0.35">
      <c r="B22" s="143" t="s">
        <v>74</v>
      </c>
      <c r="C22" s="143" t="s">
        <v>61</v>
      </c>
      <c r="D22" s="143" t="s">
        <v>75</v>
      </c>
      <c r="E22" s="34" t="s">
        <v>76</v>
      </c>
      <c r="F22" s="34" t="s">
        <v>77</v>
      </c>
      <c r="G22" s="34" t="s">
        <v>119</v>
      </c>
      <c r="H22" s="34" t="s">
        <v>120</v>
      </c>
      <c r="I22" s="34"/>
      <c r="J22" s="143">
        <v>5</v>
      </c>
      <c r="K22" s="144">
        <v>5700.18</v>
      </c>
      <c r="L22" s="144">
        <f t="shared" si="0"/>
        <v>5.7001800000000005</v>
      </c>
      <c r="M22" s="145" t="s">
        <v>254</v>
      </c>
      <c r="N22" t="s">
        <v>239</v>
      </c>
    </row>
    <row r="23" spans="2:14" x14ac:dyDescent="0.35">
      <c r="B23" s="143" t="s">
        <v>74</v>
      </c>
      <c r="C23" s="143" t="s">
        <v>61</v>
      </c>
      <c r="D23" s="143" t="s">
        <v>75</v>
      </c>
      <c r="E23" s="34" t="s">
        <v>76</v>
      </c>
      <c r="F23" s="34" t="s">
        <v>77</v>
      </c>
      <c r="G23" s="34" t="s">
        <v>119</v>
      </c>
      <c r="H23" s="34" t="s">
        <v>127</v>
      </c>
      <c r="I23" s="34"/>
      <c r="J23" s="143">
        <v>5</v>
      </c>
      <c r="K23" s="144">
        <v>1409.09</v>
      </c>
      <c r="L23" s="144">
        <f t="shared" si="0"/>
        <v>1.40909</v>
      </c>
      <c r="M23" s="145" t="s">
        <v>254</v>
      </c>
      <c r="N23" t="s">
        <v>239</v>
      </c>
    </row>
    <row r="24" spans="2:14" x14ac:dyDescent="0.35">
      <c r="B24" s="143" t="s">
        <v>74</v>
      </c>
      <c r="C24" s="143" t="s">
        <v>61</v>
      </c>
      <c r="D24" s="143" t="s">
        <v>75</v>
      </c>
      <c r="E24" s="34" t="s">
        <v>76</v>
      </c>
      <c r="F24" s="34" t="s">
        <v>77</v>
      </c>
      <c r="G24" s="34" t="s">
        <v>119</v>
      </c>
      <c r="H24" s="34" t="s">
        <v>120</v>
      </c>
      <c r="I24" s="34"/>
      <c r="J24" s="143">
        <v>6</v>
      </c>
      <c r="K24" s="144">
        <v>5700.18</v>
      </c>
      <c r="L24" s="144">
        <f t="shared" si="0"/>
        <v>5.7001800000000005</v>
      </c>
      <c r="M24" s="145" t="s">
        <v>254</v>
      </c>
      <c r="N24" t="s">
        <v>239</v>
      </c>
    </row>
    <row r="25" spans="2:14" x14ac:dyDescent="0.35">
      <c r="B25" s="143" t="s">
        <v>74</v>
      </c>
      <c r="C25" s="143" t="s">
        <v>61</v>
      </c>
      <c r="D25" s="143" t="s">
        <v>75</v>
      </c>
      <c r="E25" s="34" t="s">
        <v>76</v>
      </c>
      <c r="F25" s="34" t="s">
        <v>77</v>
      </c>
      <c r="G25" s="34" t="s">
        <v>119</v>
      </c>
      <c r="H25" s="34" t="s">
        <v>127</v>
      </c>
      <c r="I25" s="34"/>
      <c r="J25" s="143">
        <v>6</v>
      </c>
      <c r="K25" s="144">
        <v>1409.09</v>
      </c>
      <c r="L25" s="144">
        <f t="shared" si="0"/>
        <v>1.40909</v>
      </c>
      <c r="M25" s="145" t="s">
        <v>254</v>
      </c>
      <c r="N25" t="s">
        <v>239</v>
      </c>
    </row>
    <row r="26" spans="2:14" x14ac:dyDescent="0.35">
      <c r="B26" s="143" t="s">
        <v>74</v>
      </c>
      <c r="C26" s="143" t="s">
        <v>61</v>
      </c>
      <c r="D26" s="143" t="s">
        <v>75</v>
      </c>
      <c r="E26" s="34" t="s">
        <v>76</v>
      </c>
      <c r="F26" s="34" t="s">
        <v>77</v>
      </c>
      <c r="G26" s="34" t="s">
        <v>119</v>
      </c>
      <c r="H26" s="34" t="s">
        <v>120</v>
      </c>
      <c r="I26" s="34"/>
      <c r="J26" s="143">
        <v>7</v>
      </c>
      <c r="K26" s="144">
        <v>5700.18</v>
      </c>
      <c r="L26" s="144">
        <f t="shared" si="0"/>
        <v>5.7001800000000005</v>
      </c>
      <c r="M26" s="145" t="s">
        <v>254</v>
      </c>
      <c r="N26" t="s">
        <v>239</v>
      </c>
    </row>
    <row r="27" spans="2:14" x14ac:dyDescent="0.35">
      <c r="B27" s="143" t="s">
        <v>74</v>
      </c>
      <c r="C27" s="143" t="s">
        <v>61</v>
      </c>
      <c r="D27" s="143" t="s">
        <v>75</v>
      </c>
      <c r="E27" s="34" t="s">
        <v>76</v>
      </c>
      <c r="F27" s="34" t="s">
        <v>77</v>
      </c>
      <c r="G27" s="34" t="s">
        <v>119</v>
      </c>
      <c r="H27" s="34" t="s">
        <v>127</v>
      </c>
      <c r="I27" s="34"/>
      <c r="J27" s="143">
        <v>7</v>
      </c>
      <c r="K27" s="144">
        <v>1409.09</v>
      </c>
      <c r="L27" s="144">
        <f t="shared" si="0"/>
        <v>1.40909</v>
      </c>
      <c r="M27" s="145" t="s">
        <v>254</v>
      </c>
      <c r="N27" t="s">
        <v>239</v>
      </c>
    </row>
    <row r="28" spans="2:14" x14ac:dyDescent="0.35">
      <c r="B28" s="143" t="s">
        <v>74</v>
      </c>
      <c r="C28" s="143" t="s">
        <v>61</v>
      </c>
      <c r="D28" s="143" t="s">
        <v>75</v>
      </c>
      <c r="E28" s="34" t="s">
        <v>76</v>
      </c>
      <c r="F28" s="34" t="s">
        <v>77</v>
      </c>
      <c r="G28" s="34" t="s">
        <v>119</v>
      </c>
      <c r="H28" s="34" t="s">
        <v>120</v>
      </c>
      <c r="I28" s="34"/>
      <c r="J28" s="143">
        <v>8</v>
      </c>
      <c r="K28" s="144">
        <v>3800.14</v>
      </c>
      <c r="L28" s="144">
        <f t="shared" si="0"/>
        <v>3.8001399999999999</v>
      </c>
      <c r="M28" s="145" t="s">
        <v>254</v>
      </c>
      <c r="N28" t="s">
        <v>239</v>
      </c>
    </row>
    <row r="29" spans="2:14" x14ac:dyDescent="0.35">
      <c r="B29" s="143" t="s">
        <v>74</v>
      </c>
      <c r="C29" s="143" t="s">
        <v>61</v>
      </c>
      <c r="D29" s="143" t="s">
        <v>75</v>
      </c>
      <c r="E29" s="34" t="s">
        <v>76</v>
      </c>
      <c r="F29" s="34" t="s">
        <v>77</v>
      </c>
      <c r="G29" s="34" t="s">
        <v>119</v>
      </c>
      <c r="H29" s="34" t="s">
        <v>127</v>
      </c>
      <c r="I29" s="34"/>
      <c r="J29" s="143">
        <v>8</v>
      </c>
      <c r="K29" s="144">
        <v>939.39</v>
      </c>
      <c r="L29" s="144">
        <f t="shared" si="0"/>
        <v>0.93938999999999995</v>
      </c>
      <c r="M29" s="145" t="s">
        <v>254</v>
      </c>
      <c r="N29" t="s">
        <v>239</v>
      </c>
    </row>
    <row r="30" spans="2:14" x14ac:dyDescent="0.35">
      <c r="B30" s="143" t="s">
        <v>74</v>
      </c>
      <c r="C30" s="143" t="s">
        <v>61</v>
      </c>
      <c r="D30" s="143" t="s">
        <v>75</v>
      </c>
      <c r="E30" s="34" t="s">
        <v>76</v>
      </c>
      <c r="F30" s="34" t="s">
        <v>77</v>
      </c>
      <c r="G30" s="34" t="s">
        <v>119</v>
      </c>
      <c r="H30" s="34" t="s">
        <v>120</v>
      </c>
      <c r="I30" s="34"/>
      <c r="J30" s="143">
        <v>1</v>
      </c>
      <c r="K30" s="144">
        <v>8364.9763795631643</v>
      </c>
      <c r="L30" s="144">
        <f t="shared" si="0"/>
        <v>8.3649763795631635</v>
      </c>
      <c r="M30" s="145" t="s">
        <v>255</v>
      </c>
      <c r="N30" t="s">
        <v>239</v>
      </c>
    </row>
    <row r="31" spans="2:14" x14ac:dyDescent="0.35">
      <c r="B31" s="143" t="s">
        <v>74</v>
      </c>
      <c r="C31" s="143" t="s">
        <v>61</v>
      </c>
      <c r="D31" s="143" t="s">
        <v>75</v>
      </c>
      <c r="E31" s="34" t="s">
        <v>76</v>
      </c>
      <c r="F31" s="34" t="s">
        <v>77</v>
      </c>
      <c r="G31" s="34" t="s">
        <v>119</v>
      </c>
      <c r="H31" s="34" t="s">
        <v>127</v>
      </c>
      <c r="I31" s="34"/>
      <c r="J31" s="143">
        <v>1</v>
      </c>
      <c r="K31" s="144">
        <v>1425.9301239939236</v>
      </c>
      <c r="L31" s="144">
        <f t="shared" si="0"/>
        <v>1.4259301239939237</v>
      </c>
      <c r="M31" s="145" t="s">
        <v>255</v>
      </c>
      <c r="N31" t="s">
        <v>239</v>
      </c>
    </row>
    <row r="32" spans="2:14" x14ac:dyDescent="0.35">
      <c r="B32" s="143" t="s">
        <v>74</v>
      </c>
      <c r="C32" s="143" t="s">
        <v>61</v>
      </c>
      <c r="D32" s="143" t="s">
        <v>75</v>
      </c>
      <c r="E32" s="34" t="s">
        <v>76</v>
      </c>
      <c r="F32" s="34" t="s">
        <v>77</v>
      </c>
      <c r="G32" s="34" t="s">
        <v>119</v>
      </c>
      <c r="H32" s="34" t="s">
        <v>120</v>
      </c>
      <c r="I32" s="34"/>
      <c r="J32" s="143">
        <v>2</v>
      </c>
      <c r="K32" s="144">
        <v>8364.9763795631643</v>
      </c>
      <c r="L32" s="144">
        <f t="shared" si="0"/>
        <v>8.3649763795631635</v>
      </c>
      <c r="M32" s="145" t="s">
        <v>255</v>
      </c>
      <c r="N32" t="s">
        <v>239</v>
      </c>
    </row>
    <row r="33" spans="2:14" x14ac:dyDescent="0.35">
      <c r="B33" s="143" t="s">
        <v>74</v>
      </c>
      <c r="C33" s="143" t="s">
        <v>61</v>
      </c>
      <c r="D33" s="143" t="s">
        <v>75</v>
      </c>
      <c r="E33" s="34" t="s">
        <v>76</v>
      </c>
      <c r="F33" s="34" t="s">
        <v>77</v>
      </c>
      <c r="G33" s="34" t="s">
        <v>119</v>
      </c>
      <c r="H33" s="34" t="s">
        <v>127</v>
      </c>
      <c r="I33" s="34"/>
      <c r="J33" s="143">
        <v>2</v>
      </c>
      <c r="K33" s="144">
        <v>1425.9301239939236</v>
      </c>
      <c r="L33" s="144">
        <f t="shared" si="0"/>
        <v>1.4259301239939237</v>
      </c>
      <c r="M33" s="145" t="s">
        <v>255</v>
      </c>
      <c r="N33" t="s">
        <v>239</v>
      </c>
    </row>
    <row r="34" spans="2:14" x14ac:dyDescent="0.35">
      <c r="B34" s="143" t="s">
        <v>74</v>
      </c>
      <c r="C34" s="143" t="s">
        <v>61</v>
      </c>
      <c r="D34" s="143" t="s">
        <v>75</v>
      </c>
      <c r="E34" s="34" t="s">
        <v>76</v>
      </c>
      <c r="F34" s="34" t="s">
        <v>77</v>
      </c>
      <c r="G34" s="34" t="s">
        <v>119</v>
      </c>
      <c r="H34" s="34" t="s">
        <v>120</v>
      </c>
      <c r="I34" s="34"/>
      <c r="J34" s="143">
        <v>3</v>
      </c>
      <c r="K34" s="144">
        <v>8364.9763795631643</v>
      </c>
      <c r="L34" s="144">
        <f t="shared" si="0"/>
        <v>8.3649763795631635</v>
      </c>
      <c r="M34" s="145" t="s">
        <v>255</v>
      </c>
      <c r="N34" t="s">
        <v>239</v>
      </c>
    </row>
    <row r="35" spans="2:14" x14ac:dyDescent="0.35">
      <c r="B35" s="143" t="s">
        <v>74</v>
      </c>
      <c r="C35" s="143" t="s">
        <v>61</v>
      </c>
      <c r="D35" s="143" t="s">
        <v>75</v>
      </c>
      <c r="E35" s="34" t="s">
        <v>76</v>
      </c>
      <c r="F35" s="34" t="s">
        <v>77</v>
      </c>
      <c r="G35" s="34" t="s">
        <v>119</v>
      </c>
      <c r="H35" s="34" t="s">
        <v>127</v>
      </c>
      <c r="I35" s="34"/>
      <c r="J35" s="143">
        <v>3</v>
      </c>
      <c r="K35" s="144">
        <v>1425.9301239939236</v>
      </c>
      <c r="L35" s="144">
        <f t="shared" si="0"/>
        <v>1.4259301239939237</v>
      </c>
      <c r="M35" s="145" t="s">
        <v>255</v>
      </c>
      <c r="N35" t="s">
        <v>239</v>
      </c>
    </row>
    <row r="36" spans="2:14" x14ac:dyDescent="0.35">
      <c r="B36" s="143" t="s">
        <v>74</v>
      </c>
      <c r="C36" s="143" t="s">
        <v>61</v>
      </c>
      <c r="D36" s="143" t="s">
        <v>75</v>
      </c>
      <c r="E36" s="34" t="s">
        <v>76</v>
      </c>
      <c r="F36" s="34" t="s">
        <v>77</v>
      </c>
      <c r="G36" s="34" t="s">
        <v>119</v>
      </c>
      <c r="H36" s="34" t="s">
        <v>120</v>
      </c>
      <c r="I36" s="34"/>
      <c r="J36" s="143">
        <v>4</v>
      </c>
      <c r="K36" s="144">
        <v>8364.9763795631643</v>
      </c>
      <c r="L36" s="144">
        <f t="shared" si="0"/>
        <v>8.3649763795631635</v>
      </c>
      <c r="M36" s="145" t="s">
        <v>255</v>
      </c>
      <c r="N36" t="s">
        <v>239</v>
      </c>
    </row>
    <row r="37" spans="2:14" x14ac:dyDescent="0.35">
      <c r="B37" s="143" t="s">
        <v>74</v>
      </c>
      <c r="C37" s="143" t="s">
        <v>61</v>
      </c>
      <c r="D37" s="143" t="s">
        <v>75</v>
      </c>
      <c r="E37" s="34" t="s">
        <v>76</v>
      </c>
      <c r="F37" s="34" t="s">
        <v>77</v>
      </c>
      <c r="G37" s="34" t="s">
        <v>119</v>
      </c>
      <c r="H37" s="34" t="s">
        <v>127</v>
      </c>
      <c r="I37" s="34"/>
      <c r="J37" s="143">
        <v>4</v>
      </c>
      <c r="K37" s="144">
        <v>1425.9301239939236</v>
      </c>
      <c r="L37" s="144">
        <f t="shared" si="0"/>
        <v>1.4259301239939237</v>
      </c>
      <c r="M37" s="145" t="s">
        <v>255</v>
      </c>
      <c r="N37" t="s">
        <v>239</v>
      </c>
    </row>
    <row r="38" spans="2:14" x14ac:dyDescent="0.35">
      <c r="B38" s="143" t="s">
        <v>74</v>
      </c>
      <c r="C38" s="143" t="s">
        <v>61</v>
      </c>
      <c r="D38" s="143" t="s">
        <v>75</v>
      </c>
      <c r="E38" s="34" t="s">
        <v>76</v>
      </c>
      <c r="F38" s="34" t="s">
        <v>77</v>
      </c>
      <c r="G38" s="34" t="s">
        <v>119</v>
      </c>
      <c r="H38" s="34" t="s">
        <v>120</v>
      </c>
      <c r="I38" s="34"/>
      <c r="J38" s="143">
        <v>5</v>
      </c>
      <c r="K38" s="144">
        <v>8364.9763795631643</v>
      </c>
      <c r="L38" s="144">
        <f t="shared" si="0"/>
        <v>8.3649763795631635</v>
      </c>
      <c r="M38" s="145" t="s">
        <v>255</v>
      </c>
      <c r="N38" t="s">
        <v>239</v>
      </c>
    </row>
    <row r="39" spans="2:14" x14ac:dyDescent="0.35">
      <c r="B39" s="143" t="s">
        <v>74</v>
      </c>
      <c r="C39" s="143" t="s">
        <v>61</v>
      </c>
      <c r="D39" s="143" t="s">
        <v>75</v>
      </c>
      <c r="E39" s="34" t="s">
        <v>76</v>
      </c>
      <c r="F39" s="34" t="s">
        <v>77</v>
      </c>
      <c r="G39" s="34" t="s">
        <v>119</v>
      </c>
      <c r="H39" s="34" t="s">
        <v>127</v>
      </c>
      <c r="I39" s="34"/>
      <c r="J39" s="143">
        <v>5</v>
      </c>
      <c r="K39" s="144">
        <v>1425.9301239939236</v>
      </c>
      <c r="L39" s="144">
        <f t="shared" si="0"/>
        <v>1.4259301239939237</v>
      </c>
      <c r="M39" s="145" t="s">
        <v>255</v>
      </c>
      <c r="N39" t="s">
        <v>239</v>
      </c>
    </row>
    <row r="40" spans="2:14" x14ac:dyDescent="0.35">
      <c r="B40" s="143" t="s">
        <v>74</v>
      </c>
      <c r="C40" s="143" t="s">
        <v>61</v>
      </c>
      <c r="D40" s="143" t="s">
        <v>75</v>
      </c>
      <c r="E40" s="34" t="s">
        <v>76</v>
      </c>
      <c r="F40" s="34" t="s">
        <v>77</v>
      </c>
      <c r="G40" s="34" t="s">
        <v>119</v>
      </c>
      <c r="H40" s="34" t="s">
        <v>120</v>
      </c>
      <c r="I40" s="34"/>
      <c r="J40" s="143">
        <v>6</v>
      </c>
      <c r="K40" s="144">
        <v>8364.9763795631643</v>
      </c>
      <c r="L40" s="144">
        <f t="shared" si="0"/>
        <v>8.3649763795631635</v>
      </c>
      <c r="M40" s="145" t="s">
        <v>255</v>
      </c>
      <c r="N40" t="s">
        <v>239</v>
      </c>
    </row>
    <row r="41" spans="2:14" x14ac:dyDescent="0.35">
      <c r="B41" s="143" t="s">
        <v>74</v>
      </c>
      <c r="C41" s="143" t="s">
        <v>61</v>
      </c>
      <c r="D41" s="143" t="s">
        <v>75</v>
      </c>
      <c r="E41" s="34" t="s">
        <v>76</v>
      </c>
      <c r="F41" s="34" t="s">
        <v>77</v>
      </c>
      <c r="G41" s="34" t="s">
        <v>119</v>
      </c>
      <c r="H41" s="34" t="s">
        <v>127</v>
      </c>
      <c r="I41" s="34"/>
      <c r="J41" s="143">
        <v>6</v>
      </c>
      <c r="K41" s="144">
        <v>1425.9301239939236</v>
      </c>
      <c r="L41" s="144">
        <f t="shared" si="0"/>
        <v>1.4259301239939237</v>
      </c>
      <c r="M41" s="145" t="s">
        <v>255</v>
      </c>
      <c r="N41" t="s">
        <v>239</v>
      </c>
    </row>
    <row r="42" spans="2:14" x14ac:dyDescent="0.35">
      <c r="B42" s="143" t="s">
        <v>74</v>
      </c>
      <c r="C42" s="143" t="s">
        <v>61</v>
      </c>
      <c r="D42" s="143" t="s">
        <v>75</v>
      </c>
      <c r="E42" s="34" t="s">
        <v>76</v>
      </c>
      <c r="F42" s="34" t="s">
        <v>77</v>
      </c>
      <c r="G42" s="34" t="s">
        <v>119</v>
      </c>
      <c r="H42" s="34" t="s">
        <v>120</v>
      </c>
      <c r="I42" s="34"/>
      <c r="J42" s="143">
        <v>7</v>
      </c>
      <c r="K42" s="144">
        <v>8364.9763795631643</v>
      </c>
      <c r="L42" s="144">
        <f t="shared" si="0"/>
        <v>8.3649763795631635</v>
      </c>
      <c r="M42" s="145" t="s">
        <v>255</v>
      </c>
      <c r="N42" t="s">
        <v>239</v>
      </c>
    </row>
    <row r="43" spans="2:14" x14ac:dyDescent="0.35">
      <c r="B43" s="143" t="s">
        <v>74</v>
      </c>
      <c r="C43" s="143" t="s">
        <v>61</v>
      </c>
      <c r="D43" s="143" t="s">
        <v>75</v>
      </c>
      <c r="E43" s="34" t="s">
        <v>76</v>
      </c>
      <c r="F43" s="34" t="s">
        <v>77</v>
      </c>
      <c r="G43" s="34" t="s">
        <v>119</v>
      </c>
      <c r="H43" s="34" t="s">
        <v>127</v>
      </c>
      <c r="I43" s="34"/>
      <c r="J43" s="143">
        <v>7</v>
      </c>
      <c r="K43" s="144">
        <v>1425.9301239939236</v>
      </c>
      <c r="L43" s="144">
        <f t="shared" si="0"/>
        <v>1.4259301239939237</v>
      </c>
      <c r="M43" s="145" t="s">
        <v>255</v>
      </c>
      <c r="N43" t="s">
        <v>239</v>
      </c>
    </row>
    <row r="44" spans="2:14" x14ac:dyDescent="0.35">
      <c r="B44" s="143" t="s">
        <v>74</v>
      </c>
      <c r="C44" s="143" t="s">
        <v>61</v>
      </c>
      <c r="D44" s="143" t="s">
        <v>75</v>
      </c>
      <c r="E44" s="34" t="s">
        <v>76</v>
      </c>
      <c r="F44" s="34" t="s">
        <v>77</v>
      </c>
      <c r="G44" s="34" t="s">
        <v>119</v>
      </c>
      <c r="H44" s="34" t="s">
        <v>120</v>
      </c>
      <c r="I44" s="34"/>
      <c r="J44" s="143">
        <v>8</v>
      </c>
      <c r="K44" s="144">
        <v>5576.6453430578558</v>
      </c>
      <c r="L44" s="144">
        <f t="shared" si="0"/>
        <v>5.576645343057856</v>
      </c>
      <c r="M44" s="145" t="s">
        <v>255</v>
      </c>
      <c r="N44" t="s">
        <v>239</v>
      </c>
    </row>
    <row r="45" spans="2:14" x14ac:dyDescent="0.35">
      <c r="B45" s="143" t="s">
        <v>74</v>
      </c>
      <c r="C45" s="143" t="s">
        <v>61</v>
      </c>
      <c r="D45" s="143" t="s">
        <v>75</v>
      </c>
      <c r="E45" s="34" t="s">
        <v>76</v>
      </c>
      <c r="F45" s="34" t="s">
        <v>77</v>
      </c>
      <c r="G45" s="34" t="s">
        <v>119</v>
      </c>
      <c r="H45" s="34" t="s">
        <v>127</v>
      </c>
      <c r="I45" s="34"/>
      <c r="J45" s="143">
        <v>8</v>
      </c>
      <c r="K45" s="144">
        <v>950.61913204253312</v>
      </c>
      <c r="L45" s="144">
        <f t="shared" si="0"/>
        <v>0.95061913204253312</v>
      </c>
      <c r="M45" s="145" t="s">
        <v>255</v>
      </c>
      <c r="N45" t="s">
        <v>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31F1-73A1-4742-B361-D4DC213B14E1}">
  <sheetPr filterMode="1"/>
  <dimension ref="B1:Q35"/>
  <sheetViews>
    <sheetView workbookViewId="0">
      <selection activeCell="D71" sqref="D71"/>
    </sheetView>
  </sheetViews>
  <sheetFormatPr baseColWidth="10" defaultRowHeight="14.5" x14ac:dyDescent="0.35"/>
  <cols>
    <col min="5" max="5" width="27.54296875" bestFit="1" customWidth="1"/>
    <col min="11" max="11" width="76.26953125" bestFit="1" customWidth="1"/>
    <col min="12" max="12" width="10.81640625" style="153"/>
    <col min="16" max="16" width="30.81640625" bestFit="1" customWidth="1"/>
    <col min="17" max="17" width="21.81640625" bestFit="1" customWidth="1"/>
  </cols>
  <sheetData>
    <row r="1" spans="2:17" x14ac:dyDescent="0.35">
      <c r="P1" s="149" t="s">
        <v>244</v>
      </c>
      <c r="Q1" t="s">
        <v>307</v>
      </c>
    </row>
    <row r="2" spans="2:17" ht="40.5" x14ac:dyDescent="0.35">
      <c r="B2" s="146" t="s">
        <v>243</v>
      </c>
      <c r="C2" s="147" t="s">
        <v>244</v>
      </c>
      <c r="D2" s="147" t="s">
        <v>66</v>
      </c>
      <c r="E2" s="147" t="s">
        <v>261</v>
      </c>
      <c r="F2" s="147" t="s">
        <v>245</v>
      </c>
      <c r="G2" s="147" t="s">
        <v>246</v>
      </c>
      <c r="H2" s="147" t="s">
        <v>257</v>
      </c>
      <c r="I2" s="147" t="s">
        <v>70</v>
      </c>
      <c r="J2" s="147" t="s">
        <v>247</v>
      </c>
      <c r="K2" s="147" t="s">
        <v>248</v>
      </c>
      <c r="L2" s="160" t="s">
        <v>262</v>
      </c>
      <c r="M2" s="147" t="s">
        <v>263</v>
      </c>
    </row>
    <row r="3" spans="2:17" hidden="1" x14ac:dyDescent="0.35">
      <c r="B3" s="140">
        <v>45667</v>
      </c>
      <c r="C3">
        <f>MONTH(B3)</f>
        <v>1</v>
      </c>
      <c r="D3" t="s">
        <v>42</v>
      </c>
      <c r="E3" t="s">
        <v>241</v>
      </c>
      <c r="G3">
        <v>641000007</v>
      </c>
      <c r="H3" t="s">
        <v>61</v>
      </c>
      <c r="K3" t="s">
        <v>264</v>
      </c>
      <c r="L3" s="19">
        <v>112732.33</v>
      </c>
      <c r="M3">
        <v>112.73233</v>
      </c>
      <c r="P3" s="149" t="s">
        <v>59</v>
      </c>
      <c r="Q3" t="s">
        <v>57</v>
      </c>
    </row>
    <row r="4" spans="2:17" hidden="1" x14ac:dyDescent="0.35">
      <c r="B4" s="140">
        <v>45734</v>
      </c>
      <c r="C4">
        <f t="shared" ref="C4:C35" si="0">MONTH(B4)</f>
        <v>3</v>
      </c>
      <c r="D4" t="s">
        <v>42</v>
      </c>
      <c r="E4" t="s">
        <v>265</v>
      </c>
      <c r="F4" t="s">
        <v>266</v>
      </c>
      <c r="G4">
        <v>623000001</v>
      </c>
      <c r="H4" t="s">
        <v>8</v>
      </c>
      <c r="J4" t="s">
        <v>267</v>
      </c>
      <c r="K4" t="s">
        <v>268</v>
      </c>
      <c r="L4" s="19">
        <v>14111.19</v>
      </c>
      <c r="M4">
        <v>14.111190000000001</v>
      </c>
      <c r="P4" s="67" t="s">
        <v>265</v>
      </c>
      <c r="Q4">
        <v>161.05205000000001</v>
      </c>
    </row>
    <row r="5" spans="2:17" hidden="1" x14ac:dyDescent="0.35">
      <c r="B5" s="140">
        <v>45744</v>
      </c>
      <c r="C5">
        <f t="shared" si="0"/>
        <v>3</v>
      </c>
      <c r="D5" t="s">
        <v>42</v>
      </c>
      <c r="E5" t="s">
        <v>265</v>
      </c>
      <c r="F5" t="s">
        <v>270</v>
      </c>
      <c r="G5">
        <v>623000001</v>
      </c>
      <c r="H5" t="s">
        <v>8</v>
      </c>
      <c r="J5" t="s">
        <v>267</v>
      </c>
      <c r="K5" t="s">
        <v>268</v>
      </c>
      <c r="L5" s="19">
        <v>4000</v>
      </c>
      <c r="M5">
        <v>4</v>
      </c>
      <c r="P5" s="67" t="s">
        <v>269</v>
      </c>
      <c r="Q5">
        <v>134.19398999999999</v>
      </c>
    </row>
    <row r="6" spans="2:17" hidden="1" x14ac:dyDescent="0.35">
      <c r="B6" s="140">
        <v>45776</v>
      </c>
      <c r="C6">
        <f t="shared" si="0"/>
        <v>4</v>
      </c>
      <c r="D6" t="s">
        <v>42</v>
      </c>
      <c r="E6" t="s">
        <v>265</v>
      </c>
      <c r="F6" t="s">
        <v>271</v>
      </c>
      <c r="G6">
        <v>623000001</v>
      </c>
      <c r="H6" t="s">
        <v>8</v>
      </c>
      <c r="J6" t="s">
        <v>267</v>
      </c>
      <c r="K6" t="s">
        <v>268</v>
      </c>
      <c r="L6" s="19">
        <v>4297.2299999999996</v>
      </c>
      <c r="M6">
        <v>4.2972299999999999</v>
      </c>
      <c r="P6" s="67" t="s">
        <v>278</v>
      </c>
      <c r="Q6">
        <v>48.997439999999997</v>
      </c>
    </row>
    <row r="7" spans="2:17" hidden="1" x14ac:dyDescent="0.35">
      <c r="B7" s="140">
        <v>45805</v>
      </c>
      <c r="C7">
        <f t="shared" si="0"/>
        <v>5</v>
      </c>
      <c r="D7" t="s">
        <v>42</v>
      </c>
      <c r="E7" t="s">
        <v>265</v>
      </c>
      <c r="F7" t="s">
        <v>272</v>
      </c>
      <c r="G7">
        <v>623000001</v>
      </c>
      <c r="H7" t="s">
        <v>8</v>
      </c>
      <c r="J7" t="s">
        <v>267</v>
      </c>
      <c r="K7" t="s">
        <v>268</v>
      </c>
      <c r="L7" s="19">
        <v>4000</v>
      </c>
      <c r="M7">
        <v>4</v>
      </c>
      <c r="P7" s="67" t="s">
        <v>241</v>
      </c>
      <c r="Q7">
        <v>112.73233</v>
      </c>
    </row>
    <row r="8" spans="2:17" x14ac:dyDescent="0.35">
      <c r="B8" s="140">
        <v>45838</v>
      </c>
      <c r="C8">
        <f t="shared" si="0"/>
        <v>6</v>
      </c>
      <c r="D8" t="s">
        <v>42</v>
      </c>
      <c r="E8" t="s">
        <v>265</v>
      </c>
      <c r="F8" t="s">
        <v>274</v>
      </c>
      <c r="G8">
        <v>623000001</v>
      </c>
      <c r="H8" t="s">
        <v>8</v>
      </c>
      <c r="J8" t="s">
        <v>267</v>
      </c>
      <c r="K8" t="s">
        <v>268</v>
      </c>
      <c r="L8" s="153">
        <v>4000</v>
      </c>
      <c r="M8">
        <v>4</v>
      </c>
      <c r="P8" s="67" t="s">
        <v>285</v>
      </c>
      <c r="Q8">
        <v>1.8</v>
      </c>
    </row>
    <row r="9" spans="2:17" hidden="1" x14ac:dyDescent="0.35">
      <c r="B9" s="140">
        <v>45866</v>
      </c>
      <c r="C9">
        <f t="shared" si="0"/>
        <v>7</v>
      </c>
      <c r="D9" t="s">
        <v>42</v>
      </c>
      <c r="E9" t="s">
        <v>265</v>
      </c>
      <c r="F9" t="s">
        <v>275</v>
      </c>
      <c r="G9">
        <v>623000001</v>
      </c>
      <c r="H9" t="s">
        <v>8</v>
      </c>
      <c r="J9" t="s">
        <v>267</v>
      </c>
      <c r="K9" t="s">
        <v>268</v>
      </c>
      <c r="L9" s="19">
        <v>4589.25</v>
      </c>
      <c r="M9">
        <v>4.5892499999999998</v>
      </c>
      <c r="P9" s="67" t="s">
        <v>61</v>
      </c>
      <c r="Q9">
        <v>310.01329000000004</v>
      </c>
    </row>
    <row r="10" spans="2:17" hidden="1" x14ac:dyDescent="0.35">
      <c r="B10" s="140">
        <v>45901</v>
      </c>
      <c r="C10">
        <f t="shared" si="0"/>
        <v>9</v>
      </c>
      <c r="D10" t="s">
        <v>42</v>
      </c>
      <c r="E10" t="s">
        <v>265</v>
      </c>
      <c r="F10" t="s">
        <v>276</v>
      </c>
      <c r="G10">
        <v>623000001</v>
      </c>
      <c r="H10" t="s">
        <v>8</v>
      </c>
      <c r="J10" t="s">
        <v>267</v>
      </c>
      <c r="K10" t="s">
        <v>268</v>
      </c>
      <c r="L10" s="19">
        <v>4000</v>
      </c>
      <c r="M10">
        <v>4</v>
      </c>
      <c r="P10" s="67" t="s">
        <v>302</v>
      </c>
      <c r="Q10">
        <v>139.50071000000003</v>
      </c>
    </row>
    <row r="11" spans="2:17" hidden="1" x14ac:dyDescent="0.35">
      <c r="B11" s="140">
        <v>45929</v>
      </c>
      <c r="C11">
        <f t="shared" si="0"/>
        <v>9</v>
      </c>
      <c r="D11" t="s">
        <v>42</v>
      </c>
      <c r="E11" t="s">
        <v>265</v>
      </c>
      <c r="F11" t="s">
        <v>277</v>
      </c>
      <c r="G11">
        <v>623000001</v>
      </c>
      <c r="H11" t="s">
        <v>8</v>
      </c>
      <c r="J11" t="s">
        <v>267</v>
      </c>
      <c r="K11" t="s">
        <v>268</v>
      </c>
      <c r="L11" s="19">
        <v>4054.38</v>
      </c>
      <c r="M11">
        <v>4.0543800000000001</v>
      </c>
      <c r="P11" s="67" t="s">
        <v>273</v>
      </c>
      <c r="Q11">
        <v>50.395649999999996</v>
      </c>
    </row>
    <row r="12" spans="2:17" hidden="1" x14ac:dyDescent="0.35">
      <c r="B12" s="140">
        <v>45875</v>
      </c>
      <c r="C12">
        <f t="shared" si="0"/>
        <v>8</v>
      </c>
      <c r="D12" t="s">
        <v>42</v>
      </c>
      <c r="E12" t="s">
        <v>278</v>
      </c>
      <c r="F12" t="s">
        <v>279</v>
      </c>
      <c r="G12">
        <v>627000005</v>
      </c>
      <c r="H12" t="s">
        <v>8</v>
      </c>
      <c r="J12" t="s">
        <v>280</v>
      </c>
      <c r="K12" t="s">
        <v>281</v>
      </c>
      <c r="L12" s="19">
        <v>40493.75</v>
      </c>
      <c r="M12">
        <v>40.493749999999999</v>
      </c>
      <c r="P12" s="67" t="s">
        <v>60</v>
      </c>
      <c r="Q12">
        <v>958.68546000000003</v>
      </c>
    </row>
    <row r="13" spans="2:17" hidden="1" x14ac:dyDescent="0.35">
      <c r="B13" s="140">
        <v>45875</v>
      </c>
      <c r="C13">
        <f t="shared" si="0"/>
        <v>8</v>
      </c>
      <c r="D13" t="s">
        <v>42</v>
      </c>
      <c r="E13" t="s">
        <v>278</v>
      </c>
      <c r="F13" t="s">
        <v>279</v>
      </c>
      <c r="G13">
        <v>634100000</v>
      </c>
      <c r="H13" t="s">
        <v>8</v>
      </c>
      <c r="J13" t="s">
        <v>280</v>
      </c>
      <c r="K13" t="s">
        <v>282</v>
      </c>
      <c r="L13">
        <v>8503.69</v>
      </c>
      <c r="M13">
        <v>8.5036900000000006</v>
      </c>
    </row>
    <row r="14" spans="2:17" hidden="1" x14ac:dyDescent="0.35">
      <c r="B14" s="140">
        <v>45962</v>
      </c>
      <c r="C14">
        <f t="shared" si="0"/>
        <v>11</v>
      </c>
      <c r="D14" t="s">
        <v>42</v>
      </c>
      <c r="E14" t="s">
        <v>265</v>
      </c>
      <c r="F14">
        <v>3522900376</v>
      </c>
      <c r="G14">
        <v>623000001</v>
      </c>
      <c r="H14" t="s">
        <v>8</v>
      </c>
      <c r="J14" t="s">
        <v>283</v>
      </c>
      <c r="K14" t="s">
        <v>284</v>
      </c>
      <c r="L14">
        <v>118000</v>
      </c>
      <c r="M14">
        <v>118</v>
      </c>
    </row>
    <row r="15" spans="2:17" hidden="1" x14ac:dyDescent="0.35">
      <c r="B15" s="140">
        <v>45993</v>
      </c>
      <c r="C15">
        <f t="shared" si="0"/>
        <v>12</v>
      </c>
      <c r="D15" t="s">
        <v>42</v>
      </c>
      <c r="E15" t="s">
        <v>285</v>
      </c>
      <c r="G15">
        <v>623000001</v>
      </c>
      <c r="H15" t="s">
        <v>8</v>
      </c>
      <c r="J15" t="s">
        <v>286</v>
      </c>
      <c r="K15" t="s">
        <v>287</v>
      </c>
      <c r="L15">
        <v>1800</v>
      </c>
      <c r="M15">
        <v>1.8</v>
      </c>
    </row>
    <row r="16" spans="2:17" hidden="1" x14ac:dyDescent="0.35">
      <c r="B16" s="140">
        <v>45748</v>
      </c>
      <c r="C16">
        <f t="shared" si="0"/>
        <v>4</v>
      </c>
      <c r="D16" t="s">
        <v>42</v>
      </c>
      <c r="E16" t="s">
        <v>273</v>
      </c>
      <c r="F16" t="s">
        <v>288</v>
      </c>
      <c r="G16">
        <v>622010201</v>
      </c>
      <c r="H16" t="s">
        <v>8</v>
      </c>
      <c r="J16" t="s">
        <v>289</v>
      </c>
      <c r="K16" t="s">
        <v>290</v>
      </c>
      <c r="L16">
        <v>11502.5</v>
      </c>
      <c r="M16">
        <v>11.5025</v>
      </c>
      <c r="Q16" s="148"/>
    </row>
    <row r="17" spans="2:13" hidden="1" x14ac:dyDescent="0.35">
      <c r="B17" s="140">
        <v>45748</v>
      </c>
      <c r="C17">
        <f t="shared" si="0"/>
        <v>4</v>
      </c>
      <c r="D17" t="s">
        <v>42</v>
      </c>
      <c r="E17" t="s">
        <v>273</v>
      </c>
      <c r="F17" t="s">
        <v>291</v>
      </c>
      <c r="G17">
        <v>622010201</v>
      </c>
      <c r="H17" t="s">
        <v>8</v>
      </c>
      <c r="J17" t="s">
        <v>289</v>
      </c>
      <c r="K17" t="s">
        <v>290</v>
      </c>
      <c r="L17">
        <v>11049.5</v>
      </c>
      <c r="M17">
        <v>11.0495</v>
      </c>
    </row>
    <row r="18" spans="2:13" hidden="1" x14ac:dyDescent="0.35">
      <c r="B18" s="140">
        <v>45992</v>
      </c>
      <c r="C18">
        <f t="shared" si="0"/>
        <v>12</v>
      </c>
      <c r="D18" t="s">
        <v>42</v>
      </c>
      <c r="E18" t="s">
        <v>273</v>
      </c>
      <c r="F18" t="s">
        <v>292</v>
      </c>
      <c r="G18">
        <v>622010201</v>
      </c>
      <c r="H18" t="s">
        <v>8</v>
      </c>
      <c r="J18" t="s">
        <v>289</v>
      </c>
      <c r="K18" t="s">
        <v>290</v>
      </c>
      <c r="L18">
        <v>12968</v>
      </c>
      <c r="M18">
        <v>12.968</v>
      </c>
    </row>
    <row r="19" spans="2:13" hidden="1" x14ac:dyDescent="0.35">
      <c r="B19" s="140">
        <v>45992</v>
      </c>
      <c r="C19">
        <f t="shared" si="0"/>
        <v>12</v>
      </c>
      <c r="D19" t="s">
        <v>42</v>
      </c>
      <c r="E19" t="s">
        <v>273</v>
      </c>
      <c r="F19" t="s">
        <v>293</v>
      </c>
      <c r="G19">
        <v>622000006</v>
      </c>
      <c r="H19" t="s">
        <v>8</v>
      </c>
      <c r="J19" t="s">
        <v>289</v>
      </c>
      <c r="L19">
        <v>4897</v>
      </c>
      <c r="M19">
        <v>4.8970000000000002</v>
      </c>
    </row>
    <row r="20" spans="2:13" hidden="1" x14ac:dyDescent="0.35">
      <c r="B20" s="140">
        <v>45713</v>
      </c>
      <c r="C20">
        <f t="shared" si="0"/>
        <v>2</v>
      </c>
      <c r="D20" t="s">
        <v>42</v>
      </c>
      <c r="E20" t="s">
        <v>273</v>
      </c>
      <c r="F20">
        <v>25000332</v>
      </c>
      <c r="G20">
        <v>622010200</v>
      </c>
      <c r="H20" t="s">
        <v>8</v>
      </c>
      <c r="J20" t="s">
        <v>294</v>
      </c>
      <c r="K20" t="s">
        <v>290</v>
      </c>
      <c r="L20">
        <v>9978.65</v>
      </c>
      <c r="M20">
        <v>9.97865</v>
      </c>
    </row>
    <row r="21" spans="2:13" hidden="1" x14ac:dyDescent="0.35">
      <c r="B21" s="140">
        <v>45721</v>
      </c>
      <c r="C21">
        <f t="shared" si="0"/>
        <v>3</v>
      </c>
      <c r="D21" t="s">
        <v>42</v>
      </c>
      <c r="E21" t="s">
        <v>269</v>
      </c>
      <c r="G21">
        <v>627000008</v>
      </c>
      <c r="H21" t="s">
        <v>8</v>
      </c>
      <c r="K21" t="s">
        <v>295</v>
      </c>
      <c r="L21">
        <v>8479.84</v>
      </c>
      <c r="M21">
        <v>8.4798399999999994</v>
      </c>
    </row>
    <row r="22" spans="2:13" hidden="1" x14ac:dyDescent="0.35">
      <c r="B22" s="140">
        <v>45677</v>
      </c>
      <c r="C22">
        <f t="shared" si="0"/>
        <v>1</v>
      </c>
      <c r="D22" t="s">
        <v>42</v>
      </c>
      <c r="E22" t="s">
        <v>269</v>
      </c>
      <c r="G22">
        <v>623100006</v>
      </c>
      <c r="H22" t="s">
        <v>8</v>
      </c>
      <c r="K22" t="s">
        <v>296</v>
      </c>
      <c r="L22">
        <v>21135</v>
      </c>
      <c r="M22">
        <v>21.135000000000002</v>
      </c>
    </row>
    <row r="23" spans="2:13" hidden="1" x14ac:dyDescent="0.35">
      <c r="B23" s="140">
        <v>45660</v>
      </c>
      <c r="C23">
        <f t="shared" si="0"/>
        <v>1</v>
      </c>
      <c r="D23" t="s">
        <v>42</v>
      </c>
      <c r="E23" t="s">
        <v>269</v>
      </c>
      <c r="G23">
        <v>623100007</v>
      </c>
      <c r="H23" t="s">
        <v>8</v>
      </c>
      <c r="K23" t="s">
        <v>297</v>
      </c>
      <c r="L23">
        <v>18863.509999999998</v>
      </c>
      <c r="M23">
        <v>18.863509999999998</v>
      </c>
    </row>
    <row r="24" spans="2:13" hidden="1" x14ac:dyDescent="0.35">
      <c r="B24" s="140">
        <v>45692</v>
      </c>
      <c r="C24">
        <f t="shared" si="0"/>
        <v>2</v>
      </c>
      <c r="D24" t="s">
        <v>42</v>
      </c>
      <c r="E24" t="s">
        <v>269</v>
      </c>
      <c r="G24">
        <v>623100007</v>
      </c>
      <c r="H24" t="s">
        <v>8</v>
      </c>
      <c r="K24" t="s">
        <v>297</v>
      </c>
      <c r="L24">
        <v>3423.3</v>
      </c>
      <c r="M24">
        <v>3.4233000000000002</v>
      </c>
    </row>
    <row r="25" spans="2:13" x14ac:dyDescent="0.35">
      <c r="B25" s="140">
        <v>45838</v>
      </c>
      <c r="C25">
        <f t="shared" si="0"/>
        <v>6</v>
      </c>
      <c r="D25" t="s">
        <v>42</v>
      </c>
      <c r="E25" t="s">
        <v>61</v>
      </c>
      <c r="G25">
        <v>640000000</v>
      </c>
      <c r="H25" t="s">
        <v>61</v>
      </c>
      <c r="K25" t="s">
        <v>298</v>
      </c>
      <c r="L25" s="153">
        <v>26136.49</v>
      </c>
      <c r="M25">
        <v>26.136490000000002</v>
      </c>
    </row>
    <row r="26" spans="2:13" hidden="1" x14ac:dyDescent="0.35">
      <c r="B26" s="140">
        <v>45930</v>
      </c>
      <c r="C26">
        <f t="shared" si="0"/>
        <v>9</v>
      </c>
      <c r="D26" t="s">
        <v>42</v>
      </c>
      <c r="E26" t="s">
        <v>61</v>
      </c>
      <c r="G26">
        <v>647000000</v>
      </c>
      <c r="H26" t="s">
        <v>61</v>
      </c>
      <c r="K26" t="s">
        <v>299</v>
      </c>
      <c r="L26">
        <v>65849.570000000007</v>
      </c>
      <c r="M26">
        <v>65.84957</v>
      </c>
    </row>
    <row r="27" spans="2:13" x14ac:dyDescent="0.35">
      <c r="B27" s="140">
        <v>45827</v>
      </c>
      <c r="C27">
        <f t="shared" si="0"/>
        <v>6</v>
      </c>
      <c r="D27" t="s">
        <v>42</v>
      </c>
      <c r="E27" t="s">
        <v>269</v>
      </c>
      <c r="G27">
        <v>623000001</v>
      </c>
      <c r="H27" t="s">
        <v>8</v>
      </c>
      <c r="K27" t="s">
        <v>300</v>
      </c>
      <c r="L27" s="153">
        <v>10969.96</v>
      </c>
      <c r="M27">
        <v>10.969959999999999</v>
      </c>
    </row>
    <row r="28" spans="2:13" hidden="1" x14ac:dyDescent="0.35">
      <c r="B28" s="140">
        <v>45740</v>
      </c>
      <c r="C28">
        <f t="shared" si="0"/>
        <v>3</v>
      </c>
      <c r="D28" t="s">
        <v>42</v>
      </c>
      <c r="E28" t="s">
        <v>269</v>
      </c>
      <c r="G28">
        <v>623000001</v>
      </c>
      <c r="H28" t="s">
        <v>8</v>
      </c>
      <c r="K28" t="s">
        <v>301</v>
      </c>
      <c r="L28">
        <v>50283.360000000001</v>
      </c>
      <c r="M28">
        <v>50.283360000000002</v>
      </c>
    </row>
    <row r="29" spans="2:13" hidden="1" x14ac:dyDescent="0.35">
      <c r="B29" s="140">
        <v>45775</v>
      </c>
      <c r="C29">
        <f t="shared" si="0"/>
        <v>4</v>
      </c>
      <c r="D29" t="s">
        <v>42</v>
      </c>
      <c r="E29" t="s">
        <v>302</v>
      </c>
      <c r="G29">
        <v>709000000</v>
      </c>
      <c r="H29" t="s">
        <v>1</v>
      </c>
      <c r="K29" t="s">
        <v>302</v>
      </c>
      <c r="L29">
        <v>102533.02</v>
      </c>
      <c r="M29">
        <v>102.53302000000001</v>
      </c>
    </row>
    <row r="30" spans="2:13" hidden="1" x14ac:dyDescent="0.35">
      <c r="B30" s="140">
        <v>45775</v>
      </c>
      <c r="C30">
        <f t="shared" si="0"/>
        <v>4</v>
      </c>
      <c r="D30" t="s">
        <v>42</v>
      </c>
      <c r="E30" t="s">
        <v>302</v>
      </c>
      <c r="G30">
        <v>709000000</v>
      </c>
      <c r="H30" t="s">
        <v>1</v>
      </c>
      <c r="K30" t="s">
        <v>302</v>
      </c>
      <c r="L30">
        <v>36967.69</v>
      </c>
      <c r="M30">
        <v>36.967690000000005</v>
      </c>
    </row>
    <row r="31" spans="2:13" hidden="1" x14ac:dyDescent="0.35">
      <c r="B31" s="140">
        <v>45716</v>
      </c>
      <c r="C31">
        <f t="shared" si="0"/>
        <v>2</v>
      </c>
      <c r="D31" t="s">
        <v>42</v>
      </c>
      <c r="E31" t="s">
        <v>61</v>
      </c>
      <c r="G31">
        <v>640000000</v>
      </c>
      <c r="H31" t="s">
        <v>61</v>
      </c>
      <c r="K31" t="s">
        <v>303</v>
      </c>
      <c r="L31">
        <v>135000</v>
      </c>
      <c r="M31">
        <v>135</v>
      </c>
    </row>
    <row r="32" spans="2:13" hidden="1" x14ac:dyDescent="0.35">
      <c r="B32" s="140">
        <v>45665</v>
      </c>
      <c r="C32">
        <f t="shared" si="0"/>
        <v>1</v>
      </c>
      <c r="D32" t="s">
        <v>42</v>
      </c>
      <c r="E32" t="s">
        <v>269</v>
      </c>
      <c r="G32">
        <v>627000010</v>
      </c>
      <c r="H32" t="s">
        <v>8</v>
      </c>
      <c r="K32" t="s">
        <v>304</v>
      </c>
      <c r="L32">
        <v>9175.4599999999991</v>
      </c>
      <c r="M32">
        <v>9.1754599999999993</v>
      </c>
    </row>
    <row r="33" spans="2:13" hidden="1" x14ac:dyDescent="0.35">
      <c r="B33" s="140">
        <v>45761</v>
      </c>
      <c r="C33">
        <f t="shared" si="0"/>
        <v>4</v>
      </c>
      <c r="D33" t="s">
        <v>42</v>
      </c>
      <c r="E33" t="s">
        <v>269</v>
      </c>
      <c r="G33">
        <v>627000010</v>
      </c>
      <c r="H33" t="s">
        <v>8</v>
      </c>
      <c r="K33" t="s">
        <v>305</v>
      </c>
      <c r="L33">
        <v>11863.56</v>
      </c>
      <c r="M33">
        <v>11.86356</v>
      </c>
    </row>
    <row r="34" spans="2:13" hidden="1" x14ac:dyDescent="0.35">
      <c r="B34" s="140">
        <v>45688</v>
      </c>
      <c r="C34">
        <f t="shared" si="0"/>
        <v>1</v>
      </c>
      <c r="D34" t="s">
        <v>42</v>
      </c>
      <c r="E34" t="s">
        <v>61</v>
      </c>
      <c r="G34">
        <v>640000000</v>
      </c>
      <c r="H34" t="s">
        <v>61</v>
      </c>
      <c r="K34" t="s">
        <v>306</v>
      </c>
      <c r="L34">
        <v>41513.615000000005</v>
      </c>
      <c r="M34">
        <v>41.513615000000009</v>
      </c>
    </row>
    <row r="35" spans="2:13" x14ac:dyDescent="0.35">
      <c r="B35" s="140">
        <v>45838</v>
      </c>
      <c r="C35">
        <f t="shared" si="0"/>
        <v>6</v>
      </c>
      <c r="D35" t="s">
        <v>42</v>
      </c>
      <c r="E35" t="s">
        <v>61</v>
      </c>
      <c r="G35">
        <v>640000000</v>
      </c>
      <c r="H35" t="s">
        <v>61</v>
      </c>
      <c r="K35" t="s">
        <v>306</v>
      </c>
      <c r="L35" s="153">
        <v>41513.615000000005</v>
      </c>
      <c r="M35">
        <v>41.513615000000009</v>
      </c>
    </row>
  </sheetData>
  <autoFilter ref="B2:M35" xr:uid="{727F31F1-73A1-4742-B361-D4DC213B14E1}">
    <filterColumn colId="0">
      <filters>
        <dateGroupItem year="2025" month="6" dateTimeGrouping="month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4B99-0898-43D8-B275-71037B2A0522}">
  <dimension ref="A1:B215"/>
  <sheetViews>
    <sheetView topLeftCell="A193" workbookViewId="0">
      <selection activeCell="D71" sqref="D71"/>
    </sheetView>
  </sheetViews>
  <sheetFormatPr baseColWidth="10" defaultRowHeight="14.5" x14ac:dyDescent="0.35"/>
  <cols>
    <col min="1" max="1" width="62.1796875" bestFit="1" customWidth="1"/>
    <col min="2" max="2" width="12.7265625" style="153" bestFit="1" customWidth="1"/>
  </cols>
  <sheetData>
    <row r="1" spans="1:2" x14ac:dyDescent="0.35">
      <c r="A1" s="1" t="s">
        <v>32</v>
      </c>
    </row>
    <row r="2" spans="1:2" x14ac:dyDescent="0.35">
      <c r="A2" t="s">
        <v>72</v>
      </c>
      <c r="B2" s="153" t="s">
        <v>420</v>
      </c>
    </row>
    <row r="3" spans="1:2" x14ac:dyDescent="0.35">
      <c r="A3" t="s">
        <v>64</v>
      </c>
      <c r="B3" s="153">
        <v>802410.56</v>
      </c>
    </row>
    <row r="4" spans="1:2" x14ac:dyDescent="0.35">
      <c r="A4" t="s">
        <v>318</v>
      </c>
      <c r="B4" s="153">
        <v>0</v>
      </c>
    </row>
    <row r="5" spans="1:2" x14ac:dyDescent="0.35">
      <c r="A5" t="s">
        <v>319</v>
      </c>
      <c r="B5" s="153" t="s">
        <v>431</v>
      </c>
    </row>
    <row r="6" spans="1:2" x14ac:dyDescent="0.35">
      <c r="A6" t="s">
        <v>397</v>
      </c>
      <c r="B6" s="153">
        <v>11429</v>
      </c>
    </row>
    <row r="7" spans="1:2" x14ac:dyDescent="0.35">
      <c r="A7" t="s">
        <v>320</v>
      </c>
      <c r="B7" s="153" t="s">
        <v>431</v>
      </c>
    </row>
    <row r="8" spans="1:2" x14ac:dyDescent="0.35">
      <c r="A8" t="s">
        <v>320</v>
      </c>
      <c r="B8" s="153" t="s">
        <v>431</v>
      </c>
    </row>
    <row r="9" spans="1:2" x14ac:dyDescent="0.35">
      <c r="A9" t="s">
        <v>321</v>
      </c>
      <c r="B9" s="153">
        <v>141074.4</v>
      </c>
    </row>
    <row r="10" spans="1:2" x14ac:dyDescent="0.35">
      <c r="A10" t="s">
        <v>322</v>
      </c>
      <c r="B10" s="153" t="s">
        <v>431</v>
      </c>
    </row>
    <row r="11" spans="1:2" x14ac:dyDescent="0.35">
      <c r="A11" t="s">
        <v>82</v>
      </c>
      <c r="B11" s="153">
        <v>59572.72</v>
      </c>
    </row>
    <row r="12" spans="1:2" x14ac:dyDescent="0.35">
      <c r="A12" t="s">
        <v>323</v>
      </c>
      <c r="B12" s="153">
        <v>101520</v>
      </c>
    </row>
    <row r="13" spans="1:2" x14ac:dyDescent="0.35">
      <c r="A13" t="s">
        <v>84</v>
      </c>
      <c r="B13" s="153">
        <v>1694.59</v>
      </c>
    </row>
    <row r="14" spans="1:2" x14ac:dyDescent="0.35">
      <c r="A14" t="s">
        <v>324</v>
      </c>
      <c r="B14" s="153" t="s">
        <v>431</v>
      </c>
    </row>
    <row r="15" spans="1:2" x14ac:dyDescent="0.35">
      <c r="A15" t="s">
        <v>325</v>
      </c>
      <c r="B15" s="153" t="s">
        <v>431</v>
      </c>
    </row>
    <row r="16" spans="1:2" x14ac:dyDescent="0.35">
      <c r="A16" t="s">
        <v>87</v>
      </c>
      <c r="B16" s="153">
        <v>-16000</v>
      </c>
    </row>
    <row r="17" spans="1:2" x14ac:dyDescent="0.35">
      <c r="A17" t="s">
        <v>326</v>
      </c>
      <c r="B17" s="153" t="s">
        <v>431</v>
      </c>
    </row>
    <row r="18" spans="1:2" x14ac:dyDescent="0.35">
      <c r="A18" t="s">
        <v>92</v>
      </c>
      <c r="B18" s="153">
        <v>-0.02</v>
      </c>
    </row>
    <row r="19" spans="1:2" x14ac:dyDescent="0.35">
      <c r="A19" t="s">
        <v>94</v>
      </c>
      <c r="B19" s="153">
        <v>0.01</v>
      </c>
    </row>
    <row r="20" spans="1:2" x14ac:dyDescent="0.35">
      <c r="A20" t="s">
        <v>327</v>
      </c>
      <c r="B20" s="153">
        <v>27557.62</v>
      </c>
    </row>
    <row r="21" spans="1:2" x14ac:dyDescent="0.35">
      <c r="A21" t="s">
        <v>328</v>
      </c>
      <c r="B21" s="153">
        <v>-20822.98</v>
      </c>
    </row>
    <row r="22" spans="1:2" x14ac:dyDescent="0.35">
      <c r="A22" t="s">
        <v>100</v>
      </c>
      <c r="B22" s="153">
        <v>-265516.84000000003</v>
      </c>
    </row>
    <row r="23" spans="1:2" x14ac:dyDescent="0.35">
      <c r="A23" t="s">
        <v>329</v>
      </c>
      <c r="B23" s="153">
        <v>-64800</v>
      </c>
    </row>
    <row r="24" spans="1:2" x14ac:dyDescent="0.35">
      <c r="A24" t="s">
        <v>102</v>
      </c>
      <c r="B24" s="153">
        <v>-68178.759999999995</v>
      </c>
    </row>
    <row r="25" spans="1:2" x14ac:dyDescent="0.35">
      <c r="A25" t="s">
        <v>413</v>
      </c>
      <c r="B25" s="153" t="s">
        <v>431</v>
      </c>
    </row>
    <row r="26" spans="1:2" x14ac:dyDescent="0.35">
      <c r="A26" t="s">
        <v>103</v>
      </c>
      <c r="B26" s="153">
        <v>-2886.68</v>
      </c>
    </row>
    <row r="27" spans="1:2" x14ac:dyDescent="0.35">
      <c r="A27" t="s">
        <v>104</v>
      </c>
      <c r="B27" s="153">
        <v>-4331.6000000000004</v>
      </c>
    </row>
    <row r="28" spans="1:2" x14ac:dyDescent="0.35">
      <c r="A28" t="s">
        <v>105</v>
      </c>
      <c r="B28" s="153" t="s">
        <v>431</v>
      </c>
    </row>
    <row r="29" spans="1:2" x14ac:dyDescent="0.35">
      <c r="A29" t="s">
        <v>106</v>
      </c>
      <c r="B29" s="153" t="s">
        <v>431</v>
      </c>
    </row>
    <row r="30" spans="1:2" x14ac:dyDescent="0.35">
      <c r="A30" t="s">
        <v>107</v>
      </c>
      <c r="B30" s="153">
        <v>-1108.8</v>
      </c>
    </row>
    <row r="31" spans="1:2" x14ac:dyDescent="0.35">
      <c r="A31" t="s">
        <v>108</v>
      </c>
      <c r="B31" s="153">
        <v>0</v>
      </c>
    </row>
    <row r="32" spans="1:2" x14ac:dyDescent="0.35">
      <c r="A32" t="s">
        <v>109</v>
      </c>
      <c r="B32" s="153">
        <v>0</v>
      </c>
    </row>
    <row r="33" spans="1:2" x14ac:dyDescent="0.35">
      <c r="A33" t="s">
        <v>110</v>
      </c>
      <c r="B33" s="153">
        <v>0</v>
      </c>
    </row>
    <row r="34" spans="1:2" x14ac:dyDescent="0.35">
      <c r="A34" t="s">
        <v>111</v>
      </c>
      <c r="B34" s="153">
        <v>-371.23</v>
      </c>
    </row>
    <row r="35" spans="1:2" x14ac:dyDescent="0.35">
      <c r="A35" t="s">
        <v>112</v>
      </c>
      <c r="B35" s="153" t="s">
        <v>431</v>
      </c>
    </row>
    <row r="36" spans="1:2" x14ac:dyDescent="0.35">
      <c r="A36" t="s">
        <v>330</v>
      </c>
      <c r="B36" s="153">
        <v>-2557.66</v>
      </c>
    </row>
    <row r="37" spans="1:2" x14ac:dyDescent="0.35">
      <c r="A37" t="s">
        <v>113</v>
      </c>
      <c r="B37" s="153" t="s">
        <v>431</v>
      </c>
    </row>
    <row r="38" spans="1:2" x14ac:dyDescent="0.35">
      <c r="A38" t="s">
        <v>331</v>
      </c>
      <c r="B38" s="153">
        <v>-25856.5</v>
      </c>
    </row>
    <row r="39" spans="1:2" x14ac:dyDescent="0.35">
      <c r="A39" t="s">
        <v>332</v>
      </c>
      <c r="B39" s="153">
        <v>-59037.03</v>
      </c>
    </row>
    <row r="40" spans="1:2" x14ac:dyDescent="0.35">
      <c r="A40" t="s">
        <v>333</v>
      </c>
      <c r="B40" s="153">
        <v>-4582.08</v>
      </c>
    </row>
    <row r="41" spans="1:2" x14ac:dyDescent="0.35">
      <c r="A41" t="s">
        <v>334</v>
      </c>
      <c r="B41" s="153">
        <v>0</v>
      </c>
    </row>
    <row r="42" spans="1:2" x14ac:dyDescent="0.35">
      <c r="A42" t="s">
        <v>121</v>
      </c>
      <c r="B42" s="153">
        <v>-128060.74</v>
      </c>
    </row>
    <row r="43" spans="1:2" x14ac:dyDescent="0.35">
      <c r="A43" t="s">
        <v>122</v>
      </c>
      <c r="B43" s="153">
        <v>0</v>
      </c>
    </row>
    <row r="44" spans="1:2" x14ac:dyDescent="0.35">
      <c r="A44" t="s">
        <v>123</v>
      </c>
      <c r="B44" s="153">
        <v>0</v>
      </c>
    </row>
    <row r="45" spans="1:2" x14ac:dyDescent="0.35">
      <c r="A45" t="s">
        <v>125</v>
      </c>
      <c r="B45" s="153" t="s">
        <v>431</v>
      </c>
    </row>
    <row r="46" spans="1:2" x14ac:dyDescent="0.35">
      <c r="A46" t="s">
        <v>126</v>
      </c>
      <c r="B46" s="153">
        <v>0</v>
      </c>
    </row>
    <row r="47" spans="1:2" x14ac:dyDescent="0.35">
      <c r="A47" t="s">
        <v>335</v>
      </c>
      <c r="B47" s="153">
        <v>-24572.05</v>
      </c>
    </row>
    <row r="48" spans="1:2" x14ac:dyDescent="0.35">
      <c r="A48" t="s">
        <v>129</v>
      </c>
      <c r="B48" s="153">
        <v>0</v>
      </c>
    </row>
    <row r="49" spans="1:2" x14ac:dyDescent="0.35">
      <c r="A49" t="s">
        <v>130</v>
      </c>
      <c r="B49" s="153">
        <v>0</v>
      </c>
    </row>
    <row r="50" spans="1:2" x14ac:dyDescent="0.35">
      <c r="A50" t="s">
        <v>131</v>
      </c>
      <c r="B50" s="153">
        <v>0</v>
      </c>
    </row>
    <row r="51" spans="1:2" x14ac:dyDescent="0.35">
      <c r="A51" t="s">
        <v>336</v>
      </c>
      <c r="B51" s="153">
        <v>0</v>
      </c>
    </row>
    <row r="52" spans="1:2" x14ac:dyDescent="0.35">
      <c r="A52" t="s">
        <v>132</v>
      </c>
      <c r="B52" s="153">
        <v>0</v>
      </c>
    </row>
    <row r="53" spans="1:2" x14ac:dyDescent="0.35">
      <c r="A53" t="s">
        <v>133</v>
      </c>
      <c r="B53" s="153">
        <v>0</v>
      </c>
    </row>
    <row r="54" spans="1:2" x14ac:dyDescent="0.35">
      <c r="A54" t="s">
        <v>134</v>
      </c>
      <c r="B54" s="153">
        <v>0</v>
      </c>
    </row>
    <row r="55" spans="1:2" x14ac:dyDescent="0.35">
      <c r="A55" t="s">
        <v>337</v>
      </c>
      <c r="B55" s="153">
        <v>0</v>
      </c>
    </row>
    <row r="56" spans="1:2" x14ac:dyDescent="0.35">
      <c r="A56" t="s">
        <v>135</v>
      </c>
      <c r="B56" s="153" t="s">
        <v>431</v>
      </c>
    </row>
    <row r="57" spans="1:2" x14ac:dyDescent="0.35">
      <c r="A57" t="s">
        <v>136</v>
      </c>
      <c r="B57" s="153">
        <v>0</v>
      </c>
    </row>
    <row r="58" spans="1:2" x14ac:dyDescent="0.35">
      <c r="A58" t="s">
        <v>338</v>
      </c>
      <c r="B58" s="153">
        <v>0</v>
      </c>
    </row>
    <row r="59" spans="1:2" x14ac:dyDescent="0.35">
      <c r="A59" t="s">
        <v>137</v>
      </c>
      <c r="B59" s="153">
        <v>0</v>
      </c>
    </row>
    <row r="60" spans="1:2" x14ac:dyDescent="0.35">
      <c r="A60" t="s">
        <v>138</v>
      </c>
      <c r="B60" s="153">
        <v>0</v>
      </c>
    </row>
    <row r="61" spans="1:2" x14ac:dyDescent="0.35">
      <c r="A61" t="s">
        <v>139</v>
      </c>
      <c r="B61" s="153">
        <v>0</v>
      </c>
    </row>
    <row r="62" spans="1:2" x14ac:dyDescent="0.35">
      <c r="A62" t="s">
        <v>142</v>
      </c>
      <c r="B62" s="153" t="s">
        <v>431</v>
      </c>
    </row>
    <row r="63" spans="1:2" x14ac:dyDescent="0.35">
      <c r="A63" t="s">
        <v>143</v>
      </c>
      <c r="B63" s="153">
        <v>-399.98</v>
      </c>
    </row>
    <row r="64" spans="1:2" x14ac:dyDescent="0.35">
      <c r="A64" t="s">
        <v>144</v>
      </c>
      <c r="B64" s="153">
        <v>-911.52</v>
      </c>
    </row>
    <row r="65" spans="1:2" x14ac:dyDescent="0.35">
      <c r="A65" t="s">
        <v>146</v>
      </c>
      <c r="B65" s="153">
        <v>-192</v>
      </c>
    </row>
    <row r="66" spans="1:2" x14ac:dyDescent="0.35">
      <c r="A66" t="s">
        <v>400</v>
      </c>
      <c r="B66" s="153" t="s">
        <v>431</v>
      </c>
    </row>
    <row r="67" spans="1:2" x14ac:dyDescent="0.35">
      <c r="A67" t="s">
        <v>339</v>
      </c>
      <c r="B67" s="153">
        <v>0</v>
      </c>
    </row>
    <row r="68" spans="1:2" x14ac:dyDescent="0.35">
      <c r="A68" t="s">
        <v>340</v>
      </c>
      <c r="B68" s="153" t="s">
        <v>431</v>
      </c>
    </row>
    <row r="69" spans="1:2" x14ac:dyDescent="0.35">
      <c r="A69" t="s">
        <v>341</v>
      </c>
      <c r="B69" s="153">
        <v>0</v>
      </c>
    </row>
    <row r="70" spans="1:2" x14ac:dyDescent="0.35">
      <c r="A70" t="s">
        <v>147</v>
      </c>
      <c r="B70" s="153" t="s">
        <v>431</v>
      </c>
    </row>
    <row r="71" spans="1:2" x14ac:dyDescent="0.35">
      <c r="A71" t="s">
        <v>342</v>
      </c>
      <c r="B71" s="153">
        <v>0</v>
      </c>
    </row>
    <row r="72" spans="1:2" x14ac:dyDescent="0.35">
      <c r="A72" t="s">
        <v>343</v>
      </c>
      <c r="B72" s="153">
        <v>-338</v>
      </c>
    </row>
    <row r="73" spans="1:2" x14ac:dyDescent="0.35">
      <c r="A73" t="s">
        <v>344</v>
      </c>
      <c r="B73" s="153" t="s">
        <v>431</v>
      </c>
    </row>
    <row r="74" spans="1:2" x14ac:dyDescent="0.35">
      <c r="A74" t="s">
        <v>345</v>
      </c>
      <c r="B74" s="153">
        <v>-399.42</v>
      </c>
    </row>
    <row r="75" spans="1:2" x14ac:dyDescent="0.35">
      <c r="A75" t="s">
        <v>346</v>
      </c>
      <c r="B75" s="153">
        <v>-1139.1600000000001</v>
      </c>
    </row>
    <row r="76" spans="1:2" x14ac:dyDescent="0.35">
      <c r="A76" t="s">
        <v>347</v>
      </c>
      <c r="B76" s="153">
        <v>0</v>
      </c>
    </row>
    <row r="77" spans="1:2" x14ac:dyDescent="0.35">
      <c r="A77" t="s">
        <v>348</v>
      </c>
      <c r="B77" s="153">
        <v>0</v>
      </c>
    </row>
    <row r="78" spans="1:2" x14ac:dyDescent="0.35">
      <c r="A78" t="s">
        <v>349</v>
      </c>
      <c r="B78" s="153">
        <v>-400</v>
      </c>
    </row>
    <row r="79" spans="1:2" x14ac:dyDescent="0.35">
      <c r="A79" t="s">
        <v>350</v>
      </c>
      <c r="B79" s="153">
        <v>-400.44</v>
      </c>
    </row>
    <row r="80" spans="1:2" x14ac:dyDescent="0.35">
      <c r="A80" t="s">
        <v>351</v>
      </c>
      <c r="B80" s="153" t="s">
        <v>431</v>
      </c>
    </row>
    <row r="81" spans="1:2" x14ac:dyDescent="0.35">
      <c r="A81" t="s">
        <v>352</v>
      </c>
      <c r="B81" s="153" t="s">
        <v>431</v>
      </c>
    </row>
    <row r="82" spans="1:2" x14ac:dyDescent="0.35">
      <c r="A82" t="s">
        <v>353</v>
      </c>
      <c r="B82" s="153" t="s">
        <v>431</v>
      </c>
    </row>
    <row r="83" spans="1:2" x14ac:dyDescent="0.35">
      <c r="A83" t="s">
        <v>354</v>
      </c>
      <c r="B83" s="153">
        <v>-677.53</v>
      </c>
    </row>
    <row r="84" spans="1:2" x14ac:dyDescent="0.35">
      <c r="A84" t="s">
        <v>355</v>
      </c>
      <c r="B84" s="153">
        <v>-1600</v>
      </c>
    </row>
    <row r="85" spans="1:2" x14ac:dyDescent="0.35">
      <c r="A85" t="s">
        <v>148</v>
      </c>
      <c r="B85" s="153">
        <v>-1208.01</v>
      </c>
    </row>
    <row r="86" spans="1:2" x14ac:dyDescent="0.35">
      <c r="A86" t="s">
        <v>310</v>
      </c>
      <c r="B86" s="153">
        <v>-1407</v>
      </c>
    </row>
    <row r="87" spans="1:2" x14ac:dyDescent="0.35">
      <c r="A87" t="s">
        <v>356</v>
      </c>
      <c r="B87" s="153" t="s">
        <v>431</v>
      </c>
    </row>
    <row r="88" spans="1:2" x14ac:dyDescent="0.35">
      <c r="A88" t="s">
        <v>357</v>
      </c>
      <c r="B88" s="153">
        <v>-115.48</v>
      </c>
    </row>
    <row r="89" spans="1:2" x14ac:dyDescent="0.35">
      <c r="A89" t="s">
        <v>150</v>
      </c>
      <c r="B89" s="153" t="s">
        <v>431</v>
      </c>
    </row>
    <row r="90" spans="1:2" x14ac:dyDescent="0.35">
      <c r="A90" t="s">
        <v>358</v>
      </c>
      <c r="B90" s="153" t="s">
        <v>431</v>
      </c>
    </row>
    <row r="91" spans="1:2" x14ac:dyDescent="0.35">
      <c r="A91" t="s">
        <v>151</v>
      </c>
      <c r="B91" s="153" t="s">
        <v>431</v>
      </c>
    </row>
    <row r="92" spans="1:2" x14ac:dyDescent="0.35">
      <c r="A92" t="s">
        <v>359</v>
      </c>
      <c r="B92" s="153" t="s">
        <v>431</v>
      </c>
    </row>
    <row r="93" spans="1:2" x14ac:dyDescent="0.35">
      <c r="A93" t="s">
        <v>152</v>
      </c>
      <c r="B93" s="153">
        <v>0</v>
      </c>
    </row>
    <row r="94" spans="1:2" x14ac:dyDescent="0.35">
      <c r="A94" t="s">
        <v>360</v>
      </c>
      <c r="B94" s="153">
        <v>-977.98</v>
      </c>
    </row>
    <row r="95" spans="1:2" x14ac:dyDescent="0.35">
      <c r="A95" t="s">
        <v>428</v>
      </c>
      <c r="B95" s="153" t="s">
        <v>431</v>
      </c>
    </row>
    <row r="96" spans="1:2" x14ac:dyDescent="0.35">
      <c r="A96" t="s">
        <v>361</v>
      </c>
      <c r="B96" s="153">
        <v>0</v>
      </c>
    </row>
    <row r="97" spans="1:2" x14ac:dyDescent="0.35">
      <c r="A97" t="s">
        <v>153</v>
      </c>
      <c r="B97" s="153">
        <v>-1983.69</v>
      </c>
    </row>
    <row r="98" spans="1:2" x14ac:dyDescent="0.35">
      <c r="A98" t="s">
        <v>154</v>
      </c>
      <c r="B98" s="153">
        <v>-5848.16</v>
      </c>
    </row>
    <row r="99" spans="1:2" x14ac:dyDescent="0.35">
      <c r="A99" t="s">
        <v>155</v>
      </c>
      <c r="B99" s="153">
        <v>-11965.55</v>
      </c>
    </row>
    <row r="100" spans="1:2" x14ac:dyDescent="0.35">
      <c r="A100" t="s">
        <v>156</v>
      </c>
      <c r="B100" s="153">
        <v>-288.39</v>
      </c>
    </row>
    <row r="101" spans="1:2" x14ac:dyDescent="0.35">
      <c r="A101" t="s">
        <v>157</v>
      </c>
      <c r="B101" s="153">
        <v>-108.17</v>
      </c>
    </row>
    <row r="102" spans="1:2" x14ac:dyDescent="0.35">
      <c r="A102" t="s">
        <v>158</v>
      </c>
      <c r="B102" s="153" t="s">
        <v>431</v>
      </c>
    </row>
    <row r="103" spans="1:2" x14ac:dyDescent="0.35">
      <c r="A103" t="s">
        <v>160</v>
      </c>
      <c r="B103" s="153">
        <v>-2853.02</v>
      </c>
    </row>
    <row r="104" spans="1:2" x14ac:dyDescent="0.35">
      <c r="A104" t="s">
        <v>362</v>
      </c>
      <c r="B104" s="153">
        <v>-2148.2399999999998</v>
      </c>
    </row>
    <row r="105" spans="1:2" x14ac:dyDescent="0.35">
      <c r="A105" t="s">
        <v>363</v>
      </c>
      <c r="B105" s="153" t="s">
        <v>431</v>
      </c>
    </row>
    <row r="106" spans="1:2" x14ac:dyDescent="0.35">
      <c r="A106" t="s">
        <v>161</v>
      </c>
      <c r="B106" s="153" t="s">
        <v>431</v>
      </c>
    </row>
    <row r="107" spans="1:2" x14ac:dyDescent="0.35">
      <c r="A107" t="s">
        <v>364</v>
      </c>
      <c r="B107" s="153">
        <v>-210</v>
      </c>
    </row>
    <row r="108" spans="1:2" x14ac:dyDescent="0.35">
      <c r="A108" t="s">
        <v>162</v>
      </c>
      <c r="B108" s="153">
        <v>-4396.3900000000003</v>
      </c>
    </row>
    <row r="109" spans="1:2" x14ac:dyDescent="0.35">
      <c r="A109" t="s">
        <v>365</v>
      </c>
      <c r="B109" s="153">
        <v>-20364.61</v>
      </c>
    </row>
    <row r="110" spans="1:2" x14ac:dyDescent="0.35">
      <c r="A110" t="s">
        <v>163</v>
      </c>
      <c r="B110" s="153">
        <v>-6760.66</v>
      </c>
    </row>
    <row r="111" spans="1:2" x14ac:dyDescent="0.35">
      <c r="A111" t="s">
        <v>401</v>
      </c>
      <c r="B111" s="153" t="s">
        <v>431</v>
      </c>
    </row>
    <row r="112" spans="1:2" x14ac:dyDescent="0.35">
      <c r="A112" t="s">
        <v>164</v>
      </c>
      <c r="B112" s="153">
        <v>0</v>
      </c>
    </row>
    <row r="113" spans="1:2" x14ac:dyDescent="0.35">
      <c r="A113" t="s">
        <v>165</v>
      </c>
      <c r="B113" s="153" t="s">
        <v>431</v>
      </c>
    </row>
    <row r="114" spans="1:2" x14ac:dyDescent="0.35">
      <c r="A114" t="s">
        <v>166</v>
      </c>
      <c r="B114" s="153">
        <v>0</v>
      </c>
    </row>
    <row r="115" spans="1:2" x14ac:dyDescent="0.35">
      <c r="A115" t="s">
        <v>167</v>
      </c>
      <c r="B115" s="153">
        <v>-663</v>
      </c>
    </row>
    <row r="116" spans="1:2" x14ac:dyDescent="0.35">
      <c r="A116" t="s">
        <v>168</v>
      </c>
      <c r="B116" s="153" t="s">
        <v>431</v>
      </c>
    </row>
    <row r="117" spans="1:2" x14ac:dyDescent="0.35">
      <c r="A117" t="s">
        <v>169</v>
      </c>
      <c r="B117" s="153">
        <v>0</v>
      </c>
    </row>
    <row r="118" spans="1:2" x14ac:dyDescent="0.35">
      <c r="A118" t="s">
        <v>402</v>
      </c>
      <c r="B118" s="153" t="s">
        <v>431</v>
      </c>
    </row>
    <row r="119" spans="1:2" x14ac:dyDescent="0.35">
      <c r="A119" t="s">
        <v>366</v>
      </c>
      <c r="B119" s="153" t="s">
        <v>431</v>
      </c>
    </row>
    <row r="120" spans="1:2" x14ac:dyDescent="0.35">
      <c r="A120" t="s">
        <v>367</v>
      </c>
      <c r="B120" s="153" t="s">
        <v>431</v>
      </c>
    </row>
    <row r="121" spans="1:2" x14ac:dyDescent="0.35">
      <c r="A121" t="s">
        <v>368</v>
      </c>
      <c r="B121" s="153" t="s">
        <v>431</v>
      </c>
    </row>
    <row r="122" spans="1:2" x14ac:dyDescent="0.35">
      <c r="A122" t="s">
        <v>369</v>
      </c>
      <c r="B122" s="153" t="s">
        <v>431</v>
      </c>
    </row>
    <row r="123" spans="1:2" x14ac:dyDescent="0.35">
      <c r="A123" t="s">
        <v>433</v>
      </c>
      <c r="B123" s="153">
        <v>-4869.95</v>
      </c>
    </row>
    <row r="124" spans="1:2" x14ac:dyDescent="0.35">
      <c r="A124" t="s">
        <v>370</v>
      </c>
      <c r="B124" s="153" t="s">
        <v>431</v>
      </c>
    </row>
    <row r="125" spans="1:2" x14ac:dyDescent="0.35">
      <c r="A125" t="s">
        <v>371</v>
      </c>
      <c r="B125" s="153" t="s">
        <v>431</v>
      </c>
    </row>
    <row r="126" spans="1:2" x14ac:dyDescent="0.35">
      <c r="A126" t="s">
        <v>170</v>
      </c>
      <c r="B126" s="153">
        <v>-212.5</v>
      </c>
    </row>
    <row r="127" spans="1:2" x14ac:dyDescent="0.35">
      <c r="A127" t="s">
        <v>372</v>
      </c>
      <c r="B127" s="153" t="s">
        <v>431</v>
      </c>
    </row>
    <row r="128" spans="1:2" x14ac:dyDescent="0.35">
      <c r="A128" t="s">
        <v>373</v>
      </c>
      <c r="B128" s="153" t="s">
        <v>431</v>
      </c>
    </row>
    <row r="129" spans="1:2" x14ac:dyDescent="0.35">
      <c r="A129" t="s">
        <v>171</v>
      </c>
      <c r="B129" s="153">
        <v>0</v>
      </c>
    </row>
    <row r="130" spans="1:2" x14ac:dyDescent="0.35">
      <c r="A130" t="s">
        <v>173</v>
      </c>
      <c r="B130" s="153">
        <v>-7363.19</v>
      </c>
    </row>
    <row r="131" spans="1:2" x14ac:dyDescent="0.35">
      <c r="A131" t="s">
        <v>174</v>
      </c>
      <c r="B131" s="153">
        <v>-8087.44</v>
      </c>
    </row>
    <row r="132" spans="1:2" x14ac:dyDescent="0.35">
      <c r="A132" t="s">
        <v>175</v>
      </c>
      <c r="B132" s="153">
        <v>-11901.38</v>
      </c>
    </row>
    <row r="133" spans="1:2" x14ac:dyDescent="0.35">
      <c r="A133" t="s">
        <v>176</v>
      </c>
      <c r="B133" s="153" t="s">
        <v>431</v>
      </c>
    </row>
    <row r="134" spans="1:2" x14ac:dyDescent="0.35">
      <c r="A134" t="s">
        <v>177</v>
      </c>
      <c r="B134" s="153">
        <v>-149.55000000000001</v>
      </c>
    </row>
    <row r="135" spans="1:2" x14ac:dyDescent="0.35">
      <c r="A135" t="s">
        <v>178</v>
      </c>
      <c r="B135" s="153" t="s">
        <v>431</v>
      </c>
    </row>
    <row r="136" spans="1:2" x14ac:dyDescent="0.35">
      <c r="A136" t="s">
        <v>179</v>
      </c>
      <c r="B136" s="153">
        <v>0</v>
      </c>
    </row>
    <row r="137" spans="1:2" x14ac:dyDescent="0.35">
      <c r="A137" t="s">
        <v>181</v>
      </c>
      <c r="B137" s="153" t="s">
        <v>431</v>
      </c>
    </row>
    <row r="138" spans="1:2" x14ac:dyDescent="0.35">
      <c r="A138" t="s">
        <v>429</v>
      </c>
      <c r="B138" s="153" t="s">
        <v>431</v>
      </c>
    </row>
    <row r="139" spans="1:2" x14ac:dyDescent="0.35">
      <c r="A139" t="s">
        <v>182</v>
      </c>
      <c r="B139" s="153" t="s">
        <v>431</v>
      </c>
    </row>
    <row r="140" spans="1:2" x14ac:dyDescent="0.35">
      <c r="A140" t="s">
        <v>183</v>
      </c>
      <c r="B140" s="153" t="s">
        <v>431</v>
      </c>
    </row>
    <row r="141" spans="1:2" x14ac:dyDescent="0.35">
      <c r="A141" t="s">
        <v>374</v>
      </c>
      <c r="B141" s="153">
        <v>0</v>
      </c>
    </row>
    <row r="142" spans="1:2" x14ac:dyDescent="0.35">
      <c r="A142" t="s">
        <v>375</v>
      </c>
      <c r="B142" s="153">
        <v>-7.26</v>
      </c>
    </row>
    <row r="143" spans="1:2" x14ac:dyDescent="0.35">
      <c r="A143" t="s">
        <v>376</v>
      </c>
      <c r="B143" s="153">
        <v>-143.33000000000001</v>
      </c>
    </row>
    <row r="144" spans="1:2" x14ac:dyDescent="0.35">
      <c r="A144" t="s">
        <v>185</v>
      </c>
      <c r="B144" s="153">
        <v>-615.71</v>
      </c>
    </row>
    <row r="145" spans="1:2" x14ac:dyDescent="0.35">
      <c r="A145" t="s">
        <v>187</v>
      </c>
      <c r="B145" s="153">
        <v>0</v>
      </c>
    </row>
    <row r="146" spans="1:2" x14ac:dyDescent="0.35">
      <c r="A146" t="s">
        <v>188</v>
      </c>
      <c r="B146" s="153">
        <v>-214.6</v>
      </c>
    </row>
    <row r="147" spans="1:2" x14ac:dyDescent="0.35">
      <c r="A147" t="s">
        <v>189</v>
      </c>
      <c r="B147" s="153" t="s">
        <v>431</v>
      </c>
    </row>
    <row r="148" spans="1:2" x14ac:dyDescent="0.35">
      <c r="A148" t="s">
        <v>377</v>
      </c>
      <c r="B148" s="153" t="s">
        <v>431</v>
      </c>
    </row>
    <row r="149" spans="1:2" x14ac:dyDescent="0.35">
      <c r="A149" t="s">
        <v>190</v>
      </c>
      <c r="B149" s="153" t="s">
        <v>431</v>
      </c>
    </row>
    <row r="150" spans="1:2" x14ac:dyDescent="0.35">
      <c r="A150" t="s">
        <v>191</v>
      </c>
      <c r="B150" s="153" t="s">
        <v>431</v>
      </c>
    </row>
    <row r="151" spans="1:2" x14ac:dyDescent="0.35">
      <c r="A151" t="s">
        <v>192</v>
      </c>
      <c r="B151" s="153">
        <v>-3164.3</v>
      </c>
    </row>
    <row r="152" spans="1:2" x14ac:dyDescent="0.35">
      <c r="A152" t="s">
        <v>378</v>
      </c>
      <c r="B152" s="153" t="s">
        <v>431</v>
      </c>
    </row>
    <row r="153" spans="1:2" x14ac:dyDescent="0.35">
      <c r="A153" t="s">
        <v>194</v>
      </c>
      <c r="B153" s="153" t="s">
        <v>431</v>
      </c>
    </row>
    <row r="154" spans="1:2" x14ac:dyDescent="0.35">
      <c r="A154" t="s">
        <v>195</v>
      </c>
      <c r="B154" s="153">
        <v>-4025.79</v>
      </c>
    </row>
    <row r="155" spans="1:2" x14ac:dyDescent="0.35">
      <c r="A155" t="s">
        <v>196</v>
      </c>
      <c r="B155" s="153" t="s">
        <v>431</v>
      </c>
    </row>
    <row r="156" spans="1:2" x14ac:dyDescent="0.35">
      <c r="A156" t="s">
        <v>379</v>
      </c>
      <c r="B156" s="153">
        <v>-853</v>
      </c>
    </row>
    <row r="157" spans="1:2" x14ac:dyDescent="0.35">
      <c r="A157" t="s">
        <v>197</v>
      </c>
      <c r="B157" s="153">
        <v>-1496.33</v>
      </c>
    </row>
    <row r="158" spans="1:2" x14ac:dyDescent="0.35">
      <c r="A158" t="s">
        <v>199</v>
      </c>
      <c r="B158" s="153" t="s">
        <v>431</v>
      </c>
    </row>
    <row r="159" spans="1:2" x14ac:dyDescent="0.35">
      <c r="A159" t="s">
        <v>200</v>
      </c>
      <c r="B159" s="153">
        <v>-986.98</v>
      </c>
    </row>
    <row r="160" spans="1:2" x14ac:dyDescent="0.35">
      <c r="A160" t="s">
        <v>380</v>
      </c>
      <c r="B160" s="153" t="s">
        <v>431</v>
      </c>
    </row>
    <row r="161" spans="1:2" x14ac:dyDescent="0.35">
      <c r="A161" t="s">
        <v>201</v>
      </c>
      <c r="B161" s="153">
        <v>-75.94</v>
      </c>
    </row>
    <row r="162" spans="1:2" x14ac:dyDescent="0.35">
      <c r="A162" t="s">
        <v>202</v>
      </c>
      <c r="B162" s="153" t="s">
        <v>431</v>
      </c>
    </row>
    <row r="163" spans="1:2" x14ac:dyDescent="0.35">
      <c r="A163" t="s">
        <v>203</v>
      </c>
      <c r="B163" s="153" t="s">
        <v>431</v>
      </c>
    </row>
    <row r="164" spans="1:2" x14ac:dyDescent="0.35">
      <c r="A164" t="s">
        <v>204</v>
      </c>
      <c r="B164" s="153">
        <v>-79.8</v>
      </c>
    </row>
    <row r="165" spans="1:2" x14ac:dyDescent="0.35">
      <c r="A165" t="s">
        <v>205</v>
      </c>
      <c r="B165" s="153" t="s">
        <v>431</v>
      </c>
    </row>
    <row r="166" spans="1:2" x14ac:dyDescent="0.35">
      <c r="A166" t="s">
        <v>206</v>
      </c>
      <c r="B166" s="153" t="s">
        <v>431</v>
      </c>
    </row>
    <row r="167" spans="1:2" x14ac:dyDescent="0.35">
      <c r="A167" t="s">
        <v>207</v>
      </c>
      <c r="B167" s="153">
        <v>-1663.31</v>
      </c>
    </row>
    <row r="168" spans="1:2" x14ac:dyDescent="0.35">
      <c r="A168" t="s">
        <v>208</v>
      </c>
      <c r="B168" s="153" t="s">
        <v>431</v>
      </c>
    </row>
    <row r="169" spans="1:2" x14ac:dyDescent="0.35">
      <c r="A169" t="s">
        <v>209</v>
      </c>
      <c r="B169" s="153">
        <v>-932.8</v>
      </c>
    </row>
    <row r="170" spans="1:2" x14ac:dyDescent="0.35">
      <c r="A170" t="s">
        <v>210</v>
      </c>
      <c r="B170" s="153">
        <v>-4513.8</v>
      </c>
    </row>
    <row r="171" spans="1:2" x14ac:dyDescent="0.35">
      <c r="A171" t="s">
        <v>211</v>
      </c>
      <c r="B171" s="153">
        <v>-340</v>
      </c>
    </row>
    <row r="172" spans="1:2" x14ac:dyDescent="0.35">
      <c r="A172" t="s">
        <v>430</v>
      </c>
      <c r="B172" s="153">
        <v>-107.24</v>
      </c>
    </row>
    <row r="173" spans="1:2" x14ac:dyDescent="0.35">
      <c r="A173" t="s">
        <v>434</v>
      </c>
      <c r="B173" s="153">
        <v>-500.03</v>
      </c>
    </row>
    <row r="174" spans="1:2" x14ac:dyDescent="0.35">
      <c r="A174" t="s">
        <v>212</v>
      </c>
      <c r="B174" s="153">
        <v>-2380.04</v>
      </c>
    </row>
    <row r="175" spans="1:2" x14ac:dyDescent="0.35">
      <c r="A175" t="s">
        <v>381</v>
      </c>
      <c r="B175" s="153">
        <v>-1290.01</v>
      </c>
    </row>
    <row r="176" spans="1:2" x14ac:dyDescent="0.35">
      <c r="A176" t="s">
        <v>213</v>
      </c>
      <c r="B176" s="153">
        <v>-1377.28</v>
      </c>
    </row>
    <row r="177" spans="1:2" x14ac:dyDescent="0.35">
      <c r="A177" t="s">
        <v>214</v>
      </c>
      <c r="B177" s="153">
        <v>-283.02999999999997</v>
      </c>
    </row>
    <row r="178" spans="1:2" x14ac:dyDescent="0.35">
      <c r="A178" t="s">
        <v>215</v>
      </c>
      <c r="B178" s="153">
        <v>-281.24</v>
      </c>
    </row>
    <row r="179" spans="1:2" x14ac:dyDescent="0.35">
      <c r="A179" t="s">
        <v>216</v>
      </c>
      <c r="B179" s="153" t="s">
        <v>431</v>
      </c>
    </row>
    <row r="180" spans="1:2" x14ac:dyDescent="0.35">
      <c r="A180" t="s">
        <v>217</v>
      </c>
      <c r="B180" s="153">
        <v>-100.45</v>
      </c>
    </row>
    <row r="181" spans="1:2" x14ac:dyDescent="0.35">
      <c r="A181" t="s">
        <v>435</v>
      </c>
      <c r="B181" s="153">
        <v>-141.13999999999999</v>
      </c>
    </row>
    <row r="182" spans="1:2" x14ac:dyDescent="0.35">
      <c r="A182" t="s">
        <v>382</v>
      </c>
      <c r="B182" s="153" t="s">
        <v>431</v>
      </c>
    </row>
    <row r="183" spans="1:2" x14ac:dyDescent="0.35">
      <c r="A183" t="s">
        <v>403</v>
      </c>
      <c r="B183" s="153" t="s">
        <v>431</v>
      </c>
    </row>
    <row r="184" spans="1:2" x14ac:dyDescent="0.35">
      <c r="A184" t="s">
        <v>436</v>
      </c>
      <c r="B184" s="153">
        <v>-7396.59</v>
      </c>
    </row>
    <row r="185" spans="1:2" x14ac:dyDescent="0.35">
      <c r="A185" t="s">
        <v>219</v>
      </c>
      <c r="B185" s="153">
        <v>-838.08</v>
      </c>
    </row>
    <row r="186" spans="1:2" x14ac:dyDescent="0.35">
      <c r="A186" t="s">
        <v>221</v>
      </c>
      <c r="B186" s="153" t="s">
        <v>431</v>
      </c>
    </row>
    <row r="187" spans="1:2" x14ac:dyDescent="0.35">
      <c r="A187" t="s">
        <v>224</v>
      </c>
      <c r="B187" s="153">
        <v>-3154.35</v>
      </c>
    </row>
    <row r="188" spans="1:2" x14ac:dyDescent="0.35">
      <c r="A188" t="s">
        <v>383</v>
      </c>
      <c r="B188" s="153">
        <v>-5772.02</v>
      </c>
    </row>
    <row r="189" spans="1:2" x14ac:dyDescent="0.35">
      <c r="A189" t="s">
        <v>225</v>
      </c>
      <c r="B189" s="153">
        <v>-6419.19</v>
      </c>
    </row>
    <row r="190" spans="1:2" x14ac:dyDescent="0.35">
      <c r="A190" t="s">
        <v>384</v>
      </c>
      <c r="B190" s="153">
        <v>-1642.07</v>
      </c>
    </row>
    <row r="191" spans="1:2" x14ac:dyDescent="0.35">
      <c r="A191" t="s">
        <v>226</v>
      </c>
      <c r="B191" s="153">
        <v>-1337.16</v>
      </c>
    </row>
    <row r="192" spans="1:2" x14ac:dyDescent="0.35">
      <c r="A192" t="s">
        <v>385</v>
      </c>
      <c r="B192" s="153">
        <v>-855.5</v>
      </c>
    </row>
    <row r="193" spans="1:2" x14ac:dyDescent="0.35">
      <c r="A193" t="s">
        <v>386</v>
      </c>
      <c r="B193" s="153">
        <v>-45</v>
      </c>
    </row>
    <row r="194" spans="1:2" x14ac:dyDescent="0.35">
      <c r="A194" t="s">
        <v>399</v>
      </c>
      <c r="B194" s="153">
        <v>-19768.43</v>
      </c>
    </row>
    <row r="195" spans="1:2" x14ac:dyDescent="0.35">
      <c r="A195" t="s">
        <v>387</v>
      </c>
      <c r="B195" s="153" t="s">
        <v>431</v>
      </c>
    </row>
    <row r="196" spans="1:2" x14ac:dyDescent="0.35">
      <c r="A196" t="s">
        <v>388</v>
      </c>
      <c r="B196" s="153" t="s">
        <v>431</v>
      </c>
    </row>
    <row r="197" spans="1:2" x14ac:dyDescent="0.35">
      <c r="A197" t="s">
        <v>389</v>
      </c>
      <c r="B197" s="153">
        <v>0</v>
      </c>
    </row>
    <row r="198" spans="1:2" x14ac:dyDescent="0.35">
      <c r="A198" t="s">
        <v>231</v>
      </c>
      <c r="B198" s="153">
        <v>0</v>
      </c>
    </row>
    <row r="199" spans="1:2" x14ac:dyDescent="0.35">
      <c r="A199" t="s">
        <v>232</v>
      </c>
      <c r="B199" s="153">
        <v>0</v>
      </c>
    </row>
    <row r="200" spans="1:2" x14ac:dyDescent="0.35">
      <c r="A200" t="s">
        <v>390</v>
      </c>
      <c r="B200" s="153">
        <v>0</v>
      </c>
    </row>
    <row r="201" spans="1:2" x14ac:dyDescent="0.35">
      <c r="A201" t="s">
        <v>233</v>
      </c>
      <c r="B201" s="153">
        <v>0</v>
      </c>
    </row>
    <row r="202" spans="1:2" x14ac:dyDescent="0.35">
      <c r="A202" t="s">
        <v>234</v>
      </c>
      <c r="B202" s="153">
        <v>0</v>
      </c>
    </row>
    <row r="203" spans="1:2" x14ac:dyDescent="0.35">
      <c r="A203" t="s">
        <v>235</v>
      </c>
      <c r="B203" s="153">
        <v>0</v>
      </c>
    </row>
    <row r="204" spans="1:2" x14ac:dyDescent="0.35">
      <c r="A204" t="s">
        <v>391</v>
      </c>
      <c r="B204" s="153" t="s">
        <v>431</v>
      </c>
    </row>
    <row r="205" spans="1:2" x14ac:dyDescent="0.35">
      <c r="A205" t="s">
        <v>393</v>
      </c>
      <c r="B205" s="153" t="s">
        <v>431</v>
      </c>
    </row>
    <row r="206" spans="1:2" x14ac:dyDescent="0.35">
      <c r="A206" t="s">
        <v>414</v>
      </c>
      <c r="B206" s="153" t="s">
        <v>431</v>
      </c>
    </row>
    <row r="207" spans="1:2" x14ac:dyDescent="0.35">
      <c r="A207" t="s">
        <v>415</v>
      </c>
      <c r="B207" s="163" t="s">
        <v>431</v>
      </c>
    </row>
    <row r="208" spans="1:2" x14ac:dyDescent="0.35">
      <c r="A208" t="s">
        <v>416</v>
      </c>
      <c r="B208" s="153" t="s">
        <v>431</v>
      </c>
    </row>
    <row r="209" spans="1:2" x14ac:dyDescent="0.35">
      <c r="A209" t="s">
        <v>418</v>
      </c>
      <c r="B209" s="153" t="s">
        <v>431</v>
      </c>
    </row>
    <row r="210" spans="1:2" x14ac:dyDescent="0.35">
      <c r="B210" s="153">
        <f>SUM(B2:B209)</f>
        <v>283433.72000000026</v>
      </c>
    </row>
    <row r="212" spans="1:2" x14ac:dyDescent="0.35">
      <c r="B212" s="153">
        <v>-77706.98</v>
      </c>
    </row>
    <row r="215" spans="1:2" x14ac:dyDescent="0.35">
      <c r="B215" s="153">
        <f>SUM(B210:B212)</f>
        <v>205726.74000000028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5796-7CFD-4A39-89E5-B33208C9508E}">
  <dimension ref="A1:O33"/>
  <sheetViews>
    <sheetView workbookViewId="0">
      <selection activeCell="J6" sqref="J6"/>
    </sheetView>
  </sheetViews>
  <sheetFormatPr baseColWidth="10" defaultRowHeight="14.5" x14ac:dyDescent="0.35"/>
  <cols>
    <col min="1" max="1" width="21.54296875" bestFit="1" customWidth="1"/>
    <col min="2" max="3" width="11.54296875" customWidth="1"/>
    <col min="4" max="4" width="17.453125" customWidth="1"/>
    <col min="5" max="14" width="11.54296875" customWidth="1"/>
  </cols>
  <sheetData>
    <row r="1" spans="1:14" x14ac:dyDescent="0.35">
      <c r="A1" s="54" t="s">
        <v>56</v>
      </c>
    </row>
    <row r="2" spans="1:14" x14ac:dyDescent="0.35">
      <c r="A2" s="55" t="s">
        <v>42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x14ac:dyDescent="0.35">
      <c r="M3" s="2"/>
      <c r="N3" s="2"/>
    </row>
    <row r="4" spans="1:14" ht="15" thickBot="1" x14ac:dyDescent="0.4">
      <c r="A4" s="22" t="s">
        <v>18</v>
      </c>
      <c r="B4" s="56" t="s">
        <v>43</v>
      </c>
      <c r="C4" s="56" t="s">
        <v>44</v>
      </c>
      <c r="D4" s="56" t="s">
        <v>45</v>
      </c>
      <c r="E4" s="56" t="s">
        <v>46</v>
      </c>
      <c r="F4" s="56" t="s">
        <v>47</v>
      </c>
      <c r="G4" s="56" t="s">
        <v>48</v>
      </c>
      <c r="H4" s="56" t="s">
        <v>49</v>
      </c>
      <c r="I4" s="56" t="s">
        <v>50</v>
      </c>
      <c r="J4" s="56" t="s">
        <v>51</v>
      </c>
      <c r="K4" s="56" t="s">
        <v>52</v>
      </c>
      <c r="L4" s="56" t="s">
        <v>53</v>
      </c>
      <c r="M4" s="57" t="s">
        <v>54</v>
      </c>
      <c r="N4" s="58" t="s">
        <v>55</v>
      </c>
    </row>
    <row r="5" spans="1:14" x14ac:dyDescent="0.35">
      <c r="A5" s="9" t="s">
        <v>1</v>
      </c>
      <c r="B5" s="59">
        <v>622.28714000000002</v>
      </c>
      <c r="C5" s="59">
        <v>1062.44109</v>
      </c>
      <c r="D5" s="59">
        <v>1795.1470299999999</v>
      </c>
      <c r="E5" s="59">
        <v>1534.3508899999999</v>
      </c>
      <c r="F5" s="59">
        <v>1483.9151900000002</v>
      </c>
      <c r="G5" s="59">
        <v>1760.9420000000002</v>
      </c>
      <c r="H5" s="59">
        <v>1314.5644800000002</v>
      </c>
      <c r="I5" s="59">
        <v>664.49694000000011</v>
      </c>
      <c r="J5" s="59">
        <v>842.11579000000006</v>
      </c>
      <c r="K5" s="59">
        <v>699.58345000000179</v>
      </c>
      <c r="L5" s="59">
        <v>749.69916000000057</v>
      </c>
      <c r="M5" s="59">
        <v>248.50601</v>
      </c>
      <c r="N5" s="59">
        <f>SUM(B5:M5)</f>
        <v>12778.049170000004</v>
      </c>
    </row>
    <row r="6" spans="1:14" x14ac:dyDescent="0.35">
      <c r="A6" s="10" t="s">
        <v>2</v>
      </c>
      <c r="B6" s="3">
        <v>-518.09464999999989</v>
      </c>
      <c r="C6" s="3">
        <v>-451.51496000000003</v>
      </c>
      <c r="D6" s="3">
        <v>-510.02510999999993</v>
      </c>
      <c r="E6" s="3">
        <v>-440.06148000000002</v>
      </c>
      <c r="F6" s="3">
        <v>-669.88811999999984</v>
      </c>
      <c r="G6" s="3">
        <v>-248.36745000000002</v>
      </c>
      <c r="H6" s="3">
        <v>-330.56434000000002</v>
      </c>
      <c r="I6" s="3">
        <v>-99.204800000000034</v>
      </c>
      <c r="J6" s="3">
        <v>-265.37090999999998</v>
      </c>
      <c r="K6" s="3">
        <v>-361.07370999999995</v>
      </c>
      <c r="L6" s="3">
        <v>-275.74654000000027</v>
      </c>
      <c r="M6" s="3">
        <v>-116.42869999999995</v>
      </c>
      <c r="N6" s="3">
        <f>SUM(B6:M6)</f>
        <v>-4286.3407700000007</v>
      </c>
    </row>
    <row r="7" spans="1:14" x14ac:dyDescent="0.35">
      <c r="A7" s="11" t="s">
        <v>3</v>
      </c>
      <c r="B7" s="25">
        <f t="shared" ref="B7:N7" si="0">SUM(B5:B6)</f>
        <v>104.19249000000013</v>
      </c>
      <c r="C7" s="25">
        <f t="shared" si="0"/>
        <v>610.92613000000006</v>
      </c>
      <c r="D7" s="25">
        <f t="shared" si="0"/>
        <v>1285.12192</v>
      </c>
      <c r="E7" s="25">
        <f t="shared" si="0"/>
        <v>1094.2894099999999</v>
      </c>
      <c r="F7" s="25">
        <f t="shared" si="0"/>
        <v>814.02707000000032</v>
      </c>
      <c r="G7" s="25">
        <f t="shared" si="0"/>
        <v>1512.5745500000003</v>
      </c>
      <c r="H7" s="25">
        <f t="shared" si="0"/>
        <v>984.00014000000021</v>
      </c>
      <c r="I7" s="25">
        <f t="shared" si="0"/>
        <v>565.29214000000002</v>
      </c>
      <c r="J7" s="25">
        <f t="shared" si="0"/>
        <v>576.74488000000008</v>
      </c>
      <c r="K7" s="25">
        <f t="shared" si="0"/>
        <v>338.50974000000184</v>
      </c>
      <c r="L7" s="25">
        <f t="shared" si="0"/>
        <v>473.95262000000031</v>
      </c>
      <c r="M7" s="25">
        <f t="shared" si="0"/>
        <v>132.07731000000007</v>
      </c>
      <c r="N7" s="25">
        <f t="shared" si="0"/>
        <v>8491.7084000000032</v>
      </c>
    </row>
    <row r="8" spans="1:14" x14ac:dyDescent="0.35">
      <c r="A8" s="12" t="s">
        <v>4</v>
      </c>
      <c r="B8" s="4">
        <f t="shared" ref="B8:N8" si="1">+B7/B5</f>
        <v>0.16743474724545993</v>
      </c>
      <c r="C8" s="4">
        <f t="shared" si="1"/>
        <v>0.57502118070376973</v>
      </c>
      <c r="D8" s="4">
        <f t="shared" si="1"/>
        <v>0.71588672043203061</v>
      </c>
      <c r="E8" s="4">
        <f t="shared" si="1"/>
        <v>0.71319371411841781</v>
      </c>
      <c r="F8" s="4">
        <f t="shared" si="1"/>
        <v>0.54856711184417506</v>
      </c>
      <c r="G8" s="4">
        <f t="shared" si="1"/>
        <v>0.85895762040998513</v>
      </c>
      <c r="H8" s="4">
        <f t="shared" si="1"/>
        <v>0.74853699074540647</v>
      </c>
      <c r="I8" s="4">
        <f t="shared" si="1"/>
        <v>0.85070691220940753</v>
      </c>
      <c r="J8" s="4">
        <f t="shared" si="1"/>
        <v>0.68487598362215729</v>
      </c>
      <c r="K8" s="4">
        <f t="shared" si="1"/>
        <v>0.48387328202232482</v>
      </c>
      <c r="L8" s="4">
        <f t="shared" si="1"/>
        <v>0.63219041088428052</v>
      </c>
      <c r="M8" s="4">
        <f t="shared" si="1"/>
        <v>0.53148537534363882</v>
      </c>
      <c r="N8" s="4">
        <f t="shared" si="1"/>
        <v>0.66455436874798002</v>
      </c>
    </row>
    <row r="9" spans="1:14" x14ac:dyDescent="0.35">
      <c r="A9" s="12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0"/>
      <c r="N9" s="61"/>
    </row>
    <row r="10" spans="1:14" x14ac:dyDescent="0.35">
      <c r="A10" s="13" t="s">
        <v>5</v>
      </c>
      <c r="B10" s="3">
        <v>17.397715000000019</v>
      </c>
      <c r="C10" s="3">
        <v>-169.90227999999996</v>
      </c>
      <c r="D10" s="3">
        <v>-215.24044999999998</v>
      </c>
      <c r="E10" s="3">
        <v>-145.05984999999998</v>
      </c>
      <c r="F10" s="3">
        <v>-141.27428000000003</v>
      </c>
      <c r="G10" s="3">
        <v>-98.245984999999976</v>
      </c>
      <c r="H10" s="3">
        <v>-218.74298000000002</v>
      </c>
      <c r="I10" s="3">
        <v>-131.97476999999995</v>
      </c>
      <c r="J10" s="3">
        <v>-133.72119999999998</v>
      </c>
      <c r="K10" s="3">
        <v>-300.72410999999994</v>
      </c>
      <c r="L10" s="3">
        <v>-153.08434999999992</v>
      </c>
      <c r="M10" s="3">
        <v>-172.01862</v>
      </c>
      <c r="N10" s="3">
        <f>SUM(B10:M10)</f>
        <v>-1862.5911599999997</v>
      </c>
    </row>
    <row r="11" spans="1:14" x14ac:dyDescent="0.35">
      <c r="A11" s="14" t="s">
        <v>6</v>
      </c>
      <c r="B11" s="4">
        <f t="shared" ref="B11:N11" si="2">+B10/B5</f>
        <v>2.7957696506471303E-2</v>
      </c>
      <c r="C11" s="4">
        <f t="shared" si="2"/>
        <v>-0.15991689478049079</v>
      </c>
      <c r="D11" s="4">
        <f t="shared" si="2"/>
        <v>-0.11990129298768358</v>
      </c>
      <c r="E11" s="4">
        <f t="shared" si="2"/>
        <v>-9.4541509993193273E-2</v>
      </c>
      <c r="F11" s="4">
        <f t="shared" si="2"/>
        <v>-9.5203742742198103E-2</v>
      </c>
      <c r="G11" s="4">
        <f t="shared" si="2"/>
        <v>-5.5791721135619435E-2</v>
      </c>
      <c r="H11" s="4">
        <f t="shared" si="2"/>
        <v>-0.16639958201213528</v>
      </c>
      <c r="I11" s="4">
        <f t="shared" si="2"/>
        <v>-0.19860854438246162</v>
      </c>
      <c r="J11" s="4">
        <f t="shared" si="2"/>
        <v>-0.15879194000150498</v>
      </c>
      <c r="K11" s="4">
        <f t="shared" si="2"/>
        <v>-0.42986166982652202</v>
      </c>
      <c r="L11" s="4">
        <f t="shared" si="2"/>
        <v>-0.20419437311360972</v>
      </c>
      <c r="M11" s="4">
        <f t="shared" si="2"/>
        <v>-0.69221110588029644</v>
      </c>
      <c r="N11" s="4">
        <f t="shared" si="2"/>
        <v>-0.14576490786817023</v>
      </c>
    </row>
    <row r="12" spans="1:14" x14ac:dyDescent="0.35">
      <c r="A12" s="14"/>
      <c r="B12" s="6"/>
      <c r="C12" s="6"/>
      <c r="D12" s="62"/>
      <c r="E12" s="62"/>
      <c r="F12" s="62"/>
      <c r="G12" s="62"/>
      <c r="H12" s="62"/>
      <c r="I12" s="62"/>
      <c r="J12" s="62"/>
      <c r="K12" s="62"/>
      <c r="L12" s="62"/>
      <c r="M12" s="63"/>
      <c r="N12" s="64"/>
    </row>
    <row r="13" spans="1:14" x14ac:dyDescent="0.35">
      <c r="A13" s="10" t="s">
        <v>7</v>
      </c>
      <c r="B13" s="3">
        <v>0</v>
      </c>
      <c r="C13" s="3">
        <v>0.23943999999999999</v>
      </c>
      <c r="D13" s="3">
        <v>0</v>
      </c>
      <c r="E13" s="3">
        <v>0</v>
      </c>
      <c r="F13" s="3">
        <v>0.43575000000000003</v>
      </c>
      <c r="G13" s="3">
        <v>0.11769</v>
      </c>
      <c r="H13" s="3">
        <v>0</v>
      </c>
      <c r="I13" s="3">
        <v>0</v>
      </c>
      <c r="J13" s="3">
        <v>0</v>
      </c>
      <c r="K13" s="3">
        <v>1.8009600000000001</v>
      </c>
      <c r="L13" s="3">
        <v>0</v>
      </c>
      <c r="M13" s="3">
        <v>47.204360000000001</v>
      </c>
      <c r="N13" s="3">
        <f>SUM(B13:M13)</f>
        <v>49.798200000000001</v>
      </c>
    </row>
    <row r="14" spans="1:14" x14ac:dyDescent="0.35">
      <c r="A14" s="10" t="s">
        <v>8</v>
      </c>
      <c r="B14" s="3">
        <v>-83.04565999999997</v>
      </c>
      <c r="C14" s="3">
        <v>-74.849820000000022</v>
      </c>
      <c r="D14" s="3">
        <v>-105.74076999999997</v>
      </c>
      <c r="E14" s="3">
        <v>-91.37805000000003</v>
      </c>
      <c r="F14" s="3">
        <v>-108.29459000000003</v>
      </c>
      <c r="G14" s="3">
        <v>-116.04260999999998</v>
      </c>
      <c r="H14" s="3">
        <v>-102.38970999999998</v>
      </c>
      <c r="I14" s="3">
        <v>-68.705250000000007</v>
      </c>
      <c r="J14" s="3">
        <v>-73.912790000000001</v>
      </c>
      <c r="K14" s="3">
        <v>-122.16905</v>
      </c>
      <c r="L14" s="3">
        <v>-68.327619999999996</v>
      </c>
      <c r="M14" s="3">
        <v>-239.07332000000005</v>
      </c>
      <c r="N14" s="3">
        <f>SUM(B14:M14)</f>
        <v>-1253.9292399999999</v>
      </c>
    </row>
    <row r="15" spans="1:14" x14ac:dyDescent="0.35">
      <c r="A15" s="15" t="s">
        <v>9</v>
      </c>
      <c r="B15" s="7">
        <f t="shared" ref="B15:N15" si="3">SUM(B13:B14)</f>
        <v>-83.04565999999997</v>
      </c>
      <c r="C15" s="7">
        <f t="shared" si="3"/>
        <v>-74.610380000000021</v>
      </c>
      <c r="D15" s="7">
        <f t="shared" si="3"/>
        <v>-105.74076999999997</v>
      </c>
      <c r="E15" s="7">
        <f t="shared" si="3"/>
        <v>-91.37805000000003</v>
      </c>
      <c r="F15" s="7">
        <f t="shared" si="3"/>
        <v>-107.85884000000003</v>
      </c>
      <c r="G15" s="7">
        <f t="shared" si="3"/>
        <v>-115.92491999999999</v>
      </c>
      <c r="H15" s="7">
        <f t="shared" si="3"/>
        <v>-102.38970999999998</v>
      </c>
      <c r="I15" s="7">
        <f t="shared" si="3"/>
        <v>-68.705250000000007</v>
      </c>
      <c r="J15" s="7">
        <f t="shared" si="3"/>
        <v>-73.912790000000001</v>
      </c>
      <c r="K15" s="7">
        <f t="shared" si="3"/>
        <v>-120.36809</v>
      </c>
      <c r="L15" s="7">
        <f t="shared" si="3"/>
        <v>-68.327619999999996</v>
      </c>
      <c r="M15" s="7">
        <f t="shared" si="3"/>
        <v>-191.86896000000004</v>
      </c>
      <c r="N15" s="7">
        <f t="shared" si="3"/>
        <v>-1204.13104</v>
      </c>
    </row>
    <row r="16" spans="1:14" x14ac:dyDescent="0.35">
      <c r="A16" s="10" t="s">
        <v>6</v>
      </c>
      <c r="B16" s="4">
        <f t="shared" ref="B16:N16" si="4">+B15/B5</f>
        <v>-0.13345231591962509</v>
      </c>
      <c r="C16" s="4">
        <f t="shared" si="4"/>
        <v>-7.0225427745833902E-2</v>
      </c>
      <c r="D16" s="4">
        <f t="shared" si="4"/>
        <v>-5.8903682112322567E-2</v>
      </c>
      <c r="E16" s="4">
        <f t="shared" si="4"/>
        <v>-5.9554858406606091E-2</v>
      </c>
      <c r="F16" s="4">
        <f t="shared" si="4"/>
        <v>-7.2685312965898016E-2</v>
      </c>
      <c r="G16" s="4">
        <f t="shared" si="4"/>
        <v>-6.5831197166062241E-2</v>
      </c>
      <c r="H16" s="4">
        <f t="shared" si="4"/>
        <v>-7.7888693599875727E-2</v>
      </c>
      <c r="I16" s="4">
        <f t="shared" si="4"/>
        <v>-0.10339438131949862</v>
      </c>
      <c r="J16" s="4">
        <f t="shared" si="4"/>
        <v>-8.7770340940881778E-2</v>
      </c>
      <c r="K16" s="4">
        <f t="shared" si="4"/>
        <v>-0.17205680037170645</v>
      </c>
      <c r="L16" s="4">
        <f t="shared" si="4"/>
        <v>-9.1140051430763161E-2</v>
      </c>
      <c r="M16" s="4">
        <f t="shared" si="4"/>
        <v>-0.77208981786798658</v>
      </c>
      <c r="N16" s="4">
        <f t="shared" si="4"/>
        <v>-9.4234340780831385E-2</v>
      </c>
    </row>
    <row r="17" spans="1:15" x14ac:dyDescent="0.35">
      <c r="A17" s="16" t="s">
        <v>10</v>
      </c>
      <c r="B17" s="24">
        <f t="shared" ref="B17:N17" si="5">+B15+B10</f>
        <v>-65.64794499999995</v>
      </c>
      <c r="C17" s="24">
        <f t="shared" si="5"/>
        <v>-244.51265999999998</v>
      </c>
      <c r="D17" s="24">
        <f t="shared" si="5"/>
        <v>-320.98121999999995</v>
      </c>
      <c r="E17" s="24">
        <f t="shared" si="5"/>
        <v>-236.43790000000001</v>
      </c>
      <c r="F17" s="24">
        <f t="shared" si="5"/>
        <v>-249.13312000000008</v>
      </c>
      <c r="G17" s="24">
        <f t="shared" si="5"/>
        <v>-214.17090499999995</v>
      </c>
      <c r="H17" s="24">
        <f t="shared" si="5"/>
        <v>-321.13269000000003</v>
      </c>
      <c r="I17" s="24">
        <f t="shared" si="5"/>
        <v>-200.68001999999996</v>
      </c>
      <c r="J17" s="24">
        <f t="shared" si="5"/>
        <v>-207.63398999999998</v>
      </c>
      <c r="K17" s="24">
        <f t="shared" si="5"/>
        <v>-421.09219999999993</v>
      </c>
      <c r="L17" s="24">
        <f t="shared" si="5"/>
        <v>-221.41196999999991</v>
      </c>
      <c r="M17" s="24">
        <f t="shared" si="5"/>
        <v>-363.88758000000007</v>
      </c>
      <c r="N17" s="24">
        <f t="shared" si="5"/>
        <v>-3066.7221999999997</v>
      </c>
    </row>
    <row r="18" spans="1:15" x14ac:dyDescent="0.35">
      <c r="A18" s="17" t="s">
        <v>6</v>
      </c>
      <c r="B18" s="4">
        <f t="shared" ref="B18:N18" si="6">+B17/B5</f>
        <v>-0.10549461941315379</v>
      </c>
      <c r="C18" s="4">
        <f t="shared" si="6"/>
        <v>-0.23014232252632472</v>
      </c>
      <c r="D18" s="4">
        <f t="shared" si="6"/>
        <v>-0.17880497510000615</v>
      </c>
      <c r="E18" s="4">
        <f t="shared" si="6"/>
        <v>-0.15409636839979937</v>
      </c>
      <c r="F18" s="4">
        <f t="shared" si="6"/>
        <v>-0.16788905570809612</v>
      </c>
      <c r="G18" s="4">
        <f t="shared" si="6"/>
        <v>-0.12162291830168166</v>
      </c>
      <c r="H18" s="4">
        <f t="shared" si="6"/>
        <v>-0.24428827561201102</v>
      </c>
      <c r="I18" s="4">
        <f t="shared" si="6"/>
        <v>-0.30200292570196025</v>
      </c>
      <c r="J18" s="4">
        <f t="shared" si="6"/>
        <v>-0.24656228094238675</v>
      </c>
      <c r="K18" s="4">
        <f t="shared" si="6"/>
        <v>-0.60191847019822842</v>
      </c>
      <c r="L18" s="4">
        <f t="shared" si="6"/>
        <v>-0.29533442454437292</v>
      </c>
      <c r="M18" s="4">
        <f t="shared" si="6"/>
        <v>-1.4643009237482831</v>
      </c>
      <c r="N18" s="4">
        <f t="shared" si="6"/>
        <v>-0.23999924864900163</v>
      </c>
    </row>
    <row r="19" spans="1:15" x14ac:dyDescent="0.35">
      <c r="A19" s="11" t="s">
        <v>11</v>
      </c>
      <c r="B19" s="25">
        <f t="shared" ref="B19:N19" si="7">+B7+B17</f>
        <v>38.544545000000184</v>
      </c>
      <c r="C19" s="25">
        <f t="shared" si="7"/>
        <v>366.41347000000007</v>
      </c>
      <c r="D19" s="25">
        <f t="shared" si="7"/>
        <v>964.14070000000015</v>
      </c>
      <c r="E19" s="25">
        <f t="shared" si="7"/>
        <v>857.85150999999985</v>
      </c>
      <c r="F19" s="25">
        <f t="shared" si="7"/>
        <v>564.89395000000025</v>
      </c>
      <c r="G19" s="25">
        <f t="shared" si="7"/>
        <v>1298.4036450000003</v>
      </c>
      <c r="H19" s="25">
        <f t="shared" si="7"/>
        <v>662.86745000000019</v>
      </c>
      <c r="I19" s="25">
        <f t="shared" si="7"/>
        <v>364.61212000000006</v>
      </c>
      <c r="J19" s="25">
        <f t="shared" si="7"/>
        <v>369.1108900000001</v>
      </c>
      <c r="K19" s="25">
        <f t="shared" si="7"/>
        <v>-82.582459999998093</v>
      </c>
      <c r="L19" s="25">
        <f t="shared" si="7"/>
        <v>252.5406500000004</v>
      </c>
      <c r="M19" s="25">
        <f t="shared" si="7"/>
        <v>-231.81027</v>
      </c>
      <c r="N19" s="25">
        <f t="shared" si="7"/>
        <v>5424.986200000003</v>
      </c>
      <c r="O19" s="19"/>
    </row>
    <row r="20" spans="1:15" x14ac:dyDescent="0.35">
      <c r="A20" s="12" t="s">
        <v>12</v>
      </c>
      <c r="B20" s="8">
        <f t="shared" ref="B20:N20" si="8">+B19/B5</f>
        <v>6.1940127832306131E-2</v>
      </c>
      <c r="C20" s="8">
        <f t="shared" si="8"/>
        <v>0.34487885817744501</v>
      </c>
      <c r="D20" s="8">
        <f t="shared" si="8"/>
        <v>0.53708174533202457</v>
      </c>
      <c r="E20" s="8">
        <f t="shared" si="8"/>
        <v>0.55909734571861847</v>
      </c>
      <c r="F20" s="8">
        <f t="shared" si="8"/>
        <v>0.38067805613607891</v>
      </c>
      <c r="G20" s="8">
        <f t="shared" si="8"/>
        <v>0.73733470210830343</v>
      </c>
      <c r="H20" s="8">
        <f t="shared" si="8"/>
        <v>0.50424871513339542</v>
      </c>
      <c r="I20" s="8">
        <f t="shared" si="8"/>
        <v>0.54870398650744723</v>
      </c>
      <c r="J20" s="8">
        <f t="shared" si="8"/>
        <v>0.43831370267977054</v>
      </c>
      <c r="K20" s="8">
        <f t="shared" si="8"/>
        <v>-0.11804518817590365</v>
      </c>
      <c r="L20" s="8">
        <f t="shared" si="8"/>
        <v>0.3368559863399076</v>
      </c>
      <c r="M20" s="8">
        <f t="shared" si="8"/>
        <v>-0.9328155484046442</v>
      </c>
      <c r="N20" s="8">
        <f t="shared" si="8"/>
        <v>0.42455512009897839</v>
      </c>
    </row>
    <row r="21" spans="1:15" x14ac:dyDescent="0.3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65"/>
      <c r="N21" s="2"/>
    </row>
    <row r="22" spans="1:15" x14ac:dyDescent="0.35">
      <c r="A22" s="10" t="s">
        <v>13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-194.71201000000002</v>
      </c>
      <c r="L22" s="3">
        <v>-19.471199999999982</v>
      </c>
      <c r="M22" s="3">
        <v>-34.072369999999999</v>
      </c>
      <c r="N22" s="23">
        <f>SUM(B22:M22)</f>
        <v>-248.25558000000001</v>
      </c>
    </row>
    <row r="23" spans="1:15" x14ac:dyDescent="0.35">
      <c r="A23" s="10" t="s">
        <v>14</v>
      </c>
      <c r="B23" s="3">
        <v>0.92147000000000001</v>
      </c>
      <c r="C23" s="3">
        <v>3.1829999999999997E-2</v>
      </c>
      <c r="D23" s="3">
        <v>-1.0000000000000001E-5</v>
      </c>
      <c r="E23" s="3">
        <v>2.0000000000000002E-5</v>
      </c>
      <c r="F23" s="3">
        <v>3.1E-4</v>
      </c>
      <c r="G23" s="3">
        <v>2.2800000000000003E-3</v>
      </c>
      <c r="H23" s="3">
        <v>3.5699999999999998E-3</v>
      </c>
      <c r="I23" s="3">
        <v>0.47300999999999999</v>
      </c>
      <c r="J23" s="3">
        <v>-4.0640000000000003E-2</v>
      </c>
      <c r="K23" s="3">
        <v>0.81001000000000012</v>
      </c>
      <c r="L23" s="3">
        <v>4.4300000000002913E-3</v>
      </c>
      <c r="M23" s="3">
        <v>0.15045</v>
      </c>
      <c r="N23" s="23">
        <f>SUM(B23:M23)</f>
        <v>2.3567300000000007</v>
      </c>
    </row>
    <row r="24" spans="1:15" x14ac:dyDescent="0.35">
      <c r="A24" s="18" t="s">
        <v>15</v>
      </c>
      <c r="B24" s="66">
        <f t="shared" ref="B24:N24" si="9">+B19+B22+B23</f>
        <v>39.466015000000183</v>
      </c>
      <c r="C24" s="66">
        <f t="shared" si="9"/>
        <v>366.44530000000009</v>
      </c>
      <c r="D24" s="66">
        <f t="shared" si="9"/>
        <v>964.14069000000018</v>
      </c>
      <c r="E24" s="66">
        <f t="shared" si="9"/>
        <v>857.8515299999998</v>
      </c>
      <c r="F24" s="66">
        <f t="shared" si="9"/>
        <v>564.89426000000026</v>
      </c>
      <c r="G24" s="66">
        <f t="shared" si="9"/>
        <v>1298.4059250000003</v>
      </c>
      <c r="H24" s="66">
        <f t="shared" si="9"/>
        <v>662.87102000000016</v>
      </c>
      <c r="I24" s="66">
        <f t="shared" si="9"/>
        <v>365.08513000000005</v>
      </c>
      <c r="J24" s="66">
        <f t="shared" si="9"/>
        <v>369.0702500000001</v>
      </c>
      <c r="K24" s="66">
        <f t="shared" si="9"/>
        <v>-276.48445999999814</v>
      </c>
      <c r="L24" s="66">
        <f t="shared" si="9"/>
        <v>233.07388000000043</v>
      </c>
      <c r="M24" s="66">
        <f t="shared" si="9"/>
        <v>-265.73219</v>
      </c>
      <c r="N24" s="66">
        <f t="shared" si="9"/>
        <v>5179.0873500000034</v>
      </c>
    </row>
    <row r="25" spans="1:15" x14ac:dyDescent="0.35">
      <c r="A25" s="12" t="s">
        <v>16</v>
      </c>
      <c r="B25" s="4">
        <f t="shared" ref="B25:N25" si="10">+B24/B5</f>
        <v>6.3420907267985938E-2</v>
      </c>
      <c r="C25" s="4">
        <f t="shared" si="10"/>
        <v>0.34490881748558883</v>
      </c>
      <c r="D25" s="4">
        <f t="shared" si="10"/>
        <v>0.53708173976145024</v>
      </c>
      <c r="E25" s="4">
        <f t="shared" si="10"/>
        <v>0.55909735875344646</v>
      </c>
      <c r="F25" s="4">
        <f t="shared" si="10"/>
        <v>0.38067826504289654</v>
      </c>
      <c r="G25" s="4">
        <f t="shared" si="10"/>
        <v>0.73733599686985718</v>
      </c>
      <c r="H25" s="4">
        <f t="shared" si="10"/>
        <v>0.50425143086172541</v>
      </c>
      <c r="I25" s="4">
        <f t="shared" si="10"/>
        <v>0.54941581822784613</v>
      </c>
      <c r="J25" s="4">
        <f t="shared" si="10"/>
        <v>0.43826544328304312</v>
      </c>
      <c r="K25" s="4">
        <f t="shared" si="10"/>
        <v>-0.39521297995256666</v>
      </c>
      <c r="L25" s="4">
        <f t="shared" si="10"/>
        <v>0.31088987748098884</v>
      </c>
      <c r="M25" s="4">
        <f t="shared" si="10"/>
        <v>-1.069318967376282</v>
      </c>
      <c r="N25" s="4">
        <f t="shared" si="10"/>
        <v>0.40531127100053271</v>
      </c>
    </row>
    <row r="29" spans="1:15" x14ac:dyDescent="0.35">
      <c r="A29" t="s">
        <v>57</v>
      </c>
      <c r="B29" t="s">
        <v>58</v>
      </c>
    </row>
    <row r="30" spans="1:15" x14ac:dyDescent="0.35">
      <c r="A30" t="s">
        <v>59</v>
      </c>
      <c r="B30" t="s">
        <v>25</v>
      </c>
      <c r="C30" t="s">
        <v>26</v>
      </c>
      <c r="D30" t="s">
        <v>27</v>
      </c>
      <c r="E30" t="s">
        <v>28</v>
      </c>
      <c r="F30" t="s">
        <v>29</v>
      </c>
      <c r="G30" t="s">
        <v>30</v>
      </c>
      <c r="H30" t="s">
        <v>31</v>
      </c>
      <c r="I30" t="s">
        <v>32</v>
      </c>
      <c r="J30" t="s">
        <v>33</v>
      </c>
      <c r="K30" t="s">
        <v>34</v>
      </c>
      <c r="L30" t="s">
        <v>35</v>
      </c>
      <c r="M30" t="s">
        <v>36</v>
      </c>
      <c r="N30" t="s">
        <v>60</v>
      </c>
    </row>
    <row r="31" spans="1:15" x14ac:dyDescent="0.35">
      <c r="A31" s="67" t="s">
        <v>61</v>
      </c>
      <c r="B31" s="19">
        <v>112.73233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>
        <v>112.73233</v>
      </c>
    </row>
    <row r="32" spans="1:15" x14ac:dyDescent="0.35">
      <c r="A32" s="67" t="s">
        <v>8</v>
      </c>
      <c r="B32" s="19"/>
      <c r="C32" s="19">
        <v>9.97865</v>
      </c>
      <c r="D32" s="19">
        <v>18.111190000000001</v>
      </c>
      <c r="E32" s="19">
        <v>26.849229999999999</v>
      </c>
      <c r="F32" s="19">
        <v>4</v>
      </c>
      <c r="G32" s="19">
        <v>4</v>
      </c>
      <c r="H32" s="19">
        <v>4.5892499999999998</v>
      </c>
      <c r="I32" s="19">
        <v>48.997439999999997</v>
      </c>
      <c r="J32" s="19">
        <v>8.0543800000000001</v>
      </c>
      <c r="K32" s="19">
        <v>0</v>
      </c>
      <c r="L32" s="19">
        <v>118</v>
      </c>
      <c r="M32" s="19">
        <v>19.664999999999999</v>
      </c>
      <c r="N32" s="19">
        <v>262.24513999999999</v>
      </c>
    </row>
    <row r="33" spans="1:14" x14ac:dyDescent="0.35">
      <c r="A33" s="67" t="s">
        <v>60</v>
      </c>
      <c r="B33" s="19">
        <v>112.73233</v>
      </c>
      <c r="C33" s="19">
        <v>9.97865</v>
      </c>
      <c r="D33" s="19">
        <v>18.111190000000001</v>
      </c>
      <c r="E33" s="19">
        <v>26.849229999999999</v>
      </c>
      <c r="F33" s="19">
        <v>4</v>
      </c>
      <c r="G33" s="19">
        <v>4</v>
      </c>
      <c r="H33" s="19">
        <v>4.5892499999999998</v>
      </c>
      <c r="I33" s="19">
        <v>48.997439999999997</v>
      </c>
      <c r="J33" s="19">
        <v>8.0543800000000001</v>
      </c>
      <c r="K33" s="19">
        <v>0</v>
      </c>
      <c r="L33" s="19">
        <v>118</v>
      </c>
      <c r="M33" s="19">
        <v>19.664999999999999</v>
      </c>
      <c r="N33" s="19">
        <v>374.97746999999998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14F5-4B83-43DF-87D3-147B173658B4}">
  <dimension ref="B2:P20"/>
  <sheetViews>
    <sheetView workbookViewId="0">
      <selection activeCell="O3" sqref="O3:O20"/>
    </sheetView>
  </sheetViews>
  <sheetFormatPr baseColWidth="10" defaultColWidth="11.453125" defaultRowHeight="14.5" x14ac:dyDescent="0.35"/>
  <cols>
    <col min="1" max="1" width="4" customWidth="1"/>
    <col min="2" max="2" width="18.54296875" bestFit="1" customWidth="1"/>
    <col min="3" max="15" width="7.1796875" customWidth="1"/>
    <col min="16" max="16" width="50" bestFit="1" customWidth="1"/>
    <col min="18" max="18" width="5.54296875" customWidth="1"/>
    <col min="19" max="19" width="50" bestFit="1" customWidth="1"/>
    <col min="21" max="21" width="5" customWidth="1"/>
    <col min="22" max="22" width="50" bestFit="1" customWidth="1"/>
  </cols>
  <sheetData>
    <row r="2" spans="2:16" ht="15" thickBot="1" x14ac:dyDescent="0.4">
      <c r="B2" s="35" t="s">
        <v>41</v>
      </c>
      <c r="C2" s="36">
        <v>1</v>
      </c>
      <c r="D2" s="36">
        <v>2</v>
      </c>
      <c r="E2" s="36">
        <v>3</v>
      </c>
      <c r="F2" s="36">
        <v>4</v>
      </c>
      <c r="G2" s="36">
        <v>5</v>
      </c>
      <c r="H2" s="36">
        <v>6</v>
      </c>
      <c r="I2" s="36">
        <v>7</v>
      </c>
      <c r="J2" s="36">
        <v>8</v>
      </c>
      <c r="K2" s="36">
        <v>9</v>
      </c>
      <c r="L2" s="36">
        <v>10</v>
      </c>
      <c r="M2" s="36">
        <v>11</v>
      </c>
      <c r="N2" s="36">
        <v>12</v>
      </c>
      <c r="O2" s="36" t="s">
        <v>63</v>
      </c>
    </row>
    <row r="3" spans="2:16" x14ac:dyDescent="0.35">
      <c r="B3" s="37" t="s">
        <v>1</v>
      </c>
      <c r="C3" s="38">
        <v>805.69362811979761</v>
      </c>
      <c r="D3" s="38">
        <v>1513.2479829827739</v>
      </c>
      <c r="E3" s="38">
        <v>2302.2173090809079</v>
      </c>
      <c r="F3" s="38">
        <v>1891.2553201136914</v>
      </c>
      <c r="G3" s="38">
        <v>1636.909212245115</v>
      </c>
      <c r="H3" s="38">
        <v>2150.2565698825038</v>
      </c>
      <c r="I3" s="38">
        <v>1348.0210279400669</v>
      </c>
      <c r="J3" s="38">
        <v>776.07561364342041</v>
      </c>
      <c r="K3" s="38">
        <v>1026.5684889409886</v>
      </c>
      <c r="L3" s="38">
        <v>798.567184017253</v>
      </c>
      <c r="M3" s="38">
        <v>1030.2430087822902</v>
      </c>
      <c r="N3" s="38">
        <v>659.94465275764242</v>
      </c>
      <c r="O3" s="38">
        <v>15938.999998506453</v>
      </c>
    </row>
    <row r="4" spans="2:16" x14ac:dyDescent="0.35">
      <c r="B4" s="39" t="s">
        <v>2</v>
      </c>
      <c r="C4" s="40">
        <v>-276.70290602512631</v>
      </c>
      <c r="D4" s="40">
        <v>-519.70140983383271</v>
      </c>
      <c r="E4" s="40">
        <v>-790.66061526468297</v>
      </c>
      <c r="F4" s="40">
        <v>-649.52213204437521</v>
      </c>
      <c r="G4" s="40">
        <v>-562.17092964296955</v>
      </c>
      <c r="H4" s="40">
        <v>-738.47207030119614</v>
      </c>
      <c r="I4" s="40">
        <v>-462.9567900201061</v>
      </c>
      <c r="J4" s="40">
        <v>-266.53106105791107</v>
      </c>
      <c r="K4" s="40">
        <v>-352.55893085151547</v>
      </c>
      <c r="L4" s="40">
        <v>-274.25543998595526</v>
      </c>
      <c r="M4" s="40">
        <v>-353.82088736060172</v>
      </c>
      <c r="N4" s="40">
        <v>-226.64682322769076</v>
      </c>
      <c r="O4" s="40">
        <v>-5473.9999956159636</v>
      </c>
    </row>
    <row r="5" spans="2:16" x14ac:dyDescent="0.35">
      <c r="B5" s="41" t="s">
        <v>3</v>
      </c>
      <c r="C5" s="42">
        <v>528.99072209467136</v>
      </c>
      <c r="D5" s="42">
        <v>993.54657314894121</v>
      </c>
      <c r="E5" s="42">
        <v>1511.5566938162249</v>
      </c>
      <c r="F5" s="42">
        <v>1241.7331880693162</v>
      </c>
      <c r="G5" s="42">
        <v>1074.7382826021453</v>
      </c>
      <c r="H5" s="42">
        <v>1411.7844995813075</v>
      </c>
      <c r="I5" s="42">
        <v>885.06423791996076</v>
      </c>
      <c r="J5" s="42">
        <v>509.54455258550934</v>
      </c>
      <c r="K5" s="42">
        <v>674.0095580894731</v>
      </c>
      <c r="L5" s="42">
        <v>524.31174403129774</v>
      </c>
      <c r="M5" s="42">
        <v>676.42212142168842</v>
      </c>
      <c r="N5" s="42">
        <v>433.29782952995163</v>
      </c>
      <c r="O5" s="42">
        <v>10465.000002890491</v>
      </c>
    </row>
    <row r="6" spans="2:16" x14ac:dyDescent="0.35">
      <c r="B6" s="43" t="s">
        <v>4</v>
      </c>
      <c r="C6" s="44">
        <v>0.65656560214972481</v>
      </c>
      <c r="D6" s="44">
        <v>0.65656560214972459</v>
      </c>
      <c r="E6" s="44">
        <v>0.65656560214972459</v>
      </c>
      <c r="F6" s="44">
        <v>0.6565656021497247</v>
      </c>
      <c r="G6" s="44">
        <v>0.65656560214972459</v>
      </c>
      <c r="H6" s="44">
        <v>0.65656560214972459</v>
      </c>
      <c r="I6" s="44">
        <v>0.65656560214972459</v>
      </c>
      <c r="J6" s="44">
        <v>0.65656560214972459</v>
      </c>
      <c r="K6" s="44">
        <v>0.65656560214972459</v>
      </c>
      <c r="L6" s="44">
        <v>0.6565656021497247</v>
      </c>
      <c r="M6" s="44">
        <v>0.65656560214972459</v>
      </c>
      <c r="N6" s="44">
        <v>0.65656692227048863</v>
      </c>
      <c r="O6" s="44">
        <v>0.65656565680852641</v>
      </c>
    </row>
    <row r="7" spans="2:16" x14ac:dyDescent="0.35">
      <c r="B7" s="43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</row>
    <row r="8" spans="2:16" x14ac:dyDescent="0.35">
      <c r="B8" s="39" t="s">
        <v>5</v>
      </c>
      <c r="C8" s="40">
        <v>-138.43100349644294</v>
      </c>
      <c r="D8" s="40">
        <v>-152.80201349644292</v>
      </c>
      <c r="E8" s="40">
        <v>-268.64421016310962</v>
      </c>
      <c r="F8" s="40">
        <v>-157.32982349644294</v>
      </c>
      <c r="G8" s="40">
        <v>-157.32982349644294</v>
      </c>
      <c r="H8" s="40">
        <v>-290.07649016310961</v>
      </c>
      <c r="I8" s="40">
        <v>-157.32982349644294</v>
      </c>
      <c r="J8" s="40">
        <v>-162.96320552489962</v>
      </c>
      <c r="K8" s="40">
        <v>-174.23000000000002</v>
      </c>
      <c r="L8" s="40">
        <v>-174.23000000000002</v>
      </c>
      <c r="M8" s="40">
        <v>-174.23000000000002</v>
      </c>
      <c r="N8" s="40">
        <v>-306.97666666666669</v>
      </c>
      <c r="O8" s="40">
        <v>-2314.5730600000006</v>
      </c>
      <c r="P8" s="151"/>
    </row>
    <row r="9" spans="2:16" x14ac:dyDescent="0.35">
      <c r="B9" s="39"/>
      <c r="C9" s="40">
        <v>-0.17181593432666417</v>
      </c>
      <c r="D9" s="40">
        <v>-0.1009761884468227</v>
      </c>
      <c r="E9" s="40">
        <v>-0.11668933645119621</v>
      </c>
      <c r="F9" s="40">
        <v>-8.3188040146258607E-2</v>
      </c>
      <c r="G9" s="40">
        <v>-9.6113958134951202E-2</v>
      </c>
      <c r="H9" s="40">
        <v>-0.13490319910007773</v>
      </c>
      <c r="I9" s="40">
        <v>-0.11671169828623611</v>
      </c>
      <c r="J9" s="40">
        <v>-0.20998366996720955</v>
      </c>
      <c r="K9" s="40">
        <v>-0.16972077545428679</v>
      </c>
      <c r="L9" s="40">
        <v>-0.21817826162543111</v>
      </c>
      <c r="M9" s="40">
        <v>-0.16911544025514286</v>
      </c>
      <c r="N9" s="40">
        <v>-0.46515516927659778</v>
      </c>
      <c r="O9" s="40">
        <v>-0.14521444634022745</v>
      </c>
    </row>
    <row r="10" spans="2:16" x14ac:dyDescent="0.35">
      <c r="B10" s="39" t="s">
        <v>7</v>
      </c>
      <c r="C10" s="40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</row>
    <row r="11" spans="2:16" x14ac:dyDescent="0.35">
      <c r="B11" s="39" t="s">
        <v>8</v>
      </c>
      <c r="C11" s="40">
        <v>-183.33532916333328</v>
      </c>
      <c r="D11" s="40">
        <v>-133.85531916333335</v>
      </c>
      <c r="E11" s="40">
        <v>-128.94531916333332</v>
      </c>
      <c r="F11" s="40">
        <v>-131.89531916333334</v>
      </c>
      <c r="G11" s="40">
        <v>-126.94532916333333</v>
      </c>
      <c r="H11" s="40">
        <v>-160.1953291633333</v>
      </c>
      <c r="I11" s="40">
        <v>-152.8033291633333</v>
      </c>
      <c r="J11" s="40">
        <v>-117.79332916333333</v>
      </c>
      <c r="K11" s="40">
        <v>-120.05332916333333</v>
      </c>
      <c r="L11" s="40">
        <v>-144.84268916333332</v>
      </c>
      <c r="M11" s="40">
        <v>-148.9926891633333</v>
      </c>
      <c r="N11" s="40">
        <v>-180.34268916333332</v>
      </c>
      <c r="O11" s="40">
        <v>-1729.9999999599997</v>
      </c>
    </row>
    <row r="12" spans="2:16" x14ac:dyDescent="0.35">
      <c r="B12" s="41" t="s">
        <v>9</v>
      </c>
      <c r="C12" s="42">
        <v>-183.33532916333328</v>
      </c>
      <c r="D12" s="42">
        <v>-133.85531916333335</v>
      </c>
      <c r="E12" s="42">
        <v>-128.94531916333332</v>
      </c>
      <c r="F12" s="42">
        <v>-131.89531916333334</v>
      </c>
      <c r="G12" s="42">
        <v>-126.94532916333333</v>
      </c>
      <c r="H12" s="42">
        <v>-160.1953291633333</v>
      </c>
      <c r="I12" s="42">
        <v>-152.8033291633333</v>
      </c>
      <c r="J12" s="42">
        <v>-117.79332916333333</v>
      </c>
      <c r="K12" s="42">
        <v>-120.05332916333333</v>
      </c>
      <c r="L12" s="42">
        <v>-144.84268916333332</v>
      </c>
      <c r="M12" s="42">
        <v>-148.9926891633333</v>
      </c>
      <c r="N12" s="42">
        <v>-180.34268916333332</v>
      </c>
      <c r="O12" s="42">
        <v>-1729.9999999599997</v>
      </c>
    </row>
    <row r="13" spans="2:16" x14ac:dyDescent="0.35">
      <c r="B13" s="43"/>
      <c r="C13" s="44">
        <v>0.22754968236645082</v>
      </c>
      <c r="D13" s="44">
        <v>8.8455640231213245E-2</v>
      </c>
      <c r="E13" s="44">
        <v>5.6009186732598637E-2</v>
      </c>
      <c r="F13" s="44">
        <v>6.9739562797583851E-2</v>
      </c>
      <c r="G13" s="44">
        <v>7.7551844789987168E-2</v>
      </c>
      <c r="H13" s="44">
        <v>7.4500564912626605E-2</v>
      </c>
      <c r="I13" s="44">
        <v>0.11335381718550383</v>
      </c>
      <c r="J13" s="44">
        <v>0.15178073771746581</v>
      </c>
      <c r="K13" s="44">
        <v>0.11694624416845362</v>
      </c>
      <c r="L13" s="44">
        <v>0.18137821345812277</v>
      </c>
      <c r="M13" s="44">
        <v>0.14461897619614739</v>
      </c>
      <c r="N13" s="44">
        <v>0.27326941495738166</v>
      </c>
      <c r="O13" s="44">
        <v>0.10853880419863902</v>
      </c>
    </row>
    <row r="14" spans="2:16" x14ac:dyDescent="0.35">
      <c r="B14" s="46" t="s">
        <v>11</v>
      </c>
      <c r="C14" s="47">
        <v>207.2243894348951</v>
      </c>
      <c r="D14" s="47">
        <v>706.88924048916499</v>
      </c>
      <c r="E14" s="47">
        <v>1113.9671644897819</v>
      </c>
      <c r="F14" s="47">
        <v>952.50804540953982</v>
      </c>
      <c r="G14" s="47">
        <v>790.46312994236905</v>
      </c>
      <c r="H14" s="47">
        <v>961.51268025486456</v>
      </c>
      <c r="I14" s="47">
        <v>574.93108526018455</v>
      </c>
      <c r="J14" s="47">
        <v>228.78801789727638</v>
      </c>
      <c r="K14" s="47">
        <v>379.72622892613981</v>
      </c>
      <c r="L14" s="47">
        <v>205.2390548679644</v>
      </c>
      <c r="M14" s="47">
        <v>353.19943225835505</v>
      </c>
      <c r="N14" s="47">
        <v>-54.021526300048379</v>
      </c>
      <c r="O14" s="47">
        <v>6420.4269429304895</v>
      </c>
    </row>
    <row r="15" spans="2:16" x14ac:dyDescent="0.35">
      <c r="B15" s="43" t="s">
        <v>12</v>
      </c>
      <c r="C15" s="48">
        <v>0.25719998545660977</v>
      </c>
      <c r="D15" s="48">
        <v>0.46713377347168872</v>
      </c>
      <c r="E15" s="48">
        <v>0.48386707896592973</v>
      </c>
      <c r="F15" s="48">
        <v>0.50363799920588226</v>
      </c>
      <c r="G15" s="48">
        <v>0.48289979922478626</v>
      </c>
      <c r="H15" s="48">
        <v>0.44716183813702026</v>
      </c>
      <c r="I15" s="48">
        <v>0.42650008667798467</v>
      </c>
      <c r="J15" s="48">
        <v>0.29480119446504921</v>
      </c>
      <c r="K15" s="48">
        <v>0.36989858252698427</v>
      </c>
      <c r="L15" s="48">
        <v>0.25700912706617085</v>
      </c>
      <c r="M15" s="48">
        <v>0.34283118569843435</v>
      </c>
      <c r="N15" s="48">
        <v>-8.1857661963490758E-2</v>
      </c>
      <c r="O15" s="48">
        <v>0.40281240626965986</v>
      </c>
    </row>
    <row r="16" spans="2:16" x14ac:dyDescent="0.35"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</row>
    <row r="17" spans="2:15" x14ac:dyDescent="0.35">
      <c r="B17" s="49" t="s">
        <v>13</v>
      </c>
      <c r="C17" s="50">
        <v>-20.833333</v>
      </c>
      <c r="D17" s="50">
        <v>-20.833333</v>
      </c>
      <c r="E17" s="50">
        <v>-20.833333</v>
      </c>
      <c r="F17" s="50">
        <v>-20.833333</v>
      </c>
      <c r="G17" s="50">
        <v>-20.833333</v>
      </c>
      <c r="H17" s="50">
        <v>-20.833333</v>
      </c>
      <c r="I17" s="50">
        <v>-20.833333</v>
      </c>
      <c r="J17" s="50">
        <v>-20.833333</v>
      </c>
      <c r="K17" s="50">
        <v>-20.833333</v>
      </c>
      <c r="L17" s="50">
        <v>-20.833333</v>
      </c>
      <c r="M17" s="50">
        <v>-20.833333</v>
      </c>
      <c r="N17" s="50">
        <v>-20.833333</v>
      </c>
      <c r="O17" s="50">
        <v>-249.99999600000004</v>
      </c>
    </row>
    <row r="18" spans="2:15" x14ac:dyDescent="0.35">
      <c r="B18" s="49" t="s">
        <v>14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</row>
    <row r="19" spans="2:15" x14ac:dyDescent="0.35">
      <c r="B19" s="51" t="s">
        <v>40</v>
      </c>
      <c r="C19" s="52">
        <v>186.39105643489509</v>
      </c>
      <c r="D19" s="52">
        <v>686.05590748916495</v>
      </c>
      <c r="E19" s="52">
        <v>1093.1338314897819</v>
      </c>
      <c r="F19" s="52">
        <v>931.67471240953978</v>
      </c>
      <c r="G19" s="52">
        <v>769.62979694236901</v>
      </c>
      <c r="H19" s="52">
        <v>940.67934725486452</v>
      </c>
      <c r="I19" s="52">
        <v>554.09775226018451</v>
      </c>
      <c r="J19" s="52">
        <v>207.95468489727637</v>
      </c>
      <c r="K19" s="52">
        <v>358.89289592613983</v>
      </c>
      <c r="L19" s="52">
        <v>184.40572186796439</v>
      </c>
      <c r="M19" s="52">
        <v>332.36609925835506</v>
      </c>
      <c r="N19" s="52">
        <v>-74.854859300048375</v>
      </c>
      <c r="O19" s="52">
        <v>6170.4269469304891</v>
      </c>
    </row>
    <row r="20" spans="2:15" x14ac:dyDescent="0.35">
      <c r="B20" s="53" t="s">
        <v>16</v>
      </c>
      <c r="C20" s="48">
        <v>0.23134234891476743</v>
      </c>
      <c r="D20" s="48">
        <v>0.453366477407672</v>
      </c>
      <c r="E20" s="48">
        <v>0.47481783199961397</v>
      </c>
      <c r="F20" s="48">
        <v>0.49262238815726522</v>
      </c>
      <c r="G20" s="48">
        <v>0.47017256130337098</v>
      </c>
      <c r="H20" s="48">
        <v>0.43747307201868751</v>
      </c>
      <c r="I20" s="48">
        <v>0.41104533295516199</v>
      </c>
      <c r="J20" s="48">
        <v>0.26795673158830147</v>
      </c>
      <c r="K20" s="48">
        <v>0.34960443437765648</v>
      </c>
      <c r="L20" s="48">
        <v>0.230920735986542</v>
      </c>
      <c r="M20" s="48">
        <v>0.32260941974379398</v>
      </c>
      <c r="N20" s="48">
        <v>-0.11342596532491039</v>
      </c>
      <c r="O20" s="48">
        <v>0.38712760822565295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2026</vt:lpstr>
      <vt:lpstr>TABLA</vt:lpstr>
      <vt:lpstr>PL Mensual 2026</vt:lpstr>
      <vt:lpstr>Ginger</vt:lpstr>
      <vt:lpstr>Extraitems 2026</vt:lpstr>
      <vt:lpstr>Ext Items 2026</vt:lpstr>
      <vt:lpstr>Ext Items Budget</vt:lpstr>
      <vt:lpstr>Ext Items 2025</vt:lpstr>
      <vt:lpstr>Cuenta Ok</vt:lpstr>
      <vt:lpstr>P&amp;L Mensualitzada 2025</vt:lpstr>
      <vt:lpstr>Budget26 sin 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cp:lastPrinted>2026-05-15T09:09:31Z</cp:lastPrinted>
  <dcterms:created xsi:type="dcterms:W3CDTF">2026-04-16T11:19:49Z</dcterms:created>
  <dcterms:modified xsi:type="dcterms:W3CDTF">2026-10-22T13:10:53Z</dcterms:modified>
</cp:coreProperties>
</file>